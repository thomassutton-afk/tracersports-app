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21FDA97B-6DF9-4A77-979E-DFEB7468ACB6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0" i="2" l="1"/>
  <c r="C441" i="2"/>
  <c r="Y441" i="2" s="1"/>
  <c r="C442" i="2"/>
  <c r="C443" i="2"/>
  <c r="I440" i="2" a="1"/>
  <c r="I441" i="2" a="1"/>
  <c r="I442" i="2" a="1"/>
  <c r="I443" i="2" a="1"/>
  <c r="J440" i="2" a="1"/>
  <c r="J441" i="2" a="1"/>
  <c r="J442" i="2" a="1"/>
  <c r="J443" i="2" a="1"/>
  <c r="K440" i="2"/>
  <c r="K441" i="2"/>
  <c r="K442" i="2"/>
  <c r="L440" i="2"/>
  <c r="L441" i="2"/>
  <c r="L442" i="2"/>
  <c r="M440" i="2"/>
  <c r="M441" i="2"/>
  <c r="M442" i="2"/>
  <c r="N440" i="2"/>
  <c r="N441" i="2"/>
  <c r="N442" i="2"/>
  <c r="U440" i="2"/>
  <c r="U441" i="2"/>
  <c r="U442" i="2"/>
  <c r="U443" i="2"/>
  <c r="V440" i="2"/>
  <c r="V441" i="2"/>
  <c r="V442" i="2"/>
  <c r="V443" i="2"/>
  <c r="X440" i="2" a="1"/>
  <c r="X441" i="2" a="1"/>
  <c r="X442" i="2" a="1"/>
  <c r="X443" i="2" a="1"/>
  <c r="Y440" i="2"/>
  <c r="Y442" i="2"/>
  <c r="Y443" i="2"/>
  <c r="Z440" i="2"/>
  <c r="Z442" i="2"/>
  <c r="Z443" i="2"/>
  <c r="AC440" i="2"/>
  <c r="AC441" i="2"/>
  <c r="AC442" i="2"/>
  <c r="AC443" i="2"/>
  <c r="AD440" i="2"/>
  <c r="AD441" i="2"/>
  <c r="AD442" i="2"/>
  <c r="AD443" i="2"/>
  <c r="AE440" i="2"/>
  <c r="AE441" i="2"/>
  <c r="AE442" i="2"/>
  <c r="AE443" i="2"/>
  <c r="AF440" i="2"/>
  <c r="AF441" i="2"/>
  <c r="AF442" i="2"/>
  <c r="AF443" i="2"/>
  <c r="AG440" i="2"/>
  <c r="AG441" i="2"/>
  <c r="AG442" i="2"/>
  <c r="AG443" i="2"/>
  <c r="AH440" i="2"/>
  <c r="AH441" i="2"/>
  <c r="AH442" i="2"/>
  <c r="AH443" i="2"/>
  <c r="AI440" i="2"/>
  <c r="AI441" i="2"/>
  <c r="AI442" i="2"/>
  <c r="AI443" i="2"/>
  <c r="AJ440" i="2"/>
  <c r="AJ441" i="2"/>
  <c r="AJ442" i="2"/>
  <c r="AJ443" i="2"/>
  <c r="AK440" i="2"/>
  <c r="AK441" i="2"/>
  <c r="AK442" i="2"/>
  <c r="AK443" i="2"/>
  <c r="AL440" i="2"/>
  <c r="AL441" i="2"/>
  <c r="AL442" i="2"/>
  <c r="AL443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J408" i="2" a="1"/>
  <c r="L408" i="2" s="1"/>
  <c r="N408" i="2" s="1"/>
  <c r="J409" i="2" a="1"/>
  <c r="L409" i="2" s="1"/>
  <c r="N409" i="2" s="1"/>
  <c r="J410" i="2" a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J438" i="2" a="1"/>
  <c r="J439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E29" i="3"/>
  <c r="D29" i="3"/>
  <c r="C29" i="3"/>
  <c r="B29" i="3"/>
  <c r="E35" i="3"/>
  <c r="D35" i="3"/>
  <c r="C35" i="3"/>
  <c r="B35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Z441" i="2" l="1"/>
  <c r="K443" i="2"/>
  <c r="M443" i="2" s="1"/>
  <c r="L443" i="2"/>
  <c r="N443" i="2" s="1"/>
  <c r="L410" i="2"/>
  <c r="N410" i="2" s="1"/>
  <c r="L437" i="2"/>
  <c r="N437" i="2" s="1"/>
  <c r="K437" i="2"/>
  <c r="M437" i="2" s="1"/>
  <c r="L438" i="2"/>
  <c r="N438" i="2" s="1"/>
  <c r="K438" i="2"/>
  <c r="M438" i="2" s="1"/>
  <c r="K420" i="2"/>
  <c r="M420" i="2" s="1"/>
  <c r="L420" i="2"/>
  <c r="N420" i="2" s="1"/>
  <c r="L439" i="2"/>
  <c r="N439" i="2" s="1"/>
  <c r="K439" i="2"/>
  <c r="M439" i="2" s="1"/>
  <c r="F26" i="3"/>
  <c r="L416" i="2"/>
  <c r="N416" i="2" s="1"/>
  <c r="K416" i="2"/>
  <c r="M416" i="2" s="1"/>
  <c r="F29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28" i="3"/>
  <c r="AE386" i="2"/>
  <c r="AD386" i="2"/>
  <c r="AE387" i="2"/>
  <c r="AD387" i="2"/>
  <c r="AE388" i="2"/>
  <c r="AD388" i="2"/>
  <c r="AE389" i="2"/>
  <c r="AD389" i="2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P31" i="2" l="1" a="1"/>
  <c r="O30" i="2" a="1"/>
  <c r="O31" i="2" a="1"/>
  <c r="P30" i="2" a="1"/>
  <c r="AA26" i="2"/>
  <c r="AB26" i="2" s="1"/>
  <c r="AA27" i="2"/>
  <c r="AB27" i="2" s="1"/>
  <c r="O29" i="2" l="1" a="1"/>
  <c r="P29" i="2" a="1"/>
  <c r="O28" i="2" a="1"/>
  <c r="P28" i="2" a="1"/>
  <c r="Q31" i="2"/>
  <c r="Q30" i="2"/>
  <c r="W31" i="2"/>
  <c r="W30" i="2"/>
  <c r="Q28" i="2" l="1"/>
  <c r="Q29" i="2"/>
  <c r="W28" i="2"/>
  <c r="AA28" i="2" s="1"/>
  <c r="AB28" i="2" s="1"/>
  <c r="W29" i="2"/>
  <c r="AA31" i="2"/>
  <c r="AB31" i="2" s="1"/>
  <c r="AA30" i="2"/>
  <c r="AB30" i="2" s="1"/>
  <c r="AA29" i="2" l="1"/>
  <c r="AB29" i="2" s="1"/>
  <c r="P32" i="2" a="1"/>
  <c r="P33" i="2" a="1"/>
  <c r="O33" i="2" a="1"/>
  <c r="O32" i="2" a="1"/>
  <c r="O34" i="2" a="1"/>
  <c r="O35" i="2" a="1"/>
  <c r="P34" i="2" a="1"/>
  <c r="P35" i="2" a="1"/>
  <c r="W32" i="2" l="1"/>
  <c r="Q33" i="2"/>
  <c r="Q32" i="2"/>
  <c r="W33" i="2"/>
  <c r="Q34" i="2"/>
  <c r="W34" i="2"/>
  <c r="W35" i="2"/>
  <c r="Q35" i="2"/>
  <c r="AA32" i="2" l="1"/>
  <c r="AB32" i="2" s="1"/>
  <c r="AA33" i="2"/>
  <c r="AB33" i="2" s="1"/>
  <c r="AA35" i="2"/>
  <c r="AB35" i="2" s="1"/>
  <c r="AA34" i="2"/>
  <c r="AB34" i="2" s="1"/>
  <c r="O37" i="2" l="1" a="1"/>
  <c r="P36" i="2" a="1"/>
  <c r="O36" i="2" a="1"/>
  <c r="P37" i="2" a="1"/>
  <c r="W36" i="2" l="1"/>
  <c r="Q37" i="2"/>
  <c r="W37" i="2"/>
  <c r="Q36" i="2"/>
  <c r="AA37" i="2" l="1"/>
  <c r="AB37" i="2" s="1"/>
  <c r="P39" i="2" a="1"/>
  <c r="P38" i="2" a="1"/>
  <c r="O38" i="2" a="1"/>
  <c r="O39" i="2" a="1"/>
  <c r="AA36" i="2"/>
  <c r="AB36" i="2" s="1"/>
  <c r="W38" i="2" l="1"/>
  <c r="Q39" i="2"/>
  <c r="Q38" i="2"/>
  <c r="W39" i="2"/>
  <c r="AA38" i="2" l="1"/>
  <c r="AB38" i="2" s="1"/>
  <c r="AA39" i="2"/>
  <c r="AB39" i="2" s="1"/>
  <c r="P40" i="2" l="1" a="1"/>
  <c r="O41" i="2" a="1"/>
  <c r="P41" i="2" a="1"/>
  <c r="O40" i="2" a="1"/>
  <c r="W41" i="2" l="1"/>
  <c r="W40" i="2"/>
  <c r="Q41" i="2"/>
  <c r="Q40" i="2"/>
  <c r="O43" i="2" a="1"/>
  <c r="O42" i="2" a="1"/>
  <c r="P43" i="2" a="1"/>
  <c r="P42" i="2" a="1"/>
  <c r="AA41" i="2" l="1"/>
  <c r="AB41" i="2" s="1"/>
  <c r="AA40" i="2"/>
  <c r="AB40" i="2" s="1"/>
  <c r="Q43" i="2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O59" i="2" a="1"/>
  <c r="O58" i="2" a="1"/>
  <c r="P59" i="2" a="1"/>
  <c r="P58" i="2" a="1"/>
  <c r="Q57" i="2" l="1"/>
  <c r="Q56" i="2"/>
  <c r="W57" i="2"/>
  <c r="W56" i="2"/>
  <c r="Q59" i="2"/>
  <c r="Q58" i="2"/>
  <c r="W59" i="2"/>
  <c r="W58" i="2"/>
  <c r="AA57" i="2" l="1"/>
  <c r="AB57" i="2" s="1"/>
  <c r="AA56" i="2"/>
  <c r="AB56" i="2" s="1"/>
  <c r="AA59" i="2"/>
  <c r="AB59" i="2" s="1"/>
  <c r="AA58" i="2"/>
  <c r="AB58" i="2" s="1"/>
  <c r="O60" i="2" l="1" a="1"/>
  <c r="P60" i="2" a="1"/>
  <c r="P61" i="2" a="1"/>
  <c r="O61" i="2" a="1"/>
  <c r="Q60" i="2" l="1"/>
  <c r="W61" i="2"/>
  <c r="Q61" i="2"/>
  <c r="W60" i="2"/>
  <c r="AA60" i="2" l="1"/>
  <c r="AB60" i="2" s="1"/>
  <c r="AA61" i="2"/>
  <c r="AB61" i="2" s="1"/>
  <c r="P64" i="2" a="1"/>
  <c r="P65" i="2" a="1"/>
  <c r="O64" i="2" a="1"/>
  <c r="O65" i="2" a="1"/>
  <c r="P63" i="2" l="1" a="1"/>
  <c r="O62" i="2" a="1"/>
  <c r="O63" i="2" a="1"/>
  <c r="P62" i="2" a="1"/>
  <c r="Q65" i="2"/>
  <c r="W64" i="2"/>
  <c r="W65" i="2"/>
  <c r="Q64" i="2"/>
  <c r="W62" i="2" l="1"/>
  <c r="W63" i="2"/>
  <c r="Q63" i="2"/>
  <c r="Q62" i="2"/>
  <c r="AA64" i="2"/>
  <c r="AB64" i="2" s="1"/>
  <c r="AA65" i="2"/>
  <c r="AB65" i="2" s="1"/>
  <c r="O68" i="2" a="1"/>
  <c r="P69" i="2" a="1"/>
  <c r="O69" i="2" a="1"/>
  <c r="P68" i="2" a="1"/>
  <c r="AA62" i="2" l="1"/>
  <c r="AB62" i="2" s="1"/>
  <c r="AA63" i="2"/>
  <c r="AB63" i="2" s="1"/>
  <c r="O67" i="2" a="1"/>
  <c r="P66" i="2" a="1"/>
  <c r="P67" i="2" a="1"/>
  <c r="O66" i="2" a="1"/>
  <c r="W69" i="2"/>
  <c r="Q68" i="2"/>
  <c r="W68" i="2"/>
  <c r="Q69" i="2"/>
  <c r="W67" i="2" l="1"/>
  <c r="W66" i="2"/>
  <c r="Q66" i="2"/>
  <c r="Q67" i="2"/>
  <c r="AA69" i="2"/>
  <c r="AB69" i="2" s="1"/>
  <c r="AA68" i="2"/>
  <c r="AB68" i="2" s="1"/>
  <c r="O70" i="2" a="1"/>
  <c r="P70" i="2" a="1"/>
  <c r="O71" i="2" a="1"/>
  <c r="P71" i="2" a="1"/>
  <c r="AA67" i="2" l="1"/>
  <c r="AB67" i="2" s="1"/>
  <c r="AA66" i="2"/>
  <c r="AB66" i="2" s="1"/>
  <c r="Q71" i="2"/>
  <c r="W70" i="2"/>
  <c r="W71" i="2"/>
  <c r="Q70" i="2"/>
  <c r="AA71" i="2" l="1"/>
  <c r="AB71" i="2" s="1"/>
  <c r="AA70" i="2"/>
  <c r="AB70" i="2" s="1"/>
  <c r="P72" i="2" a="1"/>
  <c r="P73" i="2" a="1"/>
  <c r="O73" i="2" a="1"/>
  <c r="O72" i="2" a="1"/>
  <c r="W72" i="2" l="1"/>
  <c r="W73" i="2"/>
  <c r="Q72" i="2"/>
  <c r="Q73" i="2"/>
  <c r="AA72" i="2" l="1"/>
  <c r="AB72" i="2" s="1"/>
  <c r="AA73" i="2"/>
  <c r="AB73" i="2" s="1"/>
  <c r="O76" i="2" l="1" a="1"/>
  <c r="O74" i="2" a="1"/>
  <c r="P77" i="2" a="1"/>
  <c r="Q77" i="2" s="1"/>
  <c r="P75" i="2" a="1"/>
  <c r="P74" i="2" a="1"/>
  <c r="P76" i="2" a="1"/>
  <c r="Q76" i="2" s="1"/>
  <c r="O75" i="2" a="1"/>
  <c r="O77" i="2" a="1"/>
  <c r="W75" i="2" l="1"/>
  <c r="Q74" i="2"/>
  <c r="W74" i="2"/>
  <c r="W77" i="2"/>
  <c r="AA77" i="2" s="1"/>
  <c r="AB77" i="2" s="1"/>
  <c r="W76" i="2"/>
  <c r="AA76" i="2" s="1"/>
  <c r="AB76" i="2" s="1"/>
  <c r="Q75" i="2"/>
  <c r="O83" i="2" a="1"/>
  <c r="P83" i="2" a="1"/>
  <c r="P82" i="2" a="1"/>
  <c r="O82" i="2" a="1"/>
  <c r="AA74" i="2" l="1"/>
  <c r="AB74" i="2" s="1"/>
  <c r="AA75" i="2"/>
  <c r="AB75" i="2" s="1"/>
  <c r="P81" i="2" a="1"/>
  <c r="O80" i="2" a="1"/>
  <c r="P80" i="2" a="1"/>
  <c r="O81" i="2" a="1"/>
  <c r="O79" i="2" a="1"/>
  <c r="P79" i="2" a="1"/>
  <c r="P78" i="2" a="1"/>
  <c r="O78" i="2" a="1"/>
  <c r="W78" i="2" s="1"/>
  <c r="Q83" i="2"/>
  <c r="W82" i="2"/>
  <c r="W83" i="2"/>
  <c r="Q82" i="2"/>
  <c r="Q79" i="2" l="1"/>
  <c r="W80" i="2"/>
  <c r="W81" i="2"/>
  <c r="Q81" i="2"/>
  <c r="Q80" i="2"/>
  <c r="W79" i="2"/>
  <c r="AA79" i="2" s="1"/>
  <c r="AB79" i="2" s="1"/>
  <c r="Q78" i="2"/>
  <c r="AA78" i="2" s="1"/>
  <c r="AB78" i="2" s="1"/>
  <c r="AA83" i="2"/>
  <c r="AB83" i="2" s="1"/>
  <c r="AA82" i="2"/>
  <c r="AB82" i="2" s="1"/>
  <c r="AA81" i="2" l="1"/>
  <c r="AB81" i="2" s="1"/>
  <c r="AA80" i="2"/>
  <c r="AB80" i="2" s="1"/>
  <c r="O85" i="2" a="1"/>
  <c r="O84" i="2" a="1"/>
  <c r="P85" i="2" a="1"/>
  <c r="P84" i="2" a="1"/>
  <c r="P86" i="2" a="1"/>
  <c r="P87" i="2" a="1"/>
  <c r="O87" i="2" a="1"/>
  <c r="O86" i="2" a="1"/>
  <c r="W84" i="2" l="1"/>
  <c r="Q85" i="2"/>
  <c r="W85" i="2"/>
  <c r="Q84" i="2"/>
  <c r="AA84" i="2" s="1"/>
  <c r="AB84" i="2" s="1"/>
  <c r="W86" i="2"/>
  <c r="W87" i="2"/>
  <c r="Q86" i="2"/>
  <c r="Q87" i="2"/>
  <c r="AA85" i="2" l="1"/>
  <c r="AB85" i="2" s="1"/>
  <c r="AA86" i="2"/>
  <c r="AB86" i="2" s="1"/>
  <c r="AA87" i="2"/>
  <c r="AB87" i="2" s="1"/>
  <c r="O88" i="2" l="1" a="1"/>
  <c r="P89" i="2" a="1"/>
  <c r="P88" i="2" a="1"/>
  <c r="O89" i="2" a="1"/>
  <c r="Q88" i="2" l="1"/>
  <c r="W89" i="2"/>
  <c r="Q89" i="2"/>
  <c r="W88" i="2"/>
  <c r="AA89" i="2" l="1"/>
  <c r="AB89" i="2" s="1"/>
  <c r="AA88" i="2"/>
  <c r="AB88" i="2" s="1"/>
  <c r="O91" i="2" l="1" a="1"/>
  <c r="O90" i="2" a="1"/>
  <c r="P90" i="2" a="1"/>
  <c r="Q90" i="2" s="1"/>
  <c r="P91" i="2" a="1"/>
  <c r="W91" i="2" l="1"/>
  <c r="W90" i="2"/>
  <c r="AA90" i="2" s="1"/>
  <c r="AB90" i="2" s="1"/>
  <c r="Q91" i="2"/>
  <c r="P98" i="2" a="1"/>
  <c r="O99" i="2" a="1"/>
  <c r="O98" i="2" a="1"/>
  <c r="P99" i="2" a="1"/>
  <c r="AA91" i="2" l="1"/>
  <c r="AB91" i="2" s="1"/>
  <c r="P92" i="2" a="1"/>
  <c r="O93" i="2" a="1"/>
  <c r="O94" i="2" a="1"/>
  <c r="O92" i="2" a="1"/>
  <c r="P94" i="2" a="1"/>
  <c r="P95" i="2" a="1"/>
  <c r="O95" i="2" a="1"/>
  <c r="P93" i="2" a="1"/>
  <c r="Q93" i="2" s="1"/>
  <c r="P97" i="2" a="1"/>
  <c r="O96" i="2" a="1"/>
  <c r="W96" i="2" s="1"/>
  <c r="O97" i="2" a="1"/>
  <c r="W97" i="2" s="1"/>
  <c r="P96" i="2" a="1"/>
  <c r="W98" i="2"/>
  <c r="W99" i="2"/>
  <c r="Q98" i="2"/>
  <c r="Q99" i="2"/>
  <c r="W92" i="2" l="1"/>
  <c r="W94" i="2"/>
  <c r="W95" i="2"/>
  <c r="Q94" i="2"/>
  <c r="Q95" i="2"/>
  <c r="Q97" i="2"/>
  <c r="AA97" i="2" s="1"/>
  <c r="AB97" i="2" s="1"/>
  <c r="Q96" i="2"/>
  <c r="AA96" i="2" s="1"/>
  <c r="AB96" i="2" s="1"/>
  <c r="W93" i="2"/>
  <c r="AA93" i="2" s="1"/>
  <c r="AB93" i="2" s="1"/>
  <c r="Q92" i="2"/>
  <c r="AA98" i="2"/>
  <c r="AB98" i="2" s="1"/>
  <c r="AA99" i="2"/>
  <c r="AB99" i="2" s="1"/>
  <c r="P106" i="2" a="1"/>
  <c r="O107" i="2" a="1"/>
  <c r="AA94" i="2" l="1"/>
  <c r="AB94" i="2" s="1"/>
  <c r="AA95" i="2"/>
  <c r="AB95" i="2" s="1"/>
  <c r="AA92" i="2"/>
  <c r="AB92" i="2" s="1"/>
  <c r="P103" i="2" a="1"/>
  <c r="O100" i="2" a="1"/>
  <c r="O101" i="2" a="1"/>
  <c r="P101" i="2" a="1"/>
  <c r="O103" i="2" a="1"/>
  <c r="P100" i="2" a="1"/>
  <c r="P102" i="2" a="1"/>
  <c r="O102" i="2" a="1"/>
  <c r="P105" i="2" a="1"/>
  <c r="O104" i="2" a="1"/>
  <c r="P104" i="2" a="1"/>
  <c r="O105" i="2" a="1"/>
  <c r="O106" i="2" l="1" a="1"/>
  <c r="P107" i="2" a="1"/>
  <c r="Q101" i="2"/>
  <c r="Q100" i="2"/>
  <c r="W102" i="2"/>
  <c r="W100" i="2"/>
  <c r="W103" i="2"/>
  <c r="Q103" i="2"/>
  <c r="W101" i="2"/>
  <c r="Q102" i="2"/>
  <c r="W104" i="2"/>
  <c r="W105" i="2"/>
  <c r="Q105" i="2"/>
  <c r="Q104" i="2"/>
  <c r="W106" i="2" l="1"/>
  <c r="Q106" i="2"/>
  <c r="Q107" i="2"/>
  <c r="W107" i="2"/>
  <c r="AA107" i="2" s="1"/>
  <c r="AB107" i="2" s="1"/>
  <c r="AA103" i="2"/>
  <c r="AB103" i="2" s="1"/>
  <c r="AA101" i="2"/>
  <c r="AB101" i="2" s="1"/>
  <c r="AA100" i="2"/>
  <c r="AB100" i="2" s="1"/>
  <c r="AA102" i="2"/>
  <c r="AB102" i="2" s="1"/>
  <c r="AA104" i="2"/>
  <c r="AB104" i="2" s="1"/>
  <c r="P108" i="2" a="1"/>
  <c r="O109" i="2" a="1"/>
  <c r="O108" i="2" a="1"/>
  <c r="P109" i="2" a="1"/>
  <c r="AA105" i="2"/>
  <c r="AB105" i="2" s="1"/>
  <c r="P111" i="2" a="1"/>
  <c r="P110" i="2" a="1"/>
  <c r="O110" i="2" a="1"/>
  <c r="O111" i="2" a="1"/>
  <c r="AA106" i="2" l="1"/>
  <c r="AB106" i="2" s="1"/>
  <c r="W108" i="2"/>
  <c r="W109" i="2"/>
  <c r="Q108" i="2"/>
  <c r="AA108" i="2" s="1"/>
  <c r="AB108" i="2" s="1"/>
  <c r="Q109" i="2"/>
  <c r="Q111" i="2"/>
  <c r="Q110" i="2"/>
  <c r="W110" i="2"/>
  <c r="W111" i="2"/>
  <c r="AA109" i="2" l="1"/>
  <c r="AB109" i="2" s="1"/>
  <c r="AA110" i="2"/>
  <c r="AB110" i="2" s="1"/>
  <c r="AA111" i="2"/>
  <c r="AB111" i="2" s="1"/>
  <c r="P113" i="2" l="1" a="1"/>
  <c r="O113" i="2" a="1"/>
  <c r="O112" i="2" a="1"/>
  <c r="P112" i="2" a="1"/>
  <c r="Q112" i="2" l="1"/>
  <c r="W113" i="2"/>
  <c r="Q113" i="2"/>
  <c r="W112" i="2"/>
  <c r="AA113" i="2" l="1"/>
  <c r="AB113" i="2" s="1"/>
  <c r="AA112" i="2"/>
  <c r="AB112" i="2" s="1"/>
  <c r="O114" i="2" a="1"/>
  <c r="P114" i="2" a="1"/>
  <c r="P115" i="2" a="1"/>
  <c r="O115" i="2" a="1"/>
  <c r="P117" i="2" a="1"/>
  <c r="O116" i="2" a="1"/>
  <c r="P116" i="2" a="1"/>
  <c r="O117" i="2" a="1"/>
  <c r="P119" i="2" a="1"/>
  <c r="O119" i="2" a="1"/>
  <c r="P118" i="2" a="1"/>
  <c r="O118" i="2" a="1"/>
  <c r="W115" i="2" l="1"/>
  <c r="Q114" i="2"/>
  <c r="W114" i="2"/>
  <c r="AA114" i="2" s="1"/>
  <c r="AB114" i="2" s="1"/>
  <c r="Q115" i="2"/>
  <c r="Q119" i="2"/>
  <c r="W117" i="2"/>
  <c r="W119" i="2"/>
  <c r="AA119" i="2" s="1"/>
  <c r="AB119" i="2" s="1"/>
  <c r="W116" i="2"/>
  <c r="W118" i="2"/>
  <c r="O123" i="2" a="1"/>
  <c r="O122" i="2" a="1"/>
  <c r="P122" i="2" a="1"/>
  <c r="P123" i="2" a="1"/>
  <c r="P121" i="2" a="1"/>
  <c r="O121" i="2" a="1"/>
  <c r="P120" i="2" a="1"/>
  <c r="O120" i="2" a="1"/>
  <c r="Q117" i="2"/>
  <c r="Q116" i="2"/>
  <c r="Q118" i="2"/>
  <c r="AA115" i="2" l="1"/>
  <c r="AB115" i="2" s="1"/>
  <c r="AA117" i="2"/>
  <c r="AB117" i="2" s="1"/>
  <c r="Q122" i="2"/>
  <c r="AA116" i="2"/>
  <c r="AB116" i="2" s="1"/>
  <c r="AA118" i="2"/>
  <c r="AB118" i="2" s="1"/>
  <c r="W123" i="2"/>
  <c r="Q121" i="2"/>
  <c r="Q120" i="2"/>
  <c r="Q123" i="2"/>
  <c r="W121" i="2"/>
  <c r="W120" i="2"/>
  <c r="W122" i="2"/>
  <c r="O124" i="2" a="1"/>
  <c r="P125" i="2" a="1"/>
  <c r="P124" i="2" a="1"/>
  <c r="O125" i="2" a="1"/>
  <c r="AA123" i="2" l="1"/>
  <c r="AB123" i="2" s="1"/>
  <c r="AA122" i="2"/>
  <c r="AB122" i="2" s="1"/>
  <c r="AA121" i="2"/>
  <c r="AB121" i="2" s="1"/>
  <c r="AA120" i="2"/>
  <c r="AB120" i="2" s="1"/>
  <c r="Q124" i="2"/>
  <c r="W125" i="2"/>
  <c r="W124" i="2"/>
  <c r="Q125" i="2"/>
  <c r="AA124" i="2" l="1"/>
  <c r="AB124" i="2" s="1"/>
  <c r="AA125" i="2"/>
  <c r="AB125" i="2" s="1"/>
  <c r="P127" i="2" a="1"/>
  <c r="O127" i="2" a="1"/>
  <c r="P126" i="2" a="1"/>
  <c r="O126" i="2" a="1"/>
  <c r="P129" i="2" a="1"/>
  <c r="O129" i="2" a="1"/>
  <c r="P128" i="2" a="1"/>
  <c r="O128" i="2" a="1"/>
  <c r="W126" i="2" l="1"/>
  <c r="Q127" i="2"/>
  <c r="W127" i="2"/>
  <c r="Q126" i="2"/>
  <c r="Q128" i="2"/>
  <c r="W128" i="2"/>
  <c r="Q129" i="2"/>
  <c r="W129" i="2"/>
  <c r="AA127" i="2" l="1"/>
  <c r="AB127" i="2" s="1"/>
  <c r="AA126" i="2"/>
  <c r="AB126" i="2" s="1"/>
  <c r="AA128" i="2"/>
  <c r="AB128" i="2" s="1"/>
  <c r="AA129" i="2"/>
  <c r="AB129" i="2" s="1"/>
  <c r="O131" i="2" l="1" a="1"/>
  <c r="O130" i="2" a="1"/>
  <c r="P131" i="2" a="1"/>
  <c r="P130" i="2" a="1"/>
  <c r="P132" i="2" a="1"/>
  <c r="O133" i="2" a="1"/>
  <c r="O132" i="2" a="1"/>
  <c r="P133" i="2" a="1"/>
  <c r="Q133" i="2" s="1"/>
  <c r="W132" i="2" l="1"/>
  <c r="W130" i="2"/>
  <c r="Q131" i="2"/>
  <c r="Q132" i="2"/>
  <c r="W131" i="2"/>
  <c r="Q130" i="2"/>
  <c r="W133" i="2"/>
  <c r="AA133" i="2" s="1"/>
  <c r="AB133" i="2" s="1"/>
  <c r="O135" i="2" a="1"/>
  <c r="P135" i="2" a="1"/>
  <c r="P134" i="2" a="1"/>
  <c r="O134" i="2" a="1"/>
  <c r="AA132" i="2" l="1"/>
  <c r="AB132" i="2" s="1"/>
  <c r="AA131" i="2"/>
  <c r="AB131" i="2" s="1"/>
  <c r="AA130" i="2"/>
  <c r="AB130" i="2" s="1"/>
  <c r="Q135" i="2"/>
  <c r="W134" i="2"/>
  <c r="W135" i="2"/>
  <c r="Q134" i="2"/>
  <c r="O138" i="2" a="1"/>
  <c r="P139" i="2" a="1"/>
  <c r="P138" i="2" a="1"/>
  <c r="O139" i="2" a="1"/>
  <c r="AA135" i="2" l="1"/>
  <c r="AB135" i="2" s="1"/>
  <c r="AA134" i="2"/>
  <c r="AB134" i="2" s="1"/>
  <c r="P137" i="2" a="1"/>
  <c r="O136" i="2" a="1"/>
  <c r="P136" i="2" a="1"/>
  <c r="O137" i="2" a="1"/>
  <c r="Q138" i="2"/>
  <c r="W139" i="2"/>
  <c r="W138" i="2"/>
  <c r="Q139" i="2"/>
  <c r="Q137" i="2" l="1"/>
  <c r="W136" i="2"/>
  <c r="Q136" i="2"/>
  <c r="W137" i="2"/>
  <c r="P142" i="2" a="1"/>
  <c r="P143" i="2" a="1"/>
  <c r="O143" i="2" a="1"/>
  <c r="O142" i="2" a="1"/>
  <c r="AA139" i="2"/>
  <c r="AB139" i="2" s="1"/>
  <c r="AA138" i="2"/>
  <c r="AB138" i="2" s="1"/>
  <c r="O145" i="2" a="1"/>
  <c r="P144" i="2" a="1"/>
  <c r="P145" i="2" a="1"/>
  <c r="O144" i="2" a="1"/>
  <c r="P140" i="2" l="1" a="1"/>
  <c r="P141" i="2" a="1"/>
  <c r="O140" i="2" a="1"/>
  <c r="O141" i="2" a="1"/>
  <c r="AA137" i="2"/>
  <c r="AB137" i="2" s="1"/>
  <c r="W143" i="2"/>
  <c r="AA136" i="2"/>
  <c r="AB136" i="2" s="1"/>
  <c r="W142" i="2"/>
  <c r="Q142" i="2"/>
  <c r="Q143" i="2"/>
  <c r="W145" i="2"/>
  <c r="Q144" i="2"/>
  <c r="Q145" i="2"/>
  <c r="W144" i="2"/>
  <c r="W140" i="2" l="1"/>
  <c r="Q141" i="2"/>
  <c r="Q140" i="2"/>
  <c r="W141" i="2"/>
  <c r="AA143" i="2"/>
  <c r="AB143" i="2" s="1"/>
  <c r="AA142" i="2"/>
  <c r="AB142" i="2" s="1"/>
  <c r="AA145" i="2"/>
  <c r="AB145" i="2" s="1"/>
  <c r="AA144" i="2"/>
  <c r="AB144" i="2" s="1"/>
  <c r="O147" i="2" a="1"/>
  <c r="P147" i="2" a="1"/>
  <c r="O146" i="2" a="1"/>
  <c r="P146" i="2" a="1"/>
  <c r="AA140" i="2" l="1"/>
  <c r="AB140" i="2" s="1"/>
  <c r="AA141" i="2"/>
  <c r="AB141" i="2" s="1"/>
  <c r="Q146" i="2"/>
  <c r="W147" i="2"/>
  <c r="W146" i="2"/>
  <c r="Q147" i="2"/>
  <c r="AA146" i="2" l="1"/>
  <c r="AB146" i="2" s="1"/>
  <c r="AA147" i="2"/>
  <c r="AB147" i="2" s="1"/>
  <c r="O148" i="2" l="1" a="1"/>
  <c r="P148" i="2" a="1"/>
  <c r="P149" i="2" a="1"/>
  <c r="O151" i="2" a="1"/>
  <c r="O149" i="2" a="1"/>
  <c r="P150" i="2" a="1"/>
  <c r="O150" i="2" a="1"/>
  <c r="P151" i="2" a="1"/>
  <c r="W150" i="2" l="1"/>
  <c r="W148" i="2"/>
  <c r="Q149" i="2"/>
  <c r="W151" i="2"/>
  <c r="Q148" i="2"/>
  <c r="W149" i="2"/>
  <c r="Q150" i="2"/>
  <c r="AA150" i="2" s="1"/>
  <c r="AB150" i="2" s="1"/>
  <c r="Q151" i="2"/>
  <c r="AA151" i="2" l="1"/>
  <c r="AB151" i="2" s="1"/>
  <c r="AA149" i="2"/>
  <c r="AB149" i="2" s="1"/>
  <c r="AA148" i="2"/>
  <c r="AB148" i="2" s="1"/>
  <c r="P154" i="2" a="1"/>
  <c r="O155" i="2" a="1"/>
  <c r="O154" i="2" a="1"/>
  <c r="P155" i="2" a="1"/>
  <c r="P153" i="2" l="1" a="1"/>
  <c r="O153" i="2" a="1"/>
  <c r="W153" i="2" s="1"/>
  <c r="O152" i="2" a="1"/>
  <c r="P152" i="2" a="1"/>
  <c r="P156" i="2" a="1"/>
  <c r="O157" i="2" a="1"/>
  <c r="P157" i="2" a="1"/>
  <c r="O156" i="2" a="1"/>
  <c r="Q155" i="2"/>
  <c r="Q154" i="2"/>
  <c r="W154" i="2"/>
  <c r="W155" i="2"/>
  <c r="W152" i="2" l="1"/>
  <c r="Q153" i="2"/>
  <c r="AA153" i="2" s="1"/>
  <c r="AB153" i="2" s="1"/>
  <c r="Q152" i="2"/>
  <c r="Q156" i="2"/>
  <c r="W156" i="2"/>
  <c r="AA156" i="2" s="1"/>
  <c r="AB156" i="2" s="1"/>
  <c r="AA154" i="2"/>
  <c r="AB154" i="2" s="1"/>
  <c r="W157" i="2"/>
  <c r="Q157" i="2"/>
  <c r="AA155" i="2"/>
  <c r="AB155" i="2" s="1"/>
  <c r="P158" i="2" a="1"/>
  <c r="P159" i="2" a="1"/>
  <c r="O158" i="2" a="1"/>
  <c r="O159" i="2" a="1"/>
  <c r="AA152" i="2" l="1"/>
  <c r="AB152" i="2" s="1"/>
  <c r="AA157" i="2"/>
  <c r="AB157" i="2" s="1"/>
  <c r="W159" i="2"/>
  <c r="W158" i="2"/>
  <c r="Q158" i="2"/>
  <c r="Q159" i="2"/>
  <c r="AA159" i="2" l="1"/>
  <c r="AB159" i="2" s="1"/>
  <c r="AA158" i="2"/>
  <c r="AB158" i="2" s="1"/>
  <c r="O160" i="2" l="1" a="1"/>
  <c r="P161" i="2" a="1"/>
  <c r="P160" i="2" a="1"/>
  <c r="O161" i="2" a="1"/>
  <c r="Q160" i="2" l="1"/>
  <c r="W161" i="2"/>
  <c r="W160" i="2"/>
  <c r="Q161" i="2"/>
  <c r="AA160" i="2" l="1"/>
  <c r="AB160" i="2" s="1"/>
  <c r="AA161" i="2"/>
  <c r="AB161" i="2" s="1"/>
  <c r="O162" i="2" l="1" a="1"/>
  <c r="P163" i="2" a="1"/>
  <c r="P162" i="2" a="1"/>
  <c r="Q162" i="2" s="1"/>
  <c r="O163" i="2" a="1"/>
  <c r="O165" i="2" a="1"/>
  <c r="O164" i="2" a="1"/>
  <c r="P165" i="2" a="1"/>
  <c r="P164" i="2" a="1"/>
  <c r="P167" i="2" a="1"/>
  <c r="P166" i="2" a="1"/>
  <c r="O166" i="2" a="1"/>
  <c r="O167" i="2" a="1"/>
  <c r="W163" i="2" l="1"/>
  <c r="W162" i="2"/>
  <c r="AA162" i="2" s="1"/>
  <c r="AB162" i="2" s="1"/>
  <c r="Q163" i="2"/>
  <c r="W164" i="2"/>
  <c r="Q165" i="2"/>
  <c r="Q167" i="2"/>
  <c r="W166" i="2"/>
  <c r="W165" i="2"/>
  <c r="Q164" i="2"/>
  <c r="Q166" i="2"/>
  <c r="W167" i="2"/>
  <c r="O169" i="2" a="1"/>
  <c r="O168" i="2" a="1"/>
  <c r="P168" i="2" a="1"/>
  <c r="P169" i="2" a="1"/>
  <c r="AA163" i="2" l="1"/>
  <c r="AB163" i="2" s="1"/>
  <c r="AA165" i="2"/>
  <c r="AB165" i="2" s="1"/>
  <c r="AA164" i="2"/>
  <c r="AB164" i="2" s="1"/>
  <c r="AA167" i="2"/>
  <c r="AB167" i="2" s="1"/>
  <c r="AA166" i="2"/>
  <c r="AB166" i="2" s="1"/>
  <c r="Q169" i="2"/>
  <c r="Q168" i="2"/>
  <c r="W169" i="2"/>
  <c r="W168" i="2"/>
  <c r="AA169" i="2" l="1"/>
  <c r="AB169" i="2" s="1"/>
  <c r="AA168" i="2"/>
  <c r="AB168" i="2" s="1"/>
  <c r="O173" i="2" a="1"/>
  <c r="P173" i="2" a="1"/>
  <c r="P172" i="2" a="1"/>
  <c r="O172" i="2" a="1"/>
  <c r="O170" i="2" l="1" a="1"/>
  <c r="O171" i="2" a="1"/>
  <c r="P171" i="2" a="1"/>
  <c r="P170" i="2" a="1"/>
  <c r="W172" i="2"/>
  <c r="Q173" i="2"/>
  <c r="W173" i="2"/>
  <c r="Q172" i="2"/>
  <c r="Q170" i="2" l="1"/>
  <c r="W171" i="2"/>
  <c r="Q171" i="2"/>
  <c r="W170" i="2"/>
  <c r="AA173" i="2"/>
  <c r="AB173" i="2" s="1"/>
  <c r="AA172" i="2"/>
  <c r="AB172" i="2" s="1"/>
  <c r="AA171" i="2" l="1"/>
  <c r="AB171" i="2" s="1"/>
  <c r="AA170" i="2"/>
  <c r="AB170" i="2" s="1"/>
  <c r="P175" i="2" a="1"/>
  <c r="O174" i="2" a="1"/>
  <c r="P174" i="2" a="1"/>
  <c r="O175" i="2" a="1"/>
  <c r="Q175" i="2" l="1"/>
  <c r="W174" i="2"/>
  <c r="Q174" i="2"/>
  <c r="W175" i="2"/>
  <c r="AA174" i="2" l="1"/>
  <c r="AB174" i="2" s="1"/>
  <c r="AA175" i="2"/>
  <c r="AB175" i="2" s="1"/>
  <c r="P178" i="2" a="1"/>
  <c r="P179" i="2" a="1"/>
  <c r="O179" i="2" a="1"/>
  <c r="O178" i="2" a="1"/>
  <c r="O177" i="2" l="1" a="1"/>
  <c r="P177" i="2" a="1"/>
  <c r="O176" i="2" a="1"/>
  <c r="P176" i="2" a="1"/>
  <c r="Q179" i="2"/>
  <c r="W178" i="2"/>
  <c r="Q178" i="2"/>
  <c r="W179" i="2"/>
  <c r="W177" i="2" l="1"/>
  <c r="Q176" i="2"/>
  <c r="Q177" i="2"/>
  <c r="W176" i="2"/>
  <c r="AA179" i="2"/>
  <c r="AB179" i="2" s="1"/>
  <c r="AA178" i="2"/>
  <c r="AB178" i="2" s="1"/>
  <c r="AA176" i="2" l="1"/>
  <c r="AB176" i="2" s="1"/>
  <c r="AA177" i="2"/>
  <c r="AB177" i="2" s="1"/>
  <c r="P181" i="2" a="1"/>
  <c r="P180" i="2" a="1"/>
  <c r="O181" i="2" a="1"/>
  <c r="O180" i="2" a="1"/>
  <c r="O182" i="2" a="1"/>
  <c r="P182" i="2" a="1"/>
  <c r="O183" i="2" a="1"/>
  <c r="P183" i="2" a="1"/>
  <c r="W181" i="2" l="1"/>
  <c r="W180" i="2"/>
  <c r="W183" i="2"/>
  <c r="W182" i="2"/>
  <c r="Q180" i="2"/>
  <c r="Q182" i="2"/>
  <c r="Q183" i="2"/>
  <c r="Q181" i="2"/>
  <c r="P185" i="2" a="1"/>
  <c r="O184" i="2" a="1"/>
  <c r="P184" i="2" a="1"/>
  <c r="O185" i="2" a="1"/>
  <c r="P187" i="2" a="1"/>
  <c r="O186" i="2" a="1"/>
  <c r="P186" i="2" a="1"/>
  <c r="O187" i="2" a="1"/>
  <c r="AA180" i="2" l="1"/>
  <c r="AB180" i="2" s="1"/>
  <c r="AA181" i="2"/>
  <c r="AB181" i="2" s="1"/>
  <c r="AA183" i="2"/>
  <c r="AB183" i="2" s="1"/>
  <c r="AA182" i="2"/>
  <c r="AB182" i="2" s="1"/>
  <c r="W186" i="2"/>
  <c r="Q185" i="2"/>
  <c r="Q187" i="2"/>
  <c r="Q184" i="2"/>
  <c r="W184" i="2"/>
  <c r="W185" i="2"/>
  <c r="Q186" i="2"/>
  <c r="W187" i="2"/>
  <c r="AA186" i="2" l="1"/>
  <c r="AB186" i="2" s="1"/>
  <c r="AA185" i="2"/>
  <c r="AB185" i="2" s="1"/>
  <c r="AA187" i="2"/>
  <c r="AB187" i="2" s="1"/>
  <c r="AA184" i="2"/>
  <c r="AB184" i="2" s="1"/>
  <c r="O188" i="2" a="1"/>
  <c r="O189" i="2" a="1"/>
  <c r="P188" i="2" a="1"/>
  <c r="P189" i="2" a="1"/>
  <c r="Q188" i="2" l="1"/>
  <c r="W189" i="2"/>
  <c r="W188" i="2"/>
  <c r="Q189" i="2"/>
  <c r="AA188" i="2" l="1"/>
  <c r="AB188" i="2" s="1"/>
  <c r="AA189" i="2"/>
  <c r="AB189" i="2" s="1"/>
  <c r="P191" i="2" l="1" a="1"/>
  <c r="O191" i="2" a="1"/>
  <c r="W191" i="2" s="1"/>
  <c r="O190" i="2" a="1"/>
  <c r="P190" i="2" a="1"/>
  <c r="P197" i="2" a="1"/>
  <c r="P192" i="2" a="1"/>
  <c r="O194" i="2" a="1"/>
  <c r="P193" i="2" a="1"/>
  <c r="P196" i="2" a="1"/>
  <c r="O195" i="2" a="1"/>
  <c r="O192" i="2" a="1"/>
  <c r="O197" i="2" a="1"/>
  <c r="O193" i="2" a="1"/>
  <c r="P194" i="2" a="1"/>
  <c r="O196" i="2" a="1"/>
  <c r="P195" i="2" a="1"/>
  <c r="Q190" i="2" l="1"/>
  <c r="Q192" i="2"/>
  <c r="W194" i="2"/>
  <c r="W195" i="2"/>
  <c r="W197" i="2"/>
  <c r="Q196" i="2"/>
  <c r="W193" i="2"/>
  <c r="Q191" i="2"/>
  <c r="AA191" i="2" s="1"/>
  <c r="AB191" i="2" s="1"/>
  <c r="W190" i="2"/>
  <c r="Q197" i="2"/>
  <c r="Q193" i="2"/>
  <c r="W192" i="2"/>
  <c r="Q194" i="2"/>
  <c r="W196" i="2"/>
  <c r="Q195" i="2"/>
  <c r="P198" i="2" a="1"/>
  <c r="O198" i="2" a="1"/>
  <c r="O199" i="2" a="1"/>
  <c r="P199" i="2" a="1"/>
  <c r="AA193" i="2" l="1"/>
  <c r="AB193" i="2" s="1"/>
  <c r="AA190" i="2"/>
  <c r="AB190" i="2" s="1"/>
  <c r="AA192" i="2"/>
  <c r="AB192" i="2" s="1"/>
  <c r="AA197" i="2"/>
  <c r="AB197" i="2" s="1"/>
  <c r="AA194" i="2"/>
  <c r="AB194" i="2" s="1"/>
  <c r="AA196" i="2"/>
  <c r="AB196" i="2" s="1"/>
  <c r="AA195" i="2"/>
  <c r="AB195" i="2" s="1"/>
  <c r="W199" i="2"/>
  <c r="W198" i="2"/>
  <c r="Q199" i="2"/>
  <c r="Q198" i="2"/>
  <c r="AA199" i="2" l="1"/>
  <c r="AB199" i="2" s="1"/>
  <c r="AA198" i="2"/>
  <c r="AB198" i="2" s="1"/>
  <c r="P203" i="2" a="1"/>
  <c r="O203" i="2" a="1"/>
  <c r="P202" i="2" a="1"/>
  <c r="O202" i="2" a="1"/>
  <c r="P200" i="2" l="1" a="1"/>
  <c r="O200" i="2" a="1"/>
  <c r="W200" i="2" s="1"/>
  <c r="P201" i="2" a="1"/>
  <c r="O201" i="2" a="1"/>
  <c r="W201" i="2" s="1"/>
  <c r="Q203" i="2"/>
  <c r="W202" i="2"/>
  <c r="P206" i="2" a="1"/>
  <c r="P204" i="2" a="1"/>
  <c r="O206" i="2" a="1"/>
  <c r="P207" i="2" a="1"/>
  <c r="O204" i="2" a="1"/>
  <c r="O207" i="2" a="1"/>
  <c r="P205" i="2" a="1"/>
  <c r="O205" i="2" a="1"/>
  <c r="Q202" i="2"/>
  <c r="AA202" i="2" s="1"/>
  <c r="AB202" i="2" s="1"/>
  <c r="W203" i="2"/>
  <c r="Q200" i="2" l="1"/>
  <c r="AA200" i="2" s="1"/>
  <c r="AB200" i="2" s="1"/>
  <c r="Q201" i="2"/>
  <c r="AA201" i="2" s="1"/>
  <c r="AB201" i="2" s="1"/>
  <c r="AA203" i="2"/>
  <c r="AB203" i="2" s="1"/>
  <c r="W206" i="2"/>
  <c r="W205" i="2"/>
  <c r="Q207" i="2"/>
  <c r="W204" i="2"/>
  <c r="W207" i="2"/>
  <c r="Q205" i="2"/>
  <c r="Q204" i="2"/>
  <c r="Q206" i="2"/>
  <c r="AA205" i="2" l="1"/>
  <c r="AB205" i="2" s="1"/>
  <c r="AA206" i="2"/>
  <c r="AB206" i="2" s="1"/>
  <c r="AA207" i="2"/>
  <c r="AB207" i="2" s="1"/>
  <c r="AA204" i="2"/>
  <c r="AB204" i="2" s="1"/>
  <c r="O208" i="2" l="1" a="1"/>
  <c r="P208" i="2" a="1"/>
  <c r="O209" i="2" a="1"/>
  <c r="P209" i="2" a="1"/>
  <c r="W209" i="2" l="1"/>
  <c r="Q208" i="2"/>
  <c r="W208" i="2"/>
  <c r="Q209" i="2"/>
  <c r="O211" i="2" a="1"/>
  <c r="O210" i="2" a="1"/>
  <c r="P211" i="2" a="1"/>
  <c r="P210" i="2" a="1"/>
  <c r="AA209" i="2" l="1"/>
  <c r="AB209" i="2" s="1"/>
  <c r="AA208" i="2"/>
  <c r="AB208" i="2" s="1"/>
  <c r="W210" i="2"/>
  <c r="W211" i="2"/>
  <c r="Q211" i="2"/>
  <c r="AA211" i="2" s="1"/>
  <c r="AB211" i="2" s="1"/>
  <c r="Q210" i="2"/>
  <c r="AA210" i="2" l="1"/>
  <c r="AB210" i="2" s="1"/>
  <c r="P214" i="2" a="1"/>
  <c r="O214" i="2" a="1"/>
  <c r="O215" i="2" a="1"/>
  <c r="P215" i="2" a="1"/>
  <c r="P213" i="2" a="1"/>
  <c r="O213" i="2" a="1"/>
  <c r="P212" i="2" a="1"/>
  <c r="O212" i="2" a="1"/>
  <c r="O216" i="2" a="1"/>
  <c r="P216" i="2" a="1"/>
  <c r="P217" i="2" a="1"/>
  <c r="O217" i="2" a="1"/>
  <c r="W214" i="2" l="1"/>
  <c r="W213" i="2"/>
  <c r="Q215" i="2"/>
  <c r="Q212" i="2"/>
  <c r="Q214" i="2"/>
  <c r="W215" i="2"/>
  <c r="Q213" i="2"/>
  <c r="W212" i="2"/>
  <c r="W216" i="2"/>
  <c r="W217" i="2"/>
  <c r="Q216" i="2"/>
  <c r="Q217" i="2"/>
  <c r="AA214" i="2" l="1"/>
  <c r="AB214" i="2" s="1"/>
  <c r="AA213" i="2"/>
  <c r="AB213" i="2" s="1"/>
  <c r="AA215" i="2"/>
  <c r="AB215" i="2" s="1"/>
  <c r="AA212" i="2"/>
  <c r="AB212" i="2" s="1"/>
  <c r="AA216" i="2"/>
  <c r="AB216" i="2" s="1"/>
  <c r="AA217" i="2"/>
  <c r="AB217" i="2" s="1"/>
  <c r="O219" i="2" l="1" a="1"/>
  <c r="P219" i="2" a="1"/>
  <c r="P218" i="2" a="1"/>
  <c r="O218" i="2" a="1"/>
  <c r="W218" i="2" l="1"/>
  <c r="W219" i="2"/>
  <c r="Q219" i="2"/>
  <c r="Q218" i="2"/>
  <c r="AA219" i="2" l="1"/>
  <c r="AB219" i="2" s="1"/>
  <c r="AA218" i="2"/>
  <c r="AB218" i="2" s="1"/>
  <c r="P221" i="2" a="1"/>
  <c r="O220" i="2" a="1"/>
  <c r="P220" i="2" a="1"/>
  <c r="O221" i="2" a="1"/>
  <c r="O223" i="2" a="1"/>
  <c r="O222" i="2" a="1"/>
  <c r="P223" i="2" a="1"/>
  <c r="P222" i="2" a="1"/>
  <c r="W221" i="2" l="1"/>
  <c r="W220" i="2"/>
  <c r="Q221" i="2"/>
  <c r="Q220" i="2"/>
  <c r="Q223" i="2"/>
  <c r="Q222" i="2"/>
  <c r="W223" i="2"/>
  <c r="W222" i="2"/>
  <c r="AA221" i="2" l="1"/>
  <c r="AB221" i="2" s="1"/>
  <c r="AA220" i="2"/>
  <c r="AB220" i="2" s="1"/>
  <c r="AA223" i="2"/>
  <c r="AB223" i="2" s="1"/>
  <c r="AA222" i="2"/>
  <c r="AB222" i="2" s="1"/>
  <c r="O224" i="2" a="1"/>
  <c r="O225" i="2" a="1"/>
  <c r="P224" i="2" a="1"/>
  <c r="P225" i="2" a="1"/>
  <c r="Q225" i="2" l="1"/>
  <c r="W224" i="2"/>
  <c r="W225" i="2"/>
  <c r="Q224" i="2"/>
  <c r="AA225" i="2" l="1"/>
  <c r="AB225" i="2" s="1"/>
  <c r="AA224" i="2"/>
  <c r="AB224" i="2" s="1"/>
  <c r="O227" i="2" l="1" a="1"/>
  <c r="W227" i="2" s="1"/>
  <c r="O226" i="2" a="1"/>
  <c r="P226" i="2" a="1"/>
  <c r="P227" i="2" a="1"/>
  <c r="O229" i="2" a="1"/>
  <c r="P228" i="2" a="1"/>
  <c r="P229" i="2" a="1"/>
  <c r="O228" i="2" a="1"/>
  <c r="W226" i="2" l="1"/>
  <c r="Q227" i="2"/>
  <c r="AA227" i="2" s="1"/>
  <c r="AB227" i="2" s="1"/>
  <c r="Q226" i="2"/>
  <c r="W229" i="2"/>
  <c r="W228" i="2"/>
  <c r="Q228" i="2"/>
  <c r="Q229" i="2"/>
  <c r="AA226" i="2" l="1"/>
  <c r="AB226" i="2" s="1"/>
  <c r="AA228" i="2"/>
  <c r="AB228" i="2" s="1"/>
  <c r="AA229" i="2"/>
  <c r="AB229" i="2" s="1"/>
  <c r="P230" i="2" a="1"/>
  <c r="O231" i="2" a="1"/>
  <c r="O230" i="2" a="1"/>
  <c r="P231" i="2" a="1"/>
  <c r="W230" i="2" l="1"/>
  <c r="Q231" i="2"/>
  <c r="Q230" i="2"/>
  <c r="W231" i="2"/>
  <c r="AA230" i="2" l="1"/>
  <c r="AB230" i="2" s="1"/>
  <c r="AA231" i="2"/>
  <c r="AB231" i="2" s="1"/>
  <c r="P235" i="2" a="1"/>
  <c r="P234" i="2" a="1"/>
  <c r="O237" i="2" a="1"/>
  <c r="P236" i="2" a="1"/>
  <c r="O236" i="2" a="1"/>
  <c r="O234" i="2" a="1"/>
  <c r="O235" i="2" a="1"/>
  <c r="P237" i="2" a="1"/>
  <c r="O232" i="2" l="1" a="1"/>
  <c r="P232" i="2" a="1"/>
  <c r="P233" i="2" a="1"/>
  <c r="O233" i="2" a="1"/>
  <c r="W236" i="2"/>
  <c r="W234" i="2"/>
  <c r="W235" i="2"/>
  <c r="Q237" i="2"/>
  <c r="Q235" i="2"/>
  <c r="Q234" i="2"/>
  <c r="W237" i="2"/>
  <c r="Q236" i="2"/>
  <c r="Q233" i="2" l="1"/>
  <c r="W232" i="2"/>
  <c r="Q232" i="2"/>
  <c r="AA232" i="2" s="1"/>
  <c r="AB232" i="2" s="1"/>
  <c r="W233" i="2"/>
  <c r="AA237" i="2"/>
  <c r="AB237" i="2" s="1"/>
  <c r="AA234" i="2"/>
  <c r="AB234" i="2" s="1"/>
  <c r="AA236" i="2"/>
  <c r="AB236" i="2" s="1"/>
  <c r="AA235" i="2"/>
  <c r="AB235" i="2" s="1"/>
  <c r="AA233" i="2" l="1"/>
  <c r="AB233" i="2" s="1"/>
  <c r="O240" i="2" a="1"/>
  <c r="P238" i="2" a="1"/>
  <c r="P240" i="2" a="1"/>
  <c r="P241" i="2" a="1"/>
  <c r="Q241" i="2" s="1"/>
  <c r="O241" i="2" a="1"/>
  <c r="O239" i="2" a="1"/>
  <c r="P239" i="2" a="1"/>
  <c r="O238" i="2" a="1"/>
  <c r="P242" i="2" a="1"/>
  <c r="Q242" i="2" s="1"/>
  <c r="O242" i="2" a="1"/>
  <c r="O243" i="2" a="1"/>
  <c r="P243" i="2" a="1"/>
  <c r="W239" i="2" l="1"/>
  <c r="Q240" i="2"/>
  <c r="Q238" i="2"/>
  <c r="W243" i="2"/>
  <c r="W240" i="2"/>
  <c r="Q239" i="2"/>
  <c r="W238" i="2"/>
  <c r="W242" i="2"/>
  <c r="AA242" i="2" s="1"/>
  <c r="AB242" i="2" s="1"/>
  <c r="Q243" i="2"/>
  <c r="W241" i="2"/>
  <c r="AA241" i="2" s="1"/>
  <c r="AB241" i="2" s="1"/>
  <c r="O244" i="2" a="1"/>
  <c r="P245" i="2" a="1"/>
  <c r="P244" i="2" a="1"/>
  <c r="O245" i="2" a="1"/>
  <c r="W245" i="2" s="1"/>
  <c r="AA239" i="2" l="1"/>
  <c r="AB239" i="2" s="1"/>
  <c r="AA238" i="2"/>
  <c r="AB238" i="2" s="1"/>
  <c r="Q244" i="2"/>
  <c r="AA240" i="2"/>
  <c r="AB240" i="2" s="1"/>
  <c r="AA243" i="2"/>
  <c r="AB243" i="2" s="1"/>
  <c r="Q245" i="2"/>
  <c r="AA245" i="2" s="1"/>
  <c r="AB245" i="2" s="1"/>
  <c r="W244" i="2"/>
  <c r="P250" i="2" a="1"/>
  <c r="O251" i="2" a="1"/>
  <c r="O248" i="2" a="1"/>
  <c r="P249" i="2" a="1"/>
  <c r="O249" i="2" a="1"/>
  <c r="P248" i="2" a="1"/>
  <c r="P246" i="2" a="1"/>
  <c r="P247" i="2" a="1"/>
  <c r="O246" i="2" a="1"/>
  <c r="O247" i="2" a="1"/>
  <c r="AA244" i="2"/>
  <c r="AB244" i="2" s="1"/>
  <c r="O253" i="2" a="1"/>
  <c r="P253" i="2" a="1"/>
  <c r="P252" i="2" a="1"/>
  <c r="O252" i="2" a="1"/>
  <c r="Q247" i="2" l="1"/>
  <c r="O250" i="2" a="1"/>
  <c r="P251" i="2" a="1"/>
  <c r="W249" i="2"/>
  <c r="Q248" i="2"/>
  <c r="Q246" i="2"/>
  <c r="W248" i="2"/>
  <c r="Q249" i="2"/>
  <c r="W246" i="2"/>
  <c r="W247" i="2"/>
  <c r="AA247" i="2" s="1"/>
  <c r="AB247" i="2" s="1"/>
  <c r="W252" i="2"/>
  <c r="Q253" i="2"/>
  <c r="W253" i="2"/>
  <c r="Q252" i="2"/>
  <c r="W250" i="2" l="1"/>
  <c r="Q250" i="2"/>
  <c r="AA249" i="2"/>
  <c r="AB249" i="2" s="1"/>
  <c r="Q251" i="2"/>
  <c r="W251" i="2"/>
  <c r="AA253" i="2"/>
  <c r="AB253" i="2" s="1"/>
  <c r="AA248" i="2"/>
  <c r="AB248" i="2" s="1"/>
  <c r="AA246" i="2"/>
  <c r="AB246" i="2" s="1"/>
  <c r="AA252" i="2"/>
  <c r="AB252" i="2" s="1"/>
  <c r="AA251" i="2" l="1"/>
  <c r="AB251" i="2" s="1"/>
  <c r="AA250" i="2"/>
  <c r="AB250" i="2" s="1"/>
  <c r="O255" i="2" a="1"/>
  <c r="W255" i="2" s="1"/>
  <c r="P254" i="2" a="1"/>
  <c r="P255" i="2" a="1"/>
  <c r="O254" i="2" a="1"/>
  <c r="Q254" i="2" l="1"/>
  <c r="Q255" i="2"/>
  <c r="AA255" i="2" s="1"/>
  <c r="AB255" i="2" s="1"/>
  <c r="W254" i="2"/>
  <c r="AA254" i="2" l="1"/>
  <c r="AB254" i="2" s="1"/>
  <c r="O256" i="2" a="1"/>
  <c r="P257" i="2" a="1"/>
  <c r="P256" i="2" a="1"/>
  <c r="O257" i="2" a="1"/>
  <c r="Q257" i="2" l="1"/>
  <c r="Q256" i="2"/>
  <c r="W257" i="2"/>
  <c r="W256" i="2"/>
  <c r="O258" i="2" a="1"/>
  <c r="P258" i="2" a="1"/>
  <c r="P260" i="2" a="1"/>
  <c r="O259" i="2" a="1"/>
  <c r="P259" i="2" a="1"/>
  <c r="O260" i="2" a="1"/>
  <c r="O261" i="2" a="1"/>
  <c r="P261" i="2" a="1"/>
  <c r="P263" i="2" a="1"/>
  <c r="O263" i="2" a="1"/>
  <c r="O262" i="2" a="1"/>
  <c r="P262" i="2" a="1"/>
  <c r="AA257" i="2" l="1"/>
  <c r="AB257" i="2" s="1"/>
  <c r="AA256" i="2"/>
  <c r="AB256" i="2" s="1"/>
  <c r="Q260" i="2"/>
  <c r="Q259" i="2"/>
  <c r="W258" i="2"/>
  <c r="Q261" i="2"/>
  <c r="Q258" i="2"/>
  <c r="W259" i="2"/>
  <c r="W260" i="2"/>
  <c r="AA260" i="2" s="1"/>
  <c r="AB260" i="2" s="1"/>
  <c r="W261" i="2"/>
  <c r="Q263" i="2"/>
  <c r="W262" i="2"/>
  <c r="Q262" i="2"/>
  <c r="W263" i="2"/>
  <c r="AA258" i="2" l="1"/>
  <c r="AB258" i="2" s="1"/>
  <c r="AA259" i="2"/>
  <c r="AB259" i="2" s="1"/>
  <c r="AA262" i="2"/>
  <c r="AB262" i="2" s="1"/>
  <c r="AA261" i="2"/>
  <c r="AB261" i="2" s="1"/>
  <c r="AA263" i="2"/>
  <c r="AB263" i="2" s="1"/>
  <c r="P265" i="2" a="1"/>
  <c r="O264" i="2" a="1"/>
  <c r="O265" i="2" a="1"/>
  <c r="P264" i="2" a="1"/>
  <c r="W265" i="2" l="1"/>
  <c r="W264" i="2"/>
  <c r="Q265" i="2"/>
  <c r="Q264" i="2"/>
  <c r="AA265" i="2" l="1"/>
  <c r="AB265" i="2" s="1"/>
  <c r="AA264" i="2"/>
  <c r="AB264" i="2" s="1"/>
  <c r="O266" i="2" l="1" a="1"/>
  <c r="P267" i="2" a="1"/>
  <c r="O267" i="2" a="1"/>
  <c r="P266" i="2" a="1"/>
  <c r="P269" i="2" a="1"/>
  <c r="O268" i="2" a="1"/>
  <c r="O269" i="2" a="1"/>
  <c r="P268" i="2" a="1"/>
  <c r="W266" i="2" l="1"/>
  <c r="W267" i="2"/>
  <c r="Q266" i="2"/>
  <c r="AA266" i="2" s="1"/>
  <c r="AB266" i="2" s="1"/>
  <c r="Q267" i="2"/>
  <c r="Q268" i="2"/>
  <c r="W269" i="2"/>
  <c r="Q269" i="2"/>
  <c r="W268" i="2"/>
  <c r="AA267" i="2" l="1"/>
  <c r="AB267" i="2" s="1"/>
  <c r="AA268" i="2"/>
  <c r="AB268" i="2" s="1"/>
  <c r="AA269" i="2"/>
  <c r="AB269" i="2" s="1"/>
  <c r="O271" i="2" l="1" a="1"/>
  <c r="P271" i="2" a="1"/>
  <c r="P270" i="2" a="1"/>
  <c r="O270" i="2" a="1"/>
  <c r="P272" i="2" a="1"/>
  <c r="O273" i="2" a="1"/>
  <c r="W273" i="2" s="1"/>
  <c r="O272" i="2" a="1"/>
  <c r="P273" i="2" a="1"/>
  <c r="Q271" i="2" l="1"/>
  <c r="Q270" i="2"/>
  <c r="W272" i="2"/>
  <c r="W271" i="2"/>
  <c r="W270" i="2"/>
  <c r="Q272" i="2"/>
  <c r="AA272" i="2" s="1"/>
  <c r="AB272" i="2" s="1"/>
  <c r="O279" i="2" s="1" a="1"/>
  <c r="Q273" i="2"/>
  <c r="AA273" i="2" s="1"/>
  <c r="AB273" i="2" s="1"/>
  <c r="AA271" i="2" l="1"/>
  <c r="AB271" i="2" s="1"/>
  <c r="AA270" i="2"/>
  <c r="AB270" i="2" s="1"/>
  <c r="O276" i="2" a="1"/>
  <c r="P277" i="2" a="1"/>
  <c r="P276" i="2" a="1"/>
  <c r="O277" i="2" a="1"/>
  <c r="O274" i="2" a="1"/>
  <c r="O275" i="2" a="1"/>
  <c r="P274" i="2" a="1"/>
  <c r="O278" i="2" a="1"/>
  <c r="P279" i="2" a="1"/>
  <c r="P278" i="2" a="1"/>
  <c r="P275" i="2" a="1"/>
  <c r="Q277" i="2" l="1"/>
  <c r="Q278" i="2"/>
  <c r="Q275" i="2"/>
  <c r="Q276" i="2"/>
  <c r="W274" i="2"/>
  <c r="W279" i="2"/>
  <c r="Q279" i="2"/>
  <c r="W277" i="2"/>
  <c r="W275" i="2"/>
  <c r="Q274" i="2"/>
  <c r="W278" i="2"/>
  <c r="W276" i="2"/>
  <c r="O283" i="2" a="1"/>
  <c r="P282" i="2" a="1"/>
  <c r="O282" i="2" a="1"/>
  <c r="P283" i="2" a="1"/>
  <c r="AA277" i="2" l="1"/>
  <c r="AB277" i="2" s="1"/>
  <c r="AA278" i="2"/>
  <c r="AB278" i="2" s="1"/>
  <c r="AA275" i="2"/>
  <c r="AB275" i="2" s="1"/>
  <c r="AA276" i="2"/>
  <c r="AB276" i="2" s="1"/>
  <c r="AA279" i="2"/>
  <c r="AB279" i="2" s="1"/>
  <c r="AA274" i="2"/>
  <c r="AB274" i="2" s="1"/>
  <c r="O280" i="2" a="1"/>
  <c r="P281" i="2" a="1"/>
  <c r="O281" i="2" a="1"/>
  <c r="P280" i="2" a="1"/>
  <c r="Q282" i="2"/>
  <c r="Q283" i="2"/>
  <c r="W283" i="2"/>
  <c r="W282" i="2"/>
  <c r="W280" i="2" l="1"/>
  <c r="W281" i="2"/>
  <c r="Q281" i="2"/>
  <c r="AA281" i="2" s="1"/>
  <c r="AB281" i="2" s="1"/>
  <c r="Q280" i="2"/>
  <c r="AA282" i="2"/>
  <c r="AB282" i="2" s="1"/>
  <c r="AA283" i="2"/>
  <c r="AB283" i="2" s="1"/>
  <c r="O285" i="2" a="1"/>
  <c r="P284" i="2" a="1"/>
  <c r="O284" i="2" a="1"/>
  <c r="P285" i="2" a="1"/>
  <c r="AA280" i="2" l="1"/>
  <c r="AB280" i="2" s="1"/>
  <c r="W285" i="2"/>
  <c r="Q284" i="2"/>
  <c r="W284" i="2"/>
  <c r="Q285" i="2"/>
  <c r="AA284" i="2" l="1"/>
  <c r="AB284" i="2" s="1"/>
  <c r="AA285" i="2"/>
  <c r="AB285" i="2" s="1"/>
  <c r="P286" i="2" l="1" a="1"/>
  <c r="O287" i="2" a="1"/>
  <c r="O286" i="2" a="1"/>
  <c r="P287" i="2" a="1"/>
  <c r="O289" i="2" a="1"/>
  <c r="O288" i="2" a="1"/>
  <c r="P288" i="2" a="1"/>
  <c r="P289" i="2" a="1"/>
  <c r="W287" i="2" l="1"/>
  <c r="Q286" i="2"/>
  <c r="W289" i="2"/>
  <c r="W288" i="2"/>
  <c r="W286" i="2"/>
  <c r="Q287" i="2"/>
  <c r="Q288" i="2"/>
  <c r="Q289" i="2"/>
  <c r="AA287" i="2" l="1"/>
  <c r="AB287" i="2" s="1"/>
  <c r="AA286" i="2"/>
  <c r="AB286" i="2" s="1"/>
  <c r="AA288" i="2"/>
  <c r="AB288" i="2" s="1"/>
  <c r="AA289" i="2"/>
  <c r="AB289" i="2" s="1"/>
  <c r="P296" i="2" a="1"/>
  <c r="P294" i="2" a="1"/>
  <c r="O297" i="2" a="1"/>
  <c r="P297" i="2" a="1"/>
  <c r="O295" i="2" a="1"/>
  <c r="P295" i="2" a="1"/>
  <c r="O294" i="2" a="1"/>
  <c r="O296" i="2" a="1"/>
  <c r="W296" i="2" s="1"/>
  <c r="P292" i="2" l="1" a="1"/>
  <c r="O290" i="2" a="1"/>
  <c r="O291" i="2" a="1"/>
  <c r="O293" i="2" a="1"/>
  <c r="P290" i="2" a="1"/>
  <c r="O292" i="2" a="1"/>
  <c r="P291" i="2" a="1"/>
  <c r="P293" i="2" a="1"/>
  <c r="Q297" i="2"/>
  <c r="W295" i="2"/>
  <c r="Q294" i="2"/>
  <c r="Q296" i="2"/>
  <c r="AA296" i="2" s="1"/>
  <c r="AB296" i="2" s="1"/>
  <c r="W297" i="2"/>
  <c r="Q295" i="2"/>
  <c r="W294" i="2"/>
  <c r="Q293" i="2" l="1"/>
  <c r="W291" i="2"/>
  <c r="Q292" i="2"/>
  <c r="W290" i="2"/>
  <c r="W293" i="2"/>
  <c r="AA293" i="2" s="1"/>
  <c r="AB293" i="2" s="1"/>
  <c r="Q290" i="2"/>
  <c r="W292" i="2"/>
  <c r="Q291" i="2"/>
  <c r="AA297" i="2"/>
  <c r="AB297" i="2" s="1"/>
  <c r="AA295" i="2"/>
  <c r="AB295" i="2" s="1"/>
  <c r="AA294" i="2"/>
  <c r="AB294" i="2" s="1"/>
  <c r="AA291" i="2" l="1"/>
  <c r="AB291" i="2" s="1"/>
  <c r="O302" i="2" s="1" a="1"/>
  <c r="AA290" i="2"/>
  <c r="AB290" i="2" s="1"/>
  <c r="AA292" i="2"/>
  <c r="AB292" i="2" s="1"/>
  <c r="P299" i="2" a="1"/>
  <c r="P298" i="2" a="1"/>
  <c r="O298" i="2" a="1"/>
  <c r="O299" i="2" a="1"/>
  <c r="O301" i="2" a="1"/>
  <c r="P301" i="2" a="1"/>
  <c r="O300" i="2" a="1"/>
  <c r="P300" i="2" a="1"/>
  <c r="P303" i="2" a="1"/>
  <c r="O303" i="2" a="1"/>
  <c r="P302" i="2" a="1"/>
  <c r="W300" i="2" l="1"/>
  <c r="Q298" i="2"/>
  <c r="W301" i="2"/>
  <c r="W299" i="2"/>
  <c r="Q299" i="2"/>
  <c r="W298" i="2"/>
  <c r="Q301" i="2"/>
  <c r="Q300" i="2"/>
  <c r="Q303" i="2"/>
  <c r="W302" i="2"/>
  <c r="W303" i="2"/>
  <c r="Q302" i="2"/>
  <c r="AA300" i="2" l="1"/>
  <c r="AB300" i="2" s="1"/>
  <c r="AA298" i="2"/>
  <c r="AB298" i="2" s="1"/>
  <c r="AA299" i="2"/>
  <c r="AB299" i="2" s="1"/>
  <c r="AA301" i="2"/>
  <c r="AB301" i="2" s="1"/>
  <c r="AA303" i="2"/>
  <c r="AB303" i="2" s="1"/>
  <c r="AA302" i="2"/>
  <c r="AB302" i="2" s="1"/>
  <c r="P304" i="2" l="1" a="1"/>
  <c r="O305" i="2" a="1"/>
  <c r="P305" i="2" a="1"/>
  <c r="O304" i="2" a="1"/>
  <c r="W305" i="2" l="1"/>
  <c r="W304" i="2"/>
  <c r="Q304" i="2"/>
  <c r="Q305" i="2"/>
  <c r="AA304" i="2" l="1"/>
  <c r="AB304" i="2" s="1"/>
  <c r="AA305" i="2"/>
  <c r="AB305" i="2" s="1"/>
  <c r="P306" i="2" a="1"/>
  <c r="O307" i="2" a="1"/>
  <c r="O306" i="2" a="1"/>
  <c r="P307" i="2" a="1"/>
  <c r="W306" i="2" l="1"/>
  <c r="Q307" i="2"/>
  <c r="W307" i="2"/>
  <c r="Q306" i="2"/>
  <c r="AA307" i="2" l="1"/>
  <c r="AB307" i="2" s="1"/>
  <c r="AA306" i="2"/>
  <c r="AB306" i="2" s="1"/>
  <c r="P308" i="2" a="1"/>
  <c r="O309" i="2" a="1"/>
  <c r="P309" i="2" a="1"/>
  <c r="O308" i="2" a="1"/>
  <c r="W309" i="2" l="1"/>
  <c r="Q308" i="2"/>
  <c r="Q309" i="2"/>
  <c r="W308" i="2"/>
  <c r="AA309" i="2" l="1"/>
  <c r="AB309" i="2" s="1"/>
  <c r="AA308" i="2"/>
  <c r="AB308" i="2" s="1"/>
  <c r="P311" i="2" l="1" a="1"/>
  <c r="P312" i="2" a="1"/>
  <c r="O311" i="2" a="1"/>
  <c r="P310" i="2" a="1"/>
  <c r="O310" i="2" a="1"/>
  <c r="O313" i="2" a="1"/>
  <c r="P313" i="2" a="1"/>
  <c r="O312" i="2" a="1"/>
  <c r="Q312" i="2" l="1"/>
  <c r="W311" i="2"/>
  <c r="W310" i="2"/>
  <c r="Q313" i="2"/>
  <c r="W312" i="2"/>
  <c r="Q311" i="2"/>
  <c r="Q310" i="2"/>
  <c r="W313" i="2"/>
  <c r="AA312" i="2" l="1"/>
  <c r="AB312" i="2" s="1"/>
  <c r="AA311" i="2"/>
  <c r="AB311" i="2" s="1"/>
  <c r="AA310" i="2"/>
  <c r="AB310" i="2" s="1"/>
  <c r="AA313" i="2"/>
  <c r="AB313" i="2" s="1"/>
  <c r="P314" i="2" a="1"/>
  <c r="O315" i="2" a="1"/>
  <c r="P315" i="2" a="1"/>
  <c r="O314" i="2" a="1"/>
  <c r="Q315" i="2" l="1"/>
  <c r="Q314" i="2"/>
  <c r="W314" i="2"/>
  <c r="W315" i="2"/>
  <c r="P317" i="2" a="1"/>
  <c r="P316" i="2" a="1"/>
  <c r="O317" i="2" a="1"/>
  <c r="O316" i="2" a="1"/>
  <c r="AA314" i="2" l="1"/>
  <c r="AB314" i="2" s="1"/>
  <c r="AA315" i="2"/>
  <c r="AB315" i="2" s="1"/>
  <c r="W316" i="2"/>
  <c r="Q317" i="2"/>
  <c r="Q316" i="2"/>
  <c r="W317" i="2"/>
  <c r="AA316" i="2" l="1"/>
  <c r="AB316" i="2" s="1"/>
  <c r="AA317" i="2"/>
  <c r="AB317" i="2" s="1"/>
  <c r="O319" i="2" l="1" a="1"/>
  <c r="P318" i="2" a="1"/>
  <c r="P319" i="2" a="1"/>
  <c r="O318" i="2" a="1"/>
  <c r="O320" i="2" a="1"/>
  <c r="P320" i="2" a="1"/>
  <c r="O321" i="2" a="1"/>
  <c r="P321" i="2" a="1"/>
  <c r="W318" i="2" l="1"/>
  <c r="W319" i="2"/>
  <c r="Q320" i="2"/>
  <c r="Q321" i="2"/>
  <c r="Q318" i="2"/>
  <c r="Q319" i="2"/>
  <c r="W320" i="2"/>
  <c r="W321" i="2"/>
  <c r="AA318" i="2" l="1"/>
  <c r="AB318" i="2" s="1"/>
  <c r="AA319" i="2"/>
  <c r="AB319" i="2" s="1"/>
  <c r="AA320" i="2"/>
  <c r="AB320" i="2" s="1"/>
  <c r="AA321" i="2"/>
  <c r="AB321" i="2" s="1"/>
  <c r="O323" i="2" l="1" a="1"/>
  <c r="O322" i="2" a="1"/>
  <c r="P322" i="2" a="1"/>
  <c r="P323" i="2" a="1"/>
  <c r="O325" i="2" a="1"/>
  <c r="O324" i="2" a="1"/>
  <c r="P324" i="2" a="1"/>
  <c r="P325" i="2" a="1"/>
  <c r="P327" i="2" a="1"/>
  <c r="O327" i="2" a="1"/>
  <c r="O326" i="2" a="1"/>
  <c r="P326" i="2" a="1"/>
  <c r="Q323" i="2" l="1"/>
  <c r="Q322" i="2"/>
  <c r="W325" i="2"/>
  <c r="W324" i="2"/>
  <c r="W323" i="2"/>
  <c r="AA323" i="2" s="1"/>
  <c r="AB323" i="2" s="1"/>
  <c r="W322" i="2"/>
  <c r="Q324" i="2"/>
  <c r="Q325" i="2"/>
  <c r="Q326" i="2"/>
  <c r="Q327" i="2"/>
  <c r="W327" i="2"/>
  <c r="W326" i="2"/>
  <c r="AA324" i="2" l="1"/>
  <c r="AB324" i="2" s="1"/>
  <c r="AA325" i="2"/>
  <c r="AB325" i="2" s="1"/>
  <c r="AA322" i="2"/>
  <c r="AB322" i="2" s="1"/>
  <c r="AA326" i="2"/>
  <c r="AB326" i="2" s="1"/>
  <c r="AA327" i="2"/>
  <c r="AB327" i="2" s="1"/>
  <c r="O328" i="2" a="1"/>
  <c r="P328" i="2" a="1"/>
  <c r="O329" i="2" a="1"/>
  <c r="P329" i="2" a="1"/>
  <c r="Q328" i="2" l="1"/>
  <c r="Q329" i="2"/>
  <c r="W328" i="2"/>
  <c r="W329" i="2"/>
  <c r="AA328" i="2" l="1"/>
  <c r="AB328" i="2" s="1"/>
  <c r="AA329" i="2"/>
  <c r="AB329" i="2" s="1"/>
  <c r="O333" i="2" a="1"/>
  <c r="P332" i="2" a="1"/>
  <c r="O332" i="2" a="1"/>
  <c r="P333" i="2" a="1"/>
  <c r="P331" i="2" a="1"/>
  <c r="O330" i="2" a="1"/>
  <c r="P330" i="2" a="1"/>
  <c r="O331" i="2" a="1"/>
  <c r="Q333" i="2" l="1"/>
  <c r="W332" i="2"/>
  <c r="W330" i="2"/>
  <c r="W331" i="2"/>
  <c r="W333" i="2"/>
  <c r="Q332" i="2"/>
  <c r="Q331" i="2"/>
  <c r="Q330" i="2"/>
  <c r="P337" i="2" a="1"/>
  <c r="O336" i="2" a="1"/>
  <c r="O337" i="2" a="1"/>
  <c r="P336" i="2" a="1"/>
  <c r="AA333" i="2" l="1"/>
  <c r="AB333" i="2" s="1"/>
  <c r="AA332" i="2"/>
  <c r="AB332" i="2" s="1"/>
  <c r="AA330" i="2"/>
  <c r="AB330" i="2" s="1"/>
  <c r="AA331" i="2"/>
  <c r="AB331" i="2" s="1"/>
  <c r="O334" i="2" a="1"/>
  <c r="P334" i="2" a="1"/>
  <c r="P335" i="2" a="1"/>
  <c r="O335" i="2" a="1"/>
  <c r="Q336" i="2"/>
  <c r="W337" i="2"/>
  <c r="Q337" i="2"/>
  <c r="W336" i="2"/>
  <c r="P338" i="2" l="1" a="1"/>
  <c r="O339" i="2" a="1"/>
  <c r="Q334" i="2"/>
  <c r="W335" i="2"/>
  <c r="W334" i="2"/>
  <c r="Q335" i="2"/>
  <c r="AA336" i="2"/>
  <c r="AB336" i="2" s="1"/>
  <c r="AA337" i="2"/>
  <c r="AB337" i="2" s="1"/>
  <c r="P339" i="2" l="1" a="1"/>
  <c r="O338" i="2" a="1"/>
  <c r="AA334" i="2"/>
  <c r="AB334" i="2" s="1"/>
  <c r="AA335" i="2"/>
  <c r="AB335" i="2" s="1"/>
  <c r="W339" i="2" l="1"/>
  <c r="Q339" i="2"/>
  <c r="Q338" i="2"/>
  <c r="W338" i="2"/>
  <c r="AA338" i="2" l="1"/>
  <c r="AB338" i="2" s="1"/>
  <c r="AA339" i="2"/>
  <c r="AB339" i="2" s="1"/>
  <c r="P345" i="2" a="1"/>
  <c r="P344" i="2" a="1"/>
  <c r="O345" i="2" a="1"/>
  <c r="O344" i="2" a="1"/>
  <c r="O343" i="2" a="1"/>
  <c r="P342" i="2" a="1"/>
  <c r="O341" i="2" a="1"/>
  <c r="P340" i="2" a="1"/>
  <c r="P341" i="2" a="1"/>
  <c r="O342" i="2" a="1"/>
  <c r="O340" i="2" a="1"/>
  <c r="P343" i="2" a="1"/>
  <c r="P346" i="2" a="1"/>
  <c r="P347" i="2" a="1"/>
  <c r="O347" i="2" a="1"/>
  <c r="O346" i="2" a="1"/>
  <c r="Q341" i="2" l="1"/>
  <c r="Q344" i="2"/>
  <c r="W345" i="2"/>
  <c r="W343" i="2"/>
  <c r="W342" i="2"/>
  <c r="Q340" i="2"/>
  <c r="Q345" i="2"/>
  <c r="AA345" i="2" s="1"/>
  <c r="AB345" i="2" s="1"/>
  <c r="W344" i="2"/>
  <c r="Q342" i="2"/>
  <c r="W341" i="2"/>
  <c r="W340" i="2"/>
  <c r="Q343" i="2"/>
  <c r="Q346" i="2"/>
  <c r="W347" i="2"/>
  <c r="Q347" i="2"/>
  <c r="W346" i="2"/>
  <c r="AA344" i="2" l="1"/>
  <c r="AB344" i="2" s="1"/>
  <c r="AA341" i="2"/>
  <c r="AB341" i="2" s="1"/>
  <c r="AA342" i="2"/>
  <c r="AB342" i="2" s="1"/>
  <c r="AA340" i="2"/>
  <c r="AB340" i="2" s="1"/>
  <c r="AA343" i="2"/>
  <c r="AB343" i="2" s="1"/>
  <c r="AA346" i="2"/>
  <c r="AB346" i="2" s="1"/>
  <c r="AA347" i="2"/>
  <c r="AB347" i="2" s="1"/>
  <c r="O348" i="2" l="1" a="1"/>
  <c r="P348" i="2" a="1"/>
  <c r="O351" i="2" a="1"/>
  <c r="P349" i="2" a="1"/>
  <c r="O349" i="2" a="1"/>
  <c r="O350" i="2" a="1"/>
  <c r="P350" i="2" a="1"/>
  <c r="P351" i="2" a="1"/>
  <c r="Q349" i="2" l="1"/>
  <c r="Q350" i="2"/>
  <c r="W348" i="2"/>
  <c r="W351" i="2"/>
  <c r="Q348" i="2"/>
  <c r="W349" i="2"/>
  <c r="W350" i="2"/>
  <c r="Q351" i="2"/>
  <c r="AA351" i="2" s="1"/>
  <c r="AB351" i="2" s="1"/>
  <c r="AA349" i="2" l="1"/>
  <c r="AB349" i="2" s="1"/>
  <c r="AA348" i="2"/>
  <c r="AB348" i="2" s="1"/>
  <c r="AA350" i="2"/>
  <c r="AB350" i="2" s="1"/>
  <c r="O354" i="2" a="1"/>
  <c r="P355" i="2" a="1"/>
  <c r="P353" i="2" a="1"/>
  <c r="O352" i="2" a="1"/>
  <c r="P352" i="2" a="1"/>
  <c r="O353" i="2" a="1"/>
  <c r="P354" i="2" a="1"/>
  <c r="O355" i="2" a="1"/>
  <c r="O357" i="2" a="1"/>
  <c r="O356" i="2" a="1"/>
  <c r="W356" i="2" s="1"/>
  <c r="P356" i="2" a="1"/>
  <c r="P357" i="2" a="1"/>
  <c r="Q354" i="2" l="1"/>
  <c r="W352" i="2"/>
  <c r="W353" i="2"/>
  <c r="Q357" i="2"/>
  <c r="W354" i="2"/>
  <c r="AA354" i="2" s="1"/>
  <c r="AB354" i="2" s="1"/>
  <c r="W355" i="2"/>
  <c r="Q355" i="2"/>
  <c r="Q352" i="2"/>
  <c r="W357" i="2"/>
  <c r="Q356" i="2"/>
  <c r="AA356" i="2" s="1"/>
  <c r="AB356" i="2" s="1"/>
  <c r="Q353" i="2"/>
  <c r="O359" i="2" a="1"/>
  <c r="P359" i="2" a="1"/>
  <c r="O358" i="2" a="1"/>
  <c r="P358" i="2" a="1"/>
  <c r="P360" i="2" a="1"/>
  <c r="P361" i="2" a="1"/>
  <c r="O360" i="2" a="1"/>
  <c r="O361" i="2" a="1"/>
  <c r="AA355" i="2" l="1"/>
  <c r="AB355" i="2" s="1"/>
  <c r="AA352" i="2"/>
  <c r="AB352" i="2" s="1"/>
  <c r="AA353" i="2"/>
  <c r="AB353" i="2" s="1"/>
  <c r="AA357" i="2"/>
  <c r="AB357" i="2" s="1"/>
  <c r="Q359" i="2"/>
  <c r="Q360" i="2"/>
  <c r="W361" i="2"/>
  <c r="W358" i="2"/>
  <c r="W359" i="2"/>
  <c r="Q358" i="2"/>
  <c r="Q361" i="2"/>
  <c r="W360" i="2"/>
  <c r="AA359" i="2" l="1"/>
  <c r="AB359" i="2" s="1"/>
  <c r="AA358" i="2"/>
  <c r="AB358" i="2" s="1"/>
  <c r="AA361" i="2"/>
  <c r="AB361" i="2" s="1"/>
  <c r="AA360" i="2"/>
  <c r="AB360" i="2" s="1"/>
  <c r="P362" i="2" l="1" a="1"/>
  <c r="O363" i="2" a="1"/>
  <c r="O362" i="2" a="1"/>
  <c r="P363" i="2" a="1"/>
  <c r="O364" i="2" a="1"/>
  <c r="P365" i="2" a="1"/>
  <c r="O365" i="2" a="1"/>
  <c r="W365" i="2" s="1"/>
  <c r="P364" i="2" a="1"/>
  <c r="W363" i="2" l="1"/>
  <c r="W364" i="2"/>
  <c r="W362" i="2"/>
  <c r="Q362" i="2"/>
  <c r="Q363" i="2"/>
  <c r="Q365" i="2"/>
  <c r="AA365" i="2" s="1"/>
  <c r="AB365" i="2" s="1"/>
  <c r="Q364" i="2"/>
  <c r="O369" i="2" a="1"/>
  <c r="P366" i="2" a="1"/>
  <c r="O371" i="2" a="1"/>
  <c r="P367" i="2" a="1"/>
  <c r="O368" i="2" a="1"/>
  <c r="P369" i="2" a="1"/>
  <c r="P368" i="2" a="1"/>
  <c r="P370" i="2" a="1"/>
  <c r="O367" i="2" a="1"/>
  <c r="O366" i="2" a="1"/>
  <c r="AA362" i="2" l="1"/>
  <c r="AB362" i="2" s="1"/>
  <c r="AA363" i="2"/>
  <c r="AB363" i="2" s="1"/>
  <c r="W367" i="2"/>
  <c r="AA367" i="2" s="1"/>
  <c r="AB367" i="2" s="1"/>
  <c r="AA364" i="2"/>
  <c r="AB364" i="2" s="1"/>
  <c r="W369" i="2"/>
  <c r="W368" i="2"/>
  <c r="Q367" i="2"/>
  <c r="Q369" i="2"/>
  <c r="Q368" i="2"/>
  <c r="Q366" i="2"/>
  <c r="W366" i="2"/>
  <c r="O370" i="2" l="1" a="1"/>
  <c r="P371" i="2" a="1"/>
  <c r="AA366" i="2"/>
  <c r="AB366" i="2" s="1"/>
  <c r="AA369" i="2"/>
  <c r="AB369" i="2" s="1"/>
  <c r="AA368" i="2"/>
  <c r="AB368" i="2" s="1"/>
  <c r="P374" i="2" a="1"/>
  <c r="O375" i="2" a="1"/>
  <c r="O374" i="2" a="1"/>
  <c r="P373" i="2" a="1"/>
  <c r="P375" i="2" a="1"/>
  <c r="O373" i="2" a="1"/>
  <c r="P372" i="2" a="1"/>
  <c r="O372" i="2" a="1"/>
  <c r="W370" i="2" l="1"/>
  <c r="Q370" i="2"/>
  <c r="W371" i="2"/>
  <c r="Q371" i="2"/>
  <c r="W373" i="2"/>
  <c r="Q374" i="2"/>
  <c r="Q372" i="2"/>
  <c r="Q375" i="2"/>
  <c r="W374" i="2"/>
  <c r="Q373" i="2"/>
  <c r="W372" i="2"/>
  <c r="W375" i="2"/>
  <c r="AA371" i="2" l="1"/>
  <c r="AB371" i="2" s="1"/>
  <c r="AA370" i="2"/>
  <c r="AB370" i="2" s="1"/>
  <c r="AA374" i="2"/>
  <c r="AB374" i="2" s="1"/>
  <c r="AA373" i="2"/>
  <c r="AB373" i="2" s="1"/>
  <c r="AA372" i="2"/>
  <c r="AB372" i="2" s="1"/>
  <c r="AA375" i="2"/>
  <c r="AB375" i="2" s="1"/>
  <c r="P381" i="2" a="1"/>
  <c r="O381" i="2" a="1"/>
  <c r="P380" i="2" a="1"/>
  <c r="P376" i="2" a="1"/>
  <c r="O376" i="2" a="1"/>
  <c r="P377" i="2" a="1"/>
  <c r="O377" i="2" a="1"/>
  <c r="O380" i="2" a="1"/>
  <c r="O379" i="2" a="1"/>
  <c r="P379" i="2" a="1"/>
  <c r="O378" i="2" a="1"/>
  <c r="P378" i="2" a="1"/>
  <c r="Q377" i="2" l="1"/>
  <c r="W378" i="2"/>
  <c r="Q381" i="2"/>
  <c r="Q380" i="2"/>
  <c r="Q376" i="2"/>
  <c r="W379" i="2"/>
  <c r="W376" i="2"/>
  <c r="W377" i="2"/>
  <c r="W380" i="2"/>
  <c r="Q379" i="2"/>
  <c r="Q378" i="2"/>
  <c r="W381" i="2"/>
  <c r="AA377" i="2" l="1"/>
  <c r="AB377" i="2" s="1"/>
  <c r="AA378" i="2"/>
  <c r="AB378" i="2" s="1"/>
  <c r="AA376" i="2"/>
  <c r="AB376" i="2" s="1"/>
  <c r="AA380" i="2"/>
  <c r="AB380" i="2" s="1"/>
  <c r="AA379" i="2"/>
  <c r="AB379" i="2" s="1"/>
  <c r="AA381" i="2"/>
  <c r="AB381" i="2" s="1"/>
  <c r="O383" i="2" a="1"/>
  <c r="P383" i="2" a="1"/>
  <c r="O382" i="2" a="1"/>
  <c r="P382" i="2" a="1"/>
  <c r="W383" i="2" l="1"/>
  <c r="W382" i="2"/>
  <c r="Q382" i="2"/>
  <c r="Q383" i="2"/>
  <c r="AA383" i="2" l="1"/>
  <c r="AB383" i="2" s="1"/>
  <c r="AA382" i="2"/>
  <c r="AB382" i="2" s="1"/>
  <c r="O384" i="2" a="1"/>
  <c r="O385" i="2" a="1"/>
  <c r="P385" i="2" a="1"/>
  <c r="P384" i="2" a="1"/>
  <c r="Q384" i="2" l="1"/>
  <c r="W384" i="2"/>
  <c r="AA384" i="2" s="1"/>
  <c r="AB384" i="2" s="1"/>
  <c r="Q385" i="2"/>
  <c r="W385" i="2"/>
  <c r="AA385" i="2" l="1"/>
  <c r="AB385" i="2" s="1"/>
  <c r="O390" i="2" a="1"/>
  <c r="P391" i="2" a="1"/>
  <c r="P388" i="2" a="1"/>
  <c r="P389" i="2" a="1"/>
  <c r="O388" i="2" a="1"/>
  <c r="P390" i="2" a="1"/>
  <c r="O389" i="2" a="1"/>
  <c r="O391" i="2" a="1"/>
  <c r="O387" i="2" l="1" a="1"/>
  <c r="O386" i="2" a="1"/>
  <c r="P387" i="2" a="1"/>
  <c r="Q387" i="2" s="1"/>
  <c r="P386" i="2" a="1"/>
  <c r="O393" i="2" a="1"/>
  <c r="P395" i="2" a="1"/>
  <c r="P393" i="2" a="1"/>
  <c r="O392" i="2" a="1"/>
  <c r="O395" i="2" a="1"/>
  <c r="P392" i="2" a="1"/>
  <c r="O394" i="2" a="1"/>
  <c r="P394" i="2" a="1"/>
  <c r="W391" i="2"/>
  <c r="W390" i="2"/>
  <c r="W388" i="2"/>
  <c r="Q389" i="2"/>
  <c r="Q388" i="2"/>
  <c r="W389" i="2"/>
  <c r="Q390" i="2"/>
  <c r="Q391" i="2"/>
  <c r="W395" i="2" l="1"/>
  <c r="Q392" i="2"/>
  <c r="Q393" i="2"/>
  <c r="Q394" i="2"/>
  <c r="W386" i="2"/>
  <c r="W387" i="2"/>
  <c r="AA387" i="2" s="1"/>
  <c r="AB387" i="2" s="1"/>
  <c r="W393" i="2"/>
  <c r="W392" i="2"/>
  <c r="W394" i="2"/>
  <c r="Q395" i="2"/>
  <c r="Q386" i="2"/>
  <c r="P397" i="2" a="1"/>
  <c r="O397" i="2" a="1"/>
  <c r="O396" i="2" a="1"/>
  <c r="P396" i="2" a="1"/>
  <c r="AA391" i="2"/>
  <c r="AB391" i="2" s="1"/>
  <c r="AA388" i="2"/>
  <c r="AB388" i="2" s="1"/>
  <c r="AA389" i="2"/>
  <c r="AB389" i="2" s="1"/>
  <c r="AA390" i="2"/>
  <c r="AB390" i="2" s="1"/>
  <c r="AA393" i="2" l="1"/>
  <c r="AB393" i="2" s="1"/>
  <c r="AA392" i="2"/>
  <c r="AB392" i="2" s="1"/>
  <c r="AA394" i="2"/>
  <c r="AB394" i="2" s="1"/>
  <c r="AA395" i="2"/>
  <c r="AB395" i="2" s="1"/>
  <c r="AA386" i="2"/>
  <c r="AB386" i="2" s="1"/>
  <c r="Q396" i="2"/>
  <c r="W396" i="2"/>
  <c r="W397" i="2"/>
  <c r="AA396" i="2"/>
  <c r="AB396" i="2" s="1"/>
  <c r="Q397" i="2"/>
  <c r="AA397" i="2" s="1"/>
  <c r="AB397" i="2" s="1"/>
  <c r="O403" i="2" a="1"/>
  <c r="P402" i="2" a="1"/>
  <c r="O407" i="2" a="1"/>
  <c r="P404" i="2" a="1"/>
  <c r="O405" i="2" a="1"/>
  <c r="P406" i="2" a="1"/>
  <c r="P409" i="2" a="1"/>
  <c r="O408" i="2" a="1"/>
  <c r="P403" i="2" a="1"/>
  <c r="O409" i="2" a="1"/>
  <c r="O402" i="2" a="1"/>
  <c r="P408" i="2" a="1"/>
  <c r="O406" i="2" l="1" a="1"/>
  <c r="W406" i="2" s="1"/>
  <c r="P407" i="2" a="1"/>
  <c r="P405" i="2" a="1"/>
  <c r="Q405" i="2" s="1"/>
  <c r="O404" i="2" a="1"/>
  <c r="Q404" i="2" s="1"/>
  <c r="O398" i="2" a="1"/>
  <c r="O399" i="2" a="1"/>
  <c r="P399" i="2" a="1"/>
  <c r="P398" i="2" a="1"/>
  <c r="P401" i="2" a="1"/>
  <c r="P400" i="2" a="1"/>
  <c r="O400" i="2" a="1"/>
  <c r="O401" i="2" a="1"/>
  <c r="Q403" i="2"/>
  <c r="W405" i="2"/>
  <c r="Q408" i="2"/>
  <c r="W404" i="2"/>
  <c r="Q406" i="2"/>
  <c r="W402" i="2"/>
  <c r="W403" i="2"/>
  <c r="W409" i="2"/>
  <c r="Q409" i="2"/>
  <c r="W408" i="2"/>
  <c r="Q402" i="2"/>
  <c r="Q407" i="2" l="1"/>
  <c r="W407" i="2"/>
  <c r="W399" i="2"/>
  <c r="W398" i="2"/>
  <c r="Q399" i="2"/>
  <c r="Q398" i="2"/>
  <c r="W401" i="2"/>
  <c r="Q400" i="2"/>
  <c r="W400" i="2"/>
  <c r="Q401" i="2"/>
  <c r="AA403" i="2"/>
  <c r="AB403" i="2" s="1"/>
  <c r="AA406" i="2"/>
  <c r="AB406" i="2" s="1"/>
  <c r="AA405" i="2"/>
  <c r="AB405" i="2" s="1"/>
  <c r="AA409" i="2"/>
  <c r="AB409" i="2" s="1"/>
  <c r="AA404" i="2"/>
  <c r="AB404" i="2" s="1"/>
  <c r="AA408" i="2"/>
  <c r="AB408" i="2" s="1"/>
  <c r="AA402" i="2"/>
  <c r="AB402" i="2" s="1"/>
  <c r="AA407" i="2"/>
  <c r="AB407" i="2" s="1"/>
  <c r="P413" i="2" a="1"/>
  <c r="O413" i="2" a="1"/>
  <c r="P412" i="2" a="1"/>
  <c r="P411" i="2" a="1"/>
  <c r="O410" i="2" a="1"/>
  <c r="O412" i="2" a="1"/>
  <c r="AA399" i="2" l="1"/>
  <c r="AB399" i="2" s="1"/>
  <c r="AA398" i="2"/>
  <c r="AB398" i="2" s="1"/>
  <c r="AA400" i="2"/>
  <c r="AB400" i="2" s="1"/>
  <c r="AA401" i="2"/>
  <c r="AB401" i="2" s="1"/>
  <c r="W413" i="2"/>
  <c r="Q413" i="2"/>
  <c r="W412" i="2"/>
  <c r="Q412" i="2"/>
  <c r="P410" i="2" l="1" a="1"/>
  <c r="O411" i="2" a="1"/>
  <c r="AA413" i="2"/>
  <c r="AB413" i="2" s="1"/>
  <c r="AA412" i="2"/>
  <c r="AB412" i="2" s="1"/>
  <c r="W410" i="2" l="1"/>
  <c r="Q410" i="2"/>
  <c r="W411" i="2"/>
  <c r="Q411" i="2"/>
  <c r="P414" i="2" a="1"/>
  <c r="O415" i="2" a="1"/>
  <c r="P415" i="2" a="1"/>
  <c r="O414" i="2" a="1"/>
  <c r="P416" i="2" a="1"/>
  <c r="O417" i="2" a="1"/>
  <c r="AA410" i="2" l="1"/>
  <c r="AB410" i="2" s="1"/>
  <c r="AA411" i="2"/>
  <c r="AB411" i="2" s="1"/>
  <c r="W415" i="2"/>
  <c r="Q415" i="2"/>
  <c r="W414" i="2"/>
  <c r="Q414" i="2"/>
  <c r="O416" i="2" l="1" a="1"/>
  <c r="P417" i="2" a="1"/>
  <c r="AA415" i="2"/>
  <c r="AB415" i="2" s="1"/>
  <c r="AA414" i="2"/>
  <c r="AB414" i="2" s="1"/>
  <c r="P418" i="2" a="1"/>
  <c r="O419" i="2" a="1"/>
  <c r="O420" i="2" a="1"/>
  <c r="P421" i="2" a="1"/>
  <c r="O421" i="2" a="1"/>
  <c r="P420" i="2" a="1"/>
  <c r="W416" i="2" l="1"/>
  <c r="Q416" i="2"/>
  <c r="Q417" i="2"/>
  <c r="W417" i="2"/>
  <c r="AA417" i="2" s="1"/>
  <c r="AB417" i="2" s="1"/>
  <c r="W421" i="2"/>
  <c r="Q420" i="2"/>
  <c r="W420" i="2"/>
  <c r="Q421" i="2"/>
  <c r="AA416" i="2" l="1"/>
  <c r="AB416" i="2" s="1"/>
  <c r="O418" i="2" a="1"/>
  <c r="P419" i="2" a="1"/>
  <c r="AA420" i="2"/>
  <c r="AB420" i="2" s="1"/>
  <c r="AA421" i="2"/>
  <c r="AB421" i="2" s="1"/>
  <c r="P425" i="2" a="1"/>
  <c r="O425" i="2" a="1"/>
  <c r="P424" i="2" a="1"/>
  <c r="O424" i="2" a="1"/>
  <c r="Q418" i="2" l="1"/>
  <c r="W418" i="2"/>
  <c r="AA418" i="2" s="1"/>
  <c r="AB418" i="2" s="1"/>
  <c r="Q419" i="2"/>
  <c r="W419" i="2"/>
  <c r="Q424" i="2"/>
  <c r="W425" i="2"/>
  <c r="Q425" i="2"/>
  <c r="W424" i="2"/>
  <c r="AA419" i="2" l="1"/>
  <c r="AB419" i="2" s="1"/>
  <c r="P423" i="2" a="1"/>
  <c r="O422" i="2" a="1"/>
  <c r="P422" i="2" a="1"/>
  <c r="O423" i="2" a="1"/>
  <c r="AA425" i="2"/>
  <c r="AB425" i="2" s="1"/>
  <c r="O426" i="2" s="1" a="1"/>
  <c r="AA424" i="2"/>
  <c r="AB424" i="2" s="1"/>
  <c r="P427" i="2" a="1"/>
  <c r="P426" i="2" a="1"/>
  <c r="O427" i="2" a="1"/>
  <c r="Q422" i="2" l="1"/>
  <c r="Q423" i="2"/>
  <c r="W422" i="2"/>
  <c r="W423" i="2"/>
  <c r="Q427" i="2"/>
  <c r="W426" i="2"/>
  <c r="Q426" i="2"/>
  <c r="W427" i="2"/>
  <c r="AA422" i="2" l="1"/>
  <c r="AB422" i="2" s="1"/>
  <c r="AA423" i="2"/>
  <c r="AB423" i="2" s="1"/>
  <c r="AA426" i="2"/>
  <c r="AB426" i="2" s="1"/>
  <c r="AA427" i="2"/>
  <c r="AB427" i="2" s="1"/>
  <c r="P428" i="2" l="1" a="1"/>
  <c r="O429" i="2" a="1"/>
  <c r="P429" i="2" a="1"/>
  <c r="Q429" i="2" s="1"/>
  <c r="O428" i="2" a="1"/>
  <c r="P431" i="2" a="1"/>
  <c r="O430" i="2" a="1"/>
  <c r="O431" i="2" a="1"/>
  <c r="P430" i="2" a="1"/>
  <c r="W428" i="2" l="1"/>
  <c r="Q428" i="2"/>
  <c r="AA428" i="2" s="1"/>
  <c r="AB428" i="2" s="1"/>
  <c r="W429" i="2"/>
  <c r="AA429" i="2" s="1"/>
  <c r="AB429" i="2" s="1"/>
  <c r="W431" i="2"/>
  <c r="Q431" i="2"/>
  <c r="W430" i="2"/>
  <c r="Q430" i="2"/>
  <c r="AA430" i="2" l="1"/>
  <c r="AB430" i="2" s="1"/>
  <c r="AA431" i="2"/>
  <c r="AB431" i="2" s="1"/>
  <c r="O433" i="2" l="1" a="1"/>
  <c r="P432" i="2" a="1"/>
  <c r="O432" i="2" a="1"/>
  <c r="P433" i="2" a="1"/>
  <c r="W432" i="2" l="1"/>
  <c r="Q432" i="2"/>
  <c r="Q433" i="2"/>
  <c r="W433" i="2"/>
  <c r="AA433" i="2" l="1"/>
  <c r="AB433" i="2" s="1"/>
  <c r="O435" i="2" a="1"/>
  <c r="P434" i="2" a="1"/>
  <c r="AA432" i="2"/>
  <c r="AB432" i="2" s="1"/>
  <c r="O434" i="2" l="1" a="1"/>
  <c r="P435" i="2" a="1"/>
  <c r="Q434" i="2" l="1"/>
  <c r="W434" i="2"/>
  <c r="W435" i="2"/>
  <c r="Q435" i="2"/>
  <c r="AA434" i="2" l="1"/>
  <c r="AB434" i="2" s="1"/>
  <c r="P436" i="2" a="1"/>
  <c r="O437" i="2" a="1"/>
  <c r="AA435" i="2"/>
  <c r="AB435" i="2" s="1"/>
  <c r="AX5" i="3" a="1"/>
  <c r="O436" i="2" l="1" a="1"/>
  <c r="P437" i="2" a="1"/>
  <c r="Q436" i="2" l="1"/>
  <c r="W436" i="2"/>
  <c r="W437" i="2"/>
  <c r="Q437" i="2"/>
  <c r="AA436" i="2" l="1"/>
  <c r="AB436" i="2" s="1"/>
  <c r="P439" i="2" a="1"/>
  <c r="O438" i="2" a="1"/>
  <c r="AA437" i="2"/>
  <c r="AB437" i="2" s="1"/>
  <c r="P438" i="2" l="1" a="1"/>
  <c r="O439" i="2" a="1"/>
  <c r="W438" i="2" l="1"/>
  <c r="Q438" i="2"/>
  <c r="Q439" i="2"/>
  <c r="W439" i="2"/>
  <c r="AX2" i="3" a="1"/>
  <c r="AA439" i="2" l="1"/>
  <c r="AB439" i="2" s="1"/>
  <c r="AA438" i="2"/>
  <c r="AB438" i="2" s="1"/>
  <c r="G26" i="3" a="1"/>
  <c r="AX9" i="3" a="1"/>
  <c r="O440" i="2" l="1" a="1"/>
  <c r="P440" i="2" a="1"/>
  <c r="O441" i="2" a="1"/>
  <c r="P441" i="2" a="1"/>
  <c r="AX4" i="3" a="1"/>
  <c r="Q441" i="2" l="1"/>
  <c r="W440" i="2"/>
  <c r="W441" i="2"/>
  <c r="Q440" i="2"/>
  <c r="G25" i="3" a="1"/>
  <c r="AA440" i="2" l="1"/>
  <c r="AB440" i="2" s="1"/>
  <c r="AA441" i="2"/>
  <c r="AB441" i="2" s="1"/>
  <c r="P442" i="2" a="1"/>
  <c r="O442" i="2" a="1"/>
  <c r="P443" i="2" a="1"/>
  <c r="O443" i="2" a="1"/>
  <c r="AX6" i="3" a="1"/>
  <c r="G34" i="3" a="1"/>
  <c r="W442" i="2" l="1"/>
  <c r="AA442" i="2" s="1"/>
  <c r="AB442" i="2" s="1"/>
  <c r="W443" i="2"/>
  <c r="Q442" i="2"/>
  <c r="Q443" i="2"/>
  <c r="G27" i="3" a="1"/>
  <c r="AA443" i="2" l="1"/>
  <c r="AB443" i="2" s="1"/>
  <c r="G36" i="3" s="1" a="1"/>
  <c r="G35" i="3" a="1"/>
  <c r="AX8" i="3" l="1" a="1"/>
  <c r="AX7" i="3" l="1" a="1"/>
  <c r="G30" i="3" a="1"/>
  <c r="G32" i="3" l="1" a="1"/>
  <c r="AX3" i="3" a="1"/>
  <c r="G33" i="3" a="1"/>
  <c r="G29" i="3" l="1" a="1"/>
  <c r="G28" i="3" a="1"/>
  <c r="G31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<sst xmlns="http://schemas.openxmlformats.org/spreadsheetml/2006/main" count="2288" uniqueCount="88">
  <si>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</si>
  <si>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</si>
  <si>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</si>
  <si>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</si>
  <si>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</si>
  <si>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</si>
  <si>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</si>
  <si>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</si>
  <si>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</si>
  <si>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</si>
  <si>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</si>
  <si>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</si>
  <si>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</si>
  <si>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</si>
  <si>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</si>
  <si>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</si>
  <si>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</si>
  <si>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</si>
  <si>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</si>
  <si>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</si>
  <si>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</si>
  <si>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</si>
  <si>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</si>
  <si>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</si>
  <si>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</si>
  <si>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</si>
  <si>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</si>
  <si>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</si>
  <si>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</si>
  <si>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</si>
  <si>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</si>
  <si>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</si>
  <si>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</si>
  <si>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</si>
  <si>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</si>
  <si>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</si>
  <si>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</si>
  <si>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</si>
  <si>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</si>
  <si>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</si>
  <si>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</si>
  <si>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</si>
  <si>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</si>
  <si>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</si>
  <si>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</si>
  <si>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</si>
  <si>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</si>
  <si>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</si>
  <si>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</si>
  <si>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</si>
  <si>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</si>
  <si>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</si>
  <si>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</si>
  <si>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</si>
  <si>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</si>
  <si>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</si>
  <si>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</si>
  <si>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</si>
  <si>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</si>
  <si>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</si>
  <si>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</si>
  <si>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</si>
  <si>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</si>
  <si>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</si>
  <si>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</si>
  <si>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</si>
  <si>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</si>
  <si>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</si>
  <si>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</si>
  <si>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</si>
  <si>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</si>
  <si>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</si>
  <si>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</si>
  <si>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</si>
  <si>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</si>
  <si>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</si>
  <si>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</si>
  <si>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</si>
  <si>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</si>
  <si>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</si>
  <si>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</si>
  <si>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</si>
  <si>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</si>
  <si>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</si>
  <si>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</si>
  <si>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</si>
  <si>
    <t>LVA</t>
  </si>
  <si>
    <t>Las Vegas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</si>
</sst>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7303819447" createdVersion="8" refreshedVersion="8" minRefreshableVersion="3" recordCount="442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8-05-18T00:00:00" maxDate="2018-09-13T00:00:00"/>
    </cacheField>
    <cacheField name="Season" numFmtId="1">
      <sharedItems containsSemiMixedTypes="0" containsString="0" containsNumber="1" containsInteger="1" minValue="2018" maxValue="2018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minValue="0.5" maxValue="3"/>
    </cacheField>
    <cacheField name="Team" numFmtId="0">
      <sharedItems containsBlank="1" count="59">
        <s v="DAL"/>
        <s v="PHX"/>
        <s v="CHI"/>
        <s v="IND"/>
        <s v="NYL"/>
        <s v="LVA"/>
        <s v="CON"/>
        <s v="ATL"/>
        <s v="LAS"/>
        <s v="MIN"/>
        <s v="SEA"/>
        <s v="WAS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9" maxValue="9"/>
    </cacheField>
    <cacheField name="OppRestDiff" numFmtId="1">
      <sharedItems containsSemiMixedTypes="0" containsString="0" containsNumber="1" containsInteger="1" minValue="-9" maxValue="9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93.8832566047001" maxValue="1679.8503236201805"/>
    </cacheField>
    <cacheField name="OppPreGmRate" numFmtId="165">
      <sharedItems containsSemiMixedTypes="0" containsString="0" containsNumber="1" minValue="1293.8832566047001" maxValue="1679.8503236201805"/>
    </cacheField>
    <cacheField name="ExpectedWin%" numFmtId="165">
      <sharedItems containsSemiMixedTypes="0" containsString="0" containsNumber="1" minValue="7.3267668515969678E-2" maxValue="0.92673233148403034"/>
    </cacheField>
    <cacheField name="PointsFor" numFmtId="0">
      <sharedItems containsSemiMixedTypes="0" containsString="0" containsNumber="1" containsInteger="1" minValue="0" maxValue="115"/>
    </cacheField>
    <cacheField name="PointsAgainst" numFmtId="0">
      <sharedItems containsSemiMixedTypes="0" containsString="0" containsNumber="1" containsInteger="1" minValue="0" maxValue="115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8" maxValue="38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722507375046312" maxValue="0.75853144854190357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31.984485979464939" maxValue="31.856718392329928"/>
    </cacheField>
    <cacheField name="PostGmRate" numFmtId="165">
      <sharedItems containsSemiMixedTypes="0" containsString="0" containsNumber="1" minValue="1293.8832566047001" maxValue="1703.401135221332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d v="2018-05-18T00:00:00"/>
    <n v="2018"/>
    <x v="0"/>
    <s v="R"/>
    <s v="RS"/>
    <x v="0"/>
    <s v="PHX"/>
    <s v="A"/>
    <n v="0"/>
    <n v="0"/>
    <n v="0"/>
    <n v="0"/>
    <n v="0"/>
    <n v="0"/>
    <n v="1472.3739275345495"/>
    <n v="1516.0233481182001"/>
    <n v="0.32414028487414426"/>
    <n v="78"/>
    <n v="86"/>
    <n v="0"/>
    <n v="-8"/>
    <n v="0"/>
    <n v="0.37468649467542114"/>
    <n v="1"/>
    <n v="75.849999999999994"/>
    <n v="75.849999999999994"/>
    <n v="-9.212057373248113"/>
    <n v="1463.1618701613013"/>
    <n v="0"/>
    <n v="1"/>
    <n v="0"/>
    <n v="0"/>
    <n v="0"/>
    <n v="0"/>
    <n v="0"/>
    <n v="0"/>
    <n v="0"/>
    <n v="0"/>
  </r>
  <r>
    <d v="2018-05-18T00:00:00"/>
    <n v="2018"/>
    <x v="0"/>
    <s v="R"/>
    <s v="RS"/>
    <x v="1"/>
    <s v="DAL"/>
    <s v="H"/>
    <n v="0"/>
    <n v="0"/>
    <n v="0"/>
    <n v="0"/>
    <n v="0"/>
    <n v="0"/>
    <n v="1516.0233481182001"/>
    <n v="1472.3739275345495"/>
    <n v="0.67585971512585574"/>
    <n v="86"/>
    <n v="78"/>
    <n v="0"/>
    <n v="8"/>
    <n v="1"/>
    <n v="0.37468649467542114"/>
    <n v="1"/>
    <n v="75.849999999999994"/>
    <n v="75.849999999999994"/>
    <n v="9.212057373248113"/>
    <n v="1525.2354054914483"/>
    <n v="1"/>
    <n v="0"/>
    <n v="0"/>
    <n v="0"/>
    <n v="0"/>
    <n v="0"/>
    <n v="0"/>
    <n v="0"/>
    <n v="0"/>
    <n v="0"/>
  </r>
  <r>
    <d v="2018-05-19T00:00:00"/>
    <n v="2018"/>
    <x v="0"/>
    <s v="R"/>
    <s v="RS"/>
    <x v="2"/>
    <s v="IND"/>
    <s v="A"/>
    <n v="1"/>
    <n v="1"/>
    <n v="0"/>
    <n v="0"/>
    <n v="0"/>
    <n v="0"/>
    <n v="1452.8835924972379"/>
    <n v="1410.5264116137473"/>
    <n v="0.44035650281389699"/>
    <n v="82"/>
    <n v="64"/>
    <n v="0"/>
    <n v="18"/>
    <n v="1"/>
    <n v="0.52819006373427524"/>
    <n v="1"/>
    <n v="75.849999999999994"/>
    <n v="75.849999999999994"/>
    <n v="22.421118497820153"/>
    <n v="1475.304710995058"/>
    <n v="1"/>
    <n v="0"/>
    <n v="0"/>
    <n v="0"/>
    <n v="0"/>
    <n v="0"/>
    <n v="0"/>
    <n v="0"/>
    <n v="0"/>
    <n v="0"/>
  </r>
  <r>
    <d v="2018-05-19T00:00:00"/>
    <n v="2018"/>
    <x v="0"/>
    <s v="R"/>
    <s v="RS"/>
    <x v="3"/>
    <s v="CHI"/>
    <s v="H"/>
    <n v="1"/>
    <n v="1"/>
    <n v="0"/>
    <n v="0"/>
    <n v="0"/>
    <n v="0"/>
    <n v="1410.5264116137473"/>
    <n v="1452.8835924972379"/>
    <n v="0.55964349718610307"/>
    <n v="64"/>
    <n v="82"/>
    <n v="0"/>
    <n v="-18"/>
    <n v="0"/>
    <n v="0.52819006373427524"/>
    <n v="1"/>
    <n v="75.849999999999994"/>
    <n v="75.849999999999994"/>
    <n v="-22.421118497820153"/>
    <n v="1388.1052931159272"/>
    <n v="0"/>
    <n v="1"/>
    <n v="0"/>
    <n v="0"/>
    <n v="0"/>
    <n v="0"/>
    <n v="0"/>
    <n v="0"/>
    <n v="0"/>
    <n v="0"/>
  </r>
  <r>
    <d v="2018-05-20T00:00:00"/>
    <n v="2018"/>
    <x v="0"/>
    <s v="R"/>
    <s v="RS"/>
    <x v="4"/>
    <s v="CHI"/>
    <s v="A"/>
    <n v="2"/>
    <n v="0"/>
    <n v="2"/>
    <n v="-2"/>
    <n v="16"/>
    <n v="-16"/>
    <n v="1542.1444890673065"/>
    <n v="1475.304710995058"/>
    <n v="0.52134317985083956"/>
    <n v="76"/>
    <n v="80"/>
    <n v="0"/>
    <n v="-4"/>
    <n v="0"/>
    <n v="0.29500122142781487"/>
    <n v="1"/>
    <n v="75.849999999999994"/>
    <n v="75.849999999999994"/>
    <n v="-11.665492956542597"/>
    <n v="1530.478996110764"/>
    <n v="0"/>
    <n v="1"/>
    <n v="0"/>
    <n v="0"/>
    <n v="0"/>
    <n v="0"/>
    <n v="0"/>
    <n v="0"/>
    <n v="0"/>
    <n v="0"/>
  </r>
  <r>
    <d v="2018-05-20T00:00:00"/>
    <n v="2018"/>
    <x v="1"/>
    <s v="R"/>
    <s v="RS"/>
    <x v="2"/>
    <s v="NYL"/>
    <s v="H"/>
    <n v="0"/>
    <n v="2"/>
    <n v="-2"/>
    <n v="2"/>
    <n v="-16"/>
    <n v="16"/>
    <n v="1475.304710995058"/>
    <n v="1542.1444890673065"/>
    <n v="0.47865682014916039"/>
    <n v="80"/>
    <n v="76"/>
    <n v="0"/>
    <n v="4"/>
    <n v="1"/>
    <n v="0.29500122142781487"/>
    <n v="1"/>
    <n v="75.7"/>
    <n v="75.7"/>
    <n v="11.642423425316743"/>
    <n v="1486.9471344203748"/>
    <n v="1"/>
    <n v="0"/>
    <n v="0"/>
    <n v="0"/>
    <n v="0"/>
    <n v="0"/>
    <n v="0"/>
    <n v="0"/>
    <n v="0"/>
    <n v="0"/>
  </r>
  <r>
    <d v="2018-05-20T00:00:00"/>
    <n v="2018"/>
    <x v="0"/>
    <s v="R"/>
    <s v="RS"/>
    <x v="5"/>
    <s v="CON"/>
    <s v="A"/>
    <n v="2"/>
    <n v="2"/>
    <n v="0"/>
    <n v="0"/>
    <n v="0"/>
    <n v="0"/>
    <n v="1500"/>
    <n v="1523.7613218529441"/>
    <n v="0.34970775871011739"/>
    <n v="65"/>
    <n v="101"/>
    <n v="0"/>
    <n v="-36"/>
    <n v="0"/>
    <n v="0.75853144854190357"/>
    <n v="1"/>
    <n v="75.849999999999994"/>
    <n v="75.849999999999994"/>
    <n v="-20.120299641418207"/>
    <n v="1479.8797003585819"/>
    <n v="0"/>
    <n v="1"/>
    <n v="0"/>
    <n v="0"/>
    <n v="0"/>
    <n v="0"/>
    <n v="0"/>
    <n v="0"/>
    <n v="0"/>
    <n v="0"/>
  </r>
  <r>
    <d v="2018-05-20T00:00:00"/>
    <n v="2018"/>
    <x v="0"/>
    <s v="R"/>
    <s v="RS"/>
    <x v="6"/>
    <s v="LVA"/>
    <s v="H"/>
    <n v="2"/>
    <n v="2"/>
    <n v="0"/>
    <n v="0"/>
    <n v="0"/>
    <n v="0"/>
    <n v="1523.7613218529441"/>
    <n v="1500"/>
    <n v="0.65029224128988272"/>
    <n v="101"/>
    <n v="65"/>
    <n v="0"/>
    <n v="36"/>
    <n v="1"/>
    <n v="0.75853144854190357"/>
    <n v="1"/>
    <n v="75.849999999999994"/>
    <n v="75.849999999999994"/>
    <n v="20.1202996414182"/>
    <n v="1543.8816214943622"/>
    <n v="1"/>
    <n v="0"/>
    <n v="0"/>
    <n v="0"/>
    <n v="0"/>
    <n v="0"/>
    <n v="0"/>
    <n v="0"/>
    <n v="0"/>
    <n v="0"/>
  </r>
  <r>
    <d v="2018-05-20T00:00:00"/>
    <n v="2018"/>
    <x v="0"/>
    <s v="R"/>
    <s v="RS"/>
    <x v="7"/>
    <s v="DAL"/>
    <s v="A"/>
    <n v="2"/>
    <n v="1"/>
    <n v="1"/>
    <n v="-1"/>
    <n v="8"/>
    <n v="-8"/>
    <n v="1448.8555478466617"/>
    <n v="1463.1618701613013"/>
    <n v="0.38371881966601001"/>
    <n v="78"/>
    <n v="101"/>
    <n v="0"/>
    <n v="-23"/>
    <n v="0"/>
    <n v="0.60808818129746467"/>
    <n v="1"/>
    <n v="75.849999999999994"/>
    <n v="75.849999999999994"/>
    <n v="-17.698450585826805"/>
    <n v="1431.1570972608349"/>
    <n v="0"/>
    <n v="1"/>
    <n v="0"/>
    <n v="0"/>
    <n v="0"/>
    <n v="0"/>
    <n v="0"/>
    <n v="0"/>
    <n v="0"/>
    <n v="0"/>
  </r>
  <r>
    <d v="2018-05-20T00:00:00"/>
    <n v="2018"/>
    <x v="1"/>
    <s v="R"/>
    <s v="RS"/>
    <x v="0"/>
    <s v="ATL"/>
    <s v="H"/>
    <n v="1"/>
    <n v="2"/>
    <n v="-1"/>
    <n v="1"/>
    <n v="-8"/>
    <n v="8"/>
    <n v="1463.1618701613013"/>
    <n v="1448.8555478466617"/>
    <n v="0.61628118033398993"/>
    <n v="101"/>
    <n v="78"/>
    <n v="0"/>
    <n v="23"/>
    <n v="1"/>
    <n v="0.60808818129746467"/>
    <n v="1"/>
    <n v="75.7"/>
    <n v="75.7"/>
    <n v="17.663450353949763"/>
    <n v="1480.825320515251"/>
    <n v="1"/>
    <n v="0"/>
    <n v="0"/>
    <n v="0"/>
    <n v="0"/>
    <n v="0"/>
    <n v="0"/>
    <n v="0"/>
    <n v="0"/>
    <n v="0"/>
  </r>
  <r>
    <d v="2018-05-20T00:00:00"/>
    <n v="2018"/>
    <x v="0"/>
    <s v="R"/>
    <s v="RS"/>
    <x v="8"/>
    <s v="MIN"/>
    <s v="A"/>
    <n v="2"/>
    <n v="2"/>
    <n v="0"/>
    <n v="0"/>
    <n v="0"/>
    <n v="0"/>
    <n v="1602.9664573256775"/>
    <n v="1622.1857984151989"/>
    <n v="0.35567673582971909"/>
    <n v="77"/>
    <n v="76"/>
    <n v="0"/>
    <n v="1"/>
    <n v="1"/>
    <n v="0.24033050927202887"/>
    <n v="1"/>
    <n v="75.849999999999994"/>
    <n v="75.849999999999994"/>
    <n v="11.745413323521252"/>
    <n v="1614.7118706491988"/>
    <n v="1"/>
    <n v="0"/>
    <n v="0"/>
    <n v="0"/>
    <n v="0"/>
    <n v="0"/>
    <n v="0"/>
    <n v="0"/>
    <n v="0"/>
    <n v="0"/>
  </r>
  <r>
    <d v="2018-05-20T00:00:00"/>
    <n v="2018"/>
    <x v="0"/>
    <s v="R"/>
    <s v="RS"/>
    <x v="9"/>
    <s v="LAS"/>
    <s v="H"/>
    <n v="2"/>
    <n v="2"/>
    <n v="0"/>
    <n v="0"/>
    <n v="0"/>
    <n v="0"/>
    <n v="1622.1857984151989"/>
    <n v="1602.9664573256775"/>
    <n v="0.64432326417028085"/>
    <n v="76"/>
    <n v="77"/>
    <n v="0"/>
    <n v="-1"/>
    <n v="0"/>
    <n v="0.24033050927202887"/>
    <n v="1"/>
    <n v="75.849999999999994"/>
    <n v="75.849999999999994"/>
    <n v="-11.745413323521248"/>
    <n v="1610.4403850916776"/>
    <n v="0"/>
    <n v="1"/>
    <n v="0"/>
    <n v="0"/>
    <n v="0"/>
    <n v="0"/>
    <n v="0"/>
    <n v="0"/>
    <n v="0"/>
    <n v="0"/>
  </r>
  <r>
    <d v="2018-05-20T00:00:00"/>
    <n v="2018"/>
    <x v="1"/>
    <s v="R"/>
    <s v="RS"/>
    <x v="1"/>
    <s v="SEA"/>
    <s v="A"/>
    <n v="1"/>
    <n v="2"/>
    <n v="-1"/>
    <n v="1"/>
    <n v="-8"/>
    <n v="8"/>
    <n v="1525.2354054914483"/>
    <n v="1485.8815323839408"/>
    <n v="0.41359894692586952"/>
    <n v="87"/>
    <n v="82"/>
    <n v="0"/>
    <n v="5"/>
    <n v="1"/>
    <n v="0.32122154873756831"/>
    <n v="1"/>
    <n v="75.7"/>
    <n v="75.7"/>
    <n v="14.259204341850859"/>
    <n v="1539.4946098332991"/>
    <n v="1"/>
    <n v="0"/>
    <n v="0"/>
    <n v="0"/>
    <n v="0"/>
    <n v="0"/>
    <n v="0"/>
    <n v="0"/>
    <n v="0"/>
    <n v="0"/>
  </r>
  <r>
    <d v="2018-05-20T00:00:00"/>
    <n v="2018"/>
    <x v="0"/>
    <s v="R"/>
    <s v="RS"/>
    <x v="10"/>
    <s v="PHX"/>
    <s v="H"/>
    <n v="2"/>
    <n v="1"/>
    <n v="1"/>
    <n v="-1"/>
    <n v="8"/>
    <n v="-8"/>
    <n v="1485.8815323839408"/>
    <n v="1525.2354054914483"/>
    <n v="0.58640105307413048"/>
    <n v="82"/>
    <n v="87"/>
    <n v="0"/>
    <n v="-5"/>
    <n v="0"/>
    <n v="0.32122154873756831"/>
    <n v="1"/>
    <n v="75.849999999999994"/>
    <n v="75.849999999999994"/>
    <n v="-14.287459040018328"/>
    <n v="1471.5940733439224"/>
    <n v="0"/>
    <n v="1"/>
    <n v="0"/>
    <n v="0"/>
    <n v="0"/>
    <n v="0"/>
    <n v="0"/>
    <n v="0"/>
    <n v="0"/>
    <n v="0"/>
  </r>
  <r>
    <d v="2018-05-20T00:00:00"/>
    <n v="2018"/>
    <x v="1"/>
    <s v="R"/>
    <s v="RS"/>
    <x v="3"/>
    <s v="WAS"/>
    <s v="A"/>
    <n v="0"/>
    <n v="2"/>
    <n v="-2"/>
    <n v="2"/>
    <n v="-16"/>
    <n v="16"/>
    <n v="1388.1052931159272"/>
    <n v="1500.3397892959156"/>
    <n v="0.21184775902186803"/>
    <n v="75"/>
    <n v="82"/>
    <n v="0"/>
    <n v="-7"/>
    <n v="0"/>
    <n v="0.33845216558280949"/>
    <n v="1"/>
    <n v="75.7"/>
    <n v="75.7"/>
    <n v="-5.4277151940816015"/>
    <n v="1382.6775779218456"/>
    <n v="0"/>
    <n v="1"/>
    <n v="0"/>
    <n v="0"/>
    <n v="0"/>
    <n v="0"/>
    <n v="0"/>
    <n v="0"/>
    <n v="0"/>
    <n v="0"/>
  </r>
  <r>
    <d v="2018-05-20T00:00:00"/>
    <n v="2018"/>
    <x v="0"/>
    <s v="R"/>
    <s v="RS"/>
    <x v="11"/>
    <s v="IND"/>
    <s v="H"/>
    <n v="2"/>
    <n v="0"/>
    <n v="2"/>
    <n v="-2"/>
    <n v="16"/>
    <n v="-16"/>
    <n v="1500.3397892959156"/>
    <n v="1388.1052931159272"/>
    <n v="0.78815224097813197"/>
    <n v="82"/>
    <n v="75"/>
    <n v="0"/>
    <n v="7"/>
    <n v="1"/>
    <n v="0.33845216558280949"/>
    <n v="1"/>
    <n v="75.849999999999994"/>
    <n v="75.849999999999994"/>
    <n v="5.438470244003824"/>
    <n v="1505.7782595399194"/>
    <n v="1"/>
    <n v="0"/>
    <n v="0"/>
    <n v="0"/>
    <n v="0"/>
    <n v="0"/>
    <n v="0"/>
    <n v="0"/>
    <n v="0"/>
    <n v="0"/>
  </r>
  <r>
    <d v="2018-05-22T00:00:00"/>
    <n v="2018"/>
    <x v="1"/>
    <s v="R"/>
    <s v="RS"/>
    <x v="8"/>
    <s v="IND"/>
    <s v="A"/>
    <n v="1"/>
    <n v="1"/>
    <n v="0"/>
    <n v="0"/>
    <n v="0"/>
    <n v="0"/>
    <n v="1614.7118706491988"/>
    <n v="1382.6775779218456"/>
    <n v="0.70101877461204087"/>
    <n v="87"/>
    <n v="70"/>
    <n v="0"/>
    <n v="17"/>
    <n v="1"/>
    <n v="0.44616982019441315"/>
    <n v="1"/>
    <n v="75.7"/>
    <n v="75.7"/>
    <n v="10.098107447664825"/>
    <n v="1624.8099780968637"/>
    <n v="1"/>
    <n v="0"/>
    <n v="0"/>
    <n v="0"/>
    <n v="0"/>
    <n v="0"/>
    <n v="0"/>
    <n v="0"/>
    <n v="0"/>
    <n v="0"/>
  </r>
  <r>
    <d v="2018-05-22T00:00:00"/>
    <n v="2018"/>
    <x v="2"/>
    <s v="R"/>
    <s v="RS"/>
    <x v="3"/>
    <s v="LAS"/>
    <s v="H"/>
    <n v="1"/>
    <n v="1"/>
    <n v="0"/>
    <n v="0"/>
    <n v="0"/>
    <n v="0"/>
    <n v="1382.6775779218456"/>
    <n v="1614.7118706491988"/>
    <n v="0.29898122538795913"/>
    <n v="70"/>
    <n v="87"/>
    <n v="0"/>
    <n v="-17"/>
    <n v="0"/>
    <n v="0.44616982019441315"/>
    <n v="1"/>
    <n v="75.55"/>
    <n v="75.55"/>
    <n v="-10.078097987728896"/>
    <n v="1372.5994799341167"/>
    <n v="0"/>
    <n v="1"/>
    <n v="0"/>
    <n v="0"/>
    <n v="0"/>
    <n v="0"/>
    <n v="0"/>
    <n v="0"/>
    <n v="0"/>
    <n v="0"/>
  </r>
  <r>
    <d v="2018-05-22T00:00:00"/>
    <n v="2018"/>
    <x v="1"/>
    <s v="R"/>
    <s v="RS"/>
    <x v="5"/>
    <s v="WAS"/>
    <s v="A"/>
    <n v="1"/>
    <n v="1"/>
    <n v="0"/>
    <n v="0"/>
    <n v="0"/>
    <n v="0"/>
    <n v="1479.8797003585819"/>
    <n v="1505.7782595399194"/>
    <n v="0.34691512139571451"/>
    <n v="70"/>
    <n v="75"/>
    <n v="0"/>
    <n v="-5"/>
    <n v="0"/>
    <n v="0.32474723750336704"/>
    <n v="1"/>
    <n v="75.7"/>
    <n v="75.7"/>
    <n v="-8.5283413582302465"/>
    <n v="1471.3513590003517"/>
    <n v="0"/>
    <n v="1"/>
    <n v="0"/>
    <n v="0"/>
    <n v="0"/>
    <n v="0"/>
    <n v="0"/>
    <n v="0"/>
    <n v="0"/>
    <n v="0"/>
  </r>
  <r>
    <d v="2018-05-22T00:00:00"/>
    <n v="2018"/>
    <x v="1"/>
    <s v="R"/>
    <s v="RS"/>
    <x v="11"/>
    <s v="LVA"/>
    <s v="H"/>
    <n v="1"/>
    <n v="1"/>
    <n v="0"/>
    <n v="0"/>
    <n v="0"/>
    <n v="0"/>
    <n v="1505.7782595399194"/>
    <n v="1479.8797003585819"/>
    <n v="0.65308487860428555"/>
    <n v="75"/>
    <n v="70"/>
    <n v="0"/>
    <n v="5"/>
    <n v="1"/>
    <n v="0.32474723750336704"/>
    <n v="1"/>
    <n v="75.7"/>
    <n v="75.7"/>
    <n v="8.5283413582302448"/>
    <n v="1514.3066008981496"/>
    <n v="1"/>
    <n v="0"/>
    <n v="0"/>
    <n v="0"/>
    <n v="0"/>
    <n v="0"/>
    <n v="0"/>
    <n v="0"/>
    <n v="0"/>
    <n v="0"/>
  </r>
  <r>
    <d v="2018-05-23T00:00:00"/>
    <n v="2018"/>
    <x v="1"/>
    <s v="R"/>
    <s v="RS"/>
    <x v="7"/>
    <s v="CHI"/>
    <s v="A"/>
    <n v="2"/>
    <n v="2"/>
    <n v="0"/>
    <n v="0"/>
    <n v="0"/>
    <n v="0"/>
    <n v="1431.1570972608349"/>
    <n v="1486.9471344203748"/>
    <n v="0.30902186639353552"/>
    <n v="81"/>
    <n v="63"/>
    <n v="0"/>
    <n v="18"/>
    <n v="1"/>
    <n v="0.52254015331722159"/>
    <n v="1"/>
    <n v="75.7"/>
    <n v="75.7"/>
    <n v="27.332531164429213"/>
    <n v="1458.4896284252641"/>
    <n v="1"/>
    <n v="0"/>
    <n v="0"/>
    <n v="0"/>
    <n v="0"/>
    <n v="0"/>
    <n v="0"/>
    <n v="0"/>
    <n v="0"/>
    <n v="0"/>
  </r>
  <r>
    <d v="2018-05-23T00:00:00"/>
    <n v="2018"/>
    <x v="2"/>
    <s v="R"/>
    <s v="RS"/>
    <x v="2"/>
    <s v="ATL"/>
    <s v="H"/>
    <n v="2"/>
    <n v="2"/>
    <n v="0"/>
    <n v="0"/>
    <n v="0"/>
    <n v="0"/>
    <n v="1486.9471344203748"/>
    <n v="1431.1570972608349"/>
    <n v="0.69097813360646443"/>
    <n v="63"/>
    <n v="81"/>
    <n v="0"/>
    <n v="-18"/>
    <n v="0"/>
    <n v="0.52254015331722159"/>
    <n v="1"/>
    <n v="75.55"/>
    <n v="75.55"/>
    <n v="-27.278371591448177"/>
    <n v="1459.6687628289267"/>
    <n v="0"/>
    <n v="1"/>
    <n v="0"/>
    <n v="0"/>
    <n v="0"/>
    <n v="0"/>
    <n v="0"/>
    <n v="0"/>
    <n v="0"/>
    <n v="0"/>
  </r>
  <r>
    <d v="2018-05-23T00:00:00"/>
    <n v="2018"/>
    <x v="2"/>
    <s v="R"/>
    <s v="RS"/>
    <x v="0"/>
    <s v="MIN"/>
    <s v="A"/>
    <n v="2"/>
    <n v="2"/>
    <n v="0"/>
    <n v="0"/>
    <n v="0"/>
    <n v="0"/>
    <n v="1480.825320515251"/>
    <n v="1610.4403850916776"/>
    <n v="0.22623968611635573"/>
    <n v="68"/>
    <n v="76"/>
    <n v="0"/>
    <n v="-8"/>
    <n v="0"/>
    <n v="0.35046131351712129"/>
    <n v="1"/>
    <n v="75.55"/>
    <n v="75.55"/>
    <n v="-5.990227859114265"/>
    <n v="1474.8350926561368"/>
    <n v="0"/>
    <n v="1"/>
    <n v="0"/>
    <n v="0"/>
    <n v="0"/>
    <n v="0"/>
    <n v="0"/>
    <n v="0"/>
    <n v="0"/>
    <n v="0"/>
  </r>
  <r>
    <d v="2018-05-23T00:00:00"/>
    <n v="2018"/>
    <x v="1"/>
    <s v="R"/>
    <s v="RS"/>
    <x v="9"/>
    <s v="DAL"/>
    <s v="H"/>
    <n v="2"/>
    <n v="2"/>
    <n v="0"/>
    <n v="0"/>
    <n v="0"/>
    <n v="0"/>
    <n v="1610.4403850916776"/>
    <n v="1480.825320515251"/>
    <n v="0.77376031388364419"/>
    <n v="76"/>
    <n v="68"/>
    <n v="0"/>
    <n v="8"/>
    <n v="1"/>
    <n v="0.35046131351712129"/>
    <n v="1"/>
    <n v="75.7"/>
    <n v="75.7"/>
    <n v="6.0021210977491739"/>
    <n v="1616.4425061894267"/>
    <n v="1"/>
    <n v="0"/>
    <n v="0"/>
    <n v="0"/>
    <n v="0"/>
    <n v="0"/>
    <n v="0"/>
    <n v="0"/>
    <n v="0"/>
    <n v="0"/>
  </r>
  <r>
    <d v="2018-05-23T00:00:00"/>
    <n v="2018"/>
    <x v="1"/>
    <s v="R"/>
    <s v="RS"/>
    <x v="10"/>
    <s v="PHX"/>
    <s v="A"/>
    <n v="2"/>
    <n v="2"/>
    <n v="0"/>
    <n v="0"/>
    <n v="0"/>
    <n v="0"/>
    <n v="1471.5940733439224"/>
    <n v="1539.4946098332991"/>
    <n v="0.29433754827031705"/>
    <n v="87"/>
    <n v="71"/>
    <n v="0"/>
    <n v="16"/>
    <n v="1"/>
    <n v="0.49005676774652923"/>
    <n v="1"/>
    <n v="75.7"/>
    <n v="75.7"/>
    <n v="26.178169778255796"/>
    <n v="1497.7722431221782"/>
    <n v="1"/>
    <n v="0"/>
    <n v="0"/>
    <n v="0"/>
    <n v="0"/>
    <n v="0"/>
    <n v="0"/>
    <n v="0"/>
    <n v="0"/>
    <n v="0"/>
  </r>
  <r>
    <d v="2018-05-23T00:00:00"/>
    <n v="2018"/>
    <x v="2"/>
    <s v="R"/>
    <s v="RS"/>
    <x v="1"/>
    <s v="SEA"/>
    <s v="H"/>
    <n v="2"/>
    <n v="2"/>
    <n v="0"/>
    <n v="0"/>
    <n v="0"/>
    <n v="0"/>
    <n v="1539.4946098332991"/>
    <n v="1471.5940733439224"/>
    <n v="0.70566245172968289"/>
    <n v="71"/>
    <n v="87"/>
    <n v="0"/>
    <n v="-16"/>
    <n v="0"/>
    <n v="0.49005676774652923"/>
    <n v="1"/>
    <n v="75.55"/>
    <n v="75.55"/>
    <n v="-26.126297579223579"/>
    <n v="1513.3683122540756"/>
    <n v="0"/>
    <n v="1"/>
    <n v="0"/>
    <n v="0"/>
    <n v="0"/>
    <n v="0"/>
    <n v="0"/>
    <n v="0"/>
    <n v="0"/>
    <n v="0"/>
  </r>
  <r>
    <d v="2018-05-24T00:00:00"/>
    <n v="2018"/>
    <x v="2"/>
    <s v="R"/>
    <s v="RS"/>
    <x v="8"/>
    <s v="CON"/>
    <s v="A"/>
    <n v="1"/>
    <n v="3"/>
    <n v="-2"/>
    <n v="2"/>
    <n v="-16"/>
    <n v="16"/>
    <n v="1624.8099780968637"/>
    <n v="1543.8816214943622"/>
    <n v="0.44969858499328347"/>
    <n v="94"/>
    <n v="102"/>
    <n v="0"/>
    <n v="-8"/>
    <n v="0"/>
    <n v="0.36378197078840174"/>
    <n v="1"/>
    <n v="75.55"/>
    <n v="75.55"/>
    <n v="-12.359393543851205"/>
    <n v="1612.4505845530125"/>
    <n v="0"/>
    <n v="1"/>
    <n v="0"/>
    <n v="0"/>
    <n v="0"/>
    <n v="0"/>
    <n v="0"/>
    <n v="0"/>
    <n v="0"/>
    <n v="0"/>
  </r>
  <r>
    <d v="2018-05-24T00:00:00"/>
    <n v="2018"/>
    <x v="1"/>
    <s v="R"/>
    <s v="RS"/>
    <x v="6"/>
    <s v="LAS"/>
    <s v="H"/>
    <n v="3"/>
    <n v="1"/>
    <n v="2"/>
    <n v="-2"/>
    <n v="16"/>
    <n v="-16"/>
    <n v="1543.8816214943622"/>
    <n v="1624.8099780968637"/>
    <n v="0.55030141500671659"/>
    <n v="102"/>
    <n v="94"/>
    <n v="0"/>
    <n v="8"/>
    <n v="1"/>
    <n v="0.36378197078840174"/>
    <n v="1"/>
    <n v="75.7"/>
    <n v="75.7"/>
    <n v="12.383932379477645"/>
    <n v="1556.26555387384"/>
    <n v="1"/>
    <n v="0"/>
    <n v="0"/>
    <n v="0"/>
    <n v="0"/>
    <n v="0"/>
    <n v="0"/>
    <n v="0"/>
    <n v="0"/>
    <n v="0"/>
  </r>
  <r>
    <d v="2018-05-24T00:00:00"/>
    <n v="2018"/>
    <x v="2"/>
    <s v="R"/>
    <s v="RS"/>
    <x v="11"/>
    <s v="IND"/>
    <s v="A"/>
    <n v="1"/>
    <n v="1"/>
    <n v="0"/>
    <n v="0"/>
    <n v="0"/>
    <n v="0"/>
    <n v="1514.3066008981496"/>
    <n v="1372.5994799341167"/>
    <n v="0.58229187228679224"/>
    <n v="93"/>
    <n v="84"/>
    <n v="0"/>
    <n v="9"/>
    <n v="1"/>
    <n v="0.36309402027072557"/>
    <n v="1"/>
    <n v="75.55"/>
    <n v="75.55"/>
    <n v="11.458466282201101"/>
    <n v="1525.7650671803506"/>
    <n v="1"/>
    <n v="0"/>
    <n v="0"/>
    <n v="0"/>
    <n v="0"/>
    <n v="0"/>
    <n v="0"/>
    <n v="0"/>
    <n v="0"/>
    <n v="0"/>
  </r>
  <r>
    <d v="2018-05-24T00:00:00"/>
    <n v="2018"/>
    <x v="3"/>
    <s v="R"/>
    <s v="RS"/>
    <x v="3"/>
    <s v="WAS"/>
    <s v="H"/>
    <n v="1"/>
    <n v="1"/>
    <n v="0"/>
    <n v="0"/>
    <n v="0"/>
    <n v="0"/>
    <n v="1372.5994799341167"/>
    <n v="1514.3066008981496"/>
    <n v="0.4177081277132077"/>
    <n v="84"/>
    <n v="93"/>
    <n v="0"/>
    <n v="-9"/>
    <n v="0"/>
    <n v="0.36309402027072557"/>
    <n v="1"/>
    <n v="75.400000000000006"/>
    <n v="75.400000000000006"/>
    <n v="-11.435716183692429"/>
    <n v="1361.1637637504243"/>
    <n v="0"/>
    <n v="1"/>
    <n v="0"/>
    <n v="0"/>
    <n v="0"/>
    <n v="0"/>
    <n v="0"/>
    <n v="0"/>
    <n v="0"/>
    <n v="0"/>
  </r>
  <r>
    <d v="2018-05-25T00:00:00"/>
    <n v="2018"/>
    <x v="2"/>
    <s v="R"/>
    <s v="RS"/>
    <x v="9"/>
    <s v="NYL"/>
    <s v="A"/>
    <n v="1"/>
    <n v="4"/>
    <n v="-3"/>
    <n v="3"/>
    <n v="-16"/>
    <n v="16"/>
    <n v="1616.4425061894267"/>
    <n v="1530.478996110764"/>
    <n v="0.45688138482126384"/>
    <n v="78"/>
    <n v="72"/>
    <n v="0"/>
    <n v="6"/>
    <n v="1"/>
    <n v="0.32779850283885936"/>
    <n v="1"/>
    <n v="75.55"/>
    <n v="75.55"/>
    <n v="13.450428576868552"/>
    <n v="1629.8929347662952"/>
    <n v="1"/>
    <n v="0"/>
    <n v="0"/>
    <n v="0"/>
    <n v="0"/>
    <n v="0"/>
    <n v="0"/>
    <n v="0"/>
    <n v="0"/>
    <n v="0"/>
  </r>
  <r>
    <d v="2018-05-25T00:00:00"/>
    <n v="2018"/>
    <x v="1"/>
    <s v="R"/>
    <s v="RS"/>
    <x v="4"/>
    <s v="MIN"/>
    <s v="H"/>
    <n v="4"/>
    <n v="1"/>
    <n v="3"/>
    <n v="-3"/>
    <n v="16"/>
    <n v="-16"/>
    <n v="1530.478996110764"/>
    <n v="1616.4425061894267"/>
    <n v="0.54311861517873616"/>
    <n v="72"/>
    <n v="78"/>
    <n v="0"/>
    <n v="-6"/>
    <n v="0"/>
    <n v="0.32779850283885936"/>
    <n v="1"/>
    <n v="75.7"/>
    <n v="75.7"/>
    <n v="-13.477133597206478"/>
    <n v="1517.0018625135576"/>
    <n v="0"/>
    <n v="1"/>
    <n v="0"/>
    <n v="0"/>
    <n v="0"/>
    <n v="0"/>
    <n v="0"/>
    <n v="0"/>
    <n v="0"/>
    <n v="0"/>
  </r>
  <r>
    <d v="2018-05-25T00:00:00"/>
    <n v="2018"/>
    <x v="3"/>
    <s v="R"/>
    <s v="RS"/>
    <x v="2"/>
    <s v="SEA"/>
    <s v="A"/>
    <n v="1"/>
    <n v="1"/>
    <n v="0"/>
    <n v="0"/>
    <n v="0"/>
    <n v="0"/>
    <n v="1459.6687628289267"/>
    <n v="1497.7722431221782"/>
    <n v="0.33117308871090184"/>
    <n v="91"/>
    <n v="95"/>
    <n v="1"/>
    <n v="-4"/>
    <n v="0"/>
    <n v="0.2716633617866287"/>
    <n v="1"/>
    <n v="75.400000000000006"/>
    <n v="75.400000000000006"/>
    <n v="-6.7835566337798614"/>
    <n v="1452.8852061951468"/>
    <n v="0"/>
    <n v="1"/>
    <n v="0"/>
    <n v="0"/>
    <n v="0"/>
    <n v="0"/>
    <n v="0"/>
    <n v="0"/>
    <n v="0"/>
    <n v="0"/>
  </r>
  <r>
    <d v="2018-05-25T00:00:00"/>
    <n v="2018"/>
    <x v="2"/>
    <s v="R"/>
    <s v="RS"/>
    <x v="10"/>
    <s v="CHI"/>
    <s v="H"/>
    <n v="1"/>
    <n v="1"/>
    <n v="0"/>
    <n v="0"/>
    <n v="0"/>
    <n v="0"/>
    <n v="1497.7722431221782"/>
    <n v="1459.6687628289267"/>
    <n v="0.66882691128909821"/>
    <n v="95"/>
    <n v="91"/>
    <n v="1"/>
    <n v="4"/>
    <n v="1"/>
    <n v="0.2716633617866287"/>
    <n v="1"/>
    <n v="75.55"/>
    <n v="75.55"/>
    <n v="6.7970517729717299"/>
    <n v="1504.5692948951501"/>
    <n v="1"/>
    <n v="0"/>
    <n v="0"/>
    <n v="0"/>
    <n v="0"/>
    <n v="0"/>
    <n v="0"/>
    <n v="0"/>
    <n v="0"/>
    <n v="0"/>
  </r>
  <r>
    <d v="2018-05-26T00:00:00"/>
    <n v="2018"/>
    <x v="3"/>
    <s v="R"/>
    <s v="RS"/>
    <x v="0"/>
    <s v="ATL"/>
    <s v="A"/>
    <n v="2"/>
    <n v="2"/>
    <n v="0"/>
    <n v="0"/>
    <n v="0"/>
    <n v="0"/>
    <n v="1474.8350926561368"/>
    <n v="1458.4896284252641"/>
    <n v="0.40384951307883282"/>
    <n v="78"/>
    <n v="70"/>
    <n v="0"/>
    <n v="8"/>
    <n v="1"/>
    <n v="0.38309728256211911"/>
    <n v="1"/>
    <n v="75.400000000000006"/>
    <n v="75.400000000000006"/>
    <n v="17.220125817933781"/>
    <n v="1492.0552184740707"/>
    <n v="1"/>
    <n v="0"/>
    <n v="0"/>
    <n v="0"/>
    <n v="0"/>
    <n v="0"/>
    <n v="0"/>
    <n v="0"/>
    <n v="0"/>
    <n v="0"/>
  </r>
  <r>
    <d v="2018-05-26T00:00:00"/>
    <n v="2018"/>
    <x v="2"/>
    <s v="R"/>
    <s v="RS"/>
    <x v="7"/>
    <s v="DAL"/>
    <s v="H"/>
    <n v="2"/>
    <n v="2"/>
    <n v="0"/>
    <n v="0"/>
    <n v="0"/>
    <n v="0"/>
    <n v="1458.4896284252641"/>
    <n v="1474.8350926561368"/>
    <n v="0.59615048692116712"/>
    <n v="70"/>
    <n v="78"/>
    <n v="0"/>
    <n v="-8"/>
    <n v="0"/>
    <n v="0.38309728256211911"/>
    <n v="1"/>
    <n v="75.55"/>
    <n v="75.55"/>
    <n v="-17.254383362664413"/>
    <n v="1441.2352450625997"/>
    <n v="0"/>
    <n v="1"/>
    <n v="0"/>
    <n v="0"/>
    <n v="0"/>
    <n v="0"/>
    <n v="0"/>
    <n v="0"/>
    <n v="0"/>
    <n v="0"/>
  </r>
  <r>
    <d v="2018-05-26T00:00:00"/>
    <n v="2018"/>
    <x v="4"/>
    <s v="R"/>
    <s v="RS"/>
    <x v="3"/>
    <s v="CON"/>
    <s v="A"/>
    <n v="1"/>
    <n v="1"/>
    <n v="0"/>
    <n v="0"/>
    <n v="0"/>
    <n v="0"/>
    <n v="1361.1637637504243"/>
    <n v="1556.26555387384"/>
    <n v="0.16705575983758431"/>
    <n v="77"/>
    <n v="86"/>
    <n v="0"/>
    <n v="-9"/>
    <n v="0"/>
    <n v="0.3491973388791903"/>
    <n v="1"/>
    <n v="75.25"/>
    <n v="75.25"/>
    <n v="-4.3897408651743479"/>
    <n v="1356.7740228852499"/>
    <n v="0"/>
    <n v="1"/>
    <n v="0"/>
    <n v="0"/>
    <n v="0"/>
    <n v="0"/>
    <n v="0"/>
    <n v="0"/>
    <n v="0"/>
    <n v="0"/>
  </r>
  <r>
    <d v="2018-05-26T00:00:00"/>
    <n v="2018"/>
    <x v="2"/>
    <s v="R"/>
    <s v="RS"/>
    <x v="6"/>
    <s v="IND"/>
    <s v="H"/>
    <n v="1"/>
    <n v="1"/>
    <n v="0"/>
    <n v="0"/>
    <n v="0"/>
    <n v="0"/>
    <n v="1556.26555387384"/>
    <n v="1361.1637637504243"/>
    <n v="0.83294424016241564"/>
    <n v="86"/>
    <n v="77"/>
    <n v="0"/>
    <n v="9"/>
    <n v="1"/>
    <n v="0.3491973388791903"/>
    <n v="1"/>
    <n v="75.55"/>
    <n v="75.55"/>
    <n v="4.4072414932082671"/>
    <n v="1560.6727953670481"/>
    <n v="1"/>
    <n v="0"/>
    <n v="0"/>
    <n v="0"/>
    <n v="0"/>
    <n v="0"/>
    <n v="0"/>
    <n v="0"/>
    <n v="0"/>
    <n v="0"/>
  </r>
  <r>
    <d v="2018-05-27T00:00:00"/>
    <n v="2018"/>
    <x v="3"/>
    <s v="R"/>
    <s v="RS"/>
    <x v="1"/>
    <s v="LAS"/>
    <s v="A"/>
    <n v="3"/>
    <n v="2"/>
    <n v="1"/>
    <n v="-1"/>
    <n v="8"/>
    <n v="-8"/>
    <n v="1513.3683122540756"/>
    <n v="1612.4505845530125"/>
    <n v="0.27651737475668559"/>
    <n v="72"/>
    <n v="80"/>
    <n v="0"/>
    <n v="-8"/>
    <n v="0"/>
    <n v="0.35869833030588721"/>
    <n v="1"/>
    <n v="75.400000000000006"/>
    <n v="75.400000000000006"/>
    <n v="-7.4786485751845975"/>
    <n v="1505.8896636788909"/>
    <n v="0"/>
    <n v="1"/>
    <n v="0"/>
    <n v="0"/>
    <n v="0"/>
    <n v="0"/>
    <n v="0"/>
    <n v="0"/>
    <n v="0"/>
    <n v="0"/>
  </r>
  <r>
    <d v="2018-05-27T00:00:00"/>
    <n v="2018"/>
    <x v="3"/>
    <s v="R"/>
    <s v="RS"/>
    <x v="8"/>
    <s v="PHX"/>
    <s v="H"/>
    <n v="2"/>
    <n v="3"/>
    <n v="-1"/>
    <n v="1"/>
    <n v="-8"/>
    <n v="8"/>
    <n v="1612.4505845530125"/>
    <n v="1513.3683122540756"/>
    <n v="0.72348262524331441"/>
    <n v="80"/>
    <n v="72"/>
    <n v="0"/>
    <n v="8"/>
    <n v="1"/>
    <n v="0.35869833030588721"/>
    <n v="1"/>
    <n v="75.400000000000006"/>
    <n v="75.400000000000006"/>
    <n v="7.4786485751845975"/>
    <n v="1619.9292331281972"/>
    <n v="1"/>
    <n v="0"/>
    <n v="0"/>
    <n v="0"/>
    <n v="0"/>
    <n v="0"/>
    <n v="0"/>
    <n v="0"/>
    <n v="0"/>
    <n v="0"/>
  </r>
  <r>
    <d v="2018-05-27T00:00:00"/>
    <n v="2018"/>
    <x v="3"/>
    <s v="R"/>
    <s v="RS"/>
    <x v="10"/>
    <s v="LVA"/>
    <s v="A"/>
    <n v="1"/>
    <n v="4"/>
    <n v="-3"/>
    <n v="3"/>
    <n v="-16"/>
    <n v="16"/>
    <n v="1504.5692948951501"/>
    <n v="1471.3513590003517"/>
    <n v="0.38307140809542251"/>
    <n v="105"/>
    <n v="98"/>
    <n v="0"/>
    <n v="7"/>
    <n v="1"/>
    <n v="0.36013797241955714"/>
    <n v="1"/>
    <n v="75.400000000000006"/>
    <n v="75.400000000000006"/>
    <n v="16.75232768109899"/>
    <n v="1521.321622576249"/>
    <n v="1"/>
    <n v="0"/>
    <n v="0"/>
    <n v="0"/>
    <n v="0"/>
    <n v="0"/>
    <n v="0"/>
    <n v="0"/>
    <n v="0"/>
    <n v="0"/>
  </r>
  <r>
    <d v="2018-05-27T00:00:00"/>
    <n v="2018"/>
    <x v="2"/>
    <s v="R"/>
    <s v="RS"/>
    <x v="5"/>
    <s v="SEA"/>
    <s v="H"/>
    <n v="4"/>
    <n v="1"/>
    <n v="3"/>
    <n v="-3"/>
    <n v="16"/>
    <n v="-16"/>
    <n v="1471.3513590003517"/>
    <n v="1504.5692948951501"/>
    <n v="0.61692859190457749"/>
    <n v="98"/>
    <n v="105"/>
    <n v="0"/>
    <n v="-7"/>
    <n v="0"/>
    <n v="0.36013797241955714"/>
    <n v="1"/>
    <n v="75.55"/>
    <n v="75.55"/>
    <n v="-16.785654592931412"/>
    <n v="1454.5657044074203"/>
    <n v="0"/>
    <n v="1"/>
    <n v="0"/>
    <n v="0"/>
    <n v="0"/>
    <n v="0"/>
    <n v="0"/>
    <n v="0"/>
    <n v="0"/>
    <n v="0"/>
  </r>
  <r>
    <d v="2018-05-27T00:00:00"/>
    <n v="2018"/>
    <x v="3"/>
    <s v="R"/>
    <s v="RS"/>
    <x v="9"/>
    <s v="WAS"/>
    <s v="A"/>
    <n v="1"/>
    <n v="2"/>
    <n v="-1"/>
    <n v="1"/>
    <n v="-8"/>
    <n v="8"/>
    <n v="1629.8929347662952"/>
    <n v="1525.7650671803506"/>
    <n v="0.50594019948284397"/>
    <n v="78"/>
    <n v="90"/>
    <n v="0"/>
    <n v="-12"/>
    <n v="0"/>
    <n v="0.41970986534092836"/>
    <n v="1"/>
    <n v="75.400000000000006"/>
    <n v="75.400000000000006"/>
    <n v="-16.01104621186122"/>
    <n v="1613.881888554434"/>
    <n v="0"/>
    <n v="1"/>
    <n v="0"/>
    <n v="0"/>
    <n v="0"/>
    <n v="0"/>
    <n v="0"/>
    <n v="0"/>
    <n v="0"/>
    <n v="0"/>
  </r>
  <r>
    <d v="2018-05-27T00:00:00"/>
    <n v="2018"/>
    <x v="3"/>
    <s v="R"/>
    <s v="RS"/>
    <x v="11"/>
    <s v="MIN"/>
    <s v="H"/>
    <n v="2"/>
    <n v="1"/>
    <n v="1"/>
    <n v="-1"/>
    <n v="8"/>
    <n v="-8"/>
    <n v="1525.7650671803506"/>
    <n v="1629.8929347662952"/>
    <n v="0.49405980051715592"/>
    <n v="90"/>
    <n v="78"/>
    <n v="0"/>
    <n v="12"/>
    <n v="1"/>
    <n v="0.41970986534092836"/>
    <n v="1"/>
    <n v="75.400000000000006"/>
    <n v="75.400000000000006"/>
    <n v="16.011046211861224"/>
    <n v="1541.7761133922118"/>
    <n v="1"/>
    <n v="0"/>
    <n v="0"/>
    <n v="0"/>
    <n v="0"/>
    <n v="0"/>
    <n v="0"/>
    <n v="0"/>
    <n v="0"/>
    <n v="0"/>
  </r>
  <r>
    <d v="2018-05-29T00:00:00"/>
    <n v="2018"/>
    <x v="4"/>
    <s v="R"/>
    <s v="RS"/>
    <x v="9"/>
    <s v="ATL"/>
    <s v="A"/>
    <n v="1"/>
    <n v="2"/>
    <n v="-1"/>
    <n v="1"/>
    <n v="-8"/>
    <n v="8"/>
    <n v="1613.881888554434"/>
    <n v="1441.2352450625997"/>
    <n v="0.60304950018322889"/>
    <n v="74"/>
    <n v="76"/>
    <n v="0"/>
    <n v="-2"/>
    <n v="0"/>
    <n v="0.23415318610620697"/>
    <n v="1"/>
    <n v="75.25"/>
    <n v="75.25"/>
    <n v="-10.625748629036318"/>
    <n v="1603.2561399253977"/>
    <n v="0"/>
    <n v="1"/>
    <n v="0"/>
    <n v="0"/>
    <n v="0"/>
    <n v="0"/>
    <n v="0"/>
    <n v="0"/>
    <n v="0"/>
    <n v="0"/>
  </r>
  <r>
    <d v="2018-05-29T00:00:00"/>
    <n v="2018"/>
    <x v="3"/>
    <s v="R"/>
    <s v="RS"/>
    <x v="7"/>
    <s v="MIN"/>
    <s v="H"/>
    <n v="2"/>
    <n v="1"/>
    <n v="1"/>
    <n v="-1"/>
    <n v="8"/>
    <n v="-8"/>
    <n v="1441.2352450625997"/>
    <n v="1613.881888554434"/>
    <n v="0.39695049981677116"/>
    <n v="76"/>
    <n v="74"/>
    <n v="0"/>
    <n v="2"/>
    <n v="1"/>
    <n v="0.23415318610620697"/>
    <n v="1"/>
    <n v="75.400000000000006"/>
    <n v="75.400000000000006"/>
    <n v="10.646929523313466"/>
    <n v="1451.8821745859132"/>
    <n v="1"/>
    <n v="0"/>
    <n v="0"/>
    <n v="0"/>
    <n v="0"/>
    <n v="0"/>
    <n v="0"/>
    <n v="0"/>
    <n v="0"/>
    <n v="0"/>
  </r>
  <r>
    <d v="2018-05-29T00:00:00"/>
    <n v="2018"/>
    <x v="4"/>
    <s v="R"/>
    <s v="RS"/>
    <x v="0"/>
    <s v="NYL"/>
    <s v="A"/>
    <n v="2"/>
    <n v="3"/>
    <n v="-1"/>
    <n v="1"/>
    <n v="-8"/>
    <n v="8"/>
    <n v="1492.0552184740707"/>
    <n v="1517.0018625135576"/>
    <n v="0.32755800524434142"/>
    <n v="89"/>
    <n v="94"/>
    <n v="0"/>
    <n v="-5"/>
    <n v="0"/>
    <n v="0.32499960099540798"/>
    <n v="1"/>
    <n v="75.25"/>
    <n v="75.25"/>
    <n v="-8.0108306307965194"/>
    <n v="1484.0443878432741"/>
    <n v="0"/>
    <n v="1"/>
    <n v="0"/>
    <n v="0"/>
    <n v="0"/>
    <n v="0"/>
    <n v="0"/>
    <n v="0"/>
    <n v="0"/>
    <n v="0"/>
  </r>
  <r>
    <d v="2018-05-29T00:00:00"/>
    <n v="2018"/>
    <x v="2"/>
    <s v="R"/>
    <s v="RS"/>
    <x v="4"/>
    <s v="DAL"/>
    <s v="H"/>
    <n v="3"/>
    <n v="2"/>
    <n v="1"/>
    <n v="-1"/>
    <n v="8"/>
    <n v="-8"/>
    <n v="1517.0018625135576"/>
    <n v="1492.0552184740707"/>
    <n v="0.67244199475565858"/>
    <n v="94"/>
    <n v="89"/>
    <n v="0"/>
    <n v="5"/>
    <n v="1"/>
    <n v="0.32499960099540798"/>
    <n v="1"/>
    <n v="75.55"/>
    <n v="75.55"/>
    <n v="8.0427674970986978"/>
    <n v="1525.0446300106564"/>
    <n v="1"/>
    <n v="0"/>
    <n v="0"/>
    <n v="0"/>
    <n v="0"/>
    <n v="0"/>
    <n v="0"/>
    <n v="0"/>
    <n v="0"/>
    <n v="0"/>
  </r>
  <r>
    <d v="2018-05-29T00:00:00"/>
    <n v="2018"/>
    <x v="4"/>
    <s v="R"/>
    <s v="RS"/>
    <x v="11"/>
    <s v="SEA"/>
    <s v="A"/>
    <n v="1"/>
    <n v="1"/>
    <n v="0"/>
    <n v="0"/>
    <n v="0"/>
    <n v="0"/>
    <n v="1541.7761133922118"/>
    <n v="1521.321622576249"/>
    <n v="0.40955691764383895"/>
    <n v="77"/>
    <n v="81"/>
    <n v="0"/>
    <n v="-4"/>
    <n v="0"/>
    <n v="0.30621320556966991"/>
    <n v="1"/>
    <n v="75.25"/>
    <n v="75.25"/>
    <n v="-9.4372331802752303"/>
    <n v="1532.3388802119366"/>
    <n v="0"/>
    <n v="1"/>
    <n v="0"/>
    <n v="0"/>
    <n v="0"/>
    <n v="0"/>
    <n v="0"/>
    <n v="0"/>
    <n v="0"/>
    <n v="0"/>
  </r>
  <r>
    <d v="2018-05-29T00:00:00"/>
    <n v="2018"/>
    <x v="4"/>
    <s v="R"/>
    <s v="RS"/>
    <x v="10"/>
    <s v="WAS"/>
    <s v="H"/>
    <n v="1"/>
    <n v="1"/>
    <n v="0"/>
    <n v="0"/>
    <n v="0"/>
    <n v="0"/>
    <n v="1521.321622576249"/>
    <n v="1541.7761133922118"/>
    <n v="0.59044308235616105"/>
    <n v="81"/>
    <n v="77"/>
    <n v="0"/>
    <n v="4"/>
    <n v="1"/>
    <n v="0.30621320556966991"/>
    <n v="1"/>
    <n v="75.25"/>
    <n v="75.25"/>
    <n v="9.4372331802752303"/>
    <n v="1530.7588557565241"/>
    <n v="1"/>
    <n v="0"/>
    <n v="0"/>
    <n v="0"/>
    <n v="0"/>
    <n v="0"/>
    <n v="0"/>
    <n v="0"/>
    <n v="0"/>
    <n v="0"/>
  </r>
  <r>
    <d v="2018-05-30T00:00:00"/>
    <n v="2018"/>
    <x v="5"/>
    <s v="R"/>
    <s v="RS"/>
    <x v="11"/>
    <s v="PHX"/>
    <s v="A"/>
    <n v="0"/>
    <n v="2"/>
    <n v="-2"/>
    <n v="2"/>
    <n v="-16"/>
    <n v="16"/>
    <n v="1532.3388802119366"/>
    <n v="1505.8896636788909"/>
    <n v="0.37390608028553823"/>
    <n v="103"/>
    <n v="95"/>
    <n v="0"/>
    <n v="8"/>
    <n v="1"/>
    <n v="0.3799412447918924"/>
    <n v="1"/>
    <n v="75.099999999999994"/>
    <n v="75.099999999999994"/>
    <n v="17.864705631292374"/>
    <n v="1550.2035858432289"/>
    <n v="1"/>
    <n v="0"/>
    <n v="0"/>
    <n v="0"/>
    <n v="0"/>
    <n v="0"/>
    <n v="0"/>
    <n v="0"/>
    <n v="0"/>
    <n v="0"/>
  </r>
  <r>
    <d v="2018-05-30T00:00:00"/>
    <n v="2018"/>
    <x v="4"/>
    <s v="R"/>
    <s v="RS"/>
    <x v="1"/>
    <s v="WAS"/>
    <s v="H"/>
    <n v="2"/>
    <n v="0"/>
    <n v="2"/>
    <n v="-2"/>
    <n v="16"/>
    <n v="-16"/>
    <n v="1505.8896636788909"/>
    <n v="1532.3388802119366"/>
    <n v="0.62609391971446171"/>
    <n v="95"/>
    <n v="103"/>
    <n v="0"/>
    <n v="-8"/>
    <n v="0"/>
    <n v="0.3799412447918924"/>
    <n v="1"/>
    <n v="75.25"/>
    <n v="75.25"/>
    <n v="-17.900387466774315"/>
    <n v="1487.9892762121165"/>
    <n v="0"/>
    <n v="1"/>
    <n v="0"/>
    <n v="0"/>
    <n v="0"/>
    <n v="0"/>
    <n v="0"/>
    <n v="0"/>
    <n v="0"/>
    <n v="0"/>
  </r>
  <r>
    <d v="2018-05-31T00:00:00"/>
    <n v="2018"/>
    <x v="3"/>
    <s v="R"/>
    <s v="RS"/>
    <x v="5"/>
    <s v="SEA"/>
    <s v="A"/>
    <n v="3"/>
    <n v="1"/>
    <n v="2"/>
    <n v="-2"/>
    <n v="16"/>
    <n v="-16"/>
    <n v="1454.5657044074203"/>
    <n v="1530.7588557565241"/>
    <n v="0.32345497050898009"/>
    <n v="74"/>
    <n v="101"/>
    <n v="0"/>
    <n v="-27"/>
    <n v="0"/>
    <n v="0.62686435760472048"/>
    <n v="1"/>
    <n v="75.400000000000006"/>
    <n v="75.400000000000006"/>
    <n v="-15.288284379583288"/>
    <n v="1439.277420027837"/>
    <n v="0"/>
    <n v="1"/>
    <n v="0"/>
    <n v="0"/>
    <n v="0"/>
    <n v="0"/>
    <n v="0"/>
    <n v="0"/>
    <n v="0"/>
    <n v="0"/>
  </r>
  <r>
    <d v="2018-05-31T00:00:00"/>
    <n v="2018"/>
    <x v="5"/>
    <s v="R"/>
    <s v="RS"/>
    <x v="10"/>
    <s v="LVA"/>
    <s v="H"/>
    <n v="1"/>
    <n v="3"/>
    <n v="-2"/>
    <n v="2"/>
    <n v="-16"/>
    <n v="16"/>
    <n v="1530.7588557565241"/>
    <n v="1454.5657044074203"/>
    <n v="0.67654502949101991"/>
    <n v="101"/>
    <n v="74"/>
    <n v="0"/>
    <n v="27"/>
    <n v="1"/>
    <n v="0.62686435760472048"/>
    <n v="1"/>
    <n v="75.099999999999994"/>
    <n v="75.099999999999994"/>
    <n v="15.227455661892638"/>
    <n v="1545.9863114184168"/>
    <n v="1"/>
    <n v="0"/>
    <n v="0"/>
    <n v="0"/>
    <n v="0"/>
    <n v="0"/>
    <n v="0"/>
    <n v="0"/>
    <n v="0"/>
    <n v="0"/>
  </r>
  <r>
    <d v="2018-06-01T00:00:00"/>
    <n v="2018"/>
    <x v="3"/>
    <s v="R"/>
    <s v="RS"/>
    <x v="6"/>
    <s v="CHI"/>
    <s v="A"/>
    <n v="5"/>
    <n v="6"/>
    <n v="-1"/>
    <n v="1"/>
    <n v="-8"/>
    <n v="8"/>
    <n v="1560.6727953670481"/>
    <n v="1452.8852061951468"/>
    <n v="0.51120536521481108"/>
    <n v="110"/>
    <n v="72"/>
    <n v="0"/>
    <n v="38"/>
    <n v="1"/>
    <n v="0.73037157329403146"/>
    <n v="1"/>
    <n v="75.400000000000006"/>
    <n v="75.400000000000006"/>
    <n v="26.917928664500796"/>
    <n v="1587.5907240315489"/>
    <n v="1"/>
    <n v="0"/>
    <n v="0"/>
    <n v="0"/>
    <n v="0"/>
    <n v="0"/>
    <n v="0"/>
    <n v="0"/>
    <n v="0"/>
    <n v="0"/>
  </r>
  <r>
    <d v="2018-06-01T00:00:00"/>
    <n v="2018"/>
    <x v="4"/>
    <s v="R"/>
    <s v="RS"/>
    <x v="2"/>
    <s v="CON"/>
    <s v="H"/>
    <n v="6"/>
    <n v="5"/>
    <n v="1"/>
    <n v="-1"/>
    <n v="8"/>
    <n v="-8"/>
    <n v="1452.8852061951468"/>
    <n v="1560.6727953670481"/>
    <n v="0.48879463478518898"/>
    <n v="72"/>
    <n v="110"/>
    <n v="0"/>
    <n v="-38"/>
    <n v="0"/>
    <n v="0.73037157329403146"/>
    <n v="1"/>
    <n v="75.25"/>
    <n v="75.25"/>
    <n v="-26.864378408536936"/>
    <n v="1426.02082778661"/>
    <n v="0"/>
    <n v="1"/>
    <n v="0"/>
    <n v="0"/>
    <n v="0"/>
    <n v="0"/>
    <n v="0"/>
    <n v="0"/>
    <n v="0"/>
    <n v="0"/>
  </r>
  <r>
    <d v="2018-06-01T00:00:00"/>
    <n v="2018"/>
    <x v="6"/>
    <s v="R"/>
    <s v="RS"/>
    <x v="11"/>
    <s v="LVA"/>
    <s v="A"/>
    <n v="1"/>
    <n v="0"/>
    <n v="1"/>
    <n v="-1"/>
    <n v="8"/>
    <n v="-8"/>
    <n v="1550.2035858432289"/>
    <n v="1439.277420027837"/>
    <n v="0.56146329140348172"/>
    <n v="73"/>
    <n v="85"/>
    <n v="0"/>
    <n v="-12"/>
    <n v="0"/>
    <n v="0.41753330276339062"/>
    <n v="1"/>
    <n v="74.95"/>
    <n v="74.95"/>
    <n v="-17.570500201885476"/>
    <n v="1532.6330856413433"/>
    <n v="0"/>
    <n v="1"/>
    <n v="0"/>
    <n v="0"/>
    <n v="0"/>
    <n v="0"/>
    <n v="0"/>
    <n v="0"/>
    <n v="0"/>
    <n v="0"/>
  </r>
  <r>
    <d v="2018-06-01T00:00:00"/>
    <n v="2018"/>
    <x v="4"/>
    <s v="R"/>
    <s v="RS"/>
    <x v="5"/>
    <s v="WAS"/>
    <s v="H"/>
    <n v="0"/>
    <n v="1"/>
    <n v="-1"/>
    <n v="1"/>
    <n v="-8"/>
    <n v="8"/>
    <n v="1439.277420027837"/>
    <n v="1550.2035858432289"/>
    <n v="0.43853670859651833"/>
    <n v="85"/>
    <n v="73"/>
    <n v="0"/>
    <n v="12"/>
    <n v="1"/>
    <n v="0.41753330276339062"/>
    <n v="1"/>
    <n v="75.25"/>
    <n v="75.25"/>
    <n v="17.640829088617501"/>
    <n v="1456.9182491164545"/>
    <n v="1"/>
    <n v="0"/>
    <n v="0"/>
    <n v="0"/>
    <n v="0"/>
    <n v="0"/>
    <n v="0"/>
    <n v="0"/>
    <n v="0"/>
    <n v="0"/>
  </r>
  <r>
    <d v="2018-06-01T00:00:00"/>
    <n v="2018"/>
    <x v="5"/>
    <s v="R"/>
    <s v="RS"/>
    <x v="1"/>
    <s v="MIN"/>
    <s v="A"/>
    <n v="1"/>
    <n v="2"/>
    <n v="-1"/>
    <n v="1"/>
    <n v="-8"/>
    <n v="8"/>
    <n v="1487.9892762121165"/>
    <n v="1603.2561399253977"/>
    <n v="0.22457950341088181"/>
    <n v="95"/>
    <n v="85"/>
    <n v="0"/>
    <n v="10"/>
    <n v="1"/>
    <n v="0.38604761756502964"/>
    <n v="1"/>
    <n v="75.099999999999994"/>
    <n v="75.099999999999994"/>
    <n v="22.481127572481025"/>
    <n v="1510.4704037845975"/>
    <n v="1"/>
    <n v="0"/>
    <n v="0"/>
    <n v="0"/>
    <n v="0"/>
    <n v="0"/>
    <n v="0"/>
    <n v="0"/>
    <n v="0"/>
    <n v="0"/>
  </r>
  <r>
    <d v="2018-06-01T00:00:00"/>
    <n v="2018"/>
    <x v="5"/>
    <s v="R"/>
    <s v="RS"/>
    <x v="9"/>
    <s v="PHX"/>
    <s v="H"/>
    <n v="2"/>
    <n v="1"/>
    <n v="1"/>
    <n v="-1"/>
    <n v="8"/>
    <n v="-8"/>
    <n v="1603.2561399253977"/>
    <n v="1487.9892762121165"/>
    <n v="0.77542049658911805"/>
    <n v="85"/>
    <n v="95"/>
    <n v="0"/>
    <n v="-10"/>
    <n v="0"/>
    <n v="0.38604761756502964"/>
    <n v="1"/>
    <n v="75.099999999999994"/>
    <n v="75.099999999999994"/>
    <n v="-22.481127572481022"/>
    <n v="1580.7750123529167"/>
    <n v="0"/>
    <n v="1"/>
    <n v="0"/>
    <n v="0"/>
    <n v="0"/>
    <n v="0"/>
    <n v="0"/>
    <n v="0"/>
    <n v="0"/>
    <n v="0"/>
  </r>
  <r>
    <d v="2018-06-02T00:00:00"/>
    <n v="2018"/>
    <x v="6"/>
    <s v="R"/>
    <s v="RS"/>
    <x v="10"/>
    <s v="DAL"/>
    <s v="A"/>
    <n v="1"/>
    <n v="3"/>
    <n v="-2"/>
    <n v="2"/>
    <n v="-16"/>
    <n v="16"/>
    <n v="1545.9863114184168"/>
    <n v="1484.0443878432741"/>
    <n v="0.42282593450065364"/>
    <n v="90"/>
    <n v="94"/>
    <n v="0"/>
    <n v="-4"/>
    <n v="0"/>
    <n v="0.29614618145492017"/>
    <n v="1"/>
    <n v="74.95"/>
    <n v="74.95"/>
    <n v="-9.3851105298896336"/>
    <n v="1536.601200888527"/>
    <n v="0"/>
    <n v="1"/>
    <n v="0"/>
    <n v="0"/>
    <n v="0"/>
    <n v="0"/>
    <n v="0"/>
    <n v="0"/>
    <n v="0"/>
    <n v="0"/>
  </r>
  <r>
    <d v="2018-06-02T00:00:00"/>
    <n v="2018"/>
    <x v="5"/>
    <s v="R"/>
    <s v="RS"/>
    <x v="0"/>
    <s v="SEA"/>
    <s v="H"/>
    <n v="3"/>
    <n v="1"/>
    <n v="2"/>
    <n v="-2"/>
    <n v="16"/>
    <n v="-16"/>
    <n v="1484.0443878432741"/>
    <n v="1545.9863114184168"/>
    <n v="0.57717406549934636"/>
    <n v="94"/>
    <n v="90"/>
    <n v="0"/>
    <n v="4"/>
    <n v="1"/>
    <n v="0.29614618145492017"/>
    <n v="1"/>
    <n v="75.099999999999994"/>
    <n v="75.099999999999994"/>
    <n v="9.4038932727780047"/>
    <n v="1493.4482811160522"/>
    <n v="1"/>
    <n v="0"/>
    <n v="0"/>
    <n v="0"/>
    <n v="0"/>
    <n v="0"/>
    <n v="0"/>
    <n v="0"/>
    <n v="0"/>
    <n v="0"/>
  </r>
  <r>
    <d v="2018-06-02T00:00:00"/>
    <n v="2018"/>
    <x v="3"/>
    <s v="R"/>
    <s v="RS"/>
    <x v="4"/>
    <s v="IND"/>
    <s v="A"/>
    <n v="3"/>
    <n v="6"/>
    <n v="-3"/>
    <n v="3"/>
    <n v="-16"/>
    <n v="16"/>
    <n v="1525.0446300106564"/>
    <n v="1356.7740228852499"/>
    <n v="0.57466099956873884"/>
    <n v="87"/>
    <n v="81"/>
    <n v="1"/>
    <n v="6"/>
    <n v="1"/>
    <n v="0.27727206884558858"/>
    <n v="1"/>
    <n v="75.400000000000006"/>
    <n v="75.400000000000006"/>
    <n v="8.8922706956159026"/>
    <n v="1533.9369007062724"/>
    <n v="1"/>
    <n v="0"/>
    <n v="0"/>
    <n v="0"/>
    <n v="0"/>
    <n v="0"/>
    <n v="0"/>
    <n v="0"/>
    <n v="0"/>
    <n v="0"/>
  </r>
  <r>
    <d v="2018-06-02T00:00:00"/>
    <n v="2018"/>
    <x v="5"/>
    <s v="R"/>
    <s v="RS"/>
    <x v="3"/>
    <s v="NYL"/>
    <s v="H"/>
    <n v="6"/>
    <n v="3"/>
    <n v="3"/>
    <n v="-3"/>
    <n v="16"/>
    <n v="-16"/>
    <n v="1356.7740228852499"/>
    <n v="1525.0446300106564"/>
    <n v="0.42533900043126116"/>
    <n v="81"/>
    <n v="87"/>
    <n v="1"/>
    <n v="-6"/>
    <n v="0"/>
    <n v="0.27727206884558858"/>
    <n v="1"/>
    <n v="75.099999999999994"/>
    <n v="75.099999999999994"/>
    <n v="-8.8568903082328134"/>
    <n v="1347.9171325770171"/>
    <n v="0"/>
    <n v="1"/>
    <n v="0"/>
    <n v="0"/>
    <n v="0"/>
    <n v="0"/>
    <n v="0"/>
    <n v="0"/>
    <n v="0"/>
    <n v="0"/>
  </r>
  <r>
    <d v="2018-06-03T00:00:00"/>
    <n v="2018"/>
    <x v="6"/>
    <s v="R"/>
    <s v="RS"/>
    <x v="1"/>
    <s v="ATL"/>
    <s v="A"/>
    <n v="1"/>
    <n v="4"/>
    <n v="-3"/>
    <n v="3"/>
    <n v="-16"/>
    <n v="16"/>
    <n v="1510.4704037845975"/>
    <n v="1451.8821745859132"/>
    <n v="0.41812171504493278"/>
    <n v="78"/>
    <n v="71"/>
    <n v="0"/>
    <n v="7"/>
    <n v="1"/>
    <n v="0.35287840508992446"/>
    <n v="1"/>
    <n v="74.95"/>
    <n v="74.95"/>
    <n v="15.389654472297783"/>
    <n v="1525.8600582568952"/>
    <n v="1"/>
    <n v="0"/>
    <n v="0"/>
    <n v="0"/>
    <n v="0"/>
    <n v="0"/>
    <n v="0"/>
    <n v="0"/>
    <n v="0"/>
    <n v="0"/>
  </r>
  <r>
    <d v="2018-06-03T00:00:00"/>
    <n v="2018"/>
    <x v="4"/>
    <s v="R"/>
    <s v="RS"/>
    <x v="7"/>
    <s v="PHX"/>
    <s v="H"/>
    <n v="4"/>
    <n v="1"/>
    <n v="3"/>
    <n v="-3"/>
    <n v="16"/>
    <n v="-16"/>
    <n v="1451.8821745859132"/>
    <n v="1510.4704037845975"/>
    <n v="0.58187828495506722"/>
    <n v="71"/>
    <n v="78"/>
    <n v="0"/>
    <n v="-7"/>
    <n v="0"/>
    <n v="0.35287840508992446"/>
    <n v="1"/>
    <n v="75.25"/>
    <n v="75.25"/>
    <n v="-15.451254156643204"/>
    <n v="1436.4309204292699"/>
    <n v="0"/>
    <n v="1"/>
    <n v="0"/>
    <n v="0"/>
    <n v="0"/>
    <n v="0"/>
    <n v="0"/>
    <n v="0"/>
    <n v="0"/>
    <n v="0"/>
  </r>
  <r>
    <d v="2018-06-03T00:00:00"/>
    <n v="2018"/>
    <x v="5"/>
    <s v="R"/>
    <s v="RS"/>
    <x v="5"/>
    <s v="CHI"/>
    <s v="A"/>
    <n v="1"/>
    <n v="1"/>
    <n v="0"/>
    <n v="0"/>
    <n v="0"/>
    <n v="0"/>
    <n v="1456.9182491164545"/>
    <n v="1426.02082778661"/>
    <n v="0.42416881413328206"/>
    <n v="90"/>
    <n v="95"/>
    <n v="0"/>
    <n v="-5"/>
    <n v="0"/>
    <n v="0.3234283894456354"/>
    <n v="1"/>
    <n v="75.099999999999994"/>
    <n v="75.099999999999994"/>
    <n v="-10.302836554255254"/>
    <n v="1446.6154125621993"/>
    <n v="0"/>
    <n v="1"/>
    <n v="0"/>
    <n v="0"/>
    <n v="0"/>
    <n v="0"/>
    <n v="0"/>
    <n v="0"/>
    <n v="0"/>
    <n v="0"/>
  </r>
  <r>
    <d v="2018-06-03T00:00:00"/>
    <n v="2018"/>
    <x v="5"/>
    <s v="R"/>
    <s v="RS"/>
    <x v="2"/>
    <s v="LVA"/>
    <s v="H"/>
    <n v="1"/>
    <n v="1"/>
    <n v="0"/>
    <n v="0"/>
    <n v="0"/>
    <n v="0"/>
    <n v="1426.02082778661"/>
    <n v="1456.9182491164545"/>
    <n v="0.575831185866718"/>
    <n v="95"/>
    <n v="90"/>
    <n v="0"/>
    <n v="5"/>
    <n v="1"/>
    <n v="0.3234283894456354"/>
    <n v="1"/>
    <n v="75.099999999999994"/>
    <n v="75.099999999999994"/>
    <n v="10.302836554255252"/>
    <n v="1436.3236643408652"/>
    <n v="1"/>
    <n v="0"/>
    <n v="0"/>
    <n v="0"/>
    <n v="0"/>
    <n v="0"/>
    <n v="0"/>
    <n v="0"/>
    <n v="0"/>
    <n v="0"/>
  </r>
  <r>
    <d v="2018-06-03T00:00:00"/>
    <n v="2018"/>
    <x v="6"/>
    <s v="R"/>
    <s v="RS"/>
    <x v="9"/>
    <s v="LAS"/>
    <s v="A"/>
    <n v="1"/>
    <n v="6"/>
    <n v="-5"/>
    <n v="5"/>
    <n v="-16"/>
    <n v="16"/>
    <n v="1580.7750123529167"/>
    <n v="1619.9292331281972"/>
    <n v="0.29046237211157511"/>
    <n v="69"/>
    <n v="77"/>
    <n v="0"/>
    <n v="-8"/>
    <n v="0"/>
    <n v="0.37604572069493147"/>
    <n v="1"/>
    <n v="74.95"/>
    <n v="74.95"/>
    <n v="-8.186573547556474"/>
    <n v="1572.5884388053603"/>
    <n v="0"/>
    <n v="1"/>
    <n v="0"/>
    <n v="0"/>
    <n v="0"/>
    <n v="0"/>
    <n v="0"/>
    <n v="0"/>
    <n v="0"/>
    <n v="0"/>
  </r>
  <r>
    <d v="2018-06-03T00:00:00"/>
    <n v="2018"/>
    <x v="4"/>
    <s v="R"/>
    <s v="RS"/>
    <x v="8"/>
    <s v="MIN"/>
    <s v="H"/>
    <n v="6"/>
    <n v="1"/>
    <n v="5"/>
    <n v="-5"/>
    <n v="16"/>
    <n v="-16"/>
    <n v="1619.9292331281972"/>
    <n v="1580.7750123529167"/>
    <n v="0.70953762788842489"/>
    <n v="77"/>
    <n v="69"/>
    <n v="0"/>
    <n v="8"/>
    <n v="1"/>
    <n v="0.37604572069493147"/>
    <n v="1"/>
    <n v="75.25"/>
    <n v="75.25"/>
    <n v="8.2193416871731113"/>
    <n v="1628.1485748153702"/>
    <n v="1"/>
    <n v="0"/>
    <n v="0"/>
    <n v="0"/>
    <n v="0"/>
    <n v="0"/>
    <n v="0"/>
    <n v="0"/>
    <n v="0"/>
    <n v="0"/>
  </r>
  <r>
    <d v="2018-06-03T00:00:00"/>
    <n v="2018"/>
    <x v="4"/>
    <s v="R"/>
    <s v="RS"/>
    <x v="6"/>
    <s v="WAS"/>
    <s v="A"/>
    <n v="1"/>
    <n v="1"/>
    <n v="0"/>
    <n v="0"/>
    <n v="0"/>
    <n v="0"/>
    <n v="1587.5907240315489"/>
    <n v="1532.6330856413433"/>
    <n v="0.45830175741078671"/>
    <n v="88"/>
    <n v="64"/>
    <n v="0"/>
    <n v="24"/>
    <n v="1"/>
    <n v="0.60091041662976463"/>
    <n v="1"/>
    <n v="75.25"/>
    <n v="75.25"/>
    <n v="24.494786777302632"/>
    <n v="1612.0855108088515"/>
    <n v="1"/>
    <n v="0"/>
    <n v="0"/>
    <n v="0"/>
    <n v="0"/>
    <n v="0"/>
    <n v="0"/>
    <n v="0"/>
    <n v="0"/>
    <n v="0"/>
  </r>
  <r>
    <d v="2018-06-03T00:00:00"/>
    <n v="2018"/>
    <x v="7"/>
    <s v="R"/>
    <s v="RS"/>
    <x v="11"/>
    <s v="CON"/>
    <s v="H"/>
    <n v="1"/>
    <n v="1"/>
    <n v="0"/>
    <n v="0"/>
    <n v="0"/>
    <n v="0"/>
    <n v="1532.6330856413433"/>
    <n v="1587.5907240315489"/>
    <n v="0.54169824258921329"/>
    <n v="64"/>
    <n v="88"/>
    <n v="0"/>
    <n v="-24"/>
    <n v="0"/>
    <n v="0.60091041662976463"/>
    <n v="1"/>
    <n v="74.8"/>
    <n v="74.8"/>
    <n v="-24.34830632481378"/>
    <n v="1508.2847793165295"/>
    <n v="0"/>
    <n v="1"/>
    <n v="0"/>
    <n v="0"/>
    <n v="0"/>
    <n v="0"/>
    <n v="0"/>
    <n v="0"/>
    <n v="0"/>
    <n v="0"/>
  </r>
  <r>
    <d v="2018-06-05T00:00:00"/>
    <n v="2018"/>
    <x v="5"/>
    <s v="R"/>
    <s v="RS"/>
    <x v="6"/>
    <s v="ATL"/>
    <s v="A"/>
    <n v="1"/>
    <n v="1"/>
    <n v="0"/>
    <n v="0"/>
    <n v="0"/>
    <n v="0"/>
    <n v="1612.0855108088515"/>
    <n v="1436.4309204292699"/>
    <n v="0.62892463116525688"/>
    <n v="77"/>
    <n v="82"/>
    <n v="0"/>
    <n v="-5"/>
    <n v="0"/>
    <n v="0.28939471676799944"/>
    <n v="1"/>
    <n v="75.099999999999994"/>
    <n v="75.099999999999994"/>
    <n v="-13.668760659387049"/>
    <n v="1598.4167501494644"/>
    <n v="0"/>
    <n v="1"/>
    <n v="0"/>
    <n v="0"/>
    <n v="0"/>
    <n v="0"/>
    <n v="0"/>
    <n v="0"/>
    <n v="0"/>
    <n v="0"/>
  </r>
  <r>
    <d v="2018-06-05T00:00:00"/>
    <n v="2018"/>
    <x v="5"/>
    <s v="R"/>
    <s v="RS"/>
    <x v="7"/>
    <s v="CON"/>
    <s v="H"/>
    <n v="1"/>
    <n v="1"/>
    <n v="0"/>
    <n v="0"/>
    <n v="0"/>
    <n v="0"/>
    <n v="1436.4309204292699"/>
    <n v="1612.0855108088515"/>
    <n v="0.37107536883474318"/>
    <n v="82"/>
    <n v="77"/>
    <n v="0"/>
    <n v="5"/>
    <n v="1"/>
    <n v="0.28939471676799944"/>
    <n v="1"/>
    <n v="75.099999999999994"/>
    <n v="75.099999999999994"/>
    <n v="13.668760659387047"/>
    <n v="1450.099681088657"/>
    <n v="1"/>
    <n v="0"/>
    <n v="0"/>
    <n v="0"/>
    <n v="0"/>
    <n v="0"/>
    <n v="0"/>
    <n v="0"/>
    <n v="0"/>
    <n v="0"/>
  </r>
  <r>
    <d v="2018-06-05T00:00:00"/>
    <n v="2018"/>
    <x v="7"/>
    <s v="R"/>
    <s v="RS"/>
    <x v="1"/>
    <s v="NYL"/>
    <s v="A"/>
    <n v="1"/>
    <n v="2"/>
    <n v="-1"/>
    <n v="1"/>
    <n v="-8"/>
    <n v="8"/>
    <n v="1525.8600582568952"/>
    <n v="1533.9369007062724"/>
    <n v="0.34929482665476241"/>
    <n v="80"/>
    <n v="74"/>
    <n v="0"/>
    <n v="6"/>
    <n v="1"/>
    <n v="0.3489322024040486"/>
    <n v="1"/>
    <n v="74.8"/>
    <n v="74.8"/>
    <n v="16.983488795979437"/>
    <n v="1542.8435470528746"/>
    <n v="1"/>
    <n v="0"/>
    <n v="0"/>
    <n v="0"/>
    <n v="0"/>
    <n v="0"/>
    <n v="0"/>
    <n v="0"/>
    <n v="0"/>
    <n v="0"/>
  </r>
  <r>
    <d v="2018-06-05T00:00:00"/>
    <n v="2018"/>
    <x v="4"/>
    <s v="R"/>
    <s v="RS"/>
    <x v="4"/>
    <s v="PHX"/>
    <s v="H"/>
    <n v="2"/>
    <n v="1"/>
    <n v="1"/>
    <n v="-1"/>
    <n v="8"/>
    <n v="-8"/>
    <n v="1533.9369007062724"/>
    <n v="1525.8600582568952"/>
    <n v="0.65070517334523759"/>
    <n v="74"/>
    <n v="80"/>
    <n v="0"/>
    <n v="-6"/>
    <n v="0"/>
    <n v="0.3489322024040486"/>
    <n v="1"/>
    <n v="75.25"/>
    <n v="75.25"/>
    <n v="-17.085662191142415"/>
    <n v="1516.85123851513"/>
    <n v="0"/>
    <n v="1"/>
    <n v="0"/>
    <n v="0"/>
    <n v="0"/>
    <n v="0"/>
    <n v="0"/>
    <n v="0"/>
    <n v="0"/>
    <n v="0"/>
  </r>
  <r>
    <d v="2018-06-07T00:00:00"/>
    <n v="2018"/>
    <x v="7"/>
    <s v="R"/>
    <s v="RS"/>
    <x v="10"/>
    <s v="LAS"/>
    <s v="A"/>
    <n v="4"/>
    <n v="3"/>
    <n v="1"/>
    <n v="-1"/>
    <n v="8"/>
    <n v="-8"/>
    <n v="1536.601200888527"/>
    <n v="1628.1485748153702"/>
    <n v="0.28527820397376635"/>
    <n v="88"/>
    <n v="63"/>
    <n v="0"/>
    <n v="25"/>
    <n v="1"/>
    <n v="0.59588494360269662"/>
    <n v="1"/>
    <n v="74.8"/>
    <n v="74.8"/>
    <n v="31.856718392329928"/>
    <n v="1568.4579192808569"/>
    <n v="1"/>
    <n v="0"/>
    <n v="0"/>
    <n v="0"/>
    <n v="0"/>
    <n v="0"/>
    <n v="0"/>
    <n v="0"/>
    <n v="0"/>
    <n v="0"/>
  </r>
  <r>
    <d v="2018-06-07T00:00:00"/>
    <n v="2018"/>
    <x v="5"/>
    <s v="R"/>
    <s v="RS"/>
    <x v="8"/>
    <s v="SEA"/>
    <s v="H"/>
    <n v="3"/>
    <n v="4"/>
    <n v="-1"/>
    <n v="1"/>
    <n v="-8"/>
    <n v="8"/>
    <n v="1628.1485748153702"/>
    <n v="1536.601200888527"/>
    <n v="0.71472179602623365"/>
    <n v="63"/>
    <n v="88"/>
    <n v="0"/>
    <n v="-25"/>
    <n v="0"/>
    <n v="0.59588494360269662"/>
    <n v="1"/>
    <n v="75.099999999999994"/>
    <n v="75.099999999999994"/>
    <n v="-31.984485979464939"/>
    <n v="1596.1640888359052"/>
    <n v="0"/>
    <n v="1"/>
    <n v="0"/>
    <n v="0"/>
    <n v="0"/>
    <n v="0"/>
    <n v="0"/>
    <n v="0"/>
    <n v="0"/>
    <n v="0"/>
  </r>
  <r>
    <d v="2018-06-07T00:00:00"/>
    <n v="2018"/>
    <x v="6"/>
    <s v="R"/>
    <s v="RS"/>
    <x v="6"/>
    <s v="NYL"/>
    <s v="A"/>
    <n v="1"/>
    <n v="1"/>
    <n v="0"/>
    <n v="0"/>
    <n v="0"/>
    <n v="0"/>
    <n v="1598.4167501494644"/>
    <n v="1516.85123851513"/>
    <n v="0.49649654695031653"/>
    <n v="88"/>
    <n v="86"/>
    <n v="0"/>
    <n v="2"/>
    <n v="1"/>
    <n v="0.25079450254690588"/>
    <n v="1"/>
    <n v="74.95"/>
    <n v="74.95"/>
    <n v="9.4643785579664428"/>
    <n v="1607.8811287074309"/>
    <n v="1"/>
    <n v="0"/>
    <n v="0"/>
    <n v="0"/>
    <n v="0"/>
    <n v="0"/>
    <n v="0"/>
    <n v="0"/>
    <n v="0"/>
    <n v="0"/>
  </r>
  <r>
    <d v="2018-06-07T00:00:00"/>
    <n v="2018"/>
    <x v="5"/>
    <s v="R"/>
    <s v="RS"/>
    <x v="4"/>
    <s v="CON"/>
    <s v="H"/>
    <n v="1"/>
    <n v="1"/>
    <n v="0"/>
    <n v="0"/>
    <n v="0"/>
    <n v="0"/>
    <n v="1516.85123851513"/>
    <n v="1598.4167501494644"/>
    <n v="0.50350345304968358"/>
    <n v="86"/>
    <n v="88"/>
    <n v="0"/>
    <n v="-2"/>
    <n v="0"/>
    <n v="0.25079450254690588"/>
    <n v="1"/>
    <n v="75.099999999999994"/>
    <n v="75.099999999999994"/>
    <n v="-9.4833199426721819"/>
    <n v="1507.3679185724579"/>
    <n v="0"/>
    <n v="1"/>
    <n v="0"/>
    <n v="0"/>
    <n v="0"/>
    <n v="0"/>
    <n v="0"/>
    <n v="0"/>
    <n v="0"/>
    <n v="0"/>
  </r>
  <r>
    <d v="2018-06-07T00:00:00"/>
    <n v="2018"/>
    <x v="7"/>
    <s v="R"/>
    <s v="RS"/>
    <x v="9"/>
    <s v="WAS"/>
    <s v="A"/>
    <n v="3"/>
    <n v="3"/>
    <n v="0"/>
    <n v="0"/>
    <n v="0"/>
    <n v="0"/>
    <n v="1572.5884388053603"/>
    <n v="1508.2847793165295"/>
    <n v="0.4716850141283136"/>
    <n v="88"/>
    <n v="80"/>
    <n v="0"/>
    <n v="8"/>
    <n v="1"/>
    <n v="0.36856544589296364"/>
    <n v="1"/>
    <n v="74.8"/>
    <n v="74.8"/>
    <n v="14.56495489581202"/>
    <n v="1587.1533937011723"/>
    <n v="1"/>
    <n v="0"/>
    <n v="0"/>
    <n v="0"/>
    <n v="0"/>
    <n v="0"/>
    <n v="0"/>
    <n v="0"/>
    <n v="0"/>
    <n v="0"/>
  </r>
  <r>
    <d v="2018-06-07T00:00:00"/>
    <n v="2018"/>
    <x v="8"/>
    <s v="R"/>
    <s v="RS"/>
    <x v="11"/>
    <s v="MIN"/>
    <s v="H"/>
    <n v="3"/>
    <n v="3"/>
    <n v="0"/>
    <n v="0"/>
    <n v="0"/>
    <n v="0"/>
    <n v="1508.2847793165295"/>
    <n v="1572.5884388053603"/>
    <n v="0.52831498587168635"/>
    <n v="80"/>
    <n v="88"/>
    <n v="0"/>
    <n v="-8"/>
    <n v="0"/>
    <n v="0.36856544589296364"/>
    <n v="1"/>
    <n v="74.650000000000006"/>
    <n v="74.650000000000006"/>
    <n v="-14.53574709856106"/>
    <n v="1493.7490322179683"/>
    <n v="0"/>
    <n v="1"/>
    <n v="0"/>
    <n v="0"/>
    <n v="0"/>
    <n v="0"/>
    <n v="0"/>
    <n v="0"/>
    <n v="0"/>
    <n v="0"/>
  </r>
  <r>
    <d v="2018-06-08T00:00:00"/>
    <n v="2018"/>
    <x v="6"/>
    <s v="R"/>
    <s v="RS"/>
    <x v="0"/>
    <s v="IND"/>
    <s v="A"/>
    <n v="5"/>
    <n v="5"/>
    <n v="0"/>
    <n v="0"/>
    <n v="0"/>
    <n v="0"/>
    <n v="1493.4482811160522"/>
    <n v="1347.9171325770171"/>
    <n v="0.58763612341463012"/>
    <n v="89"/>
    <n v="83"/>
    <n v="0"/>
    <n v="6"/>
    <n v="1"/>
    <n v="0.31328662570680049"/>
    <n v="1"/>
    <n v="74.95"/>
    <n v="74.95"/>
    <n v="9.6826471550375146"/>
    <n v="1503.1309282710897"/>
    <n v="1"/>
    <n v="0"/>
    <n v="0"/>
    <n v="0"/>
    <n v="0"/>
    <n v="0"/>
    <n v="0"/>
    <n v="0"/>
    <n v="0"/>
    <n v="0"/>
  </r>
  <r>
    <d v="2018-06-08T00:00:00"/>
    <n v="2018"/>
    <x v="6"/>
    <s v="R"/>
    <s v="RS"/>
    <x v="3"/>
    <s v="DAL"/>
    <s v="H"/>
    <n v="5"/>
    <n v="5"/>
    <n v="0"/>
    <n v="0"/>
    <n v="0"/>
    <n v="0"/>
    <n v="1347.9171325770171"/>
    <n v="1493.4482811160522"/>
    <n v="0.41236387658536988"/>
    <n v="83"/>
    <n v="89"/>
    <n v="0"/>
    <n v="-6"/>
    <n v="0"/>
    <n v="0.31328662570680049"/>
    <n v="1"/>
    <n v="74.95"/>
    <n v="74.95"/>
    <n v="-9.6826471550375146"/>
    <n v="1338.2344854219796"/>
    <n v="0"/>
    <n v="1"/>
    <n v="0"/>
    <n v="0"/>
    <n v="0"/>
    <n v="0"/>
    <n v="0"/>
    <n v="0"/>
    <n v="0"/>
    <n v="0"/>
  </r>
  <r>
    <d v="2018-06-08T00:00:00"/>
    <n v="2018"/>
    <x v="6"/>
    <s v="R"/>
    <s v="RS"/>
    <x v="7"/>
    <s v="LVA"/>
    <s v="A"/>
    <n v="2"/>
    <n v="4"/>
    <n v="-2"/>
    <n v="2"/>
    <n v="-16"/>
    <n v="16"/>
    <n v="1450.099681088657"/>
    <n v="1446.6154125621993"/>
    <n v="0.3435096894644728"/>
    <n v="87"/>
    <n v="83"/>
    <n v="0"/>
    <n v="4"/>
    <n v="1"/>
    <n v="0.31053109015063063"/>
    <n v="1"/>
    <n v="74.95"/>
    <n v="74.95"/>
    <n v="15.27935585270405"/>
    <n v="1465.3790369413612"/>
    <n v="1"/>
    <n v="0"/>
    <n v="0"/>
    <n v="0"/>
    <n v="0"/>
    <n v="0"/>
    <n v="0"/>
    <n v="0"/>
    <n v="0"/>
    <n v="0"/>
  </r>
  <r>
    <d v="2018-06-08T00:00:00"/>
    <n v="2018"/>
    <x v="6"/>
    <s v="R"/>
    <s v="RS"/>
    <x v="5"/>
    <s v="ATL"/>
    <s v="H"/>
    <n v="4"/>
    <n v="2"/>
    <n v="2"/>
    <n v="-2"/>
    <n v="16"/>
    <n v="-16"/>
    <n v="1446.6154125621993"/>
    <n v="1450.099681088657"/>
    <n v="0.6564903105355272"/>
    <n v="83"/>
    <n v="87"/>
    <n v="0"/>
    <n v="-4"/>
    <n v="0"/>
    <n v="0.31053109015063063"/>
    <n v="1"/>
    <n v="74.95"/>
    <n v="74.95"/>
    <n v="-15.27935585270405"/>
    <n v="1431.3360567094951"/>
    <n v="0"/>
    <n v="1"/>
    <n v="0"/>
    <n v="0"/>
    <n v="0"/>
    <n v="0"/>
    <n v="0"/>
    <n v="0"/>
    <n v="0"/>
    <n v="0"/>
  </r>
  <r>
    <d v="2018-06-08T00:00:00"/>
    <n v="2018"/>
    <x v="6"/>
    <s v="R"/>
    <s v="RS"/>
    <x v="2"/>
    <s v="PHX"/>
    <s v="A"/>
    <n v="4"/>
    <n v="2"/>
    <n v="2"/>
    <n v="-2"/>
    <n v="16"/>
    <n v="-16"/>
    <n v="1436.3236643408652"/>
    <n v="1542.8435470528746"/>
    <n v="0.28648571214278007"/>
    <n v="79"/>
    <n v="96"/>
    <n v="0"/>
    <n v="-17"/>
    <n v="0"/>
    <n v="0.48903234566330245"/>
    <n v="1"/>
    <n v="74.95"/>
    <n v="74.95"/>
    <n v="-10.500553446624993"/>
    <n v="1425.8231108942402"/>
    <n v="0"/>
    <n v="1"/>
    <n v="0"/>
    <n v="0"/>
    <n v="0"/>
    <n v="0"/>
    <n v="0"/>
    <n v="0"/>
    <n v="0"/>
    <n v="0"/>
  </r>
  <r>
    <d v="2018-06-08T00:00:00"/>
    <n v="2018"/>
    <x v="8"/>
    <s v="R"/>
    <s v="RS"/>
    <x v="1"/>
    <s v="CHI"/>
    <s v="H"/>
    <n v="2"/>
    <n v="4"/>
    <n v="-2"/>
    <n v="2"/>
    <n v="-16"/>
    <n v="16"/>
    <n v="1542.8435470528746"/>
    <n v="1436.3236643408652"/>
    <n v="0.71351428785721993"/>
    <n v="96"/>
    <n v="79"/>
    <n v="0"/>
    <n v="17"/>
    <n v="1"/>
    <n v="0.48903234566330245"/>
    <n v="1"/>
    <n v="74.650000000000006"/>
    <n v="74.650000000000006"/>
    <n v="10.458523212682532"/>
    <n v="1553.3020702655572"/>
    <n v="1"/>
    <n v="0"/>
    <n v="0"/>
    <n v="0"/>
    <n v="0"/>
    <n v="0"/>
    <n v="0"/>
    <n v="0"/>
    <n v="0"/>
    <n v="0"/>
  </r>
  <r>
    <d v="2018-06-09T00:00:00"/>
    <n v="2018"/>
    <x v="8"/>
    <s v="R"/>
    <s v="RS"/>
    <x v="9"/>
    <s v="CON"/>
    <s v="A"/>
    <n v="1"/>
    <n v="1"/>
    <n v="0"/>
    <n v="0"/>
    <n v="0"/>
    <n v="0"/>
    <n v="1587.1533937011723"/>
    <n v="1607.8811287074309"/>
    <n v="0.35368934575557226"/>
    <n v="75"/>
    <n v="89"/>
    <n v="0"/>
    <n v="-14"/>
    <n v="0"/>
    <n v="0.47932860658558035"/>
    <n v="1"/>
    <n v="74.650000000000006"/>
    <n v="74.650000000000006"/>
    <n v="-12.655669897445987"/>
    <n v="1574.4977238037263"/>
    <n v="0"/>
    <n v="1"/>
    <n v="0"/>
    <n v="0"/>
    <n v="0"/>
    <n v="0"/>
    <n v="0"/>
    <n v="0"/>
    <n v="0"/>
    <n v="0"/>
  </r>
  <r>
    <d v="2018-06-09T00:00:00"/>
    <n v="2018"/>
    <x v="7"/>
    <s v="R"/>
    <s v="RS"/>
    <x v="6"/>
    <s v="MIN"/>
    <s v="H"/>
    <n v="1"/>
    <n v="1"/>
    <n v="0"/>
    <n v="0"/>
    <n v="0"/>
    <n v="0"/>
    <n v="1607.8811287074309"/>
    <n v="1587.1533937011723"/>
    <n v="0.64631065424442768"/>
    <n v="89"/>
    <n v="75"/>
    <n v="0"/>
    <n v="14"/>
    <n v="1"/>
    <n v="0.47932860658558035"/>
    <n v="1"/>
    <n v="74.8"/>
    <n v="74.8"/>
    <n v="12.681099910635764"/>
    <n v="1620.5622286180667"/>
    <n v="1"/>
    <n v="0"/>
    <n v="0"/>
    <n v="0"/>
    <n v="0"/>
    <n v="0"/>
    <n v="0"/>
    <n v="0"/>
    <n v="0"/>
    <n v="0"/>
  </r>
  <r>
    <d v="2018-06-10T00:00:00"/>
    <n v="2018"/>
    <x v="7"/>
    <s v="R"/>
    <s v="RS"/>
    <x v="2"/>
    <s v="LAS"/>
    <s v="A"/>
    <n v="1"/>
    <n v="2"/>
    <n v="-1"/>
    <n v="1"/>
    <n v="-8"/>
    <n v="8"/>
    <n v="1425.8231108942402"/>
    <n v="1596.1640888359052"/>
    <n v="0.17419148174912213"/>
    <n v="59"/>
    <n v="77"/>
    <n v="0"/>
    <n v="-18"/>
    <n v="0"/>
    <n v="0.47885944382779727"/>
    <n v="1"/>
    <n v="74.8"/>
    <n v="74.8"/>
    <n v="-6.2393100580303544"/>
    <n v="1419.58380083621"/>
    <n v="0"/>
    <n v="1"/>
    <n v="0"/>
    <n v="0"/>
    <n v="0"/>
    <n v="0"/>
    <n v="0"/>
    <n v="0"/>
    <n v="0"/>
    <n v="0"/>
  </r>
  <r>
    <d v="2018-06-10T00:00:00"/>
    <n v="2018"/>
    <x v="6"/>
    <s v="R"/>
    <s v="RS"/>
    <x v="8"/>
    <s v="CHI"/>
    <s v="H"/>
    <n v="2"/>
    <n v="1"/>
    <n v="1"/>
    <n v="-1"/>
    <n v="8"/>
    <n v="-8"/>
    <n v="1596.1640888359052"/>
    <n v="1425.8231108942402"/>
    <n v="0.82580851825087787"/>
    <n v="77"/>
    <n v="59"/>
    <n v="0"/>
    <n v="18"/>
    <n v="1"/>
    <n v="0.47885944382779727"/>
    <n v="1"/>
    <n v="74.95"/>
    <n v="74.95"/>
    <n v="6.2518220434408436"/>
    <n v="1602.415910879346"/>
    <n v="1"/>
    <n v="0"/>
    <n v="0"/>
    <n v="0"/>
    <n v="0"/>
    <n v="0"/>
    <n v="0"/>
    <n v="0"/>
    <n v="0"/>
    <n v="0"/>
  </r>
  <r>
    <d v="2018-06-10T00:00:00"/>
    <n v="2018"/>
    <x v="7"/>
    <s v="R"/>
    <s v="RS"/>
    <x v="3"/>
    <s v="NYL"/>
    <s v="A"/>
    <n v="1"/>
    <n v="2"/>
    <n v="-1"/>
    <n v="1"/>
    <n v="-8"/>
    <n v="8"/>
    <n v="1338.2344854219796"/>
    <n v="1507.3679185724579"/>
    <n v="0.17519366733424566"/>
    <n v="75"/>
    <n v="78"/>
    <n v="0"/>
    <n v="-3"/>
    <n v="0"/>
    <n v="0.25433622237766035"/>
    <n v="1"/>
    <n v="74.8"/>
    <n v="74.8"/>
    <n v="-3.332945545964185"/>
    <n v="1334.9015398760155"/>
    <n v="0"/>
    <n v="1"/>
    <n v="0"/>
    <n v="0"/>
    <n v="0"/>
    <n v="0"/>
    <n v="0"/>
    <n v="0"/>
    <n v="0"/>
    <n v="0"/>
  </r>
  <r>
    <d v="2018-06-10T00:00:00"/>
    <n v="2018"/>
    <x v="6"/>
    <s v="R"/>
    <s v="RS"/>
    <x v="4"/>
    <s v="IND"/>
    <s v="H"/>
    <n v="2"/>
    <n v="1"/>
    <n v="1"/>
    <n v="-1"/>
    <n v="8"/>
    <n v="-8"/>
    <n v="1507.3679185724579"/>
    <n v="1338.2344854219796"/>
    <n v="0.82480633266575432"/>
    <n v="78"/>
    <n v="75"/>
    <n v="0"/>
    <n v="3"/>
    <n v="1"/>
    <n v="0.25433622237766035"/>
    <n v="1"/>
    <n v="74.95"/>
    <n v="74.95"/>
    <n v="3.3396292602943283"/>
    <n v="1510.7075478327522"/>
    <n v="1"/>
    <n v="0"/>
    <n v="0"/>
    <n v="0"/>
    <n v="0"/>
    <n v="0"/>
    <n v="0"/>
    <n v="0"/>
    <n v="0"/>
    <n v="0"/>
  </r>
  <r>
    <d v="2018-06-10T00:00:00"/>
    <n v="2018"/>
    <x v="7"/>
    <s v="R"/>
    <s v="RS"/>
    <x v="5"/>
    <s v="PHX"/>
    <s v="A"/>
    <n v="1"/>
    <n v="1"/>
    <n v="0"/>
    <n v="0"/>
    <n v="0"/>
    <n v="0"/>
    <n v="1431.3360567094951"/>
    <n v="1553.3020702655572"/>
    <n v="0.23404039921360248"/>
    <n v="66"/>
    <n v="72"/>
    <n v="0"/>
    <n v="-6"/>
    <n v="0"/>
    <n v="0.31887121831162979"/>
    <n v="1"/>
    <n v="74.8"/>
    <n v="74.8"/>
    <n v="-5.5822302929073446"/>
    <n v="1425.7538264165878"/>
    <n v="0"/>
    <n v="1"/>
    <n v="0"/>
    <n v="0"/>
    <n v="0"/>
    <n v="0"/>
    <n v="0"/>
    <n v="0"/>
    <n v="0"/>
    <n v="0"/>
  </r>
  <r>
    <d v="2018-06-10T00:00:00"/>
    <n v="2018"/>
    <x v="9"/>
    <s v="R"/>
    <s v="RS"/>
    <x v="1"/>
    <s v="LVA"/>
    <s v="H"/>
    <n v="1"/>
    <n v="1"/>
    <n v="0"/>
    <n v="0"/>
    <n v="0"/>
    <n v="0"/>
    <n v="1553.3020702655572"/>
    <n v="1431.3360567094951"/>
    <n v="0.76595960078639758"/>
    <n v="72"/>
    <n v="66"/>
    <n v="0"/>
    <n v="6"/>
    <n v="1"/>
    <n v="0.31887121831162979"/>
    <n v="1"/>
    <n v="74.5"/>
    <n v="74.5"/>
    <n v="5.5598416687379295"/>
    <n v="1558.861911934295"/>
    <n v="1"/>
    <n v="0"/>
    <n v="0"/>
    <n v="0"/>
    <n v="0"/>
    <n v="0"/>
    <n v="0"/>
    <n v="0"/>
    <n v="0"/>
    <n v="0"/>
  </r>
  <r>
    <d v="2018-06-10T00:00:00"/>
    <n v="2018"/>
    <x v="7"/>
    <s v="R"/>
    <s v="RS"/>
    <x v="7"/>
    <s v="SEA"/>
    <s v="A"/>
    <n v="1"/>
    <n v="2"/>
    <n v="-1"/>
    <n v="1"/>
    <n v="-8"/>
    <n v="8"/>
    <n v="1465.3790369413612"/>
    <n v="1568.4579192808569"/>
    <n v="0.23703288970621886"/>
    <n v="67"/>
    <n v="64"/>
    <n v="0"/>
    <n v="3"/>
    <n v="1"/>
    <n v="0.26722881479996746"/>
    <n v="1"/>
    <n v="74.8"/>
    <n v="74.8"/>
    <n v="15.250732386814207"/>
    <n v="1480.6297693281754"/>
    <n v="1"/>
    <n v="0"/>
    <n v="0"/>
    <n v="0"/>
    <n v="0"/>
    <n v="0"/>
    <n v="0"/>
    <n v="0"/>
    <n v="0"/>
    <n v="0"/>
  </r>
  <r>
    <d v="2018-06-10T00:00:00"/>
    <n v="2018"/>
    <x v="8"/>
    <s v="R"/>
    <s v="RS"/>
    <x v="10"/>
    <s v="ATL"/>
    <s v="H"/>
    <n v="2"/>
    <n v="1"/>
    <n v="1"/>
    <n v="-1"/>
    <n v="8"/>
    <n v="-8"/>
    <n v="1568.4579192808569"/>
    <n v="1465.3790369413612"/>
    <n v="0.76296711029378117"/>
    <n v="64"/>
    <n v="67"/>
    <n v="0"/>
    <n v="-3"/>
    <n v="0"/>
    <n v="0.26722881479996746"/>
    <n v="1"/>
    <n v="74.650000000000006"/>
    <n v="74.650000000000006"/>
    <n v="-15.220149367321934"/>
    <n v="1553.237769913535"/>
    <n v="0"/>
    <n v="1"/>
    <n v="0"/>
    <n v="0"/>
    <n v="0"/>
    <n v="0"/>
    <n v="0"/>
    <n v="0"/>
    <n v="0"/>
    <n v="0"/>
  </r>
  <r>
    <d v="2018-06-12T00:00:00"/>
    <n v="2018"/>
    <x v="10"/>
    <s v="R"/>
    <s v="RS"/>
    <x v="1"/>
    <s v="DAL"/>
    <s v="A"/>
    <n v="1"/>
    <n v="3"/>
    <n v="-2"/>
    <n v="2"/>
    <n v="-16"/>
    <n v="16"/>
    <n v="1558.861911934295"/>
    <n v="1503.1309282710897"/>
    <n v="0.41412554570279425"/>
    <n v="75"/>
    <n v="72"/>
    <n v="0"/>
    <n v="3"/>
    <n v="1"/>
    <n v="0.27730479684639558"/>
    <n v="1"/>
    <n v="74.349999999999994"/>
    <n v="74.349999999999994"/>
    <n v="12.079331971736316"/>
    <n v="1570.9412439060313"/>
    <n v="1"/>
    <n v="0"/>
    <n v="0"/>
    <n v="0"/>
    <n v="0"/>
    <n v="0"/>
    <n v="0"/>
    <n v="0"/>
    <n v="0"/>
    <n v="0"/>
  </r>
  <r>
    <d v="2018-06-12T00:00:00"/>
    <n v="2018"/>
    <x v="7"/>
    <s v="R"/>
    <s v="RS"/>
    <x v="0"/>
    <s v="PHX"/>
    <s v="H"/>
    <n v="3"/>
    <n v="1"/>
    <n v="2"/>
    <n v="-2"/>
    <n v="16"/>
    <n v="-16"/>
    <n v="1503.1309282710897"/>
    <n v="1558.861911934295"/>
    <n v="0.58587445429720575"/>
    <n v="72"/>
    <n v="75"/>
    <n v="0"/>
    <n v="-3"/>
    <n v="0"/>
    <n v="0.27730479684639558"/>
    <n v="1"/>
    <n v="74.8"/>
    <n v="74.8"/>
    <n v="-12.152441580173187"/>
    <n v="1490.9784866909165"/>
    <n v="0"/>
    <n v="1"/>
    <n v="0"/>
    <n v="0"/>
    <n v="0"/>
    <n v="0"/>
    <n v="0"/>
    <n v="0"/>
    <n v="0"/>
    <n v="0"/>
  </r>
  <r>
    <d v="2018-06-12T00:00:00"/>
    <n v="2018"/>
    <x v="8"/>
    <s v="R"/>
    <s v="RS"/>
    <x v="5"/>
    <s v="IND"/>
    <s v="A"/>
    <n v="1"/>
    <n v="1"/>
    <n v="0"/>
    <n v="0"/>
    <n v="0"/>
    <n v="0"/>
    <n v="1425.7538264165878"/>
    <n v="1334.9015398760155"/>
    <n v="0.50985995463145206"/>
    <n v="101"/>
    <n v="92"/>
    <n v="1"/>
    <n v="9"/>
    <n v="1"/>
    <n v="0.33965873081733233"/>
    <n v="1"/>
    <n v="74.650000000000006"/>
    <n v="74.650000000000006"/>
    <n v="12.42775780894088"/>
    <n v="1438.1815842255287"/>
    <n v="1"/>
    <n v="0"/>
    <n v="0"/>
    <n v="0"/>
    <n v="0"/>
    <n v="0"/>
    <n v="0"/>
    <n v="0"/>
    <n v="0"/>
    <n v="0"/>
  </r>
  <r>
    <d v="2018-06-12T00:00:00"/>
    <n v="2018"/>
    <x v="8"/>
    <s v="R"/>
    <s v="RS"/>
    <x v="3"/>
    <s v="LVA"/>
    <s v="H"/>
    <n v="1"/>
    <n v="1"/>
    <n v="0"/>
    <n v="0"/>
    <n v="0"/>
    <n v="0"/>
    <n v="1334.9015398760155"/>
    <n v="1425.7538264165878"/>
    <n v="0.49014004536854794"/>
    <n v="92"/>
    <n v="101"/>
    <n v="1"/>
    <n v="-9"/>
    <n v="0"/>
    <n v="0.33965873081733233"/>
    <n v="1"/>
    <n v="74.650000000000006"/>
    <n v="74.650000000000006"/>
    <n v="-12.42775780894088"/>
    <n v="1322.4737820670746"/>
    <n v="0"/>
    <n v="1"/>
    <n v="0"/>
    <n v="0"/>
    <n v="0"/>
    <n v="0"/>
    <n v="0"/>
    <n v="0"/>
    <n v="0"/>
    <n v="0"/>
  </r>
  <r>
    <d v="2018-06-12T00:00:00"/>
    <n v="2018"/>
    <x v="8"/>
    <s v="R"/>
    <s v="RS"/>
    <x v="7"/>
    <s v="LAS"/>
    <s v="A"/>
    <n v="1"/>
    <n v="1"/>
    <n v="0"/>
    <n v="0"/>
    <n v="0"/>
    <n v="0"/>
    <n v="1480.6297693281754"/>
    <n v="1602.415910879346"/>
    <n v="0.2342260665647522"/>
    <n v="64"/>
    <n v="72"/>
    <n v="0"/>
    <n v="-8"/>
    <n v="0"/>
    <n v="0.35253709155761115"/>
    <n v="1"/>
    <n v="74.650000000000006"/>
    <n v="74.650000000000006"/>
    <n v="-6.1641025388329869"/>
    <n v="1474.4656667893423"/>
    <n v="0"/>
    <n v="1"/>
    <n v="0"/>
    <n v="0"/>
    <n v="0"/>
    <n v="0"/>
    <n v="0"/>
    <n v="0"/>
    <n v="0"/>
    <n v="0"/>
  </r>
  <r>
    <d v="2018-06-12T00:00:00"/>
    <n v="2018"/>
    <x v="7"/>
    <s v="R"/>
    <s v="RS"/>
    <x v="8"/>
    <s v="ATL"/>
    <s v="H"/>
    <n v="1"/>
    <n v="1"/>
    <n v="0"/>
    <n v="0"/>
    <n v="0"/>
    <n v="0"/>
    <n v="1602.415910879346"/>
    <n v="1480.6297693281754"/>
    <n v="0.7657739334352478"/>
    <n v="72"/>
    <n v="64"/>
    <n v="0"/>
    <n v="8"/>
    <n v="1"/>
    <n v="0.35253709155761115"/>
    <n v="1"/>
    <n v="74.8"/>
    <n v="74.8"/>
    <n v="6.1764885452740446"/>
    <n v="1608.59239942462"/>
    <n v="1"/>
    <n v="0"/>
    <n v="0"/>
    <n v="0"/>
    <n v="0"/>
    <n v="0"/>
    <n v="0"/>
    <n v="0"/>
    <n v="0"/>
    <n v="0"/>
  </r>
  <r>
    <d v="2018-06-12T00:00:00"/>
    <n v="2018"/>
    <x v="8"/>
    <s v="R"/>
    <s v="RS"/>
    <x v="2"/>
    <s v="SEA"/>
    <s v="A"/>
    <n v="1"/>
    <n v="1"/>
    <n v="0"/>
    <n v="0"/>
    <n v="0"/>
    <n v="0"/>
    <n v="1419.58380083621"/>
    <n v="1553.237769913535"/>
    <n v="0.22219560727359036"/>
    <n v="85"/>
    <n v="96"/>
    <n v="0"/>
    <n v="-11"/>
    <n v="0"/>
    <n v="0.39575720280299764"/>
    <n v="1"/>
    <n v="74.650000000000006"/>
    <n v="74.650000000000006"/>
    <n v="-6.5643859715248158"/>
    <n v="1413.0194148646851"/>
    <n v="0"/>
    <n v="1"/>
    <n v="0"/>
    <n v="0"/>
    <n v="0"/>
    <n v="0"/>
    <n v="0"/>
    <n v="0"/>
    <n v="0"/>
    <n v="0"/>
  </r>
  <r>
    <d v="2018-06-12T00:00:00"/>
    <n v="2018"/>
    <x v="9"/>
    <s v="R"/>
    <s v="RS"/>
    <x v="10"/>
    <s v="CHI"/>
    <s v="H"/>
    <n v="1"/>
    <n v="1"/>
    <n v="0"/>
    <n v="0"/>
    <n v="0"/>
    <n v="0"/>
    <n v="1553.237769913535"/>
    <n v="1419.58380083621"/>
    <n v="0.77780439272640955"/>
    <n v="96"/>
    <n v="85"/>
    <n v="0"/>
    <n v="11"/>
    <n v="1"/>
    <n v="0.39575720280299764"/>
    <n v="1"/>
    <n v="74.5"/>
    <n v="74.5"/>
    <n v="6.5511956447233617"/>
    <n v="1559.7889655582583"/>
    <n v="1"/>
    <n v="0"/>
    <n v="0"/>
    <n v="0"/>
    <n v="0"/>
    <n v="0"/>
    <n v="0"/>
    <n v="0"/>
    <n v="0"/>
    <n v="0"/>
  </r>
  <r>
    <d v="2018-06-13T00:00:00"/>
    <n v="2018"/>
    <x v="9"/>
    <s v="R"/>
    <s v="RS"/>
    <x v="11"/>
    <s v="CON"/>
    <s v="A"/>
    <n v="5"/>
    <n v="3"/>
    <n v="2"/>
    <n v="-2"/>
    <n v="16"/>
    <n v="-16"/>
    <n v="1493.7490322179683"/>
    <n v="1620.5622286180667"/>
    <n v="0.26321372713628377"/>
    <n v="95"/>
    <n v="91"/>
    <n v="0"/>
    <n v="4"/>
    <n v="1"/>
    <n v="0.28166684119409435"/>
    <n v="1"/>
    <n v="74.5"/>
    <n v="74.5"/>
    <n v="15.46085552739563"/>
    <n v="1509.2098877453639"/>
    <n v="1"/>
    <n v="0"/>
    <n v="0"/>
    <n v="0"/>
    <n v="0"/>
    <n v="0"/>
    <n v="0"/>
    <n v="0"/>
    <n v="0"/>
    <n v="0"/>
  </r>
  <r>
    <d v="2018-06-13T00:00:00"/>
    <n v="2018"/>
    <x v="8"/>
    <s v="R"/>
    <s v="RS"/>
    <x v="6"/>
    <s v="WAS"/>
    <s v="H"/>
    <n v="3"/>
    <n v="5"/>
    <n v="-2"/>
    <n v="2"/>
    <n v="-16"/>
    <n v="16"/>
    <n v="1620.5622286180667"/>
    <n v="1493.7490322179683"/>
    <n v="0.73678627286371623"/>
    <n v="91"/>
    <n v="95"/>
    <n v="0"/>
    <n v="-4"/>
    <n v="0"/>
    <n v="0.28166684119409435"/>
    <n v="1"/>
    <n v="74.650000000000006"/>
    <n v="74.650000000000006"/>
    <n v="-15.491984766712537"/>
    <n v="1605.0702438513542"/>
    <n v="0"/>
    <n v="1"/>
    <n v="0"/>
    <n v="0"/>
    <n v="0"/>
    <n v="0"/>
    <n v="0"/>
    <n v="0"/>
    <n v="0"/>
    <n v="0"/>
  </r>
  <r>
    <d v="2018-06-13T00:00:00"/>
    <n v="2018"/>
    <x v="9"/>
    <s v="R"/>
    <s v="RS"/>
    <x v="5"/>
    <s v="NYL"/>
    <s v="A"/>
    <n v="0"/>
    <n v="2"/>
    <n v="-2"/>
    <n v="2"/>
    <n v="-16"/>
    <n v="16"/>
    <n v="1438.1815842255287"/>
    <n v="1510.7075478327522"/>
    <n v="0.2525151701915917"/>
    <n v="78"/>
    <n v="63"/>
    <n v="0"/>
    <n v="15"/>
    <n v="1"/>
    <n v="0.47418885815422662"/>
    <n v="1"/>
    <n v="74.5"/>
    <n v="74.5"/>
    <n v="26.406448856116938"/>
    <n v="1464.5880330816456"/>
    <n v="1"/>
    <n v="0"/>
    <n v="0"/>
    <n v="0"/>
    <n v="0"/>
    <n v="0"/>
    <n v="0"/>
    <n v="0"/>
    <n v="0"/>
    <n v="0"/>
  </r>
  <r>
    <d v="2018-06-13T00:00:00"/>
    <n v="2018"/>
    <x v="7"/>
    <s v="R"/>
    <s v="RS"/>
    <x v="4"/>
    <s v="LVA"/>
    <s v="H"/>
    <n v="2"/>
    <n v="0"/>
    <n v="2"/>
    <n v="-2"/>
    <n v="16"/>
    <n v="-16"/>
    <n v="1510.7075478327522"/>
    <n v="1438.1815842255287"/>
    <n v="0.74748482980840825"/>
    <n v="63"/>
    <n v="78"/>
    <n v="0"/>
    <n v="-15"/>
    <n v="0"/>
    <n v="0.47418885815422662"/>
    <n v="1"/>
    <n v="74.8"/>
    <n v="74.8"/>
    <n v="-26.512783549497275"/>
    <n v="1484.1947642832549"/>
    <n v="0"/>
    <n v="1"/>
    <n v="0"/>
    <n v="0"/>
    <n v="0"/>
    <n v="0"/>
    <n v="0"/>
    <n v="0"/>
    <n v="0"/>
    <n v="0"/>
  </r>
  <r>
    <d v="2018-06-14T00:00:00"/>
    <n v="2018"/>
    <x v="9"/>
    <s v="R"/>
    <s v="RS"/>
    <x v="3"/>
    <s v="ATL"/>
    <s v="A"/>
    <n v="1"/>
    <n v="1"/>
    <n v="0"/>
    <n v="0"/>
    <n v="0"/>
    <n v="0"/>
    <n v="1322.4737820670746"/>
    <n v="1474.4656667893423"/>
    <n v="0.20448769887504589"/>
    <n v="67"/>
    <n v="72"/>
    <n v="0"/>
    <n v="-5"/>
    <n v="0"/>
    <n v="0.29445973385800184"/>
    <n v="1"/>
    <n v="74.5"/>
    <n v="74.5"/>
    <n v="-4.4858978074046023"/>
    <n v="1317.98788425967"/>
    <n v="0"/>
    <n v="1"/>
    <n v="0"/>
    <n v="0"/>
    <n v="0"/>
    <n v="0"/>
    <n v="0"/>
    <n v="0"/>
    <n v="0"/>
    <n v="0"/>
  </r>
  <r>
    <d v="2018-06-14T00:00:00"/>
    <n v="2018"/>
    <x v="9"/>
    <s v="R"/>
    <s v="RS"/>
    <x v="7"/>
    <s v="IND"/>
    <s v="H"/>
    <n v="1"/>
    <n v="1"/>
    <n v="0"/>
    <n v="0"/>
    <n v="0"/>
    <n v="0"/>
    <n v="1474.4656667893423"/>
    <n v="1322.4737820670746"/>
    <n v="0.79551230112495408"/>
    <n v="72"/>
    <n v="67"/>
    <n v="0"/>
    <n v="5"/>
    <n v="1"/>
    <n v="0.29445973385800184"/>
    <n v="1"/>
    <n v="74.5"/>
    <n v="74.5"/>
    <n v="4.4858978074046032"/>
    <n v="1478.9515645967469"/>
    <n v="1"/>
    <n v="0"/>
    <n v="0"/>
    <n v="0"/>
    <n v="0"/>
    <n v="0"/>
    <n v="0"/>
    <n v="0"/>
    <n v="0"/>
    <n v="0"/>
  </r>
  <r>
    <d v="2018-06-15T00:00:00"/>
    <n v="2018"/>
    <x v="10"/>
    <s v="R"/>
    <s v="RS"/>
    <x v="5"/>
    <s v="DAL"/>
    <s v="A"/>
    <n v="1"/>
    <n v="2"/>
    <n v="-1"/>
    <n v="1"/>
    <n v="-8"/>
    <n v="8"/>
    <n v="1464.5880330816456"/>
    <n v="1490.9784866909165"/>
    <n v="0.32572997164157508"/>
    <n v="67"/>
    <n v="77"/>
    <n v="0"/>
    <n v="-10"/>
    <n v="0"/>
    <n v="0.41402445502116741"/>
    <n v="1"/>
    <n v="74.349999999999994"/>
    <n v="74.349999999999994"/>
    <n v="-10.026853936376831"/>
    <n v="1454.5611791452686"/>
    <n v="0"/>
    <n v="1"/>
    <n v="0"/>
    <n v="0"/>
    <n v="0"/>
    <n v="0"/>
    <n v="0"/>
    <n v="0"/>
    <n v="0"/>
    <n v="0"/>
  </r>
  <r>
    <d v="2018-06-15T00:00:00"/>
    <n v="2018"/>
    <x v="8"/>
    <s v="R"/>
    <s v="RS"/>
    <x v="0"/>
    <s v="LVA"/>
    <s v="H"/>
    <n v="2"/>
    <n v="1"/>
    <n v="1"/>
    <n v="-1"/>
    <n v="8"/>
    <n v="-8"/>
    <n v="1490.9784866909165"/>
    <n v="1464.5880330816456"/>
    <n v="0.67427002835842487"/>
    <n v="77"/>
    <n v="67"/>
    <n v="0"/>
    <n v="10"/>
    <n v="1"/>
    <n v="0.41402445502116741"/>
    <n v="1"/>
    <n v="74.650000000000006"/>
    <n v="74.650000000000006"/>
    <n v="10.067311988574723"/>
    <n v="1501.0457986794913"/>
    <n v="1"/>
    <n v="0"/>
    <n v="0"/>
    <n v="0"/>
    <n v="0"/>
    <n v="0"/>
    <n v="0"/>
    <n v="0"/>
    <n v="0"/>
    <n v="0"/>
  </r>
  <r>
    <d v="2018-06-15T00:00:00"/>
    <n v="2018"/>
    <x v="9"/>
    <s v="R"/>
    <s v="RS"/>
    <x v="6"/>
    <s v="SEA"/>
    <s v="A"/>
    <n v="1"/>
    <n v="2"/>
    <n v="-1"/>
    <n v="1"/>
    <n v="-8"/>
    <n v="8"/>
    <n v="1605.0702438513542"/>
    <n v="1559.7889655582583"/>
    <n v="0.42189811286653578"/>
    <n v="92"/>
    <n v="103"/>
    <n v="0"/>
    <n v="-11"/>
    <n v="0"/>
    <n v="0.42384252739478767"/>
    <n v="1"/>
    <n v="74.5"/>
    <n v="74.5"/>
    <n v="-13.321968003303072"/>
    <n v="1591.7482758480512"/>
    <n v="0"/>
    <n v="1"/>
    <n v="0"/>
    <n v="0"/>
    <n v="0"/>
    <n v="0"/>
    <n v="0"/>
    <n v="0"/>
    <n v="0"/>
    <n v="0"/>
  </r>
  <r>
    <d v="2018-06-15T00:00:00"/>
    <n v="2018"/>
    <x v="10"/>
    <s v="R"/>
    <s v="RS"/>
    <x v="10"/>
    <s v="CON"/>
    <s v="H"/>
    <n v="2"/>
    <n v="1"/>
    <n v="1"/>
    <n v="-1"/>
    <n v="8"/>
    <n v="-8"/>
    <n v="1559.7889655582583"/>
    <n v="1605.0702438513542"/>
    <n v="0.57810188713346422"/>
    <n v="103"/>
    <n v="92"/>
    <n v="0"/>
    <n v="11"/>
    <n v="1"/>
    <n v="0.42384252739478767"/>
    <n v="1"/>
    <n v="74.349999999999994"/>
    <n v="74.349999999999994"/>
    <n v="13.295145248934004"/>
    <n v="1573.0841108071922"/>
    <n v="1"/>
    <n v="0"/>
    <n v="0"/>
    <n v="0"/>
    <n v="0"/>
    <n v="0"/>
    <n v="0"/>
    <n v="0"/>
    <n v="0"/>
    <n v="0"/>
  </r>
  <r>
    <d v="2018-06-15T00:00:00"/>
    <n v="2018"/>
    <x v="8"/>
    <s v="R"/>
    <s v="RS"/>
    <x v="8"/>
    <s v="WAS"/>
    <s v="A"/>
    <n v="2"/>
    <n v="1"/>
    <n v="1"/>
    <n v="-1"/>
    <n v="8"/>
    <n v="-8"/>
    <n v="1608.59239942462"/>
    <n v="1509.2098877453639"/>
    <n v="0.54504063864196739"/>
    <n v="97"/>
    <n v="86"/>
    <n v="0"/>
    <n v="11"/>
    <n v="1"/>
    <n v="0.40619537323697824"/>
    <n v="1"/>
    <n v="74.650000000000006"/>
    <n v="74.650000000000006"/>
    <n v="13.79549823392818"/>
    <n v="1622.3878976585481"/>
    <n v="1"/>
    <n v="0"/>
    <n v="0"/>
    <n v="0"/>
    <n v="0"/>
    <n v="0"/>
    <n v="0"/>
    <n v="0"/>
    <n v="0"/>
    <n v="0"/>
  </r>
  <r>
    <d v="2018-06-15T00:00:00"/>
    <n v="2018"/>
    <x v="10"/>
    <s v="R"/>
    <s v="RS"/>
    <x v="11"/>
    <s v="LAS"/>
    <s v="H"/>
    <n v="1"/>
    <n v="2"/>
    <n v="-1"/>
    <n v="1"/>
    <n v="-8"/>
    <n v="8"/>
    <n v="1509.2098877453639"/>
    <n v="1608.59239942462"/>
    <n v="0.45495936135803255"/>
    <n v="86"/>
    <n v="97"/>
    <n v="0"/>
    <n v="-11"/>
    <n v="0"/>
    <n v="0.40619537323697824"/>
    <n v="1"/>
    <n v="74.349999999999994"/>
    <n v="74.349999999999994"/>
    <n v="-13.740057517649831"/>
    <n v="1495.4698302277141"/>
    <n v="0"/>
    <n v="1"/>
    <n v="0"/>
    <n v="0"/>
    <n v="0"/>
    <n v="0"/>
    <n v="0"/>
    <n v="0"/>
    <n v="0"/>
    <n v="0"/>
  </r>
  <r>
    <d v="2018-06-16T00:00:00"/>
    <n v="2018"/>
    <x v="10"/>
    <s v="R"/>
    <s v="RS"/>
    <x v="7"/>
    <s v="IND"/>
    <s v="A"/>
    <n v="1"/>
    <n v="1"/>
    <n v="0"/>
    <n v="0"/>
    <n v="0"/>
    <n v="0"/>
    <n v="1478.9515645967469"/>
    <n v="1317.98788425967"/>
    <n v="0.60898281955302969"/>
    <n v="64"/>
    <n v="96"/>
    <n v="0"/>
    <n v="-32"/>
    <n v="0"/>
    <n v="0.64131957926418648"/>
    <n v="1"/>
    <n v="74.349999999999994"/>
    <n v="74.349999999999994"/>
    <n v="-29.037586227465361"/>
    <n v="1449.9139783692815"/>
    <n v="0"/>
    <n v="1"/>
    <n v="0"/>
    <n v="0"/>
    <n v="0"/>
    <n v="0"/>
    <n v="0"/>
    <n v="0"/>
    <n v="0"/>
    <n v="0"/>
  </r>
  <r>
    <d v="2018-06-16T00:00:00"/>
    <n v="2018"/>
    <x v="10"/>
    <s v="R"/>
    <s v="RS"/>
    <x v="3"/>
    <s v="ATL"/>
    <s v="H"/>
    <n v="1"/>
    <n v="1"/>
    <n v="0"/>
    <n v="0"/>
    <n v="0"/>
    <n v="0"/>
    <n v="1317.98788425967"/>
    <n v="1478.9515645967469"/>
    <n v="0.39101718044697037"/>
    <n v="96"/>
    <n v="64"/>
    <n v="0"/>
    <n v="32"/>
    <n v="1"/>
    <n v="0.64131957926418648"/>
    <n v="1"/>
    <n v="74.349999999999994"/>
    <n v="74.349999999999994"/>
    <n v="29.037586227465354"/>
    <n v="1347.0254704871354"/>
    <n v="1"/>
    <n v="0"/>
    <n v="0"/>
    <n v="0"/>
    <n v="0"/>
    <n v="0"/>
    <n v="0"/>
    <n v="0"/>
    <n v="0"/>
    <n v="0"/>
  </r>
  <r>
    <d v="2018-06-16T00:00:00"/>
    <n v="2018"/>
    <x v="8"/>
    <s v="R"/>
    <s v="RS"/>
    <x v="4"/>
    <s v="MIN"/>
    <s v="A"/>
    <n v="2"/>
    <n v="6"/>
    <n v="-4"/>
    <n v="4"/>
    <n v="-16"/>
    <n v="16"/>
    <n v="1484.1947642832549"/>
    <n v="1574.4977238037263"/>
    <n v="0.23369287222462404"/>
    <n v="71"/>
    <n v="85"/>
    <n v="0"/>
    <n v="-14"/>
    <n v="0"/>
    <n v="0.4534824321091066"/>
    <n v="1"/>
    <n v="74.650000000000006"/>
    <n v="74.650000000000006"/>
    <n v="-7.9110794405018456"/>
    <n v="1476.283684842753"/>
    <n v="0"/>
    <n v="1"/>
    <n v="0"/>
    <n v="0"/>
    <n v="0"/>
    <n v="0"/>
    <n v="0"/>
    <n v="0"/>
    <n v="0"/>
    <n v="0"/>
  </r>
  <r>
    <d v="2018-06-16T00:00:00"/>
    <n v="2018"/>
    <x v="9"/>
    <s v="R"/>
    <s v="RS"/>
    <x v="9"/>
    <s v="NYL"/>
    <s v="H"/>
    <n v="6"/>
    <n v="2"/>
    <n v="4"/>
    <n v="-4"/>
    <n v="16"/>
    <n v="-16"/>
    <n v="1574.4977238037263"/>
    <n v="1484.1947642832549"/>
    <n v="0.76630712777537591"/>
    <n v="85"/>
    <n v="71"/>
    <n v="0"/>
    <n v="14"/>
    <n v="1"/>
    <n v="0.4534824321091066"/>
    <n v="1"/>
    <n v="74.5"/>
    <n v="74.5"/>
    <n v="7.8951830986923985"/>
    <n v="1582.3929069024186"/>
    <n v="1"/>
    <n v="0"/>
    <n v="0"/>
    <n v="0"/>
    <n v="0"/>
    <n v="0"/>
    <n v="0"/>
    <n v="0"/>
    <n v="0"/>
    <n v="0"/>
  </r>
  <r>
    <d v="2018-06-16T00:00:00"/>
    <n v="2018"/>
    <x v="10"/>
    <s v="R"/>
    <s v="RS"/>
    <x v="6"/>
    <s v="PHX"/>
    <s v="A"/>
    <n v="0"/>
    <n v="3"/>
    <n v="-3"/>
    <n v="3"/>
    <n v="-16"/>
    <n v="16"/>
    <n v="1591.7482758480512"/>
    <n v="1570.9412439060313"/>
    <n v="0.36633440464376393"/>
    <n v="72"/>
    <n v="89"/>
    <n v="0"/>
    <n v="-17"/>
    <n v="0"/>
    <n v="0.52336730226889927"/>
    <n v="1"/>
    <n v="74.349999999999994"/>
    <n v="74.349999999999994"/>
    <n v="-14.254935839595404"/>
    <n v="1577.4933400084558"/>
    <n v="0"/>
    <n v="1"/>
    <n v="0"/>
    <n v="0"/>
    <n v="0"/>
    <n v="0"/>
    <n v="0"/>
    <n v="0"/>
    <n v="0"/>
    <n v="0"/>
  </r>
  <r>
    <d v="2018-06-16T00:00:00"/>
    <n v="2018"/>
    <x v="11"/>
    <s v="R"/>
    <s v="RS"/>
    <x v="1"/>
    <s v="CON"/>
    <s v="H"/>
    <n v="3"/>
    <n v="0"/>
    <n v="3"/>
    <n v="-3"/>
    <n v="16"/>
    <n v="-16"/>
    <n v="1570.9412439060313"/>
    <n v="1591.7482758480512"/>
    <n v="0.63366559535623601"/>
    <n v="89"/>
    <n v="72"/>
    <n v="0"/>
    <n v="17"/>
    <n v="1"/>
    <n v="0.52336730226889927"/>
    <n v="1"/>
    <n v="74.2"/>
    <n v="74.2"/>
    <n v="14.226176722232404"/>
    <n v="1585.1674206282637"/>
    <n v="1"/>
    <n v="0"/>
    <n v="0"/>
    <n v="0"/>
    <n v="0"/>
    <n v="0"/>
    <n v="0"/>
    <n v="0"/>
    <n v="0"/>
    <n v="0"/>
  </r>
  <r>
    <d v="2018-06-17T00:00:00"/>
    <n v="2018"/>
    <x v="9"/>
    <s v="R"/>
    <s v="RS"/>
    <x v="8"/>
    <s v="CHI"/>
    <s v="A"/>
    <n v="1"/>
    <n v="4"/>
    <n v="-3"/>
    <n v="3"/>
    <n v="-16"/>
    <n v="16"/>
    <n v="1622.3878976585481"/>
    <n v="1413.0194148646851"/>
    <n v="0.631224189392805"/>
    <n v="81"/>
    <n v="72"/>
    <n v="0"/>
    <n v="9"/>
    <n v="1"/>
    <n v="0.34566249956928063"/>
    <n v="1"/>
    <n v="74.5"/>
    <n v="74.5"/>
    <n v="9.4966616514002133"/>
    <n v="1631.8845593099484"/>
    <n v="1"/>
    <n v="0"/>
    <n v="0"/>
    <n v="0"/>
    <n v="0"/>
    <n v="0"/>
    <n v="0"/>
    <n v="0"/>
    <n v="0"/>
    <n v="0"/>
  </r>
  <r>
    <d v="2018-06-17T00:00:00"/>
    <n v="2018"/>
    <x v="9"/>
    <s v="R"/>
    <s v="RS"/>
    <x v="2"/>
    <s v="LAS"/>
    <s v="H"/>
    <n v="4"/>
    <n v="1"/>
    <n v="3"/>
    <n v="-3"/>
    <n v="16"/>
    <n v="-16"/>
    <n v="1413.0194148646851"/>
    <n v="1622.3878976585481"/>
    <n v="0.368775810607195"/>
    <n v="72"/>
    <n v="81"/>
    <n v="0"/>
    <n v="-9"/>
    <n v="0"/>
    <n v="0.34566249956928063"/>
    <n v="1"/>
    <n v="74.5"/>
    <n v="74.5"/>
    <n v="-9.4966616514002133"/>
    <n v="1403.5227532132849"/>
    <n v="0"/>
    <n v="1"/>
    <n v="0"/>
    <n v="0"/>
    <n v="0"/>
    <n v="0"/>
    <n v="0"/>
    <n v="0"/>
    <n v="0"/>
    <n v="0"/>
  </r>
  <r>
    <d v="2018-06-17T00:00:00"/>
    <n v="2018"/>
    <x v="12"/>
    <s v="R"/>
    <s v="RS"/>
    <x v="1"/>
    <s v="LVA"/>
    <s v="A"/>
    <n v="0"/>
    <n v="1"/>
    <n v="-1"/>
    <n v="1"/>
    <n v="-8"/>
    <n v="8"/>
    <n v="1585.1674206282637"/>
    <n v="1454.5611791452686"/>
    <n v="0.54393234001442081"/>
    <n v="92"/>
    <n v="80"/>
    <n v="0"/>
    <n v="12"/>
    <n v="1"/>
    <n v="0.41135785676294978"/>
    <n v="1"/>
    <n v="74.05"/>
    <n v="74.05"/>
    <n v="13.892299471899083"/>
    <n v="1599.0597201001628"/>
    <n v="1"/>
    <n v="0"/>
    <n v="0"/>
    <n v="0"/>
    <n v="0"/>
    <n v="0"/>
    <n v="0"/>
    <n v="0"/>
    <n v="0"/>
    <n v="0"/>
  </r>
  <r>
    <d v="2018-06-17T00:00:00"/>
    <n v="2018"/>
    <x v="11"/>
    <s v="R"/>
    <s v="RS"/>
    <x v="5"/>
    <s v="PHX"/>
    <s v="H"/>
    <n v="1"/>
    <n v="0"/>
    <n v="1"/>
    <n v="-1"/>
    <n v="8"/>
    <n v="-8"/>
    <n v="1454.5611791452686"/>
    <n v="1585.1674206282637"/>
    <n v="0.45606765998557924"/>
    <n v="80"/>
    <n v="92"/>
    <n v="0"/>
    <n v="-12"/>
    <n v="0"/>
    <n v="0.41135785676294978"/>
    <n v="1"/>
    <n v="74.2"/>
    <n v="74.2"/>
    <n v="-13.920440524171671"/>
    <n v="1440.6407386210969"/>
    <n v="0"/>
    <n v="1"/>
    <n v="0"/>
    <n v="0"/>
    <n v="0"/>
    <n v="0"/>
    <n v="0"/>
    <n v="0"/>
    <n v="0"/>
    <n v="0"/>
  </r>
  <r>
    <d v="2018-06-19T00:00:00"/>
    <n v="2018"/>
    <x v="11"/>
    <s v="R"/>
    <s v="RS"/>
    <x v="3"/>
    <s v="LAS"/>
    <s v="A"/>
    <n v="2"/>
    <n v="1"/>
    <n v="1"/>
    <n v="-1"/>
    <n v="8"/>
    <n v="-8"/>
    <n v="1347.0254704871354"/>
    <n v="1631.8845593099484"/>
    <n v="0.11596377375186594"/>
    <n v="55"/>
    <n v="74"/>
    <n v="0"/>
    <n v="-19"/>
    <n v="0"/>
    <n v="0.45335822929932501"/>
    <n v="1"/>
    <n v="74.2"/>
    <n v="74.2"/>
    <n v="-3.9009263299212007"/>
    <n v="1343.1245441572141"/>
    <n v="0"/>
    <n v="1"/>
    <n v="0"/>
    <n v="0"/>
    <n v="0"/>
    <n v="0"/>
    <n v="0"/>
    <n v="0"/>
    <n v="0"/>
    <n v="0"/>
  </r>
  <r>
    <d v="2018-06-19T00:00:00"/>
    <n v="2018"/>
    <x v="10"/>
    <s v="R"/>
    <s v="RS"/>
    <x v="8"/>
    <s v="IND"/>
    <s v="H"/>
    <n v="1"/>
    <n v="2"/>
    <n v="-1"/>
    <n v="1"/>
    <n v="-8"/>
    <n v="8"/>
    <n v="1631.8845593099484"/>
    <n v="1347.0254704871354"/>
    <n v="0.88403622624813405"/>
    <n v="74"/>
    <n v="55"/>
    <n v="0"/>
    <n v="19"/>
    <n v="1"/>
    <n v="0.45335822929932501"/>
    <n v="1"/>
    <n v="74.349999999999994"/>
    <n v="74.349999999999994"/>
    <n v="3.9088122995908523"/>
    <n v="1635.7933716095392"/>
    <n v="1"/>
    <n v="0"/>
    <n v="0"/>
    <n v="0"/>
    <n v="0"/>
    <n v="0"/>
    <n v="0"/>
    <n v="0"/>
    <n v="0"/>
    <n v="0"/>
  </r>
  <r>
    <d v="2018-06-19T00:00:00"/>
    <n v="2018"/>
    <x v="9"/>
    <s v="R"/>
    <s v="RS"/>
    <x v="0"/>
    <s v="MIN"/>
    <s v="A"/>
    <n v="3"/>
    <n v="2"/>
    <n v="1"/>
    <n v="-1"/>
    <n v="8"/>
    <n v="-8"/>
    <n v="1501.0457986794913"/>
    <n v="1582.3929069024186"/>
    <n v="0.29739971647476349"/>
    <n v="83"/>
    <n v="91"/>
    <n v="0"/>
    <n v="-8"/>
    <n v="0"/>
    <n v="0.36366308474357295"/>
    <n v="1"/>
    <n v="74.5"/>
    <n v="74.5"/>
    <n v="-8.0574207229831973"/>
    <n v="1492.9883779565082"/>
    <n v="0"/>
    <n v="1"/>
    <n v="0"/>
    <n v="0"/>
    <n v="0"/>
    <n v="0"/>
    <n v="0"/>
    <n v="0"/>
    <n v="0"/>
    <n v="0"/>
  </r>
  <r>
    <d v="2018-06-19T00:00:00"/>
    <n v="2018"/>
    <x v="10"/>
    <s v="R"/>
    <s v="RS"/>
    <x v="9"/>
    <s v="DAL"/>
    <s v="H"/>
    <n v="2"/>
    <n v="3"/>
    <n v="-1"/>
    <n v="1"/>
    <n v="-8"/>
    <n v="8"/>
    <n v="1582.3929069024186"/>
    <n v="1501.0457986794913"/>
    <n v="0.70260028352523651"/>
    <n v="91"/>
    <n v="83"/>
    <n v="0"/>
    <n v="8"/>
    <n v="1"/>
    <n v="0.36366308474357295"/>
    <n v="1"/>
    <n v="74.349999999999994"/>
    <n v="74.349999999999994"/>
    <n v="8.0411977282389362"/>
    <n v="1590.4341046306577"/>
    <n v="1"/>
    <n v="0"/>
    <n v="0"/>
    <n v="0"/>
    <n v="0"/>
    <n v="0"/>
    <n v="0"/>
    <n v="0"/>
    <n v="0"/>
    <n v="0"/>
  </r>
  <r>
    <d v="2018-06-19T00:00:00"/>
    <n v="2018"/>
    <x v="11"/>
    <s v="R"/>
    <s v="RS"/>
    <x v="7"/>
    <s v="NYL"/>
    <s v="A"/>
    <n v="2"/>
    <n v="2"/>
    <n v="0"/>
    <n v="0"/>
    <n v="0"/>
    <n v="0"/>
    <n v="1449.9139783692815"/>
    <n v="1476.283684842753"/>
    <n v="0.34630090032187416"/>
    <n v="72"/>
    <n v="79"/>
    <n v="0"/>
    <n v="-7"/>
    <n v="0"/>
    <n v="0.36214903600457715"/>
    <n v="1"/>
    <n v="74.2"/>
    <n v="74.2"/>
    <n v="-9.3056102616560246"/>
    <n v="1440.6083681076254"/>
    <n v="0"/>
    <n v="1"/>
    <n v="0"/>
    <n v="0"/>
    <n v="0"/>
    <n v="0"/>
    <n v="0"/>
    <n v="0"/>
    <n v="0"/>
    <n v="0"/>
  </r>
  <r>
    <d v="2018-06-19T00:00:00"/>
    <n v="2018"/>
    <x v="9"/>
    <s v="R"/>
    <s v="RS"/>
    <x v="4"/>
    <s v="ATL"/>
    <s v="H"/>
    <n v="2"/>
    <n v="2"/>
    <n v="0"/>
    <n v="0"/>
    <n v="0"/>
    <n v="0"/>
    <n v="1476.283684842753"/>
    <n v="1449.9139783692815"/>
    <n v="0.65369909967812589"/>
    <n v="79"/>
    <n v="72"/>
    <n v="0"/>
    <n v="7"/>
    <n v="1"/>
    <n v="0.36214903600457715"/>
    <n v="1"/>
    <n v="74.5"/>
    <n v="74.5"/>
    <n v="9.3432340228217488"/>
    <n v="1485.6269188655747"/>
    <n v="1"/>
    <n v="0"/>
    <n v="0"/>
    <n v="0"/>
    <n v="0"/>
    <n v="0"/>
    <n v="0"/>
    <n v="0"/>
    <n v="0"/>
    <n v="0"/>
  </r>
  <r>
    <d v="2018-06-19T00:00:00"/>
    <n v="2018"/>
    <x v="12"/>
    <s v="R"/>
    <s v="RS"/>
    <x v="5"/>
    <s v="SEA"/>
    <s v="A"/>
    <n v="1"/>
    <n v="3"/>
    <n v="-2"/>
    <n v="2"/>
    <n v="-16"/>
    <n v="16"/>
    <n v="1440.6407386210969"/>
    <n v="1573.0841108071922"/>
    <n v="0.19307453254239321"/>
    <n v="89"/>
    <n v="77"/>
    <n v="0"/>
    <n v="12"/>
    <n v="1"/>
    <n v="0.41079068958391929"/>
    <n v="1"/>
    <n v="74.05"/>
    <n v="74.05"/>
    <n v="24.545906595721501"/>
    <n v="1465.1866452168185"/>
    <n v="1"/>
    <n v="0"/>
    <n v="0"/>
    <n v="0"/>
    <n v="0"/>
    <n v="0"/>
    <n v="0"/>
    <n v="0"/>
    <n v="0"/>
    <n v="0"/>
  </r>
  <r>
    <d v="2018-06-19T00:00:00"/>
    <n v="2018"/>
    <x v="11"/>
    <s v="R"/>
    <s v="RS"/>
    <x v="10"/>
    <s v="LVA"/>
    <s v="H"/>
    <n v="3"/>
    <n v="1"/>
    <n v="2"/>
    <n v="-2"/>
    <n v="16"/>
    <n v="-16"/>
    <n v="1573.0841108071922"/>
    <n v="1440.6407386210969"/>
    <n v="0.80692546745760674"/>
    <n v="77"/>
    <n v="89"/>
    <n v="0"/>
    <n v="-12"/>
    <n v="0"/>
    <n v="0.41079068958391929"/>
    <n v="1"/>
    <n v="74.2"/>
    <n v="74.2"/>
    <n v="-24.595628216104465"/>
    <n v="1548.4884825910879"/>
    <n v="0"/>
    <n v="1"/>
    <n v="0"/>
    <n v="0"/>
    <n v="0"/>
    <n v="0"/>
    <n v="0"/>
    <n v="0"/>
    <n v="0"/>
    <n v="0"/>
  </r>
  <r>
    <d v="2018-06-19T00:00:00"/>
    <n v="2018"/>
    <x v="10"/>
    <s v="R"/>
    <s v="RS"/>
    <x v="2"/>
    <s v="WAS"/>
    <s v="A"/>
    <n v="1"/>
    <n v="3"/>
    <n v="-2"/>
    <n v="2"/>
    <n v="-16"/>
    <n v="16"/>
    <n v="1403.5227532132849"/>
    <n v="1495.4698302277141"/>
    <n v="0.23200227394665437"/>
    <n v="60"/>
    <n v="88"/>
    <n v="0"/>
    <n v="-28"/>
    <n v="0"/>
    <n v="0.63075926760750856"/>
    <n v="1"/>
    <n v="74.349999999999994"/>
    <n v="74.349999999999994"/>
    <n v="-10.880199399981505"/>
    <n v="1392.6425538133035"/>
    <n v="0"/>
    <n v="1"/>
    <n v="0"/>
    <n v="0"/>
    <n v="0"/>
    <n v="0"/>
    <n v="0"/>
    <n v="0"/>
    <n v="0"/>
    <n v="0"/>
  </r>
  <r>
    <d v="2018-06-19T00:00:00"/>
    <n v="2018"/>
    <x v="11"/>
    <s v="R"/>
    <s v="RS"/>
    <x v="11"/>
    <s v="CHI"/>
    <s v="H"/>
    <n v="3"/>
    <n v="1"/>
    <n v="2"/>
    <n v="-2"/>
    <n v="16"/>
    <n v="-16"/>
    <n v="1495.4698302277141"/>
    <n v="1403.5227532132849"/>
    <n v="0.7679977260533456"/>
    <n v="88"/>
    <n v="60"/>
    <n v="0"/>
    <n v="28"/>
    <n v="1"/>
    <n v="0.63075926760750856"/>
    <n v="1"/>
    <n v="74.2"/>
    <n v="74.2"/>
    <n v="10.858248762321828"/>
    <n v="1506.3280789900359"/>
    <n v="1"/>
    <n v="0"/>
    <n v="0"/>
    <n v="0"/>
    <n v="0"/>
    <n v="0"/>
    <n v="0"/>
    <n v="0"/>
    <n v="0"/>
    <n v="0"/>
  </r>
  <r>
    <d v="2018-06-22T00:00:00"/>
    <n v="2018"/>
    <x v="11"/>
    <s v="R"/>
    <s v="RS"/>
    <x v="6"/>
    <s v="ATL"/>
    <s v="A"/>
    <n v="5"/>
    <n v="2"/>
    <n v="3"/>
    <n v="-3"/>
    <n v="16"/>
    <n v="-16"/>
    <n v="1577.4933400084558"/>
    <n v="1440.6083681076254"/>
    <n v="0.61978533363193988"/>
    <n v="70"/>
    <n v="75"/>
    <n v="0"/>
    <n v="-5"/>
    <n v="0"/>
    <n v="0.29778715366023933"/>
    <n v="1"/>
    <n v="74.2"/>
    <n v="74.2"/>
    <n v="-13.694656990390195"/>
    <n v="1563.7986830180655"/>
    <n v="0"/>
    <n v="1"/>
    <n v="0"/>
    <n v="0"/>
    <n v="0"/>
    <n v="0"/>
    <n v="0"/>
    <n v="0"/>
    <n v="0"/>
    <n v="0"/>
  </r>
  <r>
    <d v="2018-06-22T00:00:00"/>
    <n v="2018"/>
    <x v="12"/>
    <s v="R"/>
    <s v="RS"/>
    <x v="7"/>
    <s v="CON"/>
    <s v="H"/>
    <n v="2"/>
    <n v="5"/>
    <n v="-3"/>
    <n v="3"/>
    <n v="-16"/>
    <n v="16"/>
    <n v="1440.6083681076254"/>
    <n v="1577.4933400084558"/>
    <n v="0.38021466636806012"/>
    <n v="75"/>
    <n v="70"/>
    <n v="0"/>
    <n v="5"/>
    <n v="1"/>
    <n v="0.29778715366023933"/>
    <n v="1"/>
    <n v="74.05"/>
    <n v="74.05"/>
    <n v="13.666972373832801"/>
    <n v="1454.2753404814582"/>
    <n v="1"/>
    <n v="0"/>
    <n v="0"/>
    <n v="0"/>
    <n v="0"/>
    <n v="0"/>
    <n v="0"/>
    <n v="0"/>
    <n v="0"/>
    <n v="0"/>
  </r>
  <r>
    <d v="2018-06-22T00:00:00"/>
    <n v="2018"/>
    <x v="12"/>
    <s v="R"/>
    <s v="RS"/>
    <x v="11"/>
    <s v="CHI"/>
    <s v="A"/>
    <n v="2"/>
    <n v="2"/>
    <n v="0"/>
    <n v="0"/>
    <n v="0"/>
    <n v="0"/>
    <n v="1506.3280789900359"/>
    <n v="1392.6425538133035"/>
    <n v="0.54261724900625374"/>
    <n v="93"/>
    <n v="77"/>
    <n v="0"/>
    <n v="16"/>
    <n v="1"/>
    <n v="0.47297715231541726"/>
    <n v="1"/>
    <n v="74.05"/>
    <n v="74.05"/>
    <n v="16.019354319711976"/>
    <n v="1522.3474333097479"/>
    <n v="1"/>
    <n v="0"/>
    <n v="0"/>
    <n v="0"/>
    <n v="0"/>
    <n v="0"/>
    <n v="0"/>
    <n v="0"/>
    <n v="0"/>
    <n v="0"/>
  </r>
  <r>
    <d v="2018-06-22T00:00:00"/>
    <n v="2018"/>
    <x v="11"/>
    <s v="R"/>
    <s v="RS"/>
    <x v="2"/>
    <s v="WAS"/>
    <s v="H"/>
    <n v="2"/>
    <n v="2"/>
    <n v="0"/>
    <n v="0"/>
    <n v="0"/>
    <n v="0"/>
    <n v="1392.6425538133035"/>
    <n v="1506.3280789900359"/>
    <n v="0.45738275099374637"/>
    <n v="77"/>
    <n v="93"/>
    <n v="0"/>
    <n v="-16"/>
    <n v="0"/>
    <n v="0.47297715231541726"/>
    <n v="1"/>
    <n v="74.2"/>
    <n v="74.2"/>
    <n v="-16.051804058374461"/>
    <n v="1376.590749754929"/>
    <n v="0"/>
    <n v="1"/>
    <n v="0"/>
    <n v="0"/>
    <n v="0"/>
    <n v="0"/>
    <n v="0"/>
    <n v="0"/>
    <n v="0"/>
    <n v="0"/>
  </r>
  <r>
    <d v="2018-06-22T00:00:00"/>
    <n v="2018"/>
    <x v="11"/>
    <s v="R"/>
    <s v="RS"/>
    <x v="8"/>
    <s v="DAL"/>
    <s v="A"/>
    <n v="2"/>
    <n v="2"/>
    <n v="0"/>
    <n v="0"/>
    <n v="0"/>
    <n v="0"/>
    <n v="1635.7933716095392"/>
    <n v="1492.9883779565082"/>
    <n v="0.58382823614413493"/>
    <n v="72"/>
    <n v="101"/>
    <n v="0"/>
    <n v="-29"/>
    <n v="0"/>
    <n v="0.61783769641498643"/>
    <n v="1"/>
    <n v="74.2"/>
    <n v="74.2"/>
    <n v="-26.764763065081727"/>
    <n v="1609.0286085444575"/>
    <n v="0"/>
    <n v="1"/>
    <n v="0"/>
    <n v="0"/>
    <n v="0"/>
    <n v="0"/>
    <n v="0"/>
    <n v="0"/>
    <n v="0"/>
    <n v="0"/>
  </r>
  <r>
    <d v="2018-06-22T00:00:00"/>
    <n v="2018"/>
    <x v="10"/>
    <s v="R"/>
    <s v="RS"/>
    <x v="0"/>
    <s v="LAS"/>
    <s v="H"/>
    <n v="2"/>
    <n v="2"/>
    <n v="0"/>
    <n v="0"/>
    <n v="0"/>
    <n v="0"/>
    <n v="1492.9883779565082"/>
    <n v="1635.7933716095392"/>
    <n v="0.41617176385586502"/>
    <n v="101"/>
    <n v="72"/>
    <n v="0"/>
    <n v="29"/>
    <n v="1"/>
    <n v="0.61783769641498643"/>
    <n v="1"/>
    <n v="74.349999999999994"/>
    <n v="74.349999999999994"/>
    <n v="26.818869728959918"/>
    <n v="1519.8072476854682"/>
    <n v="1"/>
    <n v="0"/>
    <n v="0"/>
    <n v="0"/>
    <n v="0"/>
    <n v="0"/>
    <n v="0"/>
    <n v="0"/>
    <n v="0"/>
    <n v="0"/>
  </r>
  <r>
    <d v="2018-06-22T00:00:00"/>
    <n v="2018"/>
    <x v="10"/>
    <s v="R"/>
    <s v="RS"/>
    <x v="4"/>
    <s v="LVA"/>
    <s v="A"/>
    <n v="2"/>
    <n v="2"/>
    <n v="0"/>
    <n v="0"/>
    <n v="0"/>
    <n v="0"/>
    <n v="1485.6269188655747"/>
    <n v="1465.1866452168185"/>
    <n v="0.40953712709409529"/>
    <n v="78"/>
    <n v="88"/>
    <n v="0"/>
    <n v="-10"/>
    <n v="0"/>
    <n v="0.41604300526784593"/>
    <n v="1"/>
    <n v="74.349999999999994"/>
    <n v="74.349999999999994"/>
    <n v="-12.668128997242794"/>
    <n v="1472.9587898683319"/>
    <n v="0"/>
    <n v="1"/>
    <n v="0"/>
    <n v="0"/>
    <n v="0"/>
    <n v="0"/>
    <n v="0"/>
    <n v="0"/>
    <n v="0"/>
    <n v="0"/>
  </r>
  <r>
    <d v="2018-06-22T00:00:00"/>
    <n v="2018"/>
    <x v="13"/>
    <s v="R"/>
    <s v="RS"/>
    <x v="5"/>
    <s v="NYL"/>
    <s v="H"/>
    <n v="2"/>
    <n v="2"/>
    <n v="0"/>
    <n v="0"/>
    <n v="0"/>
    <n v="0"/>
    <n v="1465.1866452168185"/>
    <n v="1485.6269188655747"/>
    <n v="0.5904628729059046"/>
    <n v="88"/>
    <n v="78"/>
    <n v="0"/>
    <n v="10"/>
    <n v="1"/>
    <n v="0.41604300526784593"/>
    <n v="1"/>
    <n v="73.900000000000006"/>
    <n v="73.900000000000006"/>
    <n v="12.591455721536557"/>
    <n v="1477.778100938355"/>
    <n v="1"/>
    <n v="0"/>
    <n v="0"/>
    <n v="0"/>
    <n v="0"/>
    <n v="0"/>
    <n v="0"/>
    <n v="0"/>
    <n v="0"/>
    <n v="0"/>
  </r>
  <r>
    <d v="2018-06-22T00:00:00"/>
    <n v="2018"/>
    <x v="11"/>
    <s v="R"/>
    <s v="RS"/>
    <x v="9"/>
    <s v="PHX"/>
    <s v="A"/>
    <n v="2"/>
    <n v="4"/>
    <n v="-2"/>
    <n v="2"/>
    <n v="-16"/>
    <n v="16"/>
    <n v="1590.4341046306577"/>
    <n v="1599.0597201001628"/>
    <n v="0.32796517988569746"/>
    <n v="83"/>
    <n v="72"/>
    <n v="0"/>
    <n v="11"/>
    <n v="1"/>
    <n v="0.43669698668774792"/>
    <n v="1"/>
    <n v="74.2"/>
    <n v="74.2"/>
    <n v="21.775888102272368"/>
    <n v="1612.20999273293"/>
    <n v="1"/>
    <n v="0"/>
    <n v="0"/>
    <n v="0"/>
    <n v="0"/>
    <n v="0"/>
    <n v="0"/>
    <n v="0"/>
    <n v="0"/>
    <n v="0"/>
  </r>
  <r>
    <d v="2018-06-22T00:00:00"/>
    <n v="2018"/>
    <x v="13"/>
    <s v="R"/>
    <s v="RS"/>
    <x v="1"/>
    <s v="MIN"/>
    <s v="H"/>
    <n v="4"/>
    <n v="2"/>
    <n v="2"/>
    <n v="-2"/>
    <n v="16"/>
    <n v="-16"/>
    <n v="1599.0597201001628"/>
    <n v="1590.4341046306577"/>
    <n v="0.6720348201143026"/>
    <n v="72"/>
    <n v="83"/>
    <n v="0"/>
    <n v="-11"/>
    <n v="0"/>
    <n v="0.43669698668774792"/>
    <n v="1"/>
    <n v="73.900000000000006"/>
    <n v="73.900000000000006"/>
    <n v="-21.687845428004426"/>
    <n v="1577.3718746721584"/>
    <n v="0"/>
    <n v="1"/>
    <n v="0"/>
    <n v="0"/>
    <n v="0"/>
    <n v="0"/>
    <n v="0"/>
    <n v="0"/>
    <n v="0"/>
    <n v="0"/>
  </r>
  <r>
    <d v="2018-06-22T00:00:00"/>
    <n v="2018"/>
    <x v="12"/>
    <s v="R"/>
    <s v="RS"/>
    <x v="3"/>
    <s v="SEA"/>
    <s v="A"/>
    <n v="2"/>
    <n v="2"/>
    <n v="0"/>
    <n v="0"/>
    <n v="0"/>
    <n v="0"/>
    <n v="1343.1245441572141"/>
    <n v="1548.4884825910879"/>
    <n v="0.15899662095440104"/>
    <n v="63"/>
    <n v="72"/>
    <n v="0"/>
    <n v="-9"/>
    <n v="0"/>
    <n v="0.34664745497851973"/>
    <n v="1"/>
    <n v="74.05"/>
    <n v="74.05"/>
    <n v="-4.0813230649982364"/>
    <n v="1339.0432210922158"/>
    <n v="0"/>
    <n v="1"/>
    <n v="0"/>
    <n v="0"/>
    <n v="0"/>
    <n v="0"/>
    <n v="0"/>
    <n v="0"/>
    <n v="0"/>
    <n v="0"/>
  </r>
  <r>
    <d v="2018-06-22T00:00:00"/>
    <n v="2018"/>
    <x v="12"/>
    <s v="R"/>
    <s v="RS"/>
    <x v="10"/>
    <s v="IND"/>
    <s v="H"/>
    <n v="2"/>
    <n v="2"/>
    <n v="0"/>
    <n v="0"/>
    <n v="0"/>
    <n v="0"/>
    <n v="1548.4884825910879"/>
    <n v="1343.1245441572141"/>
    <n v="0.84100337904559896"/>
    <n v="72"/>
    <n v="63"/>
    <n v="0"/>
    <n v="9"/>
    <n v="1"/>
    <n v="0.34664745497851973"/>
    <n v="1"/>
    <n v="74.05"/>
    <n v="74.05"/>
    <n v="4.0813230649982364"/>
    <n v="1552.5698056560861"/>
    <n v="1"/>
    <n v="0"/>
    <n v="0"/>
    <n v="0"/>
    <n v="0"/>
    <n v="0"/>
    <n v="0"/>
    <n v="0"/>
    <n v="0"/>
    <n v="0"/>
  </r>
  <r>
    <d v="2018-06-24T00:00:00"/>
    <n v="2018"/>
    <x v="14"/>
    <s v="R"/>
    <s v="RS"/>
    <x v="1"/>
    <s v="CHI"/>
    <s v="A"/>
    <n v="1"/>
    <n v="1"/>
    <n v="0"/>
    <n v="0"/>
    <n v="0"/>
    <n v="0"/>
    <n v="1577.3718746721584"/>
    <n v="1376.590749754929"/>
    <n v="0.66200593689013087"/>
    <n v="88"/>
    <n v="97"/>
    <n v="0"/>
    <n v="-9"/>
    <n v="0"/>
    <n v="0.3477815512437587"/>
    <n v="1"/>
    <n v="73.75"/>
    <n v="73.75"/>
    <n v="-16.97971706023678"/>
    <n v="1560.3921576119217"/>
    <n v="0"/>
    <n v="1"/>
    <n v="0"/>
    <n v="0"/>
    <n v="0"/>
    <n v="0"/>
    <n v="0"/>
    <n v="0"/>
    <n v="0"/>
    <n v="0"/>
  </r>
  <r>
    <d v="2018-06-24T00:00:00"/>
    <n v="2018"/>
    <x v="12"/>
    <s v="R"/>
    <s v="RS"/>
    <x v="2"/>
    <s v="PHX"/>
    <s v="H"/>
    <n v="1"/>
    <n v="1"/>
    <n v="0"/>
    <n v="0"/>
    <n v="0"/>
    <n v="0"/>
    <n v="1376.590749754929"/>
    <n v="1577.3718746721584"/>
    <n v="0.33799406310986907"/>
    <n v="97"/>
    <n v="88"/>
    <n v="0"/>
    <n v="9"/>
    <n v="1"/>
    <n v="0.3477815512437587"/>
    <n v="1"/>
    <n v="74.05"/>
    <n v="74.05"/>
    <n v="17.048787095736049"/>
    <n v="1393.6395368506651"/>
    <n v="1"/>
    <n v="0"/>
    <n v="0"/>
    <n v="0"/>
    <n v="0"/>
    <n v="0"/>
    <n v="0"/>
    <n v="0"/>
    <n v="0"/>
    <n v="0"/>
  </r>
  <r>
    <d v="2018-06-24T00:00:00"/>
    <n v="2018"/>
    <x v="13"/>
    <s v="R"/>
    <s v="RS"/>
    <x v="10"/>
    <s v="DAL"/>
    <s v="A"/>
    <n v="1"/>
    <n v="1"/>
    <n v="0"/>
    <n v="0"/>
    <n v="0"/>
    <n v="0"/>
    <n v="1552.5698056560861"/>
    <n v="1519.8072476854682"/>
    <n v="0.42679333376420886"/>
    <n v="97"/>
    <n v="76"/>
    <n v="0"/>
    <n v="21"/>
    <n v="1"/>
    <n v="0.57293397074582353"/>
    <n v="1"/>
    <n v="73.900000000000006"/>
    <n v="73.900000000000006"/>
    <n v="24.269467322354693"/>
    <n v="1576.8392729784409"/>
    <n v="1"/>
    <n v="0"/>
    <n v="0"/>
    <n v="0"/>
    <n v="0"/>
    <n v="0"/>
    <n v="0"/>
    <n v="0"/>
    <n v="0"/>
    <n v="0"/>
  </r>
  <r>
    <d v="2018-06-24T00:00:00"/>
    <n v="2018"/>
    <x v="11"/>
    <s v="R"/>
    <s v="RS"/>
    <x v="0"/>
    <s v="SEA"/>
    <s v="H"/>
    <n v="1"/>
    <n v="1"/>
    <n v="0"/>
    <n v="0"/>
    <n v="0"/>
    <n v="0"/>
    <n v="1519.8072476854682"/>
    <n v="1552.5698056560861"/>
    <n v="0.57320666623579108"/>
    <n v="76"/>
    <n v="97"/>
    <n v="0"/>
    <n v="-21"/>
    <n v="0"/>
    <n v="0.57293397074582353"/>
    <n v="1"/>
    <n v="74.2"/>
    <n v="74.2"/>
    <n v="-24.367990193758022"/>
    <n v="1495.4392574917101"/>
    <n v="0"/>
    <n v="1"/>
    <n v="0"/>
    <n v="0"/>
    <n v="0"/>
    <n v="0"/>
    <n v="0"/>
    <n v="0"/>
    <n v="0"/>
    <n v="0"/>
  </r>
  <r>
    <d v="2018-06-24T00:00:00"/>
    <n v="2018"/>
    <x v="12"/>
    <s v="R"/>
    <s v="RS"/>
    <x v="6"/>
    <s v="IND"/>
    <s v="A"/>
    <n v="1"/>
    <n v="1"/>
    <n v="0"/>
    <n v="0"/>
    <n v="0"/>
    <n v="0"/>
    <n v="1563.7986830180655"/>
    <n v="1339.0432210922158"/>
    <n v="0.69216353610605108"/>
    <n v="87"/>
    <n v="78"/>
    <n v="0"/>
    <n v="9"/>
    <n v="1"/>
    <n v="0.34192943673168075"/>
    <n v="1"/>
    <n v="74.05"/>
    <n v="74.05"/>
    <n v="7.7943807215852807"/>
    <n v="1571.5930637396507"/>
    <n v="1"/>
    <n v="0"/>
    <n v="0"/>
    <n v="0"/>
    <n v="0"/>
    <n v="0"/>
    <n v="0"/>
    <n v="0"/>
    <n v="0"/>
    <n v="0"/>
  </r>
  <r>
    <d v="2018-06-24T00:00:00"/>
    <n v="2018"/>
    <x v="13"/>
    <s v="R"/>
    <s v="RS"/>
    <x v="3"/>
    <s v="CON"/>
    <s v="H"/>
    <n v="1"/>
    <n v="1"/>
    <n v="0"/>
    <n v="0"/>
    <n v="0"/>
    <n v="0"/>
    <n v="1339.0432210922158"/>
    <n v="1563.7986830180655"/>
    <n v="0.30783646389394892"/>
    <n v="78"/>
    <n v="87"/>
    <n v="0"/>
    <n v="-9"/>
    <n v="0"/>
    <n v="0.34192943673168075"/>
    <n v="1"/>
    <n v="73.900000000000006"/>
    <n v="73.900000000000006"/>
    <n v="-7.7785919692795717"/>
    <n v="1331.2646291229362"/>
    <n v="0"/>
    <n v="1"/>
    <n v="0"/>
    <n v="0"/>
    <n v="0"/>
    <n v="0"/>
    <n v="0"/>
    <n v="0"/>
    <n v="0"/>
    <n v="0"/>
  </r>
  <r>
    <d v="2018-06-24T00:00:00"/>
    <n v="2018"/>
    <x v="11"/>
    <s v="R"/>
    <s v="RS"/>
    <x v="4"/>
    <s v="LAS"/>
    <s v="A"/>
    <n v="1"/>
    <n v="1"/>
    <n v="0"/>
    <n v="0"/>
    <n v="0"/>
    <n v="0"/>
    <n v="1472.9587898683319"/>
    <n v="1609.0286085444575"/>
    <n v="0.21980146542800402"/>
    <n v="54"/>
    <n v="80"/>
    <n v="0"/>
    <n v="-26"/>
    <n v="0"/>
    <n v="0.58747293415994073"/>
    <n v="1"/>
    <n v="74.2"/>
    <n v="74.2"/>
    <n v="-9.5812539576112083"/>
    <n v="1463.3775359107208"/>
    <n v="0"/>
    <n v="1"/>
    <n v="0"/>
    <n v="0"/>
    <n v="0"/>
    <n v="0"/>
    <n v="0"/>
    <n v="0"/>
    <n v="0"/>
    <n v="0"/>
  </r>
  <r>
    <d v="2018-06-24T00:00:00"/>
    <n v="2018"/>
    <x v="12"/>
    <s v="R"/>
    <s v="RS"/>
    <x v="8"/>
    <s v="NYL"/>
    <s v="H"/>
    <n v="1"/>
    <n v="1"/>
    <n v="0"/>
    <n v="0"/>
    <n v="0"/>
    <n v="0"/>
    <n v="1609.0286085444575"/>
    <n v="1472.9587898683319"/>
    <n v="0.78019853457199595"/>
    <n v="80"/>
    <n v="54"/>
    <n v="0"/>
    <n v="26"/>
    <n v="1"/>
    <n v="0.58747293415994073"/>
    <n v="1"/>
    <n v="74.05"/>
    <n v="74.05"/>
    <n v="9.56188484583706"/>
    <n v="1618.5904933902946"/>
    <n v="1"/>
    <n v="0"/>
    <n v="0"/>
    <n v="0"/>
    <n v="0"/>
    <n v="0"/>
    <n v="0"/>
    <n v="0"/>
    <n v="0"/>
    <n v="0"/>
  </r>
  <r>
    <d v="2018-06-24T00:00:00"/>
    <n v="2018"/>
    <x v="12"/>
    <s v="R"/>
    <s v="RS"/>
    <x v="9"/>
    <s v="LVA"/>
    <s v="A"/>
    <n v="1"/>
    <n v="1"/>
    <n v="0"/>
    <n v="0"/>
    <n v="0"/>
    <n v="0"/>
    <n v="1612.20999273293"/>
    <n v="1477.778100938355"/>
    <n v="0.57207185438751151"/>
    <n v="88"/>
    <n v="73"/>
    <n v="0"/>
    <n v="15"/>
    <n v="1"/>
    <n v="0.45219065683676535"/>
    <n v="1"/>
    <n v="74.05"/>
    <n v="74.05"/>
    <n v="14.329053339477483"/>
    <n v="1626.5390460724075"/>
    <n v="1"/>
    <n v="0"/>
    <n v="0"/>
    <n v="0"/>
    <n v="0"/>
    <n v="0"/>
    <n v="0"/>
    <n v="0"/>
    <n v="0"/>
    <n v="0"/>
  </r>
  <r>
    <d v="2018-06-24T00:00:00"/>
    <n v="2018"/>
    <x v="14"/>
    <s v="R"/>
    <s v="RS"/>
    <x v="5"/>
    <s v="MIN"/>
    <s v="H"/>
    <n v="1"/>
    <n v="1"/>
    <n v="0"/>
    <n v="0"/>
    <n v="0"/>
    <n v="0"/>
    <n v="1477.778100938355"/>
    <n v="1612.20999273293"/>
    <n v="0.42792814561248838"/>
    <n v="73"/>
    <n v="88"/>
    <n v="0"/>
    <n v="-15"/>
    <n v="0"/>
    <n v="0.45219065683676535"/>
    <n v="1"/>
    <n v="73.75"/>
    <n v="73.75"/>
    <n v="-14.271001806704444"/>
    <n v="1463.5070991316506"/>
    <n v="0"/>
    <n v="1"/>
    <n v="0"/>
    <n v="0"/>
    <n v="0"/>
    <n v="0"/>
    <n v="0"/>
    <n v="0"/>
    <n v="0"/>
    <n v="0"/>
  </r>
  <r>
    <d v="2018-06-26T00:00:00"/>
    <n v="2018"/>
    <x v="12"/>
    <s v="R"/>
    <s v="RS"/>
    <x v="0"/>
    <s v="LAS"/>
    <s v="A"/>
    <n v="1"/>
    <n v="1"/>
    <n v="0"/>
    <n v="0"/>
    <n v="0"/>
    <n v="0"/>
    <n v="1495.4392574917101"/>
    <n v="1618.5904933902946"/>
    <n v="0.23281954670247576"/>
    <n v="83"/>
    <n v="87"/>
    <n v="0"/>
    <n v="-4"/>
    <n v="0"/>
    <n v="0.28244638386393772"/>
    <n v="1"/>
    <n v="74.05"/>
    <n v="74.05"/>
    <n v="-4.8694568423156506"/>
    <n v="1490.5698006493944"/>
    <n v="0"/>
    <n v="1"/>
    <n v="0"/>
    <n v="0"/>
    <n v="0"/>
    <n v="0"/>
    <n v="0"/>
    <n v="0"/>
    <n v="0"/>
    <n v="0"/>
  </r>
  <r>
    <d v="2018-06-26T00:00:00"/>
    <n v="2018"/>
    <x v="13"/>
    <s v="R"/>
    <s v="RS"/>
    <x v="8"/>
    <s v="DAL"/>
    <s v="H"/>
    <n v="1"/>
    <n v="1"/>
    <n v="0"/>
    <n v="0"/>
    <n v="0"/>
    <n v="0"/>
    <n v="1618.5904933902946"/>
    <n v="1495.4392574917101"/>
    <n v="0.76718045329752427"/>
    <n v="87"/>
    <n v="83"/>
    <n v="0"/>
    <n v="4"/>
    <n v="1"/>
    <n v="0.28244638386393772"/>
    <n v="1"/>
    <n v="73.900000000000006"/>
    <n v="73.900000000000006"/>
    <n v="4.859592986456807"/>
    <n v="1623.4500863767514"/>
    <n v="1"/>
    <n v="0"/>
    <n v="0"/>
    <n v="0"/>
    <n v="0"/>
    <n v="0"/>
    <n v="0"/>
    <n v="0"/>
    <n v="0"/>
    <n v="0"/>
  </r>
  <r>
    <d v="2018-06-26T00:00:00"/>
    <n v="2018"/>
    <x v="14"/>
    <s v="R"/>
    <s v="RS"/>
    <x v="10"/>
    <s v="MIN"/>
    <s v="A"/>
    <n v="1"/>
    <n v="1"/>
    <n v="0"/>
    <n v="0"/>
    <n v="0"/>
    <n v="0"/>
    <n v="1576.8392729784409"/>
    <n v="1626.5390460724075"/>
    <n v="0.31655747100842369"/>
    <n v="79"/>
    <n v="91"/>
    <n v="0"/>
    <n v="-12"/>
    <n v="0"/>
    <n v="0.4379894623303997"/>
    <n v="1"/>
    <n v="73.75"/>
    <n v="73.75"/>
    <n v="-10.225351693619231"/>
    <n v="1566.6139212848218"/>
    <n v="0"/>
    <n v="1"/>
    <n v="0"/>
    <n v="0"/>
    <n v="0"/>
    <n v="0"/>
    <n v="0"/>
    <n v="0"/>
    <n v="0"/>
    <n v="0"/>
  </r>
  <r>
    <d v="2018-06-26T00:00:00"/>
    <n v="2018"/>
    <x v="13"/>
    <s v="R"/>
    <s v="RS"/>
    <x v="9"/>
    <s v="SEA"/>
    <s v="H"/>
    <n v="1"/>
    <n v="1"/>
    <n v="0"/>
    <n v="0"/>
    <n v="0"/>
    <n v="0"/>
    <n v="1626.5390460724075"/>
    <n v="1576.8392729784409"/>
    <n v="0.68344252899157631"/>
    <n v="91"/>
    <n v="79"/>
    <n v="0"/>
    <n v="12"/>
    <n v="1"/>
    <n v="0.4379894623303997"/>
    <n v="1"/>
    <n v="73.900000000000006"/>
    <n v="73.900000000000006"/>
    <n v="10.246149019097778"/>
    <n v="1636.7851950915053"/>
    <n v="1"/>
    <n v="0"/>
    <n v="0"/>
    <n v="0"/>
    <n v="0"/>
    <n v="0"/>
    <n v="0"/>
    <n v="0"/>
    <n v="0"/>
    <n v="0"/>
  </r>
  <r>
    <d v="2018-06-26T00:00:00"/>
    <n v="2018"/>
    <x v="15"/>
    <s v="R"/>
    <s v="RS"/>
    <x v="1"/>
    <s v="NYL"/>
    <s v="A"/>
    <n v="1"/>
    <n v="1"/>
    <n v="0"/>
    <n v="0"/>
    <n v="0"/>
    <n v="0"/>
    <n v="1560.3921576119217"/>
    <n v="1463.3775359107208"/>
    <n v="0.5187207907835294"/>
    <n v="83"/>
    <n v="69"/>
    <n v="0"/>
    <n v="14"/>
    <n v="1"/>
    <n v="0.45113579635166251"/>
    <n v="1"/>
    <n v="73.599999999999994"/>
    <n v="73.599999999999994"/>
    <n v="15.980199757758495"/>
    <n v="1576.3723573696802"/>
    <n v="1"/>
    <n v="0"/>
    <n v="0"/>
    <n v="0"/>
    <n v="0"/>
    <n v="0"/>
    <n v="0"/>
    <n v="0"/>
    <n v="0"/>
    <n v="0"/>
  </r>
  <r>
    <d v="2018-06-26T00:00:00"/>
    <n v="2018"/>
    <x v="12"/>
    <s v="R"/>
    <s v="RS"/>
    <x v="4"/>
    <s v="PHX"/>
    <s v="H"/>
    <n v="1"/>
    <n v="1"/>
    <n v="0"/>
    <n v="0"/>
    <n v="0"/>
    <n v="0"/>
    <n v="1463.3775359107208"/>
    <n v="1560.3921576119217"/>
    <n v="0.4812792092164706"/>
    <n v="69"/>
    <n v="83"/>
    <n v="0"/>
    <n v="-14"/>
    <n v="0"/>
    <n v="0.45113579635166251"/>
    <n v="1"/>
    <n v="74.05"/>
    <n v="74.05"/>
    <n v="-16.077904783451309"/>
    <n v="1447.2996311272695"/>
    <n v="0"/>
    <n v="1"/>
    <n v="0"/>
    <n v="0"/>
    <n v="0"/>
    <n v="0"/>
    <n v="0"/>
    <n v="0"/>
    <n v="0"/>
    <n v="0"/>
  </r>
  <r>
    <d v="2018-06-26T00:00:00"/>
    <n v="2018"/>
    <x v="13"/>
    <s v="R"/>
    <s v="RS"/>
    <x v="6"/>
    <s v="WAS"/>
    <s v="A"/>
    <n v="1"/>
    <n v="3"/>
    <n v="-2"/>
    <n v="2"/>
    <n v="-16"/>
    <n v="16"/>
    <n v="1571.5930637396507"/>
    <n v="1522.3474333097479"/>
    <n v="0.4050976703914172"/>
    <n v="80"/>
    <n v="92"/>
    <n v="0"/>
    <n v="-12"/>
    <n v="0"/>
    <n v="0.43814868618230629"/>
    <n v="1"/>
    <n v="73.900000000000006"/>
    <n v="73.900000000000006"/>
    <n v="-13.116733591050169"/>
    <n v="1558.4763301486005"/>
    <n v="0"/>
    <n v="1"/>
    <n v="0"/>
    <n v="0"/>
    <n v="0"/>
    <n v="0"/>
    <n v="0"/>
    <n v="0"/>
    <n v="0"/>
    <n v="0"/>
  </r>
  <r>
    <d v="2018-06-26T00:00:00"/>
    <n v="2018"/>
    <x v="13"/>
    <s v="R"/>
    <s v="RS"/>
    <x v="11"/>
    <s v="CON"/>
    <s v="H"/>
    <n v="3"/>
    <n v="1"/>
    <n v="2"/>
    <n v="-2"/>
    <n v="16"/>
    <n v="-16"/>
    <n v="1522.3474333097479"/>
    <n v="1571.5930637396507"/>
    <n v="0.59490232960858291"/>
    <n v="92"/>
    <n v="80"/>
    <n v="0"/>
    <n v="12"/>
    <n v="1"/>
    <n v="0.43814868618230629"/>
    <n v="1"/>
    <n v="73.900000000000006"/>
    <n v="73.900000000000006"/>
    <n v="13.116733591050165"/>
    <n v="1535.4641669007981"/>
    <n v="1"/>
    <n v="0"/>
    <n v="0"/>
    <n v="0"/>
    <n v="0"/>
    <n v="0"/>
    <n v="0"/>
    <n v="0"/>
    <n v="0"/>
    <n v="0"/>
  </r>
  <r>
    <d v="2018-06-27T00:00:00"/>
    <n v="2018"/>
    <x v="13"/>
    <s v="R"/>
    <s v="RS"/>
    <x v="7"/>
    <s v="CHI"/>
    <s v="A"/>
    <n v="4"/>
    <n v="2"/>
    <n v="2"/>
    <n v="-2"/>
    <n v="16"/>
    <n v="-16"/>
    <n v="1454.2753404814582"/>
    <n v="1393.6395368506651"/>
    <n v="0.51242536169754171"/>
    <n v="80"/>
    <n v="93"/>
    <n v="0"/>
    <n v="-13"/>
    <n v="0"/>
    <n v="0.44933874251824757"/>
    <n v="1"/>
    <n v="73.900000000000006"/>
    <n v="73.900000000000006"/>
    <n v="-17.015664750046774"/>
    <n v="1437.2596757314113"/>
    <n v="0"/>
    <n v="1"/>
    <n v="0"/>
    <n v="0"/>
    <n v="0"/>
    <n v="0"/>
    <n v="0"/>
    <n v="0"/>
    <n v="0"/>
    <n v="0"/>
  </r>
  <r>
    <d v="2018-06-27T00:00:00"/>
    <n v="2018"/>
    <x v="13"/>
    <s v="R"/>
    <s v="RS"/>
    <x v="2"/>
    <s v="ATL"/>
    <s v="H"/>
    <n v="2"/>
    <n v="4"/>
    <n v="-2"/>
    <n v="2"/>
    <n v="-16"/>
    <n v="16"/>
    <n v="1393.6395368506651"/>
    <n v="1454.2753404814582"/>
    <n v="0.48757463830245817"/>
    <n v="93"/>
    <n v="80"/>
    <n v="0"/>
    <n v="13"/>
    <n v="1"/>
    <n v="0.44933874251824757"/>
    <n v="1"/>
    <n v="73.900000000000006"/>
    <n v="73.900000000000006"/>
    <n v="17.015664750046778"/>
    <n v="1410.655201600712"/>
    <n v="1"/>
    <n v="0"/>
    <n v="0"/>
    <n v="0"/>
    <n v="0"/>
    <n v="0"/>
    <n v="0"/>
    <n v="0"/>
    <n v="0"/>
    <n v="0"/>
  </r>
  <r>
    <d v="2018-06-27T00:00:00"/>
    <n v="2018"/>
    <x v="14"/>
    <s v="R"/>
    <s v="RS"/>
    <x v="3"/>
    <s v="CON"/>
    <s v="A"/>
    <n v="2"/>
    <n v="0"/>
    <n v="2"/>
    <n v="-2"/>
    <n v="16"/>
    <n v="-16"/>
    <n v="1331.2646291229362"/>
    <n v="1558.4763301486005"/>
    <n v="0.16696773963507217"/>
    <n v="89"/>
    <n v="101"/>
    <n v="0"/>
    <n v="-12"/>
    <n v="0"/>
    <n v="0.38351376414479538"/>
    <n v="1"/>
    <n v="73.75"/>
    <n v="73.75"/>
    <n v="-4.7225389409668566"/>
    <n v="1326.5420901819693"/>
    <n v="0"/>
    <n v="1"/>
    <n v="0"/>
    <n v="0"/>
    <n v="0"/>
    <n v="0"/>
    <n v="0"/>
    <n v="0"/>
    <n v="0"/>
    <n v="0"/>
  </r>
  <r>
    <d v="2018-06-27T00:00:00"/>
    <n v="2018"/>
    <x v="14"/>
    <s v="R"/>
    <s v="RS"/>
    <x v="6"/>
    <s v="IND"/>
    <s v="H"/>
    <n v="0"/>
    <n v="2"/>
    <n v="-2"/>
    <n v="2"/>
    <n v="-16"/>
    <n v="16"/>
    <n v="1558.4763301486005"/>
    <n v="1331.2646291229362"/>
    <n v="0.83303226036492783"/>
    <n v="101"/>
    <n v="89"/>
    <n v="0"/>
    <n v="12"/>
    <n v="1"/>
    <n v="0.38351376414479538"/>
    <n v="1"/>
    <n v="73.75"/>
    <n v="73.75"/>
    <n v="4.7225389409668566"/>
    <n v="1563.1988690895673"/>
    <n v="1"/>
    <n v="0"/>
    <n v="0"/>
    <n v="0"/>
    <n v="0"/>
    <n v="0"/>
    <n v="0"/>
    <n v="0"/>
    <n v="0"/>
    <n v="0"/>
  </r>
  <r>
    <d v="2018-06-27T00:00:00"/>
    <n v="2018"/>
    <x v="13"/>
    <s v="R"/>
    <s v="RS"/>
    <x v="0"/>
    <s v="LVA"/>
    <s v="A"/>
    <n v="0"/>
    <n v="2"/>
    <n v="-2"/>
    <n v="2"/>
    <n v="-16"/>
    <n v="16"/>
    <n v="1490.5698006493944"/>
    <n v="1463.5070991316506"/>
    <n v="0.37473317383171134"/>
    <n v="97"/>
    <n v="91"/>
    <n v="0"/>
    <n v="6"/>
    <n v="1"/>
    <n v="0.34353331153150896"/>
    <n v="1"/>
    <n v="73.900000000000006"/>
    <n v="73.900000000000006"/>
    <n v="15.873718772106315"/>
    <n v="1506.4435194215007"/>
    <n v="1"/>
    <n v="0"/>
    <n v="0"/>
    <n v="0"/>
    <n v="0"/>
    <n v="0"/>
    <n v="0"/>
    <n v="0"/>
    <n v="0"/>
    <n v="0"/>
  </r>
  <r>
    <d v="2018-06-27T00:00:00"/>
    <n v="2018"/>
    <x v="15"/>
    <s v="R"/>
    <s v="RS"/>
    <x v="5"/>
    <s v="DAL"/>
    <s v="H"/>
    <n v="2"/>
    <n v="0"/>
    <n v="2"/>
    <n v="-2"/>
    <n v="16"/>
    <n v="-16"/>
    <n v="1463.5070991316506"/>
    <n v="1490.5698006493944"/>
    <n v="0.62526682616828866"/>
    <n v="91"/>
    <n v="97"/>
    <n v="0"/>
    <n v="-6"/>
    <n v="0"/>
    <n v="0.34353331153150896"/>
    <n v="1"/>
    <n v="73.599999999999994"/>
    <n v="73.599999999999994"/>
    <n v="-15.809278777090997"/>
    <n v="1447.6978203545596"/>
    <n v="0"/>
    <n v="1"/>
    <n v="0"/>
    <n v="0"/>
    <n v="0"/>
    <n v="0"/>
    <n v="0"/>
    <n v="0"/>
    <n v="0"/>
    <n v="0"/>
  </r>
  <r>
    <d v="2018-06-28T00:00:00"/>
    <n v="2018"/>
    <x v="14"/>
    <s v="R"/>
    <s v="RS"/>
    <x v="8"/>
    <s v="SEA"/>
    <s v="A"/>
    <n v="1"/>
    <n v="1"/>
    <n v="0"/>
    <n v="0"/>
    <n v="0"/>
    <n v="0"/>
    <n v="1623.4500863767514"/>
    <n v="1566.6139212848218"/>
    <n v="0.46098755733716273"/>
    <n v="72"/>
    <n v="81"/>
    <n v="0"/>
    <n v="-9"/>
    <n v="0"/>
    <n v="0.38761283778069694"/>
    <n v="1"/>
    <n v="73.75"/>
    <n v="73.75"/>
    <n v="-13.177996276977392"/>
    <n v="1610.272090099774"/>
    <n v="0"/>
    <n v="1"/>
    <n v="0"/>
    <n v="0"/>
    <n v="0"/>
    <n v="0"/>
    <n v="0"/>
    <n v="0"/>
    <n v="0"/>
    <n v="0"/>
  </r>
  <r>
    <d v="2018-06-28T00:00:00"/>
    <n v="2018"/>
    <x v="15"/>
    <s v="R"/>
    <s v="RS"/>
    <x v="10"/>
    <s v="LAS"/>
    <s v="H"/>
    <n v="1"/>
    <n v="1"/>
    <n v="0"/>
    <n v="0"/>
    <n v="0"/>
    <n v="0"/>
    <n v="1566.6139212848218"/>
    <n v="1623.4500863767514"/>
    <n v="0.53901244266283721"/>
    <n v="81"/>
    <n v="72"/>
    <n v="0"/>
    <n v="9"/>
    <n v="1"/>
    <n v="0.38761283778069694"/>
    <n v="1"/>
    <n v="73.599999999999994"/>
    <n v="73.599999999999994"/>
    <n v="13.151193572685235"/>
    <n v="1579.7651148575071"/>
    <n v="1"/>
    <n v="0"/>
    <n v="0"/>
    <n v="0"/>
    <n v="0"/>
    <n v="0"/>
    <n v="0"/>
    <n v="0"/>
    <n v="0"/>
    <n v="0"/>
  </r>
  <r>
    <d v="2018-06-28T00:00:00"/>
    <n v="2018"/>
    <x v="13"/>
    <s v="R"/>
    <s v="RS"/>
    <x v="4"/>
    <s v="WAS"/>
    <s v="A"/>
    <n v="1"/>
    <n v="1"/>
    <n v="0"/>
    <n v="0"/>
    <n v="0"/>
    <n v="0"/>
    <n v="1447.2996311272695"/>
    <n v="1535.4641669007981"/>
    <n v="0.27070300858284557"/>
    <n v="77"/>
    <n v="80"/>
    <n v="0"/>
    <n v="-3"/>
    <n v="0"/>
    <n v="0.27032278536479598"/>
    <n v="1"/>
    <n v="73.900000000000006"/>
    <n v="73.900000000000006"/>
    <n v="-5.4077944360904624"/>
    <n v="1441.8918366911792"/>
    <n v="0"/>
    <n v="1"/>
    <n v="0"/>
    <n v="0"/>
    <n v="0"/>
    <n v="0"/>
    <n v="0"/>
    <n v="0"/>
    <n v="0"/>
    <n v="0"/>
  </r>
  <r>
    <d v="2018-06-28T00:00:00"/>
    <n v="2018"/>
    <x v="14"/>
    <s v="R"/>
    <s v="RS"/>
    <x v="11"/>
    <s v="NYL"/>
    <s v="H"/>
    <n v="1"/>
    <n v="1"/>
    <n v="0"/>
    <n v="0"/>
    <n v="0"/>
    <n v="0"/>
    <n v="1535.4641669007981"/>
    <n v="1447.2996311272695"/>
    <n v="0.72929699141715443"/>
    <n v="80"/>
    <n v="77"/>
    <n v="0"/>
    <n v="3"/>
    <n v="1"/>
    <n v="0.27032278536479598"/>
    <n v="1"/>
    <n v="73.75"/>
    <n v="73.75"/>
    <n v="5.3968178573974503"/>
    <n v="1540.8609847581956"/>
    <n v="1"/>
    <n v="0"/>
    <n v="0"/>
    <n v="0"/>
    <n v="0"/>
    <n v="0"/>
    <n v="0"/>
    <n v="0"/>
    <n v="0"/>
    <n v="0"/>
  </r>
  <r>
    <d v="2018-06-29T00:00:00"/>
    <n v="2018"/>
    <x v="16"/>
    <s v="R"/>
    <s v="RS"/>
    <x v="1"/>
    <s v="IND"/>
    <s v="A"/>
    <n v="2"/>
    <n v="1"/>
    <n v="1"/>
    <n v="-1"/>
    <n v="8"/>
    <n v="-8"/>
    <n v="1576.3723573696802"/>
    <n v="1326.5420901819693"/>
    <n v="0.74014054308298594"/>
    <n v="95"/>
    <n v="77"/>
    <n v="0"/>
    <n v="18"/>
    <n v="1"/>
    <n v="0.45260520034834295"/>
    <n v="1"/>
    <n v="73.45"/>
    <n v="73.45"/>
    <n v="8.6387293176067335"/>
    <n v="1585.0110866872869"/>
    <n v="1"/>
    <n v="0"/>
    <n v="0"/>
    <n v="0"/>
    <n v="0"/>
    <n v="0"/>
    <n v="0"/>
    <n v="0"/>
    <n v="0"/>
    <n v="0"/>
  </r>
  <r>
    <d v="2018-06-29T00:00:00"/>
    <n v="2018"/>
    <x v="15"/>
    <s v="R"/>
    <s v="RS"/>
    <x v="3"/>
    <s v="PHX"/>
    <s v="H"/>
    <n v="1"/>
    <n v="2"/>
    <n v="-1"/>
    <n v="1"/>
    <n v="-8"/>
    <n v="8"/>
    <n v="1326.5420901819693"/>
    <n v="1576.3723573696802"/>
    <n v="0.25985945691701401"/>
    <n v="77"/>
    <n v="95"/>
    <n v="0"/>
    <n v="-18"/>
    <n v="0"/>
    <n v="0.45260520034834295"/>
    <n v="1"/>
    <n v="73.599999999999994"/>
    <n v="73.599999999999994"/>
    <n v="-8.656371378840781"/>
    <n v="1317.8857188031286"/>
    <n v="0"/>
    <n v="1"/>
    <n v="0"/>
    <n v="0"/>
    <n v="0"/>
    <n v="0"/>
    <n v="0"/>
    <n v="0"/>
    <n v="0"/>
    <n v="0"/>
  </r>
  <r>
    <d v="2018-06-29T00:00:00"/>
    <n v="2018"/>
    <x v="15"/>
    <s v="R"/>
    <s v="RS"/>
    <x v="8"/>
    <s v="LVA"/>
    <s v="A"/>
    <n v="0"/>
    <n v="1"/>
    <n v="-1"/>
    <n v="1"/>
    <n v="-8"/>
    <n v="8"/>
    <n v="1610.272090099774"/>
    <n v="1447.6978203545596"/>
    <n v="0.58909040929907486"/>
    <n v="78"/>
    <n v="94"/>
    <n v="0"/>
    <n v="-16"/>
    <n v="0"/>
    <n v="0.45600687796068412"/>
    <n v="1"/>
    <n v="73.599999999999994"/>
    <n v="73.599999999999994"/>
    <n v="-19.771114888845474"/>
    <n v="1590.5009752109286"/>
    <n v="0"/>
    <n v="1"/>
    <n v="0"/>
    <n v="0"/>
    <n v="0"/>
    <n v="0"/>
    <n v="0"/>
    <n v="0"/>
    <n v="0"/>
    <n v="0"/>
  </r>
  <r>
    <d v="2018-06-29T00:00:00"/>
    <n v="2018"/>
    <x v="16"/>
    <s v="R"/>
    <s v="RS"/>
    <x v="5"/>
    <s v="LAS"/>
    <s v="H"/>
    <n v="1"/>
    <n v="0"/>
    <n v="1"/>
    <n v="-1"/>
    <n v="8"/>
    <n v="-8"/>
    <n v="1447.6978203545596"/>
    <n v="1610.272090099774"/>
    <n v="0.4109095907009252"/>
    <n v="94"/>
    <n v="78"/>
    <n v="0"/>
    <n v="16"/>
    <n v="1"/>
    <n v="0.45600687796068412"/>
    <n v="1"/>
    <n v="73.45"/>
    <n v="73.45"/>
    <n v="19.73082049708832"/>
    <n v="1467.428640851648"/>
    <n v="1"/>
    <n v="0"/>
    <n v="0"/>
    <n v="0"/>
    <n v="0"/>
    <n v="0"/>
    <n v="0"/>
    <n v="0"/>
    <n v="0"/>
    <n v="0"/>
  </r>
  <r>
    <d v="2018-06-29T00:00:00"/>
    <n v="2018"/>
    <x v="14"/>
    <s v="R"/>
    <s v="RS"/>
    <x v="7"/>
    <s v="MIN"/>
    <s v="A"/>
    <n v="1"/>
    <n v="2"/>
    <n v="-1"/>
    <n v="1"/>
    <n v="-8"/>
    <n v="8"/>
    <n v="1437.2596757314113"/>
    <n v="1636.7851950915053"/>
    <n v="0.15133000588818962"/>
    <n v="74"/>
    <n v="85"/>
    <n v="0"/>
    <n v="-11"/>
    <n v="0"/>
    <n v="0.37713007516324926"/>
    <n v="1"/>
    <n v="73.75"/>
    <n v="73.75"/>
    <n v="-4.2089933665112573"/>
    <n v="1433.0506823649"/>
    <n v="0"/>
    <n v="1"/>
    <n v="0"/>
    <n v="0"/>
    <n v="0"/>
    <n v="0"/>
    <n v="0"/>
    <n v="0"/>
    <n v="0"/>
    <n v="0"/>
  </r>
  <r>
    <d v="2018-06-29T00:00:00"/>
    <n v="2018"/>
    <x v="14"/>
    <s v="R"/>
    <s v="RS"/>
    <x v="9"/>
    <s v="ATL"/>
    <s v="H"/>
    <n v="2"/>
    <n v="1"/>
    <n v="1"/>
    <n v="-1"/>
    <n v="8"/>
    <n v="-8"/>
    <n v="1636.7851950915053"/>
    <n v="1437.2596757314113"/>
    <n v="0.84866999411181043"/>
    <n v="85"/>
    <n v="74"/>
    <n v="0"/>
    <n v="11"/>
    <n v="1"/>
    <n v="0.37713007516324926"/>
    <n v="1"/>
    <n v="73.75"/>
    <n v="73.75"/>
    <n v="4.2089933665112564"/>
    <n v="1640.9941884580167"/>
    <n v="1"/>
    <n v="0"/>
    <n v="0"/>
    <n v="0"/>
    <n v="0"/>
    <n v="0"/>
    <n v="0"/>
    <n v="0"/>
    <n v="0"/>
    <n v="0"/>
  </r>
  <r>
    <d v="2018-06-29T00:00:00"/>
    <n v="2018"/>
    <x v="14"/>
    <s v="R"/>
    <s v="RS"/>
    <x v="2"/>
    <s v="NYL"/>
    <s v="A"/>
    <n v="1"/>
    <n v="0"/>
    <n v="1"/>
    <n v="-1"/>
    <n v="8"/>
    <n v="-8"/>
    <n v="1410.655201600712"/>
    <n v="1441.8918366911792"/>
    <n v="0.36094798454241334"/>
    <n v="103"/>
    <n v="99"/>
    <n v="0"/>
    <n v="4"/>
    <n v="1"/>
    <n v="0.30353164552904616"/>
    <n v="1"/>
    <n v="73.75"/>
    <n v="73.75"/>
    <n v="14.305472599998987"/>
    <n v="1424.9606742007109"/>
    <n v="1"/>
    <n v="0"/>
    <n v="0"/>
    <n v="0"/>
    <n v="0"/>
    <n v="0"/>
    <n v="0"/>
    <n v="0"/>
    <n v="0"/>
    <n v="0"/>
  </r>
  <r>
    <d v="2018-06-29T00:00:00"/>
    <n v="2018"/>
    <x v="14"/>
    <s v="R"/>
    <s v="RS"/>
    <x v="4"/>
    <s v="CHI"/>
    <s v="H"/>
    <n v="0"/>
    <n v="1"/>
    <n v="-1"/>
    <n v="1"/>
    <n v="-8"/>
    <n v="8"/>
    <n v="1441.8918366911792"/>
    <n v="1410.655201600712"/>
    <n v="0.63905201545758661"/>
    <n v="99"/>
    <n v="103"/>
    <n v="0"/>
    <n v="-4"/>
    <n v="0"/>
    <n v="0.30353164552904616"/>
    <n v="1"/>
    <n v="73.75"/>
    <n v="73.75"/>
    <n v="-14.305472599998986"/>
    <n v="1427.5863640911803"/>
    <n v="0"/>
    <n v="1"/>
    <n v="0"/>
    <n v="0"/>
    <n v="0"/>
    <n v="0"/>
    <n v="0"/>
    <n v="0"/>
    <n v="0"/>
    <n v="0"/>
  </r>
  <r>
    <d v="2018-06-30T00:00:00"/>
    <n v="2018"/>
    <x v="17"/>
    <s v="R"/>
    <s v="RS"/>
    <x v="1"/>
    <s v="WAS"/>
    <s v="A"/>
    <n v="0"/>
    <n v="1"/>
    <n v="-1"/>
    <n v="1"/>
    <n v="-8"/>
    <n v="8"/>
    <n v="1585.0110866872869"/>
    <n v="1540.8609847581956"/>
    <n v="0.4203107520924938"/>
    <n v="84"/>
    <n v="74"/>
    <n v="0"/>
    <n v="10"/>
    <n v="1"/>
    <n v="0.40811445372342992"/>
    <n v="1"/>
    <n v="73.3"/>
    <n v="73.3"/>
    <n v="17.341281802177338"/>
    <n v="1602.3523684894642"/>
    <n v="1"/>
    <n v="0"/>
    <n v="0"/>
    <n v="0"/>
    <n v="0"/>
    <n v="0"/>
    <n v="0"/>
    <n v="0"/>
    <n v="0"/>
    <n v="0"/>
  </r>
  <r>
    <d v="2018-06-30T00:00:00"/>
    <n v="2018"/>
    <x v="15"/>
    <s v="R"/>
    <s v="RS"/>
    <x v="11"/>
    <s v="PHX"/>
    <s v="H"/>
    <n v="1"/>
    <n v="0"/>
    <n v="1"/>
    <n v="-1"/>
    <n v="8"/>
    <n v="-8"/>
    <n v="1540.8609847581956"/>
    <n v="1585.0110866872869"/>
    <n v="0.5796892479075062"/>
    <n v="74"/>
    <n v="84"/>
    <n v="0"/>
    <n v="-10"/>
    <n v="0"/>
    <n v="0.40811445372342992"/>
    <n v="1"/>
    <n v="73.599999999999994"/>
    <n v="73.599999999999994"/>
    <n v="-17.41225567039907"/>
    <n v="1523.4487290877967"/>
    <n v="0"/>
    <n v="1"/>
    <n v="0"/>
    <n v="0"/>
    <n v="0"/>
    <n v="0"/>
    <n v="0"/>
    <n v="0"/>
    <n v="0"/>
    <n v="0"/>
  </r>
  <r>
    <d v="2018-07-01T00:00:00"/>
    <n v="2018"/>
    <x v="15"/>
    <s v="R"/>
    <s v="RS"/>
    <x v="4"/>
    <s v="CHI"/>
    <s v="A"/>
    <n v="1"/>
    <n v="1"/>
    <n v="0"/>
    <n v="0"/>
    <n v="0"/>
    <n v="0"/>
    <n v="1427.5863640911803"/>
    <n v="1424.9606742007109"/>
    <n v="0.38498833889529344"/>
    <n v="97"/>
    <n v="94"/>
    <n v="1"/>
    <n v="3"/>
    <n v="1"/>
    <n v="0.26059496767871954"/>
    <n v="1"/>
    <n v="73.599999999999994"/>
    <n v="73.599999999999994"/>
    <n v="11.79579427454458"/>
    <n v="1439.3821583657248"/>
    <n v="1"/>
    <n v="0"/>
    <n v="0"/>
    <n v="0"/>
    <n v="0"/>
    <n v="0"/>
    <n v="0"/>
    <n v="0"/>
    <n v="0"/>
    <n v="0"/>
  </r>
  <r>
    <d v="2018-07-01T00:00:00"/>
    <n v="2018"/>
    <x v="15"/>
    <s v="R"/>
    <s v="RS"/>
    <x v="2"/>
    <s v="NYL"/>
    <s v="H"/>
    <n v="1"/>
    <n v="1"/>
    <n v="0"/>
    <n v="0"/>
    <n v="0"/>
    <n v="0"/>
    <n v="1424.9606742007109"/>
    <n v="1427.5863640911803"/>
    <n v="0.61501166110470662"/>
    <n v="94"/>
    <n v="97"/>
    <n v="1"/>
    <n v="-3"/>
    <n v="0"/>
    <n v="0.26059496767871954"/>
    <n v="1"/>
    <n v="73.599999999999994"/>
    <n v="73.599999999999994"/>
    <n v="-11.795794274544583"/>
    <n v="1413.1648799261663"/>
    <n v="0"/>
    <n v="1"/>
    <n v="0"/>
    <n v="0"/>
    <n v="0"/>
    <n v="0"/>
    <n v="0"/>
    <n v="0"/>
    <n v="0"/>
    <n v="0"/>
  </r>
  <r>
    <d v="2018-07-01T00:00:00"/>
    <n v="2018"/>
    <x v="15"/>
    <s v="R"/>
    <s v="RS"/>
    <x v="9"/>
    <s v="DAL"/>
    <s v="A"/>
    <n v="1"/>
    <n v="3"/>
    <n v="-2"/>
    <n v="2"/>
    <n v="-16"/>
    <n v="16"/>
    <n v="1640.9941884580167"/>
    <n v="1506.4435194215007"/>
    <n v="0.52667121856630017"/>
    <n v="76"/>
    <n v="72"/>
    <n v="0"/>
    <n v="4"/>
    <n v="1"/>
    <n v="0.28003379006543327"/>
    <n v="1"/>
    <n v="73.599999999999994"/>
    <n v="73.599999999999994"/>
    <n v="9.7555366722381969"/>
    <n v="1650.7497251302548"/>
    <n v="1"/>
    <n v="0"/>
    <n v="0"/>
    <n v="0"/>
    <n v="0"/>
    <n v="0"/>
    <n v="0"/>
    <n v="0"/>
    <n v="0"/>
    <n v="0"/>
  </r>
  <r>
    <d v="2018-07-01T00:00:00"/>
    <n v="2018"/>
    <x v="14"/>
    <s v="R"/>
    <s v="RS"/>
    <x v="0"/>
    <s v="MIN"/>
    <s v="H"/>
    <n v="3"/>
    <n v="1"/>
    <n v="2"/>
    <n v="-2"/>
    <n v="16"/>
    <n v="-16"/>
    <n v="1506.4435194215007"/>
    <n v="1640.9941884580167"/>
    <n v="0.47332878143369983"/>
    <n v="72"/>
    <n v="76"/>
    <n v="0"/>
    <n v="-4"/>
    <n v="0"/>
    <n v="0.28003379006543327"/>
    <n v="1"/>
    <n v="73.75"/>
    <n v="73.75"/>
    <n v="-9.7754188801299886"/>
    <n v="1496.6681005413707"/>
    <n v="0"/>
    <n v="1"/>
    <n v="0"/>
    <n v="0"/>
    <n v="0"/>
    <n v="0"/>
    <n v="0"/>
    <n v="0"/>
    <n v="0"/>
    <n v="0"/>
  </r>
  <r>
    <d v="2018-07-01T00:00:00"/>
    <n v="2018"/>
    <x v="15"/>
    <s v="R"/>
    <s v="RS"/>
    <x v="7"/>
    <s v="IND"/>
    <s v="A"/>
    <n v="1"/>
    <n v="1"/>
    <n v="0"/>
    <n v="0"/>
    <n v="0"/>
    <n v="0"/>
    <n v="1433.0506823649"/>
    <n v="1317.8857188031286"/>
    <n v="0.54473008476344631"/>
    <n v="87"/>
    <n v="83"/>
    <n v="0"/>
    <n v="4"/>
    <n v="1"/>
    <n v="0.28416152516147997"/>
    <n v="1"/>
    <n v="73.599999999999994"/>
    <n v="73.599999999999994"/>
    <n v="9.5216462396684989"/>
    <n v="1442.5723286045686"/>
    <n v="1"/>
    <n v="0"/>
    <n v="0"/>
    <n v="0"/>
    <n v="0"/>
    <n v="0"/>
    <n v="0"/>
    <n v="0"/>
    <n v="0"/>
    <n v="0"/>
  </r>
  <r>
    <d v="2018-07-01T00:00:00"/>
    <n v="2018"/>
    <x v="16"/>
    <s v="R"/>
    <s v="RS"/>
    <x v="3"/>
    <s v="ATL"/>
    <s v="H"/>
    <n v="1"/>
    <n v="1"/>
    <n v="0"/>
    <n v="0"/>
    <n v="0"/>
    <n v="0"/>
    <n v="1317.8857188031286"/>
    <n v="1433.0506823649"/>
    <n v="0.45526991523655358"/>
    <n v="83"/>
    <n v="87"/>
    <n v="0"/>
    <n v="-4"/>
    <n v="0"/>
    <n v="0.28416152516147997"/>
    <n v="1"/>
    <n v="73.45"/>
    <n v="73.45"/>
    <n v="-9.5022407106474347"/>
    <n v="1308.3834780924813"/>
    <n v="0"/>
    <n v="1"/>
    <n v="0"/>
    <n v="0"/>
    <n v="0"/>
    <n v="0"/>
    <n v="0"/>
    <n v="0"/>
    <n v="0"/>
    <n v="0"/>
  </r>
  <r>
    <d v="2018-07-01T00:00:00"/>
    <n v="2018"/>
    <x v="17"/>
    <s v="R"/>
    <s v="RS"/>
    <x v="5"/>
    <s v="LAS"/>
    <s v="A"/>
    <n v="1"/>
    <n v="1"/>
    <n v="0"/>
    <n v="0"/>
    <n v="0"/>
    <n v="0"/>
    <n v="1467.428640851648"/>
    <n v="1590.5009752109286"/>
    <n v="0.23290068218809867"/>
    <n v="71"/>
    <n v="87"/>
    <n v="0"/>
    <n v="-16"/>
    <n v="0"/>
    <n v="0.46962151849163247"/>
    <n v="1"/>
    <n v="73.3"/>
    <n v="73.3"/>
    <n v="-8.0172001095726486"/>
    <n v="1459.4114407420752"/>
    <n v="0"/>
    <n v="1"/>
    <n v="0"/>
    <n v="0"/>
    <n v="0"/>
    <n v="0"/>
    <n v="0"/>
    <n v="0"/>
    <n v="0"/>
    <n v="0"/>
  </r>
  <r>
    <d v="2018-07-01T00:00:00"/>
    <n v="2018"/>
    <x v="16"/>
    <s v="R"/>
    <s v="RS"/>
    <x v="8"/>
    <s v="LVA"/>
    <s v="H"/>
    <n v="1"/>
    <n v="1"/>
    <n v="0"/>
    <n v="0"/>
    <n v="0"/>
    <n v="0"/>
    <n v="1590.5009752109286"/>
    <n v="1467.428640851648"/>
    <n v="0.76709931781190133"/>
    <n v="87"/>
    <n v="71"/>
    <n v="0"/>
    <n v="16"/>
    <n v="1"/>
    <n v="0.46962151849163247"/>
    <n v="1"/>
    <n v="73.45"/>
    <n v="73.45"/>
    <n v="8.0336063853766877"/>
    <n v="1598.5345815963053"/>
    <n v="1"/>
    <n v="0"/>
    <n v="0"/>
    <n v="0"/>
    <n v="0"/>
    <n v="0"/>
    <n v="0"/>
    <n v="0"/>
    <n v="0"/>
    <n v="0"/>
  </r>
  <r>
    <d v="2018-07-01T00:00:00"/>
    <n v="2018"/>
    <x v="15"/>
    <s v="R"/>
    <s v="RS"/>
    <x v="6"/>
    <s v="SEA"/>
    <s v="A"/>
    <n v="3"/>
    <n v="2"/>
    <n v="1"/>
    <n v="-1"/>
    <n v="8"/>
    <n v="-8"/>
    <n v="1563.1988690895673"/>
    <n v="1579.7651148575071"/>
    <n v="0.38064711932063011"/>
    <n v="70"/>
    <n v="84"/>
    <n v="0"/>
    <n v="-14"/>
    <n v="0"/>
    <n v="0.48096823849618386"/>
    <n v="1"/>
    <n v="73.599999999999994"/>
    <n v="73.599999999999994"/>
    <n v="-13.474627240866157"/>
    <n v="1549.7242418487012"/>
    <n v="0"/>
    <n v="1"/>
    <n v="0"/>
    <n v="0"/>
    <n v="0"/>
    <n v="0"/>
    <n v="0"/>
    <n v="0"/>
    <n v="0"/>
    <n v="0"/>
  </r>
  <r>
    <d v="2018-07-01T00:00:00"/>
    <n v="2018"/>
    <x v="16"/>
    <s v="R"/>
    <s v="RS"/>
    <x v="10"/>
    <s v="CON"/>
    <s v="H"/>
    <n v="2"/>
    <n v="3"/>
    <n v="-1"/>
    <n v="1"/>
    <n v="-8"/>
    <n v="8"/>
    <n v="1579.7651148575071"/>
    <n v="1563.1988690895673"/>
    <n v="0.61935288067936989"/>
    <n v="84"/>
    <n v="70"/>
    <n v="0"/>
    <n v="14"/>
    <n v="1"/>
    <n v="0.48096823849618386"/>
    <n v="1"/>
    <n v="73.45"/>
    <n v="73.45"/>
    <n v="13.447165364695916"/>
    <n v="1593.2122802222029"/>
    <n v="1"/>
    <n v="0"/>
    <n v="0"/>
    <n v="0"/>
    <n v="0"/>
    <n v="0"/>
    <n v="0"/>
    <n v="0"/>
    <n v="0"/>
    <n v="0"/>
  </r>
  <r>
    <d v="2018-07-03T00:00:00"/>
    <n v="2018"/>
    <x v="16"/>
    <s v="R"/>
    <s v="RS"/>
    <x v="2"/>
    <s v="DAL"/>
    <s v="A"/>
    <n v="1"/>
    <n v="1"/>
    <n v="0"/>
    <n v="0"/>
    <n v="0"/>
    <n v="0"/>
    <n v="1413.1648799261663"/>
    <n v="1496.6681005413707"/>
    <n v="0.27603286818767075"/>
    <n v="85"/>
    <n v="108"/>
    <n v="0"/>
    <n v="-23"/>
    <n v="0"/>
    <n v="0.57530461257463161"/>
    <n v="1"/>
    <n v="73.45"/>
    <n v="73.45"/>
    <n v="-11.664079049242533"/>
    <n v="1401.5008008769239"/>
    <n v="0"/>
    <n v="1"/>
    <n v="0"/>
    <n v="0"/>
    <n v="0"/>
    <n v="0"/>
    <n v="0"/>
    <n v="0"/>
    <n v="0"/>
    <n v="0"/>
  </r>
  <r>
    <d v="2018-07-03T00:00:00"/>
    <n v="2018"/>
    <x v="15"/>
    <s v="R"/>
    <s v="RS"/>
    <x v="0"/>
    <s v="CHI"/>
    <s v="H"/>
    <n v="1"/>
    <n v="1"/>
    <n v="0"/>
    <n v="0"/>
    <n v="0"/>
    <n v="0"/>
    <n v="1496.6681005413707"/>
    <n v="1413.1648799261663"/>
    <n v="0.7239671318123293"/>
    <n v="108"/>
    <n v="85"/>
    <n v="0"/>
    <n v="23"/>
    <n v="1"/>
    <n v="0.57530461257463161"/>
    <n v="1"/>
    <n v="73.599999999999994"/>
    <n v="73.599999999999994"/>
    <n v="11.687899496586116"/>
    <n v="1508.3560000379568"/>
    <n v="1"/>
    <n v="0"/>
    <n v="0"/>
    <n v="0"/>
    <n v="0"/>
    <n v="0"/>
    <n v="0"/>
    <n v="0"/>
    <n v="0"/>
    <n v="0"/>
  </r>
  <r>
    <d v="2018-07-03T00:00:00"/>
    <n v="2018"/>
    <x v="16"/>
    <s v="R"/>
    <s v="RS"/>
    <x v="6"/>
    <s v="LAS"/>
    <s v="A"/>
    <n v="1"/>
    <n v="1"/>
    <n v="0"/>
    <n v="0"/>
    <n v="0"/>
    <n v="0"/>
    <n v="1549.7242418487012"/>
    <n v="1598.5345815963053"/>
    <n v="0.31766621381483723"/>
    <n v="73"/>
    <n v="72"/>
    <n v="0"/>
    <n v="1"/>
    <n v="1"/>
    <n v="0.23463579362865722"/>
    <n v="1"/>
    <n v="73.45"/>
    <n v="73.45"/>
    <n v="11.759339817456301"/>
    <n v="1561.4835816661575"/>
    <n v="1"/>
    <n v="0"/>
    <n v="0"/>
    <n v="0"/>
    <n v="0"/>
    <n v="0"/>
    <n v="0"/>
    <n v="0"/>
    <n v="0"/>
    <n v="0"/>
  </r>
  <r>
    <d v="2018-07-03T00:00:00"/>
    <n v="2018"/>
    <x v="17"/>
    <s v="R"/>
    <s v="RS"/>
    <x v="8"/>
    <s v="CON"/>
    <s v="H"/>
    <n v="1"/>
    <n v="1"/>
    <n v="0"/>
    <n v="0"/>
    <n v="0"/>
    <n v="0"/>
    <n v="1598.5345815963053"/>
    <n v="1549.7242418487012"/>
    <n v="0.68233378618516283"/>
    <n v="72"/>
    <n v="73"/>
    <n v="0"/>
    <n v="-1"/>
    <n v="0"/>
    <n v="0.23463579362865722"/>
    <n v="1"/>
    <n v="73.3"/>
    <n v="73.3"/>
    <n v="-11.73532482804012"/>
    <n v="1586.7992567682652"/>
    <n v="0"/>
    <n v="1"/>
    <n v="0"/>
    <n v="0"/>
    <n v="0"/>
    <n v="0"/>
    <n v="0"/>
    <n v="0"/>
    <n v="0"/>
    <n v="0"/>
  </r>
  <r>
    <d v="2018-07-03T00:00:00"/>
    <n v="2018"/>
    <x v="17"/>
    <s v="R"/>
    <s v="RS"/>
    <x v="3"/>
    <s v="MIN"/>
    <s v="A"/>
    <n v="1"/>
    <n v="1"/>
    <n v="0"/>
    <n v="0"/>
    <n v="0"/>
    <n v="0"/>
    <n v="1308.3834780924813"/>
    <n v="1650.7497251302548"/>
    <n v="7.9120192046844492E-2"/>
    <n v="71"/>
    <n v="59"/>
    <n v="0"/>
    <n v="12"/>
    <n v="1"/>
    <n v="0.35488025800816414"/>
    <n v="1"/>
    <n v="73.3"/>
    <n v="73.3"/>
    <n v="23.954591279539763"/>
    <n v="1332.338069372021"/>
    <n v="1"/>
    <n v="0"/>
    <n v="0"/>
    <n v="0"/>
    <n v="0"/>
    <n v="0"/>
    <n v="0"/>
    <n v="0"/>
    <n v="0"/>
    <n v="0"/>
  </r>
  <r>
    <d v="2018-07-03T00:00:00"/>
    <n v="2018"/>
    <x v="16"/>
    <s v="R"/>
    <s v="RS"/>
    <x v="9"/>
    <s v="IND"/>
    <s v="H"/>
    <n v="1"/>
    <n v="1"/>
    <n v="0"/>
    <n v="0"/>
    <n v="0"/>
    <n v="0"/>
    <n v="1650.7497251302548"/>
    <n v="1308.3834780924813"/>
    <n v="0.92087980795315549"/>
    <n v="59"/>
    <n v="71"/>
    <n v="0"/>
    <n v="-12"/>
    <n v="0"/>
    <n v="0.35488025800816414"/>
    <n v="1"/>
    <n v="73.45"/>
    <n v="73.45"/>
    <n v="-24.003611589115902"/>
    <n v="1626.7461135411388"/>
    <n v="0"/>
    <n v="1"/>
    <n v="0"/>
    <n v="0"/>
    <n v="0"/>
    <n v="0"/>
    <n v="0"/>
    <n v="0"/>
    <n v="0"/>
    <n v="0"/>
  </r>
  <r>
    <d v="2018-07-03T00:00:00"/>
    <n v="2018"/>
    <x v="17"/>
    <s v="R"/>
    <s v="RS"/>
    <x v="10"/>
    <s v="NYL"/>
    <s v="A"/>
    <n v="1"/>
    <n v="1"/>
    <n v="0"/>
    <n v="0"/>
    <n v="0"/>
    <n v="0"/>
    <n v="1593.2122802222029"/>
    <n v="1439.3821583657248"/>
    <n v="0.59916196095508156"/>
    <n v="77"/>
    <n v="62"/>
    <n v="0"/>
    <n v="15"/>
    <n v="1"/>
    <n v="0.44571148470759581"/>
    <n v="1"/>
    <n v="73.3"/>
    <n v="73.3"/>
    <n v="13.095640013482402"/>
    <n v="1606.3079202356853"/>
    <n v="1"/>
    <n v="0"/>
    <n v="0"/>
    <n v="0"/>
    <n v="0"/>
    <n v="0"/>
    <n v="0"/>
    <n v="0"/>
    <n v="0"/>
    <n v="0"/>
  </r>
  <r>
    <d v="2018-07-03T00:00:00"/>
    <n v="2018"/>
    <x v="16"/>
    <s v="R"/>
    <s v="RS"/>
    <x v="4"/>
    <s v="SEA"/>
    <s v="H"/>
    <n v="1"/>
    <n v="1"/>
    <n v="0"/>
    <n v="0"/>
    <n v="0"/>
    <n v="0"/>
    <n v="1439.3821583657248"/>
    <n v="1593.2122802222029"/>
    <n v="0.40083803904491838"/>
    <n v="62"/>
    <n v="77"/>
    <n v="0"/>
    <n v="-15"/>
    <n v="0"/>
    <n v="0.44571148470759581"/>
    <n v="1"/>
    <n v="73.45"/>
    <n v="73.45"/>
    <n v="-13.1224387311089"/>
    <n v="1426.259719634616"/>
    <n v="0"/>
    <n v="1"/>
    <n v="0"/>
    <n v="0"/>
    <n v="0"/>
    <n v="0"/>
    <n v="0"/>
    <n v="0"/>
    <n v="0"/>
    <n v="0"/>
  </r>
  <r>
    <d v="2018-07-05T00:00:00"/>
    <n v="2018"/>
    <x v="18"/>
    <s v="R"/>
    <s v="RS"/>
    <x v="3"/>
    <s v="DAL"/>
    <s v="A"/>
    <n v="1"/>
    <n v="1"/>
    <n v="0"/>
    <n v="0"/>
    <n v="0"/>
    <n v="0"/>
    <n v="1332.338069372021"/>
    <n v="1508.3560000379568"/>
    <n v="0.18290573935612628"/>
    <n v="63"/>
    <n v="90"/>
    <n v="0"/>
    <n v="-27"/>
    <n v="0"/>
    <n v="0.58138777276894416"/>
    <n v="1"/>
    <n v="73.150000000000006"/>
    <n v="73.150000000000006"/>
    <n v="-7.7787095855214536"/>
    <n v="1324.5593597864995"/>
    <n v="0"/>
    <n v="1"/>
    <n v="0"/>
    <n v="0"/>
    <n v="0"/>
    <n v="0"/>
    <n v="0"/>
    <n v="0"/>
    <n v="0"/>
    <n v="0"/>
  </r>
  <r>
    <d v="2018-07-05T00:00:00"/>
    <n v="2018"/>
    <x v="16"/>
    <s v="R"/>
    <s v="RS"/>
    <x v="0"/>
    <s v="IND"/>
    <s v="H"/>
    <n v="1"/>
    <n v="1"/>
    <n v="0"/>
    <n v="0"/>
    <n v="0"/>
    <n v="0"/>
    <n v="1508.3560000379568"/>
    <n v="1332.338069372021"/>
    <n v="0.8170942606438738"/>
    <n v="90"/>
    <n v="63"/>
    <n v="0"/>
    <n v="27"/>
    <n v="1"/>
    <n v="0.58138777276894416"/>
    <n v="1"/>
    <n v="73.45"/>
    <n v="73.45"/>
    <n v="7.8106113336507228"/>
    <n v="1516.1666113716076"/>
    <n v="1"/>
    <n v="0"/>
    <n v="0"/>
    <n v="0"/>
    <n v="0"/>
    <n v="0"/>
    <n v="0"/>
    <n v="0"/>
    <n v="0"/>
    <n v="0"/>
  </r>
  <r>
    <d v="2018-07-05T00:00:00"/>
    <n v="2018"/>
    <x v="17"/>
    <s v="R"/>
    <s v="RS"/>
    <x v="2"/>
    <s v="LVA"/>
    <s v="A"/>
    <n v="1"/>
    <n v="3"/>
    <n v="-2"/>
    <n v="2"/>
    <n v="-16"/>
    <n v="16"/>
    <n v="1401.5008008769239"/>
    <n v="1459.4114407420752"/>
    <n v="0.26872321508056723"/>
    <n v="80"/>
    <n v="84"/>
    <n v="0"/>
    <n v="-4"/>
    <n v="0"/>
    <n v="0.29709525465554382"/>
    <n v="1"/>
    <n v="73.3"/>
    <n v="73.3"/>
    <n v="-5.8520075347887497"/>
    <n v="1395.6487933421351"/>
    <n v="0"/>
    <n v="1"/>
    <n v="0"/>
    <n v="0"/>
    <n v="0"/>
    <n v="0"/>
    <n v="0"/>
    <n v="0"/>
    <n v="0"/>
    <n v="0"/>
  </r>
  <r>
    <d v="2018-07-05T00:00:00"/>
    <n v="2018"/>
    <x v="18"/>
    <s v="R"/>
    <s v="RS"/>
    <x v="5"/>
    <s v="CHI"/>
    <s v="H"/>
    <n v="3"/>
    <n v="1"/>
    <n v="2"/>
    <n v="-2"/>
    <n v="16"/>
    <n v="-16"/>
    <n v="1459.4114407420752"/>
    <n v="1401.5008008769239"/>
    <n v="0.73127678491943282"/>
    <n v="84"/>
    <n v="80"/>
    <n v="0"/>
    <n v="4"/>
    <n v="1"/>
    <n v="0.29709525465554382"/>
    <n v="1"/>
    <n v="73.150000000000006"/>
    <n v="73.150000000000006"/>
    <n v="5.8400320759863158"/>
    <n v="1465.2514728180615"/>
    <n v="1"/>
    <n v="0"/>
    <n v="0"/>
    <n v="0"/>
    <n v="0"/>
    <n v="0"/>
    <n v="0"/>
    <n v="0"/>
    <n v="0"/>
    <n v="0"/>
  </r>
  <r>
    <d v="2018-07-05T00:00:00"/>
    <n v="2018"/>
    <x v="18"/>
    <s v="R"/>
    <s v="RS"/>
    <x v="8"/>
    <s v="MIN"/>
    <s v="A"/>
    <n v="1"/>
    <n v="1"/>
    <n v="0"/>
    <n v="0"/>
    <n v="0"/>
    <n v="0"/>
    <n v="1586.7992567682652"/>
    <n v="1626.7461135411388"/>
    <n v="0.32882693146458269"/>
    <n v="72"/>
    <n v="83"/>
    <n v="0"/>
    <n v="-11"/>
    <n v="0"/>
    <n v="0.42566595610624436"/>
    <n v="1"/>
    <n v="73.150000000000006"/>
    <n v="73.150000000000006"/>
    <n v="-10.238836967327153"/>
    <n v="1576.560419800938"/>
    <n v="0"/>
    <n v="1"/>
    <n v="0"/>
    <n v="0"/>
    <n v="0"/>
    <n v="0"/>
    <n v="0"/>
    <n v="0"/>
    <n v="0"/>
    <n v="0"/>
  </r>
  <r>
    <d v="2018-07-05T00:00:00"/>
    <n v="2018"/>
    <x v="17"/>
    <s v="R"/>
    <s v="RS"/>
    <x v="9"/>
    <s v="LAS"/>
    <s v="H"/>
    <n v="1"/>
    <n v="1"/>
    <n v="0"/>
    <n v="0"/>
    <n v="0"/>
    <n v="0"/>
    <n v="1626.7461135411388"/>
    <n v="1586.7992567682652"/>
    <n v="0.67117306853541725"/>
    <n v="83"/>
    <n v="72"/>
    <n v="0"/>
    <n v="11"/>
    <n v="1"/>
    <n v="0.42566595610624436"/>
    <n v="1"/>
    <n v="73.3"/>
    <n v="73.3"/>
    <n v="10.259832531853455"/>
    <n v="1637.0059460729922"/>
    <n v="1"/>
    <n v="0"/>
    <n v="0"/>
    <n v="0"/>
    <n v="0"/>
    <n v="0"/>
    <n v="0"/>
    <n v="0"/>
    <n v="0"/>
    <n v="0"/>
  </r>
  <r>
    <d v="2018-07-05T00:00:00"/>
    <n v="2018"/>
    <x v="17"/>
    <s v="R"/>
    <s v="RS"/>
    <x v="6"/>
    <s v="PHX"/>
    <s v="A"/>
    <n v="1"/>
    <n v="4"/>
    <n v="-3"/>
    <n v="3"/>
    <n v="-16"/>
    <n v="16"/>
    <n v="1561.4835816661575"/>
    <n v="1602.3523684894642"/>
    <n v="0.2884324729116014"/>
    <n v="77"/>
    <n v="84"/>
    <n v="0"/>
    <n v="-7"/>
    <n v="0"/>
    <n v="0.35791746210457759"/>
    <n v="1"/>
    <n v="73.3"/>
    <n v="73.3"/>
    <n v="-7.5671268702018617"/>
    <n v="1553.9164547959556"/>
    <n v="0"/>
    <n v="1"/>
    <n v="0"/>
    <n v="0"/>
    <n v="0"/>
    <n v="0"/>
    <n v="0"/>
    <n v="0"/>
    <n v="0"/>
    <n v="0"/>
  </r>
  <r>
    <d v="2018-07-05T00:00:00"/>
    <n v="2018"/>
    <x v="18"/>
    <s v="R"/>
    <s v="RS"/>
    <x v="1"/>
    <s v="CON"/>
    <s v="H"/>
    <n v="4"/>
    <n v="1"/>
    <n v="3"/>
    <n v="-3"/>
    <n v="16"/>
    <n v="-16"/>
    <n v="1602.3523684894642"/>
    <n v="1561.4835816661575"/>
    <n v="0.71156752708839854"/>
    <n v="84"/>
    <n v="77"/>
    <n v="0"/>
    <n v="7"/>
    <n v="1"/>
    <n v="0.35791746210457759"/>
    <n v="1"/>
    <n v="73.150000000000006"/>
    <n v="73.150000000000006"/>
    <n v="7.5516416173979044"/>
    <n v="1609.9040101068622"/>
    <n v="1"/>
    <n v="0"/>
    <n v="0"/>
    <n v="0"/>
    <n v="0"/>
    <n v="0"/>
    <n v="0"/>
    <n v="0"/>
    <n v="0"/>
    <n v="0"/>
  </r>
  <r>
    <d v="2018-07-05T00:00:00"/>
    <n v="2018"/>
    <x v="17"/>
    <s v="R"/>
    <s v="RS"/>
    <x v="4"/>
    <s v="WAS"/>
    <s v="A"/>
    <n v="1"/>
    <n v="4"/>
    <n v="-3"/>
    <n v="3"/>
    <n v="-16"/>
    <n v="16"/>
    <n v="1426.259719634616"/>
    <n v="1523.4487290877967"/>
    <n v="0.22666930978817107"/>
    <n v="67"/>
    <n v="86"/>
    <n v="0"/>
    <n v="-19"/>
    <n v="0"/>
    <n v="0.51894757229826538"/>
    <n v="1"/>
    <n v="73.3"/>
    <n v="73.3"/>
    <n v="-8.6222414725326484"/>
    <n v="1417.6374781620834"/>
    <n v="0"/>
    <n v="1"/>
    <n v="0"/>
    <n v="0"/>
    <n v="0"/>
    <n v="0"/>
    <n v="0"/>
    <n v="0"/>
    <n v="0"/>
    <n v="0"/>
  </r>
  <r>
    <d v="2018-07-05T00:00:00"/>
    <n v="2018"/>
    <x v="16"/>
    <s v="R"/>
    <s v="RS"/>
    <x v="11"/>
    <s v="NYL"/>
    <s v="H"/>
    <n v="4"/>
    <n v="1"/>
    <n v="3"/>
    <n v="-3"/>
    <n v="16"/>
    <n v="-16"/>
    <n v="1523.4487290877967"/>
    <n v="1426.259719634616"/>
    <n v="0.77333069021182888"/>
    <n v="86"/>
    <n v="67"/>
    <n v="0"/>
    <n v="19"/>
    <n v="1"/>
    <n v="0.51894757229826538"/>
    <n v="1"/>
    <n v="73.45"/>
    <n v="73.45"/>
    <n v="8.6398858957370166"/>
    <n v="1532.0886149835337"/>
    <n v="1"/>
    <n v="0"/>
    <n v="0"/>
    <n v="0"/>
    <n v="0"/>
    <n v="0"/>
    <n v="0"/>
    <n v="0"/>
    <n v="0"/>
    <n v="0"/>
  </r>
  <r>
    <d v="2018-07-06T00:00:00"/>
    <n v="2018"/>
    <x v="18"/>
    <s v="R"/>
    <s v="RS"/>
    <x v="10"/>
    <s v="ATL"/>
    <s v="A"/>
    <n v="2"/>
    <n v="4"/>
    <n v="-2"/>
    <n v="2"/>
    <n v="-16"/>
    <n v="16"/>
    <n v="1606.3079202356853"/>
    <n v="1442.5723286045686"/>
    <n v="0.56826801010117656"/>
    <n v="95"/>
    <n v="86"/>
    <n v="0"/>
    <n v="9"/>
    <n v="1"/>
    <n v="0.35722894934054578"/>
    <n v="1"/>
    <n v="73.150000000000006"/>
    <n v="73.150000000000006"/>
    <n v="11.281717130595206"/>
    <n v="1617.5896373662804"/>
    <n v="1"/>
    <n v="0"/>
    <n v="0"/>
    <n v="0"/>
    <n v="0"/>
    <n v="0"/>
    <n v="0"/>
    <n v="0"/>
    <n v="0"/>
    <n v="0"/>
  </r>
  <r>
    <d v="2018-07-06T00:00:00"/>
    <n v="2018"/>
    <x v="16"/>
    <s v="R"/>
    <s v="RS"/>
    <x v="7"/>
    <s v="SEA"/>
    <s v="H"/>
    <n v="4"/>
    <n v="2"/>
    <n v="2"/>
    <n v="-2"/>
    <n v="16"/>
    <n v="-16"/>
    <n v="1442.5723286045686"/>
    <n v="1606.3079202356853"/>
    <n v="0.43173198989882344"/>
    <n v="86"/>
    <n v="95"/>
    <n v="0"/>
    <n v="-9"/>
    <n v="0"/>
    <n v="0.35722894934054578"/>
    <n v="1"/>
    <n v="73.45"/>
    <n v="73.45"/>
    <n v="-11.327985280139684"/>
    <n v="1431.2443433244289"/>
    <n v="0"/>
    <n v="1"/>
    <n v="0"/>
    <n v="0"/>
    <n v="0"/>
    <n v="0"/>
    <n v="0"/>
    <n v="0"/>
    <n v="0"/>
    <n v="0"/>
  </r>
  <r>
    <d v="2018-07-07T00:00:00"/>
    <n v="2018"/>
    <x v="18"/>
    <s v="R"/>
    <s v="RS"/>
    <x v="9"/>
    <s v="CHI"/>
    <s v="A"/>
    <n v="1"/>
    <n v="1"/>
    <n v="0"/>
    <n v="0"/>
    <n v="0"/>
    <n v="0"/>
    <n v="1637.0059460729922"/>
    <n v="1395.6487933421351"/>
    <n v="0.71214416447265283"/>
    <n v="63"/>
    <n v="77"/>
    <n v="0"/>
    <n v="-14"/>
    <n v="0"/>
    <n v="0.40595748467498821"/>
    <n v="1"/>
    <n v="73.150000000000006"/>
    <n v="73.150000000000006"/>
    <n v="-21.147683560736411"/>
    <n v="1615.8582625122558"/>
    <n v="0"/>
    <n v="1"/>
    <n v="0"/>
    <n v="0"/>
    <n v="0"/>
    <n v="0"/>
    <n v="0"/>
    <n v="0"/>
    <n v="0"/>
    <n v="0"/>
  </r>
  <r>
    <d v="2018-07-07T00:00:00"/>
    <n v="2018"/>
    <x v="18"/>
    <s v="R"/>
    <s v="RS"/>
    <x v="2"/>
    <s v="MIN"/>
    <s v="H"/>
    <n v="1"/>
    <n v="1"/>
    <n v="0"/>
    <n v="0"/>
    <n v="0"/>
    <n v="0"/>
    <n v="1395.6487933421351"/>
    <n v="1637.0059460729922"/>
    <n v="0.28785583552734717"/>
    <n v="77"/>
    <n v="63"/>
    <n v="0"/>
    <n v="14"/>
    <n v="1"/>
    <n v="0.40595748467498821"/>
    <n v="1"/>
    <n v="73.150000000000006"/>
    <n v="73.150000000000006"/>
    <n v="21.147683560736411"/>
    <n v="1416.7964769028715"/>
    <n v="1"/>
    <n v="0"/>
    <n v="0"/>
    <n v="0"/>
    <n v="0"/>
    <n v="0"/>
    <n v="0"/>
    <n v="0"/>
    <n v="0"/>
    <n v="0"/>
  </r>
  <r>
    <d v="2018-07-07T00:00:00"/>
    <n v="2018"/>
    <x v="17"/>
    <s v="R"/>
    <s v="RS"/>
    <x v="11"/>
    <s v="LAS"/>
    <s v="A"/>
    <n v="1"/>
    <n v="1"/>
    <n v="0"/>
    <n v="0"/>
    <n v="0"/>
    <n v="0"/>
    <n v="1532.0886149835337"/>
    <n v="1576.560419800938"/>
    <n v="0.32310405091000449"/>
    <n v="83"/>
    <n v="74"/>
    <n v="0"/>
    <n v="9"/>
    <n v="1"/>
    <n v="0.39146393730324092"/>
    <n v="1"/>
    <n v="73.3"/>
    <n v="73.3"/>
    <n v="19.423059902415627"/>
    <n v="1551.5116748859493"/>
    <n v="1"/>
    <n v="0"/>
    <n v="0"/>
    <n v="0"/>
    <n v="0"/>
    <n v="0"/>
    <n v="0"/>
    <n v="0"/>
    <n v="0"/>
    <n v="0"/>
  </r>
  <r>
    <d v="2018-07-07T00:00:00"/>
    <n v="2018"/>
    <x v="19"/>
    <s v="R"/>
    <s v="RS"/>
    <x v="8"/>
    <s v="WAS"/>
    <s v="H"/>
    <n v="1"/>
    <n v="1"/>
    <n v="0"/>
    <n v="0"/>
    <n v="0"/>
    <n v="0"/>
    <n v="1576.560419800938"/>
    <n v="1532.0886149835337"/>
    <n v="0.67689594908999551"/>
    <n v="74"/>
    <n v="83"/>
    <n v="0"/>
    <n v="-9"/>
    <n v="0"/>
    <n v="0.39146393730324092"/>
    <n v="1"/>
    <n v="73"/>
    <n v="73"/>
    <n v="-19.343565796403013"/>
    <n v="1557.216854004535"/>
    <n v="0"/>
    <n v="1"/>
    <n v="0"/>
    <n v="0"/>
    <n v="0"/>
    <n v="0"/>
    <n v="0"/>
    <n v="0"/>
    <n v="0"/>
    <n v="0"/>
  </r>
  <r>
    <d v="2018-07-07T00:00:00"/>
    <n v="2018"/>
    <x v="18"/>
    <s v="R"/>
    <s v="RS"/>
    <x v="6"/>
    <s v="LVA"/>
    <s v="A"/>
    <n v="1"/>
    <n v="1"/>
    <n v="0"/>
    <n v="0"/>
    <n v="0"/>
    <n v="0"/>
    <n v="1553.9164547959556"/>
    <n v="1465.2514728180615"/>
    <n v="0.50671304531791916"/>
    <n v="90"/>
    <n v="94"/>
    <n v="0"/>
    <n v="-4"/>
    <n v="0"/>
    <n v="0.29000499517807654"/>
    <n v="1"/>
    <n v="73.150000000000006"/>
    <n v="73.150000000000006"/>
    <n v="-10.749342338418304"/>
    <n v="1543.1671124575373"/>
    <n v="0"/>
    <n v="1"/>
    <n v="0"/>
    <n v="0"/>
    <n v="0"/>
    <n v="0"/>
    <n v="0"/>
    <n v="0"/>
    <n v="0"/>
    <n v="0"/>
  </r>
  <r>
    <d v="2018-07-07T00:00:00"/>
    <n v="2018"/>
    <x v="19"/>
    <s v="R"/>
    <s v="RS"/>
    <x v="5"/>
    <s v="CON"/>
    <s v="H"/>
    <n v="1"/>
    <n v="1"/>
    <n v="0"/>
    <n v="0"/>
    <n v="0"/>
    <n v="0"/>
    <n v="1465.2514728180615"/>
    <n v="1553.9164547959556"/>
    <n v="0.49328695468208078"/>
    <n v="94"/>
    <n v="90"/>
    <n v="0"/>
    <n v="4"/>
    <n v="1"/>
    <n v="0.29000499517807654"/>
    <n v="1"/>
    <n v="73"/>
    <n v="73"/>
    <n v="10.727299941278689"/>
    <n v="1475.9787727593402"/>
    <n v="1"/>
    <n v="0"/>
    <n v="0"/>
    <n v="0"/>
    <n v="0"/>
    <n v="0"/>
    <n v="0"/>
    <n v="0"/>
    <n v="0"/>
    <n v="0"/>
  </r>
  <r>
    <d v="2018-07-08T00:00:00"/>
    <n v="2018"/>
    <x v="19"/>
    <s v="R"/>
    <s v="RS"/>
    <x v="1"/>
    <s v="ATL"/>
    <s v="A"/>
    <n v="2"/>
    <n v="1"/>
    <n v="1"/>
    <n v="-1"/>
    <n v="8"/>
    <n v="-8"/>
    <n v="1609.9040101068622"/>
    <n v="1431.2443433244289"/>
    <n v="0.65407685818709771"/>
    <n v="70"/>
    <n v="76"/>
    <n v="0"/>
    <n v="-6"/>
    <n v="0"/>
    <n v="0.30575850114842945"/>
    <n v="1"/>
    <n v="73"/>
    <n v="73"/>
    <n v="-14.59923786504674"/>
    <n v="1595.3047722418155"/>
    <n v="0"/>
    <n v="1"/>
    <n v="0"/>
    <n v="0"/>
    <n v="0"/>
    <n v="0"/>
    <n v="0"/>
    <n v="0"/>
    <n v="0"/>
    <n v="0"/>
  </r>
  <r>
    <d v="2018-07-08T00:00:00"/>
    <n v="2018"/>
    <x v="17"/>
    <s v="R"/>
    <s v="RS"/>
    <x v="7"/>
    <s v="PHX"/>
    <s v="H"/>
    <n v="1"/>
    <n v="2"/>
    <n v="-1"/>
    <n v="1"/>
    <n v="-8"/>
    <n v="8"/>
    <n v="1431.2443433244289"/>
    <n v="1609.9040101068622"/>
    <n v="0.34592314181290229"/>
    <n v="76"/>
    <n v="70"/>
    <n v="0"/>
    <n v="6"/>
    <n v="1"/>
    <n v="0.30575850114842945"/>
    <n v="1"/>
    <n v="73.3"/>
    <n v="73.3"/>
    <n v="14.65923473298529"/>
    <n v="1445.9035780574143"/>
    <n v="1"/>
    <n v="0"/>
    <n v="0"/>
    <n v="0"/>
    <n v="0"/>
    <n v="0"/>
    <n v="0"/>
    <n v="0"/>
    <n v="0"/>
    <n v="0"/>
  </r>
  <r>
    <d v="2018-07-08T00:00:00"/>
    <n v="2018"/>
    <x v="17"/>
    <s v="R"/>
    <s v="RS"/>
    <x v="0"/>
    <s v="NYL"/>
    <s v="A"/>
    <n v="2"/>
    <n v="2"/>
    <n v="0"/>
    <n v="0"/>
    <n v="0"/>
    <n v="0"/>
    <n v="1516.1666113716076"/>
    <n v="1417.6374781620834"/>
    <n v="0.52089692363223405"/>
    <n v="97"/>
    <n v="87"/>
    <n v="0"/>
    <n v="10"/>
    <n v="1"/>
    <n v="0.39102367918672781"/>
    <n v="1"/>
    <n v="73.3"/>
    <n v="73.3"/>
    <n v="13.732069471352569"/>
    <n v="1529.8986808429602"/>
    <n v="1"/>
    <n v="0"/>
    <n v="0"/>
    <n v="0"/>
    <n v="0"/>
    <n v="0"/>
    <n v="0"/>
    <n v="0"/>
    <n v="0"/>
    <n v="0"/>
  </r>
  <r>
    <d v="2018-07-08T00:00:00"/>
    <n v="2018"/>
    <x v="18"/>
    <s v="R"/>
    <s v="RS"/>
    <x v="4"/>
    <s v="DAL"/>
    <s v="H"/>
    <n v="2"/>
    <n v="2"/>
    <n v="0"/>
    <n v="0"/>
    <n v="0"/>
    <n v="0"/>
    <n v="1417.6374781620834"/>
    <n v="1516.1666113716076"/>
    <n v="0.47910307636776595"/>
    <n v="87"/>
    <n v="97"/>
    <n v="0"/>
    <n v="-10"/>
    <n v="0"/>
    <n v="0.39102367918672781"/>
    <n v="1"/>
    <n v="73.150000000000006"/>
    <n v="73.150000000000006"/>
    <n v="-13.703968374207919"/>
    <n v="1403.9335097878754"/>
    <n v="0"/>
    <n v="1"/>
    <n v="0"/>
    <n v="0"/>
    <n v="0"/>
    <n v="0"/>
    <n v="0"/>
    <n v="0"/>
    <n v="0"/>
    <n v="0"/>
  </r>
  <r>
    <d v="2018-07-08T00:00:00"/>
    <n v="2018"/>
    <x v="18"/>
    <s v="R"/>
    <s v="RS"/>
    <x v="11"/>
    <s v="SEA"/>
    <s v="A"/>
    <n v="0"/>
    <n v="1"/>
    <n v="-1"/>
    <n v="1"/>
    <n v="-8"/>
    <n v="8"/>
    <n v="1551.5116748859493"/>
    <n v="1617.5896373662804"/>
    <n v="0.27767544313442705"/>
    <n v="91"/>
    <n v="97"/>
    <n v="0"/>
    <n v="-6"/>
    <n v="0"/>
    <n v="0.33294704260026065"/>
    <n v="1"/>
    <n v="73.150000000000006"/>
    <n v="73.150000000000006"/>
    <n v="-6.7628065670248247"/>
    <n v="1544.7488683189245"/>
    <n v="0"/>
    <n v="1"/>
    <n v="0"/>
    <n v="0"/>
    <n v="0"/>
    <n v="0"/>
    <n v="0"/>
    <n v="0"/>
    <n v="0"/>
    <n v="0"/>
  </r>
  <r>
    <d v="2018-07-08T00:00:00"/>
    <n v="2018"/>
    <x v="19"/>
    <s v="R"/>
    <s v="RS"/>
    <x v="10"/>
    <s v="WAS"/>
    <s v="H"/>
    <n v="1"/>
    <n v="0"/>
    <n v="1"/>
    <n v="-1"/>
    <n v="8"/>
    <n v="-8"/>
    <n v="1617.5896373662804"/>
    <n v="1551.5116748859493"/>
    <n v="0.72232455686557295"/>
    <n v="97"/>
    <n v="91"/>
    <n v="0"/>
    <n v="6"/>
    <n v="1"/>
    <n v="0.33294704260026065"/>
    <n v="1"/>
    <n v="73"/>
    <n v="73"/>
    <n v="6.7489388843856757"/>
    <n v="1624.3385762506662"/>
    <n v="1"/>
    <n v="0"/>
    <n v="0"/>
    <n v="0"/>
    <n v="0"/>
    <n v="0"/>
    <n v="0"/>
    <n v="0"/>
    <n v="0"/>
    <n v="0"/>
  </r>
  <r>
    <d v="2018-07-10T00:00:00"/>
    <n v="2018"/>
    <x v="20"/>
    <s v="R"/>
    <s v="RS"/>
    <x v="5"/>
    <s v="CHI"/>
    <s v="A"/>
    <n v="2"/>
    <n v="2"/>
    <n v="0"/>
    <n v="0"/>
    <n v="0"/>
    <n v="0"/>
    <n v="1475.9787727593402"/>
    <n v="1416.7964769028715"/>
    <n v="0.46434507404310771"/>
    <n v="98"/>
    <n v="74"/>
    <n v="0"/>
    <n v="24"/>
    <n v="1"/>
    <n v="0.59889431404753812"/>
    <n v="1"/>
    <n v="72.849999999999994"/>
    <n v="72.849999999999994"/>
    <n v="23.370330226223992"/>
    <n v="1499.3491029855643"/>
    <n v="1"/>
    <n v="0"/>
    <n v="0"/>
    <n v="0"/>
    <n v="0"/>
    <n v="0"/>
    <n v="0"/>
    <n v="0"/>
    <n v="0"/>
    <n v="0"/>
  </r>
  <r>
    <d v="2018-07-10T00:00:00"/>
    <n v="2018"/>
    <x v="19"/>
    <s v="R"/>
    <s v="RS"/>
    <x v="2"/>
    <s v="LVA"/>
    <s v="H"/>
    <n v="2"/>
    <n v="2"/>
    <n v="0"/>
    <n v="0"/>
    <n v="0"/>
    <n v="0"/>
    <n v="1416.7964769028715"/>
    <n v="1475.9787727593402"/>
    <n v="0.53565492595689235"/>
    <n v="74"/>
    <n v="98"/>
    <n v="0"/>
    <n v="-24"/>
    <n v="0"/>
    <n v="0.59889431404753812"/>
    <n v="1"/>
    <n v="73"/>
    <n v="73"/>
    <n v="-23.418450329641065"/>
    <n v="1393.3780265732305"/>
    <n v="0"/>
    <n v="1"/>
    <n v="0"/>
    <n v="0"/>
    <n v="0"/>
    <n v="0"/>
    <n v="0"/>
    <n v="0"/>
    <n v="0"/>
    <n v="0"/>
  </r>
  <r>
    <d v="2018-07-10T00:00:00"/>
    <n v="2018"/>
    <x v="20"/>
    <s v="R"/>
    <s v="RS"/>
    <x v="1"/>
    <s v="DAL"/>
    <s v="A"/>
    <n v="1"/>
    <n v="1"/>
    <n v="0"/>
    <n v="0"/>
    <n v="0"/>
    <n v="0"/>
    <n v="1595.3047722418155"/>
    <n v="1529.8986808429602"/>
    <n v="0.47326673217127924"/>
    <n v="72"/>
    <n v="101"/>
    <n v="0"/>
    <n v="-29"/>
    <n v="0"/>
    <n v="0.65562790447452368"/>
    <n v="1"/>
    <n v="72.849999999999994"/>
    <n v="72.849999999999994"/>
    <n v="-22.604398907199538"/>
    <n v="1572.700373334616"/>
    <n v="0"/>
    <n v="1"/>
    <n v="0"/>
    <n v="0"/>
    <n v="0"/>
    <n v="0"/>
    <n v="0"/>
    <n v="0"/>
    <n v="0"/>
    <n v="0"/>
  </r>
  <r>
    <d v="2018-07-10T00:00:00"/>
    <n v="2018"/>
    <x v="18"/>
    <s v="R"/>
    <s v="RS"/>
    <x v="0"/>
    <s v="PHX"/>
    <s v="H"/>
    <n v="1"/>
    <n v="1"/>
    <n v="0"/>
    <n v="0"/>
    <n v="0"/>
    <n v="0"/>
    <n v="1529.8986808429602"/>
    <n v="1595.3047722418155"/>
    <n v="0.52673326782872076"/>
    <n v="101"/>
    <n v="72"/>
    <n v="0"/>
    <n v="29"/>
    <n v="1"/>
    <n v="0.65562790447452368"/>
    <n v="1"/>
    <n v="73.150000000000006"/>
    <n v="73.150000000000006"/>
    <n v="22.697484969960833"/>
    <n v="1552.5961658129211"/>
    <n v="1"/>
    <n v="0"/>
    <n v="0"/>
    <n v="0"/>
    <n v="0"/>
    <n v="0"/>
    <n v="0"/>
    <n v="0"/>
    <n v="0"/>
    <n v="0"/>
  </r>
  <r>
    <d v="2018-07-10T00:00:00"/>
    <n v="2018"/>
    <x v="20"/>
    <s v="R"/>
    <s v="RS"/>
    <x v="8"/>
    <s v="SEA"/>
    <s v="A"/>
    <n v="2"/>
    <n v="1"/>
    <n v="1"/>
    <n v="-1"/>
    <n v="8"/>
    <n v="-8"/>
    <n v="1557.216854004535"/>
    <n v="1624.3385762506662"/>
    <n v="0.31478923477685339"/>
    <n v="77"/>
    <n v="75"/>
    <n v="1"/>
    <n v="2"/>
    <n v="1"/>
    <n v="0.22828795481595782"/>
    <n v="1"/>
    <n v="72.849999999999994"/>
    <n v="72.849999999999994"/>
    <n v="11.395587782747278"/>
    <n v="1568.6124417872823"/>
    <n v="1"/>
    <n v="0"/>
    <n v="0"/>
    <n v="0"/>
    <n v="0"/>
    <n v="0"/>
    <n v="0"/>
    <n v="0"/>
    <n v="0"/>
    <n v="0"/>
  </r>
  <r>
    <d v="2018-07-10T00:00:00"/>
    <n v="2018"/>
    <x v="20"/>
    <s v="R"/>
    <s v="RS"/>
    <x v="10"/>
    <s v="LAS"/>
    <s v="H"/>
    <n v="1"/>
    <n v="2"/>
    <n v="-1"/>
    <n v="1"/>
    <n v="-8"/>
    <n v="8"/>
    <n v="1624.3385762506662"/>
    <n v="1557.216854004535"/>
    <n v="0.68521076522314661"/>
    <n v="75"/>
    <n v="77"/>
    <n v="1"/>
    <n v="-2"/>
    <n v="0"/>
    <n v="0.22828795481595782"/>
    <n v="1"/>
    <n v="72.849999999999994"/>
    <n v="72.849999999999994"/>
    <n v="-11.395587782747278"/>
    <n v="1612.9429884679189"/>
    <n v="0"/>
    <n v="1"/>
    <n v="0"/>
    <n v="0"/>
    <n v="0"/>
    <n v="0"/>
    <n v="0"/>
    <n v="0"/>
    <n v="0"/>
    <n v="0"/>
  </r>
  <r>
    <d v="2018-07-11T00:00:00"/>
    <n v="2018"/>
    <x v="19"/>
    <s v="R"/>
    <s v="RS"/>
    <x v="4"/>
    <s v="CON"/>
    <s v="A"/>
    <n v="2"/>
    <n v="3"/>
    <n v="-1"/>
    <n v="1"/>
    <n v="-8"/>
    <n v="8"/>
    <n v="1403.9335097878754"/>
    <n v="1543.1671124575373"/>
    <n v="0.20146883078256875"/>
    <n v="79"/>
    <n v="76"/>
    <n v="0"/>
    <n v="3"/>
    <n v="1"/>
    <n v="0.26001455207239327"/>
    <n v="1"/>
    <n v="73"/>
    <n v="73"/>
    <n v="15.156969872433786"/>
    <n v="1419.0904796603093"/>
    <n v="1"/>
    <n v="0"/>
    <n v="0"/>
    <n v="0"/>
    <n v="0"/>
    <n v="0"/>
    <n v="0"/>
    <n v="0"/>
    <n v="0"/>
    <n v="0"/>
  </r>
  <r>
    <d v="2018-07-11T00:00:00"/>
    <n v="2018"/>
    <x v="19"/>
    <s v="R"/>
    <s v="RS"/>
    <x v="6"/>
    <s v="NYL"/>
    <s v="H"/>
    <n v="3"/>
    <n v="2"/>
    <n v="1"/>
    <n v="-1"/>
    <n v="8"/>
    <n v="-8"/>
    <n v="1543.1671124575373"/>
    <n v="1403.9335097878754"/>
    <n v="0.79853116921743128"/>
    <n v="76"/>
    <n v="79"/>
    <n v="0"/>
    <n v="-3"/>
    <n v="0"/>
    <n v="0.26001455207239327"/>
    <n v="1"/>
    <n v="73"/>
    <n v="73"/>
    <n v="-15.156969872433786"/>
    <n v="1528.0101425851035"/>
    <n v="0"/>
    <n v="1"/>
    <n v="0"/>
    <n v="0"/>
    <n v="0"/>
    <n v="0"/>
    <n v="0"/>
    <n v="0"/>
    <n v="0"/>
    <n v="0"/>
  </r>
  <r>
    <d v="2018-07-11T00:00:00"/>
    <n v="2018"/>
    <x v="19"/>
    <s v="R"/>
    <s v="RS"/>
    <x v="9"/>
    <s v="IND"/>
    <s v="A"/>
    <n v="3"/>
    <n v="5"/>
    <n v="-2"/>
    <n v="2"/>
    <n v="-16"/>
    <n v="16"/>
    <n v="1615.8582625122558"/>
    <n v="1324.5593597864995"/>
    <n v="0.73284429422457031"/>
    <n v="87"/>
    <n v="65"/>
    <n v="0"/>
    <n v="22"/>
    <n v="1"/>
    <n v="0.4844551312038794"/>
    <n v="1"/>
    <n v="73"/>
    <n v="73"/>
    <n v="9.4480215320109586"/>
    <n v="1625.3062840442667"/>
    <n v="1"/>
    <n v="0"/>
    <n v="0"/>
    <n v="0"/>
    <n v="0"/>
    <n v="0"/>
    <n v="0"/>
    <n v="0"/>
    <n v="0"/>
    <n v="0"/>
  </r>
  <r>
    <d v="2018-07-11T00:00:00"/>
    <n v="2018"/>
    <x v="19"/>
    <s v="R"/>
    <s v="RS"/>
    <x v="3"/>
    <s v="MIN"/>
    <s v="H"/>
    <n v="5"/>
    <n v="3"/>
    <n v="2"/>
    <n v="-2"/>
    <n v="16"/>
    <n v="-16"/>
    <n v="1324.5593597864995"/>
    <n v="1615.8582625122558"/>
    <n v="0.26715570577542969"/>
    <n v="65"/>
    <n v="87"/>
    <n v="0"/>
    <n v="-22"/>
    <n v="0"/>
    <n v="0.4844551312038794"/>
    <n v="1"/>
    <n v="73"/>
    <n v="73"/>
    <n v="-9.4480215320109586"/>
    <n v="1315.1113382544886"/>
    <n v="0"/>
    <n v="1"/>
    <n v="0"/>
    <n v="0"/>
    <n v="0"/>
    <n v="0"/>
    <n v="0"/>
    <n v="0"/>
    <n v="0"/>
    <n v="0"/>
  </r>
  <r>
    <d v="2018-07-11T00:00:00"/>
    <n v="2018"/>
    <x v="18"/>
    <s v="R"/>
    <s v="RS"/>
    <x v="7"/>
    <s v="WAS"/>
    <s v="A"/>
    <n v="2"/>
    <n v="2"/>
    <n v="0"/>
    <n v="0"/>
    <n v="0"/>
    <n v="0"/>
    <n v="1445.9035780574143"/>
    <n v="1544.7488683189245"/>
    <n v="0.25873724686123206"/>
    <n v="106"/>
    <n v="89"/>
    <n v="0"/>
    <n v="17"/>
    <n v="1"/>
    <n v="0.49192193072490892"/>
    <n v="1"/>
    <n v="73.150000000000006"/>
    <n v="73.150000000000006"/>
    <n v="26.673665053694123"/>
    <n v="1472.5772431111084"/>
    <n v="1"/>
    <n v="0"/>
    <n v="0"/>
    <n v="0"/>
    <n v="0"/>
    <n v="0"/>
    <n v="0"/>
    <n v="0"/>
    <n v="0"/>
    <n v="0"/>
  </r>
  <r>
    <d v="2018-07-11T00:00:00"/>
    <n v="2018"/>
    <x v="19"/>
    <s v="R"/>
    <s v="RS"/>
    <x v="11"/>
    <s v="ATL"/>
    <s v="H"/>
    <n v="2"/>
    <n v="2"/>
    <n v="0"/>
    <n v="0"/>
    <n v="0"/>
    <n v="0"/>
    <n v="1544.7488683189245"/>
    <n v="1445.9035780574143"/>
    <n v="0.74126275313876799"/>
    <n v="89"/>
    <n v="106"/>
    <n v="0"/>
    <n v="-17"/>
    <n v="0"/>
    <n v="0.49192193072490892"/>
    <n v="1"/>
    <n v="73"/>
    <n v="73"/>
    <n v="-26.618968542989357"/>
    <n v="1518.1298997759352"/>
    <n v="0"/>
    <n v="1"/>
    <n v="0"/>
    <n v="0"/>
    <n v="0"/>
    <n v="0"/>
    <n v="0"/>
    <n v="0"/>
    <n v="0"/>
    <n v="0"/>
  </r>
  <r>
    <d v="2018-07-12T00:00:00"/>
    <n v="2018"/>
    <x v="19"/>
    <s v="R"/>
    <s v="RS"/>
    <x v="0"/>
    <s v="LAS"/>
    <s v="A"/>
    <n v="1"/>
    <n v="1"/>
    <n v="0"/>
    <n v="0"/>
    <n v="0"/>
    <n v="0"/>
    <n v="1552.5961658129211"/>
    <n v="1568.6124417872823"/>
    <n v="0.35991341553999112"/>
    <n v="92"/>
    <n v="77"/>
    <n v="0"/>
    <n v="15"/>
    <n v="1"/>
    <n v="0.49622496472838235"/>
    <n v="1"/>
    <n v="73"/>
    <n v="73"/>
    <n v="23.186766824164838"/>
    <n v="1575.7829326370859"/>
    <n v="1"/>
    <n v="0"/>
    <n v="0"/>
    <n v="0"/>
    <n v="0"/>
    <n v="0"/>
    <n v="0"/>
    <n v="0"/>
    <n v="0"/>
    <n v="0"/>
  </r>
  <r>
    <d v="2018-07-12T00:00:00"/>
    <n v="2018"/>
    <x v="21"/>
    <s v="R"/>
    <s v="RS"/>
    <x v="8"/>
    <s v="DAL"/>
    <s v="H"/>
    <n v="1"/>
    <n v="1"/>
    <n v="0"/>
    <n v="0"/>
    <n v="0"/>
    <n v="0"/>
    <n v="1568.6124417872823"/>
    <n v="1552.5961658129211"/>
    <n v="0.64008658446000888"/>
    <n v="77"/>
    <n v="92"/>
    <n v="0"/>
    <n v="-15"/>
    <n v="0"/>
    <n v="0.49622496472838235"/>
    <n v="1"/>
    <n v="72.7"/>
    <n v="72.7"/>
    <n v="-23.091478741325805"/>
    <n v="1545.5209630459565"/>
    <n v="0"/>
    <n v="1"/>
    <n v="0"/>
    <n v="0"/>
    <n v="0"/>
    <n v="0"/>
    <n v="0"/>
    <n v="0"/>
    <n v="0"/>
    <n v="0"/>
  </r>
  <r>
    <d v="2018-07-13T00:00:00"/>
    <n v="2018"/>
    <x v="20"/>
    <s v="R"/>
    <s v="RS"/>
    <x v="3"/>
    <s v="ATL"/>
    <s v="A"/>
    <n v="1"/>
    <n v="1"/>
    <n v="0"/>
    <n v="0"/>
    <n v="0"/>
    <n v="0"/>
    <n v="1315.1113382544886"/>
    <n v="1472.5772431111084"/>
    <n v="0.19940943591725924"/>
    <n v="74"/>
    <n v="98"/>
    <n v="0"/>
    <n v="-24"/>
    <n v="0"/>
    <n v="0.55553300796708893"/>
    <n v="1"/>
    <n v="72.849999999999994"/>
    <n v="72.849999999999994"/>
    <n v="-8.0702154553430692"/>
    <n v="1307.0411227991456"/>
    <n v="0"/>
    <n v="1"/>
    <n v="0"/>
    <n v="0"/>
    <n v="0"/>
    <n v="0"/>
    <n v="0"/>
    <n v="0"/>
    <n v="0"/>
    <n v="0"/>
  </r>
  <r>
    <d v="2018-07-13T00:00:00"/>
    <n v="2018"/>
    <x v="19"/>
    <s v="R"/>
    <s v="RS"/>
    <x v="7"/>
    <s v="IND"/>
    <s v="H"/>
    <n v="1"/>
    <n v="1"/>
    <n v="0"/>
    <n v="0"/>
    <n v="0"/>
    <n v="0"/>
    <n v="1472.5772431111084"/>
    <n v="1315.1113382544886"/>
    <n v="0.80059056408274076"/>
    <n v="98"/>
    <n v="74"/>
    <n v="0"/>
    <n v="24"/>
    <n v="1"/>
    <n v="0.55553300796708893"/>
    <n v="1"/>
    <n v="73"/>
    <n v="73"/>
    <n v="8.0868322339058913"/>
    <n v="1480.6640753450142"/>
    <n v="1"/>
    <n v="0"/>
    <n v="0"/>
    <n v="0"/>
    <n v="0"/>
    <n v="0"/>
    <n v="0"/>
    <n v="0"/>
    <n v="0"/>
    <n v="0"/>
  </r>
  <r>
    <d v="2018-07-13T00:00:00"/>
    <n v="2018"/>
    <x v="21"/>
    <s v="R"/>
    <s v="RS"/>
    <x v="1"/>
    <s v="CON"/>
    <s v="A"/>
    <n v="2"/>
    <n v="1"/>
    <n v="1"/>
    <n v="-1"/>
    <n v="8"/>
    <n v="-8"/>
    <n v="1572.700373334616"/>
    <n v="1528.0101425851035"/>
    <n v="0.46650478653474187"/>
    <n v="87"/>
    <n v="91"/>
    <n v="0"/>
    <n v="-4"/>
    <n v="0"/>
    <n v="0.30025083563129878"/>
    <n v="1"/>
    <n v="72.7"/>
    <n v="72.7"/>
    <n v="-10.182976459168238"/>
    <n v="1562.5173968754477"/>
    <n v="0"/>
    <n v="1"/>
    <n v="0"/>
    <n v="0"/>
    <n v="0"/>
    <n v="0"/>
    <n v="0"/>
    <n v="0"/>
    <n v="0"/>
    <n v="0"/>
  </r>
  <r>
    <d v="2018-07-13T00:00:00"/>
    <n v="2018"/>
    <x v="20"/>
    <s v="R"/>
    <s v="RS"/>
    <x v="6"/>
    <s v="PHX"/>
    <s v="H"/>
    <n v="1"/>
    <n v="2"/>
    <n v="-1"/>
    <n v="1"/>
    <n v="-8"/>
    <n v="8"/>
    <n v="1528.0101425851035"/>
    <n v="1572.700373334616"/>
    <n v="0.53349521346525819"/>
    <n v="91"/>
    <n v="87"/>
    <n v="0"/>
    <n v="4"/>
    <n v="1"/>
    <n v="0.30025083563129878"/>
    <n v="1"/>
    <n v="72.849999999999994"/>
    <n v="72.849999999999994"/>
    <n v="10.203986726965693"/>
    <n v="1538.2141293120692"/>
    <n v="1"/>
    <n v="0"/>
    <n v="0"/>
    <n v="0"/>
    <n v="0"/>
    <n v="0"/>
    <n v="0"/>
    <n v="0"/>
    <n v="0"/>
    <n v="0"/>
  </r>
  <r>
    <d v="2018-07-13T00:00:00"/>
    <n v="2018"/>
    <x v="21"/>
    <s v="R"/>
    <s v="RS"/>
    <x v="5"/>
    <s v="MIN"/>
    <s v="A"/>
    <n v="2"/>
    <n v="1"/>
    <n v="1"/>
    <n v="-1"/>
    <n v="8"/>
    <n v="-8"/>
    <n v="1499.3491029855643"/>
    <n v="1625.3062840442667"/>
    <n v="0.2466597209961692"/>
    <n v="85"/>
    <n v="77"/>
    <n v="0"/>
    <n v="8"/>
    <n v="1"/>
    <n v="0.35142812200884854"/>
    <n v="1"/>
    <n v="72.7"/>
    <n v="72.7"/>
    <n v="19.246958554482312"/>
    <n v="1518.5960615400465"/>
    <n v="1"/>
    <n v="0"/>
    <n v="0"/>
    <n v="0"/>
    <n v="0"/>
    <n v="0"/>
    <n v="0"/>
    <n v="0"/>
    <n v="0"/>
    <n v="0"/>
  </r>
  <r>
    <d v="2018-07-13T00:00:00"/>
    <n v="2018"/>
    <x v="20"/>
    <s v="R"/>
    <s v="RS"/>
    <x v="9"/>
    <s v="LVA"/>
    <s v="H"/>
    <n v="1"/>
    <n v="2"/>
    <n v="-1"/>
    <n v="1"/>
    <n v="-8"/>
    <n v="8"/>
    <n v="1625.3062840442667"/>
    <n v="1499.3491029855643"/>
    <n v="0.75334027900383083"/>
    <n v="77"/>
    <n v="85"/>
    <n v="0"/>
    <n v="-8"/>
    <n v="0"/>
    <n v="0.35142812200884854"/>
    <n v="1"/>
    <n v="72.849999999999994"/>
    <n v="72.849999999999994"/>
    <n v="-19.2866702984049"/>
    <n v="1606.0196137458618"/>
    <n v="0"/>
    <n v="1"/>
    <n v="0"/>
    <n v="0"/>
    <n v="0"/>
    <n v="0"/>
    <n v="0"/>
    <n v="0"/>
    <n v="0"/>
    <n v="0"/>
  </r>
  <r>
    <d v="2018-07-13T00:00:00"/>
    <n v="2018"/>
    <x v="20"/>
    <s v="R"/>
    <s v="RS"/>
    <x v="2"/>
    <s v="WAS"/>
    <s v="A"/>
    <n v="2"/>
    <n v="1"/>
    <n v="1"/>
    <n v="-1"/>
    <n v="8"/>
    <n v="-8"/>
    <n v="1393.3780265732305"/>
    <n v="1518.1298997759352"/>
    <n v="0.24795125373070234"/>
    <n v="72"/>
    <n v="88"/>
    <n v="0"/>
    <n v="-16"/>
    <n v="0"/>
    <n v="0.469026125801145"/>
    <n v="1"/>
    <n v="72.849999999999994"/>
    <n v="72.849999999999994"/>
    <n v="-8.4721356201251776"/>
    <n v="1384.9058909531054"/>
    <n v="0"/>
    <n v="1"/>
    <n v="0"/>
    <n v="0"/>
    <n v="0"/>
    <n v="0"/>
    <n v="0"/>
    <n v="0"/>
    <n v="0"/>
    <n v="0"/>
  </r>
  <r>
    <d v="2018-07-13T00:00:00"/>
    <n v="2018"/>
    <x v="20"/>
    <s v="R"/>
    <s v="RS"/>
    <x v="11"/>
    <s v="CHI"/>
    <s v="H"/>
    <n v="1"/>
    <n v="2"/>
    <n v="-1"/>
    <n v="1"/>
    <n v="-8"/>
    <n v="8"/>
    <n v="1518.1298997759352"/>
    <n v="1393.3780265732305"/>
    <n v="0.75204874626929763"/>
    <n v="88"/>
    <n v="72"/>
    <n v="0"/>
    <n v="16"/>
    <n v="1"/>
    <n v="0.469026125801145"/>
    <n v="1"/>
    <n v="72.849999999999994"/>
    <n v="72.849999999999994"/>
    <n v="8.4721356201251776"/>
    <n v="1526.6020353960603"/>
    <n v="1"/>
    <n v="0"/>
    <n v="0"/>
    <n v="0"/>
    <n v="0"/>
    <n v="0"/>
    <n v="0"/>
    <n v="0"/>
    <n v="0"/>
    <n v="0"/>
  </r>
  <r>
    <d v="2018-07-14T00:00:00"/>
    <n v="2018"/>
    <x v="20"/>
    <s v="R"/>
    <s v="RS"/>
    <x v="0"/>
    <s v="SEA"/>
    <s v="A"/>
    <n v="1"/>
    <n v="3"/>
    <n v="-2"/>
    <n v="2"/>
    <n v="-16"/>
    <n v="16"/>
    <n v="1575.7829326370859"/>
    <n v="1612.9429884679189"/>
    <n v="0.29283387247561787"/>
    <n v="84"/>
    <n v="91"/>
    <n v="0"/>
    <n v="-7"/>
    <n v="0"/>
    <n v="0.35899041913887442"/>
    <n v="1"/>
    <n v="72.849999999999994"/>
    <n v="72.849999999999994"/>
    <n v="-7.6583238039272556"/>
    <n v="1568.1246088331586"/>
    <n v="0"/>
    <n v="1"/>
    <n v="0"/>
    <n v="0"/>
    <n v="0"/>
    <n v="0"/>
    <n v="0"/>
    <n v="0"/>
    <n v="0"/>
    <n v="0"/>
  </r>
  <r>
    <d v="2018-07-14T00:00:00"/>
    <n v="2018"/>
    <x v="21"/>
    <s v="R"/>
    <s v="RS"/>
    <x v="10"/>
    <s v="DAL"/>
    <s v="H"/>
    <n v="3"/>
    <n v="1"/>
    <n v="2"/>
    <n v="-2"/>
    <n v="16"/>
    <n v="-16"/>
    <n v="1612.9429884679189"/>
    <n v="1575.7829326370859"/>
    <n v="0.70716612752438213"/>
    <n v="91"/>
    <n v="84"/>
    <n v="0"/>
    <n v="7"/>
    <n v="1"/>
    <n v="0.35899041913887442"/>
    <n v="1"/>
    <n v="72.7"/>
    <n v="72.7"/>
    <n v="7.6425551207345439"/>
    <n v="1620.5855435886535"/>
    <n v="1"/>
    <n v="0"/>
    <n v="0"/>
    <n v="0"/>
    <n v="0"/>
    <n v="0"/>
    <n v="0"/>
    <n v="0"/>
    <n v="0"/>
    <n v="0"/>
  </r>
  <r>
    <d v="2018-07-15T00:00:00"/>
    <n v="2018"/>
    <x v="21"/>
    <s v="R"/>
    <s v="RS"/>
    <x v="11"/>
    <s v="ATL"/>
    <s v="A"/>
    <n v="1"/>
    <n v="1"/>
    <n v="0"/>
    <n v="0"/>
    <n v="0"/>
    <n v="0"/>
    <n v="1526.6020353960603"/>
    <n v="1480.6640753450142"/>
    <n v="0.44544240460735973"/>
    <n v="77"/>
    <n v="80"/>
    <n v="0"/>
    <n v="-3"/>
    <n v="0"/>
    <n v="0.27948440169860711"/>
    <n v="1"/>
    <n v="72.7"/>
    <n v="72.7"/>
    <n v="-9.0507286266471443"/>
    <n v="1517.551306769413"/>
    <n v="0"/>
    <n v="1"/>
    <n v="0"/>
    <n v="0"/>
    <n v="0"/>
    <n v="0"/>
    <n v="0"/>
    <n v="0"/>
    <n v="0"/>
    <n v="0"/>
  </r>
  <r>
    <d v="2018-07-15T00:00:00"/>
    <n v="2018"/>
    <x v="20"/>
    <s v="R"/>
    <s v="RS"/>
    <x v="7"/>
    <s v="WAS"/>
    <s v="H"/>
    <n v="1"/>
    <n v="1"/>
    <n v="0"/>
    <n v="0"/>
    <n v="0"/>
    <n v="0"/>
    <n v="1480.6640753450142"/>
    <n v="1526.6020353960603"/>
    <n v="0.55455759539264027"/>
    <n v="80"/>
    <n v="77"/>
    <n v="0"/>
    <n v="3"/>
    <n v="1"/>
    <n v="0.27948440169860711"/>
    <n v="1"/>
    <n v="72.849999999999994"/>
    <n v="72.849999999999994"/>
    <n v="9.0694027572385743"/>
    <n v="1489.7334781022528"/>
    <n v="1"/>
    <n v="0"/>
    <n v="0"/>
    <n v="0"/>
    <n v="0"/>
    <n v="0"/>
    <n v="0"/>
    <n v="0"/>
    <n v="0"/>
    <n v="0"/>
  </r>
  <r>
    <d v="2018-07-15T00:00:00"/>
    <n v="2018"/>
    <x v="22"/>
    <s v="R"/>
    <s v="RS"/>
    <x v="1"/>
    <s v="IND"/>
    <s v="A"/>
    <n v="1"/>
    <n v="1"/>
    <n v="0"/>
    <n v="0"/>
    <n v="0"/>
    <n v="0"/>
    <n v="1562.5173968754477"/>
    <n v="1307.0411227991456"/>
    <n v="0.72851410104086389"/>
    <n v="101"/>
    <n v="82"/>
    <n v="0"/>
    <n v="19"/>
    <n v="1"/>
    <n v="0.46251051924219078"/>
    <n v="1"/>
    <n v="72.55"/>
    <n v="72.55"/>
    <n v="9.1097468510576434"/>
    <n v="1571.6271437265054"/>
    <n v="1"/>
    <n v="0"/>
    <n v="0"/>
    <n v="0"/>
    <n v="0"/>
    <n v="0"/>
    <n v="0"/>
    <n v="0"/>
    <n v="0"/>
    <n v="0"/>
  </r>
  <r>
    <d v="2018-07-15T00:00:00"/>
    <n v="2018"/>
    <x v="21"/>
    <s v="R"/>
    <s v="RS"/>
    <x v="3"/>
    <s v="PHX"/>
    <s v="H"/>
    <n v="1"/>
    <n v="1"/>
    <n v="0"/>
    <n v="0"/>
    <n v="0"/>
    <n v="0"/>
    <n v="1307.0411227991456"/>
    <n v="1562.5173968754477"/>
    <n v="0.27148589895913605"/>
    <n v="82"/>
    <n v="101"/>
    <n v="0"/>
    <n v="-19"/>
    <n v="0"/>
    <n v="0.46251051924219078"/>
    <n v="1"/>
    <n v="72.7"/>
    <n v="72.7"/>
    <n v="-9.1285816136718196"/>
    <n v="1297.9125411854739"/>
    <n v="0"/>
    <n v="1"/>
    <n v="0"/>
    <n v="0"/>
    <n v="0"/>
    <n v="0"/>
    <n v="0"/>
    <n v="0"/>
    <n v="0"/>
    <n v="0"/>
  </r>
  <r>
    <d v="2018-07-15T00:00:00"/>
    <n v="2018"/>
    <x v="22"/>
    <s v="R"/>
    <s v="RS"/>
    <x v="8"/>
    <s v="LVA"/>
    <s v="A"/>
    <n v="2"/>
    <n v="1"/>
    <n v="1"/>
    <n v="-1"/>
    <n v="8"/>
    <n v="-8"/>
    <n v="1545.5209630459565"/>
    <n v="1518.5960615400465"/>
    <n v="0.44116204913241786"/>
    <n v="99"/>
    <n v="78"/>
    <n v="0"/>
    <n v="21"/>
    <n v="1"/>
    <n v="0.5756599661951538"/>
    <n v="1"/>
    <n v="72.55"/>
    <n v="72.55"/>
    <n v="23.33938113490785"/>
    <n v="1568.8603441808643"/>
    <n v="1"/>
    <n v="0"/>
    <n v="0"/>
    <n v="0"/>
    <n v="0"/>
    <n v="0"/>
    <n v="0"/>
    <n v="0"/>
    <n v="0"/>
    <n v="0"/>
  </r>
  <r>
    <d v="2018-07-15T00:00:00"/>
    <n v="2018"/>
    <x v="22"/>
    <s v="R"/>
    <s v="RS"/>
    <x v="5"/>
    <s v="LAS"/>
    <s v="H"/>
    <n v="1"/>
    <n v="2"/>
    <n v="-1"/>
    <n v="1"/>
    <n v="-8"/>
    <n v="8"/>
    <n v="1518.5960615400465"/>
    <n v="1545.5209630459565"/>
    <n v="0.55883795086758214"/>
    <n v="78"/>
    <n v="99"/>
    <n v="0"/>
    <n v="-21"/>
    <n v="0"/>
    <n v="0.5756599661951538"/>
    <n v="1"/>
    <n v="72.55"/>
    <n v="72.55"/>
    <n v="-23.33938113490785"/>
    <n v="1495.2566804051387"/>
    <n v="0"/>
    <n v="1"/>
    <n v="0"/>
    <n v="0"/>
    <n v="0"/>
    <n v="0"/>
    <n v="0"/>
    <n v="0"/>
    <n v="0"/>
    <n v="0"/>
  </r>
  <r>
    <d v="2018-07-15T00:00:00"/>
    <n v="2018"/>
    <x v="21"/>
    <s v="R"/>
    <s v="RS"/>
    <x v="6"/>
    <s v="MIN"/>
    <s v="A"/>
    <n v="1"/>
    <n v="1"/>
    <n v="0"/>
    <n v="0"/>
    <n v="0"/>
    <n v="0"/>
    <n v="1538.2141293120692"/>
    <n v="1606.0196137458618"/>
    <n v="0.29445120855813933"/>
    <n v="83"/>
    <n v="64"/>
    <n v="0"/>
    <n v="19"/>
    <n v="1"/>
    <n v="0.53097505534799117"/>
    <n v="1"/>
    <n v="72.7"/>
    <n v="72.7"/>
    <n v="27.235514384242204"/>
    <n v="1565.4496436963113"/>
    <n v="1"/>
    <n v="0"/>
    <n v="0"/>
    <n v="0"/>
    <n v="0"/>
    <n v="0"/>
    <n v="0"/>
    <n v="0"/>
    <n v="0"/>
    <n v="0"/>
  </r>
  <r>
    <d v="2018-07-15T00:00:00"/>
    <n v="2018"/>
    <x v="21"/>
    <s v="R"/>
    <s v="RS"/>
    <x v="9"/>
    <s v="CON"/>
    <s v="H"/>
    <n v="1"/>
    <n v="1"/>
    <n v="0"/>
    <n v="0"/>
    <n v="0"/>
    <n v="0"/>
    <n v="1606.0196137458618"/>
    <n v="1538.2141293120692"/>
    <n v="0.70554879144186067"/>
    <n v="64"/>
    <n v="83"/>
    <n v="0"/>
    <n v="-19"/>
    <n v="0"/>
    <n v="0.53097505534799117"/>
    <n v="1"/>
    <n v="72.7"/>
    <n v="72.7"/>
    <n v="-27.235514384242204"/>
    <n v="1578.7840993616196"/>
    <n v="0"/>
    <n v="1"/>
    <n v="0"/>
    <n v="0"/>
    <n v="0"/>
    <n v="0"/>
    <n v="0"/>
    <n v="0"/>
    <n v="0"/>
    <n v="0"/>
  </r>
  <r>
    <d v="2018-07-15T00:00:00"/>
    <n v="2018"/>
    <x v="21"/>
    <s v="R"/>
    <s v="RS"/>
    <x v="2"/>
    <s v="NYL"/>
    <s v="A"/>
    <n v="1"/>
    <n v="3"/>
    <n v="-2"/>
    <n v="2"/>
    <n v="-16"/>
    <n v="16"/>
    <n v="1384.9058909531054"/>
    <n v="1419.0904796603093"/>
    <n v="0.29639335397321681"/>
    <n v="84"/>
    <n v="107"/>
    <n v="0"/>
    <n v="-23"/>
    <n v="0"/>
    <n v="0.59829407191657968"/>
    <n v="1"/>
    <n v="72.7"/>
    <n v="72.7"/>
    <n v="-12.891919108557012"/>
    <n v="1372.0139718445485"/>
    <n v="0"/>
    <n v="1"/>
    <n v="0"/>
    <n v="0"/>
    <n v="0"/>
    <n v="0"/>
    <n v="0"/>
    <n v="0"/>
    <n v="0"/>
    <n v="0"/>
  </r>
  <r>
    <d v="2018-07-15T00:00:00"/>
    <n v="2018"/>
    <x v="20"/>
    <s v="R"/>
    <s v="RS"/>
    <x v="4"/>
    <s v="CHI"/>
    <s v="H"/>
    <n v="3"/>
    <n v="1"/>
    <n v="2"/>
    <n v="-2"/>
    <n v="16"/>
    <n v="-16"/>
    <n v="1419.0904796603093"/>
    <n v="1384.9058909531054"/>
    <n v="0.70360664602678324"/>
    <n v="107"/>
    <n v="84"/>
    <n v="0"/>
    <n v="23"/>
    <n v="1"/>
    <n v="0.59829407191657968"/>
    <n v="1"/>
    <n v="72.849999999999994"/>
    <n v="72.849999999999994"/>
    <n v="12.918518666552655"/>
    <n v="1432.008998326862"/>
    <n v="1"/>
    <n v="0"/>
    <n v="0"/>
    <n v="0"/>
    <n v="0"/>
    <n v="0"/>
    <n v="0"/>
    <n v="0"/>
    <n v="0"/>
    <n v="0"/>
  </r>
  <r>
    <d v="2018-07-17T00:00:00"/>
    <n v="2018"/>
    <x v="21"/>
    <s v="R"/>
    <s v="RS"/>
    <x v="7"/>
    <s v="CON"/>
    <s v="A"/>
    <n v="1"/>
    <n v="1"/>
    <n v="0"/>
    <n v="0"/>
    <n v="0"/>
    <n v="0"/>
    <n v="1489.7334781022528"/>
    <n v="1565.4496436963113"/>
    <n v="0.28508013261285775"/>
    <n v="86"/>
    <n v="83"/>
    <n v="0"/>
    <n v="3"/>
    <n v="1"/>
    <n v="0.27296058066042855"/>
    <n v="1"/>
    <n v="72.7"/>
    <n v="72.7"/>
    <n v="14.187037292681675"/>
    <n v="1503.9205153949345"/>
    <n v="1"/>
    <n v="0"/>
    <n v="0"/>
    <n v="0"/>
    <n v="0"/>
    <n v="0"/>
    <n v="0"/>
    <n v="0"/>
    <n v="0"/>
    <n v="0"/>
  </r>
  <r>
    <d v="2018-07-17T00:00:00"/>
    <n v="2018"/>
    <x v="22"/>
    <s v="R"/>
    <s v="RS"/>
    <x v="6"/>
    <s v="ATL"/>
    <s v="H"/>
    <n v="1"/>
    <n v="1"/>
    <n v="0"/>
    <n v="0"/>
    <n v="0"/>
    <n v="0"/>
    <n v="1565.4496436963113"/>
    <n v="1489.7334781022528"/>
    <n v="0.7149198673871423"/>
    <n v="83"/>
    <n v="86"/>
    <n v="0"/>
    <n v="-3"/>
    <n v="0"/>
    <n v="0.27296058066042855"/>
    <n v="1"/>
    <n v="72.55"/>
    <n v="72.55"/>
    <n v="-14.157765551362527"/>
    <n v="1551.2918781449489"/>
    <n v="0"/>
    <n v="1"/>
    <n v="0"/>
    <n v="0"/>
    <n v="0"/>
    <n v="0"/>
    <n v="0"/>
    <n v="0"/>
    <n v="0"/>
    <n v="0"/>
  </r>
  <r>
    <d v="2018-07-17T00:00:00"/>
    <n v="2018"/>
    <x v="21"/>
    <s v="R"/>
    <s v="RS"/>
    <x v="4"/>
    <s v="DAL"/>
    <s v="A"/>
    <n v="1"/>
    <n v="2"/>
    <n v="-1"/>
    <n v="1"/>
    <n v="-8"/>
    <n v="8"/>
    <n v="1432.008998326862"/>
    <n v="1568.1246088331586"/>
    <n v="0.2043718642000894"/>
    <n v="87"/>
    <n v="104"/>
    <n v="0"/>
    <n v="-17"/>
    <n v="0"/>
    <n v="0.4781999984689092"/>
    <n v="1"/>
    <n v="72.7"/>
    <n v="72.7"/>
    <n v="-7.1050164482284028"/>
    <n v="1424.9039818786337"/>
    <n v="0"/>
    <n v="1"/>
    <n v="0"/>
    <n v="0"/>
    <n v="0"/>
    <n v="0"/>
    <n v="0"/>
    <n v="0"/>
    <n v="0"/>
    <n v="0"/>
  </r>
  <r>
    <d v="2018-07-17T00:00:00"/>
    <n v="2018"/>
    <x v="21"/>
    <s v="R"/>
    <s v="RS"/>
    <x v="0"/>
    <s v="NYL"/>
    <s v="H"/>
    <n v="2"/>
    <n v="1"/>
    <n v="1"/>
    <n v="-1"/>
    <n v="8"/>
    <n v="-8"/>
    <n v="1568.1246088331586"/>
    <n v="1432.008998326862"/>
    <n v="0.79562813579991065"/>
    <n v="104"/>
    <n v="87"/>
    <n v="0"/>
    <n v="17"/>
    <n v="1"/>
    <n v="0.4781999984689092"/>
    <n v="1"/>
    <n v="72.7"/>
    <n v="72.7"/>
    <n v="7.1050164482284011"/>
    <n v="1575.2296252813869"/>
    <n v="1"/>
    <n v="0"/>
    <n v="0"/>
    <n v="0"/>
    <n v="0"/>
    <n v="0"/>
    <n v="0"/>
    <n v="0"/>
    <n v="0"/>
    <n v="0"/>
  </r>
  <r>
    <d v="2018-07-18T00:00:00"/>
    <n v="2018"/>
    <x v="22"/>
    <s v="R"/>
    <s v="RS"/>
    <x v="10"/>
    <s v="CHI"/>
    <s v="A"/>
    <n v="3"/>
    <n v="2"/>
    <n v="1"/>
    <n v="-1"/>
    <n v="8"/>
    <n v="-8"/>
    <n v="1620.5855435886535"/>
    <n v="1372.0139718445485"/>
    <n v="0.73874454927240918"/>
    <n v="101"/>
    <n v="83"/>
    <n v="0"/>
    <n v="18"/>
    <n v="1"/>
    <n v="0.45299847888186051"/>
    <n v="1"/>
    <n v="72.55"/>
    <n v="72.55"/>
    <n v="8.5861707450804872"/>
    <n v="1629.1717143337339"/>
    <n v="1"/>
    <n v="0"/>
    <n v="0"/>
    <n v="0"/>
    <n v="0"/>
    <n v="0"/>
    <n v="0"/>
    <n v="0"/>
    <n v="0"/>
    <n v="0"/>
  </r>
  <r>
    <d v="2018-07-18T00:00:00"/>
    <n v="2018"/>
    <x v="22"/>
    <s v="R"/>
    <s v="RS"/>
    <x v="2"/>
    <s v="SEA"/>
    <s v="H"/>
    <n v="2"/>
    <n v="3"/>
    <n v="-1"/>
    <n v="1"/>
    <n v="-8"/>
    <n v="8"/>
    <n v="1372.0139718445485"/>
    <n v="1620.5855435886535"/>
    <n v="0.26125545072759077"/>
    <n v="83"/>
    <n v="101"/>
    <n v="0"/>
    <n v="-18"/>
    <n v="0"/>
    <n v="0.45299847888186051"/>
    <n v="1"/>
    <n v="72.55"/>
    <n v="72.55"/>
    <n v="-8.5861707450804854"/>
    <n v="1363.4278010994681"/>
    <n v="0"/>
    <n v="1"/>
    <n v="0"/>
    <n v="0"/>
    <n v="0"/>
    <n v="0"/>
    <n v="0"/>
    <n v="0"/>
    <n v="0"/>
    <n v="0"/>
  </r>
  <r>
    <d v="2018-07-18T00:00:00"/>
    <n v="2018"/>
    <x v="22"/>
    <s v="R"/>
    <s v="RS"/>
    <x v="3"/>
    <s v="MIN"/>
    <s v="A"/>
    <n v="2"/>
    <n v="2"/>
    <n v="0"/>
    <n v="0"/>
    <n v="0"/>
    <n v="0"/>
    <n v="1297.9125411854739"/>
    <n v="1578.7840993616196"/>
    <n v="0.10906091033655584"/>
    <n v="65"/>
    <n v="89"/>
    <n v="0"/>
    <n v="-24"/>
    <n v="0"/>
    <n v="0.5092387068778208"/>
    <n v="1"/>
    <n v="72.55"/>
    <n v="72.55"/>
    <n v="-4.0292845807736946"/>
    <n v="1293.8832566047001"/>
    <n v="0"/>
    <n v="1"/>
    <n v="0"/>
    <n v="0"/>
    <n v="0"/>
    <n v="0"/>
    <n v="0"/>
    <n v="0"/>
    <n v="0"/>
    <n v="0"/>
  </r>
  <r>
    <d v="2018-07-18T00:00:00"/>
    <n v="2018"/>
    <x v="22"/>
    <s v="R"/>
    <s v="RS"/>
    <x v="9"/>
    <s v="IND"/>
    <s v="H"/>
    <n v="2"/>
    <n v="2"/>
    <n v="0"/>
    <n v="0"/>
    <n v="0"/>
    <n v="0"/>
    <n v="1578.7840993616196"/>
    <n v="1297.9125411854739"/>
    <n v="0.89093908966344415"/>
    <n v="89"/>
    <n v="65"/>
    <n v="0"/>
    <n v="24"/>
    <n v="1"/>
    <n v="0.5092387068778208"/>
    <n v="1"/>
    <n v="72.55"/>
    <n v="72.55"/>
    <n v="4.0292845807736954"/>
    <n v="1582.8133839423933"/>
    <n v="1"/>
    <n v="0"/>
    <n v="0"/>
    <n v="0"/>
    <n v="0"/>
    <n v="0"/>
    <n v="0"/>
    <n v="0"/>
    <n v="0"/>
    <n v="0"/>
  </r>
  <r>
    <d v="2018-07-19T00:00:00"/>
    <n v="2018"/>
    <x v="22"/>
    <s v="R"/>
    <s v="RS"/>
    <x v="4"/>
    <s v="ATL"/>
    <s v="A"/>
    <n v="1"/>
    <n v="1"/>
    <n v="0"/>
    <n v="0"/>
    <n v="0"/>
    <n v="0"/>
    <n v="1424.9039818786337"/>
    <n v="1503.9205153949345"/>
    <n v="0.28122393139547724"/>
    <n v="68"/>
    <n v="82"/>
    <n v="0"/>
    <n v="-14"/>
    <n v="0"/>
    <n v="0.45748409727923517"/>
    <n v="1"/>
    <n v="72.55"/>
    <n v="72.55"/>
    <n v="-9.3339548119332534"/>
    <n v="1415.5700270667005"/>
    <n v="0"/>
    <n v="1"/>
    <n v="0"/>
    <n v="0"/>
    <n v="0"/>
    <n v="0"/>
    <n v="0"/>
    <n v="0"/>
    <n v="0"/>
    <n v="0"/>
  </r>
  <r>
    <d v="2018-07-19T00:00:00"/>
    <n v="2018"/>
    <x v="22"/>
    <s v="R"/>
    <s v="RS"/>
    <x v="7"/>
    <s v="NYL"/>
    <s v="H"/>
    <n v="1"/>
    <n v="1"/>
    <n v="0"/>
    <n v="0"/>
    <n v="0"/>
    <n v="0"/>
    <n v="1503.9205153949345"/>
    <n v="1424.9039818786337"/>
    <n v="0.7187760686045227"/>
    <n v="82"/>
    <n v="68"/>
    <n v="0"/>
    <n v="14"/>
    <n v="1"/>
    <n v="0.45748409727923517"/>
    <n v="1"/>
    <n v="72.55"/>
    <n v="72.55"/>
    <n v="9.3339548119332569"/>
    <n v="1513.2544702068676"/>
    <n v="1"/>
    <n v="0"/>
    <n v="0"/>
    <n v="0"/>
    <n v="0"/>
    <n v="0"/>
    <n v="0"/>
    <n v="0"/>
    <n v="0"/>
    <n v="0"/>
  </r>
  <r>
    <d v="2018-07-19T00:00:00"/>
    <n v="2018"/>
    <x v="22"/>
    <s v="R"/>
    <s v="RS"/>
    <x v="11"/>
    <s v="DAL"/>
    <s v="A"/>
    <n v="3"/>
    <n v="1"/>
    <n v="2"/>
    <n v="-2"/>
    <n v="16"/>
    <n v="-16"/>
    <n v="1517.551306769413"/>
    <n v="1575.2296252813869"/>
    <n v="0.34720241788110939"/>
    <n v="81"/>
    <n v="90"/>
    <n v="0"/>
    <n v="-9"/>
    <n v="0"/>
    <n v="0.38735328852061568"/>
    <n v="1"/>
    <n v="72.55"/>
    <n v="72.55"/>
    <n v="-9.7572493801877904"/>
    <n v="1507.7940573892251"/>
    <n v="0"/>
    <n v="1"/>
    <n v="0"/>
    <n v="0"/>
    <n v="0"/>
    <n v="0"/>
    <n v="0"/>
    <n v="0"/>
    <n v="0"/>
    <n v="0"/>
  </r>
  <r>
    <d v="2018-07-19T00:00:00"/>
    <n v="2018"/>
    <x v="22"/>
    <s v="R"/>
    <s v="RS"/>
    <x v="0"/>
    <s v="WAS"/>
    <s v="H"/>
    <n v="1"/>
    <n v="3"/>
    <n v="-2"/>
    <n v="2"/>
    <n v="-16"/>
    <n v="16"/>
    <n v="1575.2296252813869"/>
    <n v="1517.551306769413"/>
    <n v="0.65279758211889061"/>
    <n v="90"/>
    <n v="81"/>
    <n v="0"/>
    <n v="9"/>
    <n v="1"/>
    <n v="0.38735328852061568"/>
    <n v="1"/>
    <n v="72.55"/>
    <n v="72.55"/>
    <n v="9.7572493801877904"/>
    <n v="1584.9868746615748"/>
    <n v="1"/>
    <n v="0"/>
    <n v="0"/>
    <n v="0"/>
    <n v="0"/>
    <n v="0"/>
    <n v="0"/>
    <n v="0"/>
    <n v="0"/>
    <n v="0"/>
  </r>
  <r>
    <d v="2018-07-19T00:00:00"/>
    <n v="2018"/>
    <x v="23"/>
    <s v="R"/>
    <s v="RS"/>
    <x v="5"/>
    <s v="PHX"/>
    <s v="A"/>
    <n v="3"/>
    <n v="3"/>
    <n v="0"/>
    <n v="0"/>
    <n v="0"/>
    <n v="0"/>
    <n v="1495.2566804051387"/>
    <n v="1571.6271437265054"/>
    <n v="0.2843131182390054"/>
    <n v="85"/>
    <n v="82"/>
    <n v="0"/>
    <n v="3"/>
    <n v="1"/>
    <n v="0.27282065460235755"/>
    <n v="1"/>
    <n v="72.400000000000006"/>
    <n v="72.400000000000006"/>
    <n v="14.136401442638475"/>
    <n v="1509.3930818477772"/>
    <n v="1"/>
    <n v="0"/>
    <n v="0"/>
    <n v="0"/>
    <n v="0"/>
    <n v="0"/>
    <n v="0"/>
    <n v="0"/>
    <n v="0"/>
    <n v="0"/>
  </r>
  <r>
    <d v="2018-07-19T00:00:00"/>
    <n v="2018"/>
    <x v="23"/>
    <s v="R"/>
    <s v="RS"/>
    <x v="1"/>
    <s v="LVA"/>
    <s v="H"/>
    <n v="3"/>
    <n v="3"/>
    <n v="0"/>
    <n v="0"/>
    <n v="0"/>
    <n v="0"/>
    <n v="1571.6271437265054"/>
    <n v="1495.2566804051387"/>
    <n v="0.7156868817609946"/>
    <n v="82"/>
    <n v="85"/>
    <n v="0"/>
    <n v="-3"/>
    <n v="0"/>
    <n v="0.27282065460235755"/>
    <n v="1"/>
    <n v="72.400000000000006"/>
    <n v="72.400000000000006"/>
    <n v="-14.136401442638475"/>
    <n v="1557.4907422838669"/>
    <n v="0"/>
    <n v="1"/>
    <n v="0"/>
    <n v="0"/>
    <n v="0"/>
    <n v="0"/>
    <n v="0"/>
    <n v="0"/>
    <n v="0"/>
    <n v="0"/>
  </r>
  <r>
    <d v="2018-07-20T00:00:00"/>
    <n v="2018"/>
    <x v="23"/>
    <s v="R"/>
    <s v="RS"/>
    <x v="0"/>
    <s v="CHI"/>
    <s v="A"/>
    <n v="0"/>
    <n v="1"/>
    <n v="-1"/>
    <n v="1"/>
    <n v="-8"/>
    <n v="8"/>
    <n v="1584.9868746615748"/>
    <n v="1363.4278010994681"/>
    <n v="0.66813240298490084"/>
    <n v="99"/>
    <n v="114"/>
    <n v="0"/>
    <n v="-15"/>
    <n v="0"/>
    <n v="0.42447594678038075"/>
    <n v="1"/>
    <n v="72.400000000000006"/>
    <n v="72.400000000000006"/>
    <n v="-20.533084125612671"/>
    <n v="1564.4537905359621"/>
    <n v="0"/>
    <n v="1"/>
    <n v="0"/>
    <n v="0"/>
    <n v="0"/>
    <n v="0"/>
    <n v="0"/>
    <n v="0"/>
    <n v="0"/>
    <n v="0"/>
  </r>
  <r>
    <d v="2018-07-20T00:00:00"/>
    <n v="2018"/>
    <x v="23"/>
    <s v="R"/>
    <s v="RS"/>
    <x v="2"/>
    <s v="DAL"/>
    <s v="H"/>
    <n v="1"/>
    <n v="0"/>
    <n v="1"/>
    <n v="-1"/>
    <n v="8"/>
    <n v="-8"/>
    <n v="1363.4278010994681"/>
    <n v="1584.9868746615748"/>
    <n v="0.33186759701509916"/>
    <n v="114"/>
    <n v="99"/>
    <n v="0"/>
    <n v="15"/>
    <n v="1"/>
    <n v="0.42447594678038075"/>
    <n v="1"/>
    <n v="72.400000000000006"/>
    <n v="72.400000000000006"/>
    <n v="20.533084125612671"/>
    <n v="1383.9608852250808"/>
    <n v="1"/>
    <n v="0"/>
    <n v="0"/>
    <n v="0"/>
    <n v="0"/>
    <n v="0"/>
    <n v="0"/>
    <n v="0"/>
    <n v="0"/>
    <n v="0"/>
  </r>
  <r>
    <d v="2018-07-20T00:00:00"/>
    <n v="2018"/>
    <x v="23"/>
    <s v="R"/>
    <s v="RS"/>
    <x v="10"/>
    <s v="CON"/>
    <s v="A"/>
    <n v="1"/>
    <n v="2"/>
    <n v="-1"/>
    <n v="1"/>
    <n v="-8"/>
    <n v="8"/>
    <n v="1629.1717143337339"/>
    <n v="1551.2918781449489"/>
    <n v="0.46820946784300449"/>
    <n v="78"/>
    <n v="65"/>
    <n v="0"/>
    <n v="13"/>
    <n v="1"/>
    <n v="0.44327525228534664"/>
    <n v="1"/>
    <n v="72.400000000000006"/>
    <n v="72.400000000000006"/>
    <n v="17.06682175887121"/>
    <n v="1646.238536092605"/>
    <n v="1"/>
    <n v="0"/>
    <n v="0"/>
    <n v="0"/>
    <n v="0"/>
    <n v="0"/>
    <n v="0"/>
    <n v="0"/>
    <n v="0"/>
    <n v="0"/>
  </r>
  <r>
    <d v="2018-07-20T00:00:00"/>
    <n v="2018"/>
    <x v="23"/>
    <s v="R"/>
    <s v="RS"/>
    <x v="6"/>
    <s v="SEA"/>
    <s v="H"/>
    <n v="2"/>
    <n v="1"/>
    <n v="1"/>
    <n v="-1"/>
    <n v="8"/>
    <n v="-8"/>
    <n v="1551.2918781449489"/>
    <n v="1629.1717143337339"/>
    <n v="0.53179053215699545"/>
    <n v="65"/>
    <n v="78"/>
    <n v="0"/>
    <n v="-13"/>
    <n v="0"/>
    <n v="0.44327525228534664"/>
    <n v="1"/>
    <n v="72.400000000000006"/>
    <n v="72.400000000000006"/>
    <n v="-17.066821758871207"/>
    <n v="1534.2250563860778"/>
    <n v="0"/>
    <n v="1"/>
    <n v="0"/>
    <n v="0"/>
    <n v="0"/>
    <n v="0"/>
    <n v="0"/>
    <n v="0"/>
    <n v="0"/>
    <n v="0"/>
  </r>
  <r>
    <d v="2018-07-20T00:00:00"/>
    <n v="2018"/>
    <x v="23"/>
    <s v="R"/>
    <s v="RS"/>
    <x v="3"/>
    <s v="LAS"/>
    <s v="A"/>
    <n v="1"/>
    <n v="4"/>
    <n v="-3"/>
    <n v="3"/>
    <n v="-16"/>
    <n v="16"/>
    <n v="1293.8832566047001"/>
    <n v="1568.8603441808643"/>
    <n v="9.5293840122591261E-2"/>
    <n v="78"/>
    <n v="76"/>
    <n v="0"/>
    <n v="2"/>
    <n v="1"/>
    <n v="0.21790818832296405"/>
    <n v="1"/>
    <n v="72.400000000000006"/>
    <n v="72.400000000000006"/>
    <n v="14.27314453107827"/>
    <n v="1308.1564011357784"/>
    <n v="1"/>
    <n v="0"/>
    <n v="0"/>
    <n v="0"/>
    <n v="0"/>
    <n v="0"/>
    <n v="0"/>
    <n v="0"/>
    <n v="0"/>
    <n v="0"/>
  </r>
  <r>
    <d v="2018-07-20T00:00:00"/>
    <n v="2018"/>
    <x v="23"/>
    <s v="R"/>
    <s v="RS"/>
    <x v="8"/>
    <s v="IND"/>
    <s v="H"/>
    <n v="4"/>
    <n v="1"/>
    <n v="3"/>
    <n v="-3"/>
    <n v="16"/>
    <n v="-16"/>
    <n v="1568.8603441808643"/>
    <n v="1293.8832566047001"/>
    <n v="0.90470615987740888"/>
    <n v="76"/>
    <n v="78"/>
    <n v="0"/>
    <n v="-2"/>
    <n v="0"/>
    <n v="0.21790818832296405"/>
    <n v="1"/>
    <n v="72.400000000000006"/>
    <n v="72.400000000000006"/>
    <n v="-14.273144531078271"/>
    <n v="1554.587199649786"/>
    <n v="0"/>
    <n v="1"/>
    <n v="0"/>
    <n v="0"/>
    <n v="0"/>
    <n v="0"/>
    <n v="0"/>
    <n v="0"/>
    <n v="0"/>
    <n v="0"/>
  </r>
  <r>
    <d v="2018-07-21T00:00:00"/>
    <n v="2018"/>
    <x v="23"/>
    <s v="R"/>
    <s v="RS"/>
    <x v="11"/>
    <s v="NYL"/>
    <s v="A"/>
    <n v="1"/>
    <n v="1"/>
    <n v="0"/>
    <n v="0"/>
    <n v="0"/>
    <n v="0"/>
    <n v="1507.7940573892251"/>
    <n v="1415.5700270667005"/>
    <n v="0.51183312106462975"/>
    <n v="95"/>
    <n v="78"/>
    <n v="0"/>
    <n v="17"/>
    <n v="1"/>
    <n v="0.49444250215570351"/>
    <n v="1"/>
    <n v="72.400000000000006"/>
    <n v="72.400000000000006"/>
    <n v="17.475220803740971"/>
    <n v="1525.2692781929661"/>
    <n v="1"/>
    <n v="0"/>
    <n v="0"/>
    <n v="0"/>
    <n v="0"/>
    <n v="0"/>
    <n v="0"/>
    <n v="0"/>
    <n v="0"/>
    <n v="0"/>
  </r>
  <r>
    <d v="2018-07-21T00:00:00"/>
    <n v="2018"/>
    <x v="23"/>
    <s v="R"/>
    <s v="RS"/>
    <x v="4"/>
    <s v="WAS"/>
    <s v="H"/>
    <n v="1"/>
    <n v="1"/>
    <n v="0"/>
    <n v="0"/>
    <n v="0"/>
    <n v="0"/>
    <n v="1415.5700270667005"/>
    <n v="1507.7940573892251"/>
    <n v="0.4881668789353702"/>
    <n v="78"/>
    <n v="95"/>
    <n v="0"/>
    <n v="-17"/>
    <n v="0"/>
    <n v="0.49444250215570351"/>
    <n v="1"/>
    <n v="72.400000000000006"/>
    <n v="72.400000000000006"/>
    <n v="-17.475220803740967"/>
    <n v="1398.0948062629595"/>
    <n v="0"/>
    <n v="1"/>
    <n v="0"/>
    <n v="0"/>
    <n v="0"/>
    <n v="0"/>
    <n v="0"/>
    <n v="0"/>
    <n v="0"/>
    <n v="0"/>
  </r>
  <r>
    <d v="2018-07-21T00:00:00"/>
    <n v="2018"/>
    <x v="23"/>
    <s v="R"/>
    <s v="RS"/>
    <x v="9"/>
    <s v="PHX"/>
    <s v="A"/>
    <n v="2"/>
    <n v="1"/>
    <n v="1"/>
    <n v="-1"/>
    <n v="8"/>
    <n v="-8"/>
    <n v="1582.8133839423933"/>
    <n v="1557.4907422838669"/>
    <n v="0.43888939165476298"/>
    <n v="80"/>
    <n v="75"/>
    <n v="0"/>
    <n v="5"/>
    <n v="1"/>
    <n v="0.32489987291399614"/>
    <n v="1"/>
    <n v="72.400000000000006"/>
    <n v="72.400000000000006"/>
    <n v="13.198865010765333"/>
    <n v="1596.0122489531586"/>
    <n v="1"/>
    <n v="0"/>
    <n v="0"/>
    <n v="0"/>
    <n v="0"/>
    <n v="0"/>
    <n v="0"/>
    <n v="0"/>
    <n v="0"/>
    <n v="0"/>
  </r>
  <r>
    <d v="2018-07-21T00:00:00"/>
    <n v="2018"/>
    <x v="24"/>
    <s v="R"/>
    <s v="RS"/>
    <x v="1"/>
    <s v="MIN"/>
    <s v="H"/>
    <n v="1"/>
    <n v="2"/>
    <n v="-1"/>
    <n v="1"/>
    <n v="-8"/>
    <n v="8"/>
    <n v="1557.4907422838669"/>
    <n v="1582.8133839423933"/>
    <n v="0.56111060834523696"/>
    <n v="75"/>
    <n v="80"/>
    <n v="0"/>
    <n v="-5"/>
    <n v="0"/>
    <n v="0.32489987291399614"/>
    <n v="1"/>
    <n v="72.25"/>
    <n v="72.25"/>
    <n v="-13.171519295964019"/>
    <n v="1544.3192229879028"/>
    <n v="0"/>
    <n v="1"/>
    <n v="0"/>
    <n v="0"/>
    <n v="0"/>
    <n v="0"/>
    <n v="0"/>
    <n v="0"/>
    <n v="0"/>
    <n v="0"/>
  </r>
  <r>
    <d v="2018-07-22T00:00:00"/>
    <n v="2018"/>
    <x v="24"/>
    <s v="R"/>
    <s v="RS"/>
    <x v="10"/>
    <s v="ATL"/>
    <s v="A"/>
    <n v="1"/>
    <n v="2"/>
    <n v="-1"/>
    <n v="1"/>
    <n v="-8"/>
    <n v="8"/>
    <n v="1646.238536092605"/>
    <n v="1513.2544702068676"/>
    <n v="0.54732579254815361"/>
    <n v="74"/>
    <n v="87"/>
    <n v="0"/>
    <n v="-13"/>
    <n v="0"/>
    <n v="0.42495069616645892"/>
    <n v="1"/>
    <n v="72.25"/>
    <n v="72.25"/>
    <n v="-16.804372932413465"/>
    <n v="1629.4341631601915"/>
    <n v="0"/>
    <n v="1"/>
    <n v="0"/>
    <n v="0"/>
    <n v="0"/>
    <n v="0"/>
    <n v="0"/>
    <n v="0"/>
    <n v="0"/>
    <n v="0"/>
  </r>
  <r>
    <d v="2018-07-22T00:00:00"/>
    <n v="2018"/>
    <x v="23"/>
    <s v="R"/>
    <s v="RS"/>
    <x v="7"/>
    <s v="SEA"/>
    <s v="H"/>
    <n v="2"/>
    <n v="1"/>
    <n v="1"/>
    <n v="-1"/>
    <n v="8"/>
    <n v="-8"/>
    <n v="1513.2544702068676"/>
    <n v="1646.238536092605"/>
    <n v="0.45267420745184633"/>
    <n v="87"/>
    <n v="74"/>
    <n v="0"/>
    <n v="13"/>
    <n v="1"/>
    <n v="0.42495069616645892"/>
    <n v="1"/>
    <n v="72.400000000000006"/>
    <n v="72.400000000000006"/>
    <n v="16.839260903899447"/>
    <n v="1530.0937311107671"/>
    <n v="1"/>
    <n v="0"/>
    <n v="0"/>
    <n v="0"/>
    <n v="0"/>
    <n v="0"/>
    <n v="0"/>
    <n v="0"/>
    <n v="0"/>
    <n v="0"/>
  </r>
  <r>
    <d v="2018-07-22T00:00:00"/>
    <n v="2018"/>
    <x v="24"/>
    <s v="R"/>
    <s v="RS"/>
    <x v="8"/>
    <s v="CHI"/>
    <s v="A"/>
    <n v="1"/>
    <n v="1"/>
    <n v="0"/>
    <n v="0"/>
    <n v="0"/>
    <n v="0"/>
    <n v="1554.587199649786"/>
    <n v="1383.9608852250808"/>
    <n v="0.62214464508455991"/>
    <n v="93"/>
    <n v="76"/>
    <n v="0"/>
    <n v="17"/>
    <n v="1"/>
    <n v="0.4661595039976858"/>
    <n v="1"/>
    <n v="72.25"/>
    <n v="72.25"/>
    <n v="12.726177483985641"/>
    <n v="1567.3133771337716"/>
    <n v="1"/>
    <n v="0"/>
    <n v="0"/>
    <n v="0"/>
    <n v="0"/>
    <n v="0"/>
    <n v="0"/>
    <n v="0"/>
    <n v="0"/>
    <n v="0"/>
  </r>
  <r>
    <d v="2018-07-22T00:00:00"/>
    <n v="2018"/>
    <x v="24"/>
    <s v="R"/>
    <s v="RS"/>
    <x v="2"/>
    <s v="LAS"/>
    <s v="H"/>
    <n v="1"/>
    <n v="1"/>
    <n v="0"/>
    <n v="0"/>
    <n v="0"/>
    <n v="0"/>
    <n v="1383.9608852250808"/>
    <n v="1554.587199649786"/>
    <n v="0.37785535491544009"/>
    <n v="76"/>
    <n v="93"/>
    <n v="0"/>
    <n v="-17"/>
    <n v="0"/>
    <n v="0.4661595039976858"/>
    <n v="1"/>
    <n v="72.25"/>
    <n v="72.25"/>
    <n v="-12.726177483985641"/>
    <n v="1371.2347077410952"/>
    <n v="0"/>
    <n v="1"/>
    <n v="0"/>
    <n v="0"/>
    <n v="0"/>
    <n v="0"/>
    <n v="0"/>
    <n v="0"/>
    <n v="0"/>
    <n v="0"/>
  </r>
  <r>
    <d v="2018-07-22T00:00:00"/>
    <n v="2018"/>
    <x v="24"/>
    <s v="R"/>
    <s v="RS"/>
    <x v="6"/>
    <s v="DAL"/>
    <s v="A"/>
    <n v="1"/>
    <n v="1"/>
    <n v="0"/>
    <n v="0"/>
    <n v="0"/>
    <n v="0"/>
    <n v="1534.2250563860778"/>
    <n v="1564.4537905359621"/>
    <n v="0.34128940876707609"/>
    <n v="92"/>
    <n v="75"/>
    <n v="0"/>
    <n v="17"/>
    <n v="1"/>
    <n v="0.51935909572126204"/>
    <n v="1"/>
    <n v="72.25"/>
    <n v="72.25"/>
    <n v="24.717255098593132"/>
    <n v="1558.9423114846709"/>
    <n v="1"/>
    <n v="0"/>
    <n v="0"/>
    <n v="0"/>
    <n v="0"/>
    <n v="0"/>
    <n v="0"/>
    <n v="0"/>
    <n v="0"/>
    <n v="0"/>
  </r>
  <r>
    <d v="2018-07-22T00:00:00"/>
    <n v="2018"/>
    <x v="24"/>
    <s v="R"/>
    <s v="RS"/>
    <x v="0"/>
    <s v="CON"/>
    <s v="H"/>
    <n v="1"/>
    <n v="1"/>
    <n v="0"/>
    <n v="0"/>
    <n v="0"/>
    <n v="0"/>
    <n v="1564.4537905359621"/>
    <n v="1534.2250563860778"/>
    <n v="0.65871059123292386"/>
    <n v="75"/>
    <n v="92"/>
    <n v="0"/>
    <n v="-17"/>
    <n v="0"/>
    <n v="0.51935909572126204"/>
    <n v="1"/>
    <n v="72.25"/>
    <n v="72.25"/>
    <n v="-24.717255098593132"/>
    <n v="1539.736535437369"/>
    <n v="0"/>
    <n v="1"/>
    <n v="0"/>
    <n v="0"/>
    <n v="0"/>
    <n v="0"/>
    <n v="0"/>
    <n v="0"/>
    <n v="0"/>
    <n v="0"/>
  </r>
  <r>
    <d v="2018-07-22T00:00:00"/>
    <n v="2018"/>
    <x v="24"/>
    <s v="R"/>
    <s v="RS"/>
    <x v="3"/>
    <s v="LVA"/>
    <s v="A"/>
    <n v="1"/>
    <n v="2"/>
    <n v="-1"/>
    <n v="1"/>
    <n v="-8"/>
    <n v="8"/>
    <n v="1308.1564011357784"/>
    <n v="1509.3930818477772"/>
    <n v="0.15006928764892266"/>
    <n v="74"/>
    <n v="88"/>
    <n v="0"/>
    <n v="-14"/>
    <n v="0"/>
    <n v="0.41758093568004823"/>
    <n v="1"/>
    <n v="72.25"/>
    <n v="72.25"/>
    <n v="-4.5276238142241496"/>
    <n v="1303.6287773215543"/>
    <n v="0"/>
    <n v="1"/>
    <n v="0"/>
    <n v="0"/>
    <n v="0"/>
    <n v="0"/>
    <n v="0"/>
    <n v="0"/>
    <n v="0"/>
    <n v="0"/>
  </r>
  <r>
    <d v="2018-07-22T00:00:00"/>
    <n v="2018"/>
    <x v="24"/>
    <s v="R"/>
    <s v="RS"/>
    <x v="5"/>
    <s v="IND"/>
    <s v="H"/>
    <n v="2"/>
    <n v="1"/>
    <n v="1"/>
    <n v="-1"/>
    <n v="8"/>
    <n v="-8"/>
    <n v="1509.3930818477772"/>
    <n v="1308.1564011357784"/>
    <n v="0.84993071235107731"/>
    <n v="88"/>
    <n v="74"/>
    <n v="0"/>
    <n v="14"/>
    <n v="1"/>
    <n v="0.41758093568004823"/>
    <n v="1"/>
    <n v="72.25"/>
    <n v="72.25"/>
    <n v="4.5276238142241505"/>
    <n v="1513.9207056620014"/>
    <n v="1"/>
    <n v="0"/>
    <n v="0"/>
    <n v="0"/>
    <n v="0"/>
    <n v="0"/>
    <n v="0"/>
    <n v="0"/>
    <n v="0"/>
    <n v="0"/>
  </r>
  <r>
    <d v="2018-07-24T00:00:00"/>
    <n v="2018"/>
    <x v="24"/>
    <s v="R"/>
    <s v="RS"/>
    <x v="11"/>
    <s v="CON"/>
    <s v="A"/>
    <n v="2"/>
    <n v="1"/>
    <n v="1"/>
    <n v="-1"/>
    <n v="8"/>
    <n v="-8"/>
    <n v="1525.2692781929661"/>
    <n v="1558.9423114846709"/>
    <n v="0.35771925585636882"/>
    <n v="68"/>
    <n v="94"/>
    <n v="0"/>
    <n v="-26"/>
    <n v="0"/>
    <n v="0.6362341037202609"/>
    <n v="1"/>
    <n v="72.25"/>
    <n v="72.25"/>
    <n v="-16.443607987127709"/>
    <n v="1508.8256702058384"/>
    <n v="0"/>
    <n v="1"/>
    <n v="0"/>
    <n v="0"/>
    <n v="0"/>
    <n v="0"/>
    <n v="0"/>
    <n v="0"/>
    <n v="0"/>
    <n v="0"/>
  </r>
  <r>
    <d v="2018-07-24T00:00:00"/>
    <n v="2018"/>
    <x v="25"/>
    <s v="R"/>
    <s v="RS"/>
    <x v="6"/>
    <s v="WAS"/>
    <s v="H"/>
    <n v="1"/>
    <n v="2"/>
    <n v="-1"/>
    <n v="1"/>
    <n v="-8"/>
    <n v="8"/>
    <n v="1558.9423114846709"/>
    <n v="1525.2692781929661"/>
    <n v="0.64228074414363123"/>
    <n v="94"/>
    <n v="68"/>
    <n v="0"/>
    <n v="26"/>
    <n v="1"/>
    <n v="0.6362341037202609"/>
    <n v="1"/>
    <n v="72.099999999999994"/>
    <n v="72.099999999999994"/>
    <n v="16.409469008607719"/>
    <n v="1575.3517804932785"/>
    <n v="1"/>
    <n v="0"/>
    <n v="0"/>
    <n v="0"/>
    <n v="0"/>
    <n v="0"/>
    <n v="0"/>
    <n v="0"/>
    <n v="0"/>
    <n v="0"/>
  </r>
  <r>
    <d v="2018-07-24T00:00:00"/>
    <n v="2018"/>
    <x v="25"/>
    <s v="R"/>
    <s v="RS"/>
    <x v="10"/>
    <s v="IND"/>
    <s v="A"/>
    <n v="1"/>
    <n v="1"/>
    <n v="0"/>
    <n v="0"/>
    <n v="0"/>
    <n v="0"/>
    <n v="1629.4341631601915"/>
    <n v="1303.6287773215543"/>
    <n v="0.80090236123482395"/>
    <n v="92"/>
    <n v="72"/>
    <n v="0"/>
    <n v="20"/>
    <n v="1"/>
    <n v="0.45213160022464655"/>
    <n v="1"/>
    <n v="72.099999999999994"/>
    <n v="72.099999999999994"/>
    <n v="6.4903218825426157"/>
    <n v="1635.924485042734"/>
    <n v="1"/>
    <n v="0"/>
    <n v="0"/>
    <n v="0"/>
    <n v="0"/>
    <n v="0"/>
    <n v="0"/>
    <n v="0"/>
    <n v="0"/>
    <n v="0"/>
  </r>
  <r>
    <d v="2018-07-24T00:00:00"/>
    <n v="2018"/>
    <x v="25"/>
    <s v="R"/>
    <s v="RS"/>
    <x v="3"/>
    <s v="SEA"/>
    <s v="H"/>
    <n v="1"/>
    <n v="1"/>
    <n v="0"/>
    <n v="0"/>
    <n v="0"/>
    <n v="0"/>
    <n v="1303.6287773215543"/>
    <n v="1629.4341631601915"/>
    <n v="0.199097638765176"/>
    <n v="72"/>
    <n v="92"/>
    <n v="0"/>
    <n v="-20"/>
    <n v="0"/>
    <n v="0.45213160022464655"/>
    <n v="1"/>
    <n v="72.099999999999994"/>
    <n v="72.099999999999994"/>
    <n v="-6.4903218825426139"/>
    <n v="1297.1384554390118"/>
    <n v="0"/>
    <n v="1"/>
    <n v="0"/>
    <n v="0"/>
    <n v="0"/>
    <n v="0"/>
    <n v="0"/>
    <n v="0"/>
    <n v="0"/>
    <n v="0"/>
  </r>
  <r>
    <d v="2018-07-24T00:00:00"/>
    <n v="2018"/>
    <x v="24"/>
    <s v="R"/>
    <s v="RS"/>
    <x v="7"/>
    <s v="LAS"/>
    <s v="A"/>
    <n v="1"/>
    <n v="1"/>
    <n v="0"/>
    <n v="0"/>
    <n v="0"/>
    <n v="0"/>
    <n v="1530.0937311107671"/>
    <n v="1567.3133771337716"/>
    <n v="0.33230098085704785"/>
    <n v="81"/>
    <n v="71"/>
    <n v="0"/>
    <n v="10"/>
    <n v="1"/>
    <n v="0.41040056293229898"/>
    <n v="1"/>
    <n v="72.25"/>
    <n v="72.25"/>
    <n v="19.798237852775426"/>
    <n v="1549.8919689635425"/>
    <n v="1"/>
    <n v="0"/>
    <n v="0"/>
    <n v="0"/>
    <n v="0"/>
    <n v="0"/>
    <n v="0"/>
    <n v="0"/>
    <n v="0"/>
    <n v="0"/>
  </r>
  <r>
    <d v="2018-07-24T00:00:00"/>
    <n v="2018"/>
    <x v="25"/>
    <s v="R"/>
    <s v="RS"/>
    <x v="8"/>
    <s v="ATL"/>
    <s v="H"/>
    <n v="1"/>
    <n v="1"/>
    <n v="0"/>
    <n v="0"/>
    <n v="0"/>
    <n v="0"/>
    <n v="1567.3133771337716"/>
    <n v="1530.0937311107671"/>
    <n v="0.66769901914295204"/>
    <n v="71"/>
    <n v="81"/>
    <n v="0"/>
    <n v="-10"/>
    <n v="0"/>
    <n v="0.41040056293229898"/>
    <n v="1"/>
    <n v="72.099999999999994"/>
    <n v="72.099999999999994"/>
    <n v="-19.75713424477658"/>
    <n v="1547.556242888995"/>
    <n v="0"/>
    <n v="1"/>
    <n v="0"/>
    <n v="0"/>
    <n v="0"/>
    <n v="0"/>
    <n v="0"/>
    <n v="0"/>
    <n v="0"/>
    <n v="0"/>
  </r>
  <r>
    <d v="2018-07-24T00:00:00"/>
    <n v="2018"/>
    <x v="24"/>
    <s v="R"/>
    <s v="RS"/>
    <x v="4"/>
    <s v="MIN"/>
    <s v="A"/>
    <n v="2"/>
    <n v="2"/>
    <n v="0"/>
    <n v="0"/>
    <n v="0"/>
    <n v="0"/>
    <n v="1398.0948062629595"/>
    <n v="1596.0122489531586"/>
    <n v="0.16481257349707085"/>
    <n v="82"/>
    <n v="85"/>
    <n v="0"/>
    <n v="-3"/>
    <n v="0"/>
    <n v="0.24909927774298529"/>
    <n v="1"/>
    <n v="72.25"/>
    <n v="72.25"/>
    <n v="-2.9662015707732485"/>
    <n v="1395.1286046921864"/>
    <n v="0"/>
    <n v="1"/>
    <n v="0"/>
    <n v="0"/>
    <n v="0"/>
    <n v="0"/>
    <n v="0"/>
    <n v="0"/>
    <n v="0"/>
    <n v="0"/>
  </r>
  <r>
    <d v="2018-07-24T00:00:00"/>
    <n v="2018"/>
    <x v="24"/>
    <s v="R"/>
    <s v="RS"/>
    <x v="9"/>
    <s v="NYL"/>
    <s v="H"/>
    <n v="2"/>
    <n v="2"/>
    <n v="0"/>
    <n v="0"/>
    <n v="0"/>
    <n v="0"/>
    <n v="1596.0122489531586"/>
    <n v="1398.0948062629595"/>
    <n v="0.8351874265029291"/>
    <n v="85"/>
    <n v="82"/>
    <n v="0"/>
    <n v="3"/>
    <n v="1"/>
    <n v="0.24909927774298529"/>
    <n v="1"/>
    <n v="72.25"/>
    <n v="72.25"/>
    <n v="2.9662015707732499"/>
    <n v="1598.9784505239318"/>
    <n v="1"/>
    <n v="0"/>
    <n v="0"/>
    <n v="0"/>
    <n v="0"/>
    <n v="0"/>
    <n v="0"/>
    <n v="0"/>
    <n v="0"/>
    <n v="0"/>
  </r>
  <r>
    <d v="2018-07-25T00:00:00"/>
    <n v="2018"/>
    <x v="25"/>
    <s v="R"/>
    <s v="RS"/>
    <x v="2"/>
    <s v="PHX"/>
    <s v="A"/>
    <n v="2"/>
    <n v="3"/>
    <n v="-1"/>
    <n v="1"/>
    <n v="-8"/>
    <n v="8"/>
    <n v="1371.2347077410952"/>
    <n v="1544.3192229879028"/>
    <n v="0.17193134395003715"/>
    <n v="101"/>
    <n v="87"/>
    <n v="0"/>
    <n v="14"/>
    <n v="1"/>
    <n v="0.42614254093146359"/>
    <n v="1"/>
    <n v="72.099999999999994"/>
    <n v="72.099999999999994"/>
    <n v="25.442307771263483"/>
    <n v="1396.6770155123588"/>
    <n v="1"/>
    <n v="0"/>
    <n v="0"/>
    <n v="0"/>
    <n v="0"/>
    <n v="0"/>
    <n v="0"/>
    <n v="0"/>
    <n v="0"/>
    <n v="0"/>
  </r>
  <r>
    <d v="2018-07-25T00:00:00"/>
    <n v="2018"/>
    <x v="25"/>
    <s v="R"/>
    <s v="RS"/>
    <x v="1"/>
    <s v="CHI"/>
    <s v="H"/>
    <n v="3"/>
    <n v="2"/>
    <n v="1"/>
    <n v="-1"/>
    <n v="8"/>
    <n v="-8"/>
    <n v="1544.3192229879028"/>
    <n v="1371.2347077410952"/>
    <n v="0.82806865604996283"/>
    <n v="87"/>
    <n v="101"/>
    <n v="0"/>
    <n v="-14"/>
    <n v="0"/>
    <n v="0.42614254093146359"/>
    <n v="1"/>
    <n v="72.099999999999994"/>
    <n v="72.099999999999994"/>
    <n v="-25.442307771263483"/>
    <n v="1518.8769152166392"/>
    <n v="0"/>
    <n v="1"/>
    <n v="0"/>
    <n v="0"/>
    <n v="0"/>
    <n v="0"/>
    <n v="0"/>
    <n v="0"/>
    <n v="0"/>
    <n v="0"/>
  </r>
  <r>
    <d v="2018-07-31T00:00:00"/>
    <n v="2018"/>
    <x v="25"/>
    <s v="R"/>
    <s v="RS"/>
    <x v="11"/>
    <s v="ATL"/>
    <s v="A"/>
    <n v="6"/>
    <n v="6"/>
    <n v="0"/>
    <n v="0"/>
    <n v="0"/>
    <n v="0"/>
    <n v="1508.8256702058384"/>
    <n v="1549.8919689635425"/>
    <n v="0.32740630825090311"/>
    <n v="86"/>
    <n v="71"/>
    <n v="0"/>
    <n v="15"/>
    <n v="1"/>
    <n v="0.48620902385193415"/>
    <n v="1"/>
    <n v="72.099999999999994"/>
    <n v="72.099999999999994"/>
    <n v="23.578222918860821"/>
    <n v="1532.4038931246992"/>
    <n v="1"/>
    <n v="0"/>
    <n v="0"/>
    <n v="0"/>
    <n v="0"/>
    <n v="0"/>
    <n v="0"/>
    <n v="0"/>
    <n v="0"/>
    <n v="0"/>
  </r>
  <r>
    <d v="2018-07-31T00:00:00"/>
    <n v="2018"/>
    <x v="25"/>
    <s v="R"/>
    <s v="RS"/>
    <x v="7"/>
    <s v="WAS"/>
    <s v="H"/>
    <n v="6"/>
    <n v="6"/>
    <n v="0"/>
    <n v="0"/>
    <n v="0"/>
    <n v="0"/>
    <n v="1549.8919689635425"/>
    <n v="1508.8256702058384"/>
    <n v="0.67259369174909689"/>
    <n v="71"/>
    <n v="86"/>
    <n v="0"/>
    <n v="-15"/>
    <n v="0"/>
    <n v="0.48620902385193415"/>
    <n v="1"/>
    <n v="72.099999999999994"/>
    <n v="72.099999999999994"/>
    <n v="-23.578222918860821"/>
    <n v="1526.3137460446817"/>
    <n v="0"/>
    <n v="1"/>
    <n v="0"/>
    <n v="0"/>
    <n v="0"/>
    <n v="0"/>
    <n v="0"/>
    <n v="0"/>
    <n v="0"/>
    <n v="0"/>
  </r>
  <r>
    <d v="2018-07-31T00:00:00"/>
    <n v="2018"/>
    <x v="26"/>
    <s v="R"/>
    <s v="RS"/>
    <x v="2"/>
    <s v="DAL"/>
    <s v="A"/>
    <n v="5"/>
    <n v="8"/>
    <n v="-3"/>
    <n v="3"/>
    <n v="-16"/>
    <n v="16"/>
    <n v="1396.6770155123588"/>
    <n v="1539.736535437369"/>
    <n v="0.18373171300288887"/>
    <n v="92"/>
    <n v="91"/>
    <n v="0"/>
    <n v="1"/>
    <n v="1"/>
    <n v="0.2181702305901623"/>
    <n v="1"/>
    <n v="71.95"/>
    <n v="71.95"/>
    <n v="12.813247436607071"/>
    <n v="1409.4902629489659"/>
    <n v="1"/>
    <n v="0"/>
    <n v="0"/>
    <n v="0"/>
    <n v="0"/>
    <n v="0"/>
    <n v="0"/>
    <n v="0"/>
    <n v="0"/>
    <n v="0"/>
  </r>
  <r>
    <d v="2018-07-31T00:00:00"/>
    <n v="2018"/>
    <x v="25"/>
    <s v="R"/>
    <s v="RS"/>
    <x v="0"/>
    <s v="CHI"/>
    <s v="H"/>
    <n v="8"/>
    <n v="5"/>
    <n v="3"/>
    <n v="-3"/>
    <n v="16"/>
    <n v="-16"/>
    <n v="1539.736535437369"/>
    <n v="1396.6770155123588"/>
    <n v="0.81626828699711107"/>
    <n v="91"/>
    <n v="92"/>
    <n v="0"/>
    <n v="-1"/>
    <n v="0"/>
    <n v="0.2181702305901623"/>
    <n v="1"/>
    <n v="72.099999999999994"/>
    <n v="72.099999999999994"/>
    <n v="-12.839960252666707"/>
    <n v="1526.8965751847022"/>
    <n v="0"/>
    <n v="1"/>
    <n v="0"/>
    <n v="0"/>
    <n v="0"/>
    <n v="0"/>
    <n v="0"/>
    <n v="0"/>
    <n v="0"/>
    <n v="0"/>
  </r>
  <r>
    <d v="2018-07-31T00:00:00"/>
    <n v="2018"/>
    <x v="26"/>
    <s v="R"/>
    <s v="RS"/>
    <x v="10"/>
    <s v="PHX"/>
    <s v="A"/>
    <n v="6"/>
    <n v="5"/>
    <n v="1"/>
    <n v="-1"/>
    <n v="8"/>
    <n v="-8"/>
    <n v="1635.924485042734"/>
    <n v="1518.8769152166392"/>
    <n v="0.57011993696680885"/>
    <n v="102"/>
    <n v="91"/>
    <n v="0"/>
    <n v="11"/>
    <n v="1"/>
    <n v="0.40074722918235195"/>
    <n v="1"/>
    <n v="71.95"/>
    <n v="71.95"/>
    <n v="12.39505991596554"/>
    <n v="1648.3195449586995"/>
    <n v="1"/>
    <n v="0"/>
    <n v="0"/>
    <n v="0"/>
    <n v="0"/>
    <n v="0"/>
    <n v="0"/>
    <n v="0"/>
    <n v="0"/>
    <n v="0"/>
  </r>
  <r>
    <d v="2018-07-31T00:00:00"/>
    <n v="2018"/>
    <x v="26"/>
    <s v="R"/>
    <s v="RS"/>
    <x v="1"/>
    <s v="SEA"/>
    <s v="H"/>
    <n v="5"/>
    <n v="6"/>
    <n v="-1"/>
    <n v="1"/>
    <n v="-8"/>
    <n v="8"/>
    <n v="1518.8769152166392"/>
    <n v="1635.924485042734"/>
    <n v="0.42988006303319115"/>
    <n v="91"/>
    <n v="102"/>
    <n v="0"/>
    <n v="-11"/>
    <n v="0"/>
    <n v="0.40074722918235195"/>
    <n v="1"/>
    <n v="71.95"/>
    <n v="71.95"/>
    <n v="-12.39505991596554"/>
    <n v="1506.4818553006737"/>
    <n v="0"/>
    <n v="1"/>
    <n v="0"/>
    <n v="0"/>
    <n v="0"/>
    <n v="0"/>
    <n v="0"/>
    <n v="0"/>
    <n v="0"/>
    <n v="0"/>
  </r>
  <r>
    <d v="2018-08-01T00:00:00"/>
    <n v="2018"/>
    <x v="25"/>
    <s v="R"/>
    <s v="RS"/>
    <x v="4"/>
    <s v="CON"/>
    <s v="A"/>
    <n v="7"/>
    <n v="7"/>
    <n v="0"/>
    <n v="0"/>
    <n v="0"/>
    <n v="0"/>
    <n v="1395.1286046921864"/>
    <n v="1575.3517804932785"/>
    <n v="0.17931565590482795"/>
    <n v="77"/>
    <n v="92"/>
    <n v="0"/>
    <n v="-15"/>
    <n v="0"/>
    <n v="0.43718845200834133"/>
    <n v="1"/>
    <n v="72.099999999999994"/>
    <n v="72.099999999999994"/>
    <n v="-5.6522603232668214"/>
    <n v="1389.4763443689196"/>
    <n v="0"/>
    <n v="1"/>
    <n v="0"/>
    <n v="0"/>
    <n v="0"/>
    <n v="0"/>
    <n v="0"/>
    <n v="0"/>
    <n v="0"/>
    <n v="0"/>
  </r>
  <r>
    <d v="2018-08-01T00:00:00"/>
    <n v="2018"/>
    <x v="26"/>
    <s v="R"/>
    <s v="RS"/>
    <x v="6"/>
    <s v="NYL"/>
    <s v="H"/>
    <n v="7"/>
    <n v="7"/>
    <n v="0"/>
    <n v="0"/>
    <n v="0"/>
    <n v="0"/>
    <n v="1575.3517804932785"/>
    <n v="1395.1286046921864"/>
    <n v="0.8206843440951721"/>
    <n v="92"/>
    <n v="77"/>
    <n v="0"/>
    <n v="15"/>
    <n v="1"/>
    <n v="0.43718845200834133"/>
    <n v="1"/>
    <n v="71.95"/>
    <n v="71.95"/>
    <n v="5.6405011131629372"/>
    <n v="1580.9922816064413"/>
    <n v="1"/>
    <n v="0"/>
    <n v="0"/>
    <n v="0"/>
    <n v="0"/>
    <n v="0"/>
    <n v="0"/>
    <n v="0"/>
    <n v="0"/>
    <n v="0"/>
  </r>
  <r>
    <d v="2018-08-01T00:00:00"/>
    <n v="2018"/>
    <x v="27"/>
    <s v="R"/>
    <s v="RS"/>
    <x v="1"/>
    <s v="LVA"/>
    <s v="A"/>
    <n v="0"/>
    <n v="9"/>
    <n v="-9"/>
    <n v="9"/>
    <n v="-16"/>
    <n v="16"/>
    <n v="1506.4818553006737"/>
    <n v="1513.9207056620014"/>
    <n v="0.32947265100602269"/>
    <n v="104"/>
    <n v="93"/>
    <n v="0"/>
    <n v="11"/>
    <n v="1"/>
    <n v="0.43712620655796514"/>
    <n v="1"/>
    <n v="71.8"/>
    <n v="71.8"/>
    <n v="21.044944489763822"/>
    <n v="1527.5267997904375"/>
    <n v="1"/>
    <n v="0"/>
    <n v="0"/>
    <n v="0"/>
    <n v="0"/>
    <n v="0"/>
    <n v="0"/>
    <n v="0"/>
    <n v="0"/>
    <n v="0"/>
  </r>
  <r>
    <d v="2018-08-01T00:00:00"/>
    <n v="2018"/>
    <x v="25"/>
    <s v="R"/>
    <s v="RS"/>
    <x v="5"/>
    <s v="PHX"/>
    <s v="H"/>
    <n v="9"/>
    <n v="0"/>
    <n v="9"/>
    <n v="-9"/>
    <n v="16"/>
    <n v="-16"/>
    <n v="1513.9207056620014"/>
    <n v="1506.4818553006737"/>
    <n v="0.67052734899397737"/>
    <n v="93"/>
    <n v="104"/>
    <n v="0"/>
    <n v="-11"/>
    <n v="0"/>
    <n v="0.43712620655796514"/>
    <n v="1"/>
    <n v="72.099999999999994"/>
    <n v="72.099999999999994"/>
    <n v="-21.132876012701548"/>
    <n v="1492.7878296493"/>
    <n v="0"/>
    <n v="1"/>
    <n v="0"/>
    <n v="0"/>
    <n v="0"/>
    <n v="0"/>
    <n v="0"/>
    <n v="0"/>
    <n v="0"/>
    <n v="0"/>
  </r>
  <r>
    <d v="2018-08-02T00:00:00"/>
    <n v="2018"/>
    <x v="26"/>
    <s v="R"/>
    <s v="RS"/>
    <x v="0"/>
    <s v="IND"/>
    <s v="A"/>
    <n v="1"/>
    <n v="8"/>
    <n v="-7"/>
    <n v="7"/>
    <n v="-16"/>
    <n v="16"/>
    <n v="1526.8965751847022"/>
    <n v="1297.1384554390118"/>
    <n v="0.65810130007796419"/>
    <n v="78"/>
    <n v="84"/>
    <n v="0"/>
    <n v="-6"/>
    <n v="0"/>
    <n v="0.29483092803429456"/>
    <n v="1"/>
    <n v="71.95"/>
    <n v="71.95"/>
    <n v="-13.960358996212333"/>
    <n v="1512.9362161884899"/>
    <n v="0"/>
    <n v="1"/>
    <n v="0"/>
    <n v="0"/>
    <n v="0"/>
    <n v="0"/>
    <n v="0"/>
    <n v="0"/>
    <n v="0"/>
    <n v="0"/>
  </r>
  <r>
    <d v="2018-08-02T00:00:00"/>
    <n v="2018"/>
    <x v="26"/>
    <s v="R"/>
    <s v="RS"/>
    <x v="3"/>
    <s v="DAL"/>
    <s v="H"/>
    <n v="8"/>
    <n v="1"/>
    <n v="7"/>
    <n v="-7"/>
    <n v="16"/>
    <n v="-16"/>
    <n v="1297.1384554390118"/>
    <n v="1526.8965751847022"/>
    <n v="0.34189869992203575"/>
    <n v="84"/>
    <n v="78"/>
    <n v="0"/>
    <n v="6"/>
    <n v="1"/>
    <n v="0.29483092803429456"/>
    <n v="1"/>
    <n v="71.95"/>
    <n v="71.95"/>
    <n v="13.960358996212335"/>
    <n v="1311.0988144352241"/>
    <n v="1"/>
    <n v="0"/>
    <n v="0"/>
    <n v="0"/>
    <n v="0"/>
    <n v="0"/>
    <n v="0"/>
    <n v="0"/>
    <n v="0"/>
    <n v="0"/>
  </r>
  <r>
    <d v="2018-08-02T00:00:00"/>
    <n v="2018"/>
    <x v="25"/>
    <s v="R"/>
    <s v="RS"/>
    <x v="9"/>
    <s v="LAS"/>
    <s v="A"/>
    <n v="8"/>
    <n v="8"/>
    <n v="0"/>
    <n v="0"/>
    <n v="0"/>
    <n v="0"/>
    <n v="1598.9784505239318"/>
    <n v="1547.556242888995"/>
    <n v="0.45325370786807451"/>
    <n v="57"/>
    <n v="79"/>
    <n v="0"/>
    <n v="-22"/>
    <n v="0"/>
    <n v="0.57731707266854326"/>
    <n v="1"/>
    <n v="72.099999999999994"/>
    <n v="72.099999999999994"/>
    <n v="-18.866486584164566"/>
    <n v="1580.1119639397673"/>
    <n v="0"/>
    <n v="1"/>
    <n v="0"/>
    <n v="0"/>
    <n v="0"/>
    <n v="0"/>
    <n v="0"/>
    <n v="0"/>
    <n v="0"/>
    <n v="0"/>
  </r>
  <r>
    <d v="2018-08-02T00:00:00"/>
    <n v="2018"/>
    <x v="26"/>
    <s v="R"/>
    <s v="RS"/>
    <x v="8"/>
    <s v="MIN"/>
    <s v="H"/>
    <n v="8"/>
    <n v="8"/>
    <n v="0"/>
    <n v="0"/>
    <n v="0"/>
    <n v="0"/>
    <n v="1547.556242888995"/>
    <n v="1598.9784505239318"/>
    <n v="0.54674629213192549"/>
    <n v="79"/>
    <n v="57"/>
    <n v="0"/>
    <n v="22"/>
    <n v="1"/>
    <n v="0.57731707266854326"/>
    <n v="1"/>
    <n v="71.95"/>
    <n v="71.95"/>
    <n v="18.82723591859418"/>
    <n v="1566.3834788075892"/>
    <n v="1"/>
    <n v="0"/>
    <n v="0"/>
    <n v="0"/>
    <n v="0"/>
    <n v="0"/>
    <n v="0"/>
    <n v="0"/>
    <n v="0"/>
    <n v="0"/>
  </r>
  <r>
    <d v="2018-08-03T00:00:00"/>
    <n v="2018"/>
    <x v="27"/>
    <s v="R"/>
    <s v="RS"/>
    <x v="2"/>
    <s v="ATL"/>
    <s v="A"/>
    <n v="2"/>
    <n v="2"/>
    <n v="0"/>
    <n v="0"/>
    <n v="0"/>
    <n v="0"/>
    <n v="1409.4902629489659"/>
    <n v="1526.3137460446817"/>
    <n v="0.23938887573703993"/>
    <n v="74"/>
    <n v="89"/>
    <n v="0"/>
    <n v="-15"/>
    <n v="0"/>
    <n v="0.45823729710222344"/>
    <n v="1"/>
    <n v="71.8"/>
    <n v="71.8"/>
    <n v="-7.87623823665903"/>
    <n v="1401.6140247123069"/>
    <n v="0"/>
    <n v="1"/>
    <n v="0"/>
    <n v="0"/>
    <n v="0"/>
    <n v="0"/>
    <n v="0"/>
    <n v="0"/>
    <n v="0"/>
    <n v="0"/>
  </r>
  <r>
    <d v="2018-08-03T00:00:00"/>
    <n v="2018"/>
    <x v="26"/>
    <s v="R"/>
    <s v="RS"/>
    <x v="7"/>
    <s v="CHI"/>
    <s v="H"/>
    <n v="2"/>
    <n v="2"/>
    <n v="0"/>
    <n v="0"/>
    <n v="0"/>
    <n v="0"/>
    <n v="1526.3137460446817"/>
    <n v="1409.4902629489659"/>
    <n v="0.76061112426295996"/>
    <n v="89"/>
    <n v="74"/>
    <n v="0"/>
    <n v="15"/>
    <n v="1"/>
    <n v="0.45823729710222344"/>
    <n v="1"/>
    <n v="71.95"/>
    <n v="71.95"/>
    <n v="7.8926927733651473"/>
    <n v="1534.2064388180468"/>
    <n v="1"/>
    <n v="0"/>
    <n v="0"/>
    <n v="0"/>
    <n v="0"/>
    <n v="0"/>
    <n v="0"/>
    <n v="0"/>
    <n v="0"/>
    <n v="0"/>
  </r>
  <r>
    <d v="2018-08-03T00:00:00"/>
    <n v="2018"/>
    <x v="26"/>
    <s v="R"/>
    <s v="RS"/>
    <x v="9"/>
    <s v="SEA"/>
    <s v="A"/>
    <n v="0"/>
    <n v="2"/>
    <n v="-2"/>
    <n v="2"/>
    <n v="-16"/>
    <n v="16"/>
    <n v="1580.1119639397673"/>
    <n v="1648.3195449586995"/>
    <n v="0.25723606427377282"/>
    <n v="75"/>
    <n v="85"/>
    <n v="0"/>
    <n v="-10"/>
    <n v="0"/>
    <n v="0.40037265728279925"/>
    <n v="1"/>
    <n v="71.95"/>
    <n v="71.95"/>
    <n v="-7.4101511210325617"/>
    <n v="1572.7018128187347"/>
    <n v="0"/>
    <n v="1"/>
    <n v="0"/>
    <n v="0"/>
    <n v="0"/>
    <n v="0"/>
    <n v="0"/>
    <n v="0"/>
    <n v="0"/>
    <n v="0"/>
  </r>
  <r>
    <d v="2018-08-03T00:00:00"/>
    <n v="2018"/>
    <x v="27"/>
    <s v="R"/>
    <s v="RS"/>
    <x v="10"/>
    <s v="MIN"/>
    <s v="H"/>
    <n v="2"/>
    <n v="0"/>
    <n v="2"/>
    <n v="-2"/>
    <n v="16"/>
    <n v="-16"/>
    <n v="1648.3195449586995"/>
    <n v="1580.1119639397673"/>
    <n v="0.74276393572622723"/>
    <n v="85"/>
    <n v="75"/>
    <n v="0"/>
    <n v="10"/>
    <n v="1"/>
    <n v="0.40037265728279925"/>
    <n v="1"/>
    <n v="71.8"/>
    <n v="71.8"/>
    <n v="7.3947025780422209"/>
    <n v="1655.7142475367416"/>
    <n v="1"/>
    <n v="0"/>
    <n v="0"/>
    <n v="0"/>
    <n v="0"/>
    <n v="0"/>
    <n v="0"/>
    <n v="0"/>
    <n v="0"/>
    <n v="0"/>
  </r>
  <r>
    <d v="2018-08-03T00:00:00"/>
    <n v="2018"/>
    <x v="26"/>
    <s v="R"/>
    <s v="RS"/>
    <x v="5"/>
    <s v="WAS"/>
    <s v="A"/>
    <n v="1"/>
    <n v="2"/>
    <n v="-1"/>
    <n v="1"/>
    <n v="-8"/>
    <n v="8"/>
    <n v="1492.7878296493"/>
    <n v="1532.4038931246992"/>
    <n v="0.30923574916726815"/>
    <n v="0"/>
    <n v="1"/>
    <n v="1"/>
    <n v="-1"/>
    <n v="0"/>
    <n v="0.2127384860625037"/>
    <n v="1"/>
    <n v="71.95"/>
    <n v="71.95"/>
    <n v="-4.7333275309701985"/>
    <n v="1488.0545021183298"/>
    <n v="0"/>
    <n v="1"/>
    <n v="0"/>
    <n v="0"/>
    <n v="0"/>
    <n v="0"/>
    <n v="0"/>
    <n v="0"/>
    <n v="0"/>
    <n v="0"/>
  </r>
  <r>
    <d v="2018-08-03T00:00:00"/>
    <n v="2018"/>
    <x v="26"/>
    <s v="R"/>
    <s v="RS"/>
    <x v="11"/>
    <s v="LVA"/>
    <s v="H"/>
    <n v="2"/>
    <n v="1"/>
    <n v="1"/>
    <n v="-1"/>
    <n v="8"/>
    <n v="-8"/>
    <n v="1532.4038931246992"/>
    <n v="1492.7878296493"/>
    <n v="0.69076425083273185"/>
    <n v="1"/>
    <n v="0"/>
    <n v="1"/>
    <n v="1"/>
    <n v="1"/>
    <n v="0.2127384860625037"/>
    <n v="1"/>
    <n v="71.95"/>
    <n v="71.95"/>
    <n v="4.7333275309701985"/>
    <n v="1537.1372206556694"/>
    <n v="1"/>
    <n v="0"/>
    <n v="0"/>
    <n v="0"/>
    <n v="0"/>
    <n v="0"/>
    <n v="0"/>
    <n v="0"/>
    <n v="0"/>
    <n v="0"/>
  </r>
  <r>
    <d v="2018-08-04T00:00:00"/>
    <n v="2018"/>
    <x v="27"/>
    <s v="R"/>
    <s v="RS"/>
    <x v="3"/>
    <s v="NYL"/>
    <s v="A"/>
    <n v="1"/>
    <n v="2"/>
    <n v="-1"/>
    <n v="1"/>
    <n v="-8"/>
    <n v="8"/>
    <n v="1311.0988144352241"/>
    <n v="1389.4763443689196"/>
    <n v="0.26370037815833197"/>
    <n v="68"/>
    <n v="55"/>
    <n v="0"/>
    <n v="13"/>
    <n v="1"/>
    <n v="0.44310267781875107"/>
    <n v="1"/>
    <n v="71.8"/>
    <n v="71.8"/>
    <n v="23.425204789455336"/>
    <n v="1334.5240192246795"/>
    <n v="1"/>
    <n v="0"/>
    <n v="0"/>
    <n v="0"/>
    <n v="0"/>
    <n v="0"/>
    <n v="0"/>
    <n v="0"/>
    <n v="0"/>
    <n v="0"/>
  </r>
  <r>
    <d v="2018-08-04T00:00:00"/>
    <n v="2018"/>
    <x v="26"/>
    <s v="R"/>
    <s v="RS"/>
    <x v="4"/>
    <s v="IND"/>
    <s v="H"/>
    <n v="2"/>
    <n v="1"/>
    <n v="1"/>
    <n v="-1"/>
    <n v="8"/>
    <n v="-8"/>
    <n v="1389.4763443689196"/>
    <n v="1311.0988144352241"/>
    <n v="0.73629962184166808"/>
    <n v="55"/>
    <n v="68"/>
    <n v="0"/>
    <n v="-13"/>
    <n v="0"/>
    <n v="0.44310267781875107"/>
    <n v="1"/>
    <n v="71.95"/>
    <n v="71.95"/>
    <n v="-23.474143239572587"/>
    <n v="1366.002201129347"/>
    <n v="0"/>
    <n v="1"/>
    <n v="0"/>
    <n v="0"/>
    <n v="0"/>
    <n v="0"/>
    <n v="0"/>
    <n v="0"/>
    <n v="0"/>
    <n v="0"/>
  </r>
  <r>
    <d v="2018-08-05T00:00:00"/>
    <n v="2018"/>
    <x v="27"/>
    <s v="R"/>
    <s v="RS"/>
    <x v="5"/>
    <s v="CON"/>
    <s v="A"/>
    <n v="1"/>
    <n v="3"/>
    <n v="-2"/>
    <n v="2"/>
    <n v="-16"/>
    <n v="16"/>
    <n v="1488.0545021183298"/>
    <n v="1580.9922816064413"/>
    <n v="0.23098769303570452"/>
    <n v="88"/>
    <n v="109"/>
    <n v="0"/>
    <n v="-21"/>
    <n v="0"/>
    <n v="0.54626878302257764"/>
    <n v="1"/>
    <n v="71.8"/>
    <n v="71.8"/>
    <n v="-9.0598220764885458"/>
    <n v="1478.9946800418413"/>
    <n v="0"/>
    <n v="1"/>
    <n v="0"/>
    <n v="0"/>
    <n v="0"/>
    <n v="0"/>
    <n v="0"/>
    <n v="0"/>
    <n v="0"/>
    <n v="0"/>
  </r>
  <r>
    <d v="2018-08-05T00:00:00"/>
    <n v="2018"/>
    <x v="27"/>
    <s v="R"/>
    <s v="RS"/>
    <x v="6"/>
    <s v="LVA"/>
    <s v="H"/>
    <n v="3"/>
    <n v="1"/>
    <n v="2"/>
    <n v="-2"/>
    <n v="16"/>
    <n v="-16"/>
    <n v="1580.9922816064413"/>
    <n v="1488.0545021183298"/>
    <n v="0.76901230696429557"/>
    <n v="109"/>
    <n v="88"/>
    <n v="0"/>
    <n v="21"/>
    <n v="1"/>
    <n v="0.54626878302257764"/>
    <n v="1"/>
    <n v="71.8"/>
    <n v="71.8"/>
    <n v="9.0598220764885422"/>
    <n v="1590.0521036829298"/>
    <n v="1"/>
    <n v="0"/>
    <n v="0"/>
    <n v="0"/>
    <n v="0"/>
    <n v="0"/>
    <n v="0"/>
    <n v="0"/>
    <n v="0"/>
    <n v="0"/>
  </r>
  <r>
    <d v="2018-08-05T00:00:00"/>
    <n v="2018"/>
    <x v="27"/>
    <s v="R"/>
    <s v="RS"/>
    <x v="11"/>
    <s v="DAL"/>
    <s v="A"/>
    <n v="1"/>
    <n v="2"/>
    <n v="-1"/>
    <n v="1"/>
    <n v="-8"/>
    <n v="8"/>
    <n v="1537.1372206556694"/>
    <n v="1512.9362161884899"/>
    <n v="0.3926148273489245"/>
    <n v="76"/>
    <n v="74"/>
    <n v="0"/>
    <n v="2"/>
    <n v="1"/>
    <n v="0.26254641500763509"/>
    <n v="1"/>
    <n v="71.8"/>
    <n v="71.8"/>
    <n v="11.449716211878334"/>
    <n v="1548.5869368675476"/>
    <n v="1"/>
    <n v="0"/>
    <n v="0"/>
    <n v="0"/>
    <n v="0"/>
    <n v="0"/>
    <n v="0"/>
    <n v="0"/>
    <n v="0"/>
    <n v="0"/>
  </r>
  <r>
    <d v="2018-08-05T00:00:00"/>
    <n v="2018"/>
    <x v="27"/>
    <s v="R"/>
    <s v="RS"/>
    <x v="0"/>
    <s v="WAS"/>
    <s v="H"/>
    <n v="2"/>
    <n v="1"/>
    <n v="1"/>
    <n v="-1"/>
    <n v="8"/>
    <n v="-8"/>
    <n v="1512.9362161884899"/>
    <n v="1537.1372206556694"/>
    <n v="0.6073851726510755"/>
    <n v="74"/>
    <n v="76"/>
    <n v="0"/>
    <n v="-2"/>
    <n v="0"/>
    <n v="0.26254641500763509"/>
    <n v="1"/>
    <n v="71.8"/>
    <n v="71.8"/>
    <n v="-11.449716211878334"/>
    <n v="1501.4864999766116"/>
    <n v="0"/>
    <n v="1"/>
    <n v="0"/>
    <n v="0"/>
    <n v="0"/>
    <n v="0"/>
    <n v="0"/>
    <n v="0"/>
    <n v="0"/>
    <n v="0"/>
  </r>
  <r>
    <d v="2018-08-05T00:00:00"/>
    <n v="2018"/>
    <x v="28"/>
    <s v="R"/>
    <s v="RS"/>
    <x v="1"/>
    <s v="LAS"/>
    <s v="A"/>
    <n v="3"/>
    <n v="2"/>
    <n v="1"/>
    <n v="-1"/>
    <n v="8"/>
    <n v="-8"/>
    <n v="1527.5267997904375"/>
    <n v="1566.3834788075892"/>
    <n v="0.3508929425976236"/>
    <n v="75"/>
    <n v="78"/>
    <n v="0"/>
    <n v="-3"/>
    <n v="0"/>
    <n v="0.28108192918224451"/>
    <n v="1"/>
    <n v="71.650000000000006"/>
    <n v="71.650000000000006"/>
    <n v="-7.0668155145731522"/>
    <n v="1520.4599842758644"/>
    <n v="0"/>
    <n v="1"/>
    <n v="0"/>
    <n v="0"/>
    <n v="0"/>
    <n v="0"/>
    <n v="0"/>
    <n v="0"/>
    <n v="0"/>
    <n v="0"/>
  </r>
  <r>
    <d v="2018-08-05T00:00:00"/>
    <n v="2018"/>
    <x v="27"/>
    <s v="R"/>
    <s v="RS"/>
    <x v="8"/>
    <s v="PHX"/>
    <s v="H"/>
    <n v="2"/>
    <n v="3"/>
    <n v="-1"/>
    <n v="1"/>
    <n v="-8"/>
    <n v="8"/>
    <n v="1566.3834788075892"/>
    <n v="1527.5267997904375"/>
    <n v="0.6491070574023764"/>
    <n v="78"/>
    <n v="75"/>
    <n v="0"/>
    <n v="3"/>
    <n v="1"/>
    <n v="0.28108192918224451"/>
    <n v="1"/>
    <n v="71.8"/>
    <n v="71.8"/>
    <n v="7.0816099643594175"/>
    <n v="1573.4650887719486"/>
    <n v="1"/>
    <n v="0"/>
    <n v="0"/>
    <n v="0"/>
    <n v="0"/>
    <n v="0"/>
    <n v="0"/>
    <n v="0"/>
    <n v="0"/>
    <n v="0"/>
  </r>
  <r>
    <d v="2018-08-05T00:00:00"/>
    <n v="2018"/>
    <x v="27"/>
    <s v="R"/>
    <s v="RS"/>
    <x v="7"/>
    <s v="MIN"/>
    <s v="A"/>
    <n v="1"/>
    <n v="1"/>
    <n v="0"/>
    <n v="0"/>
    <n v="0"/>
    <n v="0"/>
    <n v="1534.2064388180468"/>
    <n v="1572.7018128187347"/>
    <n v="0.33067359824009668"/>
    <n v="86"/>
    <n v="66"/>
    <n v="0"/>
    <n v="20"/>
    <n v="1"/>
    <n v="0.55701849616292887"/>
    <n v="1"/>
    <n v="71.8"/>
    <n v="71.8"/>
    <n v="26.768991936881999"/>
    <n v="1560.9754307549288"/>
    <n v="1"/>
    <n v="0"/>
    <n v="0"/>
    <n v="0"/>
    <n v="0"/>
    <n v="0"/>
    <n v="0"/>
    <n v="0"/>
    <n v="0"/>
    <n v="0"/>
  </r>
  <r>
    <d v="2018-08-05T00:00:00"/>
    <n v="2018"/>
    <x v="27"/>
    <s v="R"/>
    <s v="RS"/>
    <x v="9"/>
    <s v="ATL"/>
    <s v="H"/>
    <n v="1"/>
    <n v="1"/>
    <n v="0"/>
    <n v="0"/>
    <n v="0"/>
    <n v="0"/>
    <n v="1572.7018128187347"/>
    <n v="1534.2064388180468"/>
    <n v="0.66932640175990332"/>
    <n v="66"/>
    <n v="86"/>
    <n v="0"/>
    <n v="-20"/>
    <n v="0"/>
    <n v="0.55701849616292887"/>
    <n v="1"/>
    <n v="71.8"/>
    <n v="71.8"/>
    <n v="-26.768991936881999"/>
    <n v="1545.9328208818526"/>
    <n v="0"/>
    <n v="1"/>
    <n v="0"/>
    <n v="0"/>
    <n v="0"/>
    <n v="0"/>
    <n v="0"/>
    <n v="0"/>
    <n v="0"/>
    <n v="0"/>
  </r>
  <r>
    <d v="2018-08-06T00:00:00"/>
    <n v="2018"/>
    <x v="28"/>
    <s v="R"/>
    <s v="RS"/>
    <x v="10"/>
    <s v="NYL"/>
    <s v="A"/>
    <n v="2"/>
    <n v="1"/>
    <n v="1"/>
    <n v="-1"/>
    <n v="8"/>
    <n v="-8"/>
    <n v="1655.7142475367416"/>
    <n v="1366.002201129347"/>
    <n v="0.78181539567514668"/>
    <n v="96"/>
    <n v="80"/>
    <n v="0"/>
    <n v="16"/>
    <n v="1"/>
    <n v="0.41708949070695389"/>
    <n v="1"/>
    <n v="71.650000000000006"/>
    <n v="71.650000000000006"/>
    <n v="6.5203295189282127"/>
    <n v="1662.2345770556699"/>
    <n v="1"/>
    <n v="0"/>
    <n v="0"/>
    <n v="0"/>
    <n v="0"/>
    <n v="0"/>
    <n v="0"/>
    <n v="0"/>
    <n v="0"/>
    <n v="0"/>
  </r>
  <r>
    <d v="2018-08-06T00:00:00"/>
    <n v="2018"/>
    <x v="27"/>
    <s v="R"/>
    <s v="RS"/>
    <x v="4"/>
    <s v="SEA"/>
    <s v="H"/>
    <n v="1"/>
    <n v="2"/>
    <n v="-1"/>
    <n v="1"/>
    <n v="-8"/>
    <n v="8"/>
    <n v="1366.002201129347"/>
    <n v="1655.7142475367416"/>
    <n v="0.21818460432485334"/>
    <n v="80"/>
    <n v="96"/>
    <n v="0"/>
    <n v="-16"/>
    <n v="0"/>
    <n v="0.41708949070695389"/>
    <n v="1"/>
    <n v="71.8"/>
    <n v="71.8"/>
    <n v="-6.533979894752906"/>
    <n v="1359.468221234594"/>
    <n v="0"/>
    <n v="1"/>
    <n v="0"/>
    <n v="0"/>
    <n v="0"/>
    <n v="0"/>
    <n v="0"/>
    <n v="0"/>
    <n v="0"/>
    <n v="0"/>
  </r>
  <r>
    <d v="2018-08-07T00:00:00"/>
    <n v="2018"/>
    <x v="28"/>
    <s v="R"/>
    <s v="RS"/>
    <x v="5"/>
    <s v="ATL"/>
    <s v="A"/>
    <n v="1"/>
    <n v="1"/>
    <n v="0"/>
    <n v="0"/>
    <n v="0"/>
    <n v="0"/>
    <n v="1478.9946800418413"/>
    <n v="1560.9754307549288"/>
    <n v="0.27778769625232225"/>
    <n v="100"/>
    <n v="109"/>
    <n v="0"/>
    <n v="-9"/>
    <n v="0"/>
    <n v="0.38001025546265871"/>
    <n v="1"/>
    <n v="71.650000000000006"/>
    <n v="71.650000000000006"/>
    <n v="-7.5635297253444165"/>
    <n v="1471.431150316497"/>
    <n v="0"/>
    <n v="1"/>
    <n v="0"/>
    <n v="0"/>
    <n v="0"/>
    <n v="0"/>
    <n v="0"/>
    <n v="0"/>
    <n v="0"/>
    <n v="0"/>
  </r>
  <r>
    <d v="2018-08-07T00:00:00"/>
    <n v="2018"/>
    <x v="28"/>
    <s v="R"/>
    <s v="RS"/>
    <x v="7"/>
    <s v="LVA"/>
    <s v="H"/>
    <n v="1"/>
    <n v="1"/>
    <n v="0"/>
    <n v="0"/>
    <n v="0"/>
    <n v="0"/>
    <n v="1560.9754307549288"/>
    <n v="1478.9946800418413"/>
    <n v="0.72221230374767775"/>
    <n v="109"/>
    <n v="100"/>
    <n v="0"/>
    <n v="9"/>
    <n v="1"/>
    <n v="0.38001025546265871"/>
    <n v="1"/>
    <n v="71.650000000000006"/>
    <n v="71.650000000000006"/>
    <n v="7.5635297253444165"/>
    <n v="1568.5389604802731"/>
    <n v="1"/>
    <n v="0"/>
    <n v="0"/>
    <n v="0"/>
    <n v="0"/>
    <n v="0"/>
    <n v="0"/>
    <n v="0"/>
    <n v="0"/>
    <n v="0"/>
  </r>
  <r>
    <d v="2018-08-07T00:00:00"/>
    <n v="2018"/>
    <x v="28"/>
    <s v="R"/>
    <s v="RS"/>
    <x v="9"/>
    <s v="CHI"/>
    <s v="A"/>
    <n v="1"/>
    <n v="3"/>
    <n v="-2"/>
    <n v="2"/>
    <n v="-16"/>
    <n v="16"/>
    <n v="1545.9328208818526"/>
    <n v="1401.6140247123069"/>
    <n v="0.54066401226089333"/>
    <n v="85"/>
    <n v="64"/>
    <n v="0"/>
    <n v="21"/>
    <n v="1"/>
    <n v="0.5253899218975191"/>
    <n v="1"/>
    <n v="71.650000000000006"/>
    <n v="71.650000000000006"/>
    <n v="17.291330233500734"/>
    <n v="1563.2241511153534"/>
    <n v="1"/>
    <n v="0"/>
    <n v="0"/>
    <n v="0"/>
    <n v="0"/>
    <n v="0"/>
    <n v="0"/>
    <n v="0"/>
    <n v="0"/>
    <n v="0"/>
  </r>
  <r>
    <d v="2018-08-07T00:00:00"/>
    <n v="2018"/>
    <x v="28"/>
    <s v="R"/>
    <s v="RS"/>
    <x v="2"/>
    <s v="MIN"/>
    <s v="H"/>
    <n v="3"/>
    <n v="1"/>
    <n v="2"/>
    <n v="-2"/>
    <n v="16"/>
    <n v="-16"/>
    <n v="1401.6140247123069"/>
    <n v="1545.9328208818526"/>
    <n v="0.45933598773910655"/>
    <n v="64"/>
    <n v="85"/>
    <n v="0"/>
    <n v="-21"/>
    <n v="0"/>
    <n v="0.5253899218975191"/>
    <n v="1"/>
    <n v="71.650000000000006"/>
    <n v="71.650000000000006"/>
    <n v="-17.29133023350073"/>
    <n v="1384.3226944788062"/>
    <n v="0"/>
    <n v="1"/>
    <n v="0"/>
    <n v="0"/>
    <n v="0"/>
    <n v="0"/>
    <n v="0"/>
    <n v="0"/>
    <n v="0"/>
    <n v="0"/>
  </r>
  <r>
    <d v="2018-08-07T00:00:00"/>
    <n v="2018"/>
    <x v="29"/>
    <s v="R"/>
    <s v="RS"/>
    <x v="10"/>
    <s v="IND"/>
    <s v="A"/>
    <n v="0"/>
    <n v="2"/>
    <n v="-2"/>
    <n v="2"/>
    <n v="-16"/>
    <n v="16"/>
    <n v="1662.2345770556699"/>
    <n v="1334.5240192246795"/>
    <n v="0.7718353858559458"/>
    <n v="94"/>
    <n v="79"/>
    <n v="0"/>
    <n v="15"/>
    <n v="1"/>
    <n v="0.39498164790536971"/>
    <n v="1"/>
    <n v="71.5"/>
    <n v="71.5"/>
    <n v="6.4436397231142619"/>
    <n v="1668.6782167787842"/>
    <n v="1"/>
    <n v="0"/>
    <n v="0"/>
    <n v="0"/>
    <n v="0"/>
    <n v="0"/>
    <n v="0"/>
    <n v="0"/>
    <n v="0"/>
    <n v="0"/>
  </r>
  <r>
    <d v="2018-08-07T00:00:00"/>
    <n v="2018"/>
    <x v="28"/>
    <s v="R"/>
    <s v="RS"/>
    <x v="3"/>
    <s v="SEA"/>
    <s v="H"/>
    <n v="2"/>
    <n v="0"/>
    <n v="2"/>
    <n v="-2"/>
    <n v="16"/>
    <n v="-16"/>
    <n v="1334.5240192246795"/>
    <n v="1662.2345770556699"/>
    <n v="0.22816461414405423"/>
    <n v="79"/>
    <n v="94"/>
    <n v="0"/>
    <n v="-15"/>
    <n v="0"/>
    <n v="0.39498164790536971"/>
    <n v="1"/>
    <n v="71.650000000000006"/>
    <n v="71.650000000000006"/>
    <n v="-6.4571578484075101"/>
    <n v="1328.0668613762721"/>
    <n v="0"/>
    <n v="1"/>
    <n v="0"/>
    <n v="0"/>
    <n v="0"/>
    <n v="0"/>
    <n v="0"/>
    <n v="0"/>
    <n v="0"/>
    <n v="0"/>
  </r>
  <r>
    <d v="2018-08-07T00:00:00"/>
    <n v="2018"/>
    <x v="28"/>
    <s v="R"/>
    <s v="RS"/>
    <x v="11"/>
    <s v="PHX"/>
    <s v="A"/>
    <n v="1"/>
    <n v="1"/>
    <n v="0"/>
    <n v="0"/>
    <n v="0"/>
    <n v="0"/>
    <n v="1548.5869368675476"/>
    <n v="1520.4599842758644"/>
    <n v="0.42027828410313861"/>
    <n v="103"/>
    <n v="98"/>
    <n v="0"/>
    <n v="5"/>
    <n v="1"/>
    <n v="0.32415799499667558"/>
    <n v="1"/>
    <n v="71.650000000000006"/>
    <n v="71.650000000000006"/>
    <n v="13.46457039366504"/>
    <n v="1562.0515072612127"/>
    <n v="1"/>
    <n v="0"/>
    <n v="0"/>
    <n v="0"/>
    <n v="0"/>
    <n v="0"/>
    <n v="0"/>
    <n v="0"/>
    <n v="0"/>
    <n v="0"/>
  </r>
  <r>
    <d v="2018-08-07T00:00:00"/>
    <n v="2018"/>
    <x v="29"/>
    <s v="R"/>
    <s v="RS"/>
    <x v="1"/>
    <s v="WAS"/>
    <s v="H"/>
    <n v="1"/>
    <n v="1"/>
    <n v="0"/>
    <n v="0"/>
    <n v="0"/>
    <n v="0"/>
    <n v="1520.4599842758644"/>
    <n v="1548.5869368675476"/>
    <n v="0.57972171589686139"/>
    <n v="98"/>
    <n v="103"/>
    <n v="0"/>
    <n v="-5"/>
    <n v="0"/>
    <n v="0.32415799499667558"/>
    <n v="1"/>
    <n v="71.5"/>
    <n v="71.5"/>
    <n v="-13.436382179302868"/>
    <n v="1507.0236020965615"/>
    <n v="0"/>
    <n v="1"/>
    <n v="0"/>
    <n v="0"/>
    <n v="0"/>
    <n v="0"/>
    <n v="0"/>
    <n v="0"/>
    <n v="0"/>
    <n v="0"/>
  </r>
  <r>
    <d v="2018-08-08T00:00:00"/>
    <n v="2018"/>
    <x v="28"/>
    <s v="R"/>
    <s v="RS"/>
    <x v="6"/>
    <s v="DAL"/>
    <s v="A"/>
    <n v="2"/>
    <n v="2"/>
    <n v="0"/>
    <n v="0"/>
    <n v="0"/>
    <n v="0"/>
    <n v="1590.0521036829298"/>
    <n v="1501.4864999766116"/>
    <n v="0.50657005372370056"/>
    <n v="101"/>
    <n v="92"/>
    <n v="0"/>
    <n v="9"/>
    <n v="1"/>
    <n v="0.37806831966913435"/>
    <n v="1"/>
    <n v="71.650000000000006"/>
    <n v="71.650000000000006"/>
    <n v="13.366324027011959"/>
    <n v="1603.4184277099419"/>
    <n v="1"/>
    <n v="0"/>
    <n v="0"/>
    <n v="0"/>
    <n v="0"/>
    <n v="0"/>
    <n v="0"/>
    <n v="0"/>
    <n v="0"/>
    <n v="0"/>
  </r>
  <r>
    <d v="2018-08-08T00:00:00"/>
    <n v="2018"/>
    <x v="28"/>
    <s v="R"/>
    <s v="RS"/>
    <x v="0"/>
    <s v="CON"/>
    <s v="H"/>
    <n v="2"/>
    <n v="2"/>
    <n v="0"/>
    <n v="0"/>
    <n v="0"/>
    <n v="0"/>
    <n v="1501.4864999766116"/>
    <n v="1590.0521036829298"/>
    <n v="0.49342994627629938"/>
    <n v="92"/>
    <n v="101"/>
    <n v="0"/>
    <n v="-9"/>
    <n v="0"/>
    <n v="0.37806831966913435"/>
    <n v="1"/>
    <n v="71.650000000000006"/>
    <n v="71.650000000000006"/>
    <n v="-13.366324027011958"/>
    <n v="1488.1201759495996"/>
    <n v="0"/>
    <n v="1"/>
    <n v="0"/>
    <n v="0"/>
    <n v="0"/>
    <n v="0"/>
    <n v="0"/>
    <n v="0"/>
    <n v="0"/>
    <n v="0"/>
  </r>
  <r>
    <d v="2018-08-08T00:00:00"/>
    <n v="2018"/>
    <x v="28"/>
    <s v="R"/>
    <s v="RS"/>
    <x v="8"/>
    <s v="NYL"/>
    <s v="A"/>
    <n v="2"/>
    <n v="1"/>
    <n v="1"/>
    <n v="-1"/>
    <n v="8"/>
    <n v="-8"/>
    <n v="1573.4650887719486"/>
    <n v="1359.468221234594"/>
    <n v="0.69855482934566548"/>
    <n v="82"/>
    <n v="81"/>
    <n v="0"/>
    <n v="1"/>
    <n v="1"/>
    <n v="0.20722507375046312"/>
    <n v="1"/>
    <n v="71.650000000000006"/>
    <n v="71.650000000000006"/>
    <n v="4.4757603866785116"/>
    <n v="1577.9408491586271"/>
    <n v="1"/>
    <n v="0"/>
    <n v="0"/>
    <n v="0"/>
    <n v="0"/>
    <n v="0"/>
    <n v="0"/>
    <n v="0"/>
    <n v="0"/>
    <n v="0"/>
  </r>
  <r>
    <d v="2018-08-08T00:00:00"/>
    <n v="2018"/>
    <x v="28"/>
    <s v="R"/>
    <s v="RS"/>
    <x v="4"/>
    <s v="LAS"/>
    <s v="H"/>
    <n v="1"/>
    <n v="2"/>
    <n v="-1"/>
    <n v="1"/>
    <n v="-8"/>
    <n v="8"/>
    <n v="1359.468221234594"/>
    <n v="1573.4650887719486"/>
    <n v="0.30144517065433457"/>
    <n v="81"/>
    <n v="82"/>
    <n v="0"/>
    <n v="-1"/>
    <n v="0"/>
    <n v="0.20722507375046312"/>
    <n v="1"/>
    <n v="71.650000000000006"/>
    <n v="71.650000000000006"/>
    <n v="-4.4757603866785125"/>
    <n v="1354.9924608479155"/>
    <n v="0"/>
    <n v="1"/>
    <n v="0"/>
    <n v="0"/>
    <n v="0"/>
    <n v="0"/>
    <n v="0"/>
    <n v="0"/>
    <n v="0"/>
    <n v="0"/>
  </r>
  <r>
    <d v="2018-08-09T00:00:00"/>
    <n v="2018"/>
    <x v="29"/>
    <s v="R"/>
    <s v="RS"/>
    <x v="8"/>
    <s v="ATL"/>
    <s v="A"/>
    <n v="0"/>
    <n v="1"/>
    <n v="-1"/>
    <n v="1"/>
    <n v="-8"/>
    <n v="8"/>
    <n v="1577.9408491586271"/>
    <n v="1568.5389604802731"/>
    <n v="0.37249578835161462"/>
    <n v="73"/>
    <n v="79"/>
    <n v="0"/>
    <n v="-6"/>
    <n v="0"/>
    <n v="0.34854990492023263"/>
    <n v="1"/>
    <n v="71.5"/>
    <n v="71.5"/>
    <n v="-9.2830860703396798"/>
    <n v="1568.6577630882873"/>
    <n v="0"/>
    <n v="1"/>
    <n v="0"/>
    <n v="0"/>
    <n v="0"/>
    <n v="0"/>
    <n v="0"/>
    <n v="0"/>
    <n v="0"/>
    <n v="0"/>
  </r>
  <r>
    <d v="2018-08-09T00:00:00"/>
    <n v="2018"/>
    <x v="29"/>
    <s v="R"/>
    <s v="RS"/>
    <x v="7"/>
    <s v="LAS"/>
    <s v="H"/>
    <n v="1"/>
    <n v="0"/>
    <n v="1"/>
    <n v="-1"/>
    <n v="8"/>
    <n v="-8"/>
    <n v="1568.5389604802731"/>
    <n v="1577.9408491586271"/>
    <n v="0.62750421164838532"/>
    <n v="79"/>
    <n v="73"/>
    <n v="0"/>
    <n v="6"/>
    <n v="1"/>
    <n v="0.34854990492023263"/>
    <n v="1"/>
    <n v="71.5"/>
    <n v="71.5"/>
    <n v="9.2830860703396816"/>
    <n v="1577.8220465506129"/>
    <n v="1"/>
    <n v="0"/>
    <n v="0"/>
    <n v="0"/>
    <n v="0"/>
    <n v="0"/>
    <n v="0"/>
    <n v="0"/>
    <n v="0"/>
    <n v="0"/>
  </r>
  <r>
    <d v="2018-08-09T00:00:00"/>
    <n v="2018"/>
    <x v="29"/>
    <s v="R"/>
    <s v="RS"/>
    <x v="9"/>
    <s v="LVA"/>
    <s v="A"/>
    <n v="1"/>
    <n v="1"/>
    <n v="0"/>
    <n v="0"/>
    <n v="0"/>
    <n v="0"/>
    <n v="1563.2241511153534"/>
    <n v="1471.431150316497"/>
    <n v="0.5112131492578853"/>
    <n v="89"/>
    <n v="73"/>
    <n v="0"/>
    <n v="16"/>
    <n v="1"/>
    <n v="0.4809928822588681"/>
    <n v="1"/>
    <n v="71.5"/>
    <n v="71.5"/>
    <n v="16.809864224630971"/>
    <n v="1580.0340153399843"/>
    <n v="1"/>
    <n v="0"/>
    <n v="0"/>
    <n v="0"/>
    <n v="0"/>
    <n v="0"/>
    <n v="0"/>
    <n v="0"/>
    <n v="0"/>
    <n v="0"/>
  </r>
  <r>
    <d v="2018-08-09T00:00:00"/>
    <n v="2018"/>
    <x v="29"/>
    <s v="R"/>
    <s v="RS"/>
    <x v="5"/>
    <s v="MIN"/>
    <s v="H"/>
    <n v="1"/>
    <n v="1"/>
    <n v="0"/>
    <n v="0"/>
    <n v="0"/>
    <n v="0"/>
    <n v="1471.431150316497"/>
    <n v="1563.2241511153534"/>
    <n v="0.4887868507421147"/>
    <n v="73"/>
    <n v="89"/>
    <n v="0"/>
    <n v="-16"/>
    <n v="0"/>
    <n v="0.4809928822588681"/>
    <n v="1"/>
    <n v="71.5"/>
    <n v="71.5"/>
    <n v="-16.809864224630971"/>
    <n v="1454.6212860918661"/>
    <n v="0"/>
    <n v="1"/>
    <n v="0"/>
    <n v="0"/>
    <n v="0"/>
    <n v="0"/>
    <n v="0"/>
    <n v="0"/>
    <n v="0"/>
    <n v="0"/>
  </r>
  <r>
    <d v="2018-08-09T00:00:00"/>
    <n v="2018"/>
    <x v="30"/>
    <s v="R"/>
    <s v="RS"/>
    <x v="10"/>
    <s v="WAS"/>
    <s v="A"/>
    <n v="1"/>
    <n v="1"/>
    <n v="0"/>
    <n v="0"/>
    <n v="0"/>
    <n v="0"/>
    <n v="1668.6782167787842"/>
    <n v="1562.0515072612127"/>
    <n v="0.53251649528649181"/>
    <n v="77"/>
    <n v="100"/>
    <n v="0"/>
    <n v="-23"/>
    <n v="0"/>
    <n v="0.56512339576079362"/>
    <n v="1"/>
    <n v="71.349999999999994"/>
    <n v="71.349999999999994"/>
    <n v="-21.471892773700887"/>
    <n v="1647.2063240050834"/>
    <n v="0"/>
    <n v="1"/>
    <n v="0"/>
    <n v="0"/>
    <n v="0"/>
    <n v="0"/>
    <n v="0"/>
    <n v="0"/>
    <n v="0"/>
    <n v="0"/>
  </r>
  <r>
    <d v="2018-08-09T00:00:00"/>
    <n v="2018"/>
    <x v="29"/>
    <s v="R"/>
    <s v="RS"/>
    <x v="11"/>
    <s v="SEA"/>
    <s v="H"/>
    <n v="1"/>
    <n v="1"/>
    <n v="0"/>
    <n v="0"/>
    <n v="0"/>
    <n v="0"/>
    <n v="1562.0515072612127"/>
    <n v="1668.6782167787842"/>
    <n v="0.46748350471350819"/>
    <n v="100"/>
    <n v="77"/>
    <n v="0"/>
    <n v="23"/>
    <n v="1"/>
    <n v="0.56512339576079362"/>
    <n v="1"/>
    <n v="71.5"/>
    <n v="71.5"/>
    <n v="21.517033403218132"/>
    <n v="1583.5685406644309"/>
    <n v="1"/>
    <n v="0"/>
    <n v="0"/>
    <n v="0"/>
    <n v="0"/>
    <n v="0"/>
    <n v="0"/>
    <n v="0"/>
    <n v="0"/>
    <n v="0"/>
  </r>
  <r>
    <d v="2018-08-10T00:00:00"/>
    <n v="2018"/>
    <x v="29"/>
    <s v="R"/>
    <s v="RS"/>
    <x v="6"/>
    <s v="CHI"/>
    <s v="A"/>
    <n v="1"/>
    <n v="2"/>
    <n v="-1"/>
    <n v="1"/>
    <n v="-8"/>
    <n v="8"/>
    <n v="1603.4184277099419"/>
    <n v="1384.3226944788062"/>
    <n v="0.66498076112465099"/>
    <n v="86"/>
    <n v="97"/>
    <n v="0"/>
    <n v="-11"/>
    <n v="0"/>
    <n v="0.37192921657752004"/>
    <n v="1"/>
    <n v="71.5"/>
    <n v="71.5"/>
    <n v="-17.683792806981334"/>
    <n v="1585.7346349029606"/>
    <n v="0"/>
    <n v="1"/>
    <n v="0"/>
    <n v="0"/>
    <n v="0"/>
    <n v="0"/>
    <n v="0"/>
    <n v="0"/>
    <n v="0"/>
    <n v="0"/>
  </r>
  <r>
    <d v="2018-08-10T00:00:00"/>
    <n v="2018"/>
    <x v="29"/>
    <s v="R"/>
    <s v="RS"/>
    <x v="2"/>
    <s v="CON"/>
    <s v="H"/>
    <n v="2"/>
    <n v="1"/>
    <n v="1"/>
    <n v="-1"/>
    <n v="8"/>
    <n v="-8"/>
    <n v="1384.3226944788062"/>
    <n v="1603.4184277099419"/>
    <n v="0.33501923887534901"/>
    <n v="97"/>
    <n v="86"/>
    <n v="0"/>
    <n v="11"/>
    <n v="1"/>
    <n v="0.37192921657752004"/>
    <n v="1"/>
    <n v="71.5"/>
    <n v="71.5"/>
    <n v="17.683792806981334"/>
    <n v="1402.0064872857874"/>
    <n v="1"/>
    <n v="0"/>
    <n v="0"/>
    <n v="0"/>
    <n v="0"/>
    <n v="0"/>
    <n v="0"/>
    <n v="0"/>
    <n v="0"/>
    <n v="0"/>
  </r>
  <r>
    <d v="2018-08-10T00:00:00"/>
    <n v="2018"/>
    <x v="29"/>
    <s v="R"/>
    <s v="RS"/>
    <x v="3"/>
    <s v="PHX"/>
    <s v="A"/>
    <n v="2"/>
    <n v="2"/>
    <n v="0"/>
    <n v="0"/>
    <n v="0"/>
    <n v="0"/>
    <n v="1328.0668613762721"/>
    <n v="1507.0236020965615"/>
    <n v="0.18039100026759655"/>
    <n v="74"/>
    <n v="94"/>
    <n v="0"/>
    <n v="-20"/>
    <n v="0"/>
    <n v="0.50028025561574962"/>
    <n v="1"/>
    <n v="71.5"/>
    <n v="71.5"/>
    <n v="-6.4525929843127585"/>
    <n v="1321.6142683919593"/>
    <n v="0"/>
    <n v="1"/>
    <n v="0"/>
    <n v="0"/>
    <n v="0"/>
    <n v="0"/>
    <n v="0"/>
    <n v="0"/>
    <n v="0"/>
    <n v="0"/>
  </r>
  <r>
    <d v="2018-08-10T00:00:00"/>
    <n v="2018"/>
    <x v="30"/>
    <s v="R"/>
    <s v="RS"/>
    <x v="1"/>
    <s v="IND"/>
    <s v="H"/>
    <n v="2"/>
    <n v="2"/>
    <n v="0"/>
    <n v="0"/>
    <n v="0"/>
    <n v="0"/>
    <n v="1507.0236020965615"/>
    <n v="1328.0668613762721"/>
    <n v="0.81960899973240353"/>
    <n v="94"/>
    <n v="74"/>
    <n v="0"/>
    <n v="20"/>
    <n v="1"/>
    <n v="0.50028025561574962"/>
    <n v="1"/>
    <n v="71.349999999999994"/>
    <n v="71.349999999999994"/>
    <n v="6.4390560759540572"/>
    <n v="1513.4626581725156"/>
    <n v="1"/>
    <n v="0"/>
    <n v="0"/>
    <n v="0"/>
    <n v="0"/>
    <n v="0"/>
    <n v="0"/>
    <n v="0"/>
    <n v="0"/>
    <n v="0"/>
  </r>
  <r>
    <d v="2018-08-11T00:00:00"/>
    <n v="2018"/>
    <x v="29"/>
    <s v="R"/>
    <s v="RS"/>
    <x v="0"/>
    <s v="ATL"/>
    <s v="A"/>
    <n v="2"/>
    <n v="1"/>
    <n v="1"/>
    <n v="-1"/>
    <n v="8"/>
    <n v="-8"/>
    <n v="1488.1201759495996"/>
    <n v="1577.8220465506129"/>
    <n v="0.28744922415184743"/>
    <n v="82"/>
    <n v="92"/>
    <n v="0"/>
    <n v="-10"/>
    <n v="0"/>
    <n v="0.3937000098806725"/>
    <n v="1"/>
    <n v="71.5"/>
    <n v="71.5"/>
    <n v="-8.0915665107973389"/>
    <n v="1480.0286094388023"/>
    <n v="0"/>
    <n v="1"/>
    <n v="0"/>
    <n v="0"/>
    <n v="0"/>
    <n v="0"/>
    <n v="0"/>
    <n v="0"/>
    <n v="0"/>
    <n v="0"/>
  </r>
  <r>
    <d v="2018-08-11T00:00:00"/>
    <n v="2018"/>
    <x v="30"/>
    <s v="R"/>
    <s v="RS"/>
    <x v="7"/>
    <s v="DAL"/>
    <s v="H"/>
    <n v="1"/>
    <n v="2"/>
    <n v="-1"/>
    <n v="1"/>
    <n v="-8"/>
    <n v="8"/>
    <n v="1577.8220465506129"/>
    <n v="1488.1201759495996"/>
    <n v="0.71255077584815263"/>
    <n v="92"/>
    <n v="82"/>
    <n v="0"/>
    <n v="10"/>
    <n v="1"/>
    <n v="0.3937000098806725"/>
    <n v="1"/>
    <n v="71.349999999999994"/>
    <n v="71.349999999999994"/>
    <n v="8.0745911964390213"/>
    <n v="1585.896637747052"/>
    <n v="1"/>
    <n v="0"/>
    <n v="0"/>
    <n v="0"/>
    <n v="0"/>
    <n v="0"/>
    <n v="0"/>
    <n v="0"/>
    <n v="0"/>
    <n v="0"/>
  </r>
  <r>
    <d v="2018-08-11T00:00:00"/>
    <n v="2018"/>
    <x v="30"/>
    <s v="R"/>
    <s v="RS"/>
    <x v="3"/>
    <s v="LVA"/>
    <s v="A"/>
    <n v="0"/>
    <n v="1"/>
    <n v="-1"/>
    <n v="1"/>
    <n v="-8"/>
    <n v="8"/>
    <n v="1321.6142683919593"/>
    <n v="1454.6212860918661"/>
    <n v="0.20729697749008177"/>
    <n v="74"/>
    <n v="92"/>
    <n v="0"/>
    <n v="-18"/>
    <n v="0"/>
    <n v="0.49227101570992077"/>
    <n v="1"/>
    <n v="71.349999999999994"/>
    <n v="71.349999999999994"/>
    <n v="-7.281003052829301"/>
    <n v="1314.3332653391301"/>
    <n v="0"/>
    <n v="1"/>
    <n v="0"/>
    <n v="0"/>
    <n v="0"/>
    <n v="0"/>
    <n v="0"/>
    <n v="0"/>
    <n v="0"/>
    <n v="0"/>
  </r>
  <r>
    <d v="2018-08-11T00:00:00"/>
    <n v="2018"/>
    <x v="30"/>
    <s v="R"/>
    <s v="RS"/>
    <x v="5"/>
    <s v="IND"/>
    <s v="H"/>
    <n v="1"/>
    <n v="0"/>
    <n v="1"/>
    <n v="-1"/>
    <n v="8"/>
    <n v="-8"/>
    <n v="1454.6212860918661"/>
    <n v="1321.6142683919593"/>
    <n v="0.7927030225099182"/>
    <n v="92"/>
    <n v="74"/>
    <n v="0"/>
    <n v="18"/>
    <n v="1"/>
    <n v="0.49227101570992077"/>
    <n v="1"/>
    <n v="71.349999999999994"/>
    <n v="71.349999999999994"/>
    <n v="7.2810030528293019"/>
    <n v="1461.9022891446953"/>
    <n v="1"/>
    <n v="0"/>
    <n v="0"/>
    <n v="0"/>
    <n v="0"/>
    <n v="0"/>
    <n v="0"/>
    <n v="0"/>
    <n v="0"/>
    <n v="0"/>
  </r>
  <r>
    <d v="2018-08-12T00:00:00"/>
    <n v="2018"/>
    <x v="30"/>
    <s v="R"/>
    <s v="RS"/>
    <x v="2"/>
    <s v="CON"/>
    <s v="A"/>
    <n v="1"/>
    <n v="1"/>
    <n v="0"/>
    <n v="0"/>
    <n v="0"/>
    <n v="0"/>
    <n v="1402.0064872857874"/>
    <n v="1585.7346349029606"/>
    <n v="0.17636567622076499"/>
    <n v="75"/>
    <n v="82"/>
    <n v="0"/>
    <n v="-7"/>
    <n v="0"/>
    <n v="0.3209652183121291"/>
    <n v="1"/>
    <n v="71.349999999999994"/>
    <n v="71.349999999999994"/>
    <n v="-4.0389271284582895"/>
    <n v="1397.9675601573292"/>
    <n v="0"/>
    <n v="1"/>
    <n v="0"/>
    <n v="0"/>
    <n v="0"/>
    <n v="0"/>
    <n v="0"/>
    <n v="0"/>
    <n v="0"/>
    <n v="0"/>
  </r>
  <r>
    <d v="2018-08-12T00:00:00"/>
    <n v="2018"/>
    <x v="30"/>
    <s v="R"/>
    <s v="RS"/>
    <x v="6"/>
    <s v="CHI"/>
    <s v="H"/>
    <n v="1"/>
    <n v="1"/>
    <n v="0"/>
    <n v="0"/>
    <n v="0"/>
    <n v="0"/>
    <n v="1585.7346349029606"/>
    <n v="1402.0064872857874"/>
    <n v="0.82363432377923496"/>
    <n v="82"/>
    <n v="75"/>
    <n v="0"/>
    <n v="7"/>
    <n v="1"/>
    <n v="0.3209652183121291"/>
    <n v="1"/>
    <n v="71.349999999999994"/>
    <n v="71.349999999999994"/>
    <n v="4.0389271284582904"/>
    <n v="1589.7735620314188"/>
    <n v="1"/>
    <n v="0"/>
    <n v="0"/>
    <n v="0"/>
    <n v="0"/>
    <n v="0"/>
    <n v="0"/>
    <n v="0"/>
    <n v="0"/>
    <n v="0"/>
  </r>
  <r>
    <d v="2018-08-12T00:00:00"/>
    <n v="2018"/>
    <x v="31"/>
    <s v="R"/>
    <s v="RS"/>
    <x v="10"/>
    <s v="MIN"/>
    <s v="A"/>
    <n v="2"/>
    <n v="2"/>
    <n v="0"/>
    <n v="0"/>
    <n v="0"/>
    <n v="0"/>
    <n v="1647.2063240050834"/>
    <n v="1580.0340153399843"/>
    <n v="0.47580192422649215"/>
    <n v="81"/>
    <n v="72"/>
    <n v="0"/>
    <n v="9"/>
    <n v="1"/>
    <n v="0.38445113521293373"/>
    <n v="1"/>
    <n v="71.2"/>
    <n v="71.2"/>
    <n v="14.348832425898312"/>
    <n v="1661.5551564309817"/>
    <n v="1"/>
    <n v="0"/>
    <n v="0"/>
    <n v="0"/>
    <n v="0"/>
    <n v="0"/>
    <n v="0"/>
    <n v="0"/>
    <n v="0"/>
    <n v="0"/>
  </r>
  <r>
    <d v="2018-08-12T00:00:00"/>
    <n v="2018"/>
    <x v="30"/>
    <s v="R"/>
    <s v="RS"/>
    <x v="9"/>
    <s v="SEA"/>
    <s v="H"/>
    <n v="2"/>
    <n v="2"/>
    <n v="0"/>
    <n v="0"/>
    <n v="0"/>
    <n v="0"/>
    <n v="1580.0340153399843"/>
    <n v="1647.2063240050834"/>
    <n v="0.52419807577350785"/>
    <n v="72"/>
    <n v="81"/>
    <n v="0"/>
    <n v="-9"/>
    <n v="0"/>
    <n v="0.38445113521293373"/>
    <n v="1"/>
    <n v="71.349999999999994"/>
    <n v="71.349999999999994"/>
    <n v="-14.379061707694444"/>
    <n v="1565.6549536322898"/>
    <n v="0"/>
    <n v="1"/>
    <n v="0"/>
    <n v="0"/>
    <n v="0"/>
    <n v="0"/>
    <n v="0"/>
    <n v="0"/>
    <n v="0"/>
    <n v="0"/>
  </r>
  <r>
    <d v="2018-08-12T00:00:00"/>
    <n v="2018"/>
    <x v="31"/>
    <s v="R"/>
    <s v="RS"/>
    <x v="7"/>
    <s v="NYL"/>
    <s v="A"/>
    <n v="0"/>
    <n v="3"/>
    <n v="-3"/>
    <n v="3"/>
    <n v="-16"/>
    <n v="16"/>
    <n v="1585.896637747052"/>
    <n v="1354.9924608479155"/>
    <n v="0.65958415222903399"/>
    <n v="86"/>
    <n v="77"/>
    <n v="0"/>
    <n v="9"/>
    <n v="1"/>
    <n v="0.34046013733247449"/>
    <n v="1"/>
    <n v="71.2"/>
    <n v="71.2"/>
    <n v="8.2519394712964722"/>
    <n v="1594.1485772183485"/>
    <n v="1"/>
    <n v="0"/>
    <n v="0"/>
    <n v="0"/>
    <n v="0"/>
    <n v="0"/>
    <n v="0"/>
    <n v="0"/>
    <n v="0"/>
    <n v="0"/>
  </r>
  <r>
    <d v="2018-08-12T00:00:00"/>
    <n v="2018"/>
    <x v="29"/>
    <s v="R"/>
    <s v="RS"/>
    <x v="4"/>
    <s v="ATL"/>
    <s v="H"/>
    <n v="3"/>
    <n v="0"/>
    <n v="3"/>
    <n v="-3"/>
    <n v="16"/>
    <n v="-16"/>
    <n v="1354.9924608479155"/>
    <n v="1585.896637747052"/>
    <n v="0.34041584777096606"/>
    <n v="77"/>
    <n v="86"/>
    <n v="0"/>
    <n v="-9"/>
    <n v="0"/>
    <n v="0.34046013733247449"/>
    <n v="1"/>
    <n v="71.5"/>
    <n v="71.5"/>
    <n v="-8.2867088791811501"/>
    <n v="1346.7057519687344"/>
    <n v="0"/>
    <n v="1"/>
    <n v="0"/>
    <n v="0"/>
    <n v="0"/>
    <n v="0"/>
    <n v="0"/>
    <n v="0"/>
    <n v="0"/>
    <n v="0"/>
  </r>
  <r>
    <d v="2018-08-12T00:00:00"/>
    <n v="2018"/>
    <x v="30"/>
    <s v="R"/>
    <s v="RS"/>
    <x v="8"/>
    <s v="PHX"/>
    <s v="A"/>
    <n v="2"/>
    <n v="1"/>
    <n v="1"/>
    <n v="-1"/>
    <n v="8"/>
    <n v="-8"/>
    <n v="1568.6577630882873"/>
    <n v="1513.4626581725156"/>
    <n v="0.48158061374142247"/>
    <n v="78"/>
    <n v="86"/>
    <n v="0"/>
    <n v="-8"/>
    <n v="0"/>
    <n v="0.37124000896647497"/>
    <n v="1"/>
    <n v="71.349999999999994"/>
    <n v="71.349999999999994"/>
    <n v="-12.756095083781885"/>
    <n v="1555.9016680045054"/>
    <n v="0"/>
    <n v="1"/>
    <n v="0"/>
    <n v="0"/>
    <n v="0"/>
    <n v="0"/>
    <n v="0"/>
    <n v="0"/>
    <n v="0"/>
    <n v="0"/>
  </r>
  <r>
    <d v="2018-08-12T00:00:00"/>
    <n v="2018"/>
    <x v="31"/>
    <s v="R"/>
    <s v="RS"/>
    <x v="1"/>
    <s v="LAS"/>
    <s v="H"/>
    <n v="1"/>
    <n v="2"/>
    <n v="-1"/>
    <n v="1"/>
    <n v="-8"/>
    <n v="8"/>
    <n v="1513.4626581725156"/>
    <n v="1568.6577630882873"/>
    <n v="0.51841938625857753"/>
    <n v="86"/>
    <n v="78"/>
    <n v="0"/>
    <n v="8"/>
    <n v="1"/>
    <n v="0.37124000896647497"/>
    <n v="1"/>
    <n v="71.2"/>
    <n v="71.2"/>
    <n v="12.72927778507737"/>
    <n v="1526.1919359575929"/>
    <n v="1"/>
    <n v="0"/>
    <n v="0"/>
    <n v="0"/>
    <n v="0"/>
    <n v="0"/>
    <n v="0"/>
    <n v="0"/>
    <n v="0"/>
    <n v="0"/>
  </r>
  <r>
    <d v="2018-08-12T00:00:00"/>
    <n v="2018"/>
    <x v="30"/>
    <s v="R"/>
    <s v="RS"/>
    <x v="0"/>
    <s v="WAS"/>
    <s v="A"/>
    <n v="0"/>
    <n v="2"/>
    <n v="-2"/>
    <n v="2"/>
    <n v="-16"/>
    <n v="16"/>
    <n v="1480.0286094388023"/>
    <n v="1583.5685406644309"/>
    <n v="0.22032500082608103"/>
    <n v="80"/>
    <n v="93"/>
    <n v="0"/>
    <n v="-13"/>
    <n v="0"/>
    <n v="0.43454940904214945"/>
    <n v="1"/>
    <n v="71.349999999999994"/>
    <n v="71.349999999999994"/>
    <n v="-6.8311987569562707"/>
    <n v="1473.1974106818459"/>
    <n v="0"/>
    <n v="1"/>
    <n v="0"/>
    <n v="0"/>
    <n v="0"/>
    <n v="0"/>
    <n v="0"/>
    <n v="0"/>
    <n v="0"/>
    <n v="0"/>
  </r>
  <r>
    <d v="2018-08-12T00:00:00"/>
    <n v="2018"/>
    <x v="30"/>
    <s v="R"/>
    <s v="RS"/>
    <x v="11"/>
    <s v="DAL"/>
    <s v="H"/>
    <n v="2"/>
    <n v="0"/>
    <n v="2"/>
    <n v="-2"/>
    <n v="16"/>
    <n v="-16"/>
    <n v="1583.5685406644309"/>
    <n v="1480.0286094388023"/>
    <n v="0.77967499917391903"/>
    <n v="93"/>
    <n v="80"/>
    <n v="0"/>
    <n v="13"/>
    <n v="1"/>
    <n v="0.43454940904214945"/>
    <n v="1"/>
    <n v="71.349999999999994"/>
    <n v="71.349999999999994"/>
    <n v="6.8311987569562689"/>
    <n v="1590.399739421387"/>
    <n v="1"/>
    <n v="0"/>
    <n v="0"/>
    <n v="0"/>
    <n v="0"/>
    <n v="0"/>
    <n v="0"/>
    <n v="0"/>
    <n v="0"/>
    <n v="0"/>
  </r>
  <r>
    <d v="2018-08-14T00:00:00"/>
    <n v="2018"/>
    <x v="31"/>
    <s v="R"/>
    <s v="RS"/>
    <x v="0"/>
    <s v="CON"/>
    <s v="A"/>
    <n v="1"/>
    <n v="1"/>
    <n v="0"/>
    <n v="0"/>
    <n v="0"/>
    <n v="0"/>
    <n v="1473.1974106818459"/>
    <n v="1589.7735620314188"/>
    <n v="0.23964821203022332"/>
    <n v="76"/>
    <n v="96"/>
    <n v="0"/>
    <n v="-20"/>
    <n v="0"/>
    <n v="0.5239839944111494"/>
    <n v="1"/>
    <n v="71.2"/>
    <n v="71.2"/>
    <n v="-8.9407141103877574"/>
    <n v="1464.2566965714582"/>
    <n v="0"/>
    <n v="1"/>
    <n v="0"/>
    <n v="0"/>
    <n v="0"/>
    <n v="0"/>
    <n v="0"/>
    <n v="0"/>
    <n v="0"/>
    <n v="0"/>
  </r>
  <r>
    <d v="2018-08-14T00:00:00"/>
    <n v="2018"/>
    <x v="31"/>
    <s v="R"/>
    <s v="RS"/>
    <x v="6"/>
    <s v="DAL"/>
    <s v="H"/>
    <n v="1"/>
    <n v="1"/>
    <n v="0"/>
    <n v="0"/>
    <n v="0"/>
    <n v="0"/>
    <n v="1589.7735620314188"/>
    <n v="1473.1974106818459"/>
    <n v="0.76035178796977665"/>
    <n v="96"/>
    <n v="76"/>
    <n v="0"/>
    <n v="20"/>
    <n v="1"/>
    <n v="0.5239839944111494"/>
    <n v="1"/>
    <n v="71.2"/>
    <n v="71.2"/>
    <n v="8.9407141103877592"/>
    <n v="1598.7142761418065"/>
    <n v="1"/>
    <n v="0"/>
    <n v="0"/>
    <n v="0"/>
    <n v="0"/>
    <n v="0"/>
    <n v="0"/>
    <n v="0"/>
    <n v="0"/>
    <n v="0"/>
  </r>
  <r>
    <d v="2018-08-14T00:00:00"/>
    <n v="2018"/>
    <x v="30"/>
    <s v="R"/>
    <s v="RS"/>
    <x v="4"/>
    <s v="LAS"/>
    <s v="A"/>
    <n v="1"/>
    <n v="1"/>
    <n v="0"/>
    <n v="0"/>
    <n v="0"/>
    <n v="0"/>
    <n v="1346.7057519687344"/>
    <n v="1555.9016680045054"/>
    <n v="0.15606915233360127"/>
    <n v="66"/>
    <n v="74"/>
    <n v="0"/>
    <n v="-8"/>
    <n v="0"/>
    <n v="0.33066987826253263"/>
    <n v="1"/>
    <n v="71.349999999999994"/>
    <n v="71.349999999999994"/>
    <n v="-3.6821856784518308"/>
    <n v="1343.0235662902826"/>
    <n v="0"/>
    <n v="1"/>
    <n v="0"/>
    <n v="0"/>
    <n v="0"/>
    <n v="0"/>
    <n v="0"/>
    <n v="0"/>
    <n v="0"/>
    <n v="0"/>
  </r>
  <r>
    <d v="2018-08-14T00:00:00"/>
    <n v="2018"/>
    <x v="31"/>
    <s v="R"/>
    <s v="RS"/>
    <x v="8"/>
    <s v="NYL"/>
    <s v="H"/>
    <n v="1"/>
    <n v="1"/>
    <n v="0"/>
    <n v="0"/>
    <n v="0"/>
    <n v="0"/>
    <n v="1555.9016680045054"/>
    <n v="1346.7057519687344"/>
    <n v="0.84393084766639881"/>
    <n v="74"/>
    <n v="66"/>
    <n v="0"/>
    <n v="8"/>
    <n v="1"/>
    <n v="0.33066987826253263"/>
    <n v="1"/>
    <n v="71.2"/>
    <n v="71.2"/>
    <n v="3.6744445733114257"/>
    <n v="1559.5761125778167"/>
    <n v="1"/>
    <n v="0"/>
    <n v="0"/>
    <n v="0"/>
    <n v="0"/>
    <n v="0"/>
    <n v="0"/>
    <n v="0"/>
    <n v="0"/>
    <n v="0"/>
  </r>
  <r>
    <d v="2018-08-14T00:00:00"/>
    <n v="2018"/>
    <x v="31"/>
    <s v="R"/>
    <s v="RS"/>
    <x v="2"/>
    <s v="MIN"/>
    <s v="A"/>
    <n v="1"/>
    <n v="1"/>
    <n v="0"/>
    <n v="0"/>
    <n v="0"/>
    <n v="0"/>
    <n v="1397.9675601573292"/>
    <n v="1565.6549536322898"/>
    <n v="0.19018183395541643"/>
    <n v="91"/>
    <n v="88"/>
    <n v="0"/>
    <n v="3"/>
    <n v="1"/>
    <n v="0.25460512905197352"/>
    <n v="1"/>
    <n v="71.2"/>
    <n v="71.2"/>
    <n v="14.680290737618256"/>
    <n v="1412.6478508949474"/>
    <n v="1"/>
    <n v="0"/>
    <n v="0"/>
    <n v="0"/>
    <n v="0"/>
    <n v="0"/>
    <n v="0"/>
    <n v="0"/>
    <n v="0"/>
    <n v="0"/>
  </r>
  <r>
    <d v="2018-08-14T00:00:00"/>
    <n v="2018"/>
    <x v="31"/>
    <s v="R"/>
    <s v="RS"/>
    <x v="9"/>
    <s v="CHI"/>
    <s v="H"/>
    <n v="1"/>
    <n v="1"/>
    <n v="0"/>
    <n v="0"/>
    <n v="0"/>
    <n v="0"/>
    <n v="1565.6549536322898"/>
    <n v="1397.9675601573292"/>
    <n v="0.80981816604458345"/>
    <n v="88"/>
    <n v="91"/>
    <n v="0"/>
    <n v="-3"/>
    <n v="0"/>
    <n v="0.25460512905197352"/>
    <n v="1"/>
    <n v="71.2"/>
    <n v="71.2"/>
    <n v="-14.680290737618254"/>
    <n v="1550.9746628946716"/>
    <n v="0"/>
    <n v="1"/>
    <n v="0"/>
    <n v="0"/>
    <n v="0"/>
    <n v="0"/>
    <n v="0"/>
    <n v="0"/>
    <n v="0"/>
    <n v="0"/>
  </r>
  <r>
    <d v="2018-08-15T00:00:00"/>
    <n v="2018"/>
    <x v="31"/>
    <s v="R"/>
    <s v="RS"/>
    <x v="11"/>
    <s v="IND"/>
    <s v="A"/>
    <n v="2"/>
    <n v="3"/>
    <n v="-1"/>
    <n v="1"/>
    <n v="-8"/>
    <n v="8"/>
    <n v="1590.399739421387"/>
    <n v="1314.3332653391301"/>
    <n v="0.73370847248012971"/>
    <n v="76"/>
    <n v="62"/>
    <n v="0"/>
    <n v="14"/>
    <n v="1"/>
    <n v="0.3964114994243233"/>
    <n v="1"/>
    <n v="71.2"/>
    <n v="71.2"/>
    <n v="7.5159448880199404"/>
    <n v="1597.915684309407"/>
    <n v="1"/>
    <n v="0"/>
    <n v="0"/>
    <n v="0"/>
    <n v="0"/>
    <n v="0"/>
    <n v="0"/>
    <n v="0"/>
    <n v="0"/>
    <n v="0"/>
  </r>
  <r>
    <d v="2018-08-15T00:00:00"/>
    <n v="2018"/>
    <x v="31"/>
    <s v="R"/>
    <s v="RS"/>
    <x v="3"/>
    <s v="WAS"/>
    <s v="H"/>
    <n v="3"/>
    <n v="2"/>
    <n v="1"/>
    <n v="-1"/>
    <n v="8"/>
    <n v="-8"/>
    <n v="1314.3332653391301"/>
    <n v="1590.399739421387"/>
    <n v="0.26629152751987029"/>
    <n v="62"/>
    <n v="76"/>
    <n v="0"/>
    <n v="-14"/>
    <n v="0"/>
    <n v="0.3964114994243233"/>
    <n v="1"/>
    <n v="71.2"/>
    <n v="71.2"/>
    <n v="-7.5159448880199404"/>
    <n v="1306.8173204511102"/>
    <n v="0"/>
    <n v="1"/>
    <n v="0"/>
    <n v="0"/>
    <n v="0"/>
    <n v="0"/>
    <n v="0"/>
    <n v="0"/>
    <n v="0"/>
    <n v="0"/>
  </r>
  <r>
    <d v="2018-08-15T00:00:00"/>
    <n v="2018"/>
    <x v="31"/>
    <s v="R"/>
    <s v="RS"/>
    <x v="4"/>
    <s v="LVA"/>
    <s v="A"/>
    <n v="0"/>
    <n v="3"/>
    <n v="-3"/>
    <n v="3"/>
    <n v="-16"/>
    <n v="16"/>
    <n v="1343.0235662902826"/>
    <n v="1461.9022891446953"/>
    <n v="0.20553205779138395"/>
    <n v="72"/>
    <n v="85"/>
    <n v="0"/>
    <n v="-13"/>
    <n v="0"/>
    <n v="0.42949552294769272"/>
    <n v="1"/>
    <n v="71.2"/>
    <n v="71.2"/>
    <n v="-6.2851870234261611"/>
    <n v="1336.7383792668563"/>
    <n v="0"/>
    <n v="1"/>
    <n v="0"/>
    <n v="0"/>
    <n v="0"/>
    <n v="0"/>
    <n v="0"/>
    <n v="0"/>
    <n v="0"/>
    <n v="0"/>
  </r>
  <r>
    <d v="2018-08-15T00:00:00"/>
    <n v="2018"/>
    <x v="31"/>
    <s v="R"/>
    <s v="RS"/>
    <x v="5"/>
    <s v="NYL"/>
    <s v="H"/>
    <n v="3"/>
    <n v="0"/>
    <n v="3"/>
    <n v="-3"/>
    <n v="16"/>
    <n v="-16"/>
    <n v="1461.9022891446953"/>
    <n v="1343.0235662902826"/>
    <n v="0.79446794220861605"/>
    <n v="85"/>
    <n v="72"/>
    <n v="0"/>
    <n v="13"/>
    <n v="1"/>
    <n v="0.42949552294769272"/>
    <n v="1"/>
    <n v="71.2"/>
    <n v="71.2"/>
    <n v="6.2851870234261611"/>
    <n v="1468.1874761681215"/>
    <n v="1"/>
    <n v="0"/>
    <n v="0"/>
    <n v="0"/>
    <n v="0"/>
    <n v="0"/>
    <n v="0"/>
    <n v="0"/>
    <n v="0"/>
    <n v="0"/>
  </r>
  <r>
    <d v="2018-08-17T00:00:00"/>
    <n v="2018"/>
    <x v="32"/>
    <s v="R"/>
    <s v="RS"/>
    <x v="9"/>
    <s v="CON"/>
    <s v="A"/>
    <n v="2"/>
    <n v="2"/>
    <n v="0"/>
    <n v="0"/>
    <n v="0"/>
    <n v="0"/>
    <n v="1550.9746628946716"/>
    <n v="1598.7142761418065"/>
    <n v="0.31900369944287987"/>
    <n v="79"/>
    <n v="96"/>
    <n v="0"/>
    <n v="-17"/>
    <n v="0"/>
    <n v="0.51207036797977046"/>
    <n v="1"/>
    <n v="71.05"/>
    <n v="71.05"/>
    <n v="-11.606183882092305"/>
    <n v="1539.3684790125792"/>
    <n v="0"/>
    <n v="1"/>
    <n v="0"/>
    <n v="0"/>
    <n v="0"/>
    <n v="0"/>
    <n v="0"/>
    <n v="0"/>
    <n v="0"/>
    <n v="0"/>
  </r>
  <r>
    <d v="2018-08-17T00:00:00"/>
    <n v="2018"/>
    <x v="32"/>
    <s v="R"/>
    <s v="RS"/>
    <x v="6"/>
    <s v="MIN"/>
    <s v="H"/>
    <n v="2"/>
    <n v="2"/>
    <n v="0"/>
    <n v="0"/>
    <n v="0"/>
    <n v="0"/>
    <n v="1598.7142761418065"/>
    <n v="1550.9746628946716"/>
    <n v="0.68099630055712013"/>
    <n v="96"/>
    <n v="79"/>
    <n v="0"/>
    <n v="17"/>
    <n v="1"/>
    <n v="0.51207036797977046"/>
    <n v="1"/>
    <n v="71.05"/>
    <n v="71.05"/>
    <n v="11.606183882092305"/>
    <n v="1610.3204600238989"/>
    <n v="1"/>
    <n v="0"/>
    <n v="0"/>
    <n v="0"/>
    <n v="0"/>
    <n v="0"/>
    <n v="0"/>
    <n v="0"/>
    <n v="0"/>
    <n v="0"/>
  </r>
  <r>
    <d v="2018-08-17T00:00:00"/>
    <n v="2018"/>
    <x v="32"/>
    <s v="R"/>
    <s v="RS"/>
    <x v="5"/>
    <s v="DAL"/>
    <s v="A"/>
    <n v="1"/>
    <n v="2"/>
    <n v="-1"/>
    <n v="1"/>
    <n v="-8"/>
    <n v="8"/>
    <n v="1468.1874761681215"/>
    <n v="1464.2566965714582"/>
    <n v="0.36516428817210556"/>
    <n v="102"/>
    <n v="107"/>
    <n v="0"/>
    <n v="-5"/>
    <n v="0"/>
    <n v="0.33067280719151454"/>
    <n v="1"/>
    <n v="71.05"/>
    <n v="71.05"/>
    <n v="-8.5792804131860514"/>
    <n v="1459.6081957549354"/>
    <n v="0"/>
    <n v="1"/>
    <n v="0"/>
    <n v="0"/>
    <n v="0"/>
    <n v="0"/>
    <n v="0"/>
    <n v="0"/>
    <n v="0"/>
    <n v="0"/>
  </r>
  <r>
    <d v="2018-08-17T00:00:00"/>
    <n v="2018"/>
    <x v="32"/>
    <s v="R"/>
    <s v="RS"/>
    <x v="0"/>
    <s v="LVA"/>
    <s v="H"/>
    <n v="2"/>
    <n v="1"/>
    <n v="1"/>
    <n v="-1"/>
    <n v="8"/>
    <n v="-8"/>
    <n v="1464.2566965714582"/>
    <n v="1468.1874761681215"/>
    <n v="0.63483571182789444"/>
    <n v="107"/>
    <n v="102"/>
    <n v="0"/>
    <n v="5"/>
    <n v="1"/>
    <n v="0.33067280719151454"/>
    <n v="1"/>
    <n v="71.05"/>
    <n v="71.05"/>
    <n v="8.5792804131860514"/>
    <n v="1472.8359769846443"/>
    <n v="1"/>
    <n v="0"/>
    <n v="0"/>
    <n v="0"/>
    <n v="0"/>
    <n v="0"/>
    <n v="0"/>
    <n v="0"/>
    <n v="0"/>
    <n v="0"/>
  </r>
  <r>
    <d v="2018-08-17T00:00:00"/>
    <n v="2018"/>
    <x v="32"/>
    <s v="R"/>
    <s v="RS"/>
    <x v="7"/>
    <s v="PHX"/>
    <s v="A"/>
    <n v="4"/>
    <n v="4"/>
    <n v="0"/>
    <n v="0"/>
    <n v="0"/>
    <n v="0"/>
    <n v="1594.1485772183485"/>
    <n v="1526.1919359575929"/>
    <n v="0.47692814696348462"/>
    <n v="95"/>
    <n v="104"/>
    <n v="0"/>
    <n v="-9"/>
    <n v="0"/>
    <n v="0.3842133214368374"/>
    <n v="1"/>
    <n v="71.05"/>
    <n v="71.05"/>
    <n v="-13.019354575012093"/>
    <n v="1581.1292226433363"/>
    <n v="0"/>
    <n v="1"/>
    <n v="0"/>
    <n v="0"/>
    <n v="0"/>
    <n v="0"/>
    <n v="0"/>
    <n v="0"/>
    <n v="0"/>
    <n v="0"/>
  </r>
  <r>
    <d v="2018-08-17T00:00:00"/>
    <n v="2018"/>
    <x v="32"/>
    <s v="R"/>
    <s v="RS"/>
    <x v="1"/>
    <s v="ATL"/>
    <s v="H"/>
    <n v="4"/>
    <n v="4"/>
    <n v="0"/>
    <n v="0"/>
    <n v="0"/>
    <n v="0"/>
    <n v="1526.1919359575929"/>
    <n v="1594.1485772183485"/>
    <n v="0.52307185303651538"/>
    <n v="104"/>
    <n v="95"/>
    <n v="0"/>
    <n v="9"/>
    <n v="1"/>
    <n v="0.3842133214368374"/>
    <n v="1"/>
    <n v="71.05"/>
    <n v="71.05"/>
    <n v="13.019354575012093"/>
    <n v="1539.2112905326051"/>
    <n v="1"/>
    <n v="0"/>
    <n v="0"/>
    <n v="0"/>
    <n v="0"/>
    <n v="0"/>
    <n v="0"/>
    <n v="0"/>
    <n v="0"/>
    <n v="0"/>
  </r>
  <r>
    <d v="2018-08-17T00:00:00"/>
    <n v="2018"/>
    <x v="32"/>
    <s v="R"/>
    <s v="RS"/>
    <x v="4"/>
    <s v="SEA"/>
    <s v="A"/>
    <n v="1"/>
    <n v="4"/>
    <n v="-3"/>
    <n v="3"/>
    <n v="-16"/>
    <n v="16"/>
    <n v="1336.7383792668563"/>
    <n v="1661.5551564309817"/>
    <n v="7.3267668515969678E-2"/>
    <n v="77"/>
    <n v="85"/>
    <n v="0"/>
    <n v="-8"/>
    <n v="0"/>
    <n v="0.30559648148037821"/>
    <n v="1"/>
    <n v="71.05"/>
    <n v="71.05"/>
    <n v="-1.5908337781225597"/>
    <n v="1335.1475454887338"/>
    <n v="0"/>
    <n v="1"/>
    <n v="0"/>
    <n v="0"/>
    <n v="0"/>
    <n v="0"/>
    <n v="0"/>
    <n v="0"/>
    <n v="0"/>
    <n v="0"/>
  </r>
  <r>
    <d v="2018-08-17T00:00:00"/>
    <n v="2018"/>
    <x v="32"/>
    <s v="R"/>
    <s v="RS"/>
    <x v="10"/>
    <s v="NYL"/>
    <s v="H"/>
    <n v="4"/>
    <n v="1"/>
    <n v="3"/>
    <n v="-3"/>
    <n v="16"/>
    <n v="-16"/>
    <n v="1661.5551564309817"/>
    <n v="1336.7383792668563"/>
    <n v="0.92673233148403034"/>
    <n v="85"/>
    <n v="77"/>
    <n v="0"/>
    <n v="8"/>
    <n v="1"/>
    <n v="0.30559648148037821"/>
    <n v="1"/>
    <n v="71.05"/>
    <n v="71.05"/>
    <n v="1.5908337781225594"/>
    <n v="1663.1459902091042"/>
    <n v="1"/>
    <n v="0"/>
    <n v="0"/>
    <n v="0"/>
    <n v="0"/>
    <n v="0"/>
    <n v="0"/>
    <n v="0"/>
    <n v="0"/>
    <n v="0"/>
  </r>
  <r>
    <d v="2018-08-17T00:00:00"/>
    <n v="2018"/>
    <x v="32"/>
    <s v="R"/>
    <s v="RS"/>
    <x v="8"/>
    <s v="WAS"/>
    <s v="A"/>
    <n v="2"/>
    <n v="1"/>
    <n v="1"/>
    <n v="-1"/>
    <n v="8"/>
    <n v="-8"/>
    <n v="1559.5761125778167"/>
    <n v="1597.915684309407"/>
    <n v="0.35157123944933411"/>
    <n v="67"/>
    <n v="69"/>
    <n v="0"/>
    <n v="-2"/>
    <n v="0"/>
    <n v="0.25954882837360321"/>
    <n v="1"/>
    <n v="71.05"/>
    <n v="71.05"/>
    <n v="-6.4833056286784894"/>
    <n v="1553.0928069491383"/>
    <n v="0"/>
    <n v="1"/>
    <n v="0"/>
    <n v="0"/>
    <n v="0"/>
    <n v="0"/>
    <n v="0"/>
    <n v="0"/>
    <n v="0"/>
    <n v="0"/>
  </r>
  <r>
    <d v="2018-08-17T00:00:00"/>
    <n v="2018"/>
    <x v="32"/>
    <s v="R"/>
    <s v="RS"/>
    <x v="11"/>
    <s v="LAS"/>
    <s v="H"/>
    <n v="1"/>
    <n v="2"/>
    <n v="-1"/>
    <n v="1"/>
    <n v="-8"/>
    <n v="8"/>
    <n v="1597.915684309407"/>
    <n v="1559.5761125778167"/>
    <n v="0.64842876055066589"/>
    <n v="69"/>
    <n v="67"/>
    <n v="0"/>
    <n v="2"/>
    <n v="1"/>
    <n v="0.25954882837360321"/>
    <n v="1"/>
    <n v="71.05"/>
    <n v="71.05"/>
    <n v="6.4833056286784894"/>
    <n v="1604.3989899380854"/>
    <n v="1"/>
    <n v="0"/>
    <n v="0"/>
    <n v="0"/>
    <n v="0"/>
    <n v="0"/>
    <n v="0"/>
    <n v="0"/>
    <n v="0"/>
    <n v="0"/>
  </r>
  <r>
    <d v="2018-08-18T00:00:00"/>
    <n v="2018"/>
    <x v="32"/>
    <s v="R"/>
    <s v="RS"/>
    <x v="2"/>
    <s v="IND"/>
    <s v="A"/>
    <n v="3"/>
    <n v="2"/>
    <n v="1"/>
    <n v="-1"/>
    <n v="8"/>
    <n v="-8"/>
    <n v="1412.6478508949474"/>
    <n v="1306.8173204511102"/>
    <n v="0.55422836929575814"/>
    <n v="115"/>
    <n v="106"/>
    <n v="1"/>
    <n v="9"/>
    <n v="1"/>
    <n v="0.33576274952768814"/>
    <n v="1"/>
    <n v="71.05"/>
    <n v="71.05"/>
    <n v="10.634302770874854"/>
    <n v="1423.2821536658223"/>
    <n v="1"/>
    <n v="0"/>
    <n v="0"/>
    <n v="0"/>
    <n v="0"/>
    <n v="0"/>
    <n v="0"/>
    <n v="0"/>
    <n v="0"/>
    <n v="0"/>
  </r>
  <r>
    <d v="2018-08-18T00:00:00"/>
    <n v="2018"/>
    <x v="32"/>
    <s v="R"/>
    <s v="RS"/>
    <x v="3"/>
    <s v="CHI"/>
    <s v="H"/>
    <n v="2"/>
    <n v="3"/>
    <n v="-1"/>
    <n v="1"/>
    <n v="-8"/>
    <n v="8"/>
    <n v="1306.8173204511102"/>
    <n v="1412.6478508949474"/>
    <n v="0.44577163070424197"/>
    <n v="106"/>
    <n v="115"/>
    <n v="1"/>
    <n v="-9"/>
    <n v="0"/>
    <n v="0.33576274952768814"/>
    <n v="1"/>
    <n v="71.05"/>
    <n v="71.05"/>
    <n v="-10.634302770874855"/>
    <n v="1296.1830176802353"/>
    <n v="0"/>
    <n v="1"/>
    <n v="0"/>
    <n v="0"/>
    <n v="0"/>
    <n v="0"/>
    <n v="0"/>
    <n v="0"/>
    <n v="0"/>
    <n v="0"/>
  </r>
  <r>
    <d v="2018-08-19T00:00:00"/>
    <n v="2018"/>
    <x v="33"/>
    <s v="R"/>
    <s v="RS"/>
    <x v="3"/>
    <s v="CHI"/>
    <s v="A"/>
    <n v="0"/>
    <n v="0"/>
    <n v="0"/>
    <n v="0"/>
    <n v="0"/>
    <n v="0"/>
    <n v="1296.1830176802353"/>
    <n v="1423.2821536658223"/>
    <n v="0.22878503286025809"/>
    <n v="97"/>
    <n v="92"/>
    <n v="0"/>
    <n v="5"/>
    <n v="1"/>
    <n v="0.29998299279867885"/>
    <n v="1"/>
    <n v="70.900000000000006"/>
    <n v="70.900000000000006"/>
    <n v="16.40281241190036"/>
    <n v="1312.5858300921357"/>
    <n v="1"/>
    <n v="0"/>
    <n v="0"/>
    <n v="0"/>
    <n v="0"/>
    <n v="0"/>
    <n v="0"/>
    <n v="0"/>
    <n v="0"/>
    <n v="0"/>
  </r>
  <r>
    <d v="2018-08-19T00:00:00"/>
    <n v="2018"/>
    <x v="33"/>
    <s v="R"/>
    <s v="RS"/>
    <x v="2"/>
    <s v="IND"/>
    <s v="H"/>
    <n v="0"/>
    <n v="0"/>
    <n v="0"/>
    <n v="0"/>
    <n v="0"/>
    <n v="0"/>
    <n v="1423.2821536658223"/>
    <n v="1296.1830176802353"/>
    <n v="0.77121496713974191"/>
    <n v="92"/>
    <n v="97"/>
    <n v="0"/>
    <n v="-5"/>
    <n v="0"/>
    <n v="0.29998299279867885"/>
    <n v="1"/>
    <n v="70.900000000000006"/>
    <n v="70.900000000000006"/>
    <n v="-16.40281241190036"/>
    <n v="1406.8793412539219"/>
    <n v="0"/>
    <n v="1"/>
    <n v="0"/>
    <n v="0"/>
    <n v="0"/>
    <n v="0"/>
    <n v="0"/>
    <n v="0"/>
    <n v="0"/>
    <n v="0"/>
  </r>
  <r>
    <d v="2018-08-19T00:00:00"/>
    <n v="2018"/>
    <x v="33"/>
    <s v="R"/>
    <s v="RS"/>
    <x v="8"/>
    <s v="CON"/>
    <s v="A"/>
    <n v="1"/>
    <n v="1"/>
    <n v="0"/>
    <n v="0"/>
    <n v="0"/>
    <n v="0"/>
    <n v="1553.0928069491383"/>
    <n v="1610.3204600238989"/>
    <n v="0.30725760159540877"/>
    <n v="86"/>
    <n v="89"/>
    <n v="0"/>
    <n v="-3"/>
    <n v="0"/>
    <n v="0.27697467874399584"/>
    <n v="1"/>
    <n v="70.900000000000006"/>
    <n v="70.900000000000006"/>
    <n v="-6.0337726024919158"/>
    <n v="1547.0590343466465"/>
    <n v="0"/>
    <n v="1"/>
    <n v="0"/>
    <n v="0"/>
    <n v="0"/>
    <n v="0"/>
    <n v="0"/>
    <n v="0"/>
    <n v="0"/>
    <n v="0"/>
  </r>
  <r>
    <d v="2018-08-19T00:00:00"/>
    <n v="2018"/>
    <x v="33"/>
    <s v="R"/>
    <s v="RS"/>
    <x v="6"/>
    <s v="LAS"/>
    <s v="H"/>
    <n v="1"/>
    <n v="1"/>
    <n v="0"/>
    <n v="0"/>
    <n v="0"/>
    <n v="0"/>
    <n v="1610.3204600238989"/>
    <n v="1553.0928069491383"/>
    <n v="0.69274239840459118"/>
    <n v="89"/>
    <n v="86"/>
    <n v="0"/>
    <n v="3"/>
    <n v="1"/>
    <n v="0.27697467874399584"/>
    <n v="1"/>
    <n v="70.900000000000006"/>
    <n v="70.900000000000006"/>
    <n v="6.0337726024919167"/>
    <n v="1616.3542326263907"/>
    <n v="1"/>
    <n v="0"/>
    <n v="0"/>
    <n v="0"/>
    <n v="0"/>
    <n v="0"/>
    <n v="0"/>
    <n v="0"/>
    <n v="0"/>
    <n v="0"/>
  </r>
  <r>
    <d v="2018-08-19T00:00:00"/>
    <n v="2018"/>
    <x v="33"/>
    <s v="R"/>
    <s v="RS"/>
    <x v="7"/>
    <s v="LVA"/>
    <s v="A"/>
    <n v="1"/>
    <n v="1"/>
    <n v="0"/>
    <n v="0"/>
    <n v="0"/>
    <n v="0"/>
    <n v="1581.1292226433363"/>
    <n v="1459.6081957549354"/>
    <n v="0.55378815477397203"/>
    <n v="93"/>
    <n v="78"/>
    <n v="0"/>
    <n v="15"/>
    <n v="1"/>
    <n v="0.45660842421501119"/>
    <n v="1"/>
    <n v="70.900000000000006"/>
    <n v="70.900000000000006"/>
    <n v="14.445455804794294"/>
    <n v="1595.5746784481307"/>
    <n v="1"/>
    <n v="0"/>
    <n v="0"/>
    <n v="0"/>
    <n v="0"/>
    <n v="0"/>
    <n v="0"/>
    <n v="0"/>
    <n v="0"/>
    <n v="0"/>
  </r>
  <r>
    <d v="2018-08-19T00:00:00"/>
    <n v="2018"/>
    <x v="33"/>
    <s v="R"/>
    <s v="RS"/>
    <x v="5"/>
    <s v="ATL"/>
    <s v="H"/>
    <n v="1"/>
    <n v="1"/>
    <n v="0"/>
    <n v="0"/>
    <n v="0"/>
    <n v="0"/>
    <n v="1459.6081957549354"/>
    <n v="1581.1292226433363"/>
    <n v="0.44621184522602797"/>
    <n v="78"/>
    <n v="93"/>
    <n v="0"/>
    <n v="-15"/>
    <n v="0"/>
    <n v="0.45660842421501119"/>
    <n v="1"/>
    <n v="70.900000000000006"/>
    <n v="70.900000000000006"/>
    <n v="-14.445455804794294"/>
    <n v="1445.162739950141"/>
    <n v="0"/>
    <n v="1"/>
    <n v="0"/>
    <n v="0"/>
    <n v="0"/>
    <n v="0"/>
    <n v="0"/>
    <n v="0"/>
    <n v="0"/>
    <n v="0"/>
  </r>
  <r>
    <d v="2018-08-19T00:00:00"/>
    <n v="2018"/>
    <x v="33"/>
    <s v="R"/>
    <s v="RS"/>
    <x v="11"/>
    <s v="MIN"/>
    <s v="A"/>
    <n v="1"/>
    <n v="1"/>
    <n v="0"/>
    <n v="0"/>
    <n v="0"/>
    <n v="0"/>
    <n v="1604.3989899380854"/>
    <n v="1539.3684790125792"/>
    <n v="0.47272780490259364"/>
    <n v="83"/>
    <n v="88"/>
    <n v="0"/>
    <n v="-5"/>
    <n v="0"/>
    <n v="0.31470163534809842"/>
    <n v="1"/>
    <n v="70.900000000000006"/>
    <n v="70.900000000000006"/>
    <n v="-10.547666321365041"/>
    <n v="1593.8513236167203"/>
    <n v="0"/>
    <n v="1"/>
    <n v="0"/>
    <n v="0"/>
    <n v="0"/>
    <n v="0"/>
    <n v="0"/>
    <n v="0"/>
    <n v="0"/>
    <n v="0"/>
  </r>
  <r>
    <d v="2018-08-19T00:00:00"/>
    <n v="2018"/>
    <x v="33"/>
    <s v="R"/>
    <s v="RS"/>
    <x v="9"/>
    <s v="WAS"/>
    <s v="H"/>
    <n v="1"/>
    <n v="1"/>
    <n v="0"/>
    <n v="0"/>
    <n v="0"/>
    <n v="0"/>
    <n v="1539.3684790125792"/>
    <n v="1604.3989899380854"/>
    <n v="0.5272721950974063"/>
    <n v="88"/>
    <n v="83"/>
    <n v="0"/>
    <n v="5"/>
    <n v="1"/>
    <n v="0.31470163534809842"/>
    <n v="1"/>
    <n v="70.900000000000006"/>
    <n v="70.900000000000006"/>
    <n v="10.547666321365041"/>
    <n v="1549.9161453339443"/>
    <n v="1"/>
    <n v="0"/>
    <n v="0"/>
    <n v="0"/>
    <n v="0"/>
    <n v="0"/>
    <n v="0"/>
    <n v="0"/>
    <n v="0"/>
    <n v="0"/>
  </r>
  <r>
    <d v="2018-08-19T00:00:00"/>
    <n v="2018"/>
    <x v="33"/>
    <s v="R"/>
    <s v="RS"/>
    <x v="4"/>
    <s v="PHX"/>
    <s v="A"/>
    <n v="1"/>
    <n v="1"/>
    <n v="0"/>
    <n v="0"/>
    <n v="0"/>
    <n v="0"/>
    <n v="1335.1475454887338"/>
    <n v="1539.2112905326051"/>
    <n v="0.15999998167837698"/>
    <n v="85"/>
    <n v="96"/>
    <n v="0"/>
    <n v="-11"/>
    <n v="0"/>
    <n v="0.37591111242080111"/>
    <n v="1"/>
    <n v="70.900000000000006"/>
    <n v="70.900000000000006"/>
    <n v="-4.2643351709918784"/>
    <n v="1330.8832103177419"/>
    <n v="0"/>
    <n v="1"/>
    <n v="0"/>
    <n v="0"/>
    <n v="0"/>
    <n v="0"/>
    <n v="0"/>
    <n v="0"/>
    <n v="0"/>
    <n v="0"/>
  </r>
  <r>
    <d v="2018-08-19T00:00:00"/>
    <n v="2018"/>
    <x v="33"/>
    <s v="R"/>
    <s v="RS"/>
    <x v="1"/>
    <s v="NYL"/>
    <s v="H"/>
    <n v="1"/>
    <n v="1"/>
    <n v="0"/>
    <n v="0"/>
    <n v="0"/>
    <n v="0"/>
    <n v="1539.2112905326051"/>
    <n v="1335.1475454887338"/>
    <n v="0.84000001832162308"/>
    <n v="96"/>
    <n v="85"/>
    <n v="0"/>
    <n v="11"/>
    <n v="1"/>
    <n v="0.37591111242080111"/>
    <n v="1"/>
    <n v="70.900000000000006"/>
    <n v="70.900000000000006"/>
    <n v="4.2643351709918766"/>
    <n v="1543.475625703597"/>
    <n v="1"/>
    <n v="0"/>
    <n v="0"/>
    <n v="0"/>
    <n v="0"/>
    <n v="0"/>
    <n v="0"/>
    <n v="0"/>
    <n v="0"/>
    <n v="0"/>
  </r>
  <r>
    <d v="2018-08-19T00:00:00"/>
    <n v="2018"/>
    <x v="33"/>
    <s v="R"/>
    <s v="RS"/>
    <x v="0"/>
    <s v="SEA"/>
    <s v="A"/>
    <n v="1"/>
    <n v="1"/>
    <n v="0"/>
    <n v="0"/>
    <n v="0"/>
    <n v="0"/>
    <n v="1472.8359769846443"/>
    <n v="1663.1459902091042"/>
    <n v="0.17092930651632296"/>
    <n v="68"/>
    <n v="84"/>
    <n v="0"/>
    <n v="-16"/>
    <n v="0"/>
    <n v="0.4469098494766871"/>
    <n v="1"/>
    <n v="70.900000000000006"/>
    <n v="70.900000000000006"/>
    <n v="-5.4160503368272366"/>
    <n v="1467.419926647817"/>
    <n v="0"/>
    <n v="1"/>
    <n v="0"/>
    <n v="0"/>
    <n v="0"/>
    <n v="0"/>
    <n v="0"/>
    <n v="0"/>
    <n v="0"/>
    <n v="0"/>
  </r>
  <r>
    <d v="2018-08-19T00:00:00"/>
    <n v="2018"/>
    <x v="33"/>
    <s v="R"/>
    <s v="RS"/>
    <x v="10"/>
    <s v="DAL"/>
    <s v="H"/>
    <n v="1"/>
    <n v="1"/>
    <n v="0"/>
    <n v="0"/>
    <n v="0"/>
    <n v="0"/>
    <n v="1663.1459902091042"/>
    <n v="1472.8359769846443"/>
    <n v="0.82907069348367701"/>
    <n v="84"/>
    <n v="68"/>
    <n v="0"/>
    <n v="16"/>
    <n v="1"/>
    <n v="0.4469098494766871"/>
    <n v="1"/>
    <n v="70.900000000000006"/>
    <n v="70.900000000000006"/>
    <n v="5.4160503368272375"/>
    <n v="1668.5620405459315"/>
    <n v="1"/>
    <n v="0"/>
    <n v="0"/>
    <n v="0"/>
    <n v="0"/>
    <n v="0"/>
    <n v="0"/>
    <n v="0"/>
    <n v="0"/>
    <n v="0"/>
  </r>
  <r>
    <d v="2018-08-21T00:00:00"/>
    <n v="2018"/>
    <x v="34"/>
    <s v="P"/>
    <n v="0.5"/>
    <x v="9"/>
    <s v="LAS"/>
    <s v="A"/>
    <n v="1"/>
    <n v="1"/>
    <n v="0"/>
    <n v="0"/>
    <n v="0"/>
    <n v="0"/>
    <n v="1549.9161453339443"/>
    <n v="1547.0590343466465"/>
    <n v="0.38530380743228276"/>
    <n v="68"/>
    <n v="75"/>
    <n v="0"/>
    <n v="-7"/>
    <n v="0"/>
    <n v="0.36922806784593554"/>
    <n v="1.05"/>
    <n v="70.75"/>
    <n v="74.287500000000009"/>
    <n v="-10.568509727892083"/>
    <n v="1539.3476356060523"/>
    <n v="0"/>
    <n v="0"/>
    <n v="0"/>
    <n v="0"/>
    <n v="0"/>
    <n v="0"/>
    <n v="0"/>
    <n v="0"/>
    <n v="0"/>
    <n v="0"/>
  </r>
  <r>
    <d v="2018-08-21T00:00:00"/>
    <n v="2018"/>
    <x v="34"/>
    <s v="P"/>
    <n v="0.5"/>
    <x v="8"/>
    <s v="MIN"/>
    <s v="H"/>
    <n v="1"/>
    <n v="1"/>
    <n v="0"/>
    <n v="0"/>
    <n v="0"/>
    <n v="0"/>
    <n v="1547.0590343466465"/>
    <n v="1549.9161453339443"/>
    <n v="0.61469619256771724"/>
    <n v="75"/>
    <n v="68"/>
    <n v="0"/>
    <n v="7"/>
    <n v="1"/>
    <n v="0.36922806784593554"/>
    <n v="1.05"/>
    <n v="70.75"/>
    <n v="74.287500000000009"/>
    <n v="10.568509727892083"/>
    <n v="1557.6275440745385"/>
    <n v="0"/>
    <n v="0"/>
    <n v="0"/>
    <n v="0"/>
    <n v="0"/>
    <n v="0"/>
    <n v="0"/>
    <n v="0"/>
    <n v="0"/>
    <n v="0"/>
  </r>
  <r>
    <d v="2018-08-21T00:00:00"/>
    <n v="2018"/>
    <x v="34"/>
    <s v="P"/>
    <n v="0.5"/>
    <x v="0"/>
    <s v="PHX"/>
    <s v="A"/>
    <n v="1"/>
    <n v="1"/>
    <n v="0"/>
    <n v="0"/>
    <n v="0"/>
    <n v="0"/>
    <n v="1467.419926647817"/>
    <n v="1543.475625703597"/>
    <n v="0.28468195204108959"/>
    <n v="83"/>
    <n v="101"/>
    <n v="0"/>
    <n v="-18"/>
    <n v="0"/>
    <n v="0.51424143870611794"/>
    <n v="1.05"/>
    <n v="70.75"/>
    <n v="74.287500000000009"/>
    <n v="-10.875337624024416"/>
    <n v="1456.5445890237925"/>
    <n v="0"/>
    <n v="0"/>
    <n v="0"/>
    <n v="0"/>
    <n v="0"/>
    <n v="0"/>
    <n v="0"/>
    <n v="0"/>
    <n v="0"/>
    <n v="0"/>
  </r>
  <r>
    <d v="2018-08-21T00:00:00"/>
    <n v="2018"/>
    <x v="34"/>
    <s v="P"/>
    <n v="0.5"/>
    <x v="1"/>
    <s v="DAL"/>
    <s v="H"/>
    <n v="1"/>
    <n v="1"/>
    <n v="0"/>
    <n v="0"/>
    <n v="0"/>
    <n v="0"/>
    <n v="1543.475625703597"/>
    <n v="1467.419926647817"/>
    <n v="0.71531804795891041"/>
    <n v="101"/>
    <n v="83"/>
    <n v="0"/>
    <n v="18"/>
    <n v="1"/>
    <n v="0.51424143870611794"/>
    <n v="1.05"/>
    <n v="70.75"/>
    <n v="74.287500000000009"/>
    <n v="10.875337624024416"/>
    <n v="1554.3509633276215"/>
    <n v="0"/>
    <n v="0"/>
    <n v="0"/>
    <n v="0"/>
    <n v="0"/>
    <n v="0"/>
    <n v="0"/>
    <n v="0"/>
    <n v="0"/>
    <n v="0"/>
  </r>
  <r>
    <d v="2018-08-23T00:00:00"/>
    <n v="2018"/>
    <x v="35"/>
    <s v="P"/>
    <n v="1"/>
    <x v="1"/>
    <s v="CON"/>
    <s v="A"/>
    <n v="1"/>
    <n v="3"/>
    <n v="-2"/>
    <n v="2"/>
    <n v="-16"/>
    <n v="16"/>
    <n v="1554.3509633276215"/>
    <n v="1616.3542326263907"/>
    <n v="0.26411889810351458"/>
    <n v="96"/>
    <n v="86"/>
    <n v="0"/>
    <n v="10"/>
    <n v="1"/>
    <n v="0.40234098559893161"/>
    <n v="1.1000000000000001"/>
    <n v="70.599999999999994"/>
    <n v="77.66"/>
    <n v="22.993194426552439"/>
    <n v="1577.3441577541739"/>
    <n v="0"/>
    <n v="0"/>
    <n v="1"/>
    <n v="0"/>
    <n v="0"/>
    <n v="0"/>
    <n v="0"/>
    <n v="0"/>
    <n v="0"/>
    <n v="0"/>
  </r>
  <r>
    <d v="2018-08-23T00:00:00"/>
    <n v="2018"/>
    <x v="34"/>
    <s v="P"/>
    <n v="1"/>
    <x v="6"/>
    <s v="PHX"/>
    <s v="H"/>
    <n v="3"/>
    <n v="1"/>
    <n v="2"/>
    <n v="-2"/>
    <n v="16"/>
    <n v="-16"/>
    <n v="1616.3542326263907"/>
    <n v="1554.3509633276215"/>
    <n v="0.73588110189648537"/>
    <n v="86"/>
    <n v="96"/>
    <n v="0"/>
    <n v="-10"/>
    <n v="0"/>
    <n v="0.40234098559893161"/>
    <n v="1.1000000000000001"/>
    <n v="70.75"/>
    <n v="77.825000000000003"/>
    <n v="-23.042046822642845"/>
    <n v="1593.312185803748"/>
    <n v="0"/>
    <n v="0"/>
    <n v="0"/>
    <n v="1"/>
    <n v="0"/>
    <n v="0"/>
    <n v="0"/>
    <n v="0"/>
    <n v="0"/>
    <n v="0"/>
  </r>
  <r>
    <d v="2018-08-23T00:00:00"/>
    <n v="2018"/>
    <x v="35"/>
    <s v="P"/>
    <n v="1"/>
    <x v="8"/>
    <s v="WAS"/>
    <s v="A"/>
    <n v="1"/>
    <n v="3"/>
    <n v="-2"/>
    <n v="2"/>
    <n v="-16"/>
    <n v="16"/>
    <n v="1557.6275440745385"/>
    <n v="1593.8513236167203"/>
    <n v="0.29395121573556587"/>
    <n v="64"/>
    <n v="96"/>
    <n v="0"/>
    <n v="-32"/>
    <n v="0"/>
    <n v="0.70603127792190423"/>
    <n v="1.1000000000000001"/>
    <n v="70.599999999999994"/>
    <n v="77.66"/>
    <n v="-16.117459518565916"/>
    <n v="1541.5100845559725"/>
    <n v="0"/>
    <n v="0"/>
    <n v="0"/>
    <n v="1"/>
    <n v="0"/>
    <n v="0"/>
    <n v="0"/>
    <n v="0"/>
    <n v="0"/>
    <n v="0"/>
  </r>
  <r>
    <d v="2018-08-23T00:00:00"/>
    <n v="2018"/>
    <x v="34"/>
    <s v="P"/>
    <n v="1"/>
    <x v="11"/>
    <s v="LAS"/>
    <s v="H"/>
    <n v="3"/>
    <n v="1"/>
    <n v="2"/>
    <n v="-2"/>
    <n v="16"/>
    <n v="-16"/>
    <n v="1593.8513236167203"/>
    <n v="1557.6275440745385"/>
    <n v="0.70604878426443407"/>
    <n v="96"/>
    <n v="64"/>
    <n v="0"/>
    <n v="32"/>
    <n v="1"/>
    <n v="0.70603127792190423"/>
    <n v="1.1000000000000001"/>
    <n v="70.75"/>
    <n v="77.825000000000003"/>
    <n v="16.151703412727176"/>
    <n v="1610.0030270294474"/>
    <n v="0"/>
    <n v="0"/>
    <n v="1"/>
    <n v="0"/>
    <n v="0"/>
    <n v="0"/>
    <n v="0"/>
    <n v="0"/>
    <n v="0"/>
    <n v="0"/>
  </r>
  <r>
    <d v="2018-08-26T00:00:00"/>
    <n v="2018"/>
    <x v="35"/>
    <s v="P"/>
    <n v="2"/>
    <x v="11"/>
    <s v="ATL"/>
    <s v="A"/>
    <n v="2"/>
    <n v="6"/>
    <n v="-4"/>
    <n v="4"/>
    <n v="-16"/>
    <n v="16"/>
    <n v="1610.0030270294474"/>
    <n v="1595.5746784481307"/>
    <n v="0.35785335292346709"/>
    <n v="87"/>
    <n v="84"/>
    <n v="0"/>
    <n v="3"/>
    <n v="1"/>
    <n v="0.28673591630600281"/>
    <n v="1.2"/>
    <n v="70.599999999999994"/>
    <n v="84.719999999999985"/>
    <n v="15.599197694416299"/>
    <n v="1625.6022247238636"/>
    <n v="0"/>
    <n v="0"/>
    <n v="0"/>
    <n v="0"/>
    <n v="1"/>
    <n v="0"/>
    <n v="0"/>
    <n v="0"/>
    <n v="0"/>
    <n v="0"/>
  </r>
  <r>
    <d v="2018-08-26T00:00:00"/>
    <n v="2018"/>
    <x v="34"/>
    <s v="P"/>
    <n v="2"/>
    <x v="7"/>
    <s v="WAS"/>
    <s v="H"/>
    <n v="6"/>
    <n v="2"/>
    <n v="4"/>
    <n v="-4"/>
    <n v="16"/>
    <n v="-16"/>
    <n v="1595.5746784481307"/>
    <n v="1610.0030270294474"/>
    <n v="0.64214664707653291"/>
    <n v="84"/>
    <n v="87"/>
    <n v="0"/>
    <n v="-3"/>
    <n v="0"/>
    <n v="0.28673591630600281"/>
    <n v="1.2"/>
    <n v="70.75"/>
    <n v="84.899999999999991"/>
    <n v="-15.632340465721718"/>
    <n v="1579.9423379824091"/>
    <n v="0"/>
    <n v="0"/>
    <n v="0"/>
    <n v="0"/>
    <n v="0"/>
    <n v="1"/>
    <n v="0"/>
    <n v="0"/>
    <n v="0"/>
    <n v="0"/>
  </r>
  <r>
    <d v="2018-08-26T00:00:00"/>
    <n v="2018"/>
    <x v="36"/>
    <s v="P"/>
    <n v="2"/>
    <x v="1"/>
    <s v="SEA"/>
    <s v="A"/>
    <n v="2"/>
    <n v="6"/>
    <n v="-4"/>
    <n v="4"/>
    <n v="-16"/>
    <n v="16"/>
    <n v="1577.3441577541739"/>
    <n v="1668.5620405459315"/>
    <n v="0.2327510281696516"/>
    <n v="87"/>
    <n v="91"/>
    <n v="0"/>
    <n v="-4"/>
    <n v="0"/>
    <n v="0.28943161867974776"/>
    <n v="1.2"/>
    <n v="70.45"/>
    <n v="84.54"/>
    <n v="-5.6950799476210578"/>
    <n v="1571.6490778065529"/>
    <n v="0"/>
    <n v="0"/>
    <n v="0"/>
    <n v="0"/>
    <n v="0"/>
    <n v="1"/>
    <n v="0"/>
    <n v="0"/>
    <n v="0"/>
    <n v="0"/>
  </r>
  <r>
    <d v="2018-08-26T00:00:00"/>
    <n v="2018"/>
    <x v="34"/>
    <s v="P"/>
    <n v="2"/>
    <x v="10"/>
    <s v="PHX"/>
    <s v="H"/>
    <n v="6"/>
    <n v="2"/>
    <n v="4"/>
    <n v="-4"/>
    <n v="16"/>
    <n v="-16"/>
    <n v="1668.5620405459315"/>
    <n v="1577.3441577541739"/>
    <n v="0.76724897183034846"/>
    <n v="91"/>
    <n v="87"/>
    <n v="0"/>
    <n v="4"/>
    <n v="1"/>
    <n v="0.28943161867974776"/>
    <n v="1.2"/>
    <n v="70.75"/>
    <n v="84.899999999999991"/>
    <n v="5.7193315300807619"/>
    <n v="1674.2813720760123"/>
    <n v="0"/>
    <n v="0"/>
    <n v="0"/>
    <n v="0"/>
    <n v="1"/>
    <n v="0"/>
    <n v="0"/>
    <n v="0"/>
    <n v="0"/>
    <n v="0"/>
  </r>
  <r>
    <d v="2018-08-28T00:00:00"/>
    <n v="2018"/>
    <x v="36"/>
    <s v="P"/>
    <n v="2"/>
    <x v="11"/>
    <s v="ATL"/>
    <s v="A"/>
    <n v="1"/>
    <n v="1"/>
    <n v="0"/>
    <n v="0"/>
    <n v="0"/>
    <n v="0"/>
    <n v="1625.6022247238636"/>
    <n v="1579.9423379824091"/>
    <n v="0.44504702414901504"/>
    <n v="75"/>
    <n v="78"/>
    <n v="0"/>
    <n v="-3"/>
    <n v="0"/>
    <n v="0.27954679204559246"/>
    <n v="1.2"/>
    <n v="70.45"/>
    <n v="84.54"/>
    <n v="-10.517745497136296"/>
    <n v="1615.0844792267274"/>
    <n v="0"/>
    <n v="0"/>
    <n v="0"/>
    <n v="0"/>
    <n v="0"/>
    <n v="1"/>
    <n v="0"/>
    <n v="0"/>
    <n v="0"/>
    <n v="0"/>
  </r>
  <r>
    <d v="2018-08-28T00:00:00"/>
    <n v="2018"/>
    <x v="35"/>
    <s v="P"/>
    <n v="2"/>
    <x v="7"/>
    <s v="WAS"/>
    <s v="H"/>
    <n v="1"/>
    <n v="1"/>
    <n v="0"/>
    <n v="0"/>
    <n v="0"/>
    <n v="0"/>
    <n v="1579.9423379824091"/>
    <n v="1625.6022247238636"/>
    <n v="0.55495297585098502"/>
    <n v="78"/>
    <n v="75"/>
    <n v="0"/>
    <n v="3"/>
    <n v="1"/>
    <n v="0.27954679204559246"/>
    <n v="1.2"/>
    <n v="70.599999999999994"/>
    <n v="84.719999999999985"/>
    <n v="10.540139561360144"/>
    <n v="1590.4824775437692"/>
    <n v="0"/>
    <n v="0"/>
    <n v="0"/>
    <n v="0"/>
    <n v="1"/>
    <n v="0"/>
    <n v="0"/>
    <n v="0"/>
    <n v="0"/>
    <n v="0"/>
  </r>
  <r>
    <d v="2018-08-28T00:00:00"/>
    <n v="2018"/>
    <x v="37"/>
    <s v="P"/>
    <n v="2"/>
    <x v="1"/>
    <s v="SEA"/>
    <s v="A"/>
    <n v="1"/>
    <n v="1"/>
    <n v="0"/>
    <n v="0"/>
    <n v="0"/>
    <n v="0"/>
    <n v="1571.6490778065529"/>
    <n v="1674.2813720760123"/>
    <n v="0.25457826225747993"/>
    <n v="87"/>
    <n v="91"/>
    <n v="1"/>
    <n v="-4"/>
    <n v="0"/>
    <n v="0.25820590751192729"/>
    <n v="1.2"/>
    <n v="70.3"/>
    <n v="84.36"/>
    <n v="-5.5452874441222111"/>
    <n v="1566.1037903624306"/>
    <n v="0"/>
    <n v="0"/>
    <n v="0"/>
    <n v="0"/>
    <n v="0"/>
    <n v="1"/>
    <n v="0"/>
    <n v="0"/>
    <n v="0"/>
    <n v="0"/>
  </r>
  <r>
    <d v="2018-08-28T00:00:00"/>
    <n v="2018"/>
    <x v="35"/>
    <s v="P"/>
    <n v="2"/>
    <x v="10"/>
    <s v="PHX"/>
    <s v="H"/>
    <n v="1"/>
    <n v="1"/>
    <n v="0"/>
    <n v="0"/>
    <n v="0"/>
    <n v="0"/>
    <n v="1674.2813720760123"/>
    <n v="1571.6490778065529"/>
    <n v="0.74542173774251996"/>
    <n v="91"/>
    <n v="87"/>
    <n v="1"/>
    <n v="4"/>
    <n v="1"/>
    <n v="0.25820590751192729"/>
    <n v="1.2"/>
    <n v="70.599999999999994"/>
    <n v="84.719999999999985"/>
    <n v="5.5689515441682529"/>
    <n v="1679.8503236201805"/>
    <n v="0"/>
    <n v="0"/>
    <n v="0"/>
    <n v="0"/>
    <n v="1"/>
    <n v="0"/>
    <n v="0"/>
    <n v="0"/>
    <n v="0"/>
    <n v="0"/>
  </r>
  <r>
    <d v="2018-08-31T00:00:00"/>
    <n v="2018"/>
    <x v="36"/>
    <s v="P"/>
    <n v="2"/>
    <x v="10"/>
    <s v="PHX"/>
    <s v="A"/>
    <n v="2"/>
    <n v="2"/>
    <n v="0"/>
    <n v="0"/>
    <n v="0"/>
    <n v="0"/>
    <n v="1679.8503236201805"/>
    <n v="1566.1037903624306"/>
    <n v="0.54270440754392857"/>
    <n v="66"/>
    <n v="86"/>
    <n v="0"/>
    <n v="-20"/>
    <n v="0"/>
    <n v="0.52511257938007405"/>
    <n v="1.2"/>
    <n v="70.45"/>
    <n v="84.54"/>
    <n v="-24.092286240146105"/>
    <n v="1655.7580373800345"/>
    <n v="0"/>
    <n v="0"/>
    <n v="0"/>
    <n v="0"/>
    <n v="0"/>
    <n v="1"/>
    <n v="0"/>
    <n v="0"/>
    <n v="0"/>
    <n v="0"/>
  </r>
  <r>
    <d v="2018-08-31T00:00:00"/>
    <n v="2018"/>
    <x v="38"/>
    <s v="P"/>
    <n v="2"/>
    <x v="1"/>
    <s v="SEA"/>
    <s v="H"/>
    <n v="2"/>
    <n v="2"/>
    <n v="0"/>
    <n v="0"/>
    <n v="0"/>
    <n v="0"/>
    <n v="1566.1037903624306"/>
    <n v="1679.8503236201805"/>
    <n v="0.45729559245607143"/>
    <n v="86"/>
    <n v="66"/>
    <n v="0"/>
    <n v="20"/>
    <n v="1"/>
    <n v="0.52511257938007405"/>
    <n v="1.2"/>
    <n v="70.150000000000006"/>
    <n v="84.18"/>
    <n v="23.989693112083028"/>
    <n v="1590.0934834745135"/>
    <n v="0"/>
    <n v="0"/>
    <n v="0"/>
    <n v="0"/>
    <n v="1"/>
    <n v="0"/>
    <n v="0"/>
    <n v="0"/>
    <n v="0"/>
    <n v="0"/>
  </r>
  <r>
    <d v="2018-08-31T00:00:00"/>
    <n v="2018"/>
    <x v="36"/>
    <s v="P"/>
    <n v="2"/>
    <x v="7"/>
    <s v="WAS"/>
    <s v="A"/>
    <n v="2"/>
    <n v="2"/>
    <n v="0"/>
    <n v="0"/>
    <n v="0"/>
    <n v="0"/>
    <n v="1590.4824775437692"/>
    <n v="1615.0844792267274"/>
    <n v="0.34860803506210281"/>
    <n v="81"/>
    <n v="76"/>
    <n v="0"/>
    <n v="5"/>
    <n v="1"/>
    <n v="0.325091066327168"/>
    <n v="1.2"/>
    <n v="70.45"/>
    <n v="84.54"/>
    <n v="17.902334834781712"/>
    <n v="1608.3848123785508"/>
    <n v="0"/>
    <n v="0"/>
    <n v="0"/>
    <n v="0"/>
    <n v="1"/>
    <n v="0"/>
    <n v="0"/>
    <n v="0"/>
    <n v="0"/>
    <n v="0"/>
  </r>
  <r>
    <d v="2018-08-31T00:00:00"/>
    <n v="2018"/>
    <x v="37"/>
    <s v="P"/>
    <n v="2"/>
    <x v="11"/>
    <s v="ATL"/>
    <s v="H"/>
    <n v="2"/>
    <n v="2"/>
    <n v="0"/>
    <n v="0"/>
    <n v="0"/>
    <n v="0"/>
    <n v="1615.0844792267274"/>
    <n v="1590.4824775437692"/>
    <n v="0.65139196493789719"/>
    <n v="76"/>
    <n v="81"/>
    <n v="0"/>
    <n v="-5"/>
    <n v="0"/>
    <n v="0.325091066327168"/>
    <n v="1.2"/>
    <n v="70.3"/>
    <n v="84.36"/>
    <n v="-17.864217727255557"/>
    <n v="1597.2202614994717"/>
    <n v="0"/>
    <n v="0"/>
    <n v="0"/>
    <n v="0"/>
    <n v="0"/>
    <n v="1"/>
    <n v="0"/>
    <n v="0"/>
    <n v="0"/>
    <n v="0"/>
  </r>
  <r>
    <d v="2018-09-02T00:00:00"/>
    <n v="2018"/>
    <x v="37"/>
    <s v="P"/>
    <n v="2"/>
    <x v="10"/>
    <s v="PHX"/>
    <s v="A"/>
    <n v="1"/>
    <n v="1"/>
    <n v="0"/>
    <n v="0"/>
    <n v="0"/>
    <n v="0"/>
    <n v="1655.7580373800345"/>
    <n v="1590.0934834745135"/>
    <n v="0.47363764099867517"/>
    <n v="84"/>
    <n v="86"/>
    <n v="0"/>
    <n v="-2"/>
    <n v="0"/>
    <n v="0.25394531590524128"/>
    <n v="1.2"/>
    <n v="70.3"/>
    <n v="84.36"/>
    <n v="-10.14665717264632"/>
    <n v="1645.611380207388"/>
    <n v="0"/>
    <n v="0"/>
    <n v="0"/>
    <n v="0"/>
    <n v="0"/>
    <n v="1"/>
    <n v="0"/>
    <n v="0"/>
    <n v="0"/>
    <n v="0"/>
  </r>
  <r>
    <d v="2018-09-02T00:00:00"/>
    <n v="2018"/>
    <x v="39"/>
    <s v="P"/>
    <n v="2"/>
    <x v="1"/>
    <s v="SEA"/>
    <s v="H"/>
    <n v="1"/>
    <n v="1"/>
    <n v="0"/>
    <n v="0"/>
    <n v="0"/>
    <n v="0"/>
    <n v="1590.0934834745135"/>
    <n v="1655.7580373800345"/>
    <n v="0.52636235900132489"/>
    <n v="86"/>
    <n v="84"/>
    <n v="0"/>
    <n v="2"/>
    <n v="1"/>
    <n v="0.25394531590524128"/>
    <n v="1.2"/>
    <n v="70"/>
    <n v="84"/>
    <n v="10.103357070913832"/>
    <n v="1600.1968405454274"/>
    <n v="0"/>
    <n v="0"/>
    <n v="0"/>
    <n v="0"/>
    <n v="1"/>
    <n v="0"/>
    <n v="0"/>
    <n v="0"/>
    <n v="0"/>
    <n v="0"/>
  </r>
  <r>
    <d v="2018-09-02T00:00:00"/>
    <n v="2018"/>
    <x v="37"/>
    <s v="P"/>
    <n v="2"/>
    <x v="7"/>
    <s v="WAS"/>
    <s v="A"/>
    <n v="1"/>
    <n v="1"/>
    <n v="0"/>
    <n v="0"/>
    <n v="0"/>
    <n v="0"/>
    <n v="1608.3848123785508"/>
    <n v="1597.2202614994717"/>
    <n v="0.39669035734058422"/>
    <n v="76"/>
    <n v="97"/>
    <n v="0"/>
    <n v="-21"/>
    <n v="0"/>
    <n v="0.58315077568299767"/>
    <n v="1.2"/>
    <n v="70.3"/>
    <n v="84.36"/>
    <n v="-19.515023229738773"/>
    <n v="1588.8697891488121"/>
    <n v="0"/>
    <n v="0"/>
    <n v="0"/>
    <n v="0"/>
    <n v="0"/>
    <n v="1"/>
    <n v="0"/>
    <n v="0"/>
    <n v="0"/>
    <n v="0"/>
  </r>
  <r>
    <d v="2018-09-02T00:00:00"/>
    <n v="2018"/>
    <x v="38"/>
    <s v="P"/>
    <n v="2"/>
    <x v="11"/>
    <s v="ATL"/>
    <s v="H"/>
    <n v="1"/>
    <n v="1"/>
    <n v="0"/>
    <n v="0"/>
    <n v="0"/>
    <n v="0"/>
    <n v="1597.2202614994717"/>
    <n v="1608.3848123785508"/>
    <n v="0.60330964265941578"/>
    <n v="97"/>
    <n v="76"/>
    <n v="0"/>
    <n v="21"/>
    <n v="1"/>
    <n v="0.58315077568299767"/>
    <n v="1.2"/>
    <n v="70.150000000000006"/>
    <n v="84.18"/>
    <n v="19.473383777612732"/>
    <n v="1616.6936452770844"/>
    <n v="0"/>
    <n v="0"/>
    <n v="0"/>
    <n v="0"/>
    <n v="1"/>
    <n v="0"/>
    <n v="0"/>
    <n v="0"/>
    <n v="0"/>
    <n v="0"/>
  </r>
  <r>
    <d v="2018-09-04T00:00:00"/>
    <n v="2018"/>
    <x v="39"/>
    <s v="P"/>
    <n v="2"/>
    <x v="11"/>
    <s v="ATL"/>
    <s v="A"/>
    <n v="1"/>
    <n v="1"/>
    <n v="0"/>
    <n v="0"/>
    <n v="0"/>
    <n v="0"/>
    <n v="1616.6936452770844"/>
    <n v="1588.8697891488121"/>
    <n v="0.4198532413936179"/>
    <n v="86"/>
    <n v="81"/>
    <n v="0"/>
    <n v="5"/>
    <n v="1"/>
    <n v="0.32423801554797815"/>
    <n v="1.2"/>
    <n v="70"/>
    <n v="84"/>
    <n v="15.800873233918519"/>
    <n v="1632.494518511003"/>
    <n v="0"/>
    <n v="0"/>
    <n v="0"/>
    <n v="0"/>
    <n v="1"/>
    <n v="0"/>
    <n v="0"/>
    <n v="0"/>
    <n v="0"/>
    <n v="0"/>
  </r>
  <r>
    <d v="2018-09-04T00:00:00"/>
    <n v="2018"/>
    <x v="38"/>
    <s v="P"/>
    <n v="2"/>
    <x v="7"/>
    <s v="WAS"/>
    <s v="H"/>
    <n v="1"/>
    <n v="1"/>
    <n v="0"/>
    <n v="0"/>
    <n v="0"/>
    <n v="0"/>
    <n v="1588.8697891488121"/>
    <n v="1616.6936452770844"/>
    <n v="0.5801467586063821"/>
    <n v="81"/>
    <n v="86"/>
    <n v="0"/>
    <n v="-5"/>
    <n v="0"/>
    <n v="0.32423801554797815"/>
    <n v="1.2"/>
    <n v="70.150000000000006"/>
    <n v="84.18"/>
    <n v="-15.834732247991205"/>
    <n v="1573.0350569008208"/>
    <n v="0"/>
    <n v="0"/>
    <n v="0"/>
    <n v="0"/>
    <n v="0"/>
    <n v="1"/>
    <n v="0"/>
    <n v="0"/>
    <n v="0"/>
    <n v="0"/>
  </r>
  <r>
    <d v="2018-09-04T00:00:00"/>
    <n v="2018"/>
    <x v="40"/>
    <s v="P"/>
    <n v="2"/>
    <x v="1"/>
    <s v="SEA"/>
    <s v="A"/>
    <n v="1"/>
    <n v="1"/>
    <n v="0"/>
    <n v="0"/>
    <n v="0"/>
    <n v="0"/>
    <n v="1600.1968405454274"/>
    <n v="1645.611380207388"/>
    <n v="0.32191830456384279"/>
    <n v="84"/>
    <n v="94"/>
    <n v="0"/>
    <n v="-10"/>
    <n v="0"/>
    <n v="0.40770010548982305"/>
    <n v="1.2"/>
    <n v="69.849999999999994"/>
    <n v="83.82"/>
    <n v="-11.001050342490469"/>
    <n v="1589.1957902029369"/>
    <n v="0"/>
    <n v="0"/>
    <n v="0"/>
    <n v="0"/>
    <n v="0"/>
    <n v="1"/>
    <n v="0"/>
    <n v="0"/>
    <n v="0"/>
    <n v="0"/>
  </r>
  <r>
    <d v="2018-09-04T00:00:00"/>
    <n v="2018"/>
    <x v="38"/>
    <s v="P"/>
    <n v="2"/>
    <x v="10"/>
    <s v="PHX"/>
    <s v="H"/>
    <n v="1"/>
    <n v="1"/>
    <n v="0"/>
    <n v="0"/>
    <n v="0"/>
    <n v="0"/>
    <n v="1645.611380207388"/>
    <n v="1600.1968405454274"/>
    <n v="0.67808169543615726"/>
    <n v="94"/>
    <n v="84"/>
    <n v="0"/>
    <n v="10"/>
    <n v="1"/>
    <n v="0.40770010548982305"/>
    <n v="1.2"/>
    <n v="70.150000000000006"/>
    <n v="84.18"/>
    <n v="11.048298948113191"/>
    <n v="1656.6596791555012"/>
    <n v="0"/>
    <n v="0"/>
    <n v="0"/>
    <n v="0"/>
    <n v="1"/>
    <n v="0"/>
    <n v="0"/>
    <n v="0"/>
    <n v="0"/>
    <n v="0"/>
  </r>
  <r>
    <d v="2018-09-07T00:00:00"/>
    <n v="2018"/>
    <x v="40"/>
    <s v="P"/>
    <n v="3"/>
    <x v="11"/>
    <s v="SEA"/>
    <s v="A"/>
    <n v="2"/>
    <n v="2"/>
    <n v="0"/>
    <n v="0"/>
    <n v="0"/>
    <n v="0"/>
    <n v="1632.494518511003"/>
    <n v="1656.6596791555012"/>
    <n v="0.34917928222530481"/>
    <n v="76"/>
    <n v="89"/>
    <n v="0"/>
    <n v="-13"/>
    <n v="0"/>
    <n v="0.46272555778234636"/>
    <n v="1.35"/>
    <n v="69.849999999999994"/>
    <n v="94.297499999999999"/>
    <n v="-15.236041062566677"/>
    <n v="1617.2584774484362"/>
    <n v="0"/>
    <n v="0"/>
    <n v="0"/>
    <n v="0"/>
    <n v="0"/>
    <n v="0"/>
    <n v="0"/>
    <n v="1"/>
    <n v="0"/>
    <n v="0"/>
  </r>
  <r>
    <d v="2018-09-07T00:00:00"/>
    <n v="2018"/>
    <x v="39"/>
    <s v="P"/>
    <n v="3"/>
    <x v="10"/>
    <s v="WAS"/>
    <s v="H"/>
    <n v="2"/>
    <n v="2"/>
    <n v="0"/>
    <n v="0"/>
    <n v="0"/>
    <n v="0"/>
    <n v="1656.6596791555012"/>
    <n v="1632.494518511003"/>
    <n v="0.65082071777469519"/>
    <n v="89"/>
    <n v="76"/>
    <n v="0"/>
    <n v="13"/>
    <n v="1"/>
    <n v="0.46272555778234636"/>
    <n v="1.35"/>
    <n v="70"/>
    <n v="94.5"/>
    <n v="15.268759833638763"/>
    <n v="1671.92843898914"/>
    <n v="0"/>
    <n v="0"/>
    <n v="0"/>
    <n v="0"/>
    <n v="0"/>
    <n v="0"/>
    <n v="1"/>
    <n v="0"/>
    <n v="0"/>
    <n v="0"/>
  </r>
  <r>
    <d v="2018-09-09T00:00:00"/>
    <n v="2018"/>
    <x v="41"/>
    <s v="P"/>
    <n v="3"/>
    <x v="11"/>
    <s v="SEA"/>
    <s v="A"/>
    <n v="1"/>
    <n v="1"/>
    <n v="0"/>
    <n v="0"/>
    <n v="0"/>
    <n v="0"/>
    <n v="1617.2584774484362"/>
    <n v="1671.92843898914"/>
    <n v="0.31040031365371901"/>
    <n v="73"/>
    <n v="75"/>
    <n v="0"/>
    <n v="-2"/>
    <n v="0"/>
    <n v="0.25617062241365912"/>
    <n v="1.35"/>
    <n v="69.7"/>
    <n v="94.095000000000013"/>
    <n v="-7.4820054722772893"/>
    <n v="1609.776471976159"/>
    <n v="0"/>
    <n v="0"/>
    <n v="0"/>
    <n v="0"/>
    <n v="0"/>
    <n v="0"/>
    <n v="0"/>
    <n v="1"/>
    <n v="0"/>
    <n v="0"/>
  </r>
  <r>
    <d v="2018-09-09T00:00:00"/>
    <n v="2018"/>
    <x v="40"/>
    <s v="P"/>
    <n v="3"/>
    <x v="10"/>
    <s v="WAS"/>
    <s v="H"/>
    <n v="1"/>
    <n v="1"/>
    <n v="0"/>
    <n v="0"/>
    <n v="0"/>
    <n v="0"/>
    <n v="1671.92843898914"/>
    <n v="1617.2584774484362"/>
    <n v="0.68959968634628099"/>
    <n v="75"/>
    <n v="73"/>
    <n v="0"/>
    <n v="2"/>
    <n v="1"/>
    <n v="0.25617062241365912"/>
    <n v="1.35"/>
    <n v="69.849999999999994"/>
    <n v="94.297499999999999"/>
    <n v="7.4981073491903674"/>
    <n v="1679.4265463383304"/>
    <n v="0"/>
    <n v="0"/>
    <n v="0"/>
    <n v="0"/>
    <n v="0"/>
    <n v="0"/>
    <n v="1"/>
    <n v="0"/>
    <n v="0"/>
    <n v="0"/>
  </r>
  <r>
    <d v="2018-09-12T00:00:00"/>
    <n v="2018"/>
    <x v="41"/>
    <s v="P"/>
    <n v="3"/>
    <x v="10"/>
    <s v="WAS"/>
    <s v="A"/>
    <n v="2"/>
    <n v="2"/>
    <n v="0"/>
    <n v="0"/>
    <n v="0"/>
    <n v="0"/>
    <n v="1679.4265463383304"/>
    <n v="1609.776471976159"/>
    <n v="0.47936053184064453"/>
    <n v="98"/>
    <n v="82"/>
    <n v="0"/>
    <n v="16"/>
    <n v="1"/>
    <n v="0.48938148493254396"/>
    <n v="1.35"/>
    <n v="69.7"/>
    <n v="94.095000000000013"/>
    <n v="23.974588883001665"/>
    <n v="1703.401135221332"/>
    <n v="0"/>
    <n v="0"/>
    <n v="0"/>
    <n v="0"/>
    <n v="0"/>
    <n v="0"/>
    <n v="1"/>
    <n v="0"/>
    <n v="0"/>
    <n v="0"/>
  </r>
  <r>
    <d v="2018-09-12T00:00:00"/>
    <n v="2018"/>
    <x v="42"/>
    <s v="P"/>
    <n v="3"/>
    <x v="11"/>
    <s v="SEA"/>
    <s v="H"/>
    <n v="2"/>
    <n v="2"/>
    <n v="0"/>
    <n v="0"/>
    <n v="0"/>
    <n v="0"/>
    <n v="1609.776471976159"/>
    <n v="1679.4265463383304"/>
    <n v="0.52063946815935547"/>
    <n v="82"/>
    <n v="98"/>
    <n v="0"/>
    <n v="-16"/>
    <n v="0"/>
    <n v="0.48938148493254396"/>
    <n v="1.35"/>
    <n v="69.55"/>
    <n v="93.892499999999998"/>
    <n v="-23.922993641503094"/>
    <n v="1585.8534783346558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7"/>
        <item m="1" x="51"/>
        <item m="1" x="29"/>
        <item m="1" x="27"/>
        <item m="1" x="39"/>
        <item m="1" x="55"/>
        <item m="1" x="17"/>
        <item x="2"/>
        <item m="1" x="41"/>
        <item m="1" x="18"/>
        <item x="6"/>
        <item x="0"/>
        <item m="1" x="34"/>
        <item m="1" x="14"/>
        <item m="1" x="56"/>
        <item m="1" x="36"/>
        <item m="1" x="16"/>
        <item x="3"/>
        <item m="1" x="50"/>
        <item m="1" x="49"/>
        <item m="1" x="26"/>
        <item m="1" x="25"/>
        <item m="1" x="58"/>
        <item x="8"/>
        <item m="1" x="57"/>
        <item x="5"/>
        <item m="1" x="28"/>
        <item m="1" x="20"/>
        <item m="1" x="35"/>
        <item x="9"/>
        <item m="1" x="43"/>
        <item m="1" x="23"/>
        <item m="1" x="31"/>
        <item m="1" x="44"/>
        <item m="1" x="52"/>
        <item x="4"/>
        <item m="1" x="45"/>
        <item m="1" x="33"/>
        <item m="1" x="22"/>
        <item m="1" x="30"/>
        <item x="1"/>
        <item m="1" x="47"/>
        <item m="1" x="21"/>
        <item m="1" x="32"/>
        <item m="1" x="15"/>
        <item m="1" x="12"/>
        <item m="1" x="42"/>
        <item x="10"/>
        <item m="1" x="53"/>
        <item m="1" x="48"/>
        <item m="1" x="54"/>
        <item m="1" x="46"/>
        <item m="1" x="24"/>
        <item m="1" x="13"/>
        <item m="1" x="19"/>
        <item m="1" x="38"/>
        <item x="11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16"/>
    <tableColumn id="5" xr3:uid="{A9DA91BA-5529-4913-978B-19C8EF225B29}" name="TeamName" dataDxfId="15"/>
    <tableColumn id="2" xr3:uid="{AA4C8157-DB69-4779-8EEE-6F419B992D71}" name="PreSeasonElo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3" totalsRowShown="0" headerRowDxfId="56" dataDxfId="55">
  <autoFilter ref="A1:AL443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4"/>
    <tableColumn id="21" xr3:uid="{D754AB95-C77C-4DD5-B1B9-A24A4FEE7279}" name="Season" dataDxfId="53"/>
    <tableColumn id="19" xr3:uid="{4C42B78B-6AFC-42C3-A5F4-3266E247C458}" name="GamesPlayed" dataDxfId="52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1"/>
    <tableColumn id="14" xr3:uid="{EFA83923-8CCA-4DC9-BC85-5D86949A45D9}" name="Round" dataDxfId="50"/>
    <tableColumn id="2" xr3:uid="{6E102E51-A49B-416B-8CD2-B93B2A4EA389}" name="Team" dataDxfId="49"/>
    <tableColumn id="3" xr3:uid="{19101345-1C34-4AF3-88E6-76A7F19B7FE6}" name="Opponent" dataDxfId="48"/>
    <tableColumn id="16" xr3:uid="{4CBCDF29-B095-48DF-8EF6-06DC7D78C844}" name="HomeAway" dataDxfId="47"/>
    <tableColumn id="32" xr3:uid="{E3FA53E3-DAD6-4BC2-969A-C53F4798E86D}" name="DaysOff" dataDxfId="46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5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4">
      <calculatedColumnFormula>Games[[#This Row],[DaysOff]]-Games[[#This Row],[OppDaysOff]]</calculatedColumnFormula>
    </tableColumn>
    <tableColumn id="35" xr3:uid="{3F2DB366-7372-41BA-8B0C-09F9BA7EA850}" name="OppRestDiff" dataDxfId="43">
      <calculatedColumnFormula>Games[[#This Row],[OppDaysOff]]-Games[[#This Row],[DaysOff]]</calculatedColumnFormula>
    </tableColumn>
    <tableColumn id="36" xr3:uid="{BDD0FD2C-608F-4CCC-867B-4481F0F4B802}" name="RestAdj" dataDxfId="42">
      <calculatedColumnFormula>MAX(-16, MIN(16, Games[[#This Row],[RestDiff]]*8))</calculatedColumnFormula>
    </tableColumn>
    <tableColumn id="37" xr3:uid="{5F89213A-4C28-428C-B766-3B05D4F530A5}" name="OppRestAdj" dataDxfId="41">
      <calculatedColumnFormula>MAX(-16, MIN(16, Games[[#This Row],[OppRestDiff]]*8))</calculatedColumnFormula>
    </tableColumn>
    <tableColumn id="4" xr3:uid="{68053CFA-948B-4F2C-A114-7C46ABD9EA33}" name="PreGmRate" dataDxfId="40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9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8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7"/>
    <tableColumn id="8" xr3:uid="{0CDDF0F9-2F1E-487C-96DD-90F70CE7DAFC}" name="PointsAgainst" dataDxfId="36"/>
    <tableColumn id="22" xr3:uid="{AB7B5B5C-5BAD-4213-990E-8EB9B177497C}" name="OT" dataDxfId="35"/>
    <tableColumn id="9" xr3:uid="{CE171F1D-5E5D-4800-A6DC-8F6DBD74C939}" name="MOV" dataDxfId="34">
      <calculatedColumnFormula>Games[[#This Row],[PointsFor]]-Games[[#This Row],[PointsAgainst]]</calculatedColumnFormula>
    </tableColumn>
    <tableColumn id="10" xr3:uid="{883A3911-25F6-4C39-9637-F1C42D6A1FC2}" name="Result" dataDxfId="33">
      <calculatedColumnFormula>IF(Games[[#This Row],[MOV]]&gt;0,1,IF(Games[[#This Row],[MOV]]=0,0.5,0))</calculatedColumnFormula>
    </tableColumn>
    <tableColumn id="15" xr3:uid="{00048431-5FD6-47EE-807E-5B63FD521193}" name="MOVMult" dataDxfId="32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1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0">
      <calculatedColumnFormula>MAX(kmin, kmax - 0.15 * MIN(Games[[#This Row],[GamesPlayed]], 82))</calculatedColumnFormula>
    </tableColumn>
    <tableColumn id="29" xr3:uid="{FBA5D644-15ED-4725-9E52-1D37FD0FAC64}" name="Keff" dataDxfId="29">
      <calculatedColumnFormula>Games[[#This Row],[K]]*Games[[#This Row],[POMult]]</calculatedColumnFormula>
    </tableColumn>
    <tableColumn id="11" xr3:uid="{309DAEBD-E62C-4090-89E9-A58FD32AB89B}" name="RatingChange" dataDxfId="28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7">
      <calculatedColumnFormula>Games[[#This Row],[PreGmRate]]+Games[[#This Row],[RatingChange]]</calculatedColumnFormula>
    </tableColumn>
    <tableColumn id="17" xr3:uid="{90B7BF87-E472-4474-A10D-555BD3BF8F04}" name="W" dataDxfId="26">
      <calculatedColumnFormula>IF(Games[[#This Row],[Type]]="R",IF(Games[[#This Row],[Result]]&gt;0.5,1,0),0)</calculatedColumnFormula>
    </tableColumn>
    <tableColumn id="18" xr3:uid="{29756EA1-783D-4C76-A7B8-F906AF0EC7E7}" name="L" dataDxfId="25">
      <calculatedColumnFormula>IF(Games[[#This Row],[Type]]="R",IF(Games[[#This Row],[Result]]&lt;0.5,1,0),0)</calculatedColumnFormula>
    </tableColumn>
    <tableColumn id="23" xr3:uid="{C253CFA7-28A4-4AE5-B131-DC1E8F2B73F8}" name="R1W" dataDxfId="24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3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2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1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0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9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8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7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/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1397.7110956933234</v>
      </c>
    </row>
    <row r="3" spans="1:4" x14ac:dyDescent="0.35">
      <c r="A3" t="s">
        <v>75</v>
      </c>
      <c r="B3" s="8"/>
      <c r="C3" s="15" t="s">
        <v>76</v>
      </c>
      <c r="D3" s="13">
        <v>1405.7671849944759</v>
      </c>
    </row>
    <row r="4" spans="1:4" x14ac:dyDescent="0.35">
      <c r="A4" t="s">
        <v>74</v>
      </c>
      <c r="B4" s="8"/>
      <c r="C4" s="15" t="s">
        <v>73</v>
      </c>
      <c r="D4" s="13">
        <v>1547.522643705888</v>
      </c>
    </row>
    <row r="5" spans="1:4" x14ac:dyDescent="0.35">
      <c r="A5" t="s">
        <v>85</v>
      </c>
      <c r="B5" s="8"/>
      <c r="C5" s="15" t="s">
        <v>84</v>
      </c>
      <c r="D5" s="13">
        <v>1444.7478550690989</v>
      </c>
    </row>
    <row r="6" spans="1:4" x14ac:dyDescent="0.35">
      <c r="A6" t="s">
        <v>69</v>
      </c>
      <c r="B6" s="8"/>
      <c r="C6" s="15" t="s">
        <v>70</v>
      </c>
      <c r="D6" s="13">
        <v>1321.0528232274944</v>
      </c>
    </row>
    <row r="7" spans="1:4" x14ac:dyDescent="0.35">
      <c r="A7" t="s">
        <v>86</v>
      </c>
      <c r="B7" s="8"/>
      <c r="C7" s="15" t="s">
        <v>87</v>
      </c>
      <c r="D7" s="13">
        <v>1344.8246752721536</v>
      </c>
    </row>
    <row r="8" spans="1:4" x14ac:dyDescent="0.35">
      <c r="A8" t="s">
        <v>63</v>
      </c>
      <c r="B8" s="8"/>
      <c r="C8" s="15" t="s">
        <v>64</v>
      </c>
      <c r="D8" s="13">
        <v>1705.9329146513551</v>
      </c>
    </row>
    <row r="9" spans="1:4" x14ac:dyDescent="0.35">
      <c r="A9" t="s">
        <v>67</v>
      </c>
      <c r="B9" s="8"/>
      <c r="C9" s="15" t="s">
        <v>68</v>
      </c>
      <c r="D9" s="13">
        <v>1744.3715968303979</v>
      </c>
    </row>
    <row r="10" spans="1:4" x14ac:dyDescent="0.35">
      <c r="A10" t="s">
        <v>60</v>
      </c>
      <c r="B10" s="8"/>
      <c r="C10" s="15" t="s">
        <v>61</v>
      </c>
      <c r="D10" s="13">
        <v>1584.2889781346132</v>
      </c>
    </row>
    <row r="11" spans="1:4" x14ac:dyDescent="0.35">
      <c r="A11" t="s">
        <v>40</v>
      </c>
      <c r="B11" s="8"/>
      <c r="C11" s="15" t="s">
        <v>62</v>
      </c>
      <c r="D11" s="13">
        <v>1532.0466962364003</v>
      </c>
    </row>
    <row r="12" spans="1:4" x14ac:dyDescent="0.35">
      <c r="A12" t="s">
        <v>71</v>
      </c>
      <c r="B12" s="8"/>
      <c r="C12" s="15" t="s">
        <v>72</v>
      </c>
      <c r="D12" s="13">
        <v>1471.7630647678818</v>
      </c>
    </row>
    <row r="13" spans="1:4" x14ac:dyDescent="0.35">
      <c r="A13" t="s">
        <v>65</v>
      </c>
      <c r="B13" s="8"/>
      <c r="C13" s="15" t="s">
        <v>66</v>
      </c>
      <c r="D13" s="13">
        <v>1500.6795785918312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A2" sqref="A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SEA</v>
      </c>
      <c r="B2">
        <v>0</v>
      </c>
      <c r="C2" t="str">
        <v>Seattle Storm</v>
      </c>
      <c r="D2" s="1">
        <v>26</v>
      </c>
      <c r="E2" s="1">
        <v>8</v>
      </c>
      <c r="F2" s="3">
        <v>0.76470588235294112</v>
      </c>
      <c r="G2" s="9">
        <v>1698.3366090729573</v>
      </c>
      <c r="H2" s="1">
        <v>43355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CON</v>
      </c>
      <c r="B3">
        <v>0</v>
      </c>
      <c r="C3" t="str">
        <v>Connecticut Sun</v>
      </c>
      <c r="D3" s="1">
        <v>21</v>
      </c>
      <c r="E3" s="1">
        <v>13</v>
      </c>
      <c r="F3" s="3">
        <v>0.61764705882352944</v>
      </c>
      <c r="G3" s="9">
        <v>1587.5730321782896</v>
      </c>
      <c r="H3" s="1">
        <v>43335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1326.749249667102</v>
      </c>
      <c r="AY3" s="1">
        <f>_xlfn.MAXIFS(Games[Date], Games[Team], AK3)</f>
        <v>43331</v>
      </c>
      <c r="AZ3">
        <f t="shared" si="2"/>
        <v>0</v>
      </c>
    </row>
    <row r="4" spans="1:68" x14ac:dyDescent="0.35">
      <c r="A4" t="str">
        <v>PHX</v>
      </c>
      <c r="B4">
        <v>0</v>
      </c>
      <c r="C4" t="str">
        <v>Phoenix Mercury</v>
      </c>
      <c r="D4" s="1">
        <v>20</v>
      </c>
      <c r="E4" s="1">
        <v>14</v>
      </c>
      <c r="F4" s="3">
        <v>0.58823529411764708</v>
      </c>
      <c r="G4" s="9">
        <v>1583.9486870151416</v>
      </c>
      <c r="H4" s="1">
        <v>43347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WAS</v>
      </c>
      <c r="B5">
        <v>0</v>
      </c>
      <c r="C5" t="str">
        <v>Washington Mystics</v>
      </c>
      <c r="D5" s="1">
        <v>22</v>
      </c>
      <c r="E5" s="1">
        <v>12</v>
      </c>
      <c r="F5" s="3">
        <v>0.6470588235294118</v>
      </c>
      <c r="G5" s="9">
        <v>1581.158651388223</v>
      </c>
      <c r="H5" s="1">
        <v>43355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ATL</v>
      </c>
      <c r="B6">
        <v>0</v>
      </c>
      <c r="C6" t="str">
        <v>Atlanta Dream</v>
      </c>
      <c r="D6" s="1">
        <v>23</v>
      </c>
      <c r="E6" s="1">
        <v>11</v>
      </c>
      <c r="F6" s="3">
        <v>0.67647058823529416</v>
      </c>
      <c r="G6" s="9">
        <v>1568.0594810287992</v>
      </c>
      <c r="H6" s="1">
        <v>43347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1</v>
      </c>
      <c r="AO6" s="1">
        <f>_xlfn.XLOOKUP($AK6,StandingsPivot!$A$4:$A$33,StandingsPivot!E$4:E$33)</f>
        <v>0</v>
      </c>
      <c r="AP6" s="1">
        <f>_xlfn.XLOOKUP($AK6,StandingsPivot!$A$4:$A$33,StandingsPivot!F$4:F$33)</f>
        <v>2</v>
      </c>
      <c r="AQ6" s="1">
        <f>_xlfn.XLOOKUP($AK6,StandingsPivot!$A$4:$A$33,StandingsPivot!G$4:G$33)</f>
        <v>3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3</v>
      </c>
      <c r="AW6" s="1">
        <f t="shared" si="3"/>
        <v>3</v>
      </c>
      <c r="AX6" s="4" cm="1">
        <f t="array" ref="AX6">_xlfn.IFNA(INDEX(Games[PostGmRate], MATCH(1, (Games[Team]=AK6)*(Games[Date]=AY6), 0)),0)</f>
        <v>1583.9486870151416</v>
      </c>
      <c r="AY6" s="1">
        <f>_xlfn.MAXIFS(Games[Date], Games[Team], AK6)</f>
        <v>43347</v>
      </c>
      <c r="AZ6">
        <f>SUM(AV6:AW6)</f>
        <v>6</v>
      </c>
      <c r="BO6" s="4"/>
      <c r="BP6" s="1"/>
    </row>
    <row r="7" spans="1:68" x14ac:dyDescent="0.35">
      <c r="A7" t="str">
        <v>LAS</v>
      </c>
      <c r="B7">
        <v>0</v>
      </c>
      <c r="C7" t="str">
        <v>Los Angeles Sparks</v>
      </c>
      <c r="D7" s="1">
        <v>19</v>
      </c>
      <c r="E7" s="1">
        <v>15</v>
      </c>
      <c r="F7" s="3">
        <v>0.55882352941176472</v>
      </c>
      <c r="G7" s="9">
        <v>1535.9880904928918</v>
      </c>
      <c r="H7" s="1">
        <v>43335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1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1</v>
      </c>
      <c r="AX7" s="4" cm="1">
        <f t="array" ref="AX7">_xlfn.IFNA(INDEX(Games[PostGmRate], MATCH(1, (Games[Team]=AK7)*(Games[Date]=AY7), 0)),0)</f>
        <v>1535.9880904928918</v>
      </c>
      <c r="AY7" s="1">
        <f>_xlfn.MAXIFS(Games[Date], Games[Team], AK7)</f>
        <v>43335</v>
      </c>
      <c r="AZ7">
        <f>SUM(AV7:AW7)</f>
        <v>1</v>
      </c>
      <c r="BO7" s="4"/>
      <c r="BP7" s="1"/>
    </row>
    <row r="8" spans="1:68" x14ac:dyDescent="0.35">
      <c r="A8" t="str">
        <v>MIN</v>
      </c>
      <c r="B8">
        <v>0</v>
      </c>
      <c r="C8" t="str">
        <v>Minnesota Lynx</v>
      </c>
      <c r="D8" s="1">
        <v>18</v>
      </c>
      <c r="E8" s="1">
        <v>16</v>
      </c>
      <c r="F8" s="3">
        <v>0.52941176470588236</v>
      </c>
      <c r="G8" s="9">
        <v>1534.0252651249084</v>
      </c>
      <c r="H8" s="1">
        <v>43333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DAL</v>
      </c>
      <c r="B9">
        <v>0</v>
      </c>
      <c r="C9" t="str">
        <v>Dallas Wings</v>
      </c>
      <c r="D9" s="1">
        <v>15</v>
      </c>
      <c r="E9" s="1">
        <v>19</v>
      </c>
      <c r="F9" s="3">
        <v>0.44117647058823528</v>
      </c>
      <c r="G9" s="9">
        <v>1451.5296040728713</v>
      </c>
      <c r="H9" s="1">
        <v>43333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LVA</v>
      </c>
      <c r="B10">
        <v>0</v>
      </c>
      <c r="C10" t="str">
        <v>Las Vegas Aces</v>
      </c>
      <c r="D10" s="1">
        <v>14</v>
      </c>
      <c r="E10" s="1">
        <v>20</v>
      </c>
      <c r="F10" s="3">
        <v>0.41176470588235292</v>
      </c>
      <c r="G10" s="9">
        <v>1423.7956882148544</v>
      </c>
      <c r="H10" s="1">
        <v>43331</v>
      </c>
      <c r="O10" s="3"/>
      <c r="P10" s="4"/>
      <c r="Q10" s="1"/>
      <c r="AX10" s="4"/>
      <c r="BO10" s="4"/>
      <c r="BP10" s="1"/>
    </row>
    <row r="11" spans="1:68" x14ac:dyDescent="0.35">
      <c r="A11" t="str">
        <v>CHI</v>
      </c>
      <c r="B11">
        <v>0</v>
      </c>
      <c r="C11" t="str">
        <v>Chicago Sky</v>
      </c>
      <c r="D11" s="1">
        <v>13</v>
      </c>
      <c r="E11" s="1">
        <v>21</v>
      </c>
      <c r="F11" s="3">
        <v>0.38235294117647056</v>
      </c>
      <c r="G11" s="9">
        <v>1401.1928456953333</v>
      </c>
      <c r="H11" s="1">
        <v>43331</v>
      </c>
      <c r="O11" s="3"/>
      <c r="P11" s="4"/>
      <c r="Q11" s="1"/>
      <c r="AX11" s="4"/>
      <c r="BO11" s="4"/>
      <c r="BP11" s="1"/>
    </row>
    <row r="12" spans="1:68" x14ac:dyDescent="0.35">
      <c r="A12" t="str">
        <v>NYL</v>
      </c>
      <c r="B12">
        <v>0</v>
      </c>
      <c r="C12" t="str">
        <v>New York Liberty</v>
      </c>
      <c r="D12" s="1">
        <v>7</v>
      </c>
      <c r="E12" s="1">
        <v>27</v>
      </c>
      <c r="F12" s="3">
        <v>0.20588235294117646</v>
      </c>
      <c r="G12" s="9">
        <v>1326.749249667102</v>
      </c>
      <c r="H12" s="1">
        <v>43331</v>
      </c>
      <c r="O12" s="3"/>
      <c r="P12" s="4"/>
      <c r="Q12" s="1"/>
      <c r="AX12" s="4"/>
      <c r="BO12" s="4"/>
      <c r="BP12" s="1"/>
    </row>
    <row r="13" spans="1:68" x14ac:dyDescent="0.35">
      <c r="A13" t="str">
        <v>IND</v>
      </c>
      <c r="B13">
        <v>0</v>
      </c>
      <c r="C13" t="str">
        <v>Indiana Fever</v>
      </c>
      <c r="D13" s="1">
        <v>6</v>
      </c>
      <c r="E13" s="1">
        <v>28</v>
      </c>
      <c r="F13" s="3">
        <v>0.17647058823529413</v>
      </c>
      <c r="G13" s="9">
        <v>1307.7516852281901</v>
      </c>
      <c r="H13" s="1">
        <v>43331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23</v>
      </c>
      <c r="E25" s="1">
        <f>_xlfn.XLOOKUP($A25,StandingsPivot!$A$4:$A$35,StandingsPivot!C$4:C$35)</f>
        <v>11</v>
      </c>
      <c r="F25" s="3">
        <f>(D25)/(D25+E25)</f>
        <v>0.67647058823529416</v>
      </c>
      <c r="G25" s="9" cm="1">
        <f t="array" ref="G25">INDEX(Games[PostGmRate], MATCH(1, (Games[Team]=A25)*(Games[Date]=H25), 0))</f>
        <v>1568.0594810287992</v>
      </c>
      <c r="H25" s="1">
        <f>_xlfn.MAXIFS(Games[Date], Games[Team], A25)</f>
        <v>43347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13</v>
      </c>
      <c r="E26" s="1">
        <f>_xlfn.XLOOKUP($A26,StandingsPivot!$A$4:$A$35,StandingsPivot!C$4:C$35)</f>
        <v>21</v>
      </c>
      <c r="F26" s="3">
        <f>(D26)/(D26+E26)</f>
        <v>0.38235294117647056</v>
      </c>
      <c r="G26" s="9" cm="1">
        <f t="array" ref="G26">INDEX(Games[PostGmRate], MATCH(1, (Games[Team]=A26)*(Games[Date]=H26), 0))</f>
        <v>1401.1928456953333</v>
      </c>
      <c r="H26" s="1">
        <f>_xlfn.MAXIFS(Games[Date], Games[Team], A26)</f>
        <v>43331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21</v>
      </c>
      <c r="E27" s="1">
        <f>_xlfn.XLOOKUP($A27,StandingsPivot!$A$4:$A$35,StandingsPivot!C$4:C$35)</f>
        <v>13</v>
      </c>
      <c r="F27" s="3">
        <f>(D27)/(D27+E27)</f>
        <v>0.61764705882352944</v>
      </c>
      <c r="G27" s="9" cm="1">
        <f t="array" ref="G27">INDEX(Games[PostGmRate], MATCH(1, (Games[Team]=A27)*(Games[Date]=H27), 0))</f>
        <v>1587.5730321782896</v>
      </c>
      <c r="H27" s="1">
        <f>_xlfn.MAXIFS(Games[Date], Games[Team], A27)</f>
        <v>43335</v>
      </c>
      <c r="AR27" s="3"/>
      <c r="AS27" s="4"/>
      <c r="BD27" s="1"/>
      <c r="BG27" s="3"/>
      <c r="BH27" s="4"/>
    </row>
    <row r="28" spans="1:60" x14ac:dyDescent="0.35">
      <c r="A28" t="s">
        <v>85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15</v>
      </c>
      <c r="E28" s="1">
        <f>_xlfn.XLOOKUP($A28,StandingsPivot!$A$4:$A$35,StandingsPivot!C$4:C$35)</f>
        <v>19</v>
      </c>
      <c r="F28" s="3">
        <f>(D28)/(D28+E28)</f>
        <v>0.44117647058823528</v>
      </c>
      <c r="G28" s="9" cm="1">
        <f t="array" ref="G28">INDEX(Games[PostGmRate], MATCH(1, (Games[Team]=A28)*(Games[Date]=H28), 0))</f>
        <v>1451.5296040728713</v>
      </c>
      <c r="H28" s="1">
        <f>_xlfn.MAXIFS(Games[Date], Games[Team], A28)</f>
        <v>43333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6</v>
      </c>
      <c r="E29" s="1">
        <f>_xlfn.XLOOKUP($A29,StandingsPivot!$A$4:$A$35,StandingsPivot!C$4:C$35)</f>
        <v>28</v>
      </c>
      <c r="F29" s="3">
        <f>(D29)/(D29+E29)</f>
        <v>0.17647058823529413</v>
      </c>
      <c r="G29" s="9" cm="1">
        <f t="array" ref="G29">INDEX(Games[PostGmRate], MATCH(1, (Games[Team]=A29)*(Games[Date]=H29), 0))</f>
        <v>1307.7516852281901</v>
      </c>
      <c r="H29" s="1">
        <f>_xlfn.MAXIFS(Games[Date], Games[Team], A29)</f>
        <v>43331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19</v>
      </c>
      <c r="E30" s="1">
        <f>_xlfn.XLOOKUP($A30,StandingsPivot!$A$4:$A$35,StandingsPivot!C$4:C$35)</f>
        <v>15</v>
      </c>
      <c r="F30" s="3">
        <f>(D30)/(D30+E30)</f>
        <v>0.55882352941176472</v>
      </c>
      <c r="G30" s="9" cm="1">
        <f t="array" ref="G30">INDEX(Games[PostGmRate], MATCH(1, (Games[Team]=A30)*(Games[Date]=H30), 0))</f>
        <v>1535.9880904928918</v>
      </c>
      <c r="H30" s="1">
        <f>_xlfn.MAXIFS(Games[Date], Games[Team], A30)</f>
        <v>43335</v>
      </c>
      <c r="AR30" s="3"/>
      <c r="AS30" s="4"/>
      <c r="BD30" s="1"/>
      <c r="BG30" s="3"/>
      <c r="BH30" s="4"/>
    </row>
    <row r="31" spans="1:60" x14ac:dyDescent="0.35">
      <c r="A31" t="s">
        <v>86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14</v>
      </c>
      <c r="E31" s="1">
        <f>_xlfn.XLOOKUP($A31,StandingsPivot!$A$4:$A$35,StandingsPivot!C$4:C$35)</f>
        <v>20</v>
      </c>
      <c r="F31" s="3">
        <f>(D31)/(D31+E31)</f>
        <v>0.41176470588235292</v>
      </c>
      <c r="G31" s="9" cm="1">
        <f t="array" ref="G31">INDEX(Games[PostGmRate], MATCH(1, (Games[Team]=A31)*(Games[Date]=H31), 0))</f>
        <v>1423.7956882148544</v>
      </c>
      <c r="H31" s="1">
        <f>_xlfn.MAXIFS(Games[Date], Games[Team], A31)</f>
        <v>43331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18</v>
      </c>
      <c r="E32" s="1">
        <f>_xlfn.XLOOKUP($A32,StandingsPivot!$A$4:$A$35,StandingsPivot!C$4:C$35)</f>
        <v>16</v>
      </c>
      <c r="F32" s="3">
        <f>(D32)/(D32+E32)</f>
        <v>0.52941176470588236</v>
      </c>
      <c r="G32" s="9" cm="1">
        <f t="array" ref="G32">INDEX(Games[PostGmRate], MATCH(1, (Games[Team]=A32)*(Games[Date]=H32), 0))</f>
        <v>1534.0252651249084</v>
      </c>
      <c r="H32" s="1">
        <f>_xlfn.MAXIFS(Games[Date], Games[Team], A32)</f>
        <v>43333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7</v>
      </c>
      <c r="E33" s="1">
        <f>_xlfn.XLOOKUP($A33,StandingsPivot!$A$4:$A$35,StandingsPivot!C$4:C$35)</f>
        <v>27</v>
      </c>
      <c r="F33" s="3">
        <f>(D33)/(D33+E33)</f>
        <v>0.20588235294117646</v>
      </c>
      <c r="G33" s="9" cm="1">
        <f t="array" ref="G33">INDEX(Games[PostGmRate], MATCH(1, (Games[Team]=A33)*(Games[Date]=H33), 0))</f>
        <v>1326.749249667102</v>
      </c>
      <c r="H33" s="1">
        <f>_xlfn.MAXIFS(Games[Date], Games[Team], A33)</f>
        <v>43331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20</v>
      </c>
      <c r="E34" s="1">
        <f>_xlfn.XLOOKUP($A34,StandingsPivot!$A$4:$A$35,StandingsPivot!C$4:C$35)</f>
        <v>14</v>
      </c>
      <c r="F34" s="3">
        <f>(D34)/(D34+E34)</f>
        <v>0.58823529411764708</v>
      </c>
      <c r="G34" s="9" cm="1">
        <f t="array" ref="G34">INDEX(Games[PostGmRate], MATCH(1, (Games[Team]=A34)*(Games[Date]=H34), 0))</f>
        <v>1583.9486870151416</v>
      </c>
      <c r="H34" s="1">
        <f>_xlfn.MAXIFS(Games[Date], Games[Team], A34)</f>
        <v>43347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26</v>
      </c>
      <c r="E35" s="1">
        <f>_xlfn.XLOOKUP($A35,StandingsPivot!$A$4:$A$35,StandingsPivot!C$4:C$35)</f>
        <v>8</v>
      </c>
      <c r="F35" s="3">
        <f>(D35)/(D35+E35)</f>
        <v>0.76470588235294112</v>
      </c>
      <c r="G35" s="9" cm="1">
        <f t="array" ref="G35">INDEX(Games[PostGmRate], MATCH(1, (Games[Team]=A35)*(Games[Date]=H35), 0))</f>
        <v>1698.3366090729573</v>
      </c>
      <c r="H35" s="1">
        <f>_xlfn.MAXIFS(Games[Date], Games[Team], A35)</f>
        <v>43355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22</v>
      </c>
      <c r="E36" s="1">
        <f>_xlfn.XLOOKUP($A36,StandingsPivot!$A$4:$A$35,StandingsPivot!C$4:C$35)</f>
        <v>12</v>
      </c>
      <c r="F36" s="3">
        <f>(D36)/(D36+E36)</f>
        <v>0.6470588235294118</v>
      </c>
      <c r="G36" s="9" cm="1">
        <f t="array" ref="G36">INDEX(Games[PostGmRate], MATCH(1, (Games[Team]=A36)*(Games[Date]=H36), 0))</f>
        <v>1581.158651388223</v>
      </c>
      <c r="H36" s="1">
        <f>_xlfn.MAXIFS(Games[Date], Games[Team], A36)</f>
        <v>43355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23</v>
      </c>
      <c r="C4" s="2">
        <v>11</v>
      </c>
      <c r="D4" s="2">
        <v>0</v>
      </c>
      <c r="E4" s="2">
        <v>0</v>
      </c>
      <c r="F4" s="2">
        <v>2</v>
      </c>
      <c r="G4" s="2">
        <v>3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13</v>
      </c>
      <c r="C5" s="2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21</v>
      </c>
      <c r="C6" s="2">
        <v>13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85</v>
      </c>
      <c r="B7" s="2">
        <v>15</v>
      </c>
      <c r="C7" s="2">
        <v>19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6</v>
      </c>
      <c r="C8" s="2">
        <v>28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19</v>
      </c>
      <c r="C9" s="2">
        <v>15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86</v>
      </c>
      <c r="B10" s="2">
        <v>14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67</v>
      </c>
      <c r="B11" s="2">
        <v>18</v>
      </c>
      <c r="C11" s="2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60</v>
      </c>
      <c r="B12" s="2">
        <v>7</v>
      </c>
      <c r="C12" s="2">
        <v>27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40</v>
      </c>
      <c r="B13" s="2">
        <v>20</v>
      </c>
      <c r="C13" s="2">
        <v>14</v>
      </c>
      <c r="D13" s="2">
        <v>1</v>
      </c>
      <c r="E13" s="2">
        <v>0</v>
      </c>
      <c r="F13" s="2">
        <v>2</v>
      </c>
      <c r="G13" s="2">
        <v>3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26</v>
      </c>
      <c r="C14" s="2">
        <v>8</v>
      </c>
      <c r="D14" s="2">
        <v>0</v>
      </c>
      <c r="E14" s="2">
        <v>0</v>
      </c>
      <c r="F14" s="2">
        <v>3</v>
      </c>
      <c r="G14" s="2">
        <v>2</v>
      </c>
      <c r="H14" s="2">
        <v>3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22</v>
      </c>
      <c r="C15" s="2">
        <v>12</v>
      </c>
      <c r="D15" s="2">
        <v>1</v>
      </c>
      <c r="E15" s="2">
        <v>0</v>
      </c>
      <c r="F15" s="2">
        <v>3</v>
      </c>
      <c r="G15" s="2">
        <v>2</v>
      </c>
      <c r="H15" s="2">
        <v>0</v>
      </c>
      <c r="I15" s="2">
        <v>3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2</v>
      </c>
      <c r="E16" s="2">
        <v>2</v>
      </c>
      <c r="F16" s="2">
        <v>10</v>
      </c>
      <c r="G16" s="2">
        <v>10</v>
      </c>
      <c r="H16" s="2">
        <v>3</v>
      </c>
      <c r="I16" s="2">
        <v>3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3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43238</v>
      </c>
      <c r="B2" s="2">
        <v>2018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85</v>
      </c>
      <c r="G2" s="1" t="s">
        <v>40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1472.3739275345495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1516.0233481182001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0.32414028487414426</v>
      </c>
      <c r="R2" s="1">
        <v>78</v>
      </c>
      <c r="S2" s="1">
        <v>86</v>
      </c>
      <c r="T2" s="1">
        <v>0</v>
      </c>
      <c r="U2" s="1">
        <f>Games[[#This Row],[PointsFor]]-Games[[#This Row],[PointsAgainst]]</f>
        <v>-8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0.37468649467542114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-9.212057373248113</v>
      </c>
      <c r="AB2" s="4">
        <f>Games[[#This Row],[PreGmRate]]+Games[[#This Row],[RatingChange]]</f>
        <v>1463.1618701613013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43238</v>
      </c>
      <c r="B3" s="2">
        <v>2018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40</v>
      </c>
      <c r="G3" s="1" t="s">
        <v>85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1516.0233481182001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1472.3739275345495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0.67585971512585574</v>
      </c>
      <c r="R3" s="1">
        <v>86</v>
      </c>
      <c r="S3" s="1">
        <v>78</v>
      </c>
      <c r="T3" s="1">
        <v>0</v>
      </c>
      <c r="U3" s="1">
        <f>Games[[#This Row],[PointsFor]]-Games[[#This Row],[PointsAgainst]]</f>
        <v>8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0.37468649467542114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9.212057373248113</v>
      </c>
      <c r="AB3" s="4">
        <f>Games[[#This Row],[PreGmRate]]+Games[[#This Row],[RatingChange]]</f>
        <v>1525.2354054914483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43239</v>
      </c>
      <c r="B4" s="2">
        <v>2018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75</v>
      </c>
      <c r="G4" s="1" t="s">
        <v>69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1452.8835924972379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1410.5264116137473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0.44035650281389699</v>
      </c>
      <c r="R4" s="1">
        <v>82</v>
      </c>
      <c r="S4" s="1">
        <v>64</v>
      </c>
      <c r="T4" s="1">
        <v>0</v>
      </c>
      <c r="U4" s="1">
        <f>Games[[#This Row],[PointsFor]]-Games[[#This Row],[PointsAgainst]]</f>
        <v>18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0.52819006373427524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22.421118497820153</v>
      </c>
      <c r="AB4" s="4">
        <f>Games[[#This Row],[PreGmRate]]+Games[[#This Row],[RatingChange]]</f>
        <v>1475.304710995058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43239</v>
      </c>
      <c r="B5" s="2">
        <v>2018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69</v>
      </c>
      <c r="G5" s="1" t="s">
        <v>75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1410.5264116137473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1452.8835924972379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0.55964349718610307</v>
      </c>
      <c r="R5" s="1">
        <v>64</v>
      </c>
      <c r="S5" s="1">
        <v>82</v>
      </c>
      <c r="T5" s="1">
        <v>0</v>
      </c>
      <c r="U5" s="1">
        <f>Games[[#This Row],[PointsFor]]-Games[[#This Row],[PointsAgainst]]</f>
        <v>-18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0.52819006373427524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-22.421118497820153</v>
      </c>
      <c r="AB5" s="4">
        <f>Games[[#This Row],[PreGmRate]]+Games[[#This Row],[RatingChange]]</f>
        <v>1388.1052931159272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43240</v>
      </c>
      <c r="B6" s="2">
        <v>2018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60</v>
      </c>
      <c r="G6" s="1" t="s">
        <v>75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2</v>
      </c>
      <c r="L6" s="2">
        <f>Games[[#This Row],[OppDaysOff]]-Games[[#This Row],[DaysOff]]</f>
        <v>-2</v>
      </c>
      <c r="M6" s="1">
        <f>MAX(-16, MIN(16, Games[[#This Row],[RestDiff]]*8))</f>
        <v>16</v>
      </c>
      <c r="N6" s="1">
        <f>MAX(-16, MIN(16, Games[[#This Row],[OppRestDiff]]*8))</f>
        <v>-16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1542.1444890673065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1475.304710995058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0.52134317985083956</v>
      </c>
      <c r="R6" s="1">
        <v>76</v>
      </c>
      <c r="S6" s="1">
        <v>80</v>
      </c>
      <c r="T6" s="1">
        <v>0</v>
      </c>
      <c r="U6" s="1">
        <f>Games[[#This Row],[PointsFor]]-Games[[#This Row],[PointsAgainst]]</f>
        <v>-4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0.29500122142781487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-11.665492956542597</v>
      </c>
      <c r="AB6" s="4">
        <f>Games[[#This Row],[PreGmRate]]+Games[[#This Row],[RatingChange]]</f>
        <v>1530.478996110764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43240</v>
      </c>
      <c r="B7" s="2">
        <v>2018</v>
      </c>
      <c r="C7" s="2">
        <f>COUNTIFS(Games[Team],Games[[#This Row],[Team]],Games[Season],Games[[#This Row],[Season]],Games[Date],"&lt;=" &amp; Games[[#This Row],[Date]])</f>
        <v>2</v>
      </c>
      <c r="D7" s="2" t="s">
        <v>79</v>
      </c>
      <c r="E7" s="2" t="s">
        <v>80</v>
      </c>
      <c r="F7" s="1" t="s">
        <v>75</v>
      </c>
      <c r="G7" s="1" t="s">
        <v>60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" s="2">
        <f>Games[[#This Row],[DaysOff]]-Games[[#This Row],[OppDaysOff]]</f>
        <v>-2</v>
      </c>
      <c r="L7" s="2">
        <f>Games[[#This Row],[OppDaysOff]]-Games[[#This Row],[DaysOff]]</f>
        <v>2</v>
      </c>
      <c r="M7" s="1">
        <f>MAX(-16, MIN(16, Games[[#This Row],[RestDiff]]*8))</f>
        <v>-16</v>
      </c>
      <c r="N7" s="1">
        <f>MAX(-16, MIN(16, Games[[#This Row],[OppRestDiff]]*8))</f>
        <v>16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1475.304710995058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1542.1444890673065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0.47865682014916039</v>
      </c>
      <c r="R7" s="1">
        <v>80</v>
      </c>
      <c r="S7" s="1">
        <v>76</v>
      </c>
      <c r="T7" s="1">
        <v>0</v>
      </c>
      <c r="U7" s="1">
        <f>Games[[#This Row],[PointsFor]]-Games[[#This Row],[PointsAgainst]]</f>
        <v>4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0.29500122142781487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75.7</v>
      </c>
      <c r="Z7" s="4">
        <f>Games[[#This Row],[K]]*Games[[#This Row],[POMult]]</f>
        <v>75.7</v>
      </c>
      <c r="AA7" s="4">
        <f>(Games[[#This Row],[Keff]]*Games[[#This Row],[MOVMult]])*(Games[[#This Row],[Result]]-Games[[#This Row],[ExpectedWin%]])</f>
        <v>11.642423425316743</v>
      </c>
      <c r="AB7" s="4">
        <f>Games[[#This Row],[PreGmRate]]+Games[[#This Row],[RatingChange]]</f>
        <v>1486.9471344203748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43240</v>
      </c>
      <c r="B8" s="2">
        <v>2018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86</v>
      </c>
      <c r="G8" s="1" t="s">
        <v>74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1422.4123376360767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1523.7613218529441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0.25598268153181025</v>
      </c>
      <c r="R8" s="1">
        <v>65</v>
      </c>
      <c r="S8" s="1">
        <v>101</v>
      </c>
      <c r="T8" s="1">
        <v>0</v>
      </c>
      <c r="U8" s="1">
        <f>Games[[#This Row],[PointsFor]]-Games[[#This Row],[PointsAgainst]]</f>
        <v>-36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0.71330708318282698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-13.849774614080513</v>
      </c>
      <c r="AB8" s="4">
        <f>Games[[#This Row],[PreGmRate]]+Games[[#This Row],[RatingChange]]</f>
        <v>1408.5625630219961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43240</v>
      </c>
      <c r="B9" s="2">
        <v>2018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74</v>
      </c>
      <c r="G9" s="1" t="s">
        <v>86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1523.7613218529441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1422.4123376360767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0.74401731846818975</v>
      </c>
      <c r="R9" s="1">
        <v>101</v>
      </c>
      <c r="S9" s="1">
        <v>65</v>
      </c>
      <c r="T9" s="1">
        <v>0</v>
      </c>
      <c r="U9" s="1">
        <f>Games[[#This Row],[PointsFor]]-Games[[#This Row],[PointsAgainst]]</f>
        <v>36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0.71330708318282698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13.849774614080513</v>
      </c>
      <c r="AB9" s="4">
        <f>Games[[#This Row],[PreGmRate]]+Games[[#This Row],[RatingChange]]</f>
        <v>1537.6110964670247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43240</v>
      </c>
      <c r="B10" s="2">
        <v>2018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77</v>
      </c>
      <c r="G10" s="1" t="s">
        <v>85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1</v>
      </c>
      <c r="L10" s="2">
        <f>Games[[#This Row],[OppDaysOff]]-Games[[#This Row],[DaysOff]]</f>
        <v>-1</v>
      </c>
      <c r="M10" s="1">
        <f>MAX(-16, MIN(16, Games[[#This Row],[RestDiff]]*8))</f>
        <v>8</v>
      </c>
      <c r="N10" s="1">
        <f>MAX(-16, MIN(16, Games[[#This Row],[OppRestDiff]]*8))</f>
        <v>-8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1448.8555478466617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1463.1618701613013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0.38371881966601001</v>
      </c>
      <c r="R10" s="1">
        <v>78</v>
      </c>
      <c r="S10" s="1">
        <v>101</v>
      </c>
      <c r="T10" s="1">
        <v>0</v>
      </c>
      <c r="U10" s="1">
        <f>Games[[#This Row],[PointsFor]]-Games[[#This Row],[PointsAgainst]]</f>
        <v>-23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0.60808818129746467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-17.698450585826805</v>
      </c>
      <c r="AB10" s="4">
        <f>Games[[#This Row],[PreGmRate]]+Games[[#This Row],[RatingChange]]</f>
        <v>1431.1570972608349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43240</v>
      </c>
      <c r="B11" s="2">
        <v>2018</v>
      </c>
      <c r="C11" s="2">
        <f>COUNTIFS(Games[Team],Games[[#This Row],[Team]],Games[Season],Games[[#This Row],[Season]],Games[Date],"&lt;=" &amp; Games[[#This Row],[Date]])</f>
        <v>2</v>
      </c>
      <c r="D11" s="2" t="s">
        <v>79</v>
      </c>
      <c r="E11" s="2" t="s">
        <v>80</v>
      </c>
      <c r="F11" s="1" t="s">
        <v>85</v>
      </c>
      <c r="G11" s="1" t="s">
        <v>77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" s="2">
        <f>Games[[#This Row],[DaysOff]]-Games[[#This Row],[OppDaysOff]]</f>
        <v>-1</v>
      </c>
      <c r="L11" s="2">
        <f>Games[[#This Row],[OppDaysOff]]-Games[[#This Row],[DaysOff]]</f>
        <v>1</v>
      </c>
      <c r="M11" s="1">
        <f>MAX(-16, MIN(16, Games[[#This Row],[RestDiff]]*8))</f>
        <v>-8</v>
      </c>
      <c r="N11" s="1">
        <f>MAX(-16, MIN(16, Games[[#This Row],[OppRestDiff]]*8))</f>
        <v>8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1463.1618701613013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1448.8555478466617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0.61628118033398993</v>
      </c>
      <c r="R11" s="1">
        <v>101</v>
      </c>
      <c r="S11" s="1">
        <v>78</v>
      </c>
      <c r="T11" s="1">
        <v>0</v>
      </c>
      <c r="U11" s="1">
        <f>Games[[#This Row],[PointsFor]]-Games[[#This Row],[PointsAgainst]]</f>
        <v>23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0.60808818129746467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75.7</v>
      </c>
      <c r="Z11" s="4">
        <f>Games[[#This Row],[K]]*Games[[#This Row],[POMult]]</f>
        <v>75.7</v>
      </c>
      <c r="AA11" s="4">
        <f>(Games[[#This Row],[Keff]]*Games[[#This Row],[MOVMult]])*(Games[[#This Row],[Result]]-Games[[#This Row],[ExpectedWin%]])</f>
        <v>17.663450353949763</v>
      </c>
      <c r="AB11" s="4">
        <f>Games[[#This Row],[PreGmRate]]+Games[[#This Row],[RatingChange]]</f>
        <v>1480.825320515251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43240</v>
      </c>
      <c r="B12" s="2">
        <v>2018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63</v>
      </c>
      <c r="G12" s="1" t="s">
        <v>67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1602.9664573256775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1622.1857984151989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0.35567673582971909</v>
      </c>
      <c r="R12" s="1">
        <v>77</v>
      </c>
      <c r="S12" s="1">
        <v>76</v>
      </c>
      <c r="T12" s="1">
        <v>0</v>
      </c>
      <c r="U12" s="1">
        <f>Games[[#This Row],[PointsFor]]-Games[[#This Row],[PointsAgainst]]</f>
        <v>1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0.24033050927202887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11.745413323521252</v>
      </c>
      <c r="AB12" s="4">
        <f>Games[[#This Row],[PreGmRate]]+Games[[#This Row],[RatingChange]]</f>
        <v>1614.7118706491988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43240</v>
      </c>
      <c r="B13" s="2">
        <v>2018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67</v>
      </c>
      <c r="G13" s="1" t="s">
        <v>63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1622.1857984151989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1602.9664573256775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0.64432326417028085</v>
      </c>
      <c r="R13" s="1">
        <v>76</v>
      </c>
      <c r="S13" s="1">
        <v>77</v>
      </c>
      <c r="T13" s="1">
        <v>0</v>
      </c>
      <c r="U13" s="1">
        <f>Games[[#This Row],[PointsFor]]-Games[[#This Row],[PointsAgainst]]</f>
        <v>-1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0.24033050927202887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-11.745413323521248</v>
      </c>
      <c r="AB13" s="4">
        <f>Games[[#This Row],[PreGmRate]]+Games[[#This Row],[RatingChange]]</f>
        <v>1610.4403850916776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43240</v>
      </c>
      <c r="B14" s="2">
        <v>2018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40</v>
      </c>
      <c r="G14" s="1" t="s">
        <v>71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1525.2354054914483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1485.8815323839408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0.41359894692586952</v>
      </c>
      <c r="R14" s="1">
        <v>87</v>
      </c>
      <c r="S14" s="1">
        <v>82</v>
      </c>
      <c r="T14" s="1">
        <v>0</v>
      </c>
      <c r="U14" s="1">
        <f>Games[[#This Row],[PointsFor]]-Games[[#This Row],[PointsAgainst]]</f>
        <v>5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0.32122154873756831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14.259204341850859</v>
      </c>
      <c r="AB14" s="4">
        <f>Games[[#This Row],[PreGmRate]]+Games[[#This Row],[RatingChange]]</f>
        <v>1539.4946098332991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43240</v>
      </c>
      <c r="B15" s="2">
        <v>2018</v>
      </c>
      <c r="C15" s="2">
        <f>COUNTIFS(Games[Team],Games[[#This Row],[Team]],Games[Season],Games[[#This Row],[Season]],Games[Date],"&lt;=" &amp; Games[[#This Row],[Date]])</f>
        <v>1</v>
      </c>
      <c r="D15" s="2" t="s">
        <v>79</v>
      </c>
      <c r="E15" s="2" t="s">
        <v>80</v>
      </c>
      <c r="F15" s="1" t="s">
        <v>71</v>
      </c>
      <c r="G15" s="1" t="s">
        <v>40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1485.8815323839408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1525.2354054914483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0.58640105307413048</v>
      </c>
      <c r="R15" s="1">
        <v>82</v>
      </c>
      <c r="S15" s="1">
        <v>87</v>
      </c>
      <c r="T15" s="1">
        <v>0</v>
      </c>
      <c r="U15" s="1">
        <f>Games[[#This Row],[PointsFor]]-Games[[#This Row],[PointsAgainst]]</f>
        <v>-5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0.32122154873756831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-14.287459040018328</v>
      </c>
      <c r="AB15" s="4">
        <f>Games[[#This Row],[PreGmRate]]+Games[[#This Row],[RatingChange]]</f>
        <v>1471.5940733439224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43240</v>
      </c>
      <c r="B16" s="2">
        <v>2018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69</v>
      </c>
      <c r="G16" s="1" t="s">
        <v>65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" s="2">
        <f>Games[[#This Row],[DaysOff]]-Games[[#This Row],[OppDaysOff]]</f>
        <v>-2</v>
      </c>
      <c r="L16" s="2">
        <f>Games[[#This Row],[OppDaysOff]]-Games[[#This Row],[DaysOff]]</f>
        <v>2</v>
      </c>
      <c r="M16" s="1">
        <f>MAX(-16, MIN(16, Games[[#This Row],[RestDiff]]*8))</f>
        <v>-16</v>
      </c>
      <c r="N16" s="1">
        <f>MAX(-16, MIN(16, Games[[#This Row],[OppRestDiff]]*8))</f>
        <v>16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1388.1052931159272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1500.3397892959156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0.21184775902186803</v>
      </c>
      <c r="R16" s="1">
        <v>75</v>
      </c>
      <c r="S16" s="1">
        <v>82</v>
      </c>
      <c r="T16" s="1">
        <v>0</v>
      </c>
      <c r="U16" s="1">
        <f>Games[[#This Row],[PointsFor]]-Games[[#This Row],[PointsAgainst]]</f>
        <v>-7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0.33845216558280949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-5.4277151940816015</v>
      </c>
      <c r="AB16" s="4">
        <f>Games[[#This Row],[PreGmRate]]+Games[[#This Row],[RatingChange]]</f>
        <v>1382.6775779218456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43240</v>
      </c>
      <c r="B17" s="2">
        <v>2018</v>
      </c>
      <c r="C17" s="2">
        <f>COUNTIFS(Games[Team],Games[[#This Row],[Team]],Games[Season],Games[[#This Row],[Season]],Games[Date],"&lt;=" &amp; Games[[#This Row],[Date]])</f>
        <v>1</v>
      </c>
      <c r="D17" s="2" t="s">
        <v>79</v>
      </c>
      <c r="E17" s="2" t="s">
        <v>80</v>
      </c>
      <c r="F17" s="1" t="s">
        <v>65</v>
      </c>
      <c r="G17" s="1" t="s">
        <v>69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2</v>
      </c>
      <c r="L17" s="2">
        <f>Games[[#This Row],[OppDaysOff]]-Games[[#This Row],[DaysOff]]</f>
        <v>-2</v>
      </c>
      <c r="M17" s="1">
        <f>MAX(-16, MIN(16, Games[[#This Row],[RestDiff]]*8))</f>
        <v>16</v>
      </c>
      <c r="N17" s="1">
        <f>MAX(-16, MIN(16, Games[[#This Row],[OppRestDiff]]*8))</f>
        <v>-16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1500.3397892959156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1388.1052931159272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0.78815224097813197</v>
      </c>
      <c r="R17" s="1">
        <v>82</v>
      </c>
      <c r="S17" s="1">
        <v>75</v>
      </c>
      <c r="T17" s="1">
        <v>0</v>
      </c>
      <c r="U17" s="1">
        <f>Games[[#This Row],[PointsFor]]-Games[[#This Row],[PointsAgainst]]</f>
        <v>7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0.33845216558280949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5.438470244003824</v>
      </c>
      <c r="AB17" s="4">
        <f>Games[[#This Row],[PreGmRate]]+Games[[#This Row],[RatingChange]]</f>
        <v>1505.7782595399194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43242</v>
      </c>
      <c r="B18" s="2">
        <v>2018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63</v>
      </c>
      <c r="G18" s="1" t="s">
        <v>69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1614.7118706491988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1382.6775779218456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0.70101877461204087</v>
      </c>
      <c r="R18" s="1">
        <v>87</v>
      </c>
      <c r="S18" s="1">
        <v>70</v>
      </c>
      <c r="T18" s="1">
        <v>0</v>
      </c>
      <c r="U18" s="1">
        <f>Games[[#This Row],[PointsFor]]-Games[[#This Row],[PointsAgainst]]</f>
        <v>17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0.44616982019441315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10.098107447664825</v>
      </c>
      <c r="AB18" s="4">
        <f>Games[[#This Row],[PreGmRate]]+Games[[#This Row],[RatingChange]]</f>
        <v>1624.8099780968637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43242</v>
      </c>
      <c r="B19" s="2">
        <v>2018</v>
      </c>
      <c r="C19" s="2">
        <f>COUNTIFS(Games[Team],Games[[#This Row],[Team]],Games[Season],Games[[#This Row],[Season]],Games[Date],"&lt;=" &amp; Games[[#This Row],[Date]])</f>
        <v>3</v>
      </c>
      <c r="D19" s="2" t="s">
        <v>79</v>
      </c>
      <c r="E19" s="2" t="s">
        <v>80</v>
      </c>
      <c r="F19" s="1" t="s">
        <v>69</v>
      </c>
      <c r="G19" s="1" t="s">
        <v>63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1382.6775779218456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1614.7118706491988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0.29898122538795913</v>
      </c>
      <c r="R19" s="1">
        <v>70</v>
      </c>
      <c r="S19" s="1">
        <v>87</v>
      </c>
      <c r="T19" s="1">
        <v>0</v>
      </c>
      <c r="U19" s="1">
        <f>Games[[#This Row],[PointsFor]]-Games[[#This Row],[PointsAgainst]]</f>
        <v>-17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0.44616982019441315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75.55</v>
      </c>
      <c r="Z19" s="4">
        <f>Games[[#This Row],[K]]*Games[[#This Row],[POMult]]</f>
        <v>75.55</v>
      </c>
      <c r="AA19" s="4">
        <f>(Games[[#This Row],[Keff]]*Games[[#This Row],[MOVMult]])*(Games[[#This Row],[Result]]-Games[[#This Row],[ExpectedWin%]])</f>
        <v>-10.078097987728896</v>
      </c>
      <c r="AB19" s="4">
        <f>Games[[#This Row],[PreGmRate]]+Games[[#This Row],[RatingChange]]</f>
        <v>1372.5994799341167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43242</v>
      </c>
      <c r="B20" s="2">
        <v>2018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86</v>
      </c>
      <c r="G20" s="1" t="s">
        <v>65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1408.5625630219961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1505.7782595399194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0.26054045973643047</v>
      </c>
      <c r="R20" s="1">
        <v>70</v>
      </c>
      <c r="S20" s="1">
        <v>75</v>
      </c>
      <c r="T20" s="1">
        <v>0</v>
      </c>
      <c r="U20" s="1">
        <f>Games[[#This Row],[PointsFor]]-Games[[#This Row],[PointsAgainst]]</f>
        <v>-5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0.30689358109227655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-6.0528353393911516</v>
      </c>
      <c r="AB20" s="4">
        <f>Games[[#This Row],[PreGmRate]]+Games[[#This Row],[RatingChange]]</f>
        <v>1402.509727682605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43242</v>
      </c>
      <c r="B21" s="2">
        <v>2018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65</v>
      </c>
      <c r="G21" s="1" t="s">
        <v>86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1505.7782595399194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1408.5625630219961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0.73945954026356953</v>
      </c>
      <c r="R21" s="1">
        <v>75</v>
      </c>
      <c r="S21" s="1">
        <v>70</v>
      </c>
      <c r="T21" s="1">
        <v>0</v>
      </c>
      <c r="U21" s="1">
        <f>Games[[#This Row],[PointsFor]]-Games[[#This Row],[PointsAgainst]]</f>
        <v>5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0.30689358109227655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6.0528353393911516</v>
      </c>
      <c r="AB21" s="4">
        <f>Games[[#This Row],[PreGmRate]]+Games[[#This Row],[RatingChange]]</f>
        <v>1511.8310948793105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43243</v>
      </c>
      <c r="B22" s="2">
        <v>2018</v>
      </c>
      <c r="C22" s="2">
        <f>COUNTIFS(Games[Team],Games[[#This Row],[Team]],Games[Season],Games[[#This Row],[Season]],Games[Date],"&lt;=" &amp; Games[[#This Row],[Date]])</f>
        <v>2</v>
      </c>
      <c r="D22" s="2" t="s">
        <v>79</v>
      </c>
      <c r="E22" s="2" t="s">
        <v>80</v>
      </c>
      <c r="F22" s="1" t="s">
        <v>77</v>
      </c>
      <c r="G22" s="1" t="s">
        <v>75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1431.1570972608349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1486.9471344203748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0.30902186639353552</v>
      </c>
      <c r="R22" s="1">
        <v>81</v>
      </c>
      <c r="S22" s="1">
        <v>63</v>
      </c>
      <c r="T22" s="1">
        <v>0</v>
      </c>
      <c r="U22" s="1">
        <f>Games[[#This Row],[PointsFor]]-Games[[#This Row],[PointsAgainst]]</f>
        <v>18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0.52254015331722159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27.332531164429213</v>
      </c>
      <c r="AB22" s="4">
        <f>Games[[#This Row],[PreGmRate]]+Games[[#This Row],[RatingChange]]</f>
        <v>1458.4896284252641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43243</v>
      </c>
      <c r="B23" s="2">
        <v>2018</v>
      </c>
      <c r="C23" s="2">
        <f>COUNTIFS(Games[Team],Games[[#This Row],[Team]],Games[Season],Games[[#This Row],[Season]],Games[Date],"&lt;=" &amp; Games[[#This Row],[Date]])</f>
        <v>3</v>
      </c>
      <c r="D23" s="2" t="s">
        <v>79</v>
      </c>
      <c r="E23" s="2" t="s">
        <v>80</v>
      </c>
      <c r="F23" s="1" t="s">
        <v>75</v>
      </c>
      <c r="G23" s="1" t="s">
        <v>77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1486.9471344203748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1431.1570972608349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0.69097813360646443</v>
      </c>
      <c r="R23" s="1">
        <v>63</v>
      </c>
      <c r="S23" s="1">
        <v>81</v>
      </c>
      <c r="T23" s="1">
        <v>0</v>
      </c>
      <c r="U23" s="1">
        <f>Games[[#This Row],[PointsFor]]-Games[[#This Row],[PointsAgainst]]</f>
        <v>-18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0.52254015331722159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-27.278371591448177</v>
      </c>
      <c r="AB23" s="4">
        <f>Games[[#This Row],[PreGmRate]]+Games[[#This Row],[RatingChange]]</f>
        <v>1459.6687628289267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43243</v>
      </c>
      <c r="B24" s="2">
        <v>2018</v>
      </c>
      <c r="C24" s="2">
        <f>COUNTIFS(Games[Team],Games[[#This Row],[Team]],Games[Season],Games[[#This Row],[Season]],Games[Date],"&lt;=" &amp; Games[[#This Row],[Date]])</f>
        <v>3</v>
      </c>
      <c r="D24" s="2" t="s">
        <v>79</v>
      </c>
      <c r="E24" s="2" t="s">
        <v>80</v>
      </c>
      <c r="F24" s="1" t="s">
        <v>85</v>
      </c>
      <c r="G24" s="1" t="s">
        <v>67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1480.825320515251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1610.4403850916776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0.22623968611635573</v>
      </c>
      <c r="R24" s="1">
        <v>68</v>
      </c>
      <c r="S24" s="1">
        <v>76</v>
      </c>
      <c r="T24" s="1">
        <v>0</v>
      </c>
      <c r="U24" s="1">
        <f>Games[[#This Row],[PointsFor]]-Games[[#This Row],[PointsAgainst]]</f>
        <v>-8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0.35046131351712129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-5.990227859114265</v>
      </c>
      <c r="AB24" s="4">
        <f>Games[[#This Row],[PreGmRate]]+Games[[#This Row],[RatingChange]]</f>
        <v>1474.8350926561368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43243</v>
      </c>
      <c r="B25" s="2">
        <v>2018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67</v>
      </c>
      <c r="G25" s="1" t="s">
        <v>85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1610.4403850916776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1480.825320515251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0.77376031388364419</v>
      </c>
      <c r="R25" s="1">
        <v>76</v>
      </c>
      <c r="S25" s="1">
        <v>68</v>
      </c>
      <c r="T25" s="1">
        <v>0</v>
      </c>
      <c r="U25" s="1">
        <f>Games[[#This Row],[PointsFor]]-Games[[#This Row],[PointsAgainst]]</f>
        <v>8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0.35046131351712129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6.0021210977491739</v>
      </c>
      <c r="AB25" s="4">
        <f>Games[[#This Row],[PreGmRate]]+Games[[#This Row],[RatingChange]]</f>
        <v>1616.4425061894267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43243</v>
      </c>
      <c r="B26" s="2">
        <v>2018</v>
      </c>
      <c r="C26" s="2">
        <f>COUNTIFS(Games[Team],Games[[#This Row],[Team]],Games[Season],Games[[#This Row],[Season]],Games[Date],"&lt;=" &amp; Games[[#This Row],[Date]])</f>
        <v>2</v>
      </c>
      <c r="D26" s="2" t="s">
        <v>79</v>
      </c>
      <c r="E26" s="2" t="s">
        <v>80</v>
      </c>
      <c r="F26" s="1" t="s">
        <v>71</v>
      </c>
      <c r="G26" s="1" t="s">
        <v>40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1471.5940733439224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1539.4946098332991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0.29433754827031705</v>
      </c>
      <c r="R26" s="1">
        <v>87</v>
      </c>
      <c r="S26" s="1">
        <v>71</v>
      </c>
      <c r="T26" s="1">
        <v>0</v>
      </c>
      <c r="U26" s="1">
        <f>Games[[#This Row],[PointsFor]]-Games[[#This Row],[PointsAgainst]]</f>
        <v>16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0.49005676774652923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26.178169778255796</v>
      </c>
      <c r="AB26" s="4">
        <f>Games[[#This Row],[PreGmRate]]+Games[[#This Row],[RatingChange]]</f>
        <v>1497.7722431221782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43243</v>
      </c>
      <c r="B27" s="2">
        <v>2018</v>
      </c>
      <c r="C27" s="2">
        <f>COUNTIFS(Games[Team],Games[[#This Row],[Team]],Games[Season],Games[[#This Row],[Season]],Games[Date],"&lt;=" &amp; Games[[#This Row],[Date]])</f>
        <v>3</v>
      </c>
      <c r="D27" s="2" t="s">
        <v>79</v>
      </c>
      <c r="E27" s="2" t="s">
        <v>80</v>
      </c>
      <c r="F27" s="1" t="s">
        <v>40</v>
      </c>
      <c r="G27" s="1" t="s">
        <v>71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1539.4946098332991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1471.5940733439224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0.70566245172968289</v>
      </c>
      <c r="R27" s="1">
        <v>71</v>
      </c>
      <c r="S27" s="1">
        <v>87</v>
      </c>
      <c r="T27" s="1">
        <v>0</v>
      </c>
      <c r="U27" s="1">
        <f>Games[[#This Row],[PointsFor]]-Games[[#This Row],[PointsAgainst]]</f>
        <v>-16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0.49005676774652923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-26.126297579223579</v>
      </c>
      <c r="AB27" s="4">
        <f>Games[[#This Row],[PreGmRate]]+Games[[#This Row],[RatingChange]]</f>
        <v>1513.3683122540756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43244</v>
      </c>
      <c r="B28" s="2">
        <v>2018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63</v>
      </c>
      <c r="G28" s="1" t="s">
        <v>74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" s="2">
        <f>Games[[#This Row],[DaysOff]]-Games[[#This Row],[OppDaysOff]]</f>
        <v>-2</v>
      </c>
      <c r="L28" s="2">
        <f>Games[[#This Row],[OppDaysOff]]-Games[[#This Row],[DaysOff]]</f>
        <v>2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1624.8099780968637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1537.6110964670247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0.4586465396437433</v>
      </c>
      <c r="R28" s="1">
        <v>94</v>
      </c>
      <c r="S28" s="1">
        <v>102</v>
      </c>
      <c r="T28" s="1">
        <v>0</v>
      </c>
      <c r="U28" s="1">
        <f>Games[[#This Row],[PointsFor]]-Games[[#This Row],[PointsAgainst]]</f>
        <v>-8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0.36200982509679375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-12.543910524304813</v>
      </c>
      <c r="AB28" s="4">
        <f>Games[[#This Row],[PreGmRate]]+Games[[#This Row],[RatingChange]]</f>
        <v>1612.2660675725588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43244</v>
      </c>
      <c r="B29" s="2">
        <v>2018</v>
      </c>
      <c r="C29" s="2">
        <f>COUNTIFS(Games[Team],Games[[#This Row],[Team]],Games[Season],Games[[#This Row],[Season]],Games[Date],"&lt;=" &amp; Games[[#This Row],[Date]])</f>
        <v>2</v>
      </c>
      <c r="D29" s="2" t="s">
        <v>79</v>
      </c>
      <c r="E29" s="2" t="s">
        <v>80</v>
      </c>
      <c r="F29" s="1" t="s">
        <v>74</v>
      </c>
      <c r="G29" s="1" t="s">
        <v>63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2</v>
      </c>
      <c r="L29" s="2">
        <f>Games[[#This Row],[OppDaysOff]]-Games[[#This Row],[DaysOff]]</f>
        <v>-2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1537.6110964670247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1624.8099780968637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0.54135346035625664</v>
      </c>
      <c r="R29" s="1">
        <v>102</v>
      </c>
      <c r="S29" s="1">
        <v>94</v>
      </c>
      <c r="T29" s="1">
        <v>0</v>
      </c>
      <c r="U29" s="1">
        <f>Games[[#This Row],[PointsFor]]-Games[[#This Row],[PointsAgainst]]</f>
        <v>8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0.36200982509679375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12.568815707344468</v>
      </c>
      <c r="AB29" s="4">
        <f>Games[[#This Row],[PreGmRate]]+Games[[#This Row],[RatingChange]]</f>
        <v>1550.1799121743691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43244</v>
      </c>
      <c r="B30" s="2">
        <v>2018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65</v>
      </c>
      <c r="G30" s="1" t="s">
        <v>69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1511.8310948793105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1372.5994799341167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0.57882182363309675</v>
      </c>
      <c r="R30" s="1">
        <v>93</v>
      </c>
      <c r="S30" s="1">
        <v>84</v>
      </c>
      <c r="T30" s="1">
        <v>0</v>
      </c>
      <c r="U30" s="1">
        <f>Games[[#This Row],[PointsFor]]-Games[[#This Row],[PointsAgainst]]</f>
        <v>9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0.36376518231809213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11.575012184451088</v>
      </c>
      <c r="AB30" s="4">
        <f>Games[[#This Row],[PreGmRate]]+Games[[#This Row],[RatingChange]]</f>
        <v>1523.4061070637615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43244</v>
      </c>
      <c r="B31" s="2">
        <v>2018</v>
      </c>
      <c r="C31" s="2">
        <f>COUNTIFS(Games[Team],Games[[#This Row],[Team]],Games[Season],Games[[#This Row],[Season]],Games[Date],"&lt;=" &amp; Games[[#This Row],[Date]])</f>
        <v>4</v>
      </c>
      <c r="D31" s="2" t="s">
        <v>79</v>
      </c>
      <c r="E31" s="2" t="s">
        <v>80</v>
      </c>
      <c r="F31" s="1" t="s">
        <v>69</v>
      </c>
      <c r="G31" s="1" t="s">
        <v>65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1372.5994799341167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1511.8310948793105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0.42117817636690319</v>
      </c>
      <c r="R31" s="1">
        <v>84</v>
      </c>
      <c r="S31" s="1">
        <v>93</v>
      </c>
      <c r="T31" s="1">
        <v>0</v>
      </c>
      <c r="U31" s="1">
        <f>Games[[#This Row],[PointsFor]]-Games[[#This Row],[PointsAgainst]]</f>
        <v>-9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0.36376518231809213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75.400000000000006</v>
      </c>
      <c r="Z31" s="4">
        <f>Games[[#This Row],[K]]*Games[[#This Row],[POMult]]</f>
        <v>75.400000000000006</v>
      </c>
      <c r="AA31" s="4">
        <f>(Games[[#This Row],[Keff]]*Games[[#This Row],[MOVMult]])*(Games[[#This Row],[Result]]-Games[[#This Row],[ExpectedWin%]])</f>
        <v>-11.552030691033911</v>
      </c>
      <c r="AB31" s="4">
        <f>Games[[#This Row],[PreGmRate]]+Games[[#This Row],[RatingChange]]</f>
        <v>1361.0474492430828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43245</v>
      </c>
      <c r="B32" s="2">
        <v>2018</v>
      </c>
      <c r="C32" s="2">
        <f>COUNTIFS(Games[Team],Games[[#This Row],[Team]],Games[Season],Games[[#This Row],[Season]],Games[Date],"&lt;=" &amp; Games[[#This Row],[Date]])</f>
        <v>3</v>
      </c>
      <c r="D32" s="2" t="s">
        <v>79</v>
      </c>
      <c r="E32" s="2" t="s">
        <v>80</v>
      </c>
      <c r="F32" s="1" t="s">
        <v>67</v>
      </c>
      <c r="G32" s="1" t="s">
        <v>60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" s="2">
        <f>Games[[#This Row],[DaysOff]]-Games[[#This Row],[OppDaysOff]]</f>
        <v>-3</v>
      </c>
      <c r="L32" s="2">
        <f>Games[[#This Row],[OppDaysOff]]-Games[[#This Row],[DaysOff]]</f>
        <v>3</v>
      </c>
      <c r="M32" s="1">
        <f>MAX(-16, MIN(16, Games[[#This Row],[RestDiff]]*8))</f>
        <v>-16</v>
      </c>
      <c r="N32" s="1">
        <f>MAX(-16, MIN(16, Games[[#This Row],[OppRestDiff]]*8))</f>
        <v>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1616.4425061894267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1530.478996110764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0.45688138482126384</v>
      </c>
      <c r="R32" s="1">
        <v>78</v>
      </c>
      <c r="S32" s="1">
        <v>72</v>
      </c>
      <c r="T32" s="1">
        <v>0</v>
      </c>
      <c r="U32" s="1">
        <f>Games[[#This Row],[PointsFor]]-Games[[#This Row],[PointsAgainst]]</f>
        <v>6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0.32779850283885936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13.450428576868552</v>
      </c>
      <c r="AB32" s="4">
        <f>Games[[#This Row],[PreGmRate]]+Games[[#This Row],[RatingChange]]</f>
        <v>1629.8929347662952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43245</v>
      </c>
      <c r="B33" s="2">
        <v>2018</v>
      </c>
      <c r="C33" s="2">
        <f>COUNTIFS(Games[Team],Games[[#This Row],[Team]],Games[Season],Games[[#This Row],[Season]],Games[Date],"&lt;=" &amp; Games[[#This Row],[Date]])</f>
        <v>2</v>
      </c>
      <c r="D33" s="2" t="s">
        <v>79</v>
      </c>
      <c r="E33" s="2" t="s">
        <v>80</v>
      </c>
      <c r="F33" s="1" t="s">
        <v>60</v>
      </c>
      <c r="G33" s="1" t="s">
        <v>67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3</v>
      </c>
      <c r="L33" s="2">
        <f>Games[[#This Row],[OppDaysOff]]-Games[[#This Row],[DaysOff]]</f>
        <v>-3</v>
      </c>
      <c r="M33" s="1">
        <f>MAX(-16, MIN(16, Games[[#This Row],[RestDiff]]*8))</f>
        <v>16</v>
      </c>
      <c r="N33" s="1">
        <f>MAX(-16, MIN(16, Games[[#This Row],[OppRestDiff]]*8))</f>
        <v>-16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1530.478996110764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1616.4425061894267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0.54311861517873616</v>
      </c>
      <c r="R33" s="1">
        <v>72</v>
      </c>
      <c r="S33" s="1">
        <v>78</v>
      </c>
      <c r="T33" s="1">
        <v>0</v>
      </c>
      <c r="U33" s="1">
        <f>Games[[#This Row],[PointsFor]]-Games[[#This Row],[PointsAgainst]]</f>
        <v>-6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0.32779850283885936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-13.477133597206478</v>
      </c>
      <c r="AB33" s="4">
        <f>Games[[#This Row],[PreGmRate]]+Games[[#This Row],[RatingChange]]</f>
        <v>1517.0018625135576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43245</v>
      </c>
      <c r="B34" s="2">
        <v>2018</v>
      </c>
      <c r="C34" s="2">
        <f>COUNTIFS(Games[Team],Games[[#This Row],[Team]],Games[Season],Games[[#This Row],[Season]],Games[Date],"&lt;=" &amp; Games[[#This Row],[Date]])</f>
        <v>4</v>
      </c>
      <c r="D34" s="2" t="s">
        <v>79</v>
      </c>
      <c r="E34" s="2" t="s">
        <v>80</v>
      </c>
      <c r="F34" s="1" t="s">
        <v>75</v>
      </c>
      <c r="G34" s="1" t="s">
        <v>71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1459.6687628289267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1497.7722431221782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0.33117308871090184</v>
      </c>
      <c r="R34" s="1">
        <v>91</v>
      </c>
      <c r="S34" s="1">
        <v>95</v>
      </c>
      <c r="T34" s="1">
        <v>1</v>
      </c>
      <c r="U34" s="1">
        <f>Games[[#This Row],[PointsFor]]-Games[[#This Row],[PointsAgainst]]</f>
        <v>-4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0.2716633617866287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-6.7835566337798614</v>
      </c>
      <c r="AB34" s="4">
        <f>Games[[#This Row],[PreGmRate]]+Games[[#This Row],[RatingChange]]</f>
        <v>1452.8852061951468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43245</v>
      </c>
      <c r="B35" s="2">
        <v>2018</v>
      </c>
      <c r="C35" s="2">
        <f>COUNTIFS(Games[Team],Games[[#This Row],[Team]],Games[Season],Games[[#This Row],[Season]],Games[Date],"&lt;=" &amp; Games[[#This Row],[Date]])</f>
        <v>3</v>
      </c>
      <c r="D35" s="2" t="s">
        <v>79</v>
      </c>
      <c r="E35" s="2" t="s">
        <v>80</v>
      </c>
      <c r="F35" s="1" t="s">
        <v>71</v>
      </c>
      <c r="G35" s="1" t="s">
        <v>75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1497.7722431221782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1459.6687628289267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0.66882691128909821</v>
      </c>
      <c r="R35" s="1">
        <v>95</v>
      </c>
      <c r="S35" s="1">
        <v>91</v>
      </c>
      <c r="T35" s="1">
        <v>1</v>
      </c>
      <c r="U35" s="1">
        <f>Games[[#This Row],[PointsFor]]-Games[[#This Row],[PointsAgainst]]</f>
        <v>4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0.2716633617866287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6.7970517729717299</v>
      </c>
      <c r="AB35" s="4">
        <f>Games[[#This Row],[PreGmRate]]+Games[[#This Row],[RatingChange]]</f>
        <v>1504.5692948951501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43246</v>
      </c>
      <c r="B36" s="2">
        <v>2018</v>
      </c>
      <c r="C36" s="2">
        <f>COUNTIFS(Games[Team],Games[[#This Row],[Team]],Games[Season],Games[[#This Row],[Season]],Games[Date],"&lt;=" &amp; Games[[#This Row],[Date]])</f>
        <v>4</v>
      </c>
      <c r="D36" s="2" t="s">
        <v>79</v>
      </c>
      <c r="E36" s="2" t="s">
        <v>80</v>
      </c>
      <c r="F36" s="1" t="s">
        <v>85</v>
      </c>
      <c r="G36" s="1" t="s">
        <v>77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1474.8350926561368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1458.4896284252641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0.40384951307883282</v>
      </c>
      <c r="R36" s="1">
        <v>78</v>
      </c>
      <c r="S36" s="1">
        <v>70</v>
      </c>
      <c r="T36" s="1">
        <v>0</v>
      </c>
      <c r="U36" s="1">
        <f>Games[[#This Row],[PointsFor]]-Games[[#This Row],[PointsAgainst]]</f>
        <v>8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0.38309728256211911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17.220125817933781</v>
      </c>
      <c r="AB36" s="4">
        <f>Games[[#This Row],[PreGmRate]]+Games[[#This Row],[RatingChange]]</f>
        <v>1492.0552184740707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43246</v>
      </c>
      <c r="B37" s="2">
        <v>2018</v>
      </c>
      <c r="C37" s="2">
        <f>COUNTIFS(Games[Team],Games[[#This Row],[Team]],Games[Season],Games[[#This Row],[Season]],Games[Date],"&lt;=" &amp; Games[[#This Row],[Date]])</f>
        <v>3</v>
      </c>
      <c r="D37" s="2" t="s">
        <v>79</v>
      </c>
      <c r="E37" s="2" t="s">
        <v>80</v>
      </c>
      <c r="F37" s="1" t="s">
        <v>77</v>
      </c>
      <c r="G37" s="1" t="s">
        <v>85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1458.4896284252641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1474.8350926561368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0.59615048692116712</v>
      </c>
      <c r="R37" s="1">
        <v>70</v>
      </c>
      <c r="S37" s="1">
        <v>78</v>
      </c>
      <c r="T37" s="1">
        <v>0</v>
      </c>
      <c r="U37" s="1">
        <f>Games[[#This Row],[PointsFor]]-Games[[#This Row],[PointsAgainst]]</f>
        <v>-8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0.38309728256211911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-17.254383362664413</v>
      </c>
      <c r="AB37" s="4">
        <f>Games[[#This Row],[PreGmRate]]+Games[[#This Row],[RatingChange]]</f>
        <v>1441.2352450625997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43246</v>
      </c>
      <c r="B38" s="2">
        <v>2018</v>
      </c>
      <c r="C38" s="2">
        <f>COUNTIFS(Games[Team],Games[[#This Row],[Team]],Games[Season],Games[[#This Row],[Season]],Games[Date],"&lt;=" &amp; Games[[#This Row],[Date]])</f>
        <v>5</v>
      </c>
      <c r="D38" s="2" t="s">
        <v>79</v>
      </c>
      <c r="E38" s="2" t="s">
        <v>80</v>
      </c>
      <c r="F38" s="1" t="s">
        <v>69</v>
      </c>
      <c r="G38" s="1" t="s">
        <v>74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1361.0474492430828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1550.1799121743691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0.17189205183436379</v>
      </c>
      <c r="R38" s="1">
        <v>77</v>
      </c>
      <c r="S38" s="1">
        <v>86</v>
      </c>
      <c r="T38" s="1">
        <v>0</v>
      </c>
      <c r="U38" s="1">
        <f>Games[[#This Row],[PointsFor]]-Games[[#This Row],[PointsAgainst]]</f>
        <v>-9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0.3506978964041309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75.25</v>
      </c>
      <c r="Z38" s="4">
        <f>Games[[#This Row],[K]]*Games[[#This Row],[POMult]]</f>
        <v>75.25</v>
      </c>
      <c r="AA38" s="4">
        <f>(Games[[#This Row],[Keff]]*Games[[#This Row],[MOVMult]])*(Games[[#This Row],[Result]]-Games[[#This Row],[ExpectedWin%]])</f>
        <v>-4.5362341192643161</v>
      </c>
      <c r="AB38" s="4">
        <f>Games[[#This Row],[PreGmRate]]+Games[[#This Row],[RatingChange]]</f>
        <v>1356.5112151238186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43246</v>
      </c>
      <c r="B39" s="2">
        <v>2018</v>
      </c>
      <c r="C39" s="2">
        <f>COUNTIFS(Games[Team],Games[[#This Row],[Team]],Games[Season],Games[[#This Row],[Season]],Games[Date],"&lt;=" &amp; Games[[#This Row],[Date]])</f>
        <v>3</v>
      </c>
      <c r="D39" s="2" t="s">
        <v>79</v>
      </c>
      <c r="E39" s="2" t="s">
        <v>80</v>
      </c>
      <c r="F39" s="1" t="s">
        <v>74</v>
      </c>
      <c r="G39" s="1" t="s">
        <v>69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1550.1799121743691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1361.0474492430828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0.82810794816563615</v>
      </c>
      <c r="R39" s="1">
        <v>86</v>
      </c>
      <c r="S39" s="1">
        <v>77</v>
      </c>
      <c r="T39" s="1">
        <v>0</v>
      </c>
      <c r="U39" s="1">
        <f>Games[[#This Row],[PointsFor]]-Games[[#This Row],[PointsAgainst]]</f>
        <v>9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0.3506978964041309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4.5543187735603876</v>
      </c>
      <c r="AB39" s="4">
        <f>Games[[#This Row],[PreGmRate]]+Games[[#This Row],[RatingChange]]</f>
        <v>1554.7342309479295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43247</v>
      </c>
      <c r="B40" s="2">
        <v>2018</v>
      </c>
      <c r="C40" s="2">
        <f>COUNTIFS(Games[Team],Games[[#This Row],[Team]],Games[Season],Games[[#This Row],[Season]],Games[Date],"&lt;=" &amp; Games[[#This Row],[Date]])</f>
        <v>4</v>
      </c>
      <c r="D40" s="2" t="s">
        <v>79</v>
      </c>
      <c r="E40" s="2" t="s">
        <v>80</v>
      </c>
      <c r="F40" s="1" t="s">
        <v>40</v>
      </c>
      <c r="G40" s="1" t="s">
        <v>63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1513.3683122540756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1612.2660675725588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0.27672991718074175</v>
      </c>
      <c r="R40" s="1">
        <v>72</v>
      </c>
      <c r="S40" s="1">
        <v>80</v>
      </c>
      <c r="T40" s="1">
        <v>0</v>
      </c>
      <c r="U40" s="1">
        <f>Games[[#This Row],[PointsFor]]-Games[[#This Row],[PointsAgainst]]</f>
        <v>-8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0.35874928576603088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-7.4854601744567724</v>
      </c>
      <c r="AB40" s="4">
        <f>Games[[#This Row],[PreGmRate]]+Games[[#This Row],[RatingChange]]</f>
        <v>1505.8828520796187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43247</v>
      </c>
      <c r="B41" s="2">
        <v>2018</v>
      </c>
      <c r="C41" s="2">
        <f>COUNTIFS(Games[Team],Games[[#This Row],[Team]],Games[Season],Games[[#This Row],[Season]],Games[Date],"&lt;=" &amp; Games[[#This Row],[Date]])</f>
        <v>4</v>
      </c>
      <c r="D41" s="2" t="s">
        <v>79</v>
      </c>
      <c r="E41" s="2" t="s">
        <v>80</v>
      </c>
      <c r="F41" s="1" t="s">
        <v>63</v>
      </c>
      <c r="G41" s="1" t="s">
        <v>40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1612.2660675725588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1513.3683122540756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0.72327008281925831</v>
      </c>
      <c r="R41" s="1">
        <v>80</v>
      </c>
      <c r="S41" s="1">
        <v>72</v>
      </c>
      <c r="T41" s="1">
        <v>0</v>
      </c>
      <c r="U41" s="1">
        <f>Games[[#This Row],[PointsFor]]-Games[[#This Row],[PointsAgainst]]</f>
        <v>8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0.35874928576603088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7.4854601744567715</v>
      </c>
      <c r="AB41" s="4">
        <f>Games[[#This Row],[PreGmRate]]+Games[[#This Row],[RatingChange]]</f>
        <v>1619.7515277470156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43247</v>
      </c>
      <c r="B42" s="2">
        <v>2018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71</v>
      </c>
      <c r="G42" s="1" t="s">
        <v>86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" s="2">
        <f>Games[[#This Row],[DaysOff]]-Games[[#This Row],[OppDaysOff]]</f>
        <v>-3</v>
      </c>
      <c r="L42" s="2">
        <f>Games[[#This Row],[OppDaysOff]]-Games[[#This Row],[DaysOff]]</f>
        <v>3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1504.5692948951501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1402.509727682605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0.47994886362382572</v>
      </c>
      <c r="R42" s="1">
        <v>105</v>
      </c>
      <c r="S42" s="1">
        <v>98</v>
      </c>
      <c r="T42" s="1">
        <v>0</v>
      </c>
      <c r="U42" s="1">
        <f>Games[[#This Row],[PointsFor]]-Games[[#This Row],[PointsAgainst]]</f>
        <v>7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0.34109699599640936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13.375046180835378</v>
      </c>
      <c r="AB42" s="4">
        <f>Games[[#This Row],[PreGmRate]]+Games[[#This Row],[RatingChange]]</f>
        <v>1517.9443410759854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43247</v>
      </c>
      <c r="B43" s="2">
        <v>2018</v>
      </c>
      <c r="C43" s="2">
        <f>COUNTIFS(Games[Team],Games[[#This Row],[Team]],Games[Season],Games[[#This Row],[Season]],Games[Date],"&lt;=" &amp; Games[[#This Row],[Date]])</f>
        <v>3</v>
      </c>
      <c r="D43" s="2" t="s">
        <v>79</v>
      </c>
      <c r="E43" s="2" t="s">
        <v>80</v>
      </c>
      <c r="F43" s="1" t="s">
        <v>86</v>
      </c>
      <c r="G43" s="1" t="s">
        <v>71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3</v>
      </c>
      <c r="L43" s="2">
        <f>Games[[#This Row],[OppDaysOff]]-Games[[#This Row],[DaysOff]]</f>
        <v>-3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1402.509727682605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1504.5692948951501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0.52005113637617428</v>
      </c>
      <c r="R43" s="1">
        <v>98</v>
      </c>
      <c r="S43" s="1">
        <v>105</v>
      </c>
      <c r="T43" s="1">
        <v>0</v>
      </c>
      <c r="U43" s="1">
        <f>Games[[#This Row],[PointsFor]]-Games[[#This Row],[PointsAgainst]]</f>
        <v>-7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0.34109699599640936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75.55</v>
      </c>
      <c r="Z43" s="4">
        <f>Games[[#This Row],[K]]*Games[[#This Row],[POMult]]</f>
        <v>75.55</v>
      </c>
      <c r="AA43" s="4">
        <f>(Games[[#This Row],[Keff]]*Games[[#This Row],[MOVMult]])*(Games[[#This Row],[Result]]-Games[[#This Row],[ExpectedWin%]])</f>
        <v>-13.40165436289274</v>
      </c>
      <c r="AB43" s="4">
        <f>Games[[#This Row],[PreGmRate]]+Games[[#This Row],[RatingChange]]</f>
        <v>1389.1080733197123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43247</v>
      </c>
      <c r="B44" s="2">
        <v>2018</v>
      </c>
      <c r="C44" s="2">
        <f>COUNTIFS(Games[Team],Games[[#This Row],[Team]],Games[Season],Games[[#This Row],[Season]],Games[Date],"&lt;=" &amp; Games[[#This Row],[Date]])</f>
        <v>4</v>
      </c>
      <c r="D44" s="2" t="s">
        <v>79</v>
      </c>
      <c r="E44" s="2" t="s">
        <v>80</v>
      </c>
      <c r="F44" s="1" t="s">
        <v>67</v>
      </c>
      <c r="G44" s="1" t="s">
        <v>65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" s="2">
        <f>Games[[#This Row],[DaysOff]]-Games[[#This Row],[OppDaysOff]]</f>
        <v>-1</v>
      </c>
      <c r="L44" s="2">
        <f>Games[[#This Row],[OppDaysOff]]-Games[[#This Row],[DaysOff]]</f>
        <v>1</v>
      </c>
      <c r="M44" s="1">
        <f>MAX(-16, MIN(16, Games[[#This Row],[RestDiff]]*8))</f>
        <v>-8</v>
      </c>
      <c r="N44" s="1">
        <f>MAX(-16, MIN(16, Games[[#This Row],[OppRestDiff]]*8))</f>
        <v>8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1629.8929347662952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1523.4061070637615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0.50933421089842601</v>
      </c>
      <c r="R44" s="1">
        <v>78</v>
      </c>
      <c r="S44" s="1">
        <v>90</v>
      </c>
      <c r="T44" s="1">
        <v>0</v>
      </c>
      <c r="U44" s="1">
        <f>Games[[#This Row],[PointsFor]]-Games[[#This Row],[PointsAgainst]]</f>
        <v>-12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0.41895204764856075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-16.089350438739306</v>
      </c>
      <c r="AB44" s="4">
        <f>Games[[#This Row],[PreGmRate]]+Games[[#This Row],[RatingChange]]</f>
        <v>1613.8035843275559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43247</v>
      </c>
      <c r="B45" s="2">
        <v>2018</v>
      </c>
      <c r="C45" s="2">
        <f>COUNTIFS(Games[Team],Games[[#This Row],[Team]],Games[Season],Games[[#This Row],[Season]],Games[Date],"&lt;=" &amp; Games[[#This Row],[Date]])</f>
        <v>4</v>
      </c>
      <c r="D45" s="2" t="s">
        <v>79</v>
      </c>
      <c r="E45" s="2" t="s">
        <v>80</v>
      </c>
      <c r="F45" s="1" t="s">
        <v>65</v>
      </c>
      <c r="G45" s="1" t="s">
        <v>67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1</v>
      </c>
      <c r="L45" s="2">
        <f>Games[[#This Row],[OppDaysOff]]-Games[[#This Row],[DaysOff]]</f>
        <v>-1</v>
      </c>
      <c r="M45" s="1">
        <f>MAX(-16, MIN(16, Games[[#This Row],[RestDiff]]*8))</f>
        <v>8</v>
      </c>
      <c r="N45" s="1">
        <f>MAX(-16, MIN(16, Games[[#This Row],[OppRestDiff]]*8))</f>
        <v>-8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1523.4061070637615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1629.8929347662952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0.49066578910157393</v>
      </c>
      <c r="R45" s="1">
        <v>90</v>
      </c>
      <c r="S45" s="1">
        <v>78</v>
      </c>
      <c r="T45" s="1">
        <v>0</v>
      </c>
      <c r="U45" s="1">
        <f>Games[[#This Row],[PointsFor]]-Games[[#This Row],[PointsAgainst]]</f>
        <v>12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0.41895204764856075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16.089350438739306</v>
      </c>
      <c r="AB45" s="4">
        <f>Games[[#This Row],[PreGmRate]]+Games[[#This Row],[RatingChange]]</f>
        <v>1539.4954575025008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43249</v>
      </c>
      <c r="B46" s="2">
        <v>2018</v>
      </c>
      <c r="C46" s="2">
        <f>COUNTIFS(Games[Team],Games[[#This Row],[Team]],Games[Season],Games[[#This Row],[Season]],Games[Date],"&lt;=" &amp; Games[[#This Row],[Date]])</f>
        <v>5</v>
      </c>
      <c r="D46" s="2" t="s">
        <v>79</v>
      </c>
      <c r="E46" s="2" t="s">
        <v>80</v>
      </c>
      <c r="F46" s="1" t="s">
        <v>67</v>
      </c>
      <c r="G46" s="1" t="s">
        <v>77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" s="2">
        <f>Games[[#This Row],[DaysOff]]-Games[[#This Row],[OppDaysOff]]</f>
        <v>-1</v>
      </c>
      <c r="L46" s="2">
        <f>Games[[#This Row],[OppDaysOff]]-Games[[#This Row],[DaysOff]]</f>
        <v>1</v>
      </c>
      <c r="M46" s="1">
        <f>MAX(-16, MIN(16, Games[[#This Row],[RestDiff]]*8))</f>
        <v>-8</v>
      </c>
      <c r="N46" s="1">
        <f>MAX(-16, MIN(16, Games[[#This Row],[OppRestDiff]]*8))</f>
        <v>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1613.8035843275559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1441.2352450625997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0.60294159299292827</v>
      </c>
      <c r="R46" s="1">
        <v>74</v>
      </c>
      <c r="S46" s="1">
        <v>76</v>
      </c>
      <c r="T46" s="1">
        <v>0</v>
      </c>
      <c r="U46" s="1">
        <f>Games[[#This Row],[PointsFor]]-Games[[#This Row],[PointsAgainst]]</f>
        <v>-2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0.23416654440953116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-10.624453385722882</v>
      </c>
      <c r="AB46" s="4">
        <f>Games[[#This Row],[PreGmRate]]+Games[[#This Row],[RatingChange]]</f>
        <v>1603.1791309418329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43249</v>
      </c>
      <c r="B47" s="2">
        <v>2018</v>
      </c>
      <c r="C47" s="2">
        <f>COUNTIFS(Games[Team],Games[[#This Row],[Team]],Games[Season],Games[[#This Row],[Season]],Games[Date],"&lt;=" &amp; Games[[#This Row],[Date]])</f>
        <v>4</v>
      </c>
      <c r="D47" s="2" t="s">
        <v>79</v>
      </c>
      <c r="E47" s="2" t="s">
        <v>80</v>
      </c>
      <c r="F47" s="1" t="s">
        <v>77</v>
      </c>
      <c r="G47" s="1" t="s">
        <v>67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1</v>
      </c>
      <c r="L47" s="2">
        <f>Games[[#This Row],[OppDaysOff]]-Games[[#This Row],[DaysOff]]</f>
        <v>-1</v>
      </c>
      <c r="M47" s="1">
        <f>MAX(-16, MIN(16, Games[[#This Row],[RestDiff]]*8))</f>
        <v>8</v>
      </c>
      <c r="N47" s="1">
        <f>MAX(-16, MIN(16, Games[[#This Row],[OppRestDiff]]*8))</f>
        <v>-8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1441.2352450625997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1613.8035843275559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0.39705840700707173</v>
      </c>
      <c r="R47" s="1">
        <v>76</v>
      </c>
      <c r="S47" s="1">
        <v>74</v>
      </c>
      <c r="T47" s="1">
        <v>0</v>
      </c>
      <c r="U47" s="1">
        <f>Games[[#This Row],[PointsFor]]-Games[[#This Row],[PointsAgainst]]</f>
        <v>2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0.23416654440953116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10.645631698119674</v>
      </c>
      <c r="AB47" s="4">
        <f>Games[[#This Row],[PreGmRate]]+Games[[#This Row],[RatingChange]]</f>
        <v>1451.8808767607193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43249</v>
      </c>
      <c r="B48" s="2">
        <v>2018</v>
      </c>
      <c r="C48" s="2">
        <f>COUNTIFS(Games[Team],Games[[#This Row],[Team]],Games[Season],Games[[#This Row],[Season]],Games[Date],"&lt;=" &amp; Games[[#This Row],[Date]])</f>
        <v>5</v>
      </c>
      <c r="D48" s="2" t="s">
        <v>79</v>
      </c>
      <c r="E48" s="2" t="s">
        <v>80</v>
      </c>
      <c r="F48" s="1" t="s">
        <v>85</v>
      </c>
      <c r="G48" s="1" t="s">
        <v>60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1492.0552184740707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1517.0018625135576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0.32755800524434142</v>
      </c>
      <c r="R48" s="1">
        <v>89</v>
      </c>
      <c r="S48" s="1">
        <v>94</v>
      </c>
      <c r="T48" s="1">
        <v>0</v>
      </c>
      <c r="U48" s="1">
        <f>Games[[#This Row],[PointsFor]]-Games[[#This Row],[PointsAgainst]]</f>
        <v>-5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0.32499960099540798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-8.0108306307965194</v>
      </c>
      <c r="AB48" s="4">
        <f>Games[[#This Row],[PreGmRate]]+Games[[#This Row],[RatingChange]]</f>
        <v>1484.0443878432741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43249</v>
      </c>
      <c r="B49" s="2">
        <v>2018</v>
      </c>
      <c r="C49" s="2">
        <f>COUNTIFS(Games[Team],Games[[#This Row],[Team]],Games[Season],Games[[#This Row],[Season]],Games[Date],"&lt;=" &amp; Games[[#This Row],[Date]])</f>
        <v>3</v>
      </c>
      <c r="D49" s="2" t="s">
        <v>79</v>
      </c>
      <c r="E49" s="2" t="s">
        <v>80</v>
      </c>
      <c r="F49" s="1" t="s">
        <v>60</v>
      </c>
      <c r="G49" s="1" t="s">
        <v>85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1517.0018625135576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1492.0552184740707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0.67244199475565858</v>
      </c>
      <c r="R49" s="1">
        <v>94</v>
      </c>
      <c r="S49" s="1">
        <v>89</v>
      </c>
      <c r="T49" s="1">
        <v>0</v>
      </c>
      <c r="U49" s="1">
        <f>Games[[#This Row],[PointsFor]]-Games[[#This Row],[PointsAgainst]]</f>
        <v>5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0.32499960099540798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8.0427674970986978</v>
      </c>
      <c r="AB49" s="4">
        <f>Games[[#This Row],[PreGmRate]]+Games[[#This Row],[RatingChange]]</f>
        <v>1525.0446300106564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43249</v>
      </c>
      <c r="B50" s="2">
        <v>2018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65</v>
      </c>
      <c r="G50" s="1" t="s">
        <v>71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1539.4954575025008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1517.9443410759854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0.41108431828783459</v>
      </c>
      <c r="R50" s="1">
        <v>77</v>
      </c>
      <c r="S50" s="1">
        <v>81</v>
      </c>
      <c r="T50" s="1">
        <v>0</v>
      </c>
      <c r="U50" s="1">
        <f>Games[[#This Row],[PointsFor]]-Games[[#This Row],[PointsAgainst]]</f>
        <v>-4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0.30593830815522566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-9.4639246736708618</v>
      </c>
      <c r="AB50" s="4">
        <f>Games[[#This Row],[PreGmRate]]+Games[[#This Row],[RatingChange]]</f>
        <v>1530.03153282883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43249</v>
      </c>
      <c r="B51" s="2">
        <v>2018</v>
      </c>
      <c r="C51" s="2">
        <f>COUNTIFS(Games[Team],Games[[#This Row],[Team]],Games[Season],Games[[#This Row],[Season]],Games[Date],"&lt;=" &amp; Games[[#This Row],[Date]])</f>
        <v>5</v>
      </c>
      <c r="D51" s="2" t="s">
        <v>79</v>
      </c>
      <c r="E51" s="2" t="s">
        <v>80</v>
      </c>
      <c r="F51" s="1" t="s">
        <v>71</v>
      </c>
      <c r="G51" s="1" t="s">
        <v>65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1517.9443410759854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1539.4954575025008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0.58891568171216535</v>
      </c>
      <c r="R51" s="1">
        <v>81</v>
      </c>
      <c r="S51" s="1">
        <v>77</v>
      </c>
      <c r="T51" s="1">
        <v>0</v>
      </c>
      <c r="U51" s="1">
        <f>Games[[#This Row],[PointsFor]]-Games[[#This Row],[PointsAgainst]]</f>
        <v>4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0.30593830815522566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9.4639246736708618</v>
      </c>
      <c r="AB51" s="4">
        <f>Games[[#This Row],[PreGmRate]]+Games[[#This Row],[RatingChange]]</f>
        <v>1527.4082657496563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43250</v>
      </c>
      <c r="B52" s="2">
        <v>2018</v>
      </c>
      <c r="C52" s="2">
        <f>COUNTIFS(Games[Team],Games[[#This Row],[Team]],Games[Season],Games[[#This Row],[Season]],Games[Date],"&lt;=" &amp; Games[[#This Row],[Date]])</f>
        <v>6</v>
      </c>
      <c r="D52" s="2" t="s">
        <v>79</v>
      </c>
      <c r="E52" s="2" t="s">
        <v>80</v>
      </c>
      <c r="F52" s="1" t="s">
        <v>65</v>
      </c>
      <c r="G52" s="1" t="s">
        <v>40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-2</v>
      </c>
      <c r="L52" s="2">
        <f>Games[[#This Row],[OppDaysOff]]-Games[[#This Row],[DaysOff]]</f>
        <v>2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1530.03153282883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1505.8828520796187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0.37081111513333292</v>
      </c>
      <c r="R52" s="1">
        <v>103</v>
      </c>
      <c r="S52" s="1">
        <v>95</v>
      </c>
      <c r="T52" s="1">
        <v>0</v>
      </c>
      <c r="U52" s="1">
        <f>Games[[#This Row],[PointsFor]]-Games[[#This Row],[PointsAgainst]]</f>
        <v>8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0.38065526625280138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75.099999999999994</v>
      </c>
      <c r="Z52" s="4">
        <f>Games[[#This Row],[K]]*Games[[#This Row],[POMult]]</f>
        <v>75.099999999999994</v>
      </c>
      <c r="AA52" s="4">
        <f>(Games[[#This Row],[Keff]]*Games[[#This Row],[MOVMult]])*(Games[[#This Row],[Result]]-Games[[#This Row],[ExpectedWin%]])</f>
        <v>17.98675509316605</v>
      </c>
      <c r="AB52" s="4">
        <f>Games[[#This Row],[PreGmRate]]+Games[[#This Row],[RatingChange]]</f>
        <v>1548.018287921996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43250</v>
      </c>
      <c r="B53" s="2">
        <v>2018</v>
      </c>
      <c r="C53" s="2">
        <f>COUNTIFS(Games[Team],Games[[#This Row],[Team]],Games[Season],Games[[#This Row],[Season]],Games[Date],"&lt;=" &amp; Games[[#This Row],[Date]])</f>
        <v>5</v>
      </c>
      <c r="D53" s="2" t="s">
        <v>79</v>
      </c>
      <c r="E53" s="2" t="s">
        <v>80</v>
      </c>
      <c r="F53" s="1" t="s">
        <v>40</v>
      </c>
      <c r="G53" s="1" t="s">
        <v>65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3" s="2">
        <f>Games[[#This Row],[DaysOff]]-Games[[#This Row],[OppDaysOff]]</f>
        <v>2</v>
      </c>
      <c r="L53" s="2">
        <f>Games[[#This Row],[OppDaysOff]]-Games[[#This Row],[DaysOff]]</f>
        <v>-2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1505.8828520796187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1530.03153282883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0.62918888486666702</v>
      </c>
      <c r="R53" s="1">
        <v>95</v>
      </c>
      <c r="S53" s="1">
        <v>103</v>
      </c>
      <c r="T53" s="1">
        <v>0</v>
      </c>
      <c r="U53" s="1">
        <f>Games[[#This Row],[PointsFor]]-Games[[#This Row],[PointsAgainst]]</f>
        <v>-8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0.38065526625280138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-18.02268070253988</v>
      </c>
      <c r="AB53" s="4">
        <f>Games[[#This Row],[PreGmRate]]+Games[[#This Row],[RatingChange]]</f>
        <v>1487.8601713770788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43251</v>
      </c>
      <c r="B54" s="2">
        <v>2018</v>
      </c>
      <c r="C54" s="2">
        <f>COUNTIFS(Games[Team],Games[[#This Row],[Team]],Games[Season],Games[[#This Row],[Season]],Games[Date],"&lt;=" &amp; Games[[#This Row],[Date]])</f>
        <v>4</v>
      </c>
      <c r="D54" s="2" t="s">
        <v>79</v>
      </c>
      <c r="E54" s="2" t="s">
        <v>80</v>
      </c>
      <c r="F54" s="1" t="s">
        <v>86</v>
      </c>
      <c r="G54" s="1" t="s">
        <v>71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2</v>
      </c>
      <c r="L54" s="2">
        <f>Games[[#This Row],[OppDaysOff]]-Games[[#This Row],[DaysOff]]</f>
        <v>-2</v>
      </c>
      <c r="M54" s="1">
        <f>MAX(-16, MIN(16, Games[[#This Row],[RestDiff]]*8))</f>
        <v>16</v>
      </c>
      <c r="N54" s="1">
        <f>MAX(-16, MIN(16, Games[[#This Row],[OppRestDiff]]*8))</f>
        <v>-16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1389.1080733197123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1527.4082657496563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0.25059227741806939</v>
      </c>
      <c r="R54" s="1">
        <v>74</v>
      </c>
      <c r="S54" s="1">
        <v>101</v>
      </c>
      <c r="T54" s="1">
        <v>0</v>
      </c>
      <c r="U54" s="1">
        <f>Games[[#This Row],[PointsFor]]-Games[[#This Row],[PointsAgainst]]</f>
        <v>-27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0.59777320852614113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-11.294720167687045</v>
      </c>
      <c r="AB54" s="4">
        <f>Games[[#This Row],[PreGmRate]]+Games[[#This Row],[RatingChange]]</f>
        <v>1377.8133531520252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43251</v>
      </c>
      <c r="B55" s="2">
        <v>2018</v>
      </c>
      <c r="C55" s="2">
        <f>COUNTIFS(Games[Team],Games[[#This Row],[Team]],Games[Season],Games[[#This Row],[Season]],Games[Date],"&lt;=" &amp; Games[[#This Row],[Date]])</f>
        <v>6</v>
      </c>
      <c r="D55" s="2" t="s">
        <v>79</v>
      </c>
      <c r="E55" s="2" t="s">
        <v>80</v>
      </c>
      <c r="F55" s="1" t="s">
        <v>71</v>
      </c>
      <c r="G55" s="1" t="s">
        <v>86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5" s="2">
        <f>Games[[#This Row],[DaysOff]]-Games[[#This Row],[OppDaysOff]]</f>
        <v>-2</v>
      </c>
      <c r="L55" s="2">
        <f>Games[[#This Row],[OppDaysOff]]-Games[[#This Row],[DaysOff]]</f>
        <v>2</v>
      </c>
      <c r="M55" s="1">
        <f>MAX(-16, MIN(16, Games[[#This Row],[RestDiff]]*8))</f>
        <v>-16</v>
      </c>
      <c r="N55" s="1">
        <f>MAX(-16, MIN(16, Games[[#This Row],[OppRestDiff]]*8))</f>
        <v>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1527.4082657496563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1389.1080733197123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0.74940772258193067</v>
      </c>
      <c r="R55" s="1">
        <v>101</v>
      </c>
      <c r="S55" s="1">
        <v>74</v>
      </c>
      <c r="T55" s="1">
        <v>0</v>
      </c>
      <c r="U55" s="1">
        <f>Games[[#This Row],[PointsFor]]-Games[[#This Row],[PointsAgainst]]</f>
        <v>27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0.59777320852614113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11.249780962775818</v>
      </c>
      <c r="AB55" s="4">
        <f>Games[[#This Row],[PreGmRate]]+Games[[#This Row],[RatingChange]]</f>
        <v>1538.658046712432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43252</v>
      </c>
      <c r="B56" s="2">
        <v>2018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74</v>
      </c>
      <c r="G56" s="1" t="s">
        <v>75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5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6" s="2">
        <f>Games[[#This Row],[DaysOff]]-Games[[#This Row],[OppDaysOff]]</f>
        <v>-1</v>
      </c>
      <c r="L56" s="2">
        <f>Games[[#This Row],[OppDaysOff]]-Games[[#This Row],[DaysOff]]</f>
        <v>1</v>
      </c>
      <c r="M56" s="1">
        <f>MAX(-16, MIN(16, Games[[#This Row],[RestDiff]]*8))</f>
        <v>-8</v>
      </c>
      <c r="N56" s="1">
        <f>MAX(-16, MIN(16, Games[[#This Row],[OppRestDiff]]*8))</f>
        <v>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1554.7342309479295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1452.8852061951468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0.50266093539850421</v>
      </c>
      <c r="R56" s="1">
        <v>110</v>
      </c>
      <c r="S56" s="1">
        <v>72</v>
      </c>
      <c r="T56" s="1">
        <v>0</v>
      </c>
      <c r="U56" s="1">
        <f>Games[[#This Row],[PointsFor]]-Games[[#This Row],[PointsAgainst]]</f>
        <v>38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0.73370326426236276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27.513406853805392</v>
      </c>
      <c r="AB56" s="4">
        <f>Games[[#This Row],[PreGmRate]]+Games[[#This Row],[RatingChange]]</f>
        <v>1582.247637801735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43252</v>
      </c>
      <c r="B57" s="2">
        <v>2018</v>
      </c>
      <c r="C57" s="2">
        <f>COUNTIFS(Games[Team],Games[[#This Row],[Team]],Games[Season],Games[[#This Row],[Season]],Games[Date],"&lt;=" &amp; Games[[#This Row],[Date]])</f>
        <v>5</v>
      </c>
      <c r="D57" s="2" t="s">
        <v>79</v>
      </c>
      <c r="E57" s="2" t="s">
        <v>80</v>
      </c>
      <c r="F57" s="1" t="s">
        <v>75</v>
      </c>
      <c r="G57" s="1" t="s">
        <v>74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6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7" s="2">
        <f>Games[[#This Row],[DaysOff]]-Games[[#This Row],[OppDaysOff]]</f>
        <v>1</v>
      </c>
      <c r="L57" s="2">
        <f>Games[[#This Row],[OppDaysOff]]-Games[[#This Row],[DaysOff]]</f>
        <v>-1</v>
      </c>
      <c r="M57" s="1">
        <f>MAX(-16, MIN(16, Games[[#This Row],[RestDiff]]*8))</f>
        <v>8</v>
      </c>
      <c r="N57" s="1">
        <f>MAX(-16, MIN(16, Games[[#This Row],[OppRestDiff]]*8))</f>
        <v>-8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1452.8852061951468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1554.7342309479295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0.49733906460149579</v>
      </c>
      <c r="R57" s="1">
        <v>72</v>
      </c>
      <c r="S57" s="1">
        <v>110</v>
      </c>
      <c r="T57" s="1">
        <v>0</v>
      </c>
      <c r="U57" s="1">
        <f>Games[[#This Row],[PointsFor]]-Games[[#This Row],[PointsAgainst]]</f>
        <v>-38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0.73370326426236276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-27.458671959533895</v>
      </c>
      <c r="AB57" s="4">
        <f>Games[[#This Row],[PreGmRate]]+Games[[#This Row],[RatingChange]]</f>
        <v>1425.426534235613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43252</v>
      </c>
      <c r="B58" s="2">
        <v>2018</v>
      </c>
      <c r="C58" s="2">
        <f>COUNTIFS(Games[Team],Games[[#This Row],[Team]],Games[Season],Games[[#This Row],[Season]],Games[Date],"&lt;=" &amp; Games[[#This Row],[Date]])</f>
        <v>7</v>
      </c>
      <c r="D58" s="2" t="s">
        <v>79</v>
      </c>
      <c r="E58" s="2" t="s">
        <v>80</v>
      </c>
      <c r="F58" s="1" t="s">
        <v>65</v>
      </c>
      <c r="G58" s="1" t="s">
        <v>86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1548.018287921996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1377.8133531520252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0.64298392108180913</v>
      </c>
      <c r="R58" s="1">
        <v>73</v>
      </c>
      <c r="S58" s="1">
        <v>85</v>
      </c>
      <c r="T58" s="1">
        <v>0</v>
      </c>
      <c r="U58" s="1">
        <f>Games[[#This Row],[PointsFor]]-Games[[#This Row],[PointsAgainst]]</f>
        <v>-12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0.39946968355046725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74.95</v>
      </c>
      <c r="Z58" s="4">
        <f>Games[[#This Row],[K]]*Games[[#This Row],[POMult]]</f>
        <v>74.95</v>
      </c>
      <c r="AA58" s="4">
        <f>(Games[[#This Row],[Keff]]*Games[[#This Row],[MOVMult]])*(Games[[#This Row],[Result]]-Games[[#This Row],[ExpectedWin%]])</f>
        <v>-19.25110113202004</v>
      </c>
      <c r="AB58" s="4">
        <f>Games[[#This Row],[PreGmRate]]+Games[[#This Row],[RatingChange]]</f>
        <v>1528.767186789976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43252</v>
      </c>
      <c r="B59" s="2">
        <v>2018</v>
      </c>
      <c r="C59" s="2">
        <f>COUNTIFS(Games[Team],Games[[#This Row],[Team]],Games[Season],Games[[#This Row],[Season]],Games[Date],"&lt;=" &amp; Games[[#This Row],[Date]])</f>
        <v>5</v>
      </c>
      <c r="D59" s="2" t="s">
        <v>79</v>
      </c>
      <c r="E59" s="2" t="s">
        <v>80</v>
      </c>
      <c r="F59" s="1" t="s">
        <v>86</v>
      </c>
      <c r="G59" s="1" t="s">
        <v>65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1377.8133531520252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1548.018287921996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0.35701607891819087</v>
      </c>
      <c r="R59" s="1">
        <v>85</v>
      </c>
      <c r="S59" s="1">
        <v>73</v>
      </c>
      <c r="T59" s="1">
        <v>0</v>
      </c>
      <c r="U59" s="1">
        <f>Games[[#This Row],[PointsFor]]-Games[[#This Row],[PointsAgainst]]</f>
        <v>12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0.39946968355046725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19.328156907064816</v>
      </c>
      <c r="AB59" s="4">
        <f>Games[[#This Row],[PreGmRate]]+Games[[#This Row],[RatingChange]]</f>
        <v>1397.14151005909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43252</v>
      </c>
      <c r="B60" s="2">
        <v>2018</v>
      </c>
      <c r="C60" s="2">
        <f>COUNTIFS(Games[Team],Games[[#This Row],[Team]],Games[Season],Games[[#This Row],[Season]],Games[Date],"&lt;=" &amp; Games[[#This Row],[Date]])</f>
        <v>6</v>
      </c>
      <c r="D60" s="2" t="s">
        <v>79</v>
      </c>
      <c r="E60" s="2" t="s">
        <v>80</v>
      </c>
      <c r="F60" s="1" t="s">
        <v>40</v>
      </c>
      <c r="G60" s="1" t="s">
        <v>67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" s="2">
        <f>Games[[#This Row],[DaysOff]]-Games[[#This Row],[OppDaysOff]]</f>
        <v>-1</v>
      </c>
      <c r="L60" s="2">
        <f>Games[[#This Row],[OppDaysOff]]-Games[[#This Row],[DaysOff]]</f>
        <v>1</v>
      </c>
      <c r="M60" s="1">
        <f>MAX(-16, MIN(16, Games[[#This Row],[RestDiff]]*8))</f>
        <v>-8</v>
      </c>
      <c r="N60" s="1">
        <f>MAX(-16, MIN(16, Games[[#This Row],[OppRestDiff]]*8))</f>
        <v>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1487.8601713770788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1603.1791309418329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0.22452728419342899</v>
      </c>
      <c r="R60" s="1">
        <v>95</v>
      </c>
      <c r="S60" s="1">
        <v>85</v>
      </c>
      <c r="T60" s="1">
        <v>0</v>
      </c>
      <c r="U60" s="1">
        <f>Games[[#This Row],[PointsFor]]-Games[[#This Row],[PointsAgainst]]</f>
        <v>10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0.38603232737309567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22.48175105101565</v>
      </c>
      <c r="AB60" s="4">
        <f>Games[[#This Row],[PreGmRate]]+Games[[#This Row],[RatingChange]]</f>
        <v>1510.3419224280944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43252</v>
      </c>
      <c r="B61" s="2">
        <v>2018</v>
      </c>
      <c r="C61" s="2">
        <f>COUNTIFS(Games[Team],Games[[#This Row],[Team]],Games[Season],Games[[#This Row],[Season]],Games[Date],"&lt;=" &amp; Games[[#This Row],[Date]])</f>
        <v>6</v>
      </c>
      <c r="D61" s="2" t="s">
        <v>79</v>
      </c>
      <c r="E61" s="2" t="s">
        <v>80</v>
      </c>
      <c r="F61" s="1" t="s">
        <v>67</v>
      </c>
      <c r="G61" s="1" t="s">
        <v>40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1</v>
      </c>
      <c r="L61" s="2">
        <f>Games[[#This Row],[OppDaysOff]]-Games[[#This Row],[DaysOff]]</f>
        <v>-1</v>
      </c>
      <c r="M61" s="1">
        <f>MAX(-16, MIN(16, Games[[#This Row],[RestDiff]]*8))</f>
        <v>8</v>
      </c>
      <c r="N61" s="1">
        <f>MAX(-16, MIN(16, Games[[#This Row],[OppRestDiff]]*8))</f>
        <v>-8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1603.1791309418329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1487.8601713770788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0.77547271580657107</v>
      </c>
      <c r="R61" s="1">
        <v>85</v>
      </c>
      <c r="S61" s="1">
        <v>95</v>
      </c>
      <c r="T61" s="1">
        <v>0</v>
      </c>
      <c r="U61" s="1">
        <f>Games[[#This Row],[PointsFor]]-Games[[#This Row],[PointsAgainst]]</f>
        <v>-10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0.38603232737309567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75.099999999999994</v>
      </c>
      <c r="Z61" s="4">
        <f>Games[[#This Row],[K]]*Games[[#This Row],[POMult]]</f>
        <v>75.099999999999994</v>
      </c>
      <c r="AA61" s="4">
        <f>(Games[[#This Row],[Keff]]*Games[[#This Row],[MOVMult]])*(Games[[#This Row],[Result]]-Games[[#This Row],[ExpectedWin%]])</f>
        <v>-22.48175105101565</v>
      </c>
      <c r="AB61" s="4">
        <f>Games[[#This Row],[PreGmRate]]+Games[[#This Row],[RatingChange]]</f>
        <v>1580.6973798908173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43253</v>
      </c>
      <c r="B62" s="2">
        <v>2018</v>
      </c>
      <c r="C62" s="2">
        <f>COUNTIFS(Games[Team],Games[[#This Row],[Team]],Games[Season],Games[[#This Row],[Season]],Games[Date],"&lt;=" &amp; Games[[#This Row],[Date]])</f>
        <v>7</v>
      </c>
      <c r="D62" s="2" t="s">
        <v>79</v>
      </c>
      <c r="E62" s="2" t="s">
        <v>80</v>
      </c>
      <c r="F62" s="1" t="s">
        <v>71</v>
      </c>
      <c r="G62" s="1" t="s">
        <v>85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2" s="2">
        <f>Games[[#This Row],[DaysOff]]-Games[[#This Row],[OppDaysOff]]</f>
        <v>-2</v>
      </c>
      <c r="L62" s="2">
        <f>Games[[#This Row],[OppDaysOff]]-Games[[#This Row],[DaysOff]]</f>
        <v>2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1538.658046712432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1484.0443878432741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0.41256588398518218</v>
      </c>
      <c r="R62" s="1">
        <v>90</v>
      </c>
      <c r="S62" s="1">
        <v>94</v>
      </c>
      <c r="T62" s="1">
        <v>0</v>
      </c>
      <c r="U62" s="1">
        <f>Games[[#This Row],[PointsFor]]-Games[[#This Row],[PointsAgainst]]</f>
        <v>-4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0.29787598695641965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74.95</v>
      </c>
      <c r="Z62" s="4">
        <f>Games[[#This Row],[K]]*Games[[#This Row],[POMult]]</f>
        <v>74.95</v>
      </c>
      <c r="AA62" s="4">
        <f>(Games[[#This Row],[Keff]]*Games[[#This Row],[MOVMult]])*(Games[[#This Row],[Result]]-Games[[#This Row],[ExpectedWin%]])</f>
        <v>-9.210865567253709</v>
      </c>
      <c r="AB62" s="4">
        <f>Games[[#This Row],[PreGmRate]]+Games[[#This Row],[RatingChange]]</f>
        <v>1529.4471811451783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43253</v>
      </c>
      <c r="B63" s="2">
        <v>2018</v>
      </c>
      <c r="C63" s="2">
        <f>COUNTIFS(Games[Team],Games[[#This Row],[Team]],Games[Season],Games[[#This Row],[Season]],Games[Date],"&lt;=" &amp; Games[[#This Row],[Date]])</f>
        <v>6</v>
      </c>
      <c r="D63" s="2" t="s">
        <v>79</v>
      </c>
      <c r="E63" s="2" t="s">
        <v>80</v>
      </c>
      <c r="F63" s="1" t="s">
        <v>85</v>
      </c>
      <c r="G63" s="1" t="s">
        <v>71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2</v>
      </c>
      <c r="L63" s="2">
        <f>Games[[#This Row],[OppDaysOff]]-Games[[#This Row],[DaysOff]]</f>
        <v>-2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1484.0443878432741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1538.658046712432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0.58743411601481788</v>
      </c>
      <c r="R63" s="1">
        <v>94</v>
      </c>
      <c r="S63" s="1">
        <v>90</v>
      </c>
      <c r="T63" s="1">
        <v>0</v>
      </c>
      <c r="U63" s="1">
        <f>Games[[#This Row],[PointsFor]]-Games[[#This Row],[PointsAgainst]]</f>
        <v>4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0.29787598695641965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9.229299587735202</v>
      </c>
      <c r="AB63" s="4">
        <f>Games[[#This Row],[PreGmRate]]+Games[[#This Row],[RatingChange]]</f>
        <v>1493.2736874310092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43253</v>
      </c>
      <c r="B64" s="2">
        <v>2018</v>
      </c>
      <c r="C64" s="2">
        <f>COUNTIFS(Games[Team],Games[[#This Row],[Team]],Games[Season],Games[[#This Row],[Season]],Games[Date],"&lt;=" &amp; Games[[#This Row],[Date]])</f>
        <v>4</v>
      </c>
      <c r="D64" s="2" t="s">
        <v>79</v>
      </c>
      <c r="E64" s="2" t="s">
        <v>80</v>
      </c>
      <c r="F64" s="1" t="s">
        <v>60</v>
      </c>
      <c r="G64" s="1" t="s">
        <v>69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4" s="2">
        <f>Games[[#This Row],[DaysOff]]-Games[[#This Row],[OppDaysOff]]</f>
        <v>-3</v>
      </c>
      <c r="L64" s="2">
        <f>Games[[#This Row],[OppDaysOff]]-Games[[#This Row],[DaysOff]]</f>
        <v>3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1525.0446300106564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1356.5112151238186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0.57503073551948858</v>
      </c>
      <c r="R64" s="1">
        <v>87</v>
      </c>
      <c r="S64" s="1">
        <v>81</v>
      </c>
      <c r="T64" s="1">
        <v>1</v>
      </c>
      <c r="U64" s="1">
        <f>Games[[#This Row],[PointsFor]]-Games[[#This Row],[PointsAgainst]]</f>
        <v>6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0.27721882261065706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75.400000000000006</v>
      </c>
      <c r="Z64" s="4">
        <f>Games[[#This Row],[K]]*Games[[#This Row],[POMult]]</f>
        <v>75.400000000000006</v>
      </c>
      <c r="AA64" s="4">
        <f>(Games[[#This Row],[Keff]]*Games[[#This Row],[MOVMult]])*(Games[[#This Row],[Result]]-Games[[#This Row],[ExpectedWin%]])</f>
        <v>8.882834727533325</v>
      </c>
      <c r="AB64" s="4">
        <f>Games[[#This Row],[PreGmRate]]+Games[[#This Row],[RatingChange]]</f>
        <v>1533.9274647381897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43253</v>
      </c>
      <c r="B65" s="2">
        <v>2018</v>
      </c>
      <c r="C65" s="2">
        <f>COUNTIFS(Games[Team],Games[[#This Row],[Team]],Games[Season],Games[[#This Row],[Season]],Games[Date],"&lt;=" &amp; Games[[#This Row],[Date]])</f>
        <v>6</v>
      </c>
      <c r="D65" s="2" t="s">
        <v>79</v>
      </c>
      <c r="E65" s="2" t="s">
        <v>80</v>
      </c>
      <c r="F65" s="1" t="s">
        <v>69</v>
      </c>
      <c r="G65" s="1" t="s">
        <v>60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6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5" s="2">
        <f>Games[[#This Row],[DaysOff]]-Games[[#This Row],[OppDaysOff]]</f>
        <v>3</v>
      </c>
      <c r="L65" s="2">
        <f>Games[[#This Row],[OppDaysOff]]-Games[[#This Row],[DaysOff]]</f>
        <v>-3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1356.5112151238186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1525.0446300106564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0.42496926448051142</v>
      </c>
      <c r="R65" s="1">
        <v>81</v>
      </c>
      <c r="S65" s="1">
        <v>87</v>
      </c>
      <c r="T65" s="1">
        <v>1</v>
      </c>
      <c r="U65" s="1">
        <f>Games[[#This Row],[PointsFor]]-Games[[#This Row],[PointsAgainst]]</f>
        <v>-6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0.27721882261065706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-8.8474918837898215</v>
      </c>
      <c r="AB65" s="4">
        <f>Games[[#This Row],[PreGmRate]]+Games[[#This Row],[RatingChange]]</f>
        <v>1347.6637232400287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43254</v>
      </c>
      <c r="B66" s="2">
        <v>2018</v>
      </c>
      <c r="C66" s="2">
        <f>COUNTIFS(Games[Team],Games[[#This Row],[Team]],Games[Season],Games[[#This Row],[Season]],Games[Date],"&lt;=" &amp; Games[[#This Row],[Date]])</f>
        <v>7</v>
      </c>
      <c r="D66" s="2" t="s">
        <v>79</v>
      </c>
      <c r="E66" s="2" t="s">
        <v>80</v>
      </c>
      <c r="F66" s="1" t="s">
        <v>40</v>
      </c>
      <c r="G66" s="1" t="s">
        <v>77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6" s="2">
        <f>Games[[#This Row],[DaysOff]]-Games[[#This Row],[OppDaysOff]]</f>
        <v>-3</v>
      </c>
      <c r="L66" s="2">
        <f>Games[[#This Row],[OppDaysOff]]-Games[[#This Row],[DaysOff]]</f>
        <v>3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1510.3419224280944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1451.8808767607193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0.41794360213572512</v>
      </c>
      <c r="R66" s="1">
        <v>78</v>
      </c>
      <c r="S66" s="1">
        <v>71</v>
      </c>
      <c r="T66" s="1">
        <v>0</v>
      </c>
      <c r="U66" s="1">
        <f>Games[[#This Row],[PointsFor]]-Games[[#This Row],[PointsAgainst]]</f>
        <v>7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0.3529140679511919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74.95</v>
      </c>
      <c r="Z66" s="4">
        <f>Games[[#This Row],[K]]*Games[[#This Row],[POMult]]</f>
        <v>74.95</v>
      </c>
      <c r="AA66" s="4">
        <f>(Games[[#This Row],[Keff]]*Games[[#This Row],[MOVMult]])*(Games[[#This Row],[Result]]-Games[[#This Row],[ExpectedWin%]])</f>
        <v>15.395921041490038</v>
      </c>
      <c r="AB66" s="4">
        <f>Games[[#This Row],[PreGmRate]]+Games[[#This Row],[RatingChange]]</f>
        <v>1525.7378434695845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43254</v>
      </c>
      <c r="B67" s="2">
        <v>2018</v>
      </c>
      <c r="C67" s="2">
        <f>COUNTIFS(Games[Team],Games[[#This Row],[Team]],Games[Season],Games[[#This Row],[Season]],Games[Date],"&lt;=" &amp; Games[[#This Row],[Date]])</f>
        <v>5</v>
      </c>
      <c r="D67" s="2" t="s">
        <v>79</v>
      </c>
      <c r="E67" s="2" t="s">
        <v>80</v>
      </c>
      <c r="F67" s="1" t="s">
        <v>77</v>
      </c>
      <c r="G67" s="1" t="s">
        <v>40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4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3</v>
      </c>
      <c r="L67" s="2">
        <f>Games[[#This Row],[OppDaysOff]]-Games[[#This Row],[DaysOff]]</f>
        <v>-3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1451.8808767607193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1510.3419224280944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0.58205639786427488</v>
      </c>
      <c r="R67" s="1">
        <v>71</v>
      </c>
      <c r="S67" s="1">
        <v>78</v>
      </c>
      <c r="T67" s="1">
        <v>0</v>
      </c>
      <c r="U67" s="1">
        <f>Games[[#This Row],[PointsFor]]-Games[[#This Row],[PointsAgainst]]</f>
        <v>-7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0.3529140679511919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-15.457545808834228</v>
      </c>
      <c r="AB67" s="4">
        <f>Games[[#This Row],[PreGmRate]]+Games[[#This Row],[RatingChange]]</f>
        <v>1436.423330951885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43254</v>
      </c>
      <c r="B68" s="2">
        <v>2018</v>
      </c>
      <c r="C68" s="2">
        <f>COUNTIFS(Games[Team],Games[[#This Row],[Team]],Games[Season],Games[[#This Row],[Season]],Games[Date],"&lt;=" &amp; Games[[#This Row],[Date]])</f>
        <v>6</v>
      </c>
      <c r="D68" s="2" t="s">
        <v>79</v>
      </c>
      <c r="E68" s="2" t="s">
        <v>80</v>
      </c>
      <c r="F68" s="1" t="s">
        <v>86</v>
      </c>
      <c r="G68" s="1" t="s">
        <v>75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1397.14151005909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1425.426534235613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0.34380924306558774</v>
      </c>
      <c r="R68" s="1">
        <v>90</v>
      </c>
      <c r="S68" s="1">
        <v>95</v>
      </c>
      <c r="T68" s="1">
        <v>0</v>
      </c>
      <c r="U68" s="1">
        <f>Games[[#This Row],[PointsFor]]-Games[[#This Row],[PointsAgainst]]</f>
        <v>-5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0.32411627815815763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-8.3687063366352543</v>
      </c>
      <c r="AB68" s="4">
        <f>Games[[#This Row],[PreGmRate]]+Games[[#This Row],[RatingChange]]</f>
        <v>1388.7728037224547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43254</v>
      </c>
      <c r="B69" s="2">
        <v>2018</v>
      </c>
      <c r="C69" s="2">
        <f>COUNTIFS(Games[Team],Games[[#This Row],[Team]],Games[Season],Games[[#This Row],[Season]],Games[Date],"&lt;=" &amp; Games[[#This Row],[Date]])</f>
        <v>6</v>
      </c>
      <c r="D69" s="2" t="s">
        <v>79</v>
      </c>
      <c r="E69" s="2" t="s">
        <v>80</v>
      </c>
      <c r="F69" s="1" t="s">
        <v>75</v>
      </c>
      <c r="G69" s="1" t="s">
        <v>86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1425.426534235613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1397.14151005909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0.6561907569344122</v>
      </c>
      <c r="R69" s="1">
        <v>95</v>
      </c>
      <c r="S69" s="1">
        <v>90</v>
      </c>
      <c r="T69" s="1">
        <v>0</v>
      </c>
      <c r="U69" s="1">
        <f>Games[[#This Row],[PointsFor]]-Games[[#This Row],[PointsAgainst]]</f>
        <v>5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0.32411627815815763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8.3687063366352543</v>
      </c>
      <c r="AB69" s="4">
        <f>Games[[#This Row],[PreGmRate]]+Games[[#This Row],[RatingChange]]</f>
        <v>1433.7952405722483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43254</v>
      </c>
      <c r="B70" s="2">
        <v>2018</v>
      </c>
      <c r="C70" s="2">
        <f>COUNTIFS(Games[Team],Games[[#This Row],[Team]],Games[Season],Games[[#This Row],[Season]],Games[Date],"&lt;=" &amp; Games[[#This Row],[Date]])</f>
        <v>7</v>
      </c>
      <c r="D70" s="2" t="s">
        <v>79</v>
      </c>
      <c r="E70" s="2" t="s">
        <v>80</v>
      </c>
      <c r="F70" s="1" t="s">
        <v>67</v>
      </c>
      <c r="G70" s="1" t="s">
        <v>63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70" s="2">
        <f>Games[[#This Row],[DaysOff]]-Games[[#This Row],[OppDaysOff]]</f>
        <v>-5</v>
      </c>
      <c r="L70" s="2">
        <f>Games[[#This Row],[OppDaysOff]]-Games[[#This Row],[DaysOff]]</f>
        <v>5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1580.6973798908173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1619.7515277470156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0.29058111018301414</v>
      </c>
      <c r="R70" s="1">
        <v>69</v>
      </c>
      <c r="S70" s="1">
        <v>77</v>
      </c>
      <c r="T70" s="1">
        <v>0</v>
      </c>
      <c r="U70" s="1">
        <f>Games[[#This Row],[PointsFor]]-Games[[#This Row],[PointsAgainst]]</f>
        <v>-8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0.37607609224329636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74.95</v>
      </c>
      <c r="Z70" s="4">
        <f>Games[[#This Row],[K]]*Games[[#This Row],[POMult]]</f>
        <v>74.95</v>
      </c>
      <c r="AA70" s="4">
        <f>(Games[[#This Row],[Keff]]*Games[[#This Row],[MOVMult]])*(Games[[#This Row],[Result]]-Games[[#This Row],[ExpectedWin%]])</f>
        <v>-8.1905815993811348</v>
      </c>
      <c r="AB70" s="4">
        <f>Games[[#This Row],[PreGmRate]]+Games[[#This Row],[RatingChange]]</f>
        <v>1572.5067982914361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43254</v>
      </c>
      <c r="B71" s="2">
        <v>2018</v>
      </c>
      <c r="C71" s="2">
        <f>COUNTIFS(Games[Team],Games[[#This Row],[Team]],Games[Season],Games[[#This Row],[Season]],Games[Date],"&lt;=" &amp; Games[[#This Row],[Date]])</f>
        <v>5</v>
      </c>
      <c r="D71" s="2" t="s">
        <v>79</v>
      </c>
      <c r="E71" s="2" t="s">
        <v>80</v>
      </c>
      <c r="F71" s="1" t="s">
        <v>63</v>
      </c>
      <c r="G71" s="1" t="s">
        <v>67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6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5</v>
      </c>
      <c r="L71" s="2">
        <f>Games[[#This Row],[OppDaysOff]]-Games[[#This Row],[DaysOff]]</f>
        <v>-5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1619.7515277470156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1580.6973798908173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0.70941888981698586</v>
      </c>
      <c r="R71" s="1">
        <v>77</v>
      </c>
      <c r="S71" s="1">
        <v>69</v>
      </c>
      <c r="T71" s="1">
        <v>0</v>
      </c>
      <c r="U71" s="1">
        <f>Games[[#This Row],[PointsFor]]-Games[[#This Row],[PointsAgainst]]</f>
        <v>8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0.37607609224329636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8.2233657819003376</v>
      </c>
      <c r="AB71" s="4">
        <f>Games[[#This Row],[PreGmRate]]+Games[[#This Row],[RatingChange]]</f>
        <v>1627.974893528916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43254</v>
      </c>
      <c r="B72" s="2">
        <v>2018</v>
      </c>
      <c r="C72" s="2">
        <f>COUNTIFS(Games[Team],Games[[#This Row],[Team]],Games[Season],Games[[#This Row],[Season]],Games[Date],"&lt;=" &amp; Games[[#This Row],[Date]])</f>
        <v>5</v>
      </c>
      <c r="D72" s="2" t="s">
        <v>79</v>
      </c>
      <c r="E72" s="2" t="s">
        <v>80</v>
      </c>
      <c r="F72" s="1" t="s">
        <v>74</v>
      </c>
      <c r="G72" s="1" t="s">
        <v>65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1582.247637801735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1528.767186789976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0.45619146004953931</v>
      </c>
      <c r="R72" s="1">
        <v>88</v>
      </c>
      <c r="S72" s="1">
        <v>64</v>
      </c>
      <c r="T72" s="1">
        <v>0</v>
      </c>
      <c r="U72" s="1">
        <f>Games[[#This Row],[PointsFor]]-Games[[#This Row],[PointsAgainst]]</f>
        <v>24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0.60161857069974334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24.619190069583105</v>
      </c>
      <c r="AB72" s="4">
        <f>Games[[#This Row],[PreGmRate]]+Games[[#This Row],[RatingChange]]</f>
        <v>1606.866827871318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43254</v>
      </c>
      <c r="B73" s="2">
        <v>2018</v>
      </c>
      <c r="C73" s="2">
        <f>COUNTIFS(Games[Team],Games[[#This Row],[Team]],Games[Season],Games[[#This Row],[Season]],Games[Date],"&lt;=" &amp; Games[[#This Row],[Date]])</f>
        <v>8</v>
      </c>
      <c r="D73" s="2" t="s">
        <v>79</v>
      </c>
      <c r="E73" s="2" t="s">
        <v>80</v>
      </c>
      <c r="F73" s="1" t="s">
        <v>65</v>
      </c>
      <c r="G73" s="1" t="s">
        <v>74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1528.767186789976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1582.247637801735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0.54380853995046063</v>
      </c>
      <c r="R73" s="1">
        <v>64</v>
      </c>
      <c r="S73" s="1">
        <v>88</v>
      </c>
      <c r="T73" s="1">
        <v>0</v>
      </c>
      <c r="U73" s="1">
        <f>Games[[#This Row],[PointsFor]]-Games[[#This Row],[PointsAgainst]]</f>
        <v>-24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0.60161857069974334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74.8</v>
      </c>
      <c r="Z73" s="4">
        <f>Games[[#This Row],[K]]*Games[[#This Row],[POMult]]</f>
        <v>74.8</v>
      </c>
      <c r="AA73" s="4">
        <f>(Games[[#This Row],[Keff]]*Games[[#This Row],[MOVMult]])*(Games[[#This Row],[Result]]-Games[[#This Row],[ExpectedWin%]])</f>
        <v>-24.471965677140417</v>
      </c>
      <c r="AB73" s="4">
        <f>Games[[#This Row],[PreGmRate]]+Games[[#This Row],[RatingChange]]</f>
        <v>1504.2952211128356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43256</v>
      </c>
      <c r="B74" s="2">
        <v>2018</v>
      </c>
      <c r="C74" s="2">
        <f>COUNTIFS(Games[Team],Games[[#This Row],[Team]],Games[Season],Games[[#This Row],[Season]],Games[Date],"&lt;=" &amp; Games[[#This Row],[Date]])</f>
        <v>6</v>
      </c>
      <c r="D74" s="2" t="s">
        <v>79</v>
      </c>
      <c r="E74" s="2" t="s">
        <v>80</v>
      </c>
      <c r="F74" s="1" t="s">
        <v>74</v>
      </c>
      <c r="G74" s="1" t="s">
        <v>77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1606.866827871318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1436.423330951885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0.62189721858367519</v>
      </c>
      <c r="R74" s="1">
        <v>77</v>
      </c>
      <c r="S74" s="1">
        <v>82</v>
      </c>
      <c r="T74" s="1">
        <v>0</v>
      </c>
      <c r="U74" s="1">
        <f>Games[[#This Row],[PointsFor]]-Games[[#This Row],[PointsAgainst]]</f>
        <v>-5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0.29049513639080121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-13.567424611747699</v>
      </c>
      <c r="AB74" s="4">
        <f>Games[[#This Row],[PreGmRate]]+Games[[#This Row],[RatingChange]]</f>
        <v>1593.2994032595702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43256</v>
      </c>
      <c r="B75" s="2">
        <v>2018</v>
      </c>
      <c r="C75" s="2">
        <f>COUNTIFS(Games[Team],Games[[#This Row],[Team]],Games[Season],Games[[#This Row],[Season]],Games[Date],"&lt;=" &amp; Games[[#This Row],[Date]])</f>
        <v>6</v>
      </c>
      <c r="D75" s="2" t="s">
        <v>79</v>
      </c>
      <c r="E75" s="2" t="s">
        <v>80</v>
      </c>
      <c r="F75" s="1" t="s">
        <v>77</v>
      </c>
      <c r="G75" s="1" t="s">
        <v>74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1436.423330951885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1606.866827871318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0.37810278141632486</v>
      </c>
      <c r="R75" s="1">
        <v>82</v>
      </c>
      <c r="S75" s="1">
        <v>77</v>
      </c>
      <c r="T75" s="1">
        <v>0</v>
      </c>
      <c r="U75" s="1">
        <f>Games[[#This Row],[PointsFor]]-Games[[#This Row],[PointsAgainst]]</f>
        <v>5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0.29049513639080121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13.567424611747697</v>
      </c>
      <c r="AB75" s="4">
        <f>Games[[#This Row],[PreGmRate]]+Games[[#This Row],[RatingChange]]</f>
        <v>1449.9907555636328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43256</v>
      </c>
      <c r="B76" s="2">
        <v>2018</v>
      </c>
      <c r="C76" s="2">
        <f>COUNTIFS(Games[Team],Games[[#This Row],[Team]],Games[Season],Games[[#This Row],[Season]],Games[Date],"&lt;=" &amp; Games[[#This Row],[Date]])</f>
        <v>8</v>
      </c>
      <c r="D76" s="2" t="s">
        <v>79</v>
      </c>
      <c r="E76" s="2" t="s">
        <v>80</v>
      </c>
      <c r="F76" s="1" t="s">
        <v>40</v>
      </c>
      <c r="G76" s="1" t="s">
        <v>60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-1</v>
      </c>
      <c r="L76" s="2">
        <f>Games[[#This Row],[OppDaysOff]]-Games[[#This Row],[DaysOff]]</f>
        <v>1</v>
      </c>
      <c r="M76" s="1">
        <f>MAX(-16, MIN(16, Games[[#This Row],[RestDiff]]*8))</f>
        <v>-8</v>
      </c>
      <c r="N76" s="1">
        <f>MAX(-16, MIN(16, Games[[#This Row],[OppRestDiff]]*8))</f>
        <v>8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1525.7378434695845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1533.9274647381897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0.34914728415082052</v>
      </c>
      <c r="R76" s="1">
        <v>80</v>
      </c>
      <c r="S76" s="1">
        <v>74</v>
      </c>
      <c r="T76" s="1">
        <v>0</v>
      </c>
      <c r="U76" s="1">
        <f>Games[[#This Row],[PointsFor]]-Games[[#This Row],[PointsAgainst]]</f>
        <v>6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0.34889963122392503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74.8</v>
      </c>
      <c r="Z76" s="4">
        <f>Games[[#This Row],[K]]*Games[[#This Row],[POMult]]</f>
        <v>74.8</v>
      </c>
      <c r="AA76" s="4">
        <f>(Games[[#This Row],[Keff]]*Games[[#This Row],[MOVMult]])*(Games[[#This Row],[Result]]-Games[[#This Row],[ExpectedWin%]])</f>
        <v>16.985753986056984</v>
      </c>
      <c r="AB76" s="4">
        <f>Games[[#This Row],[PreGmRate]]+Games[[#This Row],[RatingChange]]</f>
        <v>1542.7235974556415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43256</v>
      </c>
      <c r="B77" s="2">
        <v>2018</v>
      </c>
      <c r="C77" s="2">
        <f>COUNTIFS(Games[Team],Games[[#This Row],[Team]],Games[Season],Games[[#This Row],[Season]],Games[Date],"&lt;=" &amp; Games[[#This Row],[Date]])</f>
        <v>5</v>
      </c>
      <c r="D77" s="2" t="s">
        <v>79</v>
      </c>
      <c r="E77" s="2" t="s">
        <v>80</v>
      </c>
      <c r="F77" s="1" t="s">
        <v>60</v>
      </c>
      <c r="G77" s="1" t="s">
        <v>40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1</v>
      </c>
      <c r="L77" s="2">
        <f>Games[[#This Row],[OppDaysOff]]-Games[[#This Row],[DaysOff]]</f>
        <v>-1</v>
      </c>
      <c r="M77" s="1">
        <f>MAX(-16, MIN(16, Games[[#This Row],[RestDiff]]*8))</f>
        <v>8</v>
      </c>
      <c r="N77" s="1">
        <f>MAX(-16, MIN(16, Games[[#This Row],[OppRestDiff]]*8))</f>
        <v>-8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1533.9274647381897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1525.7378434695845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0.65085271584917948</v>
      </c>
      <c r="R77" s="1">
        <v>74</v>
      </c>
      <c r="S77" s="1">
        <v>80</v>
      </c>
      <c r="T77" s="1">
        <v>0</v>
      </c>
      <c r="U77" s="1">
        <f>Games[[#This Row],[PointsFor]]-Games[[#This Row],[PointsAgainst]]</f>
        <v>-6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0.34889963122392503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75.25</v>
      </c>
      <c r="Z77" s="4">
        <f>Games[[#This Row],[K]]*Games[[#This Row],[POMult]]</f>
        <v>75.25</v>
      </c>
      <c r="AA77" s="4">
        <f>(Games[[#This Row],[Keff]]*Games[[#This Row],[MOVMult]])*(Games[[#This Row],[Result]]-Games[[#This Row],[ExpectedWin%]])</f>
        <v>-17.087941008700376</v>
      </c>
      <c r="AB77" s="4">
        <f>Games[[#This Row],[PreGmRate]]+Games[[#This Row],[RatingChange]]</f>
        <v>1516.8395237294892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43258</v>
      </c>
      <c r="B78" s="2">
        <v>2018</v>
      </c>
      <c r="C78" s="2">
        <f>COUNTIFS(Games[Team],Games[[#This Row],[Team]],Games[Season],Games[[#This Row],[Season]],Games[Date],"&lt;=" &amp; Games[[#This Row],[Date]])</f>
        <v>8</v>
      </c>
      <c r="D78" s="2" t="s">
        <v>79</v>
      </c>
      <c r="E78" s="2" t="s">
        <v>80</v>
      </c>
      <c r="F78" s="1" t="s">
        <v>71</v>
      </c>
      <c r="G78" s="1" t="s">
        <v>63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8" s="2">
        <f>Games[[#This Row],[DaysOff]]-Games[[#This Row],[OppDaysOff]]</f>
        <v>1</v>
      </c>
      <c r="L78" s="2">
        <f>Games[[#This Row],[OppDaysOff]]-Games[[#This Row],[DaysOff]]</f>
        <v>-1</v>
      </c>
      <c r="M78" s="1">
        <f>MAX(-16, MIN(16, Games[[#This Row],[RestDiff]]*8))</f>
        <v>8</v>
      </c>
      <c r="N78" s="1">
        <f>MAX(-16, MIN(16, Games[[#This Row],[OppRestDiff]]*8))</f>
        <v>-8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1529.4471811451783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1627.974893528916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0.27715646808025313</v>
      </c>
      <c r="R78" s="1">
        <v>88</v>
      </c>
      <c r="S78" s="1">
        <v>63</v>
      </c>
      <c r="T78" s="1">
        <v>0</v>
      </c>
      <c r="U78" s="1">
        <f>Games[[#This Row],[PointsFor]]-Games[[#This Row],[PointsAgainst]]</f>
        <v>25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0.59268171694218996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32.045527689290665</v>
      </c>
      <c r="AB78" s="4">
        <f>Games[[#This Row],[PreGmRate]]+Games[[#This Row],[RatingChange]]</f>
        <v>1561.4927088344689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43258</v>
      </c>
      <c r="B79" s="2">
        <v>2018</v>
      </c>
      <c r="C79" s="2">
        <f>COUNTIFS(Games[Team],Games[[#This Row],[Team]],Games[Season],Games[[#This Row],[Season]],Games[Date],"&lt;=" &amp; Games[[#This Row],[Date]])</f>
        <v>6</v>
      </c>
      <c r="D79" s="2" t="s">
        <v>79</v>
      </c>
      <c r="E79" s="2" t="s">
        <v>80</v>
      </c>
      <c r="F79" s="1" t="s">
        <v>63</v>
      </c>
      <c r="G79" s="1" t="s">
        <v>71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9" s="2">
        <f>Games[[#This Row],[DaysOff]]-Games[[#This Row],[OppDaysOff]]</f>
        <v>-1</v>
      </c>
      <c r="L79" s="2">
        <f>Games[[#This Row],[OppDaysOff]]-Games[[#This Row],[DaysOff]]</f>
        <v>1</v>
      </c>
      <c r="M79" s="1">
        <f>MAX(-16, MIN(16, Games[[#This Row],[RestDiff]]*8))</f>
        <v>-8</v>
      </c>
      <c r="N79" s="1">
        <f>MAX(-16, MIN(16, Games[[#This Row],[OppRestDiff]]*8))</f>
        <v>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1627.974893528916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1529.4471811451783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0.72284353191974693</v>
      </c>
      <c r="R79" s="1">
        <v>63</v>
      </c>
      <c r="S79" s="1">
        <v>88</v>
      </c>
      <c r="T79" s="1">
        <v>0</v>
      </c>
      <c r="U79" s="1">
        <f>Games[[#This Row],[PointsFor]]-Games[[#This Row],[PointsAgainst]]</f>
        <v>-25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0.59268171694218996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-32.174052532964296</v>
      </c>
      <c r="AB79" s="4">
        <f>Games[[#This Row],[PreGmRate]]+Games[[#This Row],[RatingChange]]</f>
        <v>1595.8008409959518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43258</v>
      </c>
      <c r="B80" s="2">
        <v>2018</v>
      </c>
      <c r="C80" s="2">
        <f>COUNTIFS(Games[Team],Games[[#This Row],[Team]],Games[Season],Games[[#This Row],[Season]],Games[Date],"&lt;=" &amp; Games[[#This Row],[Date]])</f>
        <v>7</v>
      </c>
      <c r="D80" s="2" t="s">
        <v>79</v>
      </c>
      <c r="E80" s="2" t="s">
        <v>80</v>
      </c>
      <c r="F80" s="1" t="s">
        <v>74</v>
      </c>
      <c r="G80" s="1" t="s">
        <v>60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1593.2994032595702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1516.8395237294892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0.48915059763107888</v>
      </c>
      <c r="R80" s="1">
        <v>88</v>
      </c>
      <c r="S80" s="1">
        <v>86</v>
      </c>
      <c r="T80" s="1">
        <v>0</v>
      </c>
      <c r="U80" s="1">
        <f>Games[[#This Row],[PointsFor]]-Games[[#This Row],[PointsAgainst]]</f>
        <v>2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0.25179763980512126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9.6408690022357124</v>
      </c>
      <c r="AB80" s="4">
        <f>Games[[#This Row],[PreGmRate]]+Games[[#This Row],[RatingChange]]</f>
        <v>1602.9402722618058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43258</v>
      </c>
      <c r="B81" s="2">
        <v>2018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60</v>
      </c>
      <c r="G81" s="1" t="s">
        <v>74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1516.8395237294892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1593.2994032595702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0.51084940236892107</v>
      </c>
      <c r="R81" s="1">
        <v>86</v>
      </c>
      <c r="S81" s="1">
        <v>88</v>
      </c>
      <c r="T81" s="1">
        <v>0</v>
      </c>
      <c r="U81" s="1">
        <f>Games[[#This Row],[PointsFor]]-Games[[#This Row],[PointsAgainst]]</f>
        <v>-2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0.25179763980512126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-9.6601636033075629</v>
      </c>
      <c r="AB81" s="4">
        <f>Games[[#This Row],[PreGmRate]]+Games[[#This Row],[RatingChange]]</f>
        <v>1507.1793601261816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43258</v>
      </c>
      <c r="B82" s="2">
        <v>2018</v>
      </c>
      <c r="C82" s="2">
        <f>COUNTIFS(Games[Team],Games[[#This Row],[Team]],Games[Season],Games[[#This Row],[Season]],Games[Date],"&lt;=" &amp; Games[[#This Row],[Date]])</f>
        <v>8</v>
      </c>
      <c r="D82" s="2" t="s">
        <v>79</v>
      </c>
      <c r="E82" s="2" t="s">
        <v>80</v>
      </c>
      <c r="F82" s="1" t="s">
        <v>67</v>
      </c>
      <c r="G82" s="1" t="s">
        <v>65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1572.5067982914361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1504.2952211128356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0.47729426039042233</v>
      </c>
      <c r="R82" s="1">
        <v>88</v>
      </c>
      <c r="S82" s="1">
        <v>80</v>
      </c>
      <c r="T82" s="1">
        <v>0</v>
      </c>
      <c r="U82" s="1">
        <f>Games[[#This Row],[PointsFor]]-Games[[#This Row],[PointsAgainst]]</f>
        <v>8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0.36742973364134762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14.365910774680794</v>
      </c>
      <c r="AB82" s="4">
        <f>Games[[#This Row],[PreGmRate]]+Games[[#This Row],[RatingChange]]</f>
        <v>1586.8727090661168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43258</v>
      </c>
      <c r="B83" s="2">
        <v>2018</v>
      </c>
      <c r="C83" s="2">
        <f>COUNTIFS(Games[Team],Games[[#This Row],[Team]],Games[Season],Games[[#This Row],[Season]],Games[Date],"&lt;=" &amp; Games[[#This Row],[Date]])</f>
        <v>9</v>
      </c>
      <c r="D83" s="2" t="s">
        <v>79</v>
      </c>
      <c r="E83" s="2" t="s">
        <v>80</v>
      </c>
      <c r="F83" s="1" t="s">
        <v>65</v>
      </c>
      <c r="G83" s="1" t="s">
        <v>67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1504.2952211128356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1572.5067982914361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0.52270573960957778</v>
      </c>
      <c r="R83" s="1">
        <v>80</v>
      </c>
      <c r="S83" s="1">
        <v>88</v>
      </c>
      <c r="T83" s="1">
        <v>0</v>
      </c>
      <c r="U83" s="1">
        <f>Games[[#This Row],[PointsFor]]-Games[[#This Row],[PointsAgainst]]</f>
        <v>-8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0.36742973364134762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74.650000000000006</v>
      </c>
      <c r="Z83" s="4">
        <f>Games[[#This Row],[K]]*Games[[#This Row],[POMult]]</f>
        <v>74.650000000000006</v>
      </c>
      <c r="AA83" s="4">
        <f>(Games[[#This Row],[Keff]]*Games[[#This Row],[MOVMult]])*(Games[[#This Row],[Result]]-Games[[#This Row],[ExpectedWin%]])</f>
        <v>-14.337102130079167</v>
      </c>
      <c r="AB83" s="4">
        <f>Games[[#This Row],[PreGmRate]]+Games[[#This Row],[RatingChange]]</f>
        <v>1489.9581189827566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43259</v>
      </c>
      <c r="B84" s="2">
        <v>2018</v>
      </c>
      <c r="C84" s="2">
        <f>COUNTIFS(Games[Team],Games[[#This Row],[Team]],Games[Season],Games[[#This Row],[Season]],Games[Date],"&lt;=" &amp; Games[[#This Row],[Date]])</f>
        <v>7</v>
      </c>
      <c r="D84" s="2" t="s">
        <v>79</v>
      </c>
      <c r="E84" s="2" t="s">
        <v>80</v>
      </c>
      <c r="F84" s="1" t="s">
        <v>85</v>
      </c>
      <c r="G84" s="1" t="s">
        <v>69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5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1493.2736874310092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1347.6637232400287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0.5877460594304289</v>
      </c>
      <c r="R84" s="1">
        <v>89</v>
      </c>
      <c r="S84" s="1">
        <v>83</v>
      </c>
      <c r="T84" s="1">
        <v>0</v>
      </c>
      <c r="U84" s="1">
        <f>Games[[#This Row],[PointsFor]]-Games[[#This Row],[PointsAgainst]]</f>
        <v>6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0.31326827574633048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9.679498780832887</v>
      </c>
      <c r="AB84" s="4">
        <f>Games[[#This Row],[PreGmRate]]+Games[[#This Row],[RatingChange]]</f>
        <v>1502.953186211842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43259</v>
      </c>
      <c r="B85" s="2">
        <v>2018</v>
      </c>
      <c r="C85" s="2">
        <f>COUNTIFS(Games[Team],Games[[#This Row],[Team]],Games[Season],Games[[#This Row],[Season]],Games[Date],"&lt;=" &amp; Games[[#This Row],[Date]])</f>
        <v>7</v>
      </c>
      <c r="D85" s="2" t="s">
        <v>79</v>
      </c>
      <c r="E85" s="2" t="s">
        <v>80</v>
      </c>
      <c r="F85" s="1" t="s">
        <v>69</v>
      </c>
      <c r="G85" s="1" t="s">
        <v>85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5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1347.6637232400287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1493.2736874310092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0.41225394056957115</v>
      </c>
      <c r="R85" s="1">
        <v>83</v>
      </c>
      <c r="S85" s="1">
        <v>89</v>
      </c>
      <c r="T85" s="1">
        <v>0</v>
      </c>
      <c r="U85" s="1">
        <f>Games[[#This Row],[PointsFor]]-Games[[#This Row],[PointsAgainst]]</f>
        <v>-6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0.31326827574633048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-9.6794987808328887</v>
      </c>
      <c r="AB85" s="4">
        <f>Games[[#This Row],[PreGmRate]]+Games[[#This Row],[RatingChange]]</f>
        <v>1337.9842244591957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43259</v>
      </c>
      <c r="B86" s="2">
        <v>2018</v>
      </c>
      <c r="C86" s="2">
        <f>COUNTIFS(Games[Team],Games[[#This Row],[Team]],Games[Season],Games[[#This Row],[Season]],Games[Date],"&lt;=" &amp; Games[[#This Row],[Date]])</f>
        <v>7</v>
      </c>
      <c r="D86" s="2" t="s">
        <v>79</v>
      </c>
      <c r="E86" s="2" t="s">
        <v>80</v>
      </c>
      <c r="F86" s="1" t="s">
        <v>77</v>
      </c>
      <c r="G86" s="1" t="s">
        <v>86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6" s="2">
        <f>Games[[#This Row],[DaysOff]]-Games[[#This Row],[OppDaysOff]]</f>
        <v>-2</v>
      </c>
      <c r="L86" s="2">
        <f>Games[[#This Row],[OppDaysOff]]-Games[[#This Row],[DaysOff]]</f>
        <v>2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1449.9907555636328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1388.7728037224547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0.42180920494578966</v>
      </c>
      <c r="R86" s="1">
        <v>87</v>
      </c>
      <c r="S86" s="1">
        <v>83</v>
      </c>
      <c r="T86" s="1">
        <v>0</v>
      </c>
      <c r="U86" s="1">
        <f>Games[[#This Row],[PointsFor]]-Games[[#This Row],[PointsAgainst]]</f>
        <v>4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0.29631617702482299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12.840980084306421</v>
      </c>
      <c r="AB86" s="4">
        <f>Games[[#This Row],[PreGmRate]]+Games[[#This Row],[RatingChange]]</f>
        <v>1462.8317356479392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43259</v>
      </c>
      <c r="B87" s="2">
        <v>2018</v>
      </c>
      <c r="C87" s="2">
        <f>COUNTIFS(Games[Team],Games[[#This Row],[Team]],Games[Season],Games[[#This Row],[Season]],Games[Date],"&lt;=" &amp; Games[[#This Row],[Date]])</f>
        <v>7</v>
      </c>
      <c r="D87" s="2" t="s">
        <v>79</v>
      </c>
      <c r="E87" s="2" t="s">
        <v>80</v>
      </c>
      <c r="F87" s="1" t="s">
        <v>86</v>
      </c>
      <c r="G87" s="1" t="s">
        <v>77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2</v>
      </c>
      <c r="L87" s="2">
        <f>Games[[#This Row],[OppDaysOff]]-Games[[#This Row],[DaysOff]]</f>
        <v>-2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1388.7728037224547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1449.9907555636328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0.57819079505421034</v>
      </c>
      <c r="R87" s="1">
        <v>83</v>
      </c>
      <c r="S87" s="1">
        <v>87</v>
      </c>
      <c r="T87" s="1">
        <v>0</v>
      </c>
      <c r="U87" s="1">
        <f>Games[[#This Row],[PointsFor]]-Games[[#This Row],[PointsAgainst]]</f>
        <v>-4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0.29631617702482299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-12.840980084306421</v>
      </c>
      <c r="AB87" s="4">
        <f>Games[[#This Row],[PreGmRate]]+Games[[#This Row],[RatingChange]]</f>
        <v>1375.9318236381482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43259</v>
      </c>
      <c r="B88" s="2">
        <v>2018</v>
      </c>
      <c r="C88" s="2">
        <f>COUNTIFS(Games[Team],Games[[#This Row],[Team]],Games[Season],Games[[#This Row],[Season]],Games[Date],"&lt;=" &amp; Games[[#This Row],[Date]])</f>
        <v>7</v>
      </c>
      <c r="D88" s="2" t="s">
        <v>79</v>
      </c>
      <c r="E88" s="2" t="s">
        <v>80</v>
      </c>
      <c r="F88" s="1" t="s">
        <v>75</v>
      </c>
      <c r="G88" s="1" t="s">
        <v>40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8" s="2">
        <f>Games[[#This Row],[DaysOff]]-Games[[#This Row],[OppDaysOff]]</f>
        <v>2</v>
      </c>
      <c r="L88" s="2">
        <f>Games[[#This Row],[OppDaysOff]]-Games[[#This Row],[DaysOff]]</f>
        <v>-2</v>
      </c>
      <c r="M88" s="1">
        <f>MAX(-16, MIN(16, Games[[#This Row],[RestDiff]]*8))</f>
        <v>16</v>
      </c>
      <c r="N88" s="1">
        <f>MAX(-16, MIN(16, Games[[#This Row],[OppRestDiff]]*8))</f>
        <v>-16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1433.7952405722483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1542.7235974556415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0.28366009910316664</v>
      </c>
      <c r="R88" s="1">
        <v>79</v>
      </c>
      <c r="S88" s="1">
        <v>96</v>
      </c>
      <c r="T88" s="1">
        <v>0</v>
      </c>
      <c r="U88" s="1">
        <f>Games[[#This Row],[PointsFor]]-Games[[#This Row],[PointsAgainst]]</f>
        <v>-17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0.48813250896306792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-10.377855504302195</v>
      </c>
      <c r="AB88" s="4">
        <f>Games[[#This Row],[PreGmRate]]+Games[[#This Row],[RatingChange]]</f>
        <v>1423.417385067946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43259</v>
      </c>
      <c r="B89" s="2">
        <v>2018</v>
      </c>
      <c r="C89" s="2">
        <f>COUNTIFS(Games[Team],Games[[#This Row],[Team]],Games[Season],Games[[#This Row],[Season]],Games[Date],"&lt;=" &amp; Games[[#This Row],[Date]])</f>
        <v>9</v>
      </c>
      <c r="D89" s="2" t="s">
        <v>79</v>
      </c>
      <c r="E89" s="2" t="s">
        <v>80</v>
      </c>
      <c r="F89" s="1" t="s">
        <v>40</v>
      </c>
      <c r="G89" s="1" t="s">
        <v>75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9" s="2">
        <f>Games[[#This Row],[DaysOff]]-Games[[#This Row],[OppDaysOff]]</f>
        <v>-2</v>
      </c>
      <c r="L89" s="2">
        <f>Games[[#This Row],[OppDaysOff]]-Games[[#This Row],[DaysOff]]</f>
        <v>2</v>
      </c>
      <c r="M89" s="1">
        <f>MAX(-16, MIN(16, Games[[#This Row],[RestDiff]]*8))</f>
        <v>-16</v>
      </c>
      <c r="N89" s="1">
        <f>MAX(-16, MIN(16, Games[[#This Row],[OppRestDiff]]*8))</f>
        <v>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1542.7235974556415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1433.7952405722483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0.71633990089683341</v>
      </c>
      <c r="R89" s="1">
        <v>96</v>
      </c>
      <c r="S89" s="1">
        <v>79</v>
      </c>
      <c r="T89" s="1">
        <v>0</v>
      </c>
      <c r="U89" s="1">
        <f>Games[[#This Row],[PointsFor]]-Games[[#This Row],[PointsAgainst]]</f>
        <v>17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0.48813250896306792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74.650000000000006</v>
      </c>
      <c r="Z89" s="4">
        <f>Games[[#This Row],[K]]*Games[[#This Row],[POMult]]</f>
        <v>74.650000000000006</v>
      </c>
      <c r="AA89" s="4">
        <f>(Games[[#This Row],[Keff]]*Games[[#This Row],[MOVMult]])*(Games[[#This Row],[Result]]-Games[[#This Row],[ExpectedWin%]])</f>
        <v>10.336316389541812</v>
      </c>
      <c r="AB89" s="4">
        <f>Games[[#This Row],[PreGmRate]]+Games[[#This Row],[RatingChange]]</f>
        <v>1553.0599138451832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43260</v>
      </c>
      <c r="B90" s="2">
        <v>2018</v>
      </c>
      <c r="C90" s="2">
        <f>COUNTIFS(Games[Team],Games[[#This Row],[Team]],Games[Season],Games[[#This Row],[Season]],Games[Date],"&lt;=" &amp; Games[[#This Row],[Date]])</f>
        <v>9</v>
      </c>
      <c r="D90" s="2" t="s">
        <v>79</v>
      </c>
      <c r="E90" s="2" t="s">
        <v>80</v>
      </c>
      <c r="F90" s="1" t="s">
        <v>67</v>
      </c>
      <c r="G90" s="1" t="s">
        <v>74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1586.8727090661168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1602.9402722618058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0.35984540383488006</v>
      </c>
      <c r="R90" s="1">
        <v>75</v>
      </c>
      <c r="S90" s="1">
        <v>89</v>
      </c>
      <c r="T90" s="1">
        <v>0</v>
      </c>
      <c r="U90" s="1">
        <f>Games[[#This Row],[PointsFor]]-Games[[#This Row],[PointsAgainst]]</f>
        <v>-14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0.48116547299663703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74.650000000000006</v>
      </c>
      <c r="Z90" s="4">
        <f>Games[[#This Row],[K]]*Games[[#This Row],[POMult]]</f>
        <v>74.650000000000006</v>
      </c>
      <c r="AA90" s="4">
        <f>(Games[[#This Row],[Keff]]*Games[[#This Row],[MOVMult]])*(Games[[#This Row],[Result]]-Games[[#This Row],[ExpectedWin%]])</f>
        <v>-12.92528798126104</v>
      </c>
      <c r="AB90" s="4">
        <f>Games[[#This Row],[PreGmRate]]+Games[[#This Row],[RatingChange]]</f>
        <v>1573.9474210848557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43260</v>
      </c>
      <c r="B91" s="2">
        <v>2018</v>
      </c>
      <c r="C91" s="2">
        <f>COUNTIFS(Games[Team],Games[[#This Row],[Team]],Games[Season],Games[[#This Row],[Season]],Games[Date],"&lt;=" &amp; Games[[#This Row],[Date]])</f>
        <v>8</v>
      </c>
      <c r="D91" s="2" t="s">
        <v>79</v>
      </c>
      <c r="E91" s="2" t="s">
        <v>80</v>
      </c>
      <c r="F91" s="1" t="s">
        <v>74</v>
      </c>
      <c r="G91" s="1" t="s">
        <v>67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1602.9402722618058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1586.8727090661168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0.64015459616511983</v>
      </c>
      <c r="R91" s="1">
        <v>89</v>
      </c>
      <c r="S91" s="1">
        <v>75</v>
      </c>
      <c r="T91" s="1">
        <v>0</v>
      </c>
      <c r="U91" s="1">
        <f>Games[[#This Row],[PointsFor]]-Games[[#This Row],[PointsAgainst]]</f>
        <v>14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0.48116547299663703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12.951259758852324</v>
      </c>
      <c r="AB91" s="4">
        <f>Games[[#This Row],[PreGmRate]]+Games[[#This Row],[RatingChange]]</f>
        <v>1615.8915320206581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43261</v>
      </c>
      <c r="B92" s="2">
        <v>2018</v>
      </c>
      <c r="C92" s="2">
        <f>COUNTIFS(Games[Team],Games[[#This Row],[Team]],Games[Season],Games[[#This Row],[Season]],Games[Date],"&lt;=" &amp; Games[[#This Row],[Date]])</f>
        <v>8</v>
      </c>
      <c r="D92" s="2" t="s">
        <v>79</v>
      </c>
      <c r="E92" s="2" t="s">
        <v>80</v>
      </c>
      <c r="F92" s="1" t="s">
        <v>75</v>
      </c>
      <c r="G92" s="1" t="s">
        <v>63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-1</v>
      </c>
      <c r="L92" s="2">
        <f>Games[[#This Row],[OppDaysOff]]-Games[[#This Row],[DaysOff]]</f>
        <v>1</v>
      </c>
      <c r="M92" s="1">
        <f>MAX(-16, MIN(16, Games[[#This Row],[RestDiff]]*8))</f>
        <v>-8</v>
      </c>
      <c r="N92" s="1">
        <f>MAX(-16, MIN(16, Games[[#This Row],[OppRestDiff]]*8))</f>
        <v>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1423.417385067946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1595.8008409959518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0.17250666020892957</v>
      </c>
      <c r="R92" s="1">
        <v>59</v>
      </c>
      <c r="S92" s="1">
        <v>77</v>
      </c>
      <c r="T92" s="1">
        <v>0</v>
      </c>
      <c r="U92" s="1">
        <f>Games[[#This Row],[PointsFor]]-Games[[#This Row],[PointsAgainst]]</f>
        <v>-18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0.47814677138312084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-6.1697659960496605</v>
      </c>
      <c r="AB92" s="4">
        <f>Games[[#This Row],[PreGmRate]]+Games[[#This Row],[RatingChange]]</f>
        <v>1417.2476190718965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43261</v>
      </c>
      <c r="B93" s="2">
        <v>2018</v>
      </c>
      <c r="C93" s="2">
        <f>COUNTIFS(Games[Team],Games[[#This Row],[Team]],Games[Season],Games[[#This Row],[Season]],Games[Date],"&lt;=" &amp; Games[[#This Row],[Date]])</f>
        <v>7</v>
      </c>
      <c r="D93" s="2" t="s">
        <v>79</v>
      </c>
      <c r="E93" s="2" t="s">
        <v>80</v>
      </c>
      <c r="F93" s="1" t="s">
        <v>63</v>
      </c>
      <c r="G93" s="1" t="s">
        <v>75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1</v>
      </c>
      <c r="L93" s="2">
        <f>Games[[#This Row],[OppDaysOff]]-Games[[#This Row],[DaysOff]]</f>
        <v>-1</v>
      </c>
      <c r="M93" s="1">
        <f>MAX(-16, MIN(16, Games[[#This Row],[RestDiff]]*8))</f>
        <v>8</v>
      </c>
      <c r="N93" s="1">
        <f>MAX(-16, MIN(16, Games[[#This Row],[OppRestDiff]]*8))</f>
        <v>-8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1595.8008409959518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1423.417385067946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0.82749333979107043</v>
      </c>
      <c r="R93" s="1">
        <v>77</v>
      </c>
      <c r="S93" s="1">
        <v>59</v>
      </c>
      <c r="T93" s="1">
        <v>0</v>
      </c>
      <c r="U93" s="1">
        <f>Games[[#This Row],[PointsFor]]-Games[[#This Row],[PointsAgainst]]</f>
        <v>18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0.47814677138312084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6.1821385214428073</v>
      </c>
      <c r="AB93" s="4">
        <f>Games[[#This Row],[PreGmRate]]+Games[[#This Row],[RatingChange]]</f>
        <v>1601.9829795173946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43261</v>
      </c>
      <c r="B94" s="2">
        <v>2018</v>
      </c>
      <c r="C94" s="2">
        <f>COUNTIFS(Games[Team],Games[[#This Row],[Team]],Games[Season],Games[[#This Row],[Season]],Games[Date],"&lt;=" &amp; Games[[#This Row],[Date]])</f>
        <v>8</v>
      </c>
      <c r="D94" s="2" t="s">
        <v>79</v>
      </c>
      <c r="E94" s="2" t="s">
        <v>80</v>
      </c>
      <c r="F94" s="1" t="s">
        <v>69</v>
      </c>
      <c r="G94" s="1" t="s">
        <v>60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1337.9842244591957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1507.1793601261816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0.17514234825453762</v>
      </c>
      <c r="R94" s="1">
        <v>75</v>
      </c>
      <c r="S94" s="1">
        <v>78</v>
      </c>
      <c r="T94" s="1">
        <v>0</v>
      </c>
      <c r="U94" s="1">
        <f>Games[[#This Row],[PointsFor]]-Games[[#This Row],[PointsAgainst]]</f>
        <v>-3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0.25432476076451926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-3.3318190793039406</v>
      </c>
      <c r="AB94" s="4">
        <f>Games[[#This Row],[PreGmRate]]+Games[[#This Row],[RatingChange]]</f>
        <v>1334.6524053798919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43261</v>
      </c>
      <c r="B95" s="2">
        <v>2018</v>
      </c>
      <c r="C95" s="2">
        <f>COUNTIFS(Games[Team],Games[[#This Row],[Team]],Games[Season],Games[[#This Row],[Season]],Games[Date],"&lt;=" &amp; Games[[#This Row],[Date]])</f>
        <v>7</v>
      </c>
      <c r="D95" s="2" t="s">
        <v>79</v>
      </c>
      <c r="E95" s="2" t="s">
        <v>80</v>
      </c>
      <c r="F95" s="1" t="s">
        <v>60</v>
      </c>
      <c r="G95" s="1" t="s">
        <v>69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1507.1793601261816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1337.9842244591957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0.82485765174546233</v>
      </c>
      <c r="R95" s="1">
        <v>78</v>
      </c>
      <c r="S95" s="1">
        <v>75</v>
      </c>
      <c r="T95" s="1">
        <v>0</v>
      </c>
      <c r="U95" s="1">
        <f>Games[[#This Row],[PointsFor]]-Games[[#This Row],[PointsAgainst]]</f>
        <v>3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0.25432476076451926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74.95</v>
      </c>
      <c r="Z95" s="4">
        <f>Games[[#This Row],[K]]*Games[[#This Row],[POMult]]</f>
        <v>74.95</v>
      </c>
      <c r="AA95" s="4">
        <f>(Games[[#This Row],[Keff]]*Games[[#This Row],[MOVMult]])*(Games[[#This Row],[Result]]-Games[[#This Row],[ExpectedWin%]])</f>
        <v>3.3385005346768777</v>
      </c>
      <c r="AB95" s="4">
        <f>Games[[#This Row],[PreGmRate]]+Games[[#This Row],[RatingChange]]</f>
        <v>1510.5178606608583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43261</v>
      </c>
      <c r="B96" s="2">
        <v>2018</v>
      </c>
      <c r="C96" s="2">
        <f>COUNTIFS(Games[Team],Games[[#This Row],[Team]],Games[Season],Games[[#This Row],[Season]],Games[Date],"&lt;=" &amp; Games[[#This Row],[Date]])</f>
        <v>8</v>
      </c>
      <c r="D96" s="2" t="s">
        <v>79</v>
      </c>
      <c r="E96" s="2" t="s">
        <v>80</v>
      </c>
      <c r="F96" s="1" t="s">
        <v>86</v>
      </c>
      <c r="G96" s="1" t="s">
        <v>40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1375.9318236381482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1553.0599138451832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0.18195259223862773</v>
      </c>
      <c r="R96" s="1">
        <v>66</v>
      </c>
      <c r="S96" s="1">
        <v>72</v>
      </c>
      <c r="T96" s="1">
        <v>0</v>
      </c>
      <c r="U96" s="1">
        <f>Games[[#This Row],[PointsFor]]-Games[[#This Row],[PointsAgainst]]</f>
        <v>-6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0.30609855125808733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-4.1660177811659294</v>
      </c>
      <c r="AB96" s="4">
        <f>Games[[#This Row],[PreGmRate]]+Games[[#This Row],[RatingChange]]</f>
        <v>1371.7658058569823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43261</v>
      </c>
      <c r="B97" s="2">
        <v>2018</v>
      </c>
      <c r="C97" s="2">
        <f>COUNTIFS(Games[Team],Games[[#This Row],[Team]],Games[Season],Games[[#This Row],[Season]],Games[Date],"&lt;=" &amp; Games[[#This Row],[Date]])</f>
        <v>10</v>
      </c>
      <c r="D97" s="2" t="s">
        <v>79</v>
      </c>
      <c r="E97" s="2" t="s">
        <v>80</v>
      </c>
      <c r="F97" s="1" t="s">
        <v>40</v>
      </c>
      <c r="G97" s="1" t="s">
        <v>86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1553.0599138451832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1375.9318236381482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0.8180474077613723</v>
      </c>
      <c r="R97" s="1">
        <v>72</v>
      </c>
      <c r="S97" s="1">
        <v>66</v>
      </c>
      <c r="T97" s="1">
        <v>0</v>
      </c>
      <c r="U97" s="1">
        <f>Games[[#This Row],[PointsFor]]-Games[[#This Row],[PointsAgainst]]</f>
        <v>6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0.30609855125808733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74.5</v>
      </c>
      <c r="Z97" s="4">
        <f>Games[[#This Row],[K]]*Games[[#This Row],[POMult]]</f>
        <v>74.5</v>
      </c>
      <c r="AA97" s="4">
        <f>(Games[[#This Row],[Keff]]*Games[[#This Row],[MOVMult]])*(Games[[#This Row],[Result]]-Games[[#This Row],[ExpectedWin%]])</f>
        <v>4.1493091537013598</v>
      </c>
      <c r="AB97" s="4">
        <f>Games[[#This Row],[PreGmRate]]+Games[[#This Row],[RatingChange]]</f>
        <v>1557.2092229988846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43261</v>
      </c>
      <c r="B98" s="2">
        <v>2018</v>
      </c>
      <c r="C98" s="2">
        <f>COUNTIFS(Games[Team],Games[[#This Row],[Team]],Games[Season],Games[[#This Row],[Season]],Games[Date],"&lt;=" &amp; Games[[#This Row],[Date]])</f>
        <v>8</v>
      </c>
      <c r="D98" s="2" t="s">
        <v>79</v>
      </c>
      <c r="E98" s="2" t="s">
        <v>80</v>
      </c>
      <c r="F98" s="1" t="s">
        <v>77</v>
      </c>
      <c r="G98" s="1" t="s">
        <v>71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-1</v>
      </c>
      <c r="L98" s="2">
        <f>Games[[#This Row],[OppDaysOff]]-Games[[#This Row],[DaysOff]]</f>
        <v>1</v>
      </c>
      <c r="M98" s="1">
        <f>MAX(-16, MIN(16, Games[[#This Row],[RestDiff]]*8))</f>
        <v>-8</v>
      </c>
      <c r="N98" s="1">
        <f>MAX(-16, MIN(16, Games[[#This Row],[OppRestDiff]]*8))</f>
        <v>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1462.8317356479392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1561.4927088344689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0.2416628525959823</v>
      </c>
      <c r="R98" s="1">
        <v>67</v>
      </c>
      <c r="S98" s="1">
        <v>64</v>
      </c>
      <c r="T98" s="1">
        <v>0</v>
      </c>
      <c r="U98" s="1">
        <f>Games[[#This Row],[PointsFor]]-Games[[#This Row],[PointsAgainst]]</f>
        <v>3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0.26813789935029791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15.209751941874948</v>
      </c>
      <c r="AB98" s="4">
        <f>Games[[#This Row],[PreGmRate]]+Games[[#This Row],[RatingChange]]</f>
        <v>1478.0414875898141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43261</v>
      </c>
      <c r="B99" s="2">
        <v>2018</v>
      </c>
      <c r="C99" s="2">
        <f>COUNTIFS(Games[Team],Games[[#This Row],[Team]],Games[Season],Games[[#This Row],[Season]],Games[Date],"&lt;=" &amp; Games[[#This Row],[Date]])</f>
        <v>9</v>
      </c>
      <c r="D99" s="2" t="s">
        <v>79</v>
      </c>
      <c r="E99" s="2" t="s">
        <v>80</v>
      </c>
      <c r="F99" s="1" t="s">
        <v>71</v>
      </c>
      <c r="G99" s="1" t="s">
        <v>77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1</v>
      </c>
      <c r="L99" s="2">
        <f>Games[[#This Row],[OppDaysOff]]-Games[[#This Row],[DaysOff]]</f>
        <v>-1</v>
      </c>
      <c r="M99" s="1">
        <f>MAX(-16, MIN(16, Games[[#This Row],[RestDiff]]*8))</f>
        <v>8</v>
      </c>
      <c r="N99" s="1">
        <f>MAX(-16, MIN(16, Games[[#This Row],[OppRestDiff]]*8))</f>
        <v>-8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1561.4927088344689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1462.8317356479392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0.7583371474040177</v>
      </c>
      <c r="R99" s="1">
        <v>64</v>
      </c>
      <c r="S99" s="1">
        <v>67</v>
      </c>
      <c r="T99" s="1">
        <v>0</v>
      </c>
      <c r="U99" s="1">
        <f>Games[[#This Row],[PointsFor]]-Games[[#This Row],[PointsAgainst]]</f>
        <v>-3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0.26813789935029791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-15.179251102419318</v>
      </c>
      <c r="AB99" s="4">
        <f>Games[[#This Row],[PreGmRate]]+Games[[#This Row],[RatingChange]]</f>
        <v>1546.3134577320495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43263</v>
      </c>
      <c r="B100" s="2">
        <v>2018</v>
      </c>
      <c r="C100" s="2">
        <f>COUNTIFS(Games[Team],Games[[#This Row],[Team]],Games[Season],Games[[#This Row],[Season]],Games[Date],"&lt;=" &amp; Games[[#This Row],[Date]])</f>
        <v>11</v>
      </c>
      <c r="D100" s="2" t="s">
        <v>79</v>
      </c>
      <c r="E100" s="2" t="s">
        <v>80</v>
      </c>
      <c r="F100" s="1" t="s">
        <v>40</v>
      </c>
      <c r="G100" s="1" t="s">
        <v>85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1557.2092229988846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1502.953186211842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0.4120670521237832</v>
      </c>
      <c r="R100" s="1">
        <v>75</v>
      </c>
      <c r="S100" s="1">
        <v>72</v>
      </c>
      <c r="T100" s="1">
        <v>0</v>
      </c>
      <c r="U100" s="1">
        <f>Games[[#This Row],[PointsFor]]-Games[[#This Row],[PointsAgainst]]</f>
        <v>3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0.27763089441488031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74.349999999999994</v>
      </c>
      <c r="Z100" s="4">
        <f>Games[[#This Row],[K]]*Games[[#This Row],[POMult]]</f>
        <v>74.349999999999994</v>
      </c>
      <c r="AA100" s="4">
        <f>(Games[[#This Row],[Keff]]*Games[[#This Row],[MOVMult]])*(Games[[#This Row],[Result]]-Games[[#This Row],[ExpectedWin%]])</f>
        <v>12.13602783550019</v>
      </c>
      <c r="AB100" s="4">
        <f>Games[[#This Row],[PreGmRate]]+Games[[#This Row],[RatingChange]]</f>
        <v>1569.3452508343848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43263</v>
      </c>
      <c r="B101" s="2">
        <v>2018</v>
      </c>
      <c r="C101" s="2">
        <f>COUNTIFS(Games[Team],Games[[#This Row],[Team]],Games[Season],Games[[#This Row],[Season]],Games[Date],"&lt;=" &amp; Games[[#This Row],[Date]])</f>
        <v>8</v>
      </c>
      <c r="D101" s="2" t="s">
        <v>79</v>
      </c>
      <c r="E101" s="2" t="s">
        <v>80</v>
      </c>
      <c r="F101" s="1" t="s">
        <v>85</v>
      </c>
      <c r="G101" s="1" t="s">
        <v>40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1502.953186211842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1557.2092229988846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0.58793294787621686</v>
      </c>
      <c r="R101" s="1">
        <v>72</v>
      </c>
      <c r="S101" s="1">
        <v>75</v>
      </c>
      <c r="T101" s="1">
        <v>0</v>
      </c>
      <c r="U101" s="1">
        <f>Games[[#This Row],[PointsFor]]-Games[[#This Row],[PointsAgainst]]</f>
        <v>-3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0.27763089441488031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74.8</v>
      </c>
      <c r="Z101" s="4">
        <f>Games[[#This Row],[K]]*Games[[#This Row],[POMult]]</f>
        <v>74.8</v>
      </c>
      <c r="AA101" s="4">
        <f>(Games[[#This Row],[Keff]]*Games[[#This Row],[MOVMult]])*(Games[[#This Row],[Result]]-Games[[#This Row],[ExpectedWin%]])</f>
        <v>-12.209480593078878</v>
      </c>
      <c r="AB101" s="4">
        <f>Games[[#This Row],[PreGmRate]]+Games[[#This Row],[RatingChange]]</f>
        <v>1490.743705618763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43263</v>
      </c>
      <c r="B102" s="2">
        <v>2018</v>
      </c>
      <c r="C102" s="2">
        <f>COUNTIFS(Games[Team],Games[[#This Row],[Team]],Games[Season],Games[[#This Row],[Season]],Games[Date],"&lt;=" &amp; Games[[#This Row],[Date]])</f>
        <v>9</v>
      </c>
      <c r="D102" s="2" t="s">
        <v>79</v>
      </c>
      <c r="E102" s="2" t="s">
        <v>80</v>
      </c>
      <c r="F102" s="1" t="s">
        <v>86</v>
      </c>
      <c r="G102" s="1" t="s">
        <v>69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1371.7658058569823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1334.6524053798919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0.43293140868268026</v>
      </c>
      <c r="R102" s="1">
        <v>101</v>
      </c>
      <c r="S102" s="1">
        <v>92</v>
      </c>
      <c r="T102" s="1">
        <v>1</v>
      </c>
      <c r="U102" s="1">
        <f>Games[[#This Row],[PointsFor]]-Games[[#This Row],[PointsAgainst]]</f>
        <v>9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0.35441314365355286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15.002900361956645</v>
      </c>
      <c r="AB102" s="4">
        <f>Games[[#This Row],[PreGmRate]]+Games[[#This Row],[RatingChange]]</f>
        <v>1386.7687062189389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43263</v>
      </c>
      <c r="B103" s="2">
        <v>2018</v>
      </c>
      <c r="C103" s="2">
        <f>COUNTIFS(Games[Team],Games[[#This Row],[Team]],Games[Season],Games[[#This Row],[Season]],Games[Date],"&lt;=" &amp; Games[[#This Row],[Date]])</f>
        <v>9</v>
      </c>
      <c r="D103" s="2" t="s">
        <v>79</v>
      </c>
      <c r="E103" s="2" t="s">
        <v>80</v>
      </c>
      <c r="F103" s="1" t="s">
        <v>69</v>
      </c>
      <c r="G103" s="1" t="s">
        <v>86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1334.6524053798919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1371.7658058569823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0.56706859131731968</v>
      </c>
      <c r="R103" s="1">
        <v>92</v>
      </c>
      <c r="S103" s="1">
        <v>101</v>
      </c>
      <c r="T103" s="1">
        <v>1</v>
      </c>
      <c r="U103" s="1">
        <f>Games[[#This Row],[PointsFor]]-Games[[#This Row],[PointsAgainst]]</f>
        <v>-9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0.35441314365355286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-15.002900361956645</v>
      </c>
      <c r="AB103" s="4">
        <f>Games[[#This Row],[PreGmRate]]+Games[[#This Row],[RatingChange]]</f>
        <v>1319.6495050179353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43263</v>
      </c>
      <c r="B104" s="2">
        <v>2018</v>
      </c>
      <c r="C104" s="2">
        <f>COUNTIFS(Games[Team],Games[[#This Row],[Team]],Games[Season],Games[[#This Row],[Season]],Games[Date],"&lt;=" &amp; Games[[#This Row],[Date]])</f>
        <v>9</v>
      </c>
      <c r="D104" s="2" t="s">
        <v>79</v>
      </c>
      <c r="E104" s="2" t="s">
        <v>80</v>
      </c>
      <c r="F104" s="1" t="s">
        <v>77</v>
      </c>
      <c r="G104" s="1" t="s">
        <v>63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1478.0414875898141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1601.9829795173946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0.23200800245494413</v>
      </c>
      <c r="R104" s="1">
        <v>64</v>
      </c>
      <c r="S104" s="1">
        <v>72</v>
      </c>
      <c r="T104" s="1">
        <v>0</v>
      </c>
      <c r="U104" s="1">
        <f>Games[[#This Row],[PointsFor]]-Games[[#This Row],[PointsAgainst]]</f>
        <v>-8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0.35196316819497003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-6.0957899742404198</v>
      </c>
      <c r="AB104" s="4">
        <f>Games[[#This Row],[PreGmRate]]+Games[[#This Row],[RatingChange]]</f>
        <v>1471.9456976155736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43263</v>
      </c>
      <c r="B105" s="2">
        <v>2018</v>
      </c>
      <c r="C105" s="2">
        <f>COUNTIFS(Games[Team],Games[[#This Row],[Team]],Games[Season],Games[[#This Row],[Season]],Games[Date],"&lt;=" &amp; Games[[#This Row],[Date]])</f>
        <v>8</v>
      </c>
      <c r="D105" s="2" t="s">
        <v>79</v>
      </c>
      <c r="E105" s="2" t="s">
        <v>80</v>
      </c>
      <c r="F105" s="1" t="s">
        <v>63</v>
      </c>
      <c r="G105" s="1" t="s">
        <v>77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1601.9829795173946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1478.0414875898141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0.76799199754505598</v>
      </c>
      <c r="R105" s="1">
        <v>72</v>
      </c>
      <c r="S105" s="1">
        <v>64</v>
      </c>
      <c r="T105" s="1">
        <v>0</v>
      </c>
      <c r="U105" s="1">
        <f>Games[[#This Row],[PointsFor]]-Games[[#This Row],[PointsAgainst]]</f>
        <v>8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0.35196316819497003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6.1080387149790099</v>
      </c>
      <c r="AB105" s="4">
        <f>Games[[#This Row],[PreGmRate]]+Games[[#This Row],[RatingChange]]</f>
        <v>1608.0910182323737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43263</v>
      </c>
      <c r="B106" s="2">
        <v>2018</v>
      </c>
      <c r="C106" s="2">
        <f>COUNTIFS(Games[Team],Games[[#This Row],[Team]],Games[Season],Games[[#This Row],[Season]],Games[Date],"&lt;=" &amp; Games[[#This Row],[Date]])</f>
        <v>9</v>
      </c>
      <c r="D106" s="2" t="s">
        <v>79</v>
      </c>
      <c r="E106" s="2" t="s">
        <v>80</v>
      </c>
      <c r="F106" s="1" t="s">
        <v>75</v>
      </c>
      <c r="G106" s="1" t="s">
        <v>71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1417.2476190718965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1546.3134577320495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0.22679361964287792</v>
      </c>
      <c r="R106" s="1">
        <v>85</v>
      </c>
      <c r="S106" s="1">
        <v>96</v>
      </c>
      <c r="T106" s="1">
        <v>0</v>
      </c>
      <c r="U106" s="1">
        <f>Games[[#This Row],[PointsFor]]-Games[[#This Row],[PointsAgainst]]</f>
        <v>-11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0.39712341477472796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-6.7233564812889428</v>
      </c>
      <c r="AB106" s="4">
        <f>Games[[#This Row],[PreGmRate]]+Games[[#This Row],[RatingChange]]</f>
        <v>1410.5242625906076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43263</v>
      </c>
      <c r="B107" s="2">
        <v>2018</v>
      </c>
      <c r="C107" s="2">
        <f>COUNTIFS(Games[Team],Games[[#This Row],[Team]],Games[Season],Games[[#This Row],[Season]],Games[Date],"&lt;=" &amp; Games[[#This Row],[Date]])</f>
        <v>10</v>
      </c>
      <c r="D107" s="2" t="s">
        <v>79</v>
      </c>
      <c r="E107" s="2" t="s">
        <v>80</v>
      </c>
      <c r="F107" s="1" t="s">
        <v>71</v>
      </c>
      <c r="G107" s="1" t="s">
        <v>75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1546.3134577320495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1417.2476190718965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0.77320638035712208</v>
      </c>
      <c r="R107" s="1">
        <v>96</v>
      </c>
      <c r="S107" s="1">
        <v>85</v>
      </c>
      <c r="T107" s="1">
        <v>0</v>
      </c>
      <c r="U107" s="1">
        <f>Games[[#This Row],[PointsFor]]-Games[[#This Row],[PointsAgainst]]</f>
        <v>11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0.39712341477472796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74.5</v>
      </c>
      <c r="Z107" s="4">
        <f>Games[[#This Row],[K]]*Games[[#This Row],[POMult]]</f>
        <v>74.5</v>
      </c>
      <c r="AA107" s="4">
        <f>(Games[[#This Row],[Keff]]*Games[[#This Row],[MOVMult]])*(Games[[#This Row],[Result]]-Games[[#This Row],[ExpectedWin%]])</f>
        <v>6.7098467227866871</v>
      </c>
      <c r="AB107" s="4">
        <f>Games[[#This Row],[PreGmRate]]+Games[[#This Row],[RatingChange]]</f>
        <v>1553.0233044548363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43264</v>
      </c>
      <c r="B108" s="2">
        <v>2018</v>
      </c>
      <c r="C108" s="2">
        <f>COUNTIFS(Games[Team],Games[[#This Row],[Team]],Games[Season],Games[[#This Row],[Season]],Games[Date],"&lt;=" &amp; Games[[#This Row],[Date]])</f>
        <v>10</v>
      </c>
      <c r="D108" s="2" t="s">
        <v>79</v>
      </c>
      <c r="E108" s="2" t="s">
        <v>80</v>
      </c>
      <c r="F108" s="1" t="s">
        <v>65</v>
      </c>
      <c r="G108" s="1" t="s">
        <v>74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2</v>
      </c>
      <c r="L108" s="2">
        <f>Games[[#This Row],[OppDaysOff]]-Games[[#This Row],[DaysOff]]</f>
        <v>-2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1489.9581189827566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1615.8915320206581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0.26419706256685593</v>
      </c>
      <c r="R108" s="1">
        <v>95</v>
      </c>
      <c r="S108" s="1">
        <v>91</v>
      </c>
      <c r="T108" s="1">
        <v>0</v>
      </c>
      <c r="U108" s="1">
        <f>Games[[#This Row],[PointsFor]]-Games[[#This Row],[PointsAgainst]]</f>
        <v>4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0.28185373278165704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15.450465935789358</v>
      </c>
      <c r="AB108" s="4">
        <f>Games[[#This Row],[PreGmRate]]+Games[[#This Row],[RatingChange]]</f>
        <v>1505.408584918546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43264</v>
      </c>
      <c r="B109" s="2">
        <v>2018</v>
      </c>
      <c r="C109" s="2">
        <f>COUNTIFS(Games[Team],Games[[#This Row],[Team]],Games[Season],Games[[#This Row],[Season]],Games[Date],"&lt;=" &amp; Games[[#This Row],[Date]])</f>
        <v>9</v>
      </c>
      <c r="D109" s="2" t="s">
        <v>79</v>
      </c>
      <c r="E109" s="2" t="s">
        <v>80</v>
      </c>
      <c r="F109" s="1" t="s">
        <v>74</v>
      </c>
      <c r="G109" s="1" t="s">
        <v>65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9" s="2">
        <f>Games[[#This Row],[DaysOff]]-Games[[#This Row],[OppDaysOff]]</f>
        <v>-2</v>
      </c>
      <c r="L109" s="2">
        <f>Games[[#This Row],[OppDaysOff]]-Games[[#This Row],[DaysOff]]</f>
        <v>2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1615.8915320206581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1489.9581189827566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0.73580293743314407</v>
      </c>
      <c r="R109" s="1">
        <v>91</v>
      </c>
      <c r="S109" s="1">
        <v>95</v>
      </c>
      <c r="T109" s="1">
        <v>0</v>
      </c>
      <c r="U109" s="1">
        <f>Games[[#This Row],[PointsFor]]-Games[[#This Row],[PointsAgainst]]</f>
        <v>-4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0.28185373278165704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-15.481574256465446</v>
      </c>
      <c r="AB109" s="4">
        <f>Games[[#This Row],[PreGmRate]]+Games[[#This Row],[RatingChange]]</f>
        <v>1600.4099577641928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43264</v>
      </c>
      <c r="B110" s="2">
        <v>2018</v>
      </c>
      <c r="C110" s="2">
        <f>COUNTIFS(Games[Team],Games[[#This Row],[Team]],Games[Season],Games[[#This Row],[Season]],Games[Date],"&lt;=" &amp; Games[[#This Row],[Date]])</f>
        <v>10</v>
      </c>
      <c r="D110" s="2" t="s">
        <v>79</v>
      </c>
      <c r="E110" s="2" t="s">
        <v>80</v>
      </c>
      <c r="F110" s="1" t="s">
        <v>86</v>
      </c>
      <c r="G110" s="1" t="s">
        <v>60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-2</v>
      </c>
      <c r="L110" s="2">
        <f>Games[[#This Row],[OppDaysOff]]-Games[[#This Row],[DaysOff]]</f>
        <v>2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1386.7687062189389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1510.5178606608583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0.20099180395790983</v>
      </c>
      <c r="R110" s="1">
        <v>78</v>
      </c>
      <c r="S110" s="1">
        <v>63</v>
      </c>
      <c r="T110" s="1">
        <v>0</v>
      </c>
      <c r="U110" s="1">
        <f>Games[[#This Row],[PointsFor]]-Games[[#This Row],[PointsAgainst]]</f>
        <v>15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0.45583986333793847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27.134374123284076</v>
      </c>
      <c r="AB110" s="4">
        <f>Games[[#This Row],[PreGmRate]]+Games[[#This Row],[RatingChange]]</f>
        <v>1413.9030803422229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43264</v>
      </c>
      <c r="B111" s="2">
        <v>2018</v>
      </c>
      <c r="C111" s="2">
        <f>COUNTIFS(Games[Team],Games[[#This Row],[Team]],Games[Season],Games[[#This Row],[Season]],Games[Date],"&lt;=" &amp; Games[[#This Row],[Date]])</f>
        <v>8</v>
      </c>
      <c r="D111" s="2" t="s">
        <v>79</v>
      </c>
      <c r="E111" s="2" t="s">
        <v>80</v>
      </c>
      <c r="F111" s="1" t="s">
        <v>60</v>
      </c>
      <c r="G111" s="1" t="s">
        <v>86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2</v>
      </c>
      <c r="L111" s="2">
        <f>Games[[#This Row],[OppDaysOff]]-Games[[#This Row],[DaysOff]]</f>
        <v>-2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1510.5178606608583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1386.7687062189389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0.79900819604209006</v>
      </c>
      <c r="R111" s="1">
        <v>63</v>
      </c>
      <c r="S111" s="1">
        <v>78</v>
      </c>
      <c r="T111" s="1">
        <v>0</v>
      </c>
      <c r="U111" s="1">
        <f>Games[[#This Row],[PointsFor]]-Games[[#This Row],[PointsAgainst]]</f>
        <v>-15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0.45583986333793847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74.8</v>
      </c>
      <c r="Z111" s="4">
        <f>Games[[#This Row],[K]]*Games[[#This Row],[POMult]]</f>
        <v>74.8</v>
      </c>
      <c r="AA111" s="4">
        <f>(Games[[#This Row],[Keff]]*Games[[#This Row],[MOVMult]])*(Games[[#This Row],[Result]]-Games[[#This Row],[ExpectedWin%]])</f>
        <v>-27.243640059350987</v>
      </c>
      <c r="AB111" s="4">
        <f>Games[[#This Row],[PreGmRate]]+Games[[#This Row],[RatingChange]]</f>
        <v>1483.2742206015073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43265</v>
      </c>
      <c r="B112" s="2">
        <v>2018</v>
      </c>
      <c r="C112" s="2">
        <f>COUNTIFS(Games[Team],Games[[#This Row],[Team]],Games[Season],Games[[#This Row],[Season]],Games[Date],"&lt;=" &amp; Games[[#This Row],[Date]])</f>
        <v>10</v>
      </c>
      <c r="D112" s="2" t="s">
        <v>79</v>
      </c>
      <c r="E112" s="2" t="s">
        <v>80</v>
      </c>
      <c r="F112" s="1" t="s">
        <v>69</v>
      </c>
      <c r="G112" s="1" t="s">
        <v>77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1319.6495050179353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1471.9456976155736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0.20420288699079642</v>
      </c>
      <c r="R112" s="1">
        <v>67</v>
      </c>
      <c r="S112" s="1">
        <v>72</v>
      </c>
      <c r="T112" s="1">
        <v>0</v>
      </c>
      <c r="U112" s="1">
        <f>Games[[#This Row],[PointsFor]]-Games[[#This Row],[PointsAgainst]]</f>
        <v>-5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0.29439347143969219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-4.4786417600524651</v>
      </c>
      <c r="AB112" s="4">
        <f>Games[[#This Row],[PreGmRate]]+Games[[#This Row],[RatingChange]]</f>
        <v>1315.170863257883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43265</v>
      </c>
      <c r="B113" s="2">
        <v>2018</v>
      </c>
      <c r="C113" s="2">
        <f>COUNTIFS(Games[Team],Games[[#This Row],[Team]],Games[Season],Games[[#This Row],[Season]],Games[Date],"&lt;=" &amp; Games[[#This Row],[Date]])</f>
        <v>10</v>
      </c>
      <c r="D113" s="2" t="s">
        <v>79</v>
      </c>
      <c r="E113" s="2" t="s">
        <v>80</v>
      </c>
      <c r="F113" s="1" t="s">
        <v>77</v>
      </c>
      <c r="G113" s="1" t="s">
        <v>69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1471.9456976155736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1319.6495050179353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0.79579711300920353</v>
      </c>
      <c r="R113" s="1">
        <v>72</v>
      </c>
      <c r="S113" s="1">
        <v>67</v>
      </c>
      <c r="T113" s="1">
        <v>0</v>
      </c>
      <c r="U113" s="1">
        <f>Games[[#This Row],[PointsFor]]-Games[[#This Row],[PointsAgainst]]</f>
        <v>5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0.29439347143969219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4.4786417600524668</v>
      </c>
      <c r="AB113" s="4">
        <f>Games[[#This Row],[PreGmRate]]+Games[[#This Row],[RatingChange]]</f>
        <v>1476.424339375626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43266</v>
      </c>
      <c r="B114" s="2">
        <v>2018</v>
      </c>
      <c r="C114" s="2">
        <f>COUNTIFS(Games[Team],Games[[#This Row],[Team]],Games[Season],Games[[#This Row],[Season]],Games[Date],"&lt;=" &amp; Games[[#This Row],[Date]])</f>
        <v>11</v>
      </c>
      <c r="D114" s="2" t="s">
        <v>79</v>
      </c>
      <c r="E114" s="2" t="s">
        <v>80</v>
      </c>
      <c r="F114" s="1" t="s">
        <v>86</v>
      </c>
      <c r="G114" s="1" t="s">
        <v>85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-1</v>
      </c>
      <c r="L114" s="2">
        <f>Games[[#This Row],[OppDaysOff]]-Games[[#This Row],[DaysOff]]</f>
        <v>1</v>
      </c>
      <c r="M114" s="1">
        <f>MAX(-16, MIN(16, Games[[#This Row],[RestDiff]]*8))</f>
        <v>-8</v>
      </c>
      <c r="N114" s="1">
        <f>MAX(-16, MIN(16, Games[[#This Row],[OppRestDiff]]*8))</f>
        <v>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1413.9030803422229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1490.743705618763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0.2654217472104064</v>
      </c>
      <c r="R114" s="1">
        <v>67</v>
      </c>
      <c r="S114" s="1">
        <v>77</v>
      </c>
      <c r="T114" s="1">
        <v>0</v>
      </c>
      <c r="U114" s="1">
        <f>Games[[#This Row],[PointsFor]]-Games[[#This Row],[PointsAgainst]]</f>
        <v>-10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0.39766563590406617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74.349999999999994</v>
      </c>
      <c r="Z114" s="4">
        <f>Games[[#This Row],[K]]*Games[[#This Row],[POMult]]</f>
        <v>74.349999999999994</v>
      </c>
      <c r="AA114" s="4">
        <f>(Games[[#This Row],[Keff]]*Games[[#This Row],[MOVMult]])*(Games[[#This Row],[Result]]-Games[[#This Row],[ExpectedWin%]])</f>
        <v>-7.847576171412916</v>
      </c>
      <c r="AB114" s="4">
        <f>Games[[#This Row],[PreGmRate]]+Games[[#This Row],[RatingChange]]</f>
        <v>1406.0555041708101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43266</v>
      </c>
      <c r="B115" s="2">
        <v>2018</v>
      </c>
      <c r="C115" s="2">
        <f>COUNTIFS(Games[Team],Games[[#This Row],[Team]],Games[Season],Games[[#This Row],[Season]],Games[Date],"&lt;=" &amp; Games[[#This Row],[Date]])</f>
        <v>9</v>
      </c>
      <c r="D115" s="2" t="s">
        <v>79</v>
      </c>
      <c r="E115" s="2" t="s">
        <v>80</v>
      </c>
      <c r="F115" s="1" t="s">
        <v>85</v>
      </c>
      <c r="G115" s="1" t="s">
        <v>86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1</v>
      </c>
      <c r="L115" s="2">
        <f>Games[[#This Row],[OppDaysOff]]-Games[[#This Row],[DaysOff]]</f>
        <v>-1</v>
      </c>
      <c r="M115" s="1">
        <f>MAX(-16, MIN(16, Games[[#This Row],[RestDiff]]*8))</f>
        <v>8</v>
      </c>
      <c r="N115" s="1">
        <f>MAX(-16, MIN(16, Games[[#This Row],[OppRestDiff]]*8))</f>
        <v>-8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1490.743705618763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1413.9030803422229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0.73457825278959366</v>
      </c>
      <c r="R115" s="1">
        <v>77</v>
      </c>
      <c r="S115" s="1">
        <v>67</v>
      </c>
      <c r="T115" s="1">
        <v>0</v>
      </c>
      <c r="U115" s="1">
        <f>Games[[#This Row],[PointsFor]]-Games[[#This Row],[PointsAgainst]]</f>
        <v>10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0.39766563590406617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7.8792409037790723</v>
      </c>
      <c r="AB115" s="4">
        <f>Games[[#This Row],[PreGmRate]]+Games[[#This Row],[RatingChange]]</f>
        <v>1498.622946522542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43266</v>
      </c>
      <c r="B116" s="2">
        <v>2018</v>
      </c>
      <c r="C116" s="2">
        <f>COUNTIFS(Games[Team],Games[[#This Row],[Team]],Games[Season],Games[[#This Row],[Season]],Games[Date],"&lt;=" &amp; Games[[#This Row],[Date]])</f>
        <v>10</v>
      </c>
      <c r="D116" s="2" t="s">
        <v>79</v>
      </c>
      <c r="E116" s="2" t="s">
        <v>80</v>
      </c>
      <c r="F116" s="1" t="s">
        <v>74</v>
      </c>
      <c r="G116" s="1" t="s">
        <v>71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1600.4099577641928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1553.0233044548363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0.42485682757356008</v>
      </c>
      <c r="R116" s="1">
        <v>92</v>
      </c>
      <c r="S116" s="1">
        <v>103</v>
      </c>
      <c r="T116" s="1">
        <v>0</v>
      </c>
      <c r="U116" s="1">
        <f>Games[[#This Row],[PointsFor]]-Games[[#This Row],[PointsAgainst]]</f>
        <v>-11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0.42312715380502036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-13.392750286824393</v>
      </c>
      <c r="AB116" s="4">
        <f>Games[[#This Row],[PreGmRate]]+Games[[#This Row],[RatingChange]]</f>
        <v>1587.0172074773684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43266</v>
      </c>
      <c r="B117" s="2">
        <v>2018</v>
      </c>
      <c r="C117" s="2">
        <f>COUNTIFS(Games[Team],Games[[#This Row],[Team]],Games[Season],Games[[#This Row],[Season]],Games[Date],"&lt;=" &amp; Games[[#This Row],[Date]])</f>
        <v>11</v>
      </c>
      <c r="D117" s="2" t="s">
        <v>79</v>
      </c>
      <c r="E117" s="2" t="s">
        <v>80</v>
      </c>
      <c r="F117" s="1" t="s">
        <v>71</v>
      </c>
      <c r="G117" s="1" t="s">
        <v>74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1553.0233044548363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1600.4099577641928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0.57514317242643986</v>
      </c>
      <c r="R117" s="1">
        <v>103</v>
      </c>
      <c r="S117" s="1">
        <v>92</v>
      </c>
      <c r="T117" s="1">
        <v>0</v>
      </c>
      <c r="U117" s="1">
        <f>Games[[#This Row],[PointsFor]]-Games[[#This Row],[PointsAgainst]]</f>
        <v>11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0.42312715380502036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13.365785017790518</v>
      </c>
      <c r="AB117" s="4">
        <f>Games[[#This Row],[PreGmRate]]+Games[[#This Row],[RatingChange]]</f>
        <v>1566.3890894726269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43266</v>
      </c>
      <c r="B118" s="2">
        <v>2018</v>
      </c>
      <c r="C118" s="2">
        <f>COUNTIFS(Games[Team],Games[[#This Row],[Team]],Games[Season],Games[[#This Row],[Season]],Games[Date],"&lt;=" &amp; Games[[#This Row],[Date]])</f>
        <v>9</v>
      </c>
      <c r="D118" s="2" t="s">
        <v>79</v>
      </c>
      <c r="E118" s="2" t="s">
        <v>80</v>
      </c>
      <c r="F118" s="1" t="s">
        <v>63</v>
      </c>
      <c r="G118" s="1" t="s">
        <v>65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1608.0910182323737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1505.408584918546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0.54974690332846687</v>
      </c>
      <c r="R118" s="1">
        <v>97</v>
      </c>
      <c r="S118" s="1">
        <v>86</v>
      </c>
      <c r="T118" s="1">
        <v>0</v>
      </c>
      <c r="U118" s="1">
        <f>Games[[#This Row],[PointsFor]]-Games[[#This Row],[PointsAgainst]]</f>
        <v>11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0.40516640956499733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13.618207692343631</v>
      </c>
      <c r="AB118" s="4">
        <f>Games[[#This Row],[PreGmRate]]+Games[[#This Row],[RatingChange]]</f>
        <v>1621.7092259247174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43266</v>
      </c>
      <c r="B119" s="2">
        <v>2018</v>
      </c>
      <c r="C119" s="2">
        <f>COUNTIFS(Games[Team],Games[[#This Row],[Team]],Games[Season],Games[[#This Row],[Season]],Games[Date],"&lt;=" &amp; Games[[#This Row],[Date]])</f>
        <v>11</v>
      </c>
      <c r="D119" s="2" t="s">
        <v>79</v>
      </c>
      <c r="E119" s="2" t="s">
        <v>80</v>
      </c>
      <c r="F119" s="1" t="s">
        <v>65</v>
      </c>
      <c r="G119" s="1" t="s">
        <v>63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1505.408584918546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1608.0910182323737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0.45025309667153318</v>
      </c>
      <c r="R119" s="1">
        <v>86</v>
      </c>
      <c r="S119" s="1">
        <v>97</v>
      </c>
      <c r="T119" s="1">
        <v>0</v>
      </c>
      <c r="U119" s="1">
        <f>Games[[#This Row],[PointsFor]]-Games[[#This Row],[PointsAgainst]]</f>
        <v>-11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0.40516640956499733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74.349999999999994</v>
      </c>
      <c r="Z119" s="4">
        <f>Games[[#This Row],[K]]*Games[[#This Row],[POMult]]</f>
        <v>74.349999999999994</v>
      </c>
      <c r="AA119" s="4">
        <f>(Games[[#This Row],[Keff]]*Games[[#This Row],[MOVMult]])*(Games[[#This Row],[Result]]-Games[[#This Row],[ExpectedWin%]])</f>
        <v>-13.563479463171452</v>
      </c>
      <c r="AB119" s="4">
        <f>Games[[#This Row],[PreGmRate]]+Games[[#This Row],[RatingChange]]</f>
        <v>1491.8451054553746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43267</v>
      </c>
      <c r="B120" s="2">
        <v>2018</v>
      </c>
      <c r="C120" s="2">
        <f>COUNTIFS(Games[Team],Games[[#This Row],[Team]],Games[Season],Games[[#This Row],[Season]],Games[Date],"&lt;=" &amp; Games[[#This Row],[Date]])</f>
        <v>11</v>
      </c>
      <c r="D120" s="2" t="s">
        <v>79</v>
      </c>
      <c r="E120" s="2" t="s">
        <v>80</v>
      </c>
      <c r="F120" s="1" t="s">
        <v>77</v>
      </c>
      <c r="G120" s="1" t="s">
        <v>69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1476.424339375626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1315.170863257883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0.60937998328720722</v>
      </c>
      <c r="R120" s="1">
        <v>64</v>
      </c>
      <c r="S120" s="1">
        <v>96</v>
      </c>
      <c r="T120" s="1">
        <v>0</v>
      </c>
      <c r="U120" s="1">
        <f>Games[[#This Row],[PointsFor]]-Games[[#This Row],[PointsAgainst]]</f>
        <v>-32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0.64118304943238813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-29.050338020670541</v>
      </c>
      <c r="AB120" s="4">
        <f>Games[[#This Row],[PreGmRate]]+Games[[#This Row],[RatingChange]]</f>
        <v>1447.3740013549555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43267</v>
      </c>
      <c r="B121" s="2">
        <v>2018</v>
      </c>
      <c r="C121" s="2">
        <f>COUNTIFS(Games[Team],Games[[#This Row],[Team]],Games[Season],Games[[#This Row],[Season]],Games[Date],"&lt;=" &amp; Games[[#This Row],[Date]])</f>
        <v>11</v>
      </c>
      <c r="D121" s="2" t="s">
        <v>79</v>
      </c>
      <c r="E121" s="2" t="s">
        <v>80</v>
      </c>
      <c r="F121" s="1" t="s">
        <v>69</v>
      </c>
      <c r="G121" s="1" t="s">
        <v>77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1315.170863257883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1476.424339375626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0.39062001671279278</v>
      </c>
      <c r="R121" s="1">
        <v>96</v>
      </c>
      <c r="S121" s="1">
        <v>64</v>
      </c>
      <c r="T121" s="1">
        <v>0</v>
      </c>
      <c r="U121" s="1">
        <f>Games[[#This Row],[PointsFor]]-Games[[#This Row],[PointsAgainst]]</f>
        <v>32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0.64118304943238813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29.050338020670541</v>
      </c>
      <c r="AB121" s="4">
        <f>Games[[#This Row],[PreGmRate]]+Games[[#This Row],[RatingChange]]</f>
        <v>1344.2212012785535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43267</v>
      </c>
      <c r="B122" s="2">
        <v>2018</v>
      </c>
      <c r="C122" s="2">
        <f>COUNTIFS(Games[Team],Games[[#This Row],[Team]],Games[Season],Games[[#This Row],[Season]],Games[Date],"&lt;=" &amp; Games[[#This Row],[Date]])</f>
        <v>9</v>
      </c>
      <c r="D122" s="2" t="s">
        <v>79</v>
      </c>
      <c r="E122" s="2" t="s">
        <v>80</v>
      </c>
      <c r="F122" s="1" t="s">
        <v>60</v>
      </c>
      <c r="G122" s="1" t="s">
        <v>67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2" s="2">
        <f>Games[[#This Row],[DaysOff]]-Games[[#This Row],[OppDaysOff]]</f>
        <v>-4</v>
      </c>
      <c r="L122" s="2">
        <f>Games[[#This Row],[OppDaysOff]]-Games[[#This Row],[DaysOff]]</f>
        <v>4</v>
      </c>
      <c r="M122" s="1">
        <f>MAX(-16, MIN(16, Games[[#This Row],[RestDiff]]*8))</f>
        <v>-16</v>
      </c>
      <c r="N122" s="1">
        <f>MAX(-16, MIN(16, Games[[#This Row],[OppRestDiff]]*8))</f>
        <v>16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1483.2742206015073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1573.9474210848557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0.23331141845882516</v>
      </c>
      <c r="R122" s="1">
        <v>71</v>
      </c>
      <c r="S122" s="1">
        <v>85</v>
      </c>
      <c r="T122" s="1">
        <v>0</v>
      </c>
      <c r="U122" s="1">
        <f>Games[[#This Row],[PointsFor]]-Games[[#This Row],[PointsAgainst]]</f>
        <v>-14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0.45335234668372626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74.650000000000006</v>
      </c>
      <c r="Z122" s="4">
        <f>Games[[#This Row],[K]]*Games[[#This Row],[POMult]]</f>
        <v>74.650000000000006</v>
      </c>
      <c r="AA122" s="4">
        <f>(Games[[#This Row],[Keff]]*Games[[#This Row],[MOVMult]])*(Games[[#This Row],[Result]]-Games[[#This Row],[ExpectedWin%]])</f>
        <v>-7.8959006323080478</v>
      </c>
      <c r="AB122" s="4">
        <f>Games[[#This Row],[PreGmRate]]+Games[[#This Row],[RatingChange]]</f>
        <v>1475.3783199691993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43267</v>
      </c>
      <c r="B123" s="2">
        <v>2018</v>
      </c>
      <c r="C123" s="2">
        <f>COUNTIFS(Games[Team],Games[[#This Row],[Team]],Games[Season],Games[[#This Row],[Season]],Games[Date],"&lt;=" &amp; Games[[#This Row],[Date]])</f>
        <v>10</v>
      </c>
      <c r="D123" s="2" t="s">
        <v>79</v>
      </c>
      <c r="E123" s="2" t="s">
        <v>80</v>
      </c>
      <c r="F123" s="1" t="s">
        <v>67</v>
      </c>
      <c r="G123" s="1" t="s">
        <v>60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4</v>
      </c>
      <c r="L123" s="2">
        <f>Games[[#This Row],[OppDaysOff]]-Games[[#This Row],[DaysOff]]</f>
        <v>-4</v>
      </c>
      <c r="M123" s="1">
        <f>MAX(-16, MIN(16, Games[[#This Row],[RestDiff]]*8))</f>
        <v>16</v>
      </c>
      <c r="N123" s="1">
        <f>MAX(-16, MIN(16, Games[[#This Row],[OppRestDiff]]*8))</f>
        <v>-16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1573.9474210848557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1483.2742206015073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0.76668858154117492</v>
      </c>
      <c r="R123" s="1">
        <v>85</v>
      </c>
      <c r="S123" s="1">
        <v>71</v>
      </c>
      <c r="T123" s="1">
        <v>0</v>
      </c>
      <c r="U123" s="1">
        <f>Games[[#This Row],[PointsFor]]-Games[[#This Row],[PointsAgainst]]</f>
        <v>14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0.45335234668372626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7.8800347904480805</v>
      </c>
      <c r="AB123" s="4">
        <f>Games[[#This Row],[PreGmRate]]+Games[[#This Row],[RatingChange]]</f>
        <v>1581.8274558753037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43267</v>
      </c>
      <c r="B124" s="2">
        <v>2018</v>
      </c>
      <c r="C124" s="2">
        <f>COUNTIFS(Games[Team],Games[[#This Row],[Team]],Games[Season],Games[[#This Row],[Season]],Games[Date],"&lt;=" &amp; Games[[#This Row],[Date]])</f>
        <v>11</v>
      </c>
      <c r="D124" s="2" t="s">
        <v>79</v>
      </c>
      <c r="E124" s="2" t="s">
        <v>80</v>
      </c>
      <c r="F124" s="1" t="s">
        <v>74</v>
      </c>
      <c r="G124" s="1" t="s">
        <v>40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4" s="2">
        <f>Games[[#This Row],[DaysOff]]-Games[[#This Row],[OppDaysOff]]</f>
        <v>-3</v>
      </c>
      <c r="L124" s="2">
        <f>Games[[#This Row],[OppDaysOff]]-Games[[#This Row],[DaysOff]]</f>
        <v>3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1587.0172074773684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1569.3452508343848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0.36215529868082624</v>
      </c>
      <c r="R124" s="1">
        <v>72</v>
      </c>
      <c r="S124" s="1">
        <v>89</v>
      </c>
      <c r="T124" s="1">
        <v>0</v>
      </c>
      <c r="U124" s="1">
        <f>Games[[#This Row],[PointsFor]]-Games[[#This Row],[PointsAgainst]]</f>
        <v>-17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0.5247147882586316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74.349999999999994</v>
      </c>
      <c r="Z124" s="4">
        <f>Games[[#This Row],[K]]*Games[[#This Row],[POMult]]</f>
        <v>74.349999999999994</v>
      </c>
      <c r="AA124" s="4">
        <f>(Games[[#This Row],[Keff]]*Games[[#This Row],[MOVMult]])*(Games[[#This Row],[Result]]-Games[[#This Row],[ExpectedWin%]])</f>
        <v>-14.128599708242207</v>
      </c>
      <c r="AB124" s="4">
        <f>Games[[#This Row],[PreGmRate]]+Games[[#This Row],[RatingChange]]</f>
        <v>1572.8886077691261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43267</v>
      </c>
      <c r="B125" s="2">
        <v>2018</v>
      </c>
      <c r="C125" s="2">
        <f>COUNTIFS(Games[Team],Games[[#This Row],[Team]],Games[Season],Games[[#This Row],[Season]],Games[Date],"&lt;=" &amp; Games[[#This Row],[Date]])</f>
        <v>12</v>
      </c>
      <c r="D125" s="2" t="s">
        <v>79</v>
      </c>
      <c r="E125" s="2" t="s">
        <v>80</v>
      </c>
      <c r="F125" s="1" t="s">
        <v>40</v>
      </c>
      <c r="G125" s="1" t="s">
        <v>74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5" s="2">
        <f>Games[[#This Row],[DaysOff]]-Games[[#This Row],[OppDaysOff]]</f>
        <v>3</v>
      </c>
      <c r="L125" s="2">
        <f>Games[[#This Row],[OppDaysOff]]-Games[[#This Row],[DaysOff]]</f>
        <v>-3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1569.3452508343848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1587.0172074773684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0.63784470131917381</v>
      </c>
      <c r="R125" s="1">
        <v>89</v>
      </c>
      <c r="S125" s="1">
        <v>72</v>
      </c>
      <c r="T125" s="1">
        <v>0</v>
      </c>
      <c r="U125" s="1">
        <f>Games[[#This Row],[PointsFor]]-Games[[#This Row],[PointsAgainst]]</f>
        <v>17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0.5247147882586316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74.2</v>
      </c>
      <c r="Z125" s="4">
        <f>Games[[#This Row],[K]]*Games[[#This Row],[POMult]]</f>
        <v>74.2</v>
      </c>
      <c r="AA125" s="4">
        <f>(Games[[#This Row],[Keff]]*Games[[#This Row],[MOVMult]])*(Games[[#This Row],[Result]]-Games[[#This Row],[ExpectedWin%]])</f>
        <v>14.100095472112599</v>
      </c>
      <c r="AB125" s="4">
        <f>Games[[#This Row],[PreGmRate]]+Games[[#This Row],[RatingChange]]</f>
        <v>1583.4453463064974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43268</v>
      </c>
      <c r="B126" s="2">
        <v>2018</v>
      </c>
      <c r="C126" s="2">
        <f>COUNTIFS(Games[Team],Games[[#This Row],[Team]],Games[Season],Games[[#This Row],[Season]],Games[Date],"&lt;=" &amp; Games[[#This Row],[Date]])</f>
        <v>10</v>
      </c>
      <c r="D126" s="2" t="s">
        <v>79</v>
      </c>
      <c r="E126" s="2" t="s">
        <v>80</v>
      </c>
      <c r="F126" s="1" t="s">
        <v>63</v>
      </c>
      <c r="G126" s="1" t="s">
        <v>75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6" s="2">
        <f>Games[[#This Row],[DaysOff]]-Games[[#This Row],[OppDaysOff]]</f>
        <v>-3</v>
      </c>
      <c r="L126" s="2">
        <f>Games[[#This Row],[OppDaysOff]]-Games[[#This Row],[DaysOff]]</f>
        <v>3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1621.7092259247174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1410.5242625906076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0.63365489883486958</v>
      </c>
      <c r="R126" s="1">
        <v>81</v>
      </c>
      <c r="S126" s="1">
        <v>72</v>
      </c>
      <c r="T126" s="1">
        <v>0</v>
      </c>
      <c r="U126" s="1">
        <f>Games[[#This Row],[PointsFor]]-Games[[#This Row],[PointsAgainst]]</f>
        <v>9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0.34521756200243103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74.5</v>
      </c>
      <c r="Z126" s="4">
        <f>Games[[#This Row],[K]]*Games[[#This Row],[POMult]]</f>
        <v>74.5</v>
      </c>
      <c r="AA126" s="4">
        <f>(Games[[#This Row],[Keff]]*Games[[#This Row],[MOVMult]])*(Games[[#This Row],[Result]]-Games[[#This Row],[ExpectedWin%]])</f>
        <v>9.4219228193441413</v>
      </c>
      <c r="AB126" s="4">
        <f>Games[[#This Row],[PreGmRate]]+Games[[#This Row],[RatingChange]]</f>
        <v>1631.1311487440616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43268</v>
      </c>
      <c r="B127" s="2">
        <v>2018</v>
      </c>
      <c r="C127" s="2">
        <f>COUNTIFS(Games[Team],Games[[#This Row],[Team]],Games[Season],Games[[#This Row],[Season]],Games[Date],"&lt;=" &amp; Games[[#This Row],[Date]])</f>
        <v>10</v>
      </c>
      <c r="D127" s="2" t="s">
        <v>79</v>
      </c>
      <c r="E127" s="2" t="s">
        <v>80</v>
      </c>
      <c r="F127" s="1" t="s">
        <v>75</v>
      </c>
      <c r="G127" s="1" t="s">
        <v>63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3</v>
      </c>
      <c r="L127" s="2">
        <f>Games[[#This Row],[OppDaysOff]]-Games[[#This Row],[DaysOff]]</f>
        <v>-3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1410.5242625906076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1621.7092259247174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0.36634510116513042</v>
      </c>
      <c r="R127" s="1">
        <v>72</v>
      </c>
      <c r="S127" s="1">
        <v>81</v>
      </c>
      <c r="T127" s="1">
        <v>0</v>
      </c>
      <c r="U127" s="1">
        <f>Games[[#This Row],[PointsFor]]-Games[[#This Row],[PointsAgainst]]</f>
        <v>-9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0.34521756200243103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-9.4219228193441413</v>
      </c>
      <c r="AB127" s="4">
        <f>Games[[#This Row],[PreGmRate]]+Games[[#This Row],[RatingChange]]</f>
        <v>1401.1023397712634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43268</v>
      </c>
      <c r="B128" s="2">
        <v>2018</v>
      </c>
      <c r="C128" s="2">
        <f>COUNTIFS(Games[Team],Games[[#This Row],[Team]],Games[Season],Games[[#This Row],[Season]],Games[Date],"&lt;=" &amp; Games[[#This Row],[Date]])</f>
        <v>13</v>
      </c>
      <c r="D128" s="2" t="s">
        <v>79</v>
      </c>
      <c r="E128" s="2" t="s">
        <v>80</v>
      </c>
      <c r="F128" s="1" t="s">
        <v>40</v>
      </c>
      <c r="G128" s="1" t="s">
        <v>86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-1</v>
      </c>
      <c r="L128" s="2">
        <f>Games[[#This Row],[OppDaysOff]]-Games[[#This Row],[DaysOff]]</f>
        <v>1</v>
      </c>
      <c r="M128" s="1">
        <f>MAX(-16, MIN(16, Games[[#This Row],[RestDiff]]*8))</f>
        <v>-8</v>
      </c>
      <c r="N128" s="1">
        <f>MAX(-16, MIN(16, Games[[#This Row],[OppRestDiff]]*8))</f>
        <v>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1583.4453463064974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1406.0555041708101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0.60956682215417524</v>
      </c>
      <c r="R128" s="1">
        <v>92</v>
      </c>
      <c r="S128" s="1">
        <v>80</v>
      </c>
      <c r="T128" s="1">
        <v>0</v>
      </c>
      <c r="U128" s="1">
        <f>Games[[#This Row],[PointsFor]]-Games[[#This Row],[PointsAgainst]]</f>
        <v>12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0.39738592150727403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74.05</v>
      </c>
      <c r="Z128" s="4">
        <f>Games[[#This Row],[K]]*Games[[#This Row],[POMult]]</f>
        <v>74.05</v>
      </c>
      <c r="AA128" s="4">
        <f>(Games[[#This Row],[Keff]]*Games[[#This Row],[MOVMult]])*(Games[[#This Row],[Result]]-Games[[#This Row],[ExpectedWin%]])</f>
        <v>11.489053596638723</v>
      </c>
      <c r="AB128" s="4">
        <f>Games[[#This Row],[PreGmRate]]+Games[[#This Row],[RatingChange]]</f>
        <v>1594.9343999031362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43268</v>
      </c>
      <c r="B129" s="2">
        <v>2018</v>
      </c>
      <c r="C129" s="2">
        <f>COUNTIFS(Games[Team],Games[[#This Row],[Team]],Games[Season],Games[[#This Row],[Season]],Games[Date],"&lt;=" &amp; Games[[#This Row],[Date]])</f>
        <v>12</v>
      </c>
      <c r="D129" s="2" t="s">
        <v>79</v>
      </c>
      <c r="E129" s="2" t="s">
        <v>80</v>
      </c>
      <c r="F129" s="1" t="s">
        <v>86</v>
      </c>
      <c r="G129" s="1" t="s">
        <v>40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9" s="2">
        <f>Games[[#This Row],[DaysOff]]-Games[[#This Row],[OppDaysOff]]</f>
        <v>1</v>
      </c>
      <c r="L129" s="2">
        <f>Games[[#This Row],[OppDaysOff]]-Games[[#This Row],[DaysOff]]</f>
        <v>-1</v>
      </c>
      <c r="M129" s="1">
        <f>MAX(-16, MIN(16, Games[[#This Row],[RestDiff]]*8))</f>
        <v>8</v>
      </c>
      <c r="N129" s="1">
        <f>MAX(-16, MIN(16, Games[[#This Row],[OppRestDiff]]*8))</f>
        <v>-8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1406.0555041708101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1583.4453463064974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0.39043317784582476</v>
      </c>
      <c r="R129" s="1">
        <v>80</v>
      </c>
      <c r="S129" s="1">
        <v>92</v>
      </c>
      <c r="T129" s="1">
        <v>0</v>
      </c>
      <c r="U129" s="1">
        <f>Games[[#This Row],[PointsFor]]-Games[[#This Row],[PointsAgainst]]</f>
        <v>-12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0.39738592150727403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74.2</v>
      </c>
      <c r="Z129" s="4">
        <f>Games[[#This Row],[K]]*Games[[#This Row],[POMult]]</f>
        <v>74.2</v>
      </c>
      <c r="AA129" s="4">
        <f>(Games[[#This Row],[Keff]]*Games[[#This Row],[MOVMult]])*(Games[[#This Row],[Result]]-Games[[#This Row],[ExpectedWin%]])</f>
        <v>-11.512326493863515</v>
      </c>
      <c r="AB129" s="4">
        <f>Games[[#This Row],[PreGmRate]]+Games[[#This Row],[RatingChange]]</f>
        <v>1394.5431776769465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43270</v>
      </c>
      <c r="B130" s="2">
        <v>2018</v>
      </c>
      <c r="C130" s="2">
        <f>COUNTIFS(Games[Team],Games[[#This Row],[Team]],Games[Season],Games[[#This Row],[Season]],Games[Date],"&lt;=" &amp; Games[[#This Row],[Date]])</f>
        <v>12</v>
      </c>
      <c r="D130" s="2" t="s">
        <v>79</v>
      </c>
      <c r="E130" s="2" t="s">
        <v>80</v>
      </c>
      <c r="F130" s="1" t="s">
        <v>69</v>
      </c>
      <c r="G130" s="1" t="s">
        <v>63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1</v>
      </c>
      <c r="L130" s="2">
        <f>Games[[#This Row],[OppDaysOff]]-Games[[#This Row],[DaysOff]]</f>
        <v>-1</v>
      </c>
      <c r="M130" s="1">
        <f>MAX(-16, MIN(16, Games[[#This Row],[RestDiff]]*8))</f>
        <v>8</v>
      </c>
      <c r="N130" s="1">
        <f>MAX(-16, MIN(16, Games[[#This Row],[OppRestDiff]]*8))</f>
        <v>-8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1344.2212012785535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1631.1311487440616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0.11475897573128283</v>
      </c>
      <c r="R130" s="1">
        <v>55</v>
      </c>
      <c r="S130" s="1">
        <v>74</v>
      </c>
      <c r="T130" s="1">
        <v>0</v>
      </c>
      <c r="U130" s="1">
        <f>Games[[#This Row],[PointsFor]]-Games[[#This Row],[PointsAgainst]]</f>
        <v>-19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0.45273292334560516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-3.8550733589724508</v>
      </c>
      <c r="AB130" s="4">
        <f>Games[[#This Row],[PreGmRate]]+Games[[#This Row],[RatingChange]]</f>
        <v>1340.366127919581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43270</v>
      </c>
      <c r="B131" s="2">
        <v>2018</v>
      </c>
      <c r="C131" s="2">
        <f>COUNTIFS(Games[Team],Games[[#This Row],[Team]],Games[Season],Games[[#This Row],[Season]],Games[Date],"&lt;=" &amp; Games[[#This Row],[Date]])</f>
        <v>11</v>
      </c>
      <c r="D131" s="2" t="s">
        <v>79</v>
      </c>
      <c r="E131" s="2" t="s">
        <v>80</v>
      </c>
      <c r="F131" s="1" t="s">
        <v>63</v>
      </c>
      <c r="G131" s="1" t="s">
        <v>69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-1</v>
      </c>
      <c r="L131" s="2">
        <f>Games[[#This Row],[OppDaysOff]]-Games[[#This Row],[DaysOff]]</f>
        <v>1</v>
      </c>
      <c r="M131" s="1">
        <f>MAX(-16, MIN(16, Games[[#This Row],[RestDiff]]*8))</f>
        <v>-8</v>
      </c>
      <c r="N131" s="1">
        <f>MAX(-16, MIN(16, Games[[#This Row],[OppRestDiff]]*8))</f>
        <v>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1631.1311487440616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1344.2212012785535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0.88524102426871709</v>
      </c>
      <c r="R131" s="1">
        <v>74</v>
      </c>
      <c r="S131" s="1">
        <v>55</v>
      </c>
      <c r="T131" s="1">
        <v>0</v>
      </c>
      <c r="U131" s="1">
        <f>Games[[#This Row],[PointsFor]]-Games[[#This Row],[PointsAgainst]]</f>
        <v>19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0.45273292334560516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74.349999999999994</v>
      </c>
      <c r="Z131" s="4">
        <f>Games[[#This Row],[K]]*Games[[#This Row],[POMult]]</f>
        <v>74.349999999999994</v>
      </c>
      <c r="AA131" s="4">
        <f>(Games[[#This Row],[Keff]]*Games[[#This Row],[MOVMult]])*(Games[[#This Row],[Result]]-Games[[#This Row],[ExpectedWin%]])</f>
        <v>3.8628666339568984</v>
      </c>
      <c r="AB131" s="4">
        <f>Games[[#This Row],[PreGmRate]]+Games[[#This Row],[RatingChange]]</f>
        <v>1634.9940153780185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43270</v>
      </c>
      <c r="B132" s="2">
        <v>2018</v>
      </c>
      <c r="C132" s="2">
        <f>COUNTIFS(Games[Team],Games[[#This Row],[Team]],Games[Season],Games[[#This Row],[Season]],Games[Date],"&lt;=" &amp; Games[[#This Row],[Date]])</f>
        <v>10</v>
      </c>
      <c r="D132" s="2" t="s">
        <v>79</v>
      </c>
      <c r="E132" s="2" t="s">
        <v>80</v>
      </c>
      <c r="F132" s="1" t="s">
        <v>85</v>
      </c>
      <c r="G132" s="1" t="s">
        <v>67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1</v>
      </c>
      <c r="L132" s="2">
        <f>Games[[#This Row],[OppDaysOff]]-Games[[#This Row],[DaysOff]]</f>
        <v>-1</v>
      </c>
      <c r="M132" s="1">
        <f>MAX(-16, MIN(16, Games[[#This Row],[RestDiff]]*8))</f>
        <v>8</v>
      </c>
      <c r="N132" s="1">
        <f>MAX(-16, MIN(16, Games[[#This Row],[OppRestDiff]]*8))</f>
        <v>-8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1498.622946522542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1581.8274558753037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0.29517042739970062</v>
      </c>
      <c r="R132" s="1">
        <v>83</v>
      </c>
      <c r="S132" s="1">
        <v>91</v>
      </c>
      <c r="T132" s="1">
        <v>0</v>
      </c>
      <c r="U132" s="1">
        <f>Games[[#This Row],[PointsFor]]-Games[[#This Row],[PointsAgainst]]</f>
        <v>-8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0.3631366930269303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74.5</v>
      </c>
      <c r="Z132" s="4">
        <f>Games[[#This Row],[K]]*Games[[#This Row],[POMult]]</f>
        <v>74.5</v>
      </c>
      <c r="AA132" s="4">
        <f>(Games[[#This Row],[Keff]]*Games[[#This Row],[MOVMult]])*(Games[[#This Row],[Result]]-Games[[#This Row],[ExpectedWin%]])</f>
        <v>-7.9854473599528308</v>
      </c>
      <c r="AB132" s="4">
        <f>Games[[#This Row],[PreGmRate]]+Games[[#This Row],[RatingChange]]</f>
        <v>1490.6374991625892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43270</v>
      </c>
      <c r="B133" s="2">
        <v>2018</v>
      </c>
      <c r="C133" s="2">
        <f>COUNTIFS(Games[Team],Games[[#This Row],[Team]],Games[Season],Games[[#This Row],[Season]],Games[Date],"&lt;=" &amp; Games[[#This Row],[Date]])</f>
        <v>11</v>
      </c>
      <c r="D133" s="2" t="s">
        <v>79</v>
      </c>
      <c r="E133" s="2" t="s">
        <v>80</v>
      </c>
      <c r="F133" s="1" t="s">
        <v>67</v>
      </c>
      <c r="G133" s="1" t="s">
        <v>85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3" s="2">
        <f>Games[[#This Row],[DaysOff]]-Games[[#This Row],[OppDaysOff]]</f>
        <v>-1</v>
      </c>
      <c r="L133" s="2">
        <f>Games[[#This Row],[OppDaysOff]]-Games[[#This Row],[DaysOff]]</f>
        <v>1</v>
      </c>
      <c r="M133" s="1">
        <f>MAX(-16, MIN(16, Games[[#This Row],[RestDiff]]*8))</f>
        <v>-8</v>
      </c>
      <c r="N133" s="1">
        <f>MAX(-16, MIN(16, Games[[#This Row],[OppRestDiff]]*8))</f>
        <v>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1581.8274558753037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1498.622946522542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0.70482957260029944</v>
      </c>
      <c r="R133" s="1">
        <v>91</v>
      </c>
      <c r="S133" s="1">
        <v>83</v>
      </c>
      <c r="T133" s="1">
        <v>0</v>
      </c>
      <c r="U133" s="1">
        <f>Games[[#This Row],[PointsFor]]-Games[[#This Row],[PointsAgainst]]</f>
        <v>8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0.3631366930269303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7.9693692780200385</v>
      </c>
      <c r="AB133" s="4">
        <f>Games[[#This Row],[PreGmRate]]+Games[[#This Row],[RatingChange]]</f>
        <v>1589.7968251533237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43270</v>
      </c>
      <c r="B134" s="2">
        <v>2018</v>
      </c>
      <c r="C134" s="2">
        <f>COUNTIFS(Games[Team],Games[[#This Row],[Team]],Games[Season],Games[[#This Row],[Season]],Games[Date],"&lt;=" &amp; Games[[#This Row],[Date]])</f>
        <v>12</v>
      </c>
      <c r="D134" s="2" t="s">
        <v>79</v>
      </c>
      <c r="E134" s="2" t="s">
        <v>80</v>
      </c>
      <c r="F134" s="1" t="s">
        <v>77</v>
      </c>
      <c r="G134" s="1" t="s">
        <v>60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1447.3740013549555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1475.3783199691993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0.34417388272399219</v>
      </c>
      <c r="R134" s="1">
        <v>72</v>
      </c>
      <c r="S134" s="1">
        <v>79</v>
      </c>
      <c r="T134" s="1">
        <v>0</v>
      </c>
      <c r="U134" s="1">
        <f>Games[[#This Row],[PointsFor]]-Games[[#This Row],[PointsAgainst]]</f>
        <v>-7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0.36166697482445842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-9.2361434617953648</v>
      </c>
      <c r="AB134" s="4">
        <f>Games[[#This Row],[PreGmRate]]+Games[[#This Row],[RatingChange]]</f>
        <v>1438.1378578931601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43270</v>
      </c>
      <c r="B135" s="2">
        <v>2018</v>
      </c>
      <c r="C135" s="2">
        <f>COUNTIFS(Games[Team],Games[[#This Row],[Team]],Games[Season],Games[[#This Row],[Season]],Games[Date],"&lt;=" &amp; Games[[#This Row],[Date]])</f>
        <v>10</v>
      </c>
      <c r="D135" s="2" t="s">
        <v>79</v>
      </c>
      <c r="E135" s="2" t="s">
        <v>80</v>
      </c>
      <c r="F135" s="1" t="s">
        <v>60</v>
      </c>
      <c r="G135" s="1" t="s">
        <v>77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1475.3783199691993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1447.3740013549555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0.65582611727600781</v>
      </c>
      <c r="R135" s="1">
        <v>79</v>
      </c>
      <c r="S135" s="1">
        <v>72</v>
      </c>
      <c r="T135" s="1">
        <v>0</v>
      </c>
      <c r="U135" s="1">
        <f>Games[[#This Row],[PointsFor]]-Games[[#This Row],[PointsAgainst]]</f>
        <v>7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0.36166697482445842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74.5</v>
      </c>
      <c r="Z135" s="4">
        <f>Games[[#This Row],[K]]*Games[[#This Row],[POMult]]</f>
        <v>74.5</v>
      </c>
      <c r="AA135" s="4">
        <f>(Games[[#This Row],[Keff]]*Games[[#This Row],[MOVMult]])*(Games[[#This Row],[Result]]-Games[[#This Row],[ExpectedWin%]])</f>
        <v>9.2734863598888762</v>
      </c>
      <c r="AB135" s="4">
        <f>Games[[#This Row],[PreGmRate]]+Games[[#This Row],[RatingChange]]</f>
        <v>1484.6518063290882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43270</v>
      </c>
      <c r="B136" s="2">
        <v>2018</v>
      </c>
      <c r="C136" s="2">
        <f>COUNTIFS(Games[Team],Games[[#This Row],[Team]],Games[Season],Games[[#This Row],[Season]],Games[Date],"&lt;=" &amp; Games[[#This Row],[Date]])</f>
        <v>13</v>
      </c>
      <c r="D136" s="2" t="s">
        <v>79</v>
      </c>
      <c r="E136" s="2" t="s">
        <v>80</v>
      </c>
      <c r="F136" s="1" t="s">
        <v>86</v>
      </c>
      <c r="G136" s="1" t="s">
        <v>71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6" s="2">
        <f>Games[[#This Row],[DaysOff]]-Games[[#This Row],[OppDaysOff]]</f>
        <v>-2</v>
      </c>
      <c r="L136" s="2">
        <f>Games[[#This Row],[OppDaysOff]]-Games[[#This Row],[DaysOff]]</f>
        <v>2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1394.5431776769465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1566.3890894726269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0.16016858426539424</v>
      </c>
      <c r="R136" s="1">
        <v>89</v>
      </c>
      <c r="S136" s="1">
        <v>77</v>
      </c>
      <c r="T136" s="1">
        <v>0</v>
      </c>
      <c r="U136" s="1">
        <f>Games[[#This Row],[PointsFor]]-Games[[#This Row],[PointsAgainst]]</f>
        <v>12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0.3989918452105069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74.05</v>
      </c>
      <c r="Z136" s="4">
        <f>Games[[#This Row],[K]]*Games[[#This Row],[POMult]]</f>
        <v>74.05</v>
      </c>
      <c r="AA136" s="4">
        <f>(Games[[#This Row],[Keff]]*Games[[#This Row],[MOVMult]])*(Games[[#This Row],[Result]]-Games[[#This Row],[ExpectedWin%]])</f>
        <v>24.813109875309483</v>
      </c>
      <c r="AB136" s="4">
        <f>Games[[#This Row],[PreGmRate]]+Games[[#This Row],[RatingChange]]</f>
        <v>1419.3562875522559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43270</v>
      </c>
      <c r="B137" s="2">
        <v>2018</v>
      </c>
      <c r="C137" s="2">
        <f>COUNTIFS(Games[Team],Games[[#This Row],[Team]],Games[Season],Games[[#This Row],[Season]],Games[Date],"&lt;=" &amp; Games[[#This Row],[Date]])</f>
        <v>12</v>
      </c>
      <c r="D137" s="2" t="s">
        <v>79</v>
      </c>
      <c r="E137" s="2" t="s">
        <v>80</v>
      </c>
      <c r="F137" s="1" t="s">
        <v>71</v>
      </c>
      <c r="G137" s="1" t="s">
        <v>86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2</v>
      </c>
      <c r="L137" s="2">
        <f>Games[[#This Row],[OppDaysOff]]-Games[[#This Row],[DaysOff]]</f>
        <v>-2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1566.3890894726269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1394.5431776769465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0.83983141573460585</v>
      </c>
      <c r="R137" s="1">
        <v>77</v>
      </c>
      <c r="S137" s="1">
        <v>89</v>
      </c>
      <c r="T137" s="1">
        <v>0</v>
      </c>
      <c r="U137" s="1">
        <f>Games[[#This Row],[PointsFor]]-Games[[#This Row],[PointsAgainst]]</f>
        <v>-12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0.3989918452105069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74.2</v>
      </c>
      <c r="Z137" s="4">
        <f>Games[[#This Row],[K]]*Games[[#This Row],[POMult]]</f>
        <v>74.2</v>
      </c>
      <c r="AA137" s="4">
        <f>(Games[[#This Row],[Keff]]*Games[[#This Row],[MOVMult]])*(Games[[#This Row],[Result]]-Games[[#This Row],[ExpectedWin%]])</f>
        <v>-24.863372758243944</v>
      </c>
      <c r="AB137" s="4">
        <f>Games[[#This Row],[PreGmRate]]+Games[[#This Row],[RatingChange]]</f>
        <v>1541.525716714383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43270</v>
      </c>
      <c r="B138" s="2">
        <v>2018</v>
      </c>
      <c r="C138" s="2">
        <f>COUNTIFS(Games[Team],Games[[#This Row],[Team]],Games[Season],Games[[#This Row],[Season]],Games[Date],"&lt;=" &amp; Games[[#This Row],[Date]])</f>
        <v>11</v>
      </c>
      <c r="D138" s="2" t="s">
        <v>79</v>
      </c>
      <c r="E138" s="2" t="s">
        <v>80</v>
      </c>
      <c r="F138" s="1" t="s">
        <v>75</v>
      </c>
      <c r="G138" s="1" t="s">
        <v>65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1401.1023397712634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1491.8451054553746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0.23323979482592178</v>
      </c>
      <c r="R138" s="1">
        <v>60</v>
      </c>
      <c r="S138" s="1">
        <v>88</v>
      </c>
      <c r="T138" s="1">
        <v>0</v>
      </c>
      <c r="U138" s="1">
        <f>Games[[#This Row],[PointsFor]]-Games[[#This Row],[PointsAgainst]]</f>
        <v>-28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0.63134778962202498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74.349999999999994</v>
      </c>
      <c r="Z138" s="4">
        <f>Games[[#This Row],[K]]*Games[[#This Row],[POMult]]</f>
        <v>74.349999999999994</v>
      </c>
      <c r="AA138" s="4">
        <f>(Games[[#This Row],[Keff]]*Games[[#This Row],[MOVMult]])*(Games[[#This Row],[Result]]-Games[[#This Row],[ExpectedWin%]])</f>
        <v>-10.948441139848118</v>
      </c>
      <c r="AB138" s="4">
        <f>Games[[#This Row],[PreGmRate]]+Games[[#This Row],[RatingChange]]</f>
        <v>1390.1538986314151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43270</v>
      </c>
      <c r="B139" s="2">
        <v>2018</v>
      </c>
      <c r="C139" s="2">
        <f>COUNTIFS(Games[Team],Games[[#This Row],[Team]],Games[Season],Games[[#This Row],[Season]],Games[Date],"&lt;=" &amp; Games[[#This Row],[Date]])</f>
        <v>12</v>
      </c>
      <c r="D139" s="2" t="s">
        <v>79</v>
      </c>
      <c r="E139" s="2" t="s">
        <v>80</v>
      </c>
      <c r="F139" s="1" t="s">
        <v>65</v>
      </c>
      <c r="G139" s="1" t="s">
        <v>75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1491.8451054553746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1401.1023397712634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0.76676020517407828</v>
      </c>
      <c r="R139" s="1">
        <v>88</v>
      </c>
      <c r="S139" s="1">
        <v>60</v>
      </c>
      <c r="T139" s="1">
        <v>0</v>
      </c>
      <c r="U139" s="1">
        <f>Games[[#This Row],[PointsFor]]-Games[[#This Row],[PointsAgainst]]</f>
        <v>28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0.63134778962202498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10.926352825510831</v>
      </c>
      <c r="AB139" s="4">
        <f>Games[[#This Row],[PreGmRate]]+Games[[#This Row],[RatingChange]]</f>
        <v>1502.7714582808853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43273</v>
      </c>
      <c r="B140" s="2">
        <v>2018</v>
      </c>
      <c r="C140" s="2">
        <f>COUNTIFS(Games[Team],Games[[#This Row],[Team]],Games[Season],Games[[#This Row],[Season]],Games[Date],"&lt;=" &amp; Games[[#This Row],[Date]])</f>
        <v>12</v>
      </c>
      <c r="D140" s="2" t="s">
        <v>79</v>
      </c>
      <c r="E140" s="2" t="s">
        <v>80</v>
      </c>
      <c r="F140" s="1" t="s">
        <v>74</v>
      </c>
      <c r="G140" s="1" t="s">
        <v>77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0" s="2">
        <f>Games[[#This Row],[DaysOff]]-Games[[#This Row],[OppDaysOff]]</f>
        <v>3</v>
      </c>
      <c r="L140" s="2">
        <f>Games[[#This Row],[OppDaysOff]]-Games[[#This Row],[DaysOff]]</f>
        <v>-3</v>
      </c>
      <c r="M140" s="1">
        <f>MAX(-16, MIN(16, Games[[#This Row],[RestDiff]]*8))</f>
        <v>16</v>
      </c>
      <c r="N140" s="1">
        <f>MAX(-16, MIN(16, Games[[#This Row],[OppRestDiff]]*8))</f>
        <v>-16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1572.8886077691261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1438.1378578931601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0.61688599076535167</v>
      </c>
      <c r="R140" s="1">
        <v>70</v>
      </c>
      <c r="S140" s="1">
        <v>75</v>
      </c>
      <c r="T140" s="1">
        <v>0</v>
      </c>
      <c r="U140" s="1">
        <f>Games[[#This Row],[PointsFor]]-Games[[#This Row],[PointsAgainst]]</f>
        <v>-5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0.29826330540776402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-13.652388536173957</v>
      </c>
      <c r="AB140" s="4">
        <f>Games[[#This Row],[PreGmRate]]+Games[[#This Row],[RatingChange]]</f>
        <v>1559.2362192329522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43273</v>
      </c>
      <c r="B141" s="2">
        <v>2018</v>
      </c>
      <c r="C141" s="2">
        <f>COUNTIFS(Games[Team],Games[[#This Row],[Team]],Games[Season],Games[[#This Row],[Season]],Games[Date],"&lt;=" &amp; Games[[#This Row],[Date]])</f>
        <v>13</v>
      </c>
      <c r="D141" s="2" t="s">
        <v>79</v>
      </c>
      <c r="E141" s="2" t="s">
        <v>80</v>
      </c>
      <c r="F141" s="1" t="s">
        <v>77</v>
      </c>
      <c r="G141" s="1" t="s">
        <v>74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1" s="2">
        <f>Games[[#This Row],[DaysOff]]-Games[[#This Row],[OppDaysOff]]</f>
        <v>-3</v>
      </c>
      <c r="L141" s="2">
        <f>Games[[#This Row],[OppDaysOff]]-Games[[#This Row],[DaysOff]]</f>
        <v>3</v>
      </c>
      <c r="M141" s="1">
        <f>MAX(-16, MIN(16, Games[[#This Row],[RestDiff]]*8))</f>
        <v>-16</v>
      </c>
      <c r="N141" s="1">
        <f>MAX(-16, MIN(16, Games[[#This Row],[OppRestDiff]]*8))</f>
        <v>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1438.1378578931601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1572.8886077691261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0.38311400923464839</v>
      </c>
      <c r="R141" s="1">
        <v>75</v>
      </c>
      <c r="S141" s="1">
        <v>70</v>
      </c>
      <c r="T141" s="1">
        <v>0</v>
      </c>
      <c r="U141" s="1">
        <f>Games[[#This Row],[PointsFor]]-Games[[#This Row],[PointsAgainst]]</f>
        <v>5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0.29826330540776402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13.624789367974142</v>
      </c>
      <c r="AB141" s="4">
        <f>Games[[#This Row],[PreGmRate]]+Games[[#This Row],[RatingChange]]</f>
        <v>1451.7626472611344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43273</v>
      </c>
      <c r="B142" s="2">
        <v>2018</v>
      </c>
      <c r="C142" s="2">
        <f>COUNTIFS(Games[Team],Games[[#This Row],[Team]],Games[Season],Games[[#This Row],[Season]],Games[Date],"&lt;=" &amp; Games[[#This Row],[Date]])</f>
        <v>13</v>
      </c>
      <c r="D142" s="2" t="s">
        <v>79</v>
      </c>
      <c r="E142" s="2" t="s">
        <v>80</v>
      </c>
      <c r="F142" s="1" t="s">
        <v>65</v>
      </c>
      <c r="G142" s="1" t="s">
        <v>75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1502.7714582808853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1390.1538986314151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0.54109109366706842</v>
      </c>
      <c r="R142" s="1">
        <v>93</v>
      </c>
      <c r="S142" s="1">
        <v>77</v>
      </c>
      <c r="T142" s="1">
        <v>0</v>
      </c>
      <c r="U142" s="1">
        <f>Games[[#This Row],[PointsFor]]-Games[[#This Row],[PointsAgainst]]</f>
        <v>16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0.47336197369019023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16.085883399068756</v>
      </c>
      <c r="AB142" s="4">
        <f>Games[[#This Row],[PreGmRate]]+Games[[#This Row],[RatingChange]]</f>
        <v>1518.8573416799541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43273</v>
      </c>
      <c r="B143" s="2">
        <v>2018</v>
      </c>
      <c r="C143" s="2">
        <f>COUNTIFS(Games[Team],Games[[#This Row],[Team]],Games[Season],Games[[#This Row],[Season]],Games[Date],"&lt;=" &amp; Games[[#This Row],[Date]])</f>
        <v>12</v>
      </c>
      <c r="D143" s="2" t="s">
        <v>79</v>
      </c>
      <c r="E143" s="2" t="s">
        <v>80</v>
      </c>
      <c r="F143" s="1" t="s">
        <v>75</v>
      </c>
      <c r="G143" s="1" t="s">
        <v>65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1390.1538986314151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1502.7714582808853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0.45890890633293158</v>
      </c>
      <c r="R143" s="1">
        <v>77</v>
      </c>
      <c r="S143" s="1">
        <v>93</v>
      </c>
      <c r="T143" s="1">
        <v>0</v>
      </c>
      <c r="U143" s="1">
        <f>Games[[#This Row],[PointsFor]]-Games[[#This Row],[PointsAgainst]]</f>
        <v>-16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0.47336197369019023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-16.118467902915626</v>
      </c>
      <c r="AB143" s="4">
        <f>Games[[#This Row],[PreGmRate]]+Games[[#This Row],[RatingChange]]</f>
        <v>1374.0354307284995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43273</v>
      </c>
      <c r="B144" s="2">
        <v>2018</v>
      </c>
      <c r="C144" s="2">
        <f>COUNTIFS(Games[Team],Games[[#This Row],[Team]],Games[Season],Games[[#This Row],[Season]],Games[Date],"&lt;=" &amp; Games[[#This Row],[Date]])</f>
        <v>12</v>
      </c>
      <c r="D144" s="2" t="s">
        <v>79</v>
      </c>
      <c r="E144" s="2" t="s">
        <v>80</v>
      </c>
      <c r="F144" s="1" t="s">
        <v>63</v>
      </c>
      <c r="G144" s="1" t="s">
        <v>85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1634.9940153780185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1490.6374991625892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0.58599665703544668</v>
      </c>
      <c r="R144" s="1">
        <v>72</v>
      </c>
      <c r="S144" s="1">
        <v>101</v>
      </c>
      <c r="T144" s="1">
        <v>0</v>
      </c>
      <c r="U144" s="1">
        <f>Games[[#This Row],[PointsFor]]-Games[[#This Row],[PointsAgainst]]</f>
        <v>-29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0.6171246496046161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-26.833167237871752</v>
      </c>
      <c r="AB144" s="4">
        <f>Games[[#This Row],[PreGmRate]]+Games[[#This Row],[RatingChange]]</f>
        <v>1608.1608481401468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43273</v>
      </c>
      <c r="B145" s="2">
        <v>2018</v>
      </c>
      <c r="C145" s="2">
        <f>COUNTIFS(Games[Team],Games[[#This Row],[Team]],Games[Season],Games[[#This Row],[Season]],Games[Date],"&lt;=" &amp; Games[[#This Row],[Date]])</f>
        <v>11</v>
      </c>
      <c r="D145" s="2" t="s">
        <v>79</v>
      </c>
      <c r="E145" s="2" t="s">
        <v>80</v>
      </c>
      <c r="F145" s="1" t="s">
        <v>85</v>
      </c>
      <c r="G145" s="1" t="s">
        <v>63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1490.6374991625892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1634.9940153780185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0.41400334296455332</v>
      </c>
      <c r="R145" s="1">
        <v>101</v>
      </c>
      <c r="S145" s="1">
        <v>72</v>
      </c>
      <c r="T145" s="1">
        <v>0</v>
      </c>
      <c r="U145" s="1">
        <f>Games[[#This Row],[PointsFor]]-Games[[#This Row],[PointsAgainst]]</f>
        <v>29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0.6171246496046161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74.349999999999994</v>
      </c>
      <c r="Z145" s="4">
        <f>Games[[#This Row],[K]]*Games[[#This Row],[POMult]]</f>
        <v>74.349999999999994</v>
      </c>
      <c r="AA145" s="4">
        <f>(Games[[#This Row],[Keff]]*Games[[#This Row],[MOVMult]])*(Games[[#This Row],[Result]]-Games[[#This Row],[ExpectedWin%]])</f>
        <v>26.887412185118119</v>
      </c>
      <c r="AB145" s="4">
        <f>Games[[#This Row],[PreGmRate]]+Games[[#This Row],[RatingChange]]</f>
        <v>1517.5249113477073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43273</v>
      </c>
      <c r="B146" s="2">
        <v>2018</v>
      </c>
      <c r="C146" s="2">
        <f>COUNTIFS(Games[Team],Games[[#This Row],[Team]],Games[Season],Games[[#This Row],[Season]],Games[Date],"&lt;=" &amp; Games[[#This Row],[Date]])</f>
        <v>11</v>
      </c>
      <c r="D146" s="2" t="s">
        <v>79</v>
      </c>
      <c r="E146" s="2" t="s">
        <v>80</v>
      </c>
      <c r="F146" s="1" t="s">
        <v>60</v>
      </c>
      <c r="G146" s="1" t="s">
        <v>86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1484.6518063290882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1419.3562875522559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0.47310806297312369</v>
      </c>
      <c r="R146" s="1">
        <v>78</v>
      </c>
      <c r="S146" s="1">
        <v>88</v>
      </c>
      <c r="T146" s="1">
        <v>0</v>
      </c>
      <c r="U146" s="1">
        <f>Games[[#This Row],[PointsFor]]-Games[[#This Row],[PointsAgainst]]</f>
        <v>-10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0.4012941100823551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74.349999999999994</v>
      </c>
      <c r="Z146" s="4">
        <f>Games[[#This Row],[K]]*Games[[#This Row],[POMult]]</f>
        <v>74.349999999999994</v>
      </c>
      <c r="AA146" s="4">
        <f>(Games[[#This Row],[Keff]]*Games[[#This Row],[MOVMult]])*(Games[[#This Row],[Result]]-Games[[#This Row],[ExpectedWin%]])</f>
        <v>-14.115754871351655</v>
      </c>
      <c r="AB146" s="4">
        <f>Games[[#This Row],[PreGmRate]]+Games[[#This Row],[RatingChange]]</f>
        <v>1470.5360514577367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43273</v>
      </c>
      <c r="B147" s="2">
        <v>2018</v>
      </c>
      <c r="C147" s="2">
        <f>COUNTIFS(Games[Team],Games[[#This Row],[Team]],Games[Season],Games[[#This Row],[Season]],Games[Date],"&lt;=" &amp; Games[[#This Row],[Date]])</f>
        <v>14</v>
      </c>
      <c r="D147" s="2" t="s">
        <v>79</v>
      </c>
      <c r="E147" s="2" t="s">
        <v>80</v>
      </c>
      <c r="F147" s="1" t="s">
        <v>86</v>
      </c>
      <c r="G147" s="1" t="s">
        <v>60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1419.3562875522559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1484.6518063290882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0.52689193702687631</v>
      </c>
      <c r="R147" s="1">
        <v>88</v>
      </c>
      <c r="S147" s="1">
        <v>78</v>
      </c>
      <c r="T147" s="1">
        <v>0</v>
      </c>
      <c r="U147" s="1">
        <f>Games[[#This Row],[PointsFor]]-Games[[#This Row],[PointsAgainst]]</f>
        <v>10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0.4012941100823551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73.900000000000006</v>
      </c>
      <c r="Z147" s="4">
        <f>Games[[#This Row],[K]]*Games[[#This Row],[POMult]]</f>
        <v>73.900000000000006</v>
      </c>
      <c r="AA147" s="4">
        <f>(Games[[#This Row],[Keff]]*Games[[#This Row],[MOVMult]])*(Games[[#This Row],[Result]]-Games[[#This Row],[ExpectedWin%]])</f>
        <v>14.030319905755041</v>
      </c>
      <c r="AB147" s="4">
        <f>Games[[#This Row],[PreGmRate]]+Games[[#This Row],[RatingChange]]</f>
        <v>1433.386607458011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43273</v>
      </c>
      <c r="B148" s="2">
        <v>2018</v>
      </c>
      <c r="C148" s="2">
        <f>COUNTIFS(Games[Team],Games[[#This Row],[Team]],Games[Season],Games[[#This Row],[Season]],Games[Date],"&lt;=" &amp; Games[[#This Row],[Date]])</f>
        <v>12</v>
      </c>
      <c r="D148" s="2" t="s">
        <v>79</v>
      </c>
      <c r="E148" s="2" t="s">
        <v>80</v>
      </c>
      <c r="F148" s="1" t="s">
        <v>67</v>
      </c>
      <c r="G148" s="1" t="s">
        <v>40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8" s="2">
        <f>Games[[#This Row],[DaysOff]]-Games[[#This Row],[OppDaysOff]]</f>
        <v>-2</v>
      </c>
      <c r="L148" s="2">
        <f>Games[[#This Row],[OppDaysOff]]-Games[[#This Row],[DaysOff]]</f>
        <v>2</v>
      </c>
      <c r="M148" s="1">
        <f>MAX(-16, MIN(16, Games[[#This Row],[RestDiff]]*8))</f>
        <v>-16</v>
      </c>
      <c r="N148" s="1">
        <f>MAX(-16, MIN(16, Games[[#This Row],[OppRestDiff]]*8))</f>
        <v>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1589.7968251533237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1594.9343999031362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0.33240581279903475</v>
      </c>
      <c r="R148" s="1">
        <v>83</v>
      </c>
      <c r="S148" s="1">
        <v>72</v>
      </c>
      <c r="T148" s="1">
        <v>0</v>
      </c>
      <c r="U148" s="1">
        <f>Games[[#This Row],[PointsFor]]-Games[[#This Row],[PointsAgainst]]</f>
        <v>11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0.43796092277575033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21.694608336956623</v>
      </c>
      <c r="AB148" s="4">
        <f>Games[[#This Row],[PreGmRate]]+Games[[#This Row],[RatingChange]]</f>
        <v>1611.4914334902803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43273</v>
      </c>
      <c r="B149" s="2">
        <v>2018</v>
      </c>
      <c r="C149" s="2">
        <f>COUNTIFS(Games[Team],Games[[#This Row],[Team]],Games[Season],Games[[#This Row],[Season]],Games[Date],"&lt;=" &amp; Games[[#This Row],[Date]])</f>
        <v>14</v>
      </c>
      <c r="D149" s="2" t="s">
        <v>79</v>
      </c>
      <c r="E149" s="2" t="s">
        <v>80</v>
      </c>
      <c r="F149" s="1" t="s">
        <v>40</v>
      </c>
      <c r="G149" s="1" t="s">
        <v>67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2</v>
      </c>
      <c r="L149" s="2">
        <f>Games[[#This Row],[OppDaysOff]]-Games[[#This Row],[DaysOff]]</f>
        <v>-2</v>
      </c>
      <c r="M149" s="1">
        <f>MAX(-16, MIN(16, Games[[#This Row],[RestDiff]]*8))</f>
        <v>16</v>
      </c>
      <c r="N149" s="1">
        <f>MAX(-16, MIN(16, Games[[#This Row],[OppRestDiff]]*8))</f>
        <v>-16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1594.9343999031362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1589.7968251533237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0.66759418720096531</v>
      </c>
      <c r="R149" s="1">
        <v>72</v>
      </c>
      <c r="S149" s="1">
        <v>83</v>
      </c>
      <c r="T149" s="1">
        <v>0</v>
      </c>
      <c r="U149" s="1">
        <f>Games[[#This Row],[PointsFor]]-Games[[#This Row],[PointsAgainst]]</f>
        <v>-11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0.43796092277575033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73.900000000000006</v>
      </c>
      <c r="Z149" s="4">
        <f>Games[[#This Row],[K]]*Games[[#This Row],[POMult]]</f>
        <v>73.900000000000006</v>
      </c>
      <c r="AA149" s="4">
        <f>(Games[[#This Row],[Keff]]*Games[[#This Row],[MOVMult]])*(Games[[#This Row],[Result]]-Games[[#This Row],[ExpectedWin%]])</f>
        <v>-21.606894287076745</v>
      </c>
      <c r="AB149" s="4">
        <f>Games[[#This Row],[PreGmRate]]+Games[[#This Row],[RatingChange]]</f>
        <v>1573.3275056160594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43273</v>
      </c>
      <c r="B150" s="2">
        <v>2018</v>
      </c>
      <c r="C150" s="2">
        <f>COUNTIFS(Games[Team],Games[[#This Row],[Team]],Games[Season],Games[[#This Row],[Season]],Games[Date],"&lt;=" &amp; Games[[#This Row],[Date]])</f>
        <v>13</v>
      </c>
      <c r="D150" s="2" t="s">
        <v>79</v>
      </c>
      <c r="E150" s="2" t="s">
        <v>80</v>
      </c>
      <c r="F150" s="1" t="s">
        <v>69</v>
      </c>
      <c r="G150" s="1" t="s">
        <v>71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1340.366127919581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1541.525716714383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0.16225962715818584</v>
      </c>
      <c r="R150" s="1">
        <v>63</v>
      </c>
      <c r="S150" s="1">
        <v>72</v>
      </c>
      <c r="T150" s="1">
        <v>0</v>
      </c>
      <c r="U150" s="1">
        <f>Games[[#This Row],[PointsFor]]-Games[[#This Row],[PointsAgainst]]</f>
        <v>-9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0.3476876127977141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-4.1775798022066848</v>
      </c>
      <c r="AB150" s="4">
        <f>Games[[#This Row],[PreGmRate]]+Games[[#This Row],[RatingChange]]</f>
        <v>1336.1885481173742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43273</v>
      </c>
      <c r="B151" s="2">
        <v>2018</v>
      </c>
      <c r="C151" s="2">
        <f>COUNTIFS(Games[Team],Games[[#This Row],[Team]],Games[Season],Games[[#This Row],[Season]],Games[Date],"&lt;=" &amp; Games[[#This Row],[Date]])</f>
        <v>13</v>
      </c>
      <c r="D151" s="2" t="s">
        <v>79</v>
      </c>
      <c r="E151" s="2" t="s">
        <v>80</v>
      </c>
      <c r="F151" s="1" t="s">
        <v>71</v>
      </c>
      <c r="G151" s="1" t="s">
        <v>69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1541.525716714383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1340.366127919581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0.83774037284181424</v>
      </c>
      <c r="R151" s="1">
        <v>72</v>
      </c>
      <c r="S151" s="1">
        <v>63</v>
      </c>
      <c r="T151" s="1">
        <v>0</v>
      </c>
      <c r="U151" s="1">
        <f>Games[[#This Row],[PointsFor]]-Games[[#This Row],[PointsAgainst]]</f>
        <v>9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0.3476876127977141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74.05</v>
      </c>
      <c r="Z151" s="4">
        <f>Games[[#This Row],[K]]*Games[[#This Row],[POMult]]</f>
        <v>74.05</v>
      </c>
      <c r="AA151" s="4">
        <f>(Games[[#This Row],[Keff]]*Games[[#This Row],[MOVMult]])*(Games[[#This Row],[Result]]-Games[[#This Row],[ExpectedWin%]])</f>
        <v>4.177579802206683</v>
      </c>
      <c r="AB151" s="4">
        <f>Games[[#This Row],[PreGmRate]]+Games[[#This Row],[RatingChange]]</f>
        <v>1545.7032965165897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43275</v>
      </c>
      <c r="B152" s="2">
        <v>2018</v>
      </c>
      <c r="C152" s="2">
        <f>COUNTIFS(Games[Team],Games[[#This Row],[Team]],Games[Season],Games[[#This Row],[Season]],Games[Date],"&lt;=" &amp; Games[[#This Row],[Date]])</f>
        <v>15</v>
      </c>
      <c r="D152" s="2" t="s">
        <v>79</v>
      </c>
      <c r="E152" s="2" t="s">
        <v>80</v>
      </c>
      <c r="F152" s="1" t="s">
        <v>40</v>
      </c>
      <c r="G152" s="1" t="s">
        <v>75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1573.3275056160594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1374.0354307284995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0.6600853374990745</v>
      </c>
      <c r="R152" s="1">
        <v>88</v>
      </c>
      <c r="S152" s="1">
        <v>97</v>
      </c>
      <c r="T152" s="1">
        <v>0</v>
      </c>
      <c r="U152" s="1">
        <f>Games[[#This Row],[PointsFor]]-Games[[#This Row],[PointsAgainst]]</f>
        <v>-9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0.34815164133323456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73.75</v>
      </c>
      <c r="Z152" s="4">
        <f>Games[[#This Row],[K]]*Games[[#This Row],[POMult]]</f>
        <v>73.75</v>
      </c>
      <c r="AA152" s="4">
        <f>(Games[[#This Row],[Keff]]*Games[[#This Row],[MOVMult]])*(Games[[#This Row],[Result]]-Games[[#This Row],[ExpectedWin%]])</f>
        <v>-16.948472283184984</v>
      </c>
      <c r="AB152" s="4">
        <f>Games[[#This Row],[PreGmRate]]+Games[[#This Row],[RatingChange]]</f>
        <v>1556.3790333328743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43275</v>
      </c>
      <c r="B153" s="2">
        <v>2018</v>
      </c>
      <c r="C153" s="2">
        <f>COUNTIFS(Games[Team],Games[[#This Row],[Team]],Games[Season],Games[[#This Row],[Season]],Games[Date],"&lt;=" &amp; Games[[#This Row],[Date]])</f>
        <v>13</v>
      </c>
      <c r="D153" s="2" t="s">
        <v>79</v>
      </c>
      <c r="E153" s="2" t="s">
        <v>80</v>
      </c>
      <c r="F153" s="1" t="s">
        <v>75</v>
      </c>
      <c r="G153" s="1" t="s">
        <v>40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1374.0354307284995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1573.3275056160594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0.33991466250092556</v>
      </c>
      <c r="R153" s="1">
        <v>97</v>
      </c>
      <c r="S153" s="1">
        <v>88</v>
      </c>
      <c r="T153" s="1">
        <v>0</v>
      </c>
      <c r="U153" s="1">
        <f>Games[[#This Row],[PointsFor]]-Games[[#This Row],[PointsAgainst]]</f>
        <v>9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0.34815164133323456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17.017415221286075</v>
      </c>
      <c r="AB153" s="4">
        <f>Games[[#This Row],[PreGmRate]]+Games[[#This Row],[RatingChange]]</f>
        <v>1391.0528459497855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43275</v>
      </c>
      <c r="B154" s="2">
        <v>2018</v>
      </c>
      <c r="C154" s="2">
        <f>COUNTIFS(Games[Team],Games[[#This Row],[Team]],Games[Season],Games[[#This Row],[Season]],Games[Date],"&lt;=" &amp; Games[[#This Row],[Date]])</f>
        <v>14</v>
      </c>
      <c r="D154" s="2" t="s">
        <v>79</v>
      </c>
      <c r="E154" s="2" t="s">
        <v>80</v>
      </c>
      <c r="F154" s="1" t="s">
        <v>71</v>
      </c>
      <c r="G154" s="1" t="s">
        <v>85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1545.7032965165897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1517.5249113477073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0.42035042154729796</v>
      </c>
      <c r="R154" s="1">
        <v>97</v>
      </c>
      <c r="S154" s="1">
        <v>76</v>
      </c>
      <c r="T154" s="1">
        <v>0</v>
      </c>
      <c r="U154" s="1">
        <f>Games[[#This Row],[PointsFor]]-Games[[#This Row],[PointsAgainst]]</f>
        <v>21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0.57507244538240676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73.900000000000006</v>
      </c>
      <c r="Z154" s="4">
        <f>Games[[#This Row],[K]]*Games[[#This Row],[POMult]]</f>
        <v>73.900000000000006</v>
      </c>
      <c r="AA154" s="4">
        <f>(Games[[#This Row],[Keff]]*Games[[#This Row],[MOVMult]])*(Games[[#This Row],[Result]]-Games[[#This Row],[ExpectedWin%]])</f>
        <v>24.633862990325504</v>
      </c>
      <c r="AB154" s="4">
        <f>Games[[#This Row],[PreGmRate]]+Games[[#This Row],[RatingChange]]</f>
        <v>1570.3371595069152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43275</v>
      </c>
      <c r="B155" s="2">
        <v>2018</v>
      </c>
      <c r="C155" s="2">
        <f>COUNTIFS(Games[Team],Games[[#This Row],[Team]],Games[Season],Games[[#This Row],[Season]],Games[Date],"&lt;=" &amp; Games[[#This Row],[Date]])</f>
        <v>12</v>
      </c>
      <c r="D155" s="2" t="s">
        <v>79</v>
      </c>
      <c r="E155" s="2" t="s">
        <v>80</v>
      </c>
      <c r="F155" s="1" t="s">
        <v>85</v>
      </c>
      <c r="G155" s="1" t="s">
        <v>71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1517.5249113477073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1545.7032965165897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0.57964957845270204</v>
      </c>
      <c r="R155" s="1">
        <v>76</v>
      </c>
      <c r="S155" s="1">
        <v>97</v>
      </c>
      <c r="T155" s="1">
        <v>0</v>
      </c>
      <c r="U155" s="1">
        <f>Games[[#This Row],[PointsFor]]-Games[[#This Row],[PointsAgainst]]</f>
        <v>-21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0.57507244538240676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-24.733865140489204</v>
      </c>
      <c r="AB155" s="4">
        <f>Games[[#This Row],[PreGmRate]]+Games[[#This Row],[RatingChange]]</f>
        <v>1492.7910462072182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43275</v>
      </c>
      <c r="B156" s="2">
        <v>2018</v>
      </c>
      <c r="C156" s="2">
        <f>COUNTIFS(Games[Team],Games[[#This Row],[Team]],Games[Season],Games[[#This Row],[Season]],Games[Date],"&lt;=" &amp; Games[[#This Row],[Date]])</f>
        <v>13</v>
      </c>
      <c r="D156" s="2" t="s">
        <v>79</v>
      </c>
      <c r="E156" s="2" t="s">
        <v>80</v>
      </c>
      <c r="F156" s="1" t="s">
        <v>74</v>
      </c>
      <c r="G156" s="1" t="s">
        <v>69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1559.2362192329522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1336.1885481173742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0.69006490136863619</v>
      </c>
      <c r="R156" s="1">
        <v>87</v>
      </c>
      <c r="S156" s="1">
        <v>78</v>
      </c>
      <c r="T156" s="1">
        <v>0</v>
      </c>
      <c r="U156" s="1">
        <f>Games[[#This Row],[PointsFor]]-Games[[#This Row],[PointsAgainst]]</f>
        <v>9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0.34233978415830912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74.05</v>
      </c>
      <c r="Z156" s="4">
        <f>Games[[#This Row],[K]]*Games[[#This Row],[POMult]]</f>
        <v>74.05</v>
      </c>
      <c r="AA156" s="4">
        <f>(Games[[#This Row],[Keff]]*Games[[#This Row],[MOVMult]])*(Games[[#This Row],[Result]]-Games[[#This Row],[ExpectedWin%]])</f>
        <v>7.856935648610782</v>
      </c>
      <c r="AB156" s="4">
        <f>Games[[#This Row],[PreGmRate]]+Games[[#This Row],[RatingChange]]</f>
        <v>1567.0931548815629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43275</v>
      </c>
      <c r="B157" s="2">
        <v>2018</v>
      </c>
      <c r="C157" s="2">
        <f>COUNTIFS(Games[Team],Games[[#This Row],[Team]],Games[Season],Games[[#This Row],[Season]],Games[Date],"&lt;=" &amp; Games[[#This Row],[Date]])</f>
        <v>14</v>
      </c>
      <c r="D157" s="2" t="s">
        <v>79</v>
      </c>
      <c r="E157" s="2" t="s">
        <v>80</v>
      </c>
      <c r="F157" s="1" t="s">
        <v>69</v>
      </c>
      <c r="G157" s="1" t="s">
        <v>74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1336.1885481173742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1559.2362192329522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0.30993509863136381</v>
      </c>
      <c r="R157" s="1">
        <v>78</v>
      </c>
      <c r="S157" s="1">
        <v>87</v>
      </c>
      <c r="T157" s="1">
        <v>0</v>
      </c>
      <c r="U157" s="1">
        <f>Games[[#This Row],[PointsFor]]-Games[[#This Row],[PointsAgainst]]</f>
        <v>-9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0.34233978415830912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-7.8410201813955007</v>
      </c>
      <c r="AB157" s="4">
        <f>Games[[#This Row],[PreGmRate]]+Games[[#This Row],[RatingChange]]</f>
        <v>1328.3475279359786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43275</v>
      </c>
      <c r="B158" s="2">
        <v>2018</v>
      </c>
      <c r="C158" s="2">
        <f>COUNTIFS(Games[Team],Games[[#This Row],[Team]],Games[Season],Games[[#This Row],[Season]],Games[Date],"&lt;=" &amp; Games[[#This Row],[Date]])</f>
        <v>12</v>
      </c>
      <c r="D158" s="2" t="s">
        <v>79</v>
      </c>
      <c r="E158" s="2" t="s">
        <v>80</v>
      </c>
      <c r="F158" s="1" t="s">
        <v>60</v>
      </c>
      <c r="G158" s="1" t="s">
        <v>63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1470.5360514577367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1608.1608481401468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0.21827029026198186</v>
      </c>
      <c r="R158" s="1">
        <v>54</v>
      </c>
      <c r="S158" s="1">
        <v>80</v>
      </c>
      <c r="T158" s="1">
        <v>0</v>
      </c>
      <c r="U158" s="1">
        <f>Games[[#This Row],[PointsFor]]-Games[[#This Row],[PointsAgainst]]</f>
        <v>-26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0.58679000162596573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74.2</v>
      </c>
      <c r="Z158" s="4">
        <f>Games[[#This Row],[K]]*Games[[#This Row],[POMult]]</f>
        <v>74.2</v>
      </c>
      <c r="AA158" s="4">
        <f>(Games[[#This Row],[Keff]]*Games[[#This Row],[MOVMult]])*(Games[[#This Row],[Result]]-Games[[#This Row],[ExpectedWin%]])</f>
        <v>-9.5034487391474443</v>
      </c>
      <c r="AB158" s="4">
        <f>Games[[#This Row],[PreGmRate]]+Games[[#This Row],[RatingChange]]</f>
        <v>1461.0326027185893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43275</v>
      </c>
      <c r="B159" s="2">
        <v>2018</v>
      </c>
      <c r="C159" s="2">
        <f>COUNTIFS(Games[Team],Games[[#This Row],[Team]],Games[Season],Games[[#This Row],[Season]],Games[Date],"&lt;=" &amp; Games[[#This Row],[Date]])</f>
        <v>13</v>
      </c>
      <c r="D159" s="2" t="s">
        <v>79</v>
      </c>
      <c r="E159" s="2" t="s">
        <v>80</v>
      </c>
      <c r="F159" s="1" t="s">
        <v>63</v>
      </c>
      <c r="G159" s="1" t="s">
        <v>60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1608.1608481401468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1470.5360514577367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0.78172970973801814</v>
      </c>
      <c r="R159" s="1">
        <v>80</v>
      </c>
      <c r="S159" s="1">
        <v>54</v>
      </c>
      <c r="T159" s="1">
        <v>0</v>
      </c>
      <c r="U159" s="1">
        <f>Games[[#This Row],[PointsFor]]-Games[[#This Row],[PointsAgainst]]</f>
        <v>26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0.58679000162596573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9.4842369155507829</v>
      </c>
      <c r="AB159" s="4">
        <f>Games[[#This Row],[PreGmRate]]+Games[[#This Row],[RatingChange]]</f>
        <v>1617.6450850556976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43275</v>
      </c>
      <c r="B160" s="2">
        <v>2018</v>
      </c>
      <c r="C160" s="2">
        <f>COUNTIFS(Games[Team],Games[[#This Row],[Team]],Games[Season],Games[[#This Row],[Season]],Games[Date],"&lt;=" &amp; Games[[#This Row],[Date]])</f>
        <v>13</v>
      </c>
      <c r="D160" s="2" t="s">
        <v>79</v>
      </c>
      <c r="E160" s="2" t="s">
        <v>80</v>
      </c>
      <c r="F160" s="1" t="s">
        <v>67</v>
      </c>
      <c r="G160" s="1" t="s">
        <v>86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1611.4914334902803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1433.386607458011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0.63221033242922853</v>
      </c>
      <c r="R160" s="1">
        <v>88</v>
      </c>
      <c r="S160" s="1">
        <v>73</v>
      </c>
      <c r="T160" s="1">
        <v>0</v>
      </c>
      <c r="U160" s="1">
        <f>Games[[#This Row],[PointsFor]]-Games[[#This Row],[PointsAgainst]]</f>
        <v>15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0.43786047494792441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11.925053358663487</v>
      </c>
      <c r="AB160" s="4">
        <f>Games[[#This Row],[PreGmRate]]+Games[[#This Row],[RatingChange]]</f>
        <v>1623.4164868489438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43275</v>
      </c>
      <c r="B161" s="2">
        <v>2018</v>
      </c>
      <c r="C161" s="2">
        <f>COUNTIFS(Games[Team],Games[[#This Row],[Team]],Games[Season],Games[[#This Row],[Season]],Games[Date],"&lt;=" &amp; Games[[#This Row],[Date]])</f>
        <v>15</v>
      </c>
      <c r="D161" s="2" t="s">
        <v>79</v>
      </c>
      <c r="E161" s="2" t="s">
        <v>80</v>
      </c>
      <c r="F161" s="1" t="s">
        <v>86</v>
      </c>
      <c r="G161" s="1" t="s">
        <v>67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1433.386607458011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1611.4914334902803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0.36778966757077142</v>
      </c>
      <c r="R161" s="1">
        <v>73</v>
      </c>
      <c r="S161" s="1">
        <v>88</v>
      </c>
      <c r="T161" s="1">
        <v>0</v>
      </c>
      <c r="U161" s="1">
        <f>Games[[#This Row],[PointsFor]]-Games[[#This Row],[PointsAgainst]]</f>
        <v>-15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0.43786047494792441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73.75</v>
      </c>
      <c r="Z161" s="4">
        <f>Games[[#This Row],[K]]*Games[[#This Row],[POMult]]</f>
        <v>73.75</v>
      </c>
      <c r="AA161" s="4">
        <f>(Games[[#This Row],[Keff]]*Games[[#This Row],[MOVMult]])*(Games[[#This Row],[Result]]-Games[[#This Row],[ExpectedWin%]])</f>
        <v>-11.876741191106444</v>
      </c>
      <c r="AB161" s="4">
        <f>Games[[#This Row],[PreGmRate]]+Games[[#This Row],[RatingChange]]</f>
        <v>1421.5098662669045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43277</v>
      </c>
      <c r="B162" s="2">
        <v>2018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85</v>
      </c>
      <c r="G162" s="1" t="s">
        <v>63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1492.7910462072182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1617.6450850556976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0.23107333180473538</v>
      </c>
      <c r="R162" s="1">
        <v>83</v>
      </c>
      <c r="S162" s="1">
        <v>87</v>
      </c>
      <c r="T162" s="1">
        <v>0</v>
      </c>
      <c r="U162" s="1">
        <f>Games[[#This Row],[PointsFor]]-Games[[#This Row],[PointsAgainst]]</f>
        <v>-4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0.28208336233739378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-4.8267228333859142</v>
      </c>
      <c r="AB162" s="4">
        <f>Games[[#This Row],[PreGmRate]]+Games[[#This Row],[RatingChange]]</f>
        <v>1487.9643233738323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43277</v>
      </c>
      <c r="B163" s="2">
        <v>2018</v>
      </c>
      <c r="C163" s="2">
        <f>COUNTIFS(Games[Team],Games[[#This Row],[Team]],Games[Season],Games[[#This Row],[Season]],Games[Date],"&lt;=" &amp; Games[[#This Row],[Date]])</f>
        <v>14</v>
      </c>
      <c r="D163" s="2" t="s">
        <v>79</v>
      </c>
      <c r="E163" s="2" t="s">
        <v>80</v>
      </c>
      <c r="F163" s="1" t="s">
        <v>63</v>
      </c>
      <c r="G163" s="1" t="s">
        <v>85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1617.6450850556976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1492.7910462072182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0.76892666819526467</v>
      </c>
      <c r="R163" s="1">
        <v>87</v>
      </c>
      <c r="S163" s="1">
        <v>83</v>
      </c>
      <c r="T163" s="1">
        <v>0</v>
      </c>
      <c r="U163" s="1">
        <f>Games[[#This Row],[PointsFor]]-Games[[#This Row],[PointsAgainst]]</f>
        <v>4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0.28208336233739378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73.900000000000006</v>
      </c>
      <c r="Z163" s="4">
        <f>Games[[#This Row],[K]]*Games[[#This Row],[POMult]]</f>
        <v>73.900000000000006</v>
      </c>
      <c r="AA163" s="4">
        <f>(Games[[#This Row],[Keff]]*Games[[#This Row],[MOVMult]])*(Games[[#This Row],[Result]]-Games[[#This Row],[ExpectedWin%]])</f>
        <v>4.8169455420286162</v>
      </c>
      <c r="AB163" s="4">
        <f>Games[[#This Row],[PreGmRate]]+Games[[#This Row],[RatingChange]]</f>
        <v>1622.4620305977262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43277</v>
      </c>
      <c r="B164" s="2">
        <v>2018</v>
      </c>
      <c r="C164" s="2">
        <f>COUNTIFS(Games[Team],Games[[#This Row],[Team]],Games[Season],Games[[#This Row],[Season]],Games[Date],"&lt;=" &amp; Games[[#This Row],[Date]])</f>
        <v>15</v>
      </c>
      <c r="D164" s="2" t="s">
        <v>79</v>
      </c>
      <c r="E164" s="2" t="s">
        <v>80</v>
      </c>
      <c r="F164" s="1" t="s">
        <v>71</v>
      </c>
      <c r="G164" s="1" t="s">
        <v>67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1570.3371595069152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1623.4164868489438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0.31236365944002681</v>
      </c>
      <c r="R164" s="1">
        <v>79</v>
      </c>
      <c r="S164" s="1">
        <v>91</v>
      </c>
      <c r="T164" s="1">
        <v>0</v>
      </c>
      <c r="U164" s="1">
        <f>Games[[#This Row],[PointsFor]]-Games[[#This Row],[PointsAgainst]]</f>
        <v>-12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0.43680820499438977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73.75</v>
      </c>
      <c r="Z164" s="4">
        <f>Games[[#This Row],[K]]*Games[[#This Row],[POMult]]</f>
        <v>73.75</v>
      </c>
      <c r="AA164" s="4">
        <f>(Games[[#This Row],[Keff]]*Games[[#This Row],[MOVMult]])*(Games[[#This Row],[Result]]-Games[[#This Row],[ExpectedWin%]])</f>
        <v>-10.062671942178927</v>
      </c>
      <c r="AB164" s="4">
        <f>Games[[#This Row],[PreGmRate]]+Games[[#This Row],[RatingChange]]</f>
        <v>1560.2744875647363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43277</v>
      </c>
      <c r="B165" s="2">
        <v>2018</v>
      </c>
      <c r="C165" s="2">
        <f>COUNTIFS(Games[Team],Games[[#This Row],[Team]],Games[Season],Games[[#This Row],[Season]],Games[Date],"&lt;=" &amp; Games[[#This Row],[Date]])</f>
        <v>14</v>
      </c>
      <c r="D165" s="2" t="s">
        <v>79</v>
      </c>
      <c r="E165" s="2" t="s">
        <v>80</v>
      </c>
      <c r="F165" s="1" t="s">
        <v>67</v>
      </c>
      <c r="G165" s="1" t="s">
        <v>71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1623.4164868489438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1570.3371595069152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0.68763634055997325</v>
      </c>
      <c r="R165" s="1">
        <v>91</v>
      </c>
      <c r="S165" s="1">
        <v>79</v>
      </c>
      <c r="T165" s="1">
        <v>0</v>
      </c>
      <c r="U165" s="1">
        <f>Games[[#This Row],[PointsFor]]-Games[[#This Row],[PointsAgainst]]</f>
        <v>12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0.43680820499438977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73.900000000000006</v>
      </c>
      <c r="Z165" s="4">
        <f>Games[[#This Row],[K]]*Games[[#This Row],[POMult]]</f>
        <v>73.900000000000006</v>
      </c>
      <c r="AA165" s="4">
        <f>(Games[[#This Row],[Keff]]*Games[[#This Row],[MOVMult]])*(Games[[#This Row],[Result]]-Games[[#This Row],[ExpectedWin%]])</f>
        <v>10.083138393586749</v>
      </c>
      <c r="AB165" s="4">
        <f>Games[[#This Row],[PreGmRate]]+Games[[#This Row],[RatingChange]]</f>
        <v>1633.4996252425306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43277</v>
      </c>
      <c r="B166" s="2">
        <v>2018</v>
      </c>
      <c r="C166" s="2">
        <f>COUNTIFS(Games[Team],Games[[#This Row],[Team]],Games[Season],Games[[#This Row],[Season]],Games[Date],"&lt;=" &amp; Games[[#This Row],[Date]])</f>
        <v>16</v>
      </c>
      <c r="D166" s="2" t="s">
        <v>79</v>
      </c>
      <c r="E166" s="2" t="s">
        <v>80</v>
      </c>
      <c r="F166" s="1" t="s">
        <v>40</v>
      </c>
      <c r="G166" s="1" t="s">
        <v>60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1556.3790333328743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1461.0326027185893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0.51632302370094629</v>
      </c>
      <c r="R166" s="1">
        <v>83</v>
      </c>
      <c r="S166" s="1">
        <v>69</v>
      </c>
      <c r="T166" s="1">
        <v>0</v>
      </c>
      <c r="U166" s="1">
        <f>Games[[#This Row],[PointsFor]]-Games[[#This Row],[PointsAgainst]]</f>
        <v>14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0.4517167843381007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73.599999999999994</v>
      </c>
      <c r="Z166" s="4">
        <f>Games[[#This Row],[K]]*Games[[#This Row],[POMult]]</f>
        <v>73.599999999999994</v>
      </c>
      <c r="AA166" s="4">
        <f>(Games[[#This Row],[Keff]]*Games[[#This Row],[MOVMult]])*(Games[[#This Row],[Result]]-Games[[#This Row],[ExpectedWin%]])</f>
        <v>16.08049661766476</v>
      </c>
      <c r="AB166" s="4">
        <f>Games[[#This Row],[PreGmRate]]+Games[[#This Row],[RatingChange]]</f>
        <v>1572.459529950539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43277</v>
      </c>
      <c r="B167" s="2">
        <v>2018</v>
      </c>
      <c r="C167" s="2">
        <f>COUNTIFS(Games[Team],Games[[#This Row],[Team]],Games[Season],Games[[#This Row],[Season]],Games[Date],"&lt;=" &amp; Games[[#This Row],[Date]])</f>
        <v>13</v>
      </c>
      <c r="D167" s="2" t="s">
        <v>79</v>
      </c>
      <c r="E167" s="2" t="s">
        <v>80</v>
      </c>
      <c r="F167" s="1" t="s">
        <v>60</v>
      </c>
      <c r="G167" s="1" t="s">
        <v>40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1461.0326027185893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1556.3790333328743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0.48367697629905376</v>
      </c>
      <c r="R167" s="1">
        <v>69</v>
      </c>
      <c r="S167" s="1">
        <v>83</v>
      </c>
      <c r="T167" s="1">
        <v>0</v>
      </c>
      <c r="U167" s="1">
        <f>Games[[#This Row],[PointsFor]]-Games[[#This Row],[PointsAgainst]]</f>
        <v>-14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0.4517167843381007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-16.178814871441247</v>
      </c>
      <c r="AB167" s="4">
        <f>Games[[#This Row],[PreGmRate]]+Games[[#This Row],[RatingChange]]</f>
        <v>1444.8537878471479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43277</v>
      </c>
      <c r="B168" s="2">
        <v>2018</v>
      </c>
      <c r="C168" s="2">
        <f>COUNTIFS(Games[Team],Games[[#This Row],[Team]],Games[Season],Games[[#This Row],[Season]],Games[Date],"&lt;=" &amp; Games[[#This Row],[Date]])</f>
        <v>14</v>
      </c>
      <c r="D168" s="2" t="s">
        <v>79</v>
      </c>
      <c r="E168" s="2" t="s">
        <v>80</v>
      </c>
      <c r="F168" s="1" t="s">
        <v>74</v>
      </c>
      <c r="G168" s="1" t="s">
        <v>65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8" s="2">
        <f>Games[[#This Row],[DaysOff]]-Games[[#This Row],[OppDaysOff]]</f>
        <v>-2</v>
      </c>
      <c r="L168" s="2">
        <f>Games[[#This Row],[OppDaysOff]]-Games[[#This Row],[DaysOff]]</f>
        <v>2</v>
      </c>
      <c r="M168" s="1">
        <f>MAX(-16, MIN(16, Games[[#This Row],[RestDiff]]*8))</f>
        <v>-16</v>
      </c>
      <c r="N168" s="1">
        <f>MAX(-16, MIN(16, Games[[#This Row],[OppRestDiff]]*8))</f>
        <v>16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1567.0931548815629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1518.8573416799541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0.40369755720039652</v>
      </c>
      <c r="R168" s="1">
        <v>80</v>
      </c>
      <c r="S168" s="1">
        <v>92</v>
      </c>
      <c r="T168" s="1">
        <v>0</v>
      </c>
      <c r="U168" s="1">
        <f>Games[[#This Row],[PointsFor]]-Games[[#This Row],[PointsAgainst]]</f>
        <v>-12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0.43850314652319844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-13.081973766723994</v>
      </c>
      <c r="AB168" s="4">
        <f>Games[[#This Row],[PreGmRate]]+Games[[#This Row],[RatingChange]]</f>
        <v>1554.0111811148388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43277</v>
      </c>
      <c r="B169" s="2">
        <v>2018</v>
      </c>
      <c r="C169" s="2">
        <f>COUNTIFS(Games[Team],Games[[#This Row],[Team]],Games[Season],Games[[#This Row],[Season]],Games[Date],"&lt;=" &amp; Games[[#This Row],[Date]])</f>
        <v>14</v>
      </c>
      <c r="D169" s="2" t="s">
        <v>79</v>
      </c>
      <c r="E169" s="2" t="s">
        <v>80</v>
      </c>
      <c r="F169" s="1" t="s">
        <v>65</v>
      </c>
      <c r="G169" s="1" t="s">
        <v>74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2</v>
      </c>
      <c r="L169" s="2">
        <f>Games[[#This Row],[OppDaysOff]]-Games[[#This Row],[DaysOff]]</f>
        <v>-2</v>
      </c>
      <c r="M169" s="1">
        <f>MAX(-16, MIN(16, Games[[#This Row],[RestDiff]]*8))</f>
        <v>16</v>
      </c>
      <c r="N169" s="1">
        <f>MAX(-16, MIN(16, Games[[#This Row],[OppRestDiff]]*8))</f>
        <v>-16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1518.8573416799541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1567.0931548815629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0.59630244279960343</v>
      </c>
      <c r="R169" s="1">
        <v>92</v>
      </c>
      <c r="S169" s="1">
        <v>80</v>
      </c>
      <c r="T169" s="1">
        <v>0</v>
      </c>
      <c r="U169" s="1">
        <f>Games[[#This Row],[PointsFor]]-Games[[#This Row],[PointsAgainst]]</f>
        <v>12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0.43850314652319844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13.081973766723996</v>
      </c>
      <c r="AB169" s="4">
        <f>Games[[#This Row],[PreGmRate]]+Games[[#This Row],[RatingChange]]</f>
        <v>1531.9393154466782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43278</v>
      </c>
      <c r="B170" s="2">
        <v>2018</v>
      </c>
      <c r="C170" s="2">
        <f>COUNTIFS(Games[Team],Games[[#This Row],[Team]],Games[Season],Games[[#This Row],[Season]],Games[Date],"&lt;=" &amp; Games[[#This Row],[Date]])</f>
        <v>14</v>
      </c>
      <c r="D170" s="2" t="s">
        <v>79</v>
      </c>
      <c r="E170" s="2" t="s">
        <v>80</v>
      </c>
      <c r="F170" s="1" t="s">
        <v>77</v>
      </c>
      <c r="G170" s="1" t="s">
        <v>75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2</v>
      </c>
      <c r="L170" s="2">
        <f>Games[[#This Row],[OppDaysOff]]-Games[[#This Row],[DaysOff]]</f>
        <v>-2</v>
      </c>
      <c r="M170" s="1">
        <f>MAX(-16, MIN(16, Games[[#This Row],[RestDiff]]*8))</f>
        <v>16</v>
      </c>
      <c r="N170" s="1">
        <f>MAX(-16, MIN(16, Games[[#This Row],[OppRestDiff]]*8))</f>
        <v>-16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1451.7626472611344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1391.0528459497855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0.51253178659069787</v>
      </c>
      <c r="R170" s="1">
        <v>80</v>
      </c>
      <c r="S170" s="1">
        <v>93</v>
      </c>
      <c r="T170" s="1">
        <v>0</v>
      </c>
      <c r="U170" s="1">
        <f>Games[[#This Row],[PointsFor]]-Games[[#This Row],[PointsAgainst]]</f>
        <v>-13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0.44931236846714112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-17.018199763039597</v>
      </c>
      <c r="AB170" s="4">
        <f>Games[[#This Row],[PreGmRate]]+Games[[#This Row],[RatingChange]]</f>
        <v>1434.7444474980948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43278</v>
      </c>
      <c r="B171" s="2">
        <v>2018</v>
      </c>
      <c r="C171" s="2">
        <f>COUNTIFS(Games[Team],Games[[#This Row],[Team]],Games[Season],Games[[#This Row],[Season]],Games[Date],"&lt;=" &amp; Games[[#This Row],[Date]])</f>
        <v>14</v>
      </c>
      <c r="D171" s="2" t="s">
        <v>79</v>
      </c>
      <c r="E171" s="2" t="s">
        <v>80</v>
      </c>
      <c r="F171" s="1" t="s">
        <v>75</v>
      </c>
      <c r="G171" s="1" t="s">
        <v>77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-2</v>
      </c>
      <c r="L171" s="2">
        <f>Games[[#This Row],[OppDaysOff]]-Games[[#This Row],[DaysOff]]</f>
        <v>2</v>
      </c>
      <c r="M171" s="1">
        <f>MAX(-16, MIN(16, Games[[#This Row],[RestDiff]]*8))</f>
        <v>-16</v>
      </c>
      <c r="N171" s="1">
        <f>MAX(-16, MIN(16, Games[[#This Row],[OppRestDiff]]*8))</f>
        <v>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1391.0528459497855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1451.7626472611344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0.48746821340930213</v>
      </c>
      <c r="R171" s="1">
        <v>93</v>
      </c>
      <c r="S171" s="1">
        <v>80</v>
      </c>
      <c r="T171" s="1">
        <v>0</v>
      </c>
      <c r="U171" s="1">
        <f>Games[[#This Row],[PointsFor]]-Games[[#This Row],[PointsAgainst]]</f>
        <v>13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0.44931236846714112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17.018199763039597</v>
      </c>
      <c r="AB171" s="4">
        <f>Games[[#This Row],[PreGmRate]]+Games[[#This Row],[RatingChange]]</f>
        <v>1408.071045712825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43278</v>
      </c>
      <c r="B172" s="2">
        <v>2018</v>
      </c>
      <c r="C172" s="2">
        <f>COUNTIFS(Games[Team],Games[[#This Row],[Team]],Games[Season],Games[[#This Row],[Season]],Games[Date],"&lt;=" &amp; Games[[#This Row],[Date]])</f>
        <v>15</v>
      </c>
      <c r="D172" s="2" t="s">
        <v>79</v>
      </c>
      <c r="E172" s="2" t="s">
        <v>80</v>
      </c>
      <c r="F172" s="1" t="s">
        <v>69</v>
      </c>
      <c r="G172" s="1" t="s">
        <v>74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2" s="2">
        <f>Games[[#This Row],[DaysOff]]-Games[[#This Row],[OppDaysOff]]</f>
        <v>2</v>
      </c>
      <c r="L172" s="2">
        <f>Games[[#This Row],[OppDaysOff]]-Games[[#This Row],[DaysOff]]</f>
        <v>-2</v>
      </c>
      <c r="M172" s="1">
        <f>MAX(-16, MIN(16, Games[[#This Row],[RestDiff]]*8))</f>
        <v>16</v>
      </c>
      <c r="N172" s="1">
        <f>MAX(-16, MIN(16, Games[[#This Row],[OppRestDiff]]*8))</f>
        <v>-16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1328.3475279359786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1554.0111811148388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0.1682108863130598</v>
      </c>
      <c r="R172" s="1">
        <v>89</v>
      </c>
      <c r="S172" s="1">
        <v>101</v>
      </c>
      <c r="T172" s="1">
        <v>0</v>
      </c>
      <c r="U172" s="1">
        <f>Games[[#This Row],[PointsFor]]-Games[[#This Row],[PointsAgainst]]</f>
        <v>-12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0.38393020013618812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73.75</v>
      </c>
      <c r="Z172" s="4">
        <f>Games[[#This Row],[K]]*Games[[#This Row],[POMult]]</f>
        <v>73.75</v>
      </c>
      <c r="AA172" s="4">
        <f>(Games[[#This Row],[Keff]]*Games[[#This Row],[MOVMult]])*(Games[[#This Row],[Result]]-Games[[#This Row],[ExpectedWin%]])</f>
        <v>-4.7628663944853242</v>
      </c>
      <c r="AB172" s="4">
        <f>Games[[#This Row],[PreGmRate]]+Games[[#This Row],[RatingChange]]</f>
        <v>1323.5846615414932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43278</v>
      </c>
      <c r="B173" s="2">
        <v>2018</v>
      </c>
      <c r="C173" s="2">
        <f>COUNTIFS(Games[Team],Games[[#This Row],[Team]],Games[Season],Games[[#This Row],[Season]],Games[Date],"&lt;=" &amp; Games[[#This Row],[Date]])</f>
        <v>15</v>
      </c>
      <c r="D173" s="2" t="s">
        <v>79</v>
      </c>
      <c r="E173" s="2" t="s">
        <v>80</v>
      </c>
      <c r="F173" s="1" t="s">
        <v>74</v>
      </c>
      <c r="G173" s="1" t="s">
        <v>69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-2</v>
      </c>
      <c r="L173" s="2">
        <f>Games[[#This Row],[OppDaysOff]]-Games[[#This Row],[DaysOff]]</f>
        <v>2</v>
      </c>
      <c r="M173" s="1">
        <f>MAX(-16, MIN(16, Games[[#This Row],[RestDiff]]*8))</f>
        <v>-16</v>
      </c>
      <c r="N173" s="1">
        <f>MAX(-16, MIN(16, Games[[#This Row],[OppRestDiff]]*8))</f>
        <v>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1554.0111811148388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1328.3475279359786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0.8317891136869402</v>
      </c>
      <c r="R173" s="1">
        <v>101</v>
      </c>
      <c r="S173" s="1">
        <v>89</v>
      </c>
      <c r="T173" s="1">
        <v>0</v>
      </c>
      <c r="U173" s="1">
        <f>Games[[#This Row],[PointsFor]]-Games[[#This Row],[PointsAgainst]]</f>
        <v>12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0.38393020013618812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4.7628663944853242</v>
      </c>
      <c r="AB173" s="4">
        <f>Games[[#This Row],[PreGmRate]]+Games[[#This Row],[RatingChange]]</f>
        <v>1558.7740475093242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43278</v>
      </c>
      <c r="B174" s="2">
        <v>2018</v>
      </c>
      <c r="C174" s="2">
        <f>COUNTIFS(Games[Team],Games[[#This Row],[Team]],Games[Season],Games[[#This Row],[Season]],Games[Date],"&lt;=" &amp; Games[[#This Row],[Date]])</f>
        <v>14</v>
      </c>
      <c r="D174" s="2" t="s">
        <v>79</v>
      </c>
      <c r="E174" s="2" t="s">
        <v>80</v>
      </c>
      <c r="F174" s="1" t="s">
        <v>85</v>
      </c>
      <c r="G174" s="1" t="s">
        <v>86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-2</v>
      </c>
      <c r="L174" s="2">
        <f>Games[[#This Row],[OppDaysOff]]-Games[[#This Row],[DaysOff]]</f>
        <v>2</v>
      </c>
      <c r="M174" s="1">
        <f>MAX(-16, MIN(16, Games[[#This Row],[RestDiff]]*8))</f>
        <v>-16</v>
      </c>
      <c r="N174" s="1">
        <f>MAX(-16, MIN(16, Games[[#This Row],[OppRestDiff]]*8))</f>
        <v>16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1487.9643233738323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1421.5098662669045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0.42917765818424131</v>
      </c>
      <c r="R174" s="1">
        <v>97</v>
      </c>
      <c r="S174" s="1">
        <v>91</v>
      </c>
      <c r="T174" s="1">
        <v>0</v>
      </c>
      <c r="U174" s="1">
        <f>Games[[#This Row],[PointsFor]]-Games[[#This Row],[PointsAgainst]]</f>
        <v>6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0.33284806330276057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73.900000000000006</v>
      </c>
      <c r="Z174" s="4">
        <f>Games[[#This Row],[K]]*Games[[#This Row],[POMult]]</f>
        <v>73.900000000000006</v>
      </c>
      <c r="AA174" s="4">
        <f>(Games[[#This Row],[Keff]]*Games[[#This Row],[MOVMult]])*(Games[[#This Row],[Result]]-Games[[#This Row],[ExpectedWin%]])</f>
        <v>14.040786500189474</v>
      </c>
      <c r="AB174" s="4">
        <f>Games[[#This Row],[PreGmRate]]+Games[[#This Row],[RatingChange]]</f>
        <v>1502.0051098740216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43278</v>
      </c>
      <c r="B175" s="2">
        <v>2018</v>
      </c>
      <c r="C175" s="2">
        <f>COUNTIFS(Games[Team],Games[[#This Row],[Team]],Games[Season],Games[[#This Row],[Season]],Games[Date],"&lt;=" &amp; Games[[#This Row],[Date]])</f>
        <v>16</v>
      </c>
      <c r="D175" s="2" t="s">
        <v>79</v>
      </c>
      <c r="E175" s="2" t="s">
        <v>80</v>
      </c>
      <c r="F175" s="1" t="s">
        <v>86</v>
      </c>
      <c r="G175" s="1" t="s">
        <v>85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5" s="2">
        <f>Games[[#This Row],[DaysOff]]-Games[[#This Row],[OppDaysOff]]</f>
        <v>2</v>
      </c>
      <c r="L175" s="2">
        <f>Games[[#This Row],[OppDaysOff]]-Games[[#This Row],[DaysOff]]</f>
        <v>-2</v>
      </c>
      <c r="M175" s="1">
        <f>MAX(-16, MIN(16, Games[[#This Row],[RestDiff]]*8))</f>
        <v>16</v>
      </c>
      <c r="N175" s="1">
        <f>MAX(-16, MIN(16, Games[[#This Row],[OppRestDiff]]*8))</f>
        <v>-16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1421.5098662669045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1487.9643233738323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0.57082234181575875</v>
      </c>
      <c r="R175" s="1">
        <v>91</v>
      </c>
      <c r="S175" s="1">
        <v>97</v>
      </c>
      <c r="T175" s="1">
        <v>0</v>
      </c>
      <c r="U175" s="1">
        <f>Games[[#This Row],[PointsFor]]-Games[[#This Row],[PointsAgainst]]</f>
        <v>-6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0.33284806330276057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73.599999999999994</v>
      </c>
      <c r="Z175" s="4">
        <f>Games[[#This Row],[K]]*Games[[#This Row],[POMult]]</f>
        <v>73.599999999999994</v>
      </c>
      <c r="AA175" s="4">
        <f>(Games[[#This Row],[Keff]]*Games[[#This Row],[MOVMult]])*(Games[[#This Row],[Result]]-Games[[#This Row],[ExpectedWin%]])</f>
        <v>-13.983787366900476</v>
      </c>
      <c r="AB175" s="4">
        <f>Games[[#This Row],[PreGmRate]]+Games[[#This Row],[RatingChange]]</f>
        <v>1407.526078900004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43279</v>
      </c>
      <c r="B176" s="2">
        <v>2018</v>
      </c>
      <c r="C176" s="2">
        <f>COUNTIFS(Games[Team],Games[[#This Row],[Team]],Games[Season],Games[[#This Row],[Season]],Games[Date],"&lt;=" &amp; Games[[#This Row],[Date]])</f>
        <v>15</v>
      </c>
      <c r="D176" s="2" t="s">
        <v>79</v>
      </c>
      <c r="E176" s="2" t="s">
        <v>80</v>
      </c>
      <c r="F176" s="1" t="s">
        <v>63</v>
      </c>
      <c r="G176" s="1" t="s">
        <v>71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1622.4620305977262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1560.2744875647363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0.46865052816339681</v>
      </c>
      <c r="R176" s="1">
        <v>72</v>
      </c>
      <c r="S176" s="1">
        <v>81</v>
      </c>
      <c r="T176" s="1">
        <v>0</v>
      </c>
      <c r="U176" s="1">
        <f>Games[[#This Row],[PointsFor]]-Games[[#This Row],[PointsAgainst]]</f>
        <v>-9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0.38596945063017335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-13.340253033341554</v>
      </c>
      <c r="AB176" s="4">
        <f>Games[[#This Row],[PreGmRate]]+Games[[#This Row],[RatingChange]]</f>
        <v>1609.1217775643847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43279</v>
      </c>
      <c r="B177" s="2">
        <v>2018</v>
      </c>
      <c r="C177" s="2">
        <f>COUNTIFS(Games[Team],Games[[#This Row],[Team]],Games[Season],Games[[#This Row],[Season]],Games[Date],"&lt;=" &amp; Games[[#This Row],[Date]])</f>
        <v>16</v>
      </c>
      <c r="D177" s="2" t="s">
        <v>79</v>
      </c>
      <c r="E177" s="2" t="s">
        <v>80</v>
      </c>
      <c r="F177" s="1" t="s">
        <v>71</v>
      </c>
      <c r="G177" s="1" t="s">
        <v>63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1560.2744875647363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1622.4620305977262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0.53134947183660319</v>
      </c>
      <c r="R177" s="1">
        <v>81</v>
      </c>
      <c r="S177" s="1">
        <v>72</v>
      </c>
      <c r="T177" s="1">
        <v>0</v>
      </c>
      <c r="U177" s="1">
        <f>Games[[#This Row],[PointsFor]]-Games[[#This Row],[PointsAgainst]]</f>
        <v>9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0.38596945063017335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13.313120315307639</v>
      </c>
      <c r="AB177" s="4">
        <f>Games[[#This Row],[PreGmRate]]+Games[[#This Row],[RatingChange]]</f>
        <v>1573.5876078800441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43279</v>
      </c>
      <c r="B178" s="2">
        <v>2018</v>
      </c>
      <c r="C178" s="2">
        <f>COUNTIFS(Games[Team],Games[[#This Row],[Team]],Games[Season],Games[[#This Row],[Season]],Games[Date],"&lt;=" &amp; Games[[#This Row],[Date]])</f>
        <v>14</v>
      </c>
      <c r="D178" s="2" t="s">
        <v>79</v>
      </c>
      <c r="E178" s="2" t="s">
        <v>80</v>
      </c>
      <c r="F178" s="1" t="s">
        <v>60</v>
      </c>
      <c r="G178" s="1" t="s">
        <v>65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1444.8537878471479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1531.9393154466782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0.27193100051213948</v>
      </c>
      <c r="R178" s="1">
        <v>77</v>
      </c>
      <c r="S178" s="1">
        <v>80</v>
      </c>
      <c r="T178" s="1">
        <v>0</v>
      </c>
      <c r="U178" s="1">
        <f>Games[[#This Row],[PointsFor]]-Games[[#This Row],[PointsAgainst]]</f>
        <v>-3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0.27054940627597246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73.900000000000006</v>
      </c>
      <c r="Z178" s="4">
        <f>Games[[#This Row],[K]]*Games[[#This Row],[POMult]]</f>
        <v>73.900000000000006</v>
      </c>
      <c r="AA178" s="4">
        <f>(Games[[#This Row],[Keff]]*Games[[#This Row],[MOVMult]])*(Games[[#This Row],[Result]]-Games[[#This Row],[ExpectedWin%]])</f>
        <v>-5.4368799574340381</v>
      </c>
      <c r="AB178" s="4">
        <f>Games[[#This Row],[PreGmRate]]+Games[[#This Row],[RatingChange]]</f>
        <v>1439.4169078897139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43279</v>
      </c>
      <c r="B179" s="2">
        <v>2018</v>
      </c>
      <c r="C179" s="2">
        <f>COUNTIFS(Games[Team],Games[[#This Row],[Team]],Games[Season],Games[[#This Row],[Season]],Games[Date],"&lt;=" &amp; Games[[#This Row],[Date]])</f>
        <v>15</v>
      </c>
      <c r="D179" s="2" t="s">
        <v>79</v>
      </c>
      <c r="E179" s="2" t="s">
        <v>80</v>
      </c>
      <c r="F179" s="1" t="s">
        <v>65</v>
      </c>
      <c r="G179" s="1" t="s">
        <v>60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1531.9393154466782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1444.8537878471479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0.72806899948786052</v>
      </c>
      <c r="R179" s="1">
        <v>80</v>
      </c>
      <c r="S179" s="1">
        <v>77</v>
      </c>
      <c r="T179" s="1">
        <v>0</v>
      </c>
      <c r="U179" s="1">
        <f>Games[[#This Row],[PointsFor]]-Games[[#This Row],[PointsAgainst]]</f>
        <v>3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0.27054940627597246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5.4258443418235496</v>
      </c>
      <c r="AB179" s="4">
        <f>Games[[#This Row],[PreGmRate]]+Games[[#This Row],[RatingChange]]</f>
        <v>1537.3651597885016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43280</v>
      </c>
      <c r="B180" s="2">
        <v>2018</v>
      </c>
      <c r="C180" s="2">
        <f>COUNTIFS(Games[Team],Games[[#This Row],[Team]],Games[Season],Games[[#This Row],[Season]],Games[Date],"&lt;=" &amp; Games[[#This Row],[Date]])</f>
        <v>17</v>
      </c>
      <c r="D180" s="2" t="s">
        <v>79</v>
      </c>
      <c r="E180" s="2" t="s">
        <v>80</v>
      </c>
      <c r="F180" s="1" t="s">
        <v>40</v>
      </c>
      <c r="G180" s="1" t="s">
        <v>69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1572.459529950539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1323.5846615414932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0.73908137238374672</v>
      </c>
      <c r="R180" s="1">
        <v>95</v>
      </c>
      <c r="S180" s="1">
        <v>77</v>
      </c>
      <c r="T180" s="1">
        <v>0</v>
      </c>
      <c r="U180" s="1">
        <f>Games[[#This Row],[PointsFor]]-Games[[#This Row],[PointsAgainst]]</f>
        <v>18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0.45290365155697293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73.45</v>
      </c>
      <c r="Z180" s="4">
        <f>Games[[#This Row],[K]]*Games[[#This Row],[POMult]]</f>
        <v>73.45</v>
      </c>
      <c r="AA180" s="4">
        <f>(Games[[#This Row],[Keff]]*Games[[#This Row],[MOVMult]])*(Games[[#This Row],[Result]]-Games[[#This Row],[ExpectedWin%]])</f>
        <v>8.6796598917273524</v>
      </c>
      <c r="AB180" s="4">
        <f>Games[[#This Row],[PreGmRate]]+Games[[#This Row],[RatingChange]]</f>
        <v>1581.1391898422664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43280</v>
      </c>
      <c r="B181" s="2">
        <v>2018</v>
      </c>
      <c r="C181" s="2">
        <f>COUNTIFS(Games[Team],Games[[#This Row],[Team]],Games[Season],Games[[#This Row],[Season]],Games[Date],"&lt;=" &amp; Games[[#This Row],[Date]])</f>
        <v>16</v>
      </c>
      <c r="D181" s="2" t="s">
        <v>79</v>
      </c>
      <c r="E181" s="2" t="s">
        <v>80</v>
      </c>
      <c r="F181" s="1" t="s">
        <v>69</v>
      </c>
      <c r="G181" s="1" t="s">
        <v>40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1323.5846615414932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1572.459529950539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0.26091862761625328</v>
      </c>
      <c r="R181" s="1">
        <v>77</v>
      </c>
      <c r="S181" s="1">
        <v>95</v>
      </c>
      <c r="T181" s="1">
        <v>0</v>
      </c>
      <c r="U181" s="1">
        <f>Games[[#This Row],[PointsFor]]-Games[[#This Row],[PointsAgainst]]</f>
        <v>-18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0.45290365155697293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73.599999999999994</v>
      </c>
      <c r="Z181" s="4">
        <f>Games[[#This Row],[K]]*Games[[#This Row],[POMult]]</f>
        <v>73.599999999999994</v>
      </c>
      <c r="AA181" s="4">
        <f>(Games[[#This Row],[Keff]]*Games[[#This Row],[MOVMult]])*(Games[[#This Row],[Result]]-Games[[#This Row],[ExpectedWin%]])</f>
        <v>-8.6973855416083463</v>
      </c>
      <c r="AB181" s="4">
        <f>Games[[#This Row],[PreGmRate]]+Games[[#This Row],[RatingChange]]</f>
        <v>1314.8872759998849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43280</v>
      </c>
      <c r="B182" s="2">
        <v>2018</v>
      </c>
      <c r="C182" s="2">
        <f>COUNTIFS(Games[Team],Games[[#This Row],[Team]],Games[Season],Games[[#This Row],[Season]],Games[Date],"&lt;=" &amp; Games[[#This Row],[Date]])</f>
        <v>16</v>
      </c>
      <c r="D182" s="2" t="s">
        <v>79</v>
      </c>
      <c r="E182" s="2" t="s">
        <v>80</v>
      </c>
      <c r="F182" s="1" t="s">
        <v>63</v>
      </c>
      <c r="G182" s="1" t="s">
        <v>86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1609.1217775643847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1407.526078900004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0.64217845620732517</v>
      </c>
      <c r="R182" s="1">
        <v>78</v>
      </c>
      <c r="S182" s="1">
        <v>94</v>
      </c>
      <c r="T182" s="1">
        <v>0</v>
      </c>
      <c r="U182" s="1">
        <f>Games[[#This Row],[PointsFor]]-Games[[#This Row],[PointsAgainst]]</f>
        <v>-16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0.44331131961104719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-20.9528144431432</v>
      </c>
      <c r="AB182" s="4">
        <f>Games[[#This Row],[PreGmRate]]+Games[[#This Row],[RatingChange]]</f>
        <v>1588.1689631212416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43280</v>
      </c>
      <c r="B183" s="2">
        <v>2018</v>
      </c>
      <c r="C183" s="2">
        <f>COUNTIFS(Games[Team],Games[[#This Row],[Team]],Games[Season],Games[[#This Row],[Season]],Games[Date],"&lt;=" &amp; Games[[#This Row],[Date]])</f>
        <v>17</v>
      </c>
      <c r="D183" s="2" t="s">
        <v>79</v>
      </c>
      <c r="E183" s="2" t="s">
        <v>80</v>
      </c>
      <c r="F183" s="1" t="s">
        <v>86</v>
      </c>
      <c r="G183" s="1" t="s">
        <v>63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1407.526078900004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1609.1217775643847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0.35782154379267478</v>
      </c>
      <c r="R183" s="1">
        <v>94</v>
      </c>
      <c r="S183" s="1">
        <v>78</v>
      </c>
      <c r="T183" s="1">
        <v>0</v>
      </c>
      <c r="U183" s="1">
        <f>Games[[#This Row],[PointsFor]]-Games[[#This Row],[PointsAgainst]]</f>
        <v>16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0.44331131961104719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73.45</v>
      </c>
      <c r="Z183" s="4">
        <f>Games[[#This Row],[K]]*Games[[#This Row],[POMult]]</f>
        <v>73.45</v>
      </c>
      <c r="AA183" s="4">
        <f>(Games[[#This Row],[Keff]]*Games[[#This Row],[MOVMult]])*(Games[[#This Row],[Result]]-Games[[#This Row],[ExpectedWin%]])</f>
        <v>20.910111696316147</v>
      </c>
      <c r="AB183" s="4">
        <f>Games[[#This Row],[PreGmRate]]+Games[[#This Row],[RatingChange]]</f>
        <v>1428.4361905963201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43280</v>
      </c>
      <c r="B184" s="2">
        <v>2018</v>
      </c>
      <c r="C184" s="2">
        <f>COUNTIFS(Games[Team],Games[[#This Row],[Team]],Games[Season],Games[[#This Row],[Season]],Games[Date],"&lt;=" &amp; Games[[#This Row],[Date]])</f>
        <v>15</v>
      </c>
      <c r="D184" s="2" t="s">
        <v>79</v>
      </c>
      <c r="E184" s="2" t="s">
        <v>80</v>
      </c>
      <c r="F184" s="1" t="s">
        <v>77</v>
      </c>
      <c r="G184" s="1" t="s">
        <v>67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4" s="2">
        <f>Games[[#This Row],[DaysOff]]-Games[[#This Row],[OppDaysOff]]</f>
        <v>-1</v>
      </c>
      <c r="L184" s="2">
        <f>Games[[#This Row],[OppDaysOff]]-Games[[#This Row],[DaysOff]]</f>
        <v>1</v>
      </c>
      <c r="M184" s="1">
        <f>MAX(-16, MIN(16, Games[[#This Row],[RestDiff]]*8))</f>
        <v>-8</v>
      </c>
      <c r="N184" s="1">
        <f>MAX(-16, MIN(16, Games[[#This Row],[OppRestDiff]]*8))</f>
        <v>8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1434.7444474980948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1633.4996252425306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0.15190039896843183</v>
      </c>
      <c r="R184" s="1">
        <v>74</v>
      </c>
      <c r="S184" s="1">
        <v>85</v>
      </c>
      <c r="T184" s="1">
        <v>0</v>
      </c>
      <c r="U184" s="1">
        <f>Games[[#This Row],[PointsFor]]-Games[[#This Row],[PointsAgainst]]</f>
        <v>-11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0.37733777340525543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73.75</v>
      </c>
      <c r="Z184" s="4">
        <f>Games[[#This Row],[K]]*Games[[#This Row],[POMult]]</f>
        <v>73.75</v>
      </c>
      <c r="AA184" s="4">
        <f>(Games[[#This Row],[Keff]]*Games[[#This Row],[MOVMult]])*(Games[[#This Row],[Result]]-Games[[#This Row],[ExpectedWin%]])</f>
        <v>-4.2271846765512047</v>
      </c>
      <c r="AB184" s="4">
        <f>Games[[#This Row],[PreGmRate]]+Games[[#This Row],[RatingChange]]</f>
        <v>1430.5172628215437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43280</v>
      </c>
      <c r="B185" s="2">
        <v>2018</v>
      </c>
      <c r="C185" s="2">
        <f>COUNTIFS(Games[Team],Games[[#This Row],[Team]],Games[Season],Games[[#This Row],[Season]],Games[Date],"&lt;=" &amp; Games[[#This Row],[Date]])</f>
        <v>15</v>
      </c>
      <c r="D185" s="2" t="s">
        <v>79</v>
      </c>
      <c r="E185" s="2" t="s">
        <v>80</v>
      </c>
      <c r="F185" s="1" t="s">
        <v>67</v>
      </c>
      <c r="G185" s="1" t="s">
        <v>77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1</v>
      </c>
      <c r="L185" s="2">
        <f>Games[[#This Row],[OppDaysOff]]-Games[[#This Row],[DaysOff]]</f>
        <v>-1</v>
      </c>
      <c r="M185" s="1">
        <f>MAX(-16, MIN(16, Games[[#This Row],[RestDiff]]*8))</f>
        <v>8</v>
      </c>
      <c r="N185" s="1">
        <f>MAX(-16, MIN(16, Games[[#This Row],[OppRestDiff]]*8))</f>
        <v>-8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1633.4996252425306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1434.7444474980948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0.84809960103156812</v>
      </c>
      <c r="R185" s="1">
        <v>85</v>
      </c>
      <c r="S185" s="1">
        <v>74</v>
      </c>
      <c r="T185" s="1">
        <v>0</v>
      </c>
      <c r="U185" s="1">
        <f>Games[[#This Row],[PointsFor]]-Games[[#This Row],[PointsAgainst]]</f>
        <v>11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0.37733777340525543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4.2271846765512056</v>
      </c>
      <c r="AB185" s="4">
        <f>Games[[#This Row],[PreGmRate]]+Games[[#This Row],[RatingChange]]</f>
        <v>1637.7268099190817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43280</v>
      </c>
      <c r="B186" s="2">
        <v>2018</v>
      </c>
      <c r="C186" s="2">
        <f>COUNTIFS(Games[Team],Games[[#This Row],[Team]],Games[Season],Games[[#This Row],[Season]],Games[Date],"&lt;=" &amp; Games[[#This Row],[Date]])</f>
        <v>15</v>
      </c>
      <c r="D186" s="2" t="s">
        <v>79</v>
      </c>
      <c r="E186" s="2" t="s">
        <v>80</v>
      </c>
      <c r="F186" s="1" t="s">
        <v>75</v>
      </c>
      <c r="G186" s="1" t="s">
        <v>60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1408.071045712825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1439.4169078897139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0.36080296421097779</v>
      </c>
      <c r="R186" s="1">
        <v>103</v>
      </c>
      <c r="S186" s="1">
        <v>99</v>
      </c>
      <c r="T186" s="1">
        <v>0</v>
      </c>
      <c r="U186" s="1">
        <f>Games[[#This Row],[PointsFor]]-Games[[#This Row],[PointsAgainst]]</f>
        <v>4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0.30350472061842898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14.307449685336541</v>
      </c>
      <c r="AB186" s="4">
        <f>Games[[#This Row],[PreGmRate]]+Games[[#This Row],[RatingChange]]</f>
        <v>1422.3784953981615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43280</v>
      </c>
      <c r="B187" s="2">
        <v>2018</v>
      </c>
      <c r="C187" s="2">
        <f>COUNTIFS(Games[Team],Games[[#This Row],[Team]],Games[Season],Games[[#This Row],[Season]],Games[Date],"&lt;=" &amp; Games[[#This Row],[Date]])</f>
        <v>15</v>
      </c>
      <c r="D187" s="2" t="s">
        <v>79</v>
      </c>
      <c r="E187" s="2" t="s">
        <v>80</v>
      </c>
      <c r="F187" s="1" t="s">
        <v>60</v>
      </c>
      <c r="G187" s="1" t="s">
        <v>75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1439.4169078897139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1408.071045712825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0.63919703578902221</v>
      </c>
      <c r="R187" s="1">
        <v>99</v>
      </c>
      <c r="S187" s="1">
        <v>103</v>
      </c>
      <c r="T187" s="1">
        <v>0</v>
      </c>
      <c r="U187" s="1">
        <f>Games[[#This Row],[PointsFor]]-Games[[#This Row],[PointsAgainst]]</f>
        <v>-4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0.30350472061842898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-14.307449685336541</v>
      </c>
      <c r="AB187" s="4">
        <f>Games[[#This Row],[PreGmRate]]+Games[[#This Row],[RatingChange]]</f>
        <v>1425.1094582043775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43281</v>
      </c>
      <c r="B188" s="2">
        <v>2018</v>
      </c>
      <c r="C188" s="2">
        <f>COUNTIFS(Games[Team],Games[[#This Row],[Team]],Games[Season],Games[[#This Row],[Season]],Games[Date],"&lt;=" &amp; Games[[#This Row],[Date]])</f>
        <v>18</v>
      </c>
      <c r="D188" s="2" t="s">
        <v>79</v>
      </c>
      <c r="E188" s="2" t="s">
        <v>80</v>
      </c>
      <c r="F188" s="1" t="s">
        <v>40</v>
      </c>
      <c r="G188" s="1" t="s">
        <v>65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1581.1391898422664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1537.3651597885016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0.41978337991638393</v>
      </c>
      <c r="R188" s="1">
        <v>84</v>
      </c>
      <c r="S188" s="1">
        <v>74</v>
      </c>
      <c r="T188" s="1">
        <v>0</v>
      </c>
      <c r="U188" s="1">
        <f>Games[[#This Row],[PointsFor]]-Games[[#This Row],[PointsAgainst]]</f>
        <v>10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0.40823785264015516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73.3</v>
      </c>
      <c r="Z188" s="4">
        <f>Games[[#This Row],[K]]*Games[[#This Row],[POMult]]</f>
        <v>73.3</v>
      </c>
      <c r="AA188" s="4">
        <f>(Games[[#This Row],[Keff]]*Games[[#This Row],[MOVMult]])*(Games[[#This Row],[Result]]-Games[[#This Row],[ExpectedWin%]])</f>
        <v>17.362306170696399</v>
      </c>
      <c r="AB188" s="4">
        <f>Games[[#This Row],[PreGmRate]]+Games[[#This Row],[RatingChange]]</f>
        <v>1598.5014960129629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43281</v>
      </c>
      <c r="B189" s="2">
        <v>2018</v>
      </c>
      <c r="C189" s="2">
        <f>COUNTIFS(Games[Team],Games[[#This Row],[Team]],Games[Season],Games[[#This Row],[Season]],Games[Date],"&lt;=" &amp; Games[[#This Row],[Date]])</f>
        <v>16</v>
      </c>
      <c r="D189" s="2" t="s">
        <v>79</v>
      </c>
      <c r="E189" s="2" t="s">
        <v>80</v>
      </c>
      <c r="F189" s="1" t="s">
        <v>65</v>
      </c>
      <c r="G189" s="1" t="s">
        <v>40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1537.3651597885016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1581.1391898422664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0.58021662008361607</v>
      </c>
      <c r="R189" s="1">
        <v>74</v>
      </c>
      <c r="S189" s="1">
        <v>84</v>
      </c>
      <c r="T189" s="1">
        <v>0</v>
      </c>
      <c r="U189" s="1">
        <f>Games[[#This Row],[PointsFor]]-Games[[#This Row],[PointsAgainst]]</f>
        <v>-10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0.40823785264015516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-17.43336608681112</v>
      </c>
      <c r="AB189" s="4">
        <f>Games[[#This Row],[PreGmRate]]+Games[[#This Row],[RatingChange]]</f>
        <v>1519.9317937016906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43282</v>
      </c>
      <c r="B190" s="2">
        <v>2018</v>
      </c>
      <c r="C190" s="2">
        <f>COUNTIFS(Games[Team],Games[[#This Row],[Team]],Games[Season],Games[[#This Row],[Season]],Games[Date],"&lt;=" &amp; Games[[#This Row],[Date]])</f>
        <v>16</v>
      </c>
      <c r="D190" s="2" t="s">
        <v>79</v>
      </c>
      <c r="E190" s="2" t="s">
        <v>80</v>
      </c>
      <c r="F190" s="1" t="s">
        <v>60</v>
      </c>
      <c r="G190" s="1" t="s">
        <v>75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1425.1094582043775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1422.3784953981615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0.38513183282572971</v>
      </c>
      <c r="R190" s="1">
        <v>97</v>
      </c>
      <c r="S190" s="1">
        <v>94</v>
      </c>
      <c r="T190" s="1">
        <v>1</v>
      </c>
      <c r="U190" s="1">
        <f>Games[[#This Row],[PointsFor]]-Games[[#This Row],[PointsAgainst]]</f>
        <v>3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0.26057215826171376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11.792009867012954</v>
      </c>
      <c r="AB190" s="4">
        <f>Games[[#This Row],[PreGmRate]]+Games[[#This Row],[RatingChange]]</f>
        <v>1436.9014680713904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43282</v>
      </c>
      <c r="B191" s="2">
        <v>2018</v>
      </c>
      <c r="C191" s="2">
        <f>COUNTIFS(Games[Team],Games[[#This Row],[Team]],Games[Season],Games[[#This Row],[Season]],Games[Date],"&lt;=" &amp; Games[[#This Row],[Date]])</f>
        <v>16</v>
      </c>
      <c r="D191" s="2" t="s">
        <v>79</v>
      </c>
      <c r="E191" s="2" t="s">
        <v>80</v>
      </c>
      <c r="F191" s="1" t="s">
        <v>75</v>
      </c>
      <c r="G191" s="1" t="s">
        <v>60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1422.3784953981615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1425.1094582043775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0.61486816717427029</v>
      </c>
      <c r="R191" s="1">
        <v>94</v>
      </c>
      <c r="S191" s="1">
        <v>97</v>
      </c>
      <c r="T191" s="1">
        <v>1</v>
      </c>
      <c r="U191" s="1">
        <f>Games[[#This Row],[PointsFor]]-Games[[#This Row],[PointsAgainst]]</f>
        <v>-3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0.26057215826171376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-11.792009867012954</v>
      </c>
      <c r="AB191" s="4">
        <f>Games[[#This Row],[PreGmRate]]+Games[[#This Row],[RatingChange]]</f>
        <v>1410.5864855311486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43282</v>
      </c>
      <c r="B192" s="2">
        <v>2018</v>
      </c>
      <c r="C192" s="2">
        <f>COUNTIFS(Games[Team],Games[[#This Row],[Team]],Games[Season],Games[[#This Row],[Season]],Games[Date],"&lt;=" &amp; Games[[#This Row],[Date]])</f>
        <v>16</v>
      </c>
      <c r="D192" s="2" t="s">
        <v>79</v>
      </c>
      <c r="E192" s="2" t="s">
        <v>80</v>
      </c>
      <c r="F192" s="1" t="s">
        <v>67</v>
      </c>
      <c r="G192" s="1" t="s">
        <v>85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2" s="2">
        <f>Games[[#This Row],[DaysOff]]-Games[[#This Row],[OppDaysOff]]</f>
        <v>-2</v>
      </c>
      <c r="L192" s="2">
        <f>Games[[#This Row],[OppDaysOff]]-Games[[#This Row],[DaysOff]]</f>
        <v>2</v>
      </c>
      <c r="M192" s="1">
        <f>MAX(-16, MIN(16, Games[[#This Row],[RestDiff]]*8))</f>
        <v>-16</v>
      </c>
      <c r="N192" s="1">
        <f>MAX(-16, MIN(16, Games[[#This Row],[OppRestDiff]]*8))</f>
        <v>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1637.7268099190817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1502.0051098740216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0.52835136398544669</v>
      </c>
      <c r="R192" s="1">
        <v>76</v>
      </c>
      <c r="S192" s="1">
        <v>72</v>
      </c>
      <c r="T192" s="1">
        <v>0</v>
      </c>
      <c r="U192" s="1">
        <f>Games[[#This Row],[PointsFor]]-Games[[#This Row],[PointsAgainst]]</f>
        <v>4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0.27978828364624753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9.7123857092989709</v>
      </c>
      <c r="AB192" s="4">
        <f>Games[[#This Row],[PreGmRate]]+Games[[#This Row],[RatingChange]]</f>
        <v>1647.4391956283807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43282</v>
      </c>
      <c r="B193" s="2">
        <v>2018</v>
      </c>
      <c r="C193" s="2">
        <f>COUNTIFS(Games[Team],Games[[#This Row],[Team]],Games[Season],Games[[#This Row],[Season]],Games[Date],"&lt;=" &amp; Games[[#This Row],[Date]])</f>
        <v>15</v>
      </c>
      <c r="D193" s="2" t="s">
        <v>79</v>
      </c>
      <c r="E193" s="2" t="s">
        <v>80</v>
      </c>
      <c r="F193" s="1" t="s">
        <v>85</v>
      </c>
      <c r="G193" s="1" t="s">
        <v>67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2</v>
      </c>
      <c r="L193" s="2">
        <f>Games[[#This Row],[OppDaysOff]]-Games[[#This Row],[DaysOff]]</f>
        <v>-2</v>
      </c>
      <c r="M193" s="1">
        <f>MAX(-16, MIN(16, Games[[#This Row],[RestDiff]]*8))</f>
        <v>16</v>
      </c>
      <c r="N193" s="1">
        <f>MAX(-16, MIN(16, Games[[#This Row],[OppRestDiff]]*8))</f>
        <v>-16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1502.0051098740216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1637.7268099190817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0.47164863601455331</v>
      </c>
      <c r="R193" s="1">
        <v>72</v>
      </c>
      <c r="S193" s="1">
        <v>76</v>
      </c>
      <c r="T193" s="1">
        <v>0</v>
      </c>
      <c r="U193" s="1">
        <f>Games[[#This Row],[PointsFor]]-Games[[#This Row],[PointsAgainst]]</f>
        <v>-4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0.27978828364624753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73.75</v>
      </c>
      <c r="Z193" s="4">
        <f>Games[[#This Row],[K]]*Games[[#This Row],[POMult]]</f>
        <v>73.75</v>
      </c>
      <c r="AA193" s="4">
        <f>(Games[[#This Row],[Keff]]*Games[[#This Row],[MOVMult]])*(Games[[#This Row],[Result]]-Games[[#This Row],[ExpectedWin%]])</f>
        <v>-9.7321799736521637</v>
      </c>
      <c r="AB193" s="4">
        <f>Games[[#This Row],[PreGmRate]]+Games[[#This Row],[RatingChange]]</f>
        <v>1492.2729299003695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43282</v>
      </c>
      <c r="B194" s="2">
        <v>2018</v>
      </c>
      <c r="C194" s="2">
        <f>COUNTIFS(Games[Team],Games[[#This Row],[Team]],Games[Season],Games[[#This Row],[Season]],Games[Date],"&lt;=" &amp; Games[[#This Row],[Date]])</f>
        <v>16</v>
      </c>
      <c r="D194" s="2" t="s">
        <v>79</v>
      </c>
      <c r="E194" s="2" t="s">
        <v>80</v>
      </c>
      <c r="F194" s="1" t="s">
        <v>77</v>
      </c>
      <c r="G194" s="1" t="s">
        <v>69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1430.5172628215437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1314.8872759998849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0.54539387128587125</v>
      </c>
      <c r="R194" s="1">
        <v>87</v>
      </c>
      <c r="S194" s="1">
        <v>83</v>
      </c>
      <c r="T194" s="1">
        <v>0</v>
      </c>
      <c r="U194" s="1">
        <f>Games[[#This Row],[PointsFor]]-Games[[#This Row],[PointsAgainst]]</f>
        <v>4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0.28406108528089896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73.599999999999994</v>
      </c>
      <c r="Z194" s="4">
        <f>Games[[#This Row],[K]]*Games[[#This Row],[POMult]]</f>
        <v>73.599999999999994</v>
      </c>
      <c r="AA194" s="4">
        <f>(Games[[#This Row],[Keff]]*Games[[#This Row],[MOVMult]])*(Games[[#This Row],[Result]]-Games[[#This Row],[ExpectedWin%]])</f>
        <v>9.5044029979242222</v>
      </c>
      <c r="AB194" s="4">
        <f>Games[[#This Row],[PreGmRate]]+Games[[#This Row],[RatingChange]]</f>
        <v>1440.0216658194679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43282</v>
      </c>
      <c r="B195" s="2">
        <v>2018</v>
      </c>
      <c r="C195" s="2">
        <f>COUNTIFS(Games[Team],Games[[#This Row],[Team]],Games[Season],Games[[#This Row],[Season]],Games[Date],"&lt;=" &amp; Games[[#This Row],[Date]])</f>
        <v>17</v>
      </c>
      <c r="D195" s="2" t="s">
        <v>79</v>
      </c>
      <c r="E195" s="2" t="s">
        <v>80</v>
      </c>
      <c r="F195" s="1" t="s">
        <v>69</v>
      </c>
      <c r="G195" s="1" t="s">
        <v>77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1314.8872759998849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1430.5172628215437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0.45460612871412887</v>
      </c>
      <c r="R195" s="1">
        <v>83</v>
      </c>
      <c r="S195" s="1">
        <v>87</v>
      </c>
      <c r="T195" s="1">
        <v>0</v>
      </c>
      <c r="U195" s="1">
        <f>Games[[#This Row],[PointsFor]]-Games[[#This Row],[PointsAgainst]]</f>
        <v>-4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0.28406108528089896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-9.4850326113795429</v>
      </c>
      <c r="AB195" s="4">
        <f>Games[[#This Row],[PreGmRate]]+Games[[#This Row],[RatingChange]]</f>
        <v>1305.4022433885054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43282</v>
      </c>
      <c r="B196" s="2">
        <v>2018</v>
      </c>
      <c r="C196" s="2">
        <f>COUNTIFS(Games[Team],Games[[#This Row],[Team]],Games[Season],Games[[#This Row],[Season]],Games[Date],"&lt;=" &amp; Games[[#This Row],[Date]])</f>
        <v>18</v>
      </c>
      <c r="D196" s="2" t="s">
        <v>79</v>
      </c>
      <c r="E196" s="2" t="s">
        <v>80</v>
      </c>
      <c r="F196" s="1" t="s">
        <v>86</v>
      </c>
      <c r="G196" s="1" t="s">
        <v>63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1428.4361905963201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1588.1689631212416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0.19733437078025767</v>
      </c>
      <c r="R196" s="1">
        <v>71</v>
      </c>
      <c r="S196" s="1">
        <v>87</v>
      </c>
      <c r="T196" s="1">
        <v>0</v>
      </c>
      <c r="U196" s="1">
        <f>Games[[#This Row],[PointsFor]]-Games[[#This Row],[PointsAgainst]]</f>
        <v>-16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0.45695981687805215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73.3</v>
      </c>
      <c r="Z196" s="4">
        <f>Games[[#This Row],[K]]*Games[[#This Row],[POMult]]</f>
        <v>73.3</v>
      </c>
      <c r="AA196" s="4">
        <f>(Games[[#This Row],[Keff]]*Games[[#This Row],[MOVMult]])*(Games[[#This Row],[Result]]-Games[[#This Row],[ExpectedWin%]])</f>
        <v>-6.6097452526715781</v>
      </c>
      <c r="AB196" s="4">
        <f>Games[[#This Row],[PreGmRate]]+Games[[#This Row],[RatingChange]]</f>
        <v>1421.8264453436486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43282</v>
      </c>
      <c r="B197" s="2">
        <v>2018</v>
      </c>
      <c r="C197" s="2">
        <f>COUNTIFS(Games[Team],Games[[#This Row],[Team]],Games[Season],Games[[#This Row],[Season]],Games[Date],"&lt;=" &amp; Games[[#This Row],[Date]])</f>
        <v>17</v>
      </c>
      <c r="D197" s="2" t="s">
        <v>79</v>
      </c>
      <c r="E197" s="2" t="s">
        <v>80</v>
      </c>
      <c r="F197" s="1" t="s">
        <v>63</v>
      </c>
      <c r="G197" s="1" t="s">
        <v>86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1588.1689631212416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1428.4361905963201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0.80266562921974227</v>
      </c>
      <c r="R197" s="1">
        <v>87</v>
      </c>
      <c r="S197" s="1">
        <v>71</v>
      </c>
      <c r="T197" s="1">
        <v>0</v>
      </c>
      <c r="U197" s="1">
        <f>Games[[#This Row],[PointsFor]]-Games[[#This Row],[PointsAgainst]]</f>
        <v>16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0.45695981687805215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6.6232713343619034</v>
      </c>
      <c r="AB197" s="4">
        <f>Games[[#This Row],[PreGmRate]]+Games[[#This Row],[RatingChange]]</f>
        <v>1594.7922344556036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43282</v>
      </c>
      <c r="B198" s="2">
        <v>2018</v>
      </c>
      <c r="C198" s="2">
        <f>COUNTIFS(Games[Team],Games[[#This Row],[Team]],Games[Season],Games[[#This Row],[Season]],Games[Date],"&lt;=" &amp; Games[[#This Row],[Date]])</f>
        <v>16</v>
      </c>
      <c r="D198" s="2" t="s">
        <v>79</v>
      </c>
      <c r="E198" s="2" t="s">
        <v>80</v>
      </c>
      <c r="F198" s="1" t="s">
        <v>74</v>
      </c>
      <c r="G198" s="1" t="s">
        <v>71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1</v>
      </c>
      <c r="L198" s="2">
        <f>Games[[#This Row],[OppDaysOff]]-Games[[#This Row],[DaysOff]]</f>
        <v>-1</v>
      </c>
      <c r="M198" s="1">
        <f>MAX(-16, MIN(16, Games[[#This Row],[RestDiff]]*8))</f>
        <v>8</v>
      </c>
      <c r="N198" s="1">
        <f>MAX(-16, MIN(16, Games[[#This Row],[OppRestDiff]]*8))</f>
        <v>-8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1558.7740475093242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1573.5876078800441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0.38302856111820283</v>
      </c>
      <c r="R198" s="1">
        <v>70</v>
      </c>
      <c r="S198" s="1">
        <v>84</v>
      </c>
      <c r="T198" s="1">
        <v>0</v>
      </c>
      <c r="U198" s="1">
        <f>Games[[#This Row],[PointsFor]]-Games[[#This Row],[PointsAgainst]]</f>
        <v>-14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0.48166216062188161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-13.578490814546983</v>
      </c>
      <c r="AB198" s="4">
        <f>Games[[#This Row],[PreGmRate]]+Games[[#This Row],[RatingChange]]</f>
        <v>1545.1955566947772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43282</v>
      </c>
      <c r="B199" s="2">
        <v>2018</v>
      </c>
      <c r="C199" s="2">
        <f>COUNTIFS(Games[Team],Games[[#This Row],[Team]],Games[Season],Games[[#This Row],[Season]],Games[Date],"&lt;=" &amp; Games[[#This Row],[Date]])</f>
        <v>17</v>
      </c>
      <c r="D199" s="2" t="s">
        <v>79</v>
      </c>
      <c r="E199" s="2" t="s">
        <v>80</v>
      </c>
      <c r="F199" s="1" t="s">
        <v>71</v>
      </c>
      <c r="G199" s="1" t="s">
        <v>74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9" s="2">
        <f>Games[[#This Row],[DaysOff]]-Games[[#This Row],[OppDaysOff]]</f>
        <v>-1</v>
      </c>
      <c r="L199" s="2">
        <f>Games[[#This Row],[OppDaysOff]]-Games[[#This Row],[DaysOff]]</f>
        <v>1</v>
      </c>
      <c r="M199" s="1">
        <f>MAX(-16, MIN(16, Games[[#This Row],[RestDiff]]*8))</f>
        <v>-8</v>
      </c>
      <c r="N199" s="1">
        <f>MAX(-16, MIN(16, Games[[#This Row],[OppRestDiff]]*8))</f>
        <v>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1573.5876078800441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1558.7740475093242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0.61697143888179717</v>
      </c>
      <c r="R199" s="1">
        <v>84</v>
      </c>
      <c r="S199" s="1">
        <v>70</v>
      </c>
      <c r="T199" s="1">
        <v>0</v>
      </c>
      <c r="U199" s="1">
        <f>Games[[#This Row],[PointsFor]]-Games[[#This Row],[PointsAgainst]]</f>
        <v>14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0.48166216062188161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73.45</v>
      </c>
      <c r="Z199" s="4">
        <f>Games[[#This Row],[K]]*Games[[#This Row],[POMult]]</f>
        <v>73.45</v>
      </c>
      <c r="AA199" s="4">
        <f>(Games[[#This Row],[Keff]]*Games[[#This Row],[MOVMult]])*(Games[[#This Row],[Result]]-Games[[#This Row],[ExpectedWin%]])</f>
        <v>13.550817259897771</v>
      </c>
      <c r="AB199" s="4">
        <f>Games[[#This Row],[PreGmRate]]+Games[[#This Row],[RatingChange]]</f>
        <v>1587.1384251399418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43284</v>
      </c>
      <c r="B200" s="2">
        <v>2018</v>
      </c>
      <c r="C200" s="2">
        <f>COUNTIFS(Games[Team],Games[[#This Row],[Team]],Games[Season],Games[[#This Row],[Season]],Games[Date],"&lt;=" &amp; Games[[#This Row],[Date]])</f>
        <v>17</v>
      </c>
      <c r="D200" s="2" t="s">
        <v>79</v>
      </c>
      <c r="E200" s="2" t="s">
        <v>80</v>
      </c>
      <c r="F200" s="1" t="s">
        <v>75</v>
      </c>
      <c r="G200" s="1" t="s">
        <v>85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1410.5864855311486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1492.2729299003695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0.27812771012205179</v>
      </c>
      <c r="R200" s="1">
        <v>85</v>
      </c>
      <c r="S200" s="1">
        <v>108</v>
      </c>
      <c r="T200" s="1">
        <v>0</v>
      </c>
      <c r="U200" s="1">
        <f>Games[[#This Row],[PointsFor]]-Games[[#This Row],[PointsAgainst]]</f>
        <v>-23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0.57612010044915984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-11.76925812733637</v>
      </c>
      <c r="AB200" s="4">
        <f>Games[[#This Row],[PreGmRate]]+Games[[#This Row],[RatingChange]]</f>
        <v>1398.8172274038122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43284</v>
      </c>
      <c r="B201" s="2">
        <v>2018</v>
      </c>
      <c r="C201" s="2">
        <f>COUNTIFS(Games[Team],Games[[#This Row],[Team]],Games[Season],Games[[#This Row],[Season]],Games[Date],"&lt;=" &amp; Games[[#This Row],[Date]])</f>
        <v>16</v>
      </c>
      <c r="D201" s="2" t="s">
        <v>79</v>
      </c>
      <c r="E201" s="2" t="s">
        <v>80</v>
      </c>
      <c r="F201" s="1" t="s">
        <v>85</v>
      </c>
      <c r="G201" s="1" t="s">
        <v>75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1492.2729299003695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1410.5864855311486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0.72187228987794827</v>
      </c>
      <c r="R201" s="1">
        <v>108</v>
      </c>
      <c r="S201" s="1">
        <v>85</v>
      </c>
      <c r="T201" s="1">
        <v>0</v>
      </c>
      <c r="U201" s="1">
        <f>Games[[#This Row],[PointsFor]]-Games[[#This Row],[PointsAgainst]]</f>
        <v>23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0.57612010044915984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11.793293371980347</v>
      </c>
      <c r="AB201" s="4">
        <f>Games[[#This Row],[PreGmRate]]+Games[[#This Row],[RatingChange]]</f>
        <v>1504.0662232723498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43284</v>
      </c>
      <c r="B202" s="2">
        <v>2018</v>
      </c>
      <c r="C202" s="2">
        <f>COUNTIFS(Games[Team],Games[[#This Row],[Team]],Games[Season],Games[[#This Row],[Season]],Games[Date],"&lt;=" &amp; Games[[#This Row],[Date]])</f>
        <v>17</v>
      </c>
      <c r="D202" s="2" t="s">
        <v>79</v>
      </c>
      <c r="E202" s="2" t="s">
        <v>80</v>
      </c>
      <c r="F202" s="1" t="s">
        <v>74</v>
      </c>
      <c r="G202" s="1" t="s">
        <v>63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1545.1955566947772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1594.7922344556036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0.3166858803271359</v>
      </c>
      <c r="R202" s="1">
        <v>73</v>
      </c>
      <c r="S202" s="1">
        <v>72</v>
      </c>
      <c r="T202" s="1">
        <v>0</v>
      </c>
      <c r="U202" s="1">
        <f>Games[[#This Row],[PointsFor]]-Games[[#This Row],[PointsAgainst]]</f>
        <v>1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0.23448814355317571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11.768824411884252</v>
      </c>
      <c r="AB202" s="4">
        <f>Games[[#This Row],[PreGmRate]]+Games[[#This Row],[RatingChange]]</f>
        <v>1556.9643811066614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43284</v>
      </c>
      <c r="B203" s="2">
        <v>2018</v>
      </c>
      <c r="C203" s="2">
        <f>COUNTIFS(Games[Team],Games[[#This Row],[Team]],Games[Season],Games[[#This Row],[Season]],Games[Date],"&lt;=" &amp; Games[[#This Row],[Date]])</f>
        <v>18</v>
      </c>
      <c r="D203" s="2" t="s">
        <v>79</v>
      </c>
      <c r="E203" s="2" t="s">
        <v>80</v>
      </c>
      <c r="F203" s="1" t="s">
        <v>63</v>
      </c>
      <c r="G203" s="1" t="s">
        <v>74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1594.7922344556036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1545.1955566947772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0.68331411967286404</v>
      </c>
      <c r="R203" s="1">
        <v>72</v>
      </c>
      <c r="S203" s="1">
        <v>73</v>
      </c>
      <c r="T203" s="1">
        <v>0</v>
      </c>
      <c r="U203" s="1">
        <f>Games[[#This Row],[PointsFor]]-Games[[#This Row],[PointsAgainst]]</f>
        <v>-1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0.23448814355317571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-11.744790052976386</v>
      </c>
      <c r="AB203" s="4">
        <f>Games[[#This Row],[PreGmRate]]+Games[[#This Row],[RatingChange]]</f>
        <v>1583.0474444026272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43284</v>
      </c>
      <c r="B204" s="2">
        <v>2018</v>
      </c>
      <c r="C204" s="2">
        <f>COUNTIFS(Games[Team],Games[[#This Row],[Team]],Games[Season],Games[[#This Row],[Season]],Games[Date],"&lt;=" &amp; Games[[#This Row],[Date]])</f>
        <v>18</v>
      </c>
      <c r="D204" s="2" t="s">
        <v>79</v>
      </c>
      <c r="E204" s="2" t="s">
        <v>80</v>
      </c>
      <c r="F204" s="1" t="s">
        <v>69</v>
      </c>
      <c r="G204" s="1" t="s">
        <v>67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1305.4022433885054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1647.4391956283807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7.9258414100836436E-2</v>
      </c>
      <c r="R204" s="1">
        <v>71</v>
      </c>
      <c r="S204" s="1">
        <v>59</v>
      </c>
      <c r="T204" s="1">
        <v>0</v>
      </c>
      <c r="U204" s="1">
        <f>Games[[#This Row],[PointsFor]]-Games[[#This Row],[PointsAgainst]]</f>
        <v>12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0.35495604103182588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23.956110370964868</v>
      </c>
      <c r="AB204" s="4">
        <f>Games[[#This Row],[PreGmRate]]+Games[[#This Row],[RatingChange]]</f>
        <v>1329.3583537594702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43284</v>
      </c>
      <c r="B205" s="2">
        <v>2018</v>
      </c>
      <c r="C205" s="2">
        <f>COUNTIFS(Games[Team],Games[[#This Row],[Team]],Games[Season],Games[[#This Row],[Season]],Games[Date],"&lt;=" &amp; Games[[#This Row],[Date]])</f>
        <v>17</v>
      </c>
      <c r="D205" s="2" t="s">
        <v>79</v>
      </c>
      <c r="E205" s="2" t="s">
        <v>80</v>
      </c>
      <c r="F205" s="1" t="s">
        <v>67</v>
      </c>
      <c r="G205" s="1" t="s">
        <v>69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1647.4391956283807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1305.4022433885054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0.92074158589916355</v>
      </c>
      <c r="R205" s="1">
        <v>59</v>
      </c>
      <c r="S205" s="1">
        <v>71</v>
      </c>
      <c r="T205" s="1">
        <v>0</v>
      </c>
      <c r="U205" s="1">
        <f>Games[[#This Row],[PointsFor]]-Games[[#This Row],[PointsAgainst]]</f>
        <v>-12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0.35495604103182588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73.45</v>
      </c>
      <c r="Z205" s="4">
        <f>Games[[#This Row],[K]]*Games[[#This Row],[POMult]]</f>
        <v>73.45</v>
      </c>
      <c r="AA205" s="4">
        <f>(Games[[#This Row],[Keff]]*Games[[#This Row],[MOVMult]])*(Games[[#This Row],[Result]]-Games[[#This Row],[ExpectedWin%]])</f>
        <v>-24.005133789186491</v>
      </c>
      <c r="AB205" s="4">
        <f>Games[[#This Row],[PreGmRate]]+Games[[#This Row],[RatingChange]]</f>
        <v>1623.4340618391943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43284</v>
      </c>
      <c r="B206" s="2">
        <v>2018</v>
      </c>
      <c r="C206" s="2">
        <f>COUNTIFS(Games[Team],Games[[#This Row],[Team]],Games[Season],Games[[#This Row],[Season]],Games[Date],"&lt;=" &amp; Games[[#This Row],[Date]])</f>
        <v>18</v>
      </c>
      <c r="D206" s="2" t="s">
        <v>79</v>
      </c>
      <c r="E206" s="2" t="s">
        <v>80</v>
      </c>
      <c r="F206" s="1" t="s">
        <v>71</v>
      </c>
      <c r="G206" s="1" t="s">
        <v>60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1587.1384251399418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1436.9014680713904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0.59418433615292332</v>
      </c>
      <c r="R206" s="1">
        <v>77</v>
      </c>
      <c r="S206" s="1">
        <v>62</v>
      </c>
      <c r="T206" s="1">
        <v>0</v>
      </c>
      <c r="U206" s="1">
        <f>Games[[#This Row],[PointsFor]]-Games[[#This Row],[PointsAgainst]]</f>
        <v>15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0.44689758378749567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73.3</v>
      </c>
      <c r="Z206" s="4">
        <f>Games[[#This Row],[K]]*Games[[#This Row],[POMult]]</f>
        <v>73.3</v>
      </c>
      <c r="AA206" s="4">
        <f>(Games[[#This Row],[Keff]]*Games[[#This Row],[MOVMult]])*(Games[[#This Row],[Result]]-Games[[#This Row],[ExpectedWin%]])</f>
        <v>13.293544305346444</v>
      </c>
      <c r="AB206" s="4">
        <f>Games[[#This Row],[PreGmRate]]+Games[[#This Row],[RatingChange]]</f>
        <v>1600.4319694452881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43284</v>
      </c>
      <c r="B207" s="2">
        <v>2018</v>
      </c>
      <c r="C207" s="2">
        <f>COUNTIFS(Games[Team],Games[[#This Row],[Team]],Games[Season],Games[[#This Row],[Season]],Games[Date],"&lt;=" &amp; Games[[#This Row],[Date]])</f>
        <v>17</v>
      </c>
      <c r="D207" s="2" t="s">
        <v>79</v>
      </c>
      <c r="E207" s="2" t="s">
        <v>80</v>
      </c>
      <c r="F207" s="1" t="s">
        <v>60</v>
      </c>
      <c r="G207" s="1" t="s">
        <v>71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1436.9014680713904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1587.1384251399418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0.40581566384707662</v>
      </c>
      <c r="R207" s="1">
        <v>62</v>
      </c>
      <c r="S207" s="1">
        <v>77</v>
      </c>
      <c r="T207" s="1">
        <v>0</v>
      </c>
      <c r="U207" s="1">
        <f>Games[[#This Row],[PointsFor]]-Games[[#This Row],[PointsAgainst]]</f>
        <v>-15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0.44689758378749567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-13.320748011291899</v>
      </c>
      <c r="AB207" s="4">
        <f>Games[[#This Row],[PreGmRate]]+Games[[#This Row],[RatingChange]]</f>
        <v>1423.5807200600984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43286</v>
      </c>
      <c r="B208" s="2">
        <v>2018</v>
      </c>
      <c r="C208" s="2">
        <f>COUNTIFS(Games[Team],Games[[#This Row],[Team]],Games[Season],Games[[#This Row],[Season]],Games[Date],"&lt;=" &amp; Games[[#This Row],[Date]])</f>
        <v>19</v>
      </c>
      <c r="D208" s="2" t="s">
        <v>79</v>
      </c>
      <c r="E208" s="2" t="s">
        <v>80</v>
      </c>
      <c r="F208" s="1" t="s">
        <v>69</v>
      </c>
      <c r="G208" s="1" t="s">
        <v>85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1329.3583537594702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1504.0662232723498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0.18403549487665083</v>
      </c>
      <c r="R208" s="1">
        <v>63</v>
      </c>
      <c r="S208" s="1">
        <v>90</v>
      </c>
      <c r="T208" s="1">
        <v>0</v>
      </c>
      <c r="U208" s="1">
        <f>Games[[#This Row],[PointsFor]]-Games[[#This Row],[PointsAgainst]]</f>
        <v>-27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0.58194182032541619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73.150000000000006</v>
      </c>
      <c r="Z208" s="4">
        <f>Games[[#This Row],[K]]*Games[[#This Row],[POMult]]</f>
        <v>73.150000000000006</v>
      </c>
      <c r="AA208" s="4">
        <f>(Games[[#This Row],[Keff]]*Games[[#This Row],[MOVMult]])*(Games[[#This Row],[Result]]-Games[[#This Row],[ExpectedWin%]])</f>
        <v>-7.8342151078234616</v>
      </c>
      <c r="AB208" s="4">
        <f>Games[[#This Row],[PreGmRate]]+Games[[#This Row],[RatingChange]]</f>
        <v>1321.5241386516468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43286</v>
      </c>
      <c r="B209" s="2">
        <v>2018</v>
      </c>
      <c r="C209" s="2">
        <f>COUNTIFS(Games[Team],Games[[#This Row],[Team]],Games[Season],Games[[#This Row],[Season]],Games[Date],"&lt;=" &amp; Games[[#This Row],[Date]])</f>
        <v>17</v>
      </c>
      <c r="D209" s="2" t="s">
        <v>79</v>
      </c>
      <c r="E209" s="2" t="s">
        <v>80</v>
      </c>
      <c r="F209" s="1" t="s">
        <v>85</v>
      </c>
      <c r="G209" s="1" t="s">
        <v>69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1504.0662232723498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1329.3583537594702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0.81596450512334906</v>
      </c>
      <c r="R209" s="1">
        <v>90</v>
      </c>
      <c r="S209" s="1">
        <v>63</v>
      </c>
      <c r="T209" s="1">
        <v>0</v>
      </c>
      <c r="U209" s="1">
        <f>Games[[#This Row],[PointsFor]]-Games[[#This Row],[PointsAgainst]]</f>
        <v>27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0.58194182032541619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7.8663444930913684</v>
      </c>
      <c r="AB209" s="4">
        <f>Games[[#This Row],[PreGmRate]]+Games[[#This Row],[RatingChange]]</f>
        <v>1511.9325677654413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43286</v>
      </c>
      <c r="B210" s="2">
        <v>2018</v>
      </c>
      <c r="C210" s="2">
        <f>COUNTIFS(Games[Team],Games[[#This Row],[Team]],Games[Season],Games[[#This Row],[Season]],Games[Date],"&lt;=" &amp; Games[[#This Row],[Date]])</f>
        <v>18</v>
      </c>
      <c r="D210" s="2" t="s">
        <v>79</v>
      </c>
      <c r="E210" s="2" t="s">
        <v>80</v>
      </c>
      <c r="F210" s="1" t="s">
        <v>75</v>
      </c>
      <c r="G210" s="1" t="s">
        <v>86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0" s="2">
        <f>Games[[#This Row],[DaysOff]]-Games[[#This Row],[OppDaysOff]]</f>
        <v>-2</v>
      </c>
      <c r="L210" s="2">
        <f>Games[[#This Row],[OppDaysOff]]-Games[[#This Row],[DaysOff]]</f>
        <v>2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1398.8172274038122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1421.8264453436486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0.30998244284195081</v>
      </c>
      <c r="R210" s="1">
        <v>80</v>
      </c>
      <c r="S210" s="1">
        <v>84</v>
      </c>
      <c r="T210" s="1">
        <v>0</v>
      </c>
      <c r="U210" s="1">
        <f>Games[[#This Row],[PointsFor]]-Games[[#This Row],[PointsAgainst]]</f>
        <v>-4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0.30557356101876876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-6.9431547722871185</v>
      </c>
      <c r="AB210" s="4">
        <f>Games[[#This Row],[PreGmRate]]+Games[[#This Row],[RatingChange]]</f>
        <v>1391.8740726315252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43286</v>
      </c>
      <c r="B211" s="2">
        <v>2018</v>
      </c>
      <c r="C211" s="2">
        <f>COUNTIFS(Games[Team],Games[[#This Row],[Team]],Games[Season],Games[[#This Row],[Season]],Games[Date],"&lt;=" &amp; Games[[#This Row],[Date]])</f>
        <v>19</v>
      </c>
      <c r="D211" s="2" t="s">
        <v>79</v>
      </c>
      <c r="E211" s="2" t="s">
        <v>80</v>
      </c>
      <c r="F211" s="1" t="s">
        <v>86</v>
      </c>
      <c r="G211" s="1" t="s">
        <v>75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2</v>
      </c>
      <c r="L211" s="2">
        <f>Games[[#This Row],[OppDaysOff]]-Games[[#This Row],[DaysOff]]</f>
        <v>-2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1421.8264453436486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1398.8172274038122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0.69001755715804924</v>
      </c>
      <c r="R211" s="1">
        <v>84</v>
      </c>
      <c r="S211" s="1">
        <v>80</v>
      </c>
      <c r="T211" s="1">
        <v>0</v>
      </c>
      <c r="U211" s="1">
        <f>Games[[#This Row],[PointsFor]]-Games[[#This Row],[PointsAgainst]]</f>
        <v>4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0.30557356101876876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73.150000000000006</v>
      </c>
      <c r="Z211" s="4">
        <f>Games[[#This Row],[K]]*Games[[#This Row],[POMult]]</f>
        <v>73.150000000000006</v>
      </c>
      <c r="AA211" s="4">
        <f>(Games[[#This Row],[Keff]]*Games[[#This Row],[MOVMult]])*(Games[[#This Row],[Result]]-Games[[#This Row],[ExpectedWin%]])</f>
        <v>6.9289464064502413</v>
      </c>
      <c r="AB211" s="4">
        <f>Games[[#This Row],[PreGmRate]]+Games[[#This Row],[RatingChange]]</f>
        <v>1428.7553917500989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43286</v>
      </c>
      <c r="B212" s="2">
        <v>2018</v>
      </c>
      <c r="C212" s="2">
        <f>COUNTIFS(Games[Team],Games[[#This Row],[Team]],Games[Season],Games[[#This Row],[Season]],Games[Date],"&lt;=" &amp; Games[[#This Row],[Date]])</f>
        <v>19</v>
      </c>
      <c r="D212" s="2" t="s">
        <v>79</v>
      </c>
      <c r="E212" s="2" t="s">
        <v>80</v>
      </c>
      <c r="F212" s="1" t="s">
        <v>63</v>
      </c>
      <c r="G212" s="1" t="s">
        <v>67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1583.0474444026272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1623.4340618391943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0.32826847978789514</v>
      </c>
      <c r="R212" s="1">
        <v>72</v>
      </c>
      <c r="S212" s="1">
        <v>83</v>
      </c>
      <c r="T212" s="1">
        <v>0</v>
      </c>
      <c r="U212" s="1">
        <f>Games[[#This Row],[PointsFor]]-Games[[#This Row],[PointsAgainst]]</f>
        <v>-11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0.42551504255982459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73.150000000000006</v>
      </c>
      <c r="Z212" s="4">
        <f>Games[[#This Row],[K]]*Games[[#This Row],[POMult]]</f>
        <v>73.150000000000006</v>
      </c>
      <c r="AA212" s="4">
        <f>(Games[[#This Row],[Keff]]*Games[[#This Row],[MOVMult]])*(Games[[#This Row],[Result]]-Games[[#This Row],[ExpectedWin%]])</f>
        <v>-10.217824335225844</v>
      </c>
      <c r="AB212" s="4">
        <f>Games[[#This Row],[PreGmRate]]+Games[[#This Row],[RatingChange]]</f>
        <v>1572.8296200674013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43286</v>
      </c>
      <c r="B213" s="2">
        <v>2018</v>
      </c>
      <c r="C213" s="2">
        <f>COUNTIFS(Games[Team],Games[[#This Row],[Team]],Games[Season],Games[[#This Row],[Season]],Games[Date],"&lt;=" &amp; Games[[#This Row],[Date]])</f>
        <v>18</v>
      </c>
      <c r="D213" s="2" t="s">
        <v>79</v>
      </c>
      <c r="E213" s="2" t="s">
        <v>80</v>
      </c>
      <c r="F213" s="1" t="s">
        <v>67</v>
      </c>
      <c r="G213" s="1" t="s">
        <v>63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1623.4340618391943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1583.0474444026272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0.6717315202121048</v>
      </c>
      <c r="R213" s="1">
        <v>83</v>
      </c>
      <c r="S213" s="1">
        <v>72</v>
      </c>
      <c r="T213" s="1">
        <v>0</v>
      </c>
      <c r="U213" s="1">
        <f>Games[[#This Row],[PointsFor]]-Games[[#This Row],[PointsAgainst]]</f>
        <v>11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0.42551504255982459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73.3</v>
      </c>
      <c r="Z213" s="4">
        <f>Games[[#This Row],[K]]*Games[[#This Row],[POMult]]</f>
        <v>73.3</v>
      </c>
      <c r="AA213" s="4">
        <f>(Games[[#This Row],[Keff]]*Games[[#This Row],[MOVMult]])*(Games[[#This Row],[Result]]-Games[[#This Row],[ExpectedWin%]])</f>
        <v>10.238776811648044</v>
      </c>
      <c r="AB213" s="4">
        <f>Games[[#This Row],[PreGmRate]]+Games[[#This Row],[RatingChange]]</f>
        <v>1633.6728386508423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43286</v>
      </c>
      <c r="B214" s="2">
        <v>2018</v>
      </c>
      <c r="C214" s="2">
        <f>COUNTIFS(Games[Team],Games[[#This Row],[Team]],Games[Season],Games[[#This Row],[Season]],Games[Date],"&lt;=" &amp; Games[[#This Row],[Date]])</f>
        <v>18</v>
      </c>
      <c r="D214" s="2" t="s">
        <v>79</v>
      </c>
      <c r="E214" s="2" t="s">
        <v>80</v>
      </c>
      <c r="F214" s="1" t="s">
        <v>74</v>
      </c>
      <c r="G214" s="1" t="s">
        <v>40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4" s="2">
        <f>Games[[#This Row],[DaysOff]]-Games[[#This Row],[OppDaysOff]]</f>
        <v>-3</v>
      </c>
      <c r="L214" s="2">
        <f>Games[[#This Row],[OppDaysOff]]-Games[[#This Row],[DaysOff]]</f>
        <v>3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1556.9643811066614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1598.5014960129629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0.28764351869965554</v>
      </c>
      <c r="R214" s="1">
        <v>77</v>
      </c>
      <c r="S214" s="1">
        <v>84</v>
      </c>
      <c r="T214" s="1">
        <v>0</v>
      </c>
      <c r="U214" s="1">
        <f>Games[[#This Row],[PointsFor]]-Games[[#This Row],[PointsAgainst]]</f>
        <v>-7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0.35772479263989004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-7.542366085340424</v>
      </c>
      <c r="AB214" s="4">
        <f>Games[[#This Row],[PreGmRate]]+Games[[#This Row],[RatingChange]]</f>
        <v>1549.4220150213209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43286</v>
      </c>
      <c r="B215" s="2">
        <v>2018</v>
      </c>
      <c r="C215" s="2">
        <f>COUNTIFS(Games[Team],Games[[#This Row],[Team]],Games[Season],Games[[#This Row],[Season]],Games[Date],"&lt;=" &amp; Games[[#This Row],[Date]])</f>
        <v>19</v>
      </c>
      <c r="D215" s="2" t="s">
        <v>79</v>
      </c>
      <c r="E215" s="2" t="s">
        <v>80</v>
      </c>
      <c r="F215" s="1" t="s">
        <v>40</v>
      </c>
      <c r="G215" s="1" t="s">
        <v>74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3</v>
      </c>
      <c r="L215" s="2">
        <f>Games[[#This Row],[OppDaysOff]]-Games[[#This Row],[DaysOff]]</f>
        <v>-3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1598.5014960129629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1556.9643811066614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0.71235648130034446</v>
      </c>
      <c r="R215" s="1">
        <v>84</v>
      </c>
      <c r="S215" s="1">
        <v>77</v>
      </c>
      <c r="T215" s="1">
        <v>0</v>
      </c>
      <c r="U215" s="1">
        <f>Games[[#This Row],[PointsFor]]-Games[[#This Row],[PointsAgainst]]</f>
        <v>7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0.35772479263989004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7.5269315026282682</v>
      </c>
      <c r="AB215" s="4">
        <f>Games[[#This Row],[PreGmRate]]+Games[[#This Row],[RatingChange]]</f>
        <v>1606.0284275155911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43286</v>
      </c>
      <c r="B216" s="2">
        <v>2018</v>
      </c>
      <c r="C216" s="2">
        <f>COUNTIFS(Games[Team],Games[[#This Row],[Team]],Games[Season],Games[[#This Row],[Season]],Games[Date],"&lt;=" &amp; Games[[#This Row],[Date]])</f>
        <v>18</v>
      </c>
      <c r="D216" s="2" t="s">
        <v>79</v>
      </c>
      <c r="E216" s="2" t="s">
        <v>80</v>
      </c>
      <c r="F216" s="1" t="s">
        <v>60</v>
      </c>
      <c r="G216" s="1" t="s">
        <v>65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6" s="2">
        <f>Games[[#This Row],[DaysOff]]-Games[[#This Row],[OppDaysOff]]</f>
        <v>-3</v>
      </c>
      <c r="L216" s="2">
        <f>Games[[#This Row],[OppDaysOff]]-Games[[#This Row],[DaysOff]]</f>
        <v>3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1423.5807200600984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1519.9317937016906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0.22751594540670877</v>
      </c>
      <c r="R216" s="1">
        <v>67</v>
      </c>
      <c r="S216" s="1">
        <v>86</v>
      </c>
      <c r="T216" s="1">
        <v>0</v>
      </c>
      <c r="U216" s="1">
        <f>Games[[#This Row],[PointsFor]]-Games[[#This Row],[PointsAgainst]]</f>
        <v>-19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0.5192830097920178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73.3</v>
      </c>
      <c r="Z216" s="4">
        <f>Games[[#This Row],[K]]*Games[[#This Row],[POMult]]</f>
        <v>73.3</v>
      </c>
      <c r="AA216" s="4">
        <f>(Games[[#This Row],[Keff]]*Games[[#This Row],[MOVMult]])*(Games[[#This Row],[Result]]-Games[[#This Row],[ExpectedWin%]])</f>
        <v>-8.6600405876444082</v>
      </c>
      <c r="AB216" s="4">
        <f>Games[[#This Row],[PreGmRate]]+Games[[#This Row],[RatingChange]]</f>
        <v>1414.9206794724539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43286</v>
      </c>
      <c r="B217" s="2">
        <v>2018</v>
      </c>
      <c r="C217" s="2">
        <f>COUNTIFS(Games[Team],Games[[#This Row],[Team]],Games[Season],Games[[#This Row],[Season]],Games[Date],"&lt;=" &amp; Games[[#This Row],[Date]])</f>
        <v>17</v>
      </c>
      <c r="D217" s="2" t="s">
        <v>79</v>
      </c>
      <c r="E217" s="2" t="s">
        <v>80</v>
      </c>
      <c r="F217" s="1" t="s">
        <v>65</v>
      </c>
      <c r="G217" s="1" t="s">
        <v>60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3</v>
      </c>
      <c r="L217" s="2">
        <f>Games[[#This Row],[OppDaysOff]]-Games[[#This Row],[DaysOff]]</f>
        <v>-3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1519.9317937016906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1423.5807200600984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0.77248405459329128</v>
      </c>
      <c r="R217" s="1">
        <v>86</v>
      </c>
      <c r="S217" s="1">
        <v>67</v>
      </c>
      <c r="T217" s="1">
        <v>0</v>
      </c>
      <c r="U217" s="1">
        <f>Games[[#This Row],[PointsFor]]-Games[[#This Row],[PointsAgainst]]</f>
        <v>19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0.5192830097920178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8.6777623623803777</v>
      </c>
      <c r="AB217" s="4">
        <f>Games[[#This Row],[PreGmRate]]+Games[[#This Row],[RatingChange]]</f>
        <v>1528.6095560640711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43287</v>
      </c>
      <c r="B218" s="2">
        <v>2018</v>
      </c>
      <c r="C218" s="2">
        <f>COUNTIFS(Games[Team],Games[[#This Row],[Team]],Games[Season],Games[[#This Row],[Season]],Games[Date],"&lt;=" &amp; Games[[#This Row],[Date]])</f>
        <v>19</v>
      </c>
      <c r="D218" s="2" t="s">
        <v>79</v>
      </c>
      <c r="E218" s="2" t="s">
        <v>80</v>
      </c>
      <c r="F218" s="1" t="s">
        <v>71</v>
      </c>
      <c r="G218" s="1" t="s">
        <v>77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8" s="2">
        <f>Games[[#This Row],[DaysOff]]-Games[[#This Row],[OppDaysOff]]</f>
        <v>-2</v>
      </c>
      <c r="L218" s="2">
        <f>Games[[#This Row],[OppDaysOff]]-Games[[#This Row],[DaysOff]]</f>
        <v>2</v>
      </c>
      <c r="M218" s="1">
        <f>MAX(-16, MIN(16, Games[[#This Row],[RestDiff]]*8))</f>
        <v>-16</v>
      </c>
      <c r="N218" s="1">
        <f>MAX(-16, MIN(16, Games[[#This Row],[OppRestDiff]]*8))</f>
        <v>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1600.4319694452881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1440.0216658194679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0.5635657459550687</v>
      </c>
      <c r="R218" s="1">
        <v>95</v>
      </c>
      <c r="S218" s="1">
        <v>86</v>
      </c>
      <c r="T218" s="1">
        <v>0</v>
      </c>
      <c r="U218" s="1">
        <f>Games[[#This Row],[PointsFor]]-Games[[#This Row],[PointsAgainst]]</f>
        <v>9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0.35810213380351313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11.432469953251479</v>
      </c>
      <c r="AB218" s="4">
        <f>Games[[#This Row],[PreGmRate]]+Games[[#This Row],[RatingChange]]</f>
        <v>1611.8644393985396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43287</v>
      </c>
      <c r="B219" s="2">
        <v>2018</v>
      </c>
      <c r="C219" s="2">
        <f>COUNTIFS(Games[Team],Games[[#This Row],[Team]],Games[Season],Games[[#This Row],[Season]],Games[Date],"&lt;=" &amp; Games[[#This Row],[Date]])</f>
        <v>17</v>
      </c>
      <c r="D219" s="2" t="s">
        <v>79</v>
      </c>
      <c r="E219" s="2" t="s">
        <v>80</v>
      </c>
      <c r="F219" s="1" t="s">
        <v>77</v>
      </c>
      <c r="G219" s="1" t="s">
        <v>71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2</v>
      </c>
      <c r="L219" s="2">
        <f>Games[[#This Row],[OppDaysOff]]-Games[[#This Row],[DaysOff]]</f>
        <v>-2</v>
      </c>
      <c r="M219" s="1">
        <f>MAX(-16, MIN(16, Games[[#This Row],[RestDiff]]*8))</f>
        <v>16</v>
      </c>
      <c r="N219" s="1">
        <f>MAX(-16, MIN(16, Games[[#This Row],[OppRestDiff]]*8))</f>
        <v>-16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1440.0216658194679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1600.4319694452881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0.4364342540449313</v>
      </c>
      <c r="R219" s="1">
        <v>86</v>
      </c>
      <c r="S219" s="1">
        <v>95</v>
      </c>
      <c r="T219" s="1">
        <v>0</v>
      </c>
      <c r="U219" s="1">
        <f>Games[[#This Row],[PointsFor]]-Games[[#This Row],[PointsAgainst]]</f>
        <v>-9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0.35810213380351313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73.45</v>
      </c>
      <c r="Z219" s="4">
        <f>Games[[#This Row],[K]]*Games[[#This Row],[POMult]]</f>
        <v>73.45</v>
      </c>
      <c r="AA219" s="4">
        <f>(Games[[#This Row],[Keff]]*Games[[#This Row],[MOVMult]])*(Games[[#This Row],[Result]]-Games[[#This Row],[ExpectedWin%]])</f>
        <v>-11.47935636454301</v>
      </c>
      <c r="AB219" s="4">
        <f>Games[[#This Row],[PreGmRate]]+Games[[#This Row],[RatingChange]]</f>
        <v>1428.5423094549249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43288</v>
      </c>
      <c r="B220" s="2">
        <v>2018</v>
      </c>
      <c r="C220" s="2">
        <f>COUNTIFS(Games[Team],Games[[#This Row],[Team]],Games[Season],Games[[#This Row],[Season]],Games[Date],"&lt;=" &amp; Games[[#This Row],[Date]])</f>
        <v>19</v>
      </c>
      <c r="D220" s="2" t="s">
        <v>79</v>
      </c>
      <c r="E220" s="2" t="s">
        <v>80</v>
      </c>
      <c r="F220" s="1" t="s">
        <v>67</v>
      </c>
      <c r="G220" s="1" t="s">
        <v>75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1633.6728386508423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1391.8740726315252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0.71266500695927704</v>
      </c>
      <c r="R220" s="1">
        <v>63</v>
      </c>
      <c r="S220" s="1">
        <v>77</v>
      </c>
      <c r="T220" s="1">
        <v>0</v>
      </c>
      <c r="U220" s="1">
        <f>Games[[#This Row],[PointsFor]]-Games[[#This Row],[PointsAgainst]]</f>
        <v>-14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0.40583314262115411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-21.156668258871498</v>
      </c>
      <c r="AB220" s="4">
        <f>Games[[#This Row],[PreGmRate]]+Games[[#This Row],[RatingChange]]</f>
        <v>1612.5161703919707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43288</v>
      </c>
      <c r="B221" s="2">
        <v>2018</v>
      </c>
      <c r="C221" s="2">
        <f>COUNTIFS(Games[Team],Games[[#This Row],[Team]],Games[Season],Games[[#This Row],[Season]],Games[Date],"&lt;=" &amp; Games[[#This Row],[Date]])</f>
        <v>19</v>
      </c>
      <c r="D221" s="2" t="s">
        <v>79</v>
      </c>
      <c r="E221" s="2" t="s">
        <v>80</v>
      </c>
      <c r="F221" s="1" t="s">
        <v>75</v>
      </c>
      <c r="G221" s="1" t="s">
        <v>67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1391.8740726315252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1633.6728386508423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0.28733499304072291</v>
      </c>
      <c r="R221" s="1">
        <v>77</v>
      </c>
      <c r="S221" s="1">
        <v>63</v>
      </c>
      <c r="T221" s="1">
        <v>0</v>
      </c>
      <c r="U221" s="1">
        <f>Games[[#This Row],[PointsFor]]-Games[[#This Row],[PointsAgainst]]</f>
        <v>14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0.40583314262115411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21.156668258871498</v>
      </c>
      <c r="AB221" s="4">
        <f>Games[[#This Row],[PreGmRate]]+Games[[#This Row],[RatingChange]]</f>
        <v>1413.0307408903968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43288</v>
      </c>
      <c r="B222" s="2">
        <v>2018</v>
      </c>
      <c r="C222" s="2">
        <f>COUNTIFS(Games[Team],Games[[#This Row],[Team]],Games[Season],Games[[#This Row],[Season]],Games[Date],"&lt;=" &amp; Games[[#This Row],[Date]])</f>
        <v>18</v>
      </c>
      <c r="D222" s="2" t="s">
        <v>79</v>
      </c>
      <c r="E222" s="2" t="s">
        <v>80</v>
      </c>
      <c r="F222" s="1" t="s">
        <v>65</v>
      </c>
      <c r="G222" s="1" t="s">
        <v>63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1528.6095560640711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1572.8296200674013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0.32342106963559647</v>
      </c>
      <c r="R222" s="1">
        <v>83</v>
      </c>
      <c r="S222" s="1">
        <v>74</v>
      </c>
      <c r="T222" s="1">
        <v>0</v>
      </c>
      <c r="U222" s="1">
        <f>Games[[#This Row],[PointsFor]]-Games[[#This Row],[PointsAgainst]]</f>
        <v>9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0.39154314149959524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19.417891262274146</v>
      </c>
      <c r="AB222" s="4">
        <f>Games[[#This Row],[PreGmRate]]+Games[[#This Row],[RatingChange]]</f>
        <v>1548.0274473263453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43288</v>
      </c>
      <c r="B223" s="2">
        <v>2018</v>
      </c>
      <c r="C223" s="2">
        <f>COUNTIFS(Games[Team],Games[[#This Row],[Team]],Games[Season],Games[[#This Row],[Season]],Games[Date],"&lt;=" &amp; Games[[#This Row],[Date]])</f>
        <v>20</v>
      </c>
      <c r="D223" s="2" t="s">
        <v>79</v>
      </c>
      <c r="E223" s="2" t="s">
        <v>80</v>
      </c>
      <c r="F223" s="1" t="s">
        <v>63</v>
      </c>
      <c r="G223" s="1" t="s">
        <v>65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1572.8296200674013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1528.6095560640711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0.67657893036440353</v>
      </c>
      <c r="R223" s="1">
        <v>74</v>
      </c>
      <c r="S223" s="1">
        <v>83</v>
      </c>
      <c r="T223" s="1">
        <v>0</v>
      </c>
      <c r="U223" s="1">
        <f>Games[[#This Row],[PointsFor]]-Games[[#This Row],[PointsAgainst]]</f>
        <v>-9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0.39154314149959524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</v>
      </c>
      <c r="Z223" s="4">
        <f>Games[[#This Row],[K]]*Games[[#This Row],[POMult]]</f>
        <v>73</v>
      </c>
      <c r="AA223" s="4">
        <f>(Games[[#This Row],[Keff]]*Games[[#This Row],[MOVMult]])*(Games[[#This Row],[Result]]-Games[[#This Row],[ExpectedWin%]])</f>
        <v>-19.338418310313955</v>
      </c>
      <c r="AB223" s="4">
        <f>Games[[#This Row],[PreGmRate]]+Games[[#This Row],[RatingChange]]</f>
        <v>1553.4912017570873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43288</v>
      </c>
      <c r="B224" s="2">
        <v>2018</v>
      </c>
      <c r="C224" s="2">
        <f>COUNTIFS(Games[Team],Games[[#This Row],[Team]],Games[Season],Games[[#This Row],[Season]],Games[Date],"&lt;=" &amp; Games[[#This Row],[Date]])</f>
        <v>19</v>
      </c>
      <c r="D224" s="2" t="s">
        <v>79</v>
      </c>
      <c r="E224" s="2" t="s">
        <v>80</v>
      </c>
      <c r="F224" s="1" t="s">
        <v>74</v>
      </c>
      <c r="G224" s="1" t="s">
        <v>86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1549.4220150213209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1428.7553917500989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0.55257247955377231</v>
      </c>
      <c r="R224" s="1">
        <v>90</v>
      </c>
      <c r="S224" s="1">
        <v>94</v>
      </c>
      <c r="T224" s="1">
        <v>0</v>
      </c>
      <c r="U224" s="1">
        <f>Games[[#This Row],[PointsFor]]-Games[[#This Row],[PointsAgainst]]</f>
        <v>-4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0.28297775933715363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-11.438152574211946</v>
      </c>
      <c r="AB224" s="4">
        <f>Games[[#This Row],[PreGmRate]]+Games[[#This Row],[RatingChange]]</f>
        <v>1537.983862447109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43288</v>
      </c>
      <c r="B225" s="2">
        <v>2018</v>
      </c>
      <c r="C225" s="2">
        <f>COUNTIFS(Games[Team],Games[[#This Row],[Team]],Games[Season],Games[[#This Row],[Season]],Games[Date],"&lt;=" &amp; Games[[#This Row],[Date]])</f>
        <v>20</v>
      </c>
      <c r="D225" s="2" t="s">
        <v>79</v>
      </c>
      <c r="E225" s="2" t="s">
        <v>80</v>
      </c>
      <c r="F225" s="1" t="s">
        <v>86</v>
      </c>
      <c r="G225" s="1" t="s">
        <v>74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1428.7553917500989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1549.4220150213209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0.44742752044622763</v>
      </c>
      <c r="R225" s="1">
        <v>94</v>
      </c>
      <c r="S225" s="1">
        <v>90</v>
      </c>
      <c r="T225" s="1">
        <v>0</v>
      </c>
      <c r="U225" s="1">
        <f>Games[[#This Row],[PointsFor]]-Games[[#This Row],[PointsAgainst]]</f>
        <v>4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0.28297775933715363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</v>
      </c>
      <c r="Z225" s="4">
        <f>Games[[#This Row],[K]]*Games[[#This Row],[POMult]]</f>
        <v>73</v>
      </c>
      <c r="AA225" s="4">
        <f>(Games[[#This Row],[Keff]]*Games[[#This Row],[MOVMult]])*(Games[[#This Row],[Result]]-Games[[#This Row],[ExpectedWin%]])</f>
        <v>11.414697715891618</v>
      </c>
      <c r="AB225" s="4">
        <f>Games[[#This Row],[PreGmRate]]+Games[[#This Row],[RatingChange]]</f>
        <v>1440.1700894659905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43289</v>
      </c>
      <c r="B226" s="2">
        <v>2018</v>
      </c>
      <c r="C226" s="2">
        <f>COUNTIFS(Games[Team],Games[[#This Row],[Team]],Games[Season],Games[[#This Row],[Season]],Games[Date],"&lt;=" &amp; Games[[#This Row],[Date]])</f>
        <v>20</v>
      </c>
      <c r="D226" s="2" t="s">
        <v>79</v>
      </c>
      <c r="E226" s="2" t="s">
        <v>80</v>
      </c>
      <c r="F226" s="1" t="s">
        <v>40</v>
      </c>
      <c r="G226" s="1" t="s">
        <v>77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1</v>
      </c>
      <c r="L226" s="2">
        <f>Games[[#This Row],[OppDaysOff]]-Games[[#This Row],[DaysOff]]</f>
        <v>-1</v>
      </c>
      <c r="M226" s="1">
        <f>MAX(-16, MIN(16, Games[[#This Row],[RestDiff]]*8))</f>
        <v>8</v>
      </c>
      <c r="N226" s="1">
        <f>MAX(-16, MIN(16, Games[[#This Row],[OppRestDiff]]*8))</f>
        <v>-8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1606.0284275155911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1428.5423094549249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0.65254677216989898</v>
      </c>
      <c r="R226" s="1">
        <v>70</v>
      </c>
      <c r="S226" s="1">
        <v>76</v>
      </c>
      <c r="T226" s="1">
        <v>0</v>
      </c>
      <c r="U226" s="1">
        <f>Games[[#This Row],[PointsFor]]-Games[[#This Row],[PointsAgainst]]</f>
        <v>-6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0.30601899197551474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-14.577494496850511</v>
      </c>
      <c r="AB226" s="4">
        <f>Games[[#This Row],[PreGmRate]]+Games[[#This Row],[RatingChange]]</f>
        <v>1591.4509330187407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43289</v>
      </c>
      <c r="B227" s="2">
        <v>2018</v>
      </c>
      <c r="C227" s="2">
        <f>COUNTIFS(Games[Team],Games[[#This Row],[Team]],Games[Season],Games[[#This Row],[Season]],Games[Date],"&lt;=" &amp; Games[[#This Row],[Date]])</f>
        <v>18</v>
      </c>
      <c r="D227" s="2" t="s">
        <v>79</v>
      </c>
      <c r="E227" s="2" t="s">
        <v>80</v>
      </c>
      <c r="F227" s="1" t="s">
        <v>77</v>
      </c>
      <c r="G227" s="1" t="s">
        <v>40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7" s="2">
        <f>Games[[#This Row],[DaysOff]]-Games[[#This Row],[OppDaysOff]]</f>
        <v>-1</v>
      </c>
      <c r="L227" s="2">
        <f>Games[[#This Row],[OppDaysOff]]-Games[[#This Row],[DaysOff]]</f>
        <v>1</v>
      </c>
      <c r="M227" s="1">
        <f>MAX(-16, MIN(16, Games[[#This Row],[RestDiff]]*8))</f>
        <v>-8</v>
      </c>
      <c r="N227" s="1">
        <f>MAX(-16, MIN(16, Games[[#This Row],[OppRestDiff]]*8))</f>
        <v>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1428.5423094549249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1606.0284275155911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0.34745322783010102</v>
      </c>
      <c r="R227" s="1">
        <v>76</v>
      </c>
      <c r="S227" s="1">
        <v>70</v>
      </c>
      <c r="T227" s="1">
        <v>0</v>
      </c>
      <c r="U227" s="1">
        <f>Games[[#This Row],[PointsFor]]-Games[[#This Row],[PointsAgainst]]</f>
        <v>6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0.30601899197551474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73.3</v>
      </c>
      <c r="Z227" s="4">
        <f>Games[[#This Row],[K]]*Games[[#This Row],[POMult]]</f>
        <v>73.3</v>
      </c>
      <c r="AA227" s="4">
        <f>(Games[[#This Row],[Keff]]*Games[[#This Row],[MOVMult]])*(Games[[#This Row],[Result]]-Games[[#This Row],[ExpectedWin%]])</f>
        <v>14.637402008481404</v>
      </c>
      <c r="AB227" s="4">
        <f>Games[[#This Row],[PreGmRate]]+Games[[#This Row],[RatingChange]]</f>
        <v>1443.1797114634062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43289</v>
      </c>
      <c r="B228" s="2">
        <v>2018</v>
      </c>
      <c r="C228" s="2">
        <f>COUNTIFS(Games[Team],Games[[#This Row],[Team]],Games[Season],Games[[#This Row],[Season]],Games[Date],"&lt;=" &amp; Games[[#This Row],[Date]])</f>
        <v>18</v>
      </c>
      <c r="D228" s="2" t="s">
        <v>79</v>
      </c>
      <c r="E228" s="2" t="s">
        <v>80</v>
      </c>
      <c r="F228" s="1" t="s">
        <v>85</v>
      </c>
      <c r="G228" s="1" t="s">
        <v>60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1511.9325677654413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1414.9206794724539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0.5187168626062747</v>
      </c>
      <c r="R228" s="1">
        <v>97</v>
      </c>
      <c r="S228" s="1">
        <v>87</v>
      </c>
      <c r="T228" s="1">
        <v>0</v>
      </c>
      <c r="U228" s="1">
        <f>Games[[#This Row],[PointsFor]]-Games[[#This Row],[PointsAgainst]]</f>
        <v>10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0.39148109881013032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73.3</v>
      </c>
      <c r="Z228" s="4">
        <f>Games[[#This Row],[K]]*Games[[#This Row],[POMult]]</f>
        <v>73.3</v>
      </c>
      <c r="AA228" s="4">
        <f>(Games[[#This Row],[Keff]]*Games[[#This Row],[MOVMult]])*(Games[[#This Row],[Result]]-Games[[#This Row],[ExpectedWin%]])</f>
        <v>13.810691332434528</v>
      </c>
      <c r="AB228" s="4">
        <f>Games[[#This Row],[PreGmRate]]+Games[[#This Row],[RatingChange]]</f>
        <v>1525.7432590978758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43289</v>
      </c>
      <c r="B229" s="2">
        <v>2018</v>
      </c>
      <c r="C229" s="2">
        <f>COUNTIFS(Games[Team],Games[[#This Row],[Team]],Games[Season],Games[[#This Row],[Season]],Games[Date],"&lt;=" &amp; Games[[#This Row],[Date]])</f>
        <v>19</v>
      </c>
      <c r="D229" s="2" t="s">
        <v>79</v>
      </c>
      <c r="E229" s="2" t="s">
        <v>80</v>
      </c>
      <c r="F229" s="1" t="s">
        <v>60</v>
      </c>
      <c r="G229" s="1" t="s">
        <v>85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1414.9206794724539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1511.9325677654413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0.48128313739372525</v>
      </c>
      <c r="R229" s="1">
        <v>87</v>
      </c>
      <c r="S229" s="1">
        <v>97</v>
      </c>
      <c r="T229" s="1">
        <v>0</v>
      </c>
      <c r="U229" s="1">
        <f>Games[[#This Row],[PointsFor]]-Games[[#This Row],[PointsAgainst]]</f>
        <v>-10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0.39148109881013032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73.150000000000006</v>
      </c>
      <c r="Z229" s="4">
        <f>Games[[#This Row],[K]]*Games[[#This Row],[POMult]]</f>
        <v>73.150000000000006</v>
      </c>
      <c r="AA229" s="4">
        <f>(Games[[#This Row],[Keff]]*Games[[#This Row],[MOVMult]])*(Games[[#This Row],[Result]]-Games[[#This Row],[ExpectedWin%]])</f>
        <v>-13.782429344714675</v>
      </c>
      <c r="AB229" s="4">
        <f>Games[[#This Row],[PreGmRate]]+Games[[#This Row],[RatingChange]]</f>
        <v>1401.1382501277392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43289</v>
      </c>
      <c r="B230" s="2">
        <v>2018</v>
      </c>
      <c r="C230" s="2">
        <f>COUNTIFS(Games[Team],Games[[#This Row],[Team]],Games[Season],Games[[#This Row],[Season]],Games[Date],"&lt;=" &amp; Games[[#This Row],[Date]])</f>
        <v>19</v>
      </c>
      <c r="D230" s="2" t="s">
        <v>79</v>
      </c>
      <c r="E230" s="2" t="s">
        <v>80</v>
      </c>
      <c r="F230" s="1" t="s">
        <v>65</v>
      </c>
      <c r="G230" s="1" t="s">
        <v>71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1548.0274473263453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1611.8644393985396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0.28027023769638115</v>
      </c>
      <c r="R230" s="1">
        <v>91</v>
      </c>
      <c r="S230" s="1">
        <v>97</v>
      </c>
      <c r="T230" s="1">
        <v>0</v>
      </c>
      <c r="U230" s="1">
        <f>Games[[#This Row],[PointsFor]]-Games[[#This Row],[PointsAgainst]]</f>
        <v>-6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0.33353740708130064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-6.838106501776184</v>
      </c>
      <c r="AB230" s="4">
        <f>Games[[#This Row],[PreGmRate]]+Games[[#This Row],[RatingChange]]</f>
        <v>1541.1893408245692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43289</v>
      </c>
      <c r="B231" s="2">
        <v>2018</v>
      </c>
      <c r="C231" s="2">
        <f>COUNTIFS(Games[Team],Games[[#This Row],[Team]],Games[Season],Games[[#This Row],[Season]],Games[Date],"&lt;=" &amp; Games[[#This Row],[Date]])</f>
        <v>20</v>
      </c>
      <c r="D231" s="2" t="s">
        <v>79</v>
      </c>
      <c r="E231" s="2" t="s">
        <v>80</v>
      </c>
      <c r="F231" s="1" t="s">
        <v>71</v>
      </c>
      <c r="G231" s="1" t="s">
        <v>65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1611.8644393985396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1548.0274473263453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0.71972976230361885</v>
      </c>
      <c r="R231" s="1">
        <v>97</v>
      </c>
      <c r="S231" s="1">
        <v>91</v>
      </c>
      <c r="T231" s="1">
        <v>0</v>
      </c>
      <c r="U231" s="1">
        <f>Games[[#This Row],[PointsFor]]-Games[[#This Row],[PointsAgainst]]</f>
        <v>6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0.33353740708130064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6.824084410521686</v>
      </c>
      <c r="AB231" s="4">
        <f>Games[[#This Row],[PreGmRate]]+Games[[#This Row],[RatingChange]]</f>
        <v>1618.6885238090613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43291</v>
      </c>
      <c r="B232" s="2">
        <v>2018</v>
      </c>
      <c r="C232" s="2">
        <f>COUNTIFS(Games[Team],Games[[#This Row],[Team]],Games[Season],Games[[#This Row],[Season]],Games[Date],"&lt;=" &amp; Games[[#This Row],[Date]])</f>
        <v>21</v>
      </c>
      <c r="D232" s="2" t="s">
        <v>79</v>
      </c>
      <c r="E232" s="2" t="s">
        <v>80</v>
      </c>
      <c r="F232" s="1" t="s">
        <v>86</v>
      </c>
      <c r="G232" s="1" t="s">
        <v>75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1440.1700894659905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1413.0307408903968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0.41889377088669277</v>
      </c>
      <c r="R232" s="1">
        <v>98</v>
      </c>
      <c r="S232" s="1">
        <v>74</v>
      </c>
      <c r="T232" s="1">
        <v>0</v>
      </c>
      <c r="U232" s="1">
        <f>Games[[#This Row],[PointsFor]]-Games[[#This Row],[PointsAgainst]]</f>
        <v>24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0.61453258606132077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72.849999999999994</v>
      </c>
      <c r="Z232" s="4">
        <f>Games[[#This Row],[K]]*Games[[#This Row],[POMult]]</f>
        <v>72.849999999999994</v>
      </c>
      <c r="AA232" s="4">
        <f>(Games[[#This Row],[Keff]]*Games[[#This Row],[MOVMult]])*(Games[[#This Row],[Result]]-Games[[#This Row],[ExpectedWin%]])</f>
        <v>26.01536979693104</v>
      </c>
      <c r="AB232" s="4">
        <f>Games[[#This Row],[PreGmRate]]+Games[[#This Row],[RatingChange]]</f>
        <v>1466.1854592629215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43291</v>
      </c>
      <c r="B233" s="2">
        <v>2018</v>
      </c>
      <c r="C233" s="2">
        <f>COUNTIFS(Games[Team],Games[[#This Row],[Team]],Games[Season],Games[[#This Row],[Season]],Games[Date],"&lt;=" &amp; Games[[#This Row],[Date]])</f>
        <v>20</v>
      </c>
      <c r="D233" s="2" t="s">
        <v>79</v>
      </c>
      <c r="E233" s="2" t="s">
        <v>80</v>
      </c>
      <c r="F233" s="1" t="s">
        <v>75</v>
      </c>
      <c r="G233" s="1" t="s">
        <v>86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1413.0307408903968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1440.1700894659905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0.58110622911330734</v>
      </c>
      <c r="R233" s="1">
        <v>74</v>
      </c>
      <c r="S233" s="1">
        <v>98</v>
      </c>
      <c r="T233" s="1">
        <v>0</v>
      </c>
      <c r="U233" s="1">
        <f>Games[[#This Row],[PointsFor]]-Games[[#This Row],[PointsAgainst]]</f>
        <v>-24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0.61453258606132077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-26.068936103994051</v>
      </c>
      <c r="AB233" s="4">
        <f>Games[[#This Row],[PreGmRate]]+Games[[#This Row],[RatingChange]]</f>
        <v>1386.9618047864028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43291</v>
      </c>
      <c r="B234" s="2">
        <v>2018</v>
      </c>
      <c r="C234" s="2">
        <f>COUNTIFS(Games[Team],Games[[#This Row],[Team]],Games[Season],Games[[#This Row],[Season]],Games[Date],"&lt;=" &amp; Games[[#This Row],[Date]])</f>
        <v>21</v>
      </c>
      <c r="D234" s="2" t="s">
        <v>79</v>
      </c>
      <c r="E234" s="2" t="s">
        <v>80</v>
      </c>
      <c r="F234" s="1" t="s">
        <v>40</v>
      </c>
      <c r="G234" s="1" t="s">
        <v>85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1591.4509330187407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1525.7432590978758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0.47369952358805367</v>
      </c>
      <c r="R234" s="1">
        <v>72</v>
      </c>
      <c r="S234" s="1">
        <v>101</v>
      </c>
      <c r="T234" s="1">
        <v>0</v>
      </c>
      <c r="U234" s="1">
        <f>Games[[#This Row],[PointsFor]]-Games[[#This Row],[PointsAgainst]]</f>
        <v>-29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0.65547168679408674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72.849999999999994</v>
      </c>
      <c r="Z234" s="4">
        <f>Games[[#This Row],[K]]*Games[[#This Row],[POMult]]</f>
        <v>72.849999999999994</v>
      </c>
      <c r="AA234" s="4">
        <f>(Games[[#This Row],[Keff]]*Games[[#This Row],[MOVMult]])*(Games[[#This Row],[Result]]-Games[[#This Row],[ExpectedWin%]])</f>
        <v>-22.619679186602653</v>
      </c>
      <c r="AB234" s="4">
        <f>Games[[#This Row],[PreGmRate]]+Games[[#This Row],[RatingChange]]</f>
        <v>1568.8312538321379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43291</v>
      </c>
      <c r="B235" s="2">
        <v>2018</v>
      </c>
      <c r="C235" s="2">
        <f>COUNTIFS(Games[Team],Games[[#This Row],[Team]],Games[Season],Games[[#This Row],[Season]],Games[Date],"&lt;=" &amp; Games[[#This Row],[Date]])</f>
        <v>19</v>
      </c>
      <c r="D235" s="2" t="s">
        <v>79</v>
      </c>
      <c r="E235" s="2" t="s">
        <v>80</v>
      </c>
      <c r="F235" s="1" t="s">
        <v>85</v>
      </c>
      <c r="G235" s="1" t="s">
        <v>40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1525.7432590978758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1591.4509330187407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0.52630047641194633</v>
      </c>
      <c r="R235" s="1">
        <v>101</v>
      </c>
      <c r="S235" s="1">
        <v>72</v>
      </c>
      <c r="T235" s="1">
        <v>0</v>
      </c>
      <c r="U235" s="1">
        <f>Games[[#This Row],[PointsFor]]-Games[[#This Row],[PointsAgainst]]</f>
        <v>29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0.65547168679408674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73.150000000000006</v>
      </c>
      <c r="Z235" s="4">
        <f>Games[[#This Row],[K]]*Games[[#This Row],[POMult]]</f>
        <v>73.150000000000006</v>
      </c>
      <c r="AA235" s="4">
        <f>(Games[[#This Row],[Keff]]*Games[[#This Row],[MOVMult]])*(Games[[#This Row],[Result]]-Games[[#This Row],[ExpectedWin%]])</f>
        <v>22.712828174330603</v>
      </c>
      <c r="AB235" s="4">
        <f>Games[[#This Row],[PreGmRate]]+Games[[#This Row],[RatingChange]]</f>
        <v>1548.4560872722063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43291</v>
      </c>
      <c r="B236" s="2">
        <v>2018</v>
      </c>
      <c r="C236" s="2">
        <f>COUNTIFS(Games[Team],Games[[#This Row],[Team]],Games[Season],Games[[#This Row],[Season]],Games[Date],"&lt;=" &amp; Games[[#This Row],[Date]])</f>
        <v>21</v>
      </c>
      <c r="D236" s="2" t="s">
        <v>79</v>
      </c>
      <c r="E236" s="2" t="s">
        <v>80</v>
      </c>
      <c r="F236" s="1" t="s">
        <v>63</v>
      </c>
      <c r="G236" s="1" t="s">
        <v>71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1</v>
      </c>
      <c r="L236" s="2">
        <f>Games[[#This Row],[OppDaysOff]]-Games[[#This Row],[DaysOff]]</f>
        <v>-1</v>
      </c>
      <c r="M236" s="1">
        <f>MAX(-16, MIN(16, Games[[#This Row],[RestDiff]]*8))</f>
        <v>8</v>
      </c>
      <c r="N236" s="1">
        <f>MAX(-16, MIN(16, Games[[#This Row],[OppRestDiff]]*8))</f>
        <v>-8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1553.4912017570873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1618.6885238090613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0.31718355731050912</v>
      </c>
      <c r="R236" s="1">
        <v>77</v>
      </c>
      <c r="S236" s="1">
        <v>75</v>
      </c>
      <c r="T236" s="1">
        <v>1</v>
      </c>
      <c r="U236" s="1">
        <f>Games[[#This Row],[PointsFor]]-Games[[#This Row],[PointsAgainst]]</f>
        <v>2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0.22863518712266165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72.849999999999994</v>
      </c>
      <c r="Z236" s="4">
        <f>Games[[#This Row],[K]]*Games[[#This Row],[POMult]]</f>
        <v>72.849999999999994</v>
      </c>
      <c r="AA236" s="4">
        <f>(Games[[#This Row],[Keff]]*Games[[#This Row],[MOVMult]])*(Games[[#This Row],[Result]]-Games[[#This Row],[ExpectedWin%]])</f>
        <v>11.373040775794449</v>
      </c>
      <c r="AB236" s="4">
        <f>Games[[#This Row],[PreGmRate]]+Games[[#This Row],[RatingChange]]</f>
        <v>1564.8642425328817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43291</v>
      </c>
      <c r="B237" s="2">
        <v>2018</v>
      </c>
      <c r="C237" s="2">
        <f>COUNTIFS(Games[Team],Games[[#This Row],[Team]],Games[Season],Games[[#This Row],[Season]],Games[Date],"&lt;=" &amp; Games[[#This Row],[Date]])</f>
        <v>21</v>
      </c>
      <c r="D237" s="2" t="s">
        <v>79</v>
      </c>
      <c r="E237" s="2" t="s">
        <v>80</v>
      </c>
      <c r="F237" s="1" t="s">
        <v>71</v>
      </c>
      <c r="G237" s="1" t="s">
        <v>63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-1</v>
      </c>
      <c r="L237" s="2">
        <f>Games[[#This Row],[OppDaysOff]]-Games[[#This Row],[DaysOff]]</f>
        <v>1</v>
      </c>
      <c r="M237" s="1">
        <f>MAX(-16, MIN(16, Games[[#This Row],[RestDiff]]*8))</f>
        <v>-8</v>
      </c>
      <c r="N237" s="1">
        <f>MAX(-16, MIN(16, Games[[#This Row],[OppRestDiff]]*8))</f>
        <v>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1618.6885238090613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1553.4912017570873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0.68281644268949082</v>
      </c>
      <c r="R237" s="1">
        <v>75</v>
      </c>
      <c r="S237" s="1">
        <v>77</v>
      </c>
      <c r="T237" s="1">
        <v>1</v>
      </c>
      <c r="U237" s="1">
        <f>Games[[#This Row],[PointsFor]]-Games[[#This Row],[PointsAgainst]]</f>
        <v>-2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0.22863518712266165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72.849999999999994</v>
      </c>
      <c r="Z237" s="4">
        <f>Games[[#This Row],[K]]*Games[[#This Row],[POMult]]</f>
        <v>72.849999999999994</v>
      </c>
      <c r="AA237" s="4">
        <f>(Games[[#This Row],[Keff]]*Games[[#This Row],[MOVMult]])*(Games[[#This Row],[Result]]-Games[[#This Row],[ExpectedWin%]])</f>
        <v>-11.373040775794447</v>
      </c>
      <c r="AB237" s="4">
        <f>Games[[#This Row],[PreGmRate]]+Games[[#This Row],[RatingChange]]</f>
        <v>1607.3154830332669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43292</v>
      </c>
      <c r="B238" s="2">
        <v>2018</v>
      </c>
      <c r="C238" s="2">
        <f>COUNTIFS(Games[Team],Games[[#This Row],[Team]],Games[Season],Games[[#This Row],[Season]],Games[Date],"&lt;=" &amp; Games[[#This Row],[Date]])</f>
        <v>20</v>
      </c>
      <c r="D238" s="2" t="s">
        <v>79</v>
      </c>
      <c r="E238" s="2" t="s">
        <v>80</v>
      </c>
      <c r="F238" s="1" t="s">
        <v>60</v>
      </c>
      <c r="G238" s="1" t="s">
        <v>74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8" s="2">
        <f>Games[[#This Row],[DaysOff]]-Games[[#This Row],[OppDaysOff]]</f>
        <v>-1</v>
      </c>
      <c r="L238" s="2">
        <f>Games[[#This Row],[OppDaysOff]]-Games[[#This Row],[DaysOff]]</f>
        <v>1</v>
      </c>
      <c r="M238" s="1">
        <f>MAX(-16, MIN(16, Games[[#This Row],[RestDiff]]*8))</f>
        <v>-8</v>
      </c>
      <c r="N238" s="1">
        <f>MAX(-16, MIN(16, Games[[#This Row],[OppRestDiff]]*8))</f>
        <v>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1401.1382501277392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1537.983862447109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0.20368941386854411</v>
      </c>
      <c r="R238" s="1">
        <v>79</v>
      </c>
      <c r="S238" s="1">
        <v>76</v>
      </c>
      <c r="T238" s="1">
        <v>0</v>
      </c>
      <c r="U238" s="1">
        <f>Games[[#This Row],[PointsFor]]-Games[[#This Row],[PointsAgainst]]</f>
        <v>3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0.26047901276670421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15.141820259177397</v>
      </c>
      <c r="AB238" s="4">
        <f>Games[[#This Row],[PreGmRate]]+Games[[#This Row],[RatingChange]]</f>
        <v>1416.2800703869166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43292</v>
      </c>
      <c r="B239" s="2">
        <v>2018</v>
      </c>
      <c r="C239" s="2">
        <f>COUNTIFS(Games[Team],Games[[#This Row],[Team]],Games[Season],Games[[#This Row],[Season]],Games[Date],"&lt;=" &amp; Games[[#This Row],[Date]])</f>
        <v>20</v>
      </c>
      <c r="D239" s="2" t="s">
        <v>79</v>
      </c>
      <c r="E239" s="2" t="s">
        <v>80</v>
      </c>
      <c r="F239" s="1" t="s">
        <v>74</v>
      </c>
      <c r="G239" s="1" t="s">
        <v>60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1</v>
      </c>
      <c r="L239" s="2">
        <f>Games[[#This Row],[OppDaysOff]]-Games[[#This Row],[DaysOff]]</f>
        <v>-1</v>
      </c>
      <c r="M239" s="1">
        <f>MAX(-16, MIN(16, Games[[#This Row],[RestDiff]]*8))</f>
        <v>8</v>
      </c>
      <c r="N239" s="1">
        <f>MAX(-16, MIN(16, Games[[#This Row],[OppRestDiff]]*8))</f>
        <v>-8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1537.983862447109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1401.1382501277392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0.79631058613145578</v>
      </c>
      <c r="R239" s="1">
        <v>76</v>
      </c>
      <c r="S239" s="1">
        <v>79</v>
      </c>
      <c r="T239" s="1">
        <v>0</v>
      </c>
      <c r="U239" s="1">
        <f>Games[[#This Row],[PointsFor]]-Games[[#This Row],[PointsAgainst]]</f>
        <v>-3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0.26047901276670421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-15.141820259177395</v>
      </c>
      <c r="AB239" s="4">
        <f>Games[[#This Row],[PreGmRate]]+Games[[#This Row],[RatingChange]]</f>
        <v>1522.8420421879316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43292</v>
      </c>
      <c r="B240" s="2">
        <v>2018</v>
      </c>
      <c r="C240" s="2">
        <f>COUNTIFS(Games[Team],Games[[#This Row],[Team]],Games[Season],Games[[#This Row],[Season]],Games[Date],"&lt;=" &amp; Games[[#This Row],[Date]])</f>
        <v>20</v>
      </c>
      <c r="D240" s="2" t="s">
        <v>79</v>
      </c>
      <c r="E240" s="2" t="s">
        <v>80</v>
      </c>
      <c r="F240" s="1" t="s">
        <v>67</v>
      </c>
      <c r="G240" s="1" t="s">
        <v>69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0" s="2">
        <f>Games[[#This Row],[DaysOff]]-Games[[#This Row],[OppDaysOff]]</f>
        <v>-2</v>
      </c>
      <c r="L240" s="2">
        <f>Games[[#This Row],[OppDaysOff]]-Games[[#This Row],[DaysOff]]</f>
        <v>2</v>
      </c>
      <c r="M240" s="1">
        <f>MAX(-16, MIN(16, Games[[#This Row],[RestDiff]]*8))</f>
        <v>-16</v>
      </c>
      <c r="N240" s="1">
        <f>MAX(-16, MIN(16, Games[[#This Row],[OppRestDiff]]*8))</f>
        <v>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1612.5161703919707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1321.5241386516468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0.73249830207341937</v>
      </c>
      <c r="R240" s="1">
        <v>87</v>
      </c>
      <c r="S240" s="1">
        <v>65</v>
      </c>
      <c r="T240" s="1">
        <v>0</v>
      </c>
      <c r="U240" s="1">
        <f>Games[[#This Row],[PointsFor]]-Games[[#This Row],[PointsAgainst]]</f>
        <v>22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0.48455484013615097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</v>
      </c>
      <c r="Z240" s="4">
        <f>Games[[#This Row],[K]]*Games[[#This Row],[POMult]]</f>
        <v>73</v>
      </c>
      <c r="AA240" s="4">
        <f>(Games[[#This Row],[Keff]]*Games[[#This Row],[MOVMult]])*(Games[[#This Row],[Result]]-Games[[#This Row],[ExpectedWin%]])</f>
        <v>9.4622047006723164</v>
      </c>
      <c r="AB240" s="4">
        <f>Games[[#This Row],[PreGmRate]]+Games[[#This Row],[RatingChange]]</f>
        <v>1621.9783750926431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43292</v>
      </c>
      <c r="B241" s="2">
        <v>2018</v>
      </c>
      <c r="C241" s="2">
        <f>COUNTIFS(Games[Team],Games[[#This Row],[Team]],Games[Season],Games[[#This Row],[Season]],Games[Date],"&lt;=" &amp; Games[[#This Row],[Date]])</f>
        <v>20</v>
      </c>
      <c r="D241" s="2" t="s">
        <v>79</v>
      </c>
      <c r="E241" s="2" t="s">
        <v>80</v>
      </c>
      <c r="F241" s="1" t="s">
        <v>69</v>
      </c>
      <c r="G241" s="1" t="s">
        <v>67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1" s="2">
        <f>Games[[#This Row],[DaysOff]]-Games[[#This Row],[OppDaysOff]]</f>
        <v>2</v>
      </c>
      <c r="L241" s="2">
        <f>Games[[#This Row],[OppDaysOff]]-Games[[#This Row],[DaysOff]]</f>
        <v>-2</v>
      </c>
      <c r="M241" s="1">
        <f>MAX(-16, MIN(16, Games[[#This Row],[RestDiff]]*8))</f>
        <v>16</v>
      </c>
      <c r="N241" s="1">
        <f>MAX(-16, MIN(16, Games[[#This Row],[OppRestDiff]]*8))</f>
        <v>-16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1321.5241386516468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1612.5161703919707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0.26750169792658057</v>
      </c>
      <c r="R241" s="1">
        <v>65</v>
      </c>
      <c r="S241" s="1">
        <v>87</v>
      </c>
      <c r="T241" s="1">
        <v>0</v>
      </c>
      <c r="U241" s="1">
        <f>Games[[#This Row],[PointsFor]]-Games[[#This Row],[PointsAgainst]]</f>
        <v>-22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0.48455484013615097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-9.4622047006723129</v>
      </c>
      <c r="AB241" s="4">
        <f>Games[[#This Row],[PreGmRate]]+Games[[#This Row],[RatingChange]]</f>
        <v>1312.0619339509744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43292</v>
      </c>
      <c r="B242" s="2">
        <v>2018</v>
      </c>
      <c r="C242" s="2">
        <f>COUNTIFS(Games[Team],Games[[#This Row],[Team]],Games[Season],Games[[#This Row],[Season]],Games[Date],"&lt;=" &amp; Games[[#This Row],[Date]])</f>
        <v>19</v>
      </c>
      <c r="D242" s="2" t="s">
        <v>79</v>
      </c>
      <c r="E242" s="2" t="s">
        <v>80</v>
      </c>
      <c r="F242" s="1" t="s">
        <v>77</v>
      </c>
      <c r="G242" s="1" t="s">
        <v>65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1443.1797114634062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1541.1893408245692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0.25966092443564665</v>
      </c>
      <c r="R242" s="1">
        <v>106</v>
      </c>
      <c r="S242" s="1">
        <v>89</v>
      </c>
      <c r="T242" s="1">
        <v>0</v>
      </c>
      <c r="U242" s="1">
        <f>Games[[#This Row],[PointsFor]]-Games[[#This Row],[PointsAgainst]]</f>
        <v>17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0.49223863093593306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73.150000000000006</v>
      </c>
      <c r="Z242" s="4">
        <f>Games[[#This Row],[K]]*Games[[#This Row],[POMult]]</f>
        <v>73.150000000000006</v>
      </c>
      <c r="AA242" s="4">
        <f>(Games[[#This Row],[Keff]]*Games[[#This Row],[MOVMult]])*(Games[[#This Row],[Result]]-Games[[#This Row],[ExpectedWin%]])</f>
        <v>26.657578511792149</v>
      </c>
      <c r="AB242" s="4">
        <f>Games[[#This Row],[PreGmRate]]+Games[[#This Row],[RatingChange]]</f>
        <v>1469.8372899751982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43292</v>
      </c>
      <c r="B243" s="2">
        <v>2018</v>
      </c>
      <c r="C243" s="2">
        <f>COUNTIFS(Games[Team],Games[[#This Row],[Team]],Games[Season],Games[[#This Row],[Season]],Games[Date],"&lt;=" &amp; Games[[#This Row],[Date]])</f>
        <v>20</v>
      </c>
      <c r="D243" s="2" t="s">
        <v>79</v>
      </c>
      <c r="E243" s="2" t="s">
        <v>80</v>
      </c>
      <c r="F243" s="1" t="s">
        <v>65</v>
      </c>
      <c r="G243" s="1" t="s">
        <v>77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1541.1893408245692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1443.1797114634062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0.7403390755643533</v>
      </c>
      <c r="R243" s="1">
        <v>89</v>
      </c>
      <c r="S243" s="1">
        <v>106</v>
      </c>
      <c r="T243" s="1">
        <v>0</v>
      </c>
      <c r="U243" s="1">
        <f>Games[[#This Row],[PointsFor]]-Games[[#This Row],[PointsAgainst]]</f>
        <v>-17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0.49223863093593306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</v>
      </c>
      <c r="Z243" s="4">
        <f>Games[[#This Row],[K]]*Games[[#This Row],[POMult]]</f>
        <v>73</v>
      </c>
      <c r="AA243" s="4">
        <f>(Games[[#This Row],[Keff]]*Games[[#This Row],[MOVMult]])*(Games[[#This Row],[Result]]-Games[[#This Row],[ExpectedWin%]])</f>
        <v>-26.602914987844525</v>
      </c>
      <c r="AB243" s="4">
        <f>Games[[#This Row],[PreGmRate]]+Games[[#This Row],[RatingChange]]</f>
        <v>1514.5864258367246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43293</v>
      </c>
      <c r="B244" s="2">
        <v>2018</v>
      </c>
      <c r="C244" s="2">
        <f>COUNTIFS(Games[Team],Games[[#This Row],[Team]],Games[Season],Games[[#This Row],[Season]],Games[Date],"&lt;=" &amp; Games[[#This Row],[Date]])</f>
        <v>20</v>
      </c>
      <c r="D244" s="2" t="s">
        <v>79</v>
      </c>
      <c r="E244" s="2" t="s">
        <v>80</v>
      </c>
      <c r="F244" s="1" t="s">
        <v>85</v>
      </c>
      <c r="G244" s="1" t="s">
        <v>63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1548.4560872722063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1564.8642425328817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0.35939388945173928</v>
      </c>
      <c r="R244" s="1">
        <v>92</v>
      </c>
      <c r="S244" s="1">
        <v>77</v>
      </c>
      <c r="T244" s="1">
        <v>0</v>
      </c>
      <c r="U244" s="1">
        <f>Games[[#This Row],[PointsFor]]-Games[[#This Row],[PointsAgainst]]</f>
        <v>15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0.49606510038992979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23.198110421385355</v>
      </c>
      <c r="AB244" s="4">
        <f>Games[[#This Row],[PreGmRate]]+Games[[#This Row],[RatingChange]]</f>
        <v>1571.6541976935916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43293</v>
      </c>
      <c r="B245" s="2">
        <v>2018</v>
      </c>
      <c r="C245" s="2">
        <f>COUNTIFS(Games[Team],Games[[#This Row],[Team]],Games[Season],Games[[#This Row],[Season]],Games[Date],"&lt;=" &amp; Games[[#This Row],[Date]])</f>
        <v>22</v>
      </c>
      <c r="D245" s="2" t="s">
        <v>79</v>
      </c>
      <c r="E245" s="2" t="s">
        <v>80</v>
      </c>
      <c r="F245" s="1" t="s">
        <v>63</v>
      </c>
      <c r="G245" s="1" t="s">
        <v>85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1564.8642425328817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1548.4560872722063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0.64060611054826078</v>
      </c>
      <c r="R245" s="1">
        <v>77</v>
      </c>
      <c r="S245" s="1">
        <v>92</v>
      </c>
      <c r="T245" s="1">
        <v>0</v>
      </c>
      <c r="U245" s="1">
        <f>Games[[#This Row],[PointsFor]]-Games[[#This Row],[PointsAgainst]]</f>
        <v>-15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0.49606510038992979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72.7</v>
      </c>
      <c r="Z245" s="4">
        <f>Games[[#This Row],[K]]*Games[[#This Row],[POMult]]</f>
        <v>72.7</v>
      </c>
      <c r="AA245" s="4">
        <f>(Games[[#This Row],[Keff]]*Games[[#This Row],[MOVMult]])*(Games[[#This Row],[Result]]-Games[[#This Row],[ExpectedWin%]])</f>
        <v>-23.102775721023502</v>
      </c>
      <c r="AB245" s="4">
        <f>Games[[#This Row],[PreGmRate]]+Games[[#This Row],[RatingChange]]</f>
        <v>1541.7614668118581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43294</v>
      </c>
      <c r="B246" s="2">
        <v>2018</v>
      </c>
      <c r="C246" s="2">
        <f>COUNTIFS(Games[Team],Games[[#This Row],[Team]],Games[Season],Games[[#This Row],[Season]],Games[Date],"&lt;=" &amp; Games[[#This Row],[Date]])</f>
        <v>21</v>
      </c>
      <c r="D246" s="2" t="s">
        <v>79</v>
      </c>
      <c r="E246" s="2" t="s">
        <v>80</v>
      </c>
      <c r="F246" s="1" t="s">
        <v>69</v>
      </c>
      <c r="G246" s="1" t="s">
        <v>77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1312.0619339509744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1469.8372899751982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0.19912520494714891</v>
      </c>
      <c r="R246" s="1">
        <v>74</v>
      </c>
      <c r="S246" s="1">
        <v>98</v>
      </c>
      <c r="T246" s="1">
        <v>0</v>
      </c>
      <c r="U246" s="1">
        <f>Games[[#This Row],[PointsFor]]-Games[[#This Row],[PointsAgainst]]</f>
        <v>-24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0.55540639619939458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-8.0568757985969892</v>
      </c>
      <c r="AB246" s="4">
        <f>Games[[#This Row],[PreGmRate]]+Games[[#This Row],[RatingChange]]</f>
        <v>1304.0050581523774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43294</v>
      </c>
      <c r="B247" s="2">
        <v>2018</v>
      </c>
      <c r="C247" s="2">
        <f>COUNTIFS(Games[Team],Games[[#This Row],[Team]],Games[Season],Games[[#This Row],[Season]],Games[Date],"&lt;=" &amp; Games[[#This Row],[Date]])</f>
        <v>20</v>
      </c>
      <c r="D247" s="2" t="s">
        <v>79</v>
      </c>
      <c r="E247" s="2" t="s">
        <v>80</v>
      </c>
      <c r="F247" s="1" t="s">
        <v>77</v>
      </c>
      <c r="G247" s="1" t="s">
        <v>69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1469.8372899751982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1312.0619339509744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0.80087479505285109</v>
      </c>
      <c r="R247" s="1">
        <v>98</v>
      </c>
      <c r="S247" s="1">
        <v>74</v>
      </c>
      <c r="T247" s="1">
        <v>0</v>
      </c>
      <c r="U247" s="1">
        <f>Games[[#This Row],[PointsFor]]-Games[[#This Row],[PointsAgainst]]</f>
        <v>24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0.55540639619939458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8.073465110467815</v>
      </c>
      <c r="AB247" s="4">
        <f>Games[[#This Row],[PreGmRate]]+Games[[#This Row],[RatingChange]]</f>
        <v>1477.9107550856661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43294</v>
      </c>
      <c r="B248" s="2">
        <v>2018</v>
      </c>
      <c r="C248" s="2">
        <f>COUNTIFS(Games[Team],Games[[#This Row],[Team]],Games[Season],Games[[#This Row],[Season]],Games[Date],"&lt;=" &amp; Games[[#This Row],[Date]])</f>
        <v>22</v>
      </c>
      <c r="D248" s="2" t="s">
        <v>79</v>
      </c>
      <c r="E248" s="2" t="s">
        <v>80</v>
      </c>
      <c r="F248" s="1" t="s">
        <v>40</v>
      </c>
      <c r="G248" s="1" t="s">
        <v>74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1568.8312538321379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1522.8420421879316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0.46836623859542181</v>
      </c>
      <c r="R248" s="1">
        <v>87</v>
      </c>
      <c r="S248" s="1">
        <v>91</v>
      </c>
      <c r="T248" s="1">
        <v>0</v>
      </c>
      <c r="U248" s="1">
        <f>Games[[#This Row],[PointsFor]]-Games[[#This Row],[PointsAgainst]]</f>
        <v>-4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0.29993781518500917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72.7</v>
      </c>
      <c r="Z248" s="4">
        <f>Games[[#This Row],[K]]*Games[[#This Row],[POMult]]</f>
        <v>72.7</v>
      </c>
      <c r="AA248" s="4">
        <f>(Games[[#This Row],[Keff]]*Games[[#This Row],[MOVMult]])*(Games[[#This Row],[Result]]-Games[[#This Row],[ExpectedWin%]])</f>
        <v>-10.212950256790183</v>
      </c>
      <c r="AB248" s="4">
        <f>Games[[#This Row],[PreGmRate]]+Games[[#This Row],[RatingChange]]</f>
        <v>1558.6183035753477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43294</v>
      </c>
      <c r="B249" s="2">
        <v>2018</v>
      </c>
      <c r="C249" s="2">
        <f>COUNTIFS(Games[Team],Games[[#This Row],[Team]],Games[Season],Games[[#This Row],[Season]],Games[Date],"&lt;=" &amp; Games[[#This Row],[Date]])</f>
        <v>21</v>
      </c>
      <c r="D249" s="2" t="s">
        <v>79</v>
      </c>
      <c r="E249" s="2" t="s">
        <v>80</v>
      </c>
      <c r="F249" s="1" t="s">
        <v>74</v>
      </c>
      <c r="G249" s="1" t="s">
        <v>40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1522.8420421879316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1568.8312538321379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0.53163376140457819</v>
      </c>
      <c r="R249" s="1">
        <v>91</v>
      </c>
      <c r="S249" s="1">
        <v>87</v>
      </c>
      <c r="T249" s="1">
        <v>0</v>
      </c>
      <c r="U249" s="1">
        <f>Games[[#This Row],[PointsFor]]-Games[[#This Row],[PointsAgainst]]</f>
        <v>4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0.29993781518500917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72.849999999999994</v>
      </c>
      <c r="Z249" s="4">
        <f>Games[[#This Row],[K]]*Games[[#This Row],[POMult]]</f>
        <v>72.849999999999994</v>
      </c>
      <c r="AA249" s="4">
        <f>(Games[[#This Row],[Keff]]*Games[[#This Row],[MOVMult]])*(Games[[#This Row],[Result]]-Games[[#This Row],[ExpectedWin%]])</f>
        <v>10.234022368736792</v>
      </c>
      <c r="AB249" s="4">
        <f>Games[[#This Row],[PreGmRate]]+Games[[#This Row],[RatingChange]]</f>
        <v>1533.0760645566684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43294</v>
      </c>
      <c r="B250" s="2">
        <v>2018</v>
      </c>
      <c r="C250" s="2">
        <f>COUNTIFS(Games[Team],Games[[#This Row],[Team]],Games[Season],Games[[#This Row],[Season]],Games[Date],"&lt;=" &amp; Games[[#This Row],[Date]])</f>
        <v>22</v>
      </c>
      <c r="D250" s="2" t="s">
        <v>79</v>
      </c>
      <c r="E250" s="2" t="s">
        <v>80</v>
      </c>
      <c r="F250" s="1" t="s">
        <v>86</v>
      </c>
      <c r="G250" s="1" t="s">
        <v>67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1</v>
      </c>
      <c r="L250" s="2">
        <f>Games[[#This Row],[OppDaysOff]]-Games[[#This Row],[DaysOff]]</f>
        <v>-1</v>
      </c>
      <c r="M250" s="1">
        <f>MAX(-16, MIN(16, Games[[#This Row],[RestDiff]]*8))</f>
        <v>8</v>
      </c>
      <c r="N250" s="1">
        <f>MAX(-16, MIN(16, Games[[#This Row],[OppRestDiff]]*8))</f>
        <v>-8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1466.1854592629215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1621.9783750926431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0.21614821839532378</v>
      </c>
      <c r="R250" s="1">
        <v>85</v>
      </c>
      <c r="S250" s="1">
        <v>77</v>
      </c>
      <c r="T250" s="1">
        <v>0</v>
      </c>
      <c r="U250" s="1">
        <f>Games[[#This Row],[PointsFor]]-Games[[#This Row],[PointsAgainst]]</f>
        <v>8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0.34369455435488527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72.7</v>
      </c>
      <c r="Z250" s="4">
        <f>Games[[#This Row],[K]]*Games[[#This Row],[POMult]]</f>
        <v>72.7</v>
      </c>
      <c r="AA250" s="4">
        <f>(Games[[#This Row],[Keff]]*Games[[#This Row],[MOVMult]])*(Games[[#This Row],[Result]]-Games[[#This Row],[ExpectedWin%]])</f>
        <v>19.585786302772178</v>
      </c>
      <c r="AB250" s="4">
        <f>Games[[#This Row],[PreGmRate]]+Games[[#This Row],[RatingChange]]</f>
        <v>1485.7712455656938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43294</v>
      </c>
      <c r="B251" s="2">
        <v>2018</v>
      </c>
      <c r="C251" s="2">
        <f>COUNTIFS(Games[Team],Games[[#This Row],[Team]],Games[Season],Games[[#This Row],[Season]],Games[Date],"&lt;=" &amp; Games[[#This Row],[Date]])</f>
        <v>21</v>
      </c>
      <c r="D251" s="2" t="s">
        <v>79</v>
      </c>
      <c r="E251" s="2" t="s">
        <v>80</v>
      </c>
      <c r="F251" s="1" t="s">
        <v>67</v>
      </c>
      <c r="G251" s="1" t="s">
        <v>86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-1</v>
      </c>
      <c r="L251" s="2">
        <f>Games[[#This Row],[OppDaysOff]]-Games[[#This Row],[DaysOff]]</f>
        <v>1</v>
      </c>
      <c r="M251" s="1">
        <f>MAX(-16, MIN(16, Games[[#This Row],[RestDiff]]*8))</f>
        <v>-8</v>
      </c>
      <c r="N251" s="1">
        <f>MAX(-16, MIN(16, Games[[#This Row],[OppRestDiff]]*8))</f>
        <v>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1621.9783750926431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1466.1854592629215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0.78385178160467628</v>
      </c>
      <c r="R251" s="1">
        <v>77</v>
      </c>
      <c r="S251" s="1">
        <v>85</v>
      </c>
      <c r="T251" s="1">
        <v>0</v>
      </c>
      <c r="U251" s="1">
        <f>Games[[#This Row],[PointsFor]]-Games[[#This Row],[PointsAgainst]]</f>
        <v>-8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0.34369455435488527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-19.626197141086013</v>
      </c>
      <c r="AB251" s="4">
        <f>Games[[#This Row],[PreGmRate]]+Games[[#This Row],[RatingChange]]</f>
        <v>1602.352177951557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43294</v>
      </c>
      <c r="B252" s="2">
        <v>2018</v>
      </c>
      <c r="C252" s="2">
        <f>COUNTIFS(Games[Team],Games[[#This Row],[Team]],Games[Season],Games[[#This Row],[Season]],Games[Date],"&lt;=" &amp; Games[[#This Row],[Date]])</f>
        <v>21</v>
      </c>
      <c r="D252" s="2" t="s">
        <v>79</v>
      </c>
      <c r="E252" s="2" t="s">
        <v>80</v>
      </c>
      <c r="F252" s="1" t="s">
        <v>75</v>
      </c>
      <c r="G252" s="1" t="s">
        <v>65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1</v>
      </c>
      <c r="L252" s="2">
        <f>Games[[#This Row],[OppDaysOff]]-Games[[#This Row],[DaysOff]]</f>
        <v>-1</v>
      </c>
      <c r="M252" s="1">
        <f>MAX(-16, MIN(16, Games[[#This Row],[RestDiff]]*8))</f>
        <v>8</v>
      </c>
      <c r="N252" s="1">
        <f>MAX(-16, MIN(16, Games[[#This Row],[OppRestDiff]]*8))</f>
        <v>-8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1386.9618047864028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1514.5864258367246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0.24488047000433338</v>
      </c>
      <c r="R252" s="1">
        <v>72</v>
      </c>
      <c r="S252" s="1">
        <v>88</v>
      </c>
      <c r="T252" s="1">
        <v>0</v>
      </c>
      <c r="U252" s="1">
        <f>Games[[#This Row],[PointsFor]]-Games[[#This Row],[PointsAgainst]]</f>
        <v>-16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0.46801123516714521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-8.3491061984725992</v>
      </c>
      <c r="AB252" s="4">
        <f>Games[[#This Row],[PreGmRate]]+Games[[#This Row],[RatingChange]]</f>
        <v>1378.6126985879303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43294</v>
      </c>
      <c r="B253" s="2">
        <v>2018</v>
      </c>
      <c r="C253" s="2">
        <f>COUNTIFS(Games[Team],Games[[#This Row],[Team]],Games[Season],Games[[#This Row],[Season]],Games[Date],"&lt;=" &amp; Games[[#This Row],[Date]])</f>
        <v>21</v>
      </c>
      <c r="D253" s="2" t="s">
        <v>79</v>
      </c>
      <c r="E253" s="2" t="s">
        <v>80</v>
      </c>
      <c r="F253" s="1" t="s">
        <v>65</v>
      </c>
      <c r="G253" s="1" t="s">
        <v>75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-1</v>
      </c>
      <c r="L253" s="2">
        <f>Games[[#This Row],[OppDaysOff]]-Games[[#This Row],[DaysOff]]</f>
        <v>1</v>
      </c>
      <c r="M253" s="1">
        <f>MAX(-16, MIN(16, Games[[#This Row],[RestDiff]]*8))</f>
        <v>-8</v>
      </c>
      <c r="N253" s="1">
        <f>MAX(-16, MIN(16, Games[[#This Row],[OppRestDiff]]*8))</f>
        <v>8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1514.5864258367246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1386.9618047864028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0.75511952999566656</v>
      </c>
      <c r="R253" s="1">
        <v>88</v>
      </c>
      <c r="S253" s="1">
        <v>72</v>
      </c>
      <c r="T253" s="1">
        <v>0</v>
      </c>
      <c r="U253" s="1">
        <f>Games[[#This Row],[PointsFor]]-Games[[#This Row],[PointsAgainst]]</f>
        <v>16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0.46801123516714521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72.849999999999994</v>
      </c>
      <c r="Z253" s="4">
        <f>Games[[#This Row],[K]]*Games[[#This Row],[POMult]]</f>
        <v>72.849999999999994</v>
      </c>
      <c r="AA253" s="4">
        <f>(Games[[#This Row],[Keff]]*Games[[#This Row],[MOVMult]])*(Games[[#This Row],[Result]]-Games[[#This Row],[ExpectedWin%]])</f>
        <v>8.3491061984726009</v>
      </c>
      <c r="AB253" s="4">
        <f>Games[[#This Row],[PreGmRate]]+Games[[#This Row],[RatingChange]]</f>
        <v>1522.9355320351972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43295</v>
      </c>
      <c r="B254" s="2">
        <v>2018</v>
      </c>
      <c r="C254" s="2">
        <f>COUNTIFS(Games[Team],Games[[#This Row],[Team]],Games[Season],Games[[#This Row],[Season]],Games[Date],"&lt;=" &amp; Games[[#This Row],[Date]])</f>
        <v>21</v>
      </c>
      <c r="D254" s="2" t="s">
        <v>79</v>
      </c>
      <c r="E254" s="2" t="s">
        <v>80</v>
      </c>
      <c r="F254" s="1" t="s">
        <v>85</v>
      </c>
      <c r="G254" s="1" t="s">
        <v>71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4" s="2">
        <f>Games[[#This Row],[DaysOff]]-Games[[#This Row],[OppDaysOff]]</f>
        <v>-2</v>
      </c>
      <c r="L254" s="2">
        <f>Games[[#This Row],[OppDaysOff]]-Games[[#This Row],[DaysOff]]</f>
        <v>2</v>
      </c>
      <c r="M254" s="1">
        <f>MAX(-16, MIN(16, Games[[#This Row],[RestDiff]]*8))</f>
        <v>-16</v>
      </c>
      <c r="N254" s="1">
        <f>MAX(-16, MIN(16, Games[[#This Row],[OppRestDiff]]*8))</f>
        <v>16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1571.6541976935916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1607.3154830332669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0.2946236861596403</v>
      </c>
      <c r="R254" s="1">
        <v>84</v>
      </c>
      <c r="S254" s="1">
        <v>91</v>
      </c>
      <c r="T254" s="1">
        <v>0</v>
      </c>
      <c r="U254" s="1">
        <f>Games[[#This Row],[PointsFor]]-Games[[#This Row],[PointsAgainst]]</f>
        <v>-7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0.35942584934389682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-7.7144776050421493</v>
      </c>
      <c r="AB254" s="4">
        <f>Games[[#This Row],[PreGmRate]]+Games[[#This Row],[RatingChange]]</f>
        <v>1563.9397200885494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43295</v>
      </c>
      <c r="B255" s="2">
        <v>2018</v>
      </c>
      <c r="C255" s="2">
        <f>COUNTIFS(Games[Team],Games[[#This Row],[Team]],Games[Season],Games[[#This Row],[Season]],Games[Date],"&lt;=" &amp; Games[[#This Row],[Date]])</f>
        <v>22</v>
      </c>
      <c r="D255" s="2" t="s">
        <v>79</v>
      </c>
      <c r="E255" s="2" t="s">
        <v>80</v>
      </c>
      <c r="F255" s="1" t="s">
        <v>71</v>
      </c>
      <c r="G255" s="1" t="s">
        <v>85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2</v>
      </c>
      <c r="L255" s="2">
        <f>Games[[#This Row],[OppDaysOff]]-Games[[#This Row],[DaysOff]]</f>
        <v>-2</v>
      </c>
      <c r="M255" s="1">
        <f>MAX(-16, MIN(16, Games[[#This Row],[RestDiff]]*8))</f>
        <v>16</v>
      </c>
      <c r="N255" s="1">
        <f>MAX(-16, MIN(16, Games[[#This Row],[OppRestDiff]]*8))</f>
        <v>-16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1607.3154830332669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1571.6541976935916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0.70537631384035981</v>
      </c>
      <c r="R255" s="1">
        <v>91</v>
      </c>
      <c r="S255" s="1">
        <v>84</v>
      </c>
      <c r="T255" s="1">
        <v>0</v>
      </c>
      <c r="U255" s="1">
        <f>Games[[#This Row],[PointsFor]]-Games[[#This Row],[PointsAgainst]]</f>
        <v>7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0.35942584934389682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7.6985932997469337</v>
      </c>
      <c r="AB255" s="4">
        <f>Games[[#This Row],[PreGmRate]]+Games[[#This Row],[RatingChange]]</f>
        <v>1615.0140763330139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43296</v>
      </c>
      <c r="B256" s="2">
        <v>2018</v>
      </c>
      <c r="C256" s="2">
        <f>COUNTIFS(Games[Team],Games[[#This Row],[Team]],Games[Season],Games[[#This Row],[Season]],Games[Date],"&lt;=" &amp; Games[[#This Row],[Date]])</f>
        <v>22</v>
      </c>
      <c r="D256" s="2" t="s">
        <v>79</v>
      </c>
      <c r="E256" s="2" t="s">
        <v>80</v>
      </c>
      <c r="F256" s="1" t="s">
        <v>65</v>
      </c>
      <c r="G256" s="1" t="s">
        <v>77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1522.9355320351972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1477.9107550856661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0.44414425052044143</v>
      </c>
      <c r="R256" s="1">
        <v>77</v>
      </c>
      <c r="S256" s="1">
        <v>80</v>
      </c>
      <c r="T256" s="1">
        <v>0</v>
      </c>
      <c r="U256" s="1">
        <f>Games[[#This Row],[PointsFor]]-Games[[#This Row],[PointsAgainst]]</f>
        <v>-3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0.27968939395056336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-9.0309711157159231</v>
      </c>
      <c r="AB256" s="4">
        <f>Games[[#This Row],[PreGmRate]]+Games[[#This Row],[RatingChange]]</f>
        <v>1513.9045609194814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43296</v>
      </c>
      <c r="B257" s="2">
        <v>2018</v>
      </c>
      <c r="C257" s="2">
        <f>COUNTIFS(Games[Team],Games[[#This Row],[Team]],Games[Season],Games[[#This Row],[Season]],Games[Date],"&lt;=" &amp; Games[[#This Row],[Date]])</f>
        <v>21</v>
      </c>
      <c r="D257" s="2" t="s">
        <v>79</v>
      </c>
      <c r="E257" s="2" t="s">
        <v>80</v>
      </c>
      <c r="F257" s="1" t="s">
        <v>77</v>
      </c>
      <c r="G257" s="1" t="s">
        <v>65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1477.9107550856661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1522.9355320351972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0.55585574947955863</v>
      </c>
      <c r="R257" s="1">
        <v>80</v>
      </c>
      <c r="S257" s="1">
        <v>77</v>
      </c>
      <c r="T257" s="1">
        <v>0</v>
      </c>
      <c r="U257" s="1">
        <f>Games[[#This Row],[PointsFor]]-Games[[#This Row],[PointsAgainst]]</f>
        <v>3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0.27968939395056336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9.049604481154125</v>
      </c>
      <c r="AB257" s="4">
        <f>Games[[#This Row],[PreGmRate]]+Games[[#This Row],[RatingChange]]</f>
        <v>1486.9603595668202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43296</v>
      </c>
      <c r="B258" s="2">
        <v>2018</v>
      </c>
      <c r="C258" s="2">
        <f>COUNTIFS(Games[Team],Games[[#This Row],[Team]],Games[Season],Games[[#This Row],[Season]],Games[Date],"&lt;=" &amp; Games[[#This Row],[Date]])</f>
        <v>23</v>
      </c>
      <c r="D258" s="2" t="s">
        <v>79</v>
      </c>
      <c r="E258" s="2" t="s">
        <v>80</v>
      </c>
      <c r="F258" s="1" t="s">
        <v>40</v>
      </c>
      <c r="G258" s="1" t="s">
        <v>69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1558.6183035753477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1304.0050581523774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0.72753041032352039</v>
      </c>
      <c r="R258" s="1">
        <v>101</v>
      </c>
      <c r="S258" s="1">
        <v>82</v>
      </c>
      <c r="T258" s="1">
        <v>0</v>
      </c>
      <c r="U258" s="1">
        <f>Games[[#This Row],[PointsFor]]-Games[[#This Row],[PointsAgainst]]</f>
        <v>19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0.46278492883651379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72.55</v>
      </c>
      <c r="Z258" s="4">
        <f>Games[[#This Row],[K]]*Games[[#This Row],[POMult]]</f>
        <v>72.55</v>
      </c>
      <c r="AA258" s="4">
        <f>(Games[[#This Row],[Keff]]*Games[[#This Row],[MOVMult]])*(Games[[#This Row],[Result]]-Games[[#This Row],[ExpectedWin%]])</f>
        <v>9.1481791669528469</v>
      </c>
      <c r="AB258" s="4">
        <f>Games[[#This Row],[PreGmRate]]+Games[[#This Row],[RatingChange]]</f>
        <v>1567.7664827423005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43296</v>
      </c>
      <c r="B259" s="2">
        <v>2018</v>
      </c>
      <c r="C259" s="2">
        <f>COUNTIFS(Games[Team],Games[[#This Row],[Team]],Games[Season],Games[[#This Row],[Season]],Games[Date],"&lt;=" &amp; Games[[#This Row],[Date]])</f>
        <v>22</v>
      </c>
      <c r="D259" s="2" t="s">
        <v>79</v>
      </c>
      <c r="E259" s="2" t="s">
        <v>80</v>
      </c>
      <c r="F259" s="1" t="s">
        <v>69</v>
      </c>
      <c r="G259" s="1" t="s">
        <v>40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1304.0050581523774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1558.6183035753477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0.27246958967647961</v>
      </c>
      <c r="R259" s="1">
        <v>82</v>
      </c>
      <c r="S259" s="1">
        <v>101</v>
      </c>
      <c r="T259" s="1">
        <v>0</v>
      </c>
      <c r="U259" s="1">
        <f>Games[[#This Row],[PointsFor]]-Games[[#This Row],[PointsAgainst]]</f>
        <v>-19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0.46278492883651379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-9.1670933899031297</v>
      </c>
      <c r="AB259" s="4">
        <f>Games[[#This Row],[PreGmRate]]+Games[[#This Row],[RatingChange]]</f>
        <v>1294.8379647624743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43296</v>
      </c>
      <c r="B260" s="2">
        <v>2018</v>
      </c>
      <c r="C260" s="2">
        <f>COUNTIFS(Games[Team],Games[[#This Row],[Team]],Games[Season],Games[[#This Row],[Season]],Games[Date],"&lt;=" &amp; Games[[#This Row],[Date]])</f>
        <v>23</v>
      </c>
      <c r="D260" s="2" t="s">
        <v>79</v>
      </c>
      <c r="E260" s="2" t="s">
        <v>80</v>
      </c>
      <c r="F260" s="1" t="s">
        <v>63</v>
      </c>
      <c r="G260" s="1" t="s">
        <v>86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1</v>
      </c>
      <c r="L260" s="2">
        <f>Games[[#This Row],[OppDaysOff]]-Games[[#This Row],[DaysOff]]</f>
        <v>-1</v>
      </c>
      <c r="M260" s="1">
        <f>MAX(-16, MIN(16, Games[[#This Row],[RestDiff]]*8))</f>
        <v>8</v>
      </c>
      <c r="N260" s="1">
        <f>MAX(-16, MIN(16, Games[[#This Row],[OppRestDiff]]*8))</f>
        <v>-8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1541.7614668118581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1485.7712455656938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0.48272341959771164</v>
      </c>
      <c r="R260" s="1">
        <v>99</v>
      </c>
      <c r="S260" s="1">
        <v>78</v>
      </c>
      <c r="T260" s="1">
        <v>0</v>
      </c>
      <c r="U260" s="1">
        <f>Games[[#This Row],[PointsFor]]-Games[[#This Row],[PointsAgainst]]</f>
        <v>21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0.56233841265429474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72.55</v>
      </c>
      <c r="Z260" s="4">
        <f>Games[[#This Row],[K]]*Games[[#This Row],[POMult]]</f>
        <v>72.55</v>
      </c>
      <c r="AA260" s="4">
        <f>(Games[[#This Row],[Keff]]*Games[[#This Row],[MOVMult]])*(Games[[#This Row],[Result]]-Games[[#This Row],[ExpectedWin%]])</f>
        <v>21.103669831239504</v>
      </c>
      <c r="AB260" s="4">
        <f>Games[[#This Row],[PreGmRate]]+Games[[#This Row],[RatingChange]]</f>
        <v>1562.8651366430977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43296</v>
      </c>
      <c r="B261" s="2">
        <v>2018</v>
      </c>
      <c r="C261" s="2">
        <f>COUNTIFS(Games[Team],Games[[#This Row],[Team]],Games[Season],Games[[#This Row],[Season]],Games[Date],"&lt;=" &amp; Games[[#This Row],[Date]])</f>
        <v>23</v>
      </c>
      <c r="D261" s="2" t="s">
        <v>79</v>
      </c>
      <c r="E261" s="2" t="s">
        <v>80</v>
      </c>
      <c r="F261" s="1" t="s">
        <v>86</v>
      </c>
      <c r="G261" s="1" t="s">
        <v>63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1" s="2">
        <f>Games[[#This Row],[DaysOff]]-Games[[#This Row],[OppDaysOff]]</f>
        <v>-1</v>
      </c>
      <c r="L261" s="2">
        <f>Games[[#This Row],[OppDaysOff]]-Games[[#This Row],[DaysOff]]</f>
        <v>1</v>
      </c>
      <c r="M261" s="1">
        <f>MAX(-16, MIN(16, Games[[#This Row],[RestDiff]]*8))</f>
        <v>-8</v>
      </c>
      <c r="N261" s="1">
        <f>MAX(-16, MIN(16, Games[[#This Row],[OppRestDiff]]*8))</f>
        <v>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1485.7712455656938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1541.7614668118581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0.5172765804022883</v>
      </c>
      <c r="R261" s="1">
        <v>78</v>
      </c>
      <c r="S261" s="1">
        <v>99</v>
      </c>
      <c r="T261" s="1">
        <v>0</v>
      </c>
      <c r="U261" s="1">
        <f>Games[[#This Row],[PointsFor]]-Games[[#This Row],[PointsAgainst]]</f>
        <v>-21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0.56233841265429474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-21.103669831239504</v>
      </c>
      <c r="AB261" s="4">
        <f>Games[[#This Row],[PreGmRate]]+Games[[#This Row],[RatingChange]]</f>
        <v>1464.6675757344542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43296</v>
      </c>
      <c r="B262" s="2">
        <v>2018</v>
      </c>
      <c r="C262" s="2">
        <f>COUNTIFS(Games[Team],Games[[#This Row],[Team]],Games[Season],Games[[#This Row],[Season]],Games[Date],"&lt;=" &amp; Games[[#This Row],[Date]])</f>
        <v>22</v>
      </c>
      <c r="D262" s="2" t="s">
        <v>79</v>
      </c>
      <c r="E262" s="2" t="s">
        <v>80</v>
      </c>
      <c r="F262" s="1" t="s">
        <v>74</v>
      </c>
      <c r="G262" s="1" t="s">
        <v>67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1533.0760645566684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1602.352177951557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0.2926955439368687</v>
      </c>
      <c r="R262" s="1">
        <v>83</v>
      </c>
      <c r="S262" s="1">
        <v>64</v>
      </c>
      <c r="T262" s="1">
        <v>0</v>
      </c>
      <c r="U262" s="1">
        <f>Games[[#This Row],[PointsFor]]-Games[[#This Row],[PointsAgainst]]</f>
        <v>19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0.53035984854958551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27.271651781055692</v>
      </c>
      <c r="AB262" s="4">
        <f>Games[[#This Row],[PreGmRate]]+Games[[#This Row],[RatingChange]]</f>
        <v>1560.347716337724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43296</v>
      </c>
      <c r="B263" s="2">
        <v>2018</v>
      </c>
      <c r="C263" s="2">
        <f>COUNTIFS(Games[Team],Games[[#This Row],[Team]],Games[Season],Games[[#This Row],[Season]],Games[Date],"&lt;=" &amp; Games[[#This Row],[Date]])</f>
        <v>22</v>
      </c>
      <c r="D263" s="2" t="s">
        <v>79</v>
      </c>
      <c r="E263" s="2" t="s">
        <v>80</v>
      </c>
      <c r="F263" s="1" t="s">
        <v>67</v>
      </c>
      <c r="G263" s="1" t="s">
        <v>74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1602.352177951557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1533.0760645566684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0.7073044560631313</v>
      </c>
      <c r="R263" s="1">
        <v>64</v>
      </c>
      <c r="S263" s="1">
        <v>83</v>
      </c>
      <c r="T263" s="1">
        <v>0</v>
      </c>
      <c r="U263" s="1">
        <f>Games[[#This Row],[PointsFor]]-Games[[#This Row],[PointsAgainst]]</f>
        <v>-19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0.53035984854958551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-27.271651781055692</v>
      </c>
      <c r="AB263" s="4">
        <f>Games[[#This Row],[PreGmRate]]+Games[[#This Row],[RatingChange]]</f>
        <v>1575.0805261705013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43296</v>
      </c>
      <c r="B264" s="2">
        <v>2018</v>
      </c>
      <c r="C264" s="2">
        <f>COUNTIFS(Games[Team],Games[[#This Row],[Team]],Games[Season],Games[[#This Row],[Season]],Games[Date],"&lt;=" &amp; Games[[#This Row],[Date]])</f>
        <v>22</v>
      </c>
      <c r="D264" s="2" t="s">
        <v>79</v>
      </c>
      <c r="E264" s="2" t="s">
        <v>80</v>
      </c>
      <c r="F264" s="1" t="s">
        <v>75</v>
      </c>
      <c r="G264" s="1" t="s">
        <v>60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4" s="2">
        <f>Games[[#This Row],[DaysOff]]-Games[[#This Row],[OppDaysOff]]</f>
        <v>-2</v>
      </c>
      <c r="L264" s="2">
        <f>Games[[#This Row],[OppDaysOff]]-Games[[#This Row],[DaysOff]]</f>
        <v>2</v>
      </c>
      <c r="M264" s="1">
        <f>MAX(-16, MIN(16, Games[[#This Row],[RestDiff]]*8))</f>
        <v>-16</v>
      </c>
      <c r="N264" s="1">
        <f>MAX(-16, MIN(16, Games[[#This Row],[OppRestDiff]]*8))</f>
        <v>16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1378.6126985879303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1416.2800703869166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0.29222948700567619</v>
      </c>
      <c r="R264" s="1">
        <v>84</v>
      </c>
      <c r="S264" s="1">
        <v>107</v>
      </c>
      <c r="T264" s="1">
        <v>0</v>
      </c>
      <c r="U264" s="1">
        <f>Games[[#This Row],[PointsFor]]-Games[[#This Row],[PointsAgainst]]</f>
        <v>-23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0.59661047863048045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-12.675039557971207</v>
      </c>
      <c r="AB264" s="4">
        <f>Games[[#This Row],[PreGmRate]]+Games[[#This Row],[RatingChange]]</f>
        <v>1365.9376590299591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43296</v>
      </c>
      <c r="B265" s="2">
        <v>2018</v>
      </c>
      <c r="C265" s="2">
        <f>COUNTIFS(Games[Team],Games[[#This Row],[Team]],Games[Season],Games[[#This Row],[Season]],Games[Date],"&lt;=" &amp; Games[[#This Row],[Date]])</f>
        <v>21</v>
      </c>
      <c r="D265" s="2" t="s">
        <v>79</v>
      </c>
      <c r="E265" s="2" t="s">
        <v>80</v>
      </c>
      <c r="F265" s="1" t="s">
        <v>60</v>
      </c>
      <c r="G265" s="1" t="s">
        <v>75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2</v>
      </c>
      <c r="L265" s="2">
        <f>Games[[#This Row],[OppDaysOff]]-Games[[#This Row],[DaysOff]]</f>
        <v>-2</v>
      </c>
      <c r="M265" s="1">
        <f>MAX(-16, MIN(16, Games[[#This Row],[RestDiff]]*8))</f>
        <v>16</v>
      </c>
      <c r="N265" s="1">
        <f>MAX(-16, MIN(16, Games[[#This Row],[OppRestDiff]]*8))</f>
        <v>-16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1416.2800703869166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1378.6126985879303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0.70777051299432381</v>
      </c>
      <c r="R265" s="1">
        <v>107</v>
      </c>
      <c r="S265" s="1">
        <v>84</v>
      </c>
      <c r="T265" s="1">
        <v>0</v>
      </c>
      <c r="U265" s="1">
        <f>Games[[#This Row],[PointsFor]]-Games[[#This Row],[PointsAgainst]]</f>
        <v>23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0.59661047863048045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72.849999999999994</v>
      </c>
      <c r="Z265" s="4">
        <f>Games[[#This Row],[K]]*Games[[#This Row],[POMult]]</f>
        <v>72.849999999999994</v>
      </c>
      <c r="AA265" s="4">
        <f>(Games[[#This Row],[Keff]]*Games[[#This Row],[MOVMult]])*(Games[[#This Row],[Result]]-Games[[#This Row],[ExpectedWin%]])</f>
        <v>12.701191634088065</v>
      </c>
      <c r="AB265" s="4">
        <f>Games[[#This Row],[PreGmRate]]+Games[[#This Row],[RatingChange]]</f>
        <v>1428.9812620210046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43298</v>
      </c>
      <c r="B266" s="2">
        <v>2018</v>
      </c>
      <c r="C266" s="2">
        <f>COUNTIFS(Games[Team],Games[[#This Row],[Team]],Games[Season],Games[[#This Row],[Season]],Games[Date],"&lt;=" &amp; Games[[#This Row],[Date]])</f>
        <v>22</v>
      </c>
      <c r="D266" s="2" t="s">
        <v>79</v>
      </c>
      <c r="E266" s="2" t="s">
        <v>80</v>
      </c>
      <c r="F266" s="1" t="s">
        <v>77</v>
      </c>
      <c r="G266" s="1" t="s">
        <v>74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1486.9603595668202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1560.347716337724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0.28782019470853759</v>
      </c>
      <c r="R266" s="1">
        <v>86</v>
      </c>
      <c r="S266" s="1">
        <v>83</v>
      </c>
      <c r="T266" s="1">
        <v>0</v>
      </c>
      <c r="U266" s="1">
        <f>Games[[#This Row],[PointsFor]]-Games[[#This Row],[PointsAgainst]]</f>
        <v>3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0.27345977912131747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14.158509094550734</v>
      </c>
      <c r="AB266" s="4">
        <f>Games[[#This Row],[PreGmRate]]+Games[[#This Row],[RatingChange]]</f>
        <v>1501.1188686613709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43298</v>
      </c>
      <c r="B267" s="2">
        <v>2018</v>
      </c>
      <c r="C267" s="2">
        <f>COUNTIFS(Games[Team],Games[[#This Row],[Team]],Games[Season],Games[[#This Row],[Season]],Games[Date],"&lt;=" &amp; Games[[#This Row],[Date]])</f>
        <v>23</v>
      </c>
      <c r="D267" s="2" t="s">
        <v>79</v>
      </c>
      <c r="E267" s="2" t="s">
        <v>80</v>
      </c>
      <c r="F267" s="1" t="s">
        <v>74</v>
      </c>
      <c r="G267" s="1" t="s">
        <v>77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1560.347716337724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1486.9603595668202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0.71217980529146241</v>
      </c>
      <c r="R267" s="1">
        <v>83</v>
      </c>
      <c r="S267" s="1">
        <v>86</v>
      </c>
      <c r="T267" s="1">
        <v>0</v>
      </c>
      <c r="U267" s="1">
        <f>Games[[#This Row],[PointsFor]]-Games[[#This Row],[PointsAgainst]]</f>
        <v>-3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0.27345977912131747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72.55</v>
      </c>
      <c r="Z267" s="4">
        <f>Games[[#This Row],[K]]*Games[[#This Row],[POMult]]</f>
        <v>72.55</v>
      </c>
      <c r="AA267" s="4">
        <f>(Games[[#This Row],[Keff]]*Games[[#This Row],[MOVMult]])*(Games[[#This Row],[Result]]-Games[[#This Row],[ExpectedWin%]])</f>
        <v>-14.129296214713282</v>
      </c>
      <c r="AB267" s="4">
        <f>Games[[#This Row],[PreGmRate]]+Games[[#This Row],[RatingChange]]</f>
        <v>1546.2184201230107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43298</v>
      </c>
      <c r="B268" s="2">
        <v>2018</v>
      </c>
      <c r="C268" s="2">
        <f>COUNTIFS(Games[Team],Games[[#This Row],[Team]],Games[Season],Games[[#This Row],[Season]],Games[Date],"&lt;=" &amp; Games[[#This Row],[Date]])</f>
        <v>22</v>
      </c>
      <c r="D268" s="2" t="s">
        <v>79</v>
      </c>
      <c r="E268" s="2" t="s">
        <v>80</v>
      </c>
      <c r="F268" s="1" t="s">
        <v>60</v>
      </c>
      <c r="G268" s="1" t="s">
        <v>85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1428.9812620210046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1563.9397200885494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0.20545711961808502</v>
      </c>
      <c r="R268" s="1">
        <v>87</v>
      </c>
      <c r="S268" s="1">
        <v>104</v>
      </c>
      <c r="T268" s="1">
        <v>0</v>
      </c>
      <c r="U268" s="1">
        <f>Games[[#This Row],[PointsFor]]-Games[[#This Row],[PointsAgainst]]</f>
        <v>-17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0.47861450596994448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-7.1489368923520757</v>
      </c>
      <c r="AB268" s="4">
        <f>Games[[#This Row],[PreGmRate]]+Games[[#This Row],[RatingChange]]</f>
        <v>1421.8323251286524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43298</v>
      </c>
      <c r="B269" s="2">
        <v>2018</v>
      </c>
      <c r="C269" s="2">
        <f>COUNTIFS(Games[Team],Games[[#This Row],[Team]],Games[Season],Games[[#This Row],[Season]],Games[Date],"&lt;=" &amp; Games[[#This Row],[Date]])</f>
        <v>22</v>
      </c>
      <c r="D269" s="2" t="s">
        <v>79</v>
      </c>
      <c r="E269" s="2" t="s">
        <v>80</v>
      </c>
      <c r="F269" s="1" t="s">
        <v>85</v>
      </c>
      <c r="G269" s="1" t="s">
        <v>60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1563.9397200885494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1428.9812620210046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0.79454288038191501</v>
      </c>
      <c r="R269" s="1">
        <v>104</v>
      </c>
      <c r="S269" s="1">
        <v>87</v>
      </c>
      <c r="T269" s="1">
        <v>0</v>
      </c>
      <c r="U269" s="1">
        <f>Games[[#This Row],[PointsFor]]-Games[[#This Row],[PointsAgainst]]</f>
        <v>17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0.47861450596994448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7.1489368923520749</v>
      </c>
      <c r="AB269" s="4">
        <f>Games[[#This Row],[PreGmRate]]+Games[[#This Row],[RatingChange]]</f>
        <v>1571.0886569809015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43299</v>
      </c>
      <c r="B270" s="2">
        <v>2018</v>
      </c>
      <c r="C270" s="2">
        <f>COUNTIFS(Games[Team],Games[[#This Row],[Team]],Games[Season],Games[[#This Row],[Season]],Games[Date],"&lt;=" &amp; Games[[#This Row],[Date]])</f>
        <v>23</v>
      </c>
      <c r="D270" s="2" t="s">
        <v>79</v>
      </c>
      <c r="E270" s="2" t="s">
        <v>80</v>
      </c>
      <c r="F270" s="1" t="s">
        <v>71</v>
      </c>
      <c r="G270" s="1" t="s">
        <v>75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1</v>
      </c>
      <c r="L270" s="2">
        <f>Games[[#This Row],[OppDaysOff]]-Games[[#This Row],[DaysOff]]</f>
        <v>-1</v>
      </c>
      <c r="M270" s="1">
        <f>MAX(-16, MIN(16, Games[[#This Row],[RestDiff]]*8))</f>
        <v>8</v>
      </c>
      <c r="N270" s="1">
        <f>MAX(-16, MIN(16, Games[[#This Row],[OppRestDiff]]*8))</f>
        <v>-8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1615.0140763330139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1365.9376590299591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0.73930504507350259</v>
      </c>
      <c r="R270" s="1">
        <v>101</v>
      </c>
      <c r="S270" s="1">
        <v>83</v>
      </c>
      <c r="T270" s="1">
        <v>0</v>
      </c>
      <c r="U270" s="1">
        <f>Games[[#This Row],[PointsFor]]-Games[[#This Row],[PointsAgainst]]</f>
        <v>18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0.45284065817099683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72.55</v>
      </c>
      <c r="Z270" s="4">
        <f>Games[[#This Row],[K]]*Games[[#This Row],[POMult]]</f>
        <v>72.55</v>
      </c>
      <c r="AA270" s="4">
        <f>(Games[[#This Row],[Keff]]*Games[[#This Row],[MOVMult]])*(Games[[#This Row],[Result]]-Games[[#This Row],[ExpectedWin%]])</f>
        <v>8.5647650991296143</v>
      </c>
      <c r="AB270" s="4">
        <f>Games[[#This Row],[PreGmRate]]+Games[[#This Row],[RatingChange]]</f>
        <v>1623.5788414321435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43299</v>
      </c>
      <c r="B271" s="2">
        <v>2018</v>
      </c>
      <c r="C271" s="2">
        <f>COUNTIFS(Games[Team],Games[[#This Row],[Team]],Games[Season],Games[[#This Row],[Season]],Games[Date],"&lt;=" &amp; Games[[#This Row],[Date]])</f>
        <v>23</v>
      </c>
      <c r="D271" s="2" t="s">
        <v>79</v>
      </c>
      <c r="E271" s="2" t="s">
        <v>80</v>
      </c>
      <c r="F271" s="1" t="s">
        <v>75</v>
      </c>
      <c r="G271" s="1" t="s">
        <v>71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1" s="2">
        <f>Games[[#This Row],[DaysOff]]-Games[[#This Row],[OppDaysOff]]</f>
        <v>-1</v>
      </c>
      <c r="L271" s="2">
        <f>Games[[#This Row],[OppDaysOff]]-Games[[#This Row],[DaysOff]]</f>
        <v>1</v>
      </c>
      <c r="M271" s="1">
        <f>MAX(-16, MIN(16, Games[[#This Row],[RestDiff]]*8))</f>
        <v>-8</v>
      </c>
      <c r="N271" s="1">
        <f>MAX(-16, MIN(16, Games[[#This Row],[OppRestDiff]]*8))</f>
        <v>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1365.9376590299591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1615.0140763330139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0.26069495492649736</v>
      </c>
      <c r="R271" s="1">
        <v>83</v>
      </c>
      <c r="S271" s="1">
        <v>101</v>
      </c>
      <c r="T271" s="1">
        <v>0</v>
      </c>
      <c r="U271" s="1">
        <f>Games[[#This Row],[PointsFor]]-Games[[#This Row],[PointsAgainst]]</f>
        <v>-18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0.45284065817099683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72.55</v>
      </c>
      <c r="Z271" s="4">
        <f>Games[[#This Row],[K]]*Games[[#This Row],[POMult]]</f>
        <v>72.55</v>
      </c>
      <c r="AA271" s="4">
        <f>(Games[[#This Row],[Keff]]*Games[[#This Row],[MOVMult]])*(Games[[#This Row],[Result]]-Games[[#This Row],[ExpectedWin%]])</f>
        <v>-8.5647650991296125</v>
      </c>
      <c r="AB271" s="4">
        <f>Games[[#This Row],[PreGmRate]]+Games[[#This Row],[RatingChange]]</f>
        <v>1357.3728939308296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43299</v>
      </c>
      <c r="B272" s="2">
        <v>2018</v>
      </c>
      <c r="C272" s="2">
        <f>COUNTIFS(Games[Team],Games[[#This Row],[Team]],Games[Season],Games[[#This Row],[Season]],Games[Date],"&lt;=" &amp; Games[[#This Row],[Date]])</f>
        <v>23</v>
      </c>
      <c r="D272" s="2" t="s">
        <v>79</v>
      </c>
      <c r="E272" s="2" t="s">
        <v>80</v>
      </c>
      <c r="F272" s="1" t="s">
        <v>69</v>
      </c>
      <c r="G272" s="1" t="s">
        <v>67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1294.8379647624743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1575.0805261705013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0.1094132292456758</v>
      </c>
      <c r="R272" s="1">
        <v>65</v>
      </c>
      <c r="S272" s="1">
        <v>89</v>
      </c>
      <c r="T272" s="1">
        <v>0</v>
      </c>
      <c r="U272" s="1">
        <f>Games[[#This Row],[PointsFor]]-Games[[#This Row],[PointsAgainst]]</f>
        <v>-24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0.50945509675146583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72.55</v>
      </c>
      <c r="Z272" s="4">
        <f>Games[[#This Row],[K]]*Games[[#This Row],[POMult]]</f>
        <v>72.55</v>
      </c>
      <c r="AA272" s="4">
        <f>(Games[[#This Row],[Keff]]*Games[[#This Row],[MOVMult]])*(Games[[#This Row],[Result]]-Games[[#This Row],[ExpectedWin%]])</f>
        <v>-4.0440187849799027</v>
      </c>
      <c r="AB272" s="4">
        <f>Games[[#This Row],[PreGmRate]]+Games[[#This Row],[RatingChange]]</f>
        <v>1290.7939459774943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43299</v>
      </c>
      <c r="B273" s="2">
        <v>2018</v>
      </c>
      <c r="C273" s="2">
        <f>COUNTIFS(Games[Team],Games[[#This Row],[Team]],Games[Season],Games[[#This Row],[Season]],Games[Date],"&lt;=" &amp; Games[[#This Row],[Date]])</f>
        <v>23</v>
      </c>
      <c r="D273" s="2" t="s">
        <v>79</v>
      </c>
      <c r="E273" s="2" t="s">
        <v>80</v>
      </c>
      <c r="F273" s="1" t="s">
        <v>67</v>
      </c>
      <c r="G273" s="1" t="s">
        <v>69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1575.0805261705013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1294.8379647624743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0.89058677075432424</v>
      </c>
      <c r="R273" s="1">
        <v>89</v>
      </c>
      <c r="S273" s="1">
        <v>65</v>
      </c>
      <c r="T273" s="1">
        <v>0</v>
      </c>
      <c r="U273" s="1">
        <f>Games[[#This Row],[PointsFor]]-Games[[#This Row],[PointsAgainst]]</f>
        <v>24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0.50945509675146583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4.044018784979901</v>
      </c>
      <c r="AB273" s="4">
        <f>Games[[#This Row],[PreGmRate]]+Games[[#This Row],[RatingChange]]</f>
        <v>1579.1245449554813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43300</v>
      </c>
      <c r="B274" s="2">
        <v>2018</v>
      </c>
      <c r="C274" s="2">
        <f>COUNTIFS(Games[Team],Games[[#This Row],[Team]],Games[Season],Games[[#This Row],[Season]],Games[Date],"&lt;=" &amp; Games[[#This Row],[Date]])</f>
        <v>23</v>
      </c>
      <c r="D274" s="2" t="s">
        <v>79</v>
      </c>
      <c r="E274" s="2" t="s">
        <v>80</v>
      </c>
      <c r="F274" s="1" t="s">
        <v>60</v>
      </c>
      <c r="G274" s="1" t="s">
        <v>77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1421.8323251286524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1501.1188686613709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0.28090985614471142</v>
      </c>
      <c r="R274" s="1">
        <v>68</v>
      </c>
      <c r="S274" s="1">
        <v>82</v>
      </c>
      <c r="T274" s="1">
        <v>0</v>
      </c>
      <c r="U274" s="1">
        <f>Games[[#This Row],[PointsFor]]-Games[[#This Row],[PointsAgainst]]</f>
        <v>-14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0.45738753932727227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-9.3215626543172903</v>
      </c>
      <c r="AB274" s="4">
        <f>Games[[#This Row],[PreGmRate]]+Games[[#This Row],[RatingChange]]</f>
        <v>1412.510762474335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43300</v>
      </c>
      <c r="B275" s="2">
        <v>2018</v>
      </c>
      <c r="C275" s="2">
        <f>COUNTIFS(Games[Team],Games[[#This Row],[Team]],Games[Season],Games[[#This Row],[Season]],Games[Date],"&lt;=" &amp; Games[[#This Row],[Date]])</f>
        <v>23</v>
      </c>
      <c r="D275" s="2" t="s">
        <v>79</v>
      </c>
      <c r="E275" s="2" t="s">
        <v>80</v>
      </c>
      <c r="F275" s="1" t="s">
        <v>77</v>
      </c>
      <c r="G275" s="1" t="s">
        <v>60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1501.1188686613709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1421.8323251286524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0.71909014385528858</v>
      </c>
      <c r="R275" s="1">
        <v>82</v>
      </c>
      <c r="S275" s="1">
        <v>68</v>
      </c>
      <c r="T275" s="1">
        <v>0</v>
      </c>
      <c r="U275" s="1">
        <f>Games[[#This Row],[PointsFor]]-Games[[#This Row],[PointsAgainst]]</f>
        <v>14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0.45738753932727227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9.3215626543172903</v>
      </c>
      <c r="AB275" s="4">
        <f>Games[[#This Row],[PreGmRate]]+Games[[#This Row],[RatingChange]]</f>
        <v>1510.4404313156883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43300</v>
      </c>
      <c r="B276" s="2">
        <v>2018</v>
      </c>
      <c r="C276" s="2">
        <f>COUNTIFS(Games[Team],Games[[#This Row],[Team]],Games[Season],Games[[#This Row],[Season]],Games[Date],"&lt;=" &amp; Games[[#This Row],[Date]])</f>
        <v>23</v>
      </c>
      <c r="D276" s="2" t="s">
        <v>79</v>
      </c>
      <c r="E276" s="2" t="s">
        <v>80</v>
      </c>
      <c r="F276" s="1" t="s">
        <v>65</v>
      </c>
      <c r="G276" s="1" t="s">
        <v>85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2</v>
      </c>
      <c r="L276" s="2">
        <f>Games[[#This Row],[OppDaysOff]]-Games[[#This Row],[DaysOff]]</f>
        <v>-2</v>
      </c>
      <c r="M276" s="1">
        <f>MAX(-16, MIN(16, Games[[#This Row],[RestDiff]]*8))</f>
        <v>16</v>
      </c>
      <c r="N276" s="1">
        <f>MAX(-16, MIN(16, Games[[#This Row],[OppRestDiff]]*8))</f>
        <v>-16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1513.9045609194814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1571.0886569809015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0.34784751927932939</v>
      </c>
      <c r="R276" s="1">
        <v>81</v>
      </c>
      <c r="S276" s="1">
        <v>90</v>
      </c>
      <c r="T276" s="1">
        <v>0</v>
      </c>
      <c r="U276" s="1">
        <f>Games[[#This Row],[PointsFor]]-Games[[#This Row],[PointsAgainst]]</f>
        <v>-9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0.38750556430272465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-9.779221213061339</v>
      </c>
      <c r="AB276" s="4">
        <f>Games[[#This Row],[PreGmRate]]+Games[[#This Row],[RatingChange]]</f>
        <v>1504.1253397064199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43300</v>
      </c>
      <c r="B277" s="2">
        <v>2018</v>
      </c>
      <c r="C277" s="2">
        <f>COUNTIFS(Games[Team],Games[[#This Row],[Team]],Games[Season],Games[[#This Row],[Season]],Games[Date],"&lt;=" &amp; Games[[#This Row],[Date]])</f>
        <v>23</v>
      </c>
      <c r="D277" s="2" t="s">
        <v>79</v>
      </c>
      <c r="E277" s="2" t="s">
        <v>80</v>
      </c>
      <c r="F277" s="1" t="s">
        <v>85</v>
      </c>
      <c r="G277" s="1" t="s">
        <v>65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7" s="2">
        <f>Games[[#This Row],[DaysOff]]-Games[[#This Row],[OppDaysOff]]</f>
        <v>-2</v>
      </c>
      <c r="L277" s="2">
        <f>Games[[#This Row],[OppDaysOff]]-Games[[#This Row],[DaysOff]]</f>
        <v>2</v>
      </c>
      <c r="M277" s="1">
        <f>MAX(-16, MIN(16, Games[[#This Row],[RestDiff]]*8))</f>
        <v>-16</v>
      </c>
      <c r="N277" s="1">
        <f>MAX(-16, MIN(16, Games[[#This Row],[OppRestDiff]]*8))</f>
        <v>16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1571.0886569809015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1513.9045609194814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0.65215248072067056</v>
      </c>
      <c r="R277" s="1">
        <v>90</v>
      </c>
      <c r="S277" s="1">
        <v>81</v>
      </c>
      <c r="T277" s="1">
        <v>0</v>
      </c>
      <c r="U277" s="1">
        <f>Games[[#This Row],[PointsFor]]-Games[[#This Row],[PointsAgainst]]</f>
        <v>9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0.38750556430272465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9.7792212130613407</v>
      </c>
      <c r="AB277" s="4">
        <f>Games[[#This Row],[PreGmRate]]+Games[[#This Row],[RatingChange]]</f>
        <v>1580.867878193963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43300</v>
      </c>
      <c r="B278" s="2">
        <v>2018</v>
      </c>
      <c r="C278" s="2">
        <f>COUNTIFS(Games[Team],Games[[#This Row],[Team]],Games[Season],Games[[#This Row],[Season]],Games[Date],"&lt;=" &amp; Games[[#This Row],[Date]])</f>
        <v>24</v>
      </c>
      <c r="D278" s="2" t="s">
        <v>79</v>
      </c>
      <c r="E278" s="2" t="s">
        <v>80</v>
      </c>
      <c r="F278" s="1" t="s">
        <v>86</v>
      </c>
      <c r="G278" s="1" t="s">
        <v>40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1464.6675757344542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1567.7664827423005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0.25406887368220638</v>
      </c>
      <c r="R278" s="1">
        <v>85</v>
      </c>
      <c r="S278" s="1">
        <v>82</v>
      </c>
      <c r="T278" s="1">
        <v>0</v>
      </c>
      <c r="U278" s="1">
        <f>Games[[#This Row],[PointsFor]]-Games[[#This Row],[PointsAgainst]]</f>
        <v>3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0.26722470830554762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72.400000000000006</v>
      </c>
      <c r="Z278" s="4">
        <f>Games[[#This Row],[K]]*Games[[#This Row],[POMult]]</f>
        <v>72.400000000000006</v>
      </c>
      <c r="AA278" s="4">
        <f>(Games[[#This Row],[Keff]]*Games[[#This Row],[MOVMult]])*(Games[[#This Row],[Result]]-Games[[#This Row],[ExpectedWin%]])</f>
        <v>14.431580881592195</v>
      </c>
      <c r="AB278" s="4">
        <f>Games[[#This Row],[PreGmRate]]+Games[[#This Row],[RatingChange]]</f>
        <v>1479.0991566160465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43300</v>
      </c>
      <c r="B279" s="2">
        <v>2018</v>
      </c>
      <c r="C279" s="2">
        <f>COUNTIFS(Games[Team],Games[[#This Row],[Team]],Games[Season],Games[[#This Row],[Season]],Games[Date],"&lt;=" &amp; Games[[#This Row],[Date]])</f>
        <v>24</v>
      </c>
      <c r="D279" s="2" t="s">
        <v>79</v>
      </c>
      <c r="E279" s="2" t="s">
        <v>80</v>
      </c>
      <c r="F279" s="1" t="s">
        <v>40</v>
      </c>
      <c r="G279" s="1" t="s">
        <v>86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1567.7664827423005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1464.6675757344542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0.74593112631779357</v>
      </c>
      <c r="R279" s="1">
        <v>82</v>
      </c>
      <c r="S279" s="1">
        <v>85</v>
      </c>
      <c r="T279" s="1">
        <v>0</v>
      </c>
      <c r="U279" s="1">
        <f>Games[[#This Row],[PointsFor]]-Games[[#This Row],[PointsAgainst]]</f>
        <v>-3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0.26722470830554762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72.400000000000006</v>
      </c>
      <c r="Z279" s="4">
        <f>Games[[#This Row],[K]]*Games[[#This Row],[POMult]]</f>
        <v>72.400000000000006</v>
      </c>
      <c r="AA279" s="4">
        <f>(Games[[#This Row],[Keff]]*Games[[#This Row],[MOVMult]])*(Games[[#This Row],[Result]]-Games[[#This Row],[ExpectedWin%]])</f>
        <v>-14.431580881592193</v>
      </c>
      <c r="AB279" s="4">
        <f>Games[[#This Row],[PreGmRate]]+Games[[#This Row],[RatingChange]]</f>
        <v>1553.3349018607082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43301</v>
      </c>
      <c r="B280" s="2">
        <v>2018</v>
      </c>
      <c r="C280" s="2">
        <f>COUNTIFS(Games[Team],Games[[#This Row],[Team]],Games[Season],Games[[#This Row],[Season]],Games[Date],"&lt;=" &amp; Games[[#This Row],[Date]])</f>
        <v>24</v>
      </c>
      <c r="D280" s="2" t="s">
        <v>79</v>
      </c>
      <c r="E280" s="2" t="s">
        <v>80</v>
      </c>
      <c r="F280" s="1" t="s">
        <v>85</v>
      </c>
      <c r="G280" s="1" t="s">
        <v>75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-1</v>
      </c>
      <c r="L280" s="2">
        <f>Games[[#This Row],[OppDaysOff]]-Games[[#This Row],[DaysOff]]</f>
        <v>1</v>
      </c>
      <c r="M280" s="1">
        <f>MAX(-16, MIN(16, Games[[#This Row],[RestDiff]]*8))</f>
        <v>-8</v>
      </c>
      <c r="N280" s="1">
        <f>MAX(-16, MIN(16, Games[[#This Row],[OppRestDiff]]*8))</f>
        <v>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1580.867878193963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1357.3728939308296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0.67059873167584982</v>
      </c>
      <c r="R280" s="1">
        <v>99</v>
      </c>
      <c r="S280" s="1">
        <v>114</v>
      </c>
      <c r="T280" s="1">
        <v>0</v>
      </c>
      <c r="U280" s="1">
        <f>Games[[#This Row],[PointsFor]]-Games[[#This Row],[PointsAgainst]]</f>
        <v>-15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0.42389867215926508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-20.580852022217396</v>
      </c>
      <c r="AB280" s="4">
        <f>Games[[#This Row],[PreGmRate]]+Games[[#This Row],[RatingChange]]</f>
        <v>1560.2870261717455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43301</v>
      </c>
      <c r="B281" s="2">
        <v>2018</v>
      </c>
      <c r="C281" s="2">
        <f>COUNTIFS(Games[Team],Games[[#This Row],[Team]],Games[Season],Games[[#This Row],[Season]],Games[Date],"&lt;=" &amp; Games[[#This Row],[Date]])</f>
        <v>24</v>
      </c>
      <c r="D281" s="2" t="s">
        <v>79</v>
      </c>
      <c r="E281" s="2" t="s">
        <v>80</v>
      </c>
      <c r="F281" s="1" t="s">
        <v>75</v>
      </c>
      <c r="G281" s="1" t="s">
        <v>85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1" s="2">
        <f>Games[[#This Row],[DaysOff]]-Games[[#This Row],[OppDaysOff]]</f>
        <v>1</v>
      </c>
      <c r="L281" s="2">
        <f>Games[[#This Row],[OppDaysOff]]-Games[[#This Row],[DaysOff]]</f>
        <v>-1</v>
      </c>
      <c r="M281" s="1">
        <f>MAX(-16, MIN(16, Games[[#This Row],[RestDiff]]*8))</f>
        <v>8</v>
      </c>
      <c r="N281" s="1">
        <f>MAX(-16, MIN(16, Games[[#This Row],[OppRestDiff]]*8))</f>
        <v>-8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1357.3728939308296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1580.867878193963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0.32940126832415018</v>
      </c>
      <c r="R281" s="1">
        <v>114</v>
      </c>
      <c r="S281" s="1">
        <v>99</v>
      </c>
      <c r="T281" s="1">
        <v>0</v>
      </c>
      <c r="U281" s="1">
        <f>Games[[#This Row],[PointsFor]]-Games[[#This Row],[PointsAgainst]]</f>
        <v>15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0.42389867215926508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72.400000000000006</v>
      </c>
      <c r="Z281" s="4">
        <f>Games[[#This Row],[K]]*Games[[#This Row],[POMult]]</f>
        <v>72.400000000000006</v>
      </c>
      <c r="AA281" s="4">
        <f>(Games[[#This Row],[Keff]]*Games[[#This Row],[MOVMult]])*(Games[[#This Row],[Result]]-Games[[#This Row],[ExpectedWin%]])</f>
        <v>20.580852022217396</v>
      </c>
      <c r="AB281" s="4">
        <f>Games[[#This Row],[PreGmRate]]+Games[[#This Row],[RatingChange]]</f>
        <v>1377.953745953047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43301</v>
      </c>
      <c r="B282" s="2">
        <v>2018</v>
      </c>
      <c r="C282" s="2">
        <f>COUNTIFS(Games[Team],Games[[#This Row],[Team]],Games[Season],Games[[#This Row],[Season]],Games[Date],"&lt;=" &amp; Games[[#This Row],[Date]])</f>
        <v>24</v>
      </c>
      <c r="D282" s="2" t="s">
        <v>79</v>
      </c>
      <c r="E282" s="2" t="s">
        <v>80</v>
      </c>
      <c r="F282" s="1" t="s">
        <v>71</v>
      </c>
      <c r="G282" s="1" t="s">
        <v>74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2" s="2">
        <f>Games[[#This Row],[DaysOff]]-Games[[#This Row],[OppDaysOff]]</f>
        <v>-1</v>
      </c>
      <c r="L282" s="2">
        <f>Games[[#This Row],[OppDaysOff]]-Games[[#This Row],[DaysOff]]</f>
        <v>1</v>
      </c>
      <c r="M282" s="1">
        <f>MAX(-16, MIN(16, Games[[#This Row],[RestDiff]]*8))</f>
        <v>-8</v>
      </c>
      <c r="N282" s="1">
        <f>MAX(-16, MIN(16, Games[[#This Row],[OppRestDiff]]*8))</f>
        <v>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1623.5788414321435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1546.2184201230107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0.4674650628562389</v>
      </c>
      <c r="R282" s="1">
        <v>78</v>
      </c>
      <c r="S282" s="1">
        <v>65</v>
      </c>
      <c r="T282" s="1">
        <v>0</v>
      </c>
      <c r="U282" s="1">
        <f>Games[[#This Row],[PointsFor]]-Games[[#This Row],[PointsAgainst]]</f>
        <v>13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0.44345550192983035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72.400000000000006</v>
      </c>
      <c r="Z282" s="4">
        <f>Games[[#This Row],[K]]*Games[[#This Row],[POMult]]</f>
        <v>72.400000000000006</v>
      </c>
      <c r="AA282" s="4">
        <f>(Games[[#This Row],[Keff]]*Games[[#This Row],[MOVMult]])*(Games[[#This Row],[Result]]-Games[[#This Row],[ExpectedWin%]])</f>
        <v>17.097661664069026</v>
      </c>
      <c r="AB282" s="4">
        <f>Games[[#This Row],[PreGmRate]]+Games[[#This Row],[RatingChange]]</f>
        <v>1640.6765030962124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43301</v>
      </c>
      <c r="B283" s="2">
        <v>2018</v>
      </c>
      <c r="C283" s="2">
        <f>COUNTIFS(Games[Team],Games[[#This Row],[Team]],Games[Season],Games[[#This Row],[Season]],Games[Date],"&lt;=" &amp; Games[[#This Row],[Date]])</f>
        <v>24</v>
      </c>
      <c r="D283" s="2" t="s">
        <v>79</v>
      </c>
      <c r="E283" s="2" t="s">
        <v>80</v>
      </c>
      <c r="F283" s="1" t="s">
        <v>74</v>
      </c>
      <c r="G283" s="1" t="s">
        <v>71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1</v>
      </c>
      <c r="L283" s="2">
        <f>Games[[#This Row],[OppDaysOff]]-Games[[#This Row],[DaysOff]]</f>
        <v>-1</v>
      </c>
      <c r="M283" s="1">
        <f>MAX(-16, MIN(16, Games[[#This Row],[RestDiff]]*8))</f>
        <v>8</v>
      </c>
      <c r="N283" s="1">
        <f>MAX(-16, MIN(16, Games[[#This Row],[OppRestDiff]]*8))</f>
        <v>-8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1546.2184201230107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1623.5788414321435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0.5325349371437611</v>
      </c>
      <c r="R283" s="1">
        <v>65</v>
      </c>
      <c r="S283" s="1">
        <v>78</v>
      </c>
      <c r="T283" s="1">
        <v>0</v>
      </c>
      <c r="U283" s="1">
        <f>Games[[#This Row],[PointsFor]]-Games[[#This Row],[PointsAgainst]]</f>
        <v>-13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0.44345550192983035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72.400000000000006</v>
      </c>
      <c r="Z283" s="4">
        <f>Games[[#This Row],[K]]*Games[[#This Row],[POMult]]</f>
        <v>72.400000000000006</v>
      </c>
      <c r="AA283" s="4">
        <f>(Games[[#This Row],[Keff]]*Games[[#This Row],[MOVMult]])*(Games[[#This Row],[Result]]-Games[[#This Row],[ExpectedWin%]])</f>
        <v>-17.097661664069026</v>
      </c>
      <c r="AB283" s="4">
        <f>Games[[#This Row],[PreGmRate]]+Games[[#This Row],[RatingChange]]</f>
        <v>1529.1207584589417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43301</v>
      </c>
      <c r="B284" s="2">
        <v>2018</v>
      </c>
      <c r="C284" s="2">
        <f>COUNTIFS(Games[Team],Games[[#This Row],[Team]],Games[Season],Games[[#This Row],[Season]],Games[Date],"&lt;=" &amp; Games[[#This Row],[Date]])</f>
        <v>24</v>
      </c>
      <c r="D284" s="2" t="s">
        <v>79</v>
      </c>
      <c r="E284" s="2" t="s">
        <v>80</v>
      </c>
      <c r="F284" s="1" t="s">
        <v>69</v>
      </c>
      <c r="G284" s="1" t="s">
        <v>63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4" s="2">
        <f>Games[[#This Row],[DaysOff]]-Games[[#This Row],[OppDaysOff]]</f>
        <v>-3</v>
      </c>
      <c r="L284" s="2">
        <f>Games[[#This Row],[OppDaysOff]]-Games[[#This Row],[DaysOff]]</f>
        <v>3</v>
      </c>
      <c r="M284" s="1">
        <f>MAX(-16, MIN(16, Games[[#This Row],[RestDiff]]*8))</f>
        <v>-16</v>
      </c>
      <c r="N284" s="1">
        <f>MAX(-16, MIN(16, Games[[#This Row],[OppRestDiff]]*8))</f>
        <v>16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1290.7939459774943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1562.8651366430977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9.6745778429613627E-2</v>
      </c>
      <c r="R284" s="1">
        <v>78</v>
      </c>
      <c r="S284" s="1">
        <v>76</v>
      </c>
      <c r="T284" s="1">
        <v>0</v>
      </c>
      <c r="U284" s="1">
        <f>Games[[#This Row],[PointsFor]]-Games[[#This Row],[PointsAgainst]]</f>
        <v>2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0.21833834328778426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14.278368194109177</v>
      </c>
      <c r="AB284" s="4">
        <f>Games[[#This Row],[PreGmRate]]+Games[[#This Row],[RatingChange]]</f>
        <v>1305.0723141716035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43301</v>
      </c>
      <c r="B285" s="2">
        <v>2018</v>
      </c>
      <c r="C285" s="2">
        <f>COUNTIFS(Games[Team],Games[[#This Row],[Team]],Games[Season],Games[[#This Row],[Season]],Games[Date],"&lt;=" &amp; Games[[#This Row],[Date]])</f>
        <v>24</v>
      </c>
      <c r="D285" s="2" t="s">
        <v>79</v>
      </c>
      <c r="E285" s="2" t="s">
        <v>80</v>
      </c>
      <c r="F285" s="1" t="s">
        <v>63</v>
      </c>
      <c r="G285" s="1" t="s">
        <v>69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3</v>
      </c>
      <c r="L285" s="2">
        <f>Games[[#This Row],[OppDaysOff]]-Games[[#This Row],[DaysOff]]</f>
        <v>-3</v>
      </c>
      <c r="M285" s="1">
        <f>MAX(-16, MIN(16, Games[[#This Row],[RestDiff]]*8))</f>
        <v>16</v>
      </c>
      <c r="N285" s="1">
        <f>MAX(-16, MIN(16, Games[[#This Row],[OppRestDiff]]*8))</f>
        <v>-16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1562.8651366430977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1290.7939459774943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0.90325422157038637</v>
      </c>
      <c r="R285" s="1">
        <v>76</v>
      </c>
      <c r="S285" s="1">
        <v>78</v>
      </c>
      <c r="T285" s="1">
        <v>0</v>
      </c>
      <c r="U285" s="1">
        <f>Games[[#This Row],[PointsFor]]-Games[[#This Row],[PointsAgainst]]</f>
        <v>-2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0.21833834328778426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-14.278368194109177</v>
      </c>
      <c r="AB285" s="4">
        <f>Games[[#This Row],[PreGmRate]]+Games[[#This Row],[RatingChange]]</f>
        <v>1548.5867684489886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43302</v>
      </c>
      <c r="B286" s="2">
        <v>2018</v>
      </c>
      <c r="C286" s="2">
        <f>COUNTIFS(Games[Team],Games[[#This Row],[Team]],Games[Season],Games[[#This Row],[Season]],Games[Date],"&lt;=" &amp; Games[[#This Row],[Date]])</f>
        <v>24</v>
      </c>
      <c r="D286" s="2" t="s">
        <v>79</v>
      </c>
      <c r="E286" s="2" t="s">
        <v>80</v>
      </c>
      <c r="F286" s="1" t="s">
        <v>65</v>
      </c>
      <c r="G286" s="1" t="s">
        <v>60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1504.1253397064199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1412.510762474335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0.51095650331219777</v>
      </c>
      <c r="R286" s="1">
        <v>95</v>
      </c>
      <c r="S286" s="1">
        <v>78</v>
      </c>
      <c r="T286" s="1">
        <v>0</v>
      </c>
      <c r="U286" s="1">
        <f>Games[[#This Row],[PointsFor]]-Games[[#This Row],[PointsAgainst]]</f>
        <v>17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0.49467580666952321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17.514862202365858</v>
      </c>
      <c r="AB286" s="4">
        <f>Games[[#This Row],[PreGmRate]]+Games[[#This Row],[RatingChange]]</f>
        <v>1521.6402019087857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43302</v>
      </c>
      <c r="B287" s="2">
        <v>2018</v>
      </c>
      <c r="C287" s="2">
        <f>COUNTIFS(Games[Team],Games[[#This Row],[Team]],Games[Season],Games[[#This Row],[Season]],Games[Date],"&lt;=" &amp; Games[[#This Row],[Date]])</f>
        <v>24</v>
      </c>
      <c r="D287" s="2" t="s">
        <v>79</v>
      </c>
      <c r="E287" s="2" t="s">
        <v>80</v>
      </c>
      <c r="F287" s="1" t="s">
        <v>60</v>
      </c>
      <c r="G287" s="1" t="s">
        <v>65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1412.510762474335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1504.1253397064199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0.48904349668780223</v>
      </c>
      <c r="R287" s="1">
        <v>78</v>
      </c>
      <c r="S287" s="1">
        <v>95</v>
      </c>
      <c r="T287" s="1">
        <v>0</v>
      </c>
      <c r="U287" s="1">
        <f>Games[[#This Row],[PointsFor]]-Games[[#This Row],[PointsAgainst]]</f>
        <v>-17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0.49467580666952321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-17.514862202365858</v>
      </c>
      <c r="AB287" s="4">
        <f>Games[[#This Row],[PreGmRate]]+Games[[#This Row],[RatingChange]]</f>
        <v>1394.9959002719693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43302</v>
      </c>
      <c r="B288" s="2">
        <v>2018</v>
      </c>
      <c r="C288" s="2">
        <f>COUNTIFS(Games[Team],Games[[#This Row],[Team]],Games[Season],Games[[#This Row],[Season]],Games[Date],"&lt;=" &amp; Games[[#This Row],[Date]])</f>
        <v>24</v>
      </c>
      <c r="D288" s="2" t="s">
        <v>79</v>
      </c>
      <c r="E288" s="2" t="s">
        <v>80</v>
      </c>
      <c r="F288" s="1" t="s">
        <v>67</v>
      </c>
      <c r="G288" s="1" t="s">
        <v>40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1579.1245449554813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1553.3349018607082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0.43955152973902012</v>
      </c>
      <c r="R288" s="1">
        <v>80</v>
      </c>
      <c r="S288" s="1">
        <v>75</v>
      </c>
      <c r="T288" s="1">
        <v>0</v>
      </c>
      <c r="U288" s="1">
        <f>Games[[#This Row],[PointsFor]]-Games[[#This Row],[PointsAgainst]]</f>
        <v>5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0.32477609253443268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13.178267130850115</v>
      </c>
      <c r="AB288" s="4">
        <f>Games[[#This Row],[PreGmRate]]+Games[[#This Row],[RatingChange]]</f>
        <v>1592.3028120863314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43302</v>
      </c>
      <c r="B289" s="2">
        <v>2018</v>
      </c>
      <c r="C289" s="2">
        <f>COUNTIFS(Games[Team],Games[[#This Row],[Team]],Games[Season],Games[[#This Row],[Season]],Games[Date],"&lt;=" &amp; Games[[#This Row],[Date]])</f>
        <v>25</v>
      </c>
      <c r="D289" s="2" t="s">
        <v>79</v>
      </c>
      <c r="E289" s="2" t="s">
        <v>80</v>
      </c>
      <c r="F289" s="1" t="s">
        <v>40</v>
      </c>
      <c r="G289" s="1" t="s">
        <v>67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1553.3349018607082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1579.1245449554813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0.56044847026097988</v>
      </c>
      <c r="R289" s="1">
        <v>75</v>
      </c>
      <c r="S289" s="1">
        <v>80</v>
      </c>
      <c r="T289" s="1">
        <v>0</v>
      </c>
      <c r="U289" s="1">
        <f>Games[[#This Row],[PointsFor]]-Games[[#This Row],[PointsAgainst]]</f>
        <v>-5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0.32477609253443268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72.25</v>
      </c>
      <c r="Z289" s="4">
        <f>Games[[#This Row],[K]]*Games[[#This Row],[POMult]]</f>
        <v>72.25</v>
      </c>
      <c r="AA289" s="4">
        <f>(Games[[#This Row],[Keff]]*Games[[#This Row],[MOVMult]])*(Games[[#This Row],[Result]]-Games[[#This Row],[ExpectedWin%]])</f>
        <v>-13.150964091214375</v>
      </c>
      <c r="AB289" s="4">
        <f>Games[[#This Row],[PreGmRate]]+Games[[#This Row],[RatingChange]]</f>
        <v>1540.1839377694939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43303</v>
      </c>
      <c r="B290" s="2">
        <v>2018</v>
      </c>
      <c r="C290" s="2">
        <f>COUNTIFS(Games[Team],Games[[#This Row],[Team]],Games[Season],Games[[#This Row],[Season]],Games[Date],"&lt;=" &amp; Games[[#This Row],[Date]])</f>
        <v>25</v>
      </c>
      <c r="D290" s="2" t="s">
        <v>79</v>
      </c>
      <c r="E290" s="2" t="s">
        <v>80</v>
      </c>
      <c r="F290" s="1" t="s">
        <v>71</v>
      </c>
      <c r="G290" s="1" t="s">
        <v>77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-1</v>
      </c>
      <c r="L290" s="2">
        <f>Games[[#This Row],[OppDaysOff]]-Games[[#This Row],[DaysOff]]</f>
        <v>1</v>
      </c>
      <c r="M290" s="1">
        <f>MAX(-16, MIN(16, Games[[#This Row],[RestDiff]]*8))</f>
        <v>-8</v>
      </c>
      <c r="N290" s="1">
        <f>MAX(-16, MIN(16, Games[[#This Row],[OppRestDiff]]*8))</f>
        <v>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1640.6765030962124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1510.4404313156883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0.54340368638385372</v>
      </c>
      <c r="R290" s="1">
        <v>74</v>
      </c>
      <c r="S290" s="1">
        <v>87</v>
      </c>
      <c r="T290" s="1">
        <v>0</v>
      </c>
      <c r="U290" s="1">
        <f>Games[[#This Row],[PointsFor]]-Games[[#This Row],[PointsAgainst]]</f>
        <v>-13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0.42582855689572685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-16.718419347991293</v>
      </c>
      <c r="AB290" s="4">
        <f>Games[[#This Row],[PreGmRate]]+Games[[#This Row],[RatingChange]]</f>
        <v>1623.958083748221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43303</v>
      </c>
      <c r="B291" s="2">
        <v>2018</v>
      </c>
      <c r="C291" s="2">
        <f>COUNTIFS(Games[Team],Games[[#This Row],[Team]],Games[Season],Games[[#This Row],[Season]],Games[Date],"&lt;=" &amp; Games[[#This Row],[Date]])</f>
        <v>24</v>
      </c>
      <c r="D291" s="2" t="s">
        <v>79</v>
      </c>
      <c r="E291" s="2" t="s">
        <v>80</v>
      </c>
      <c r="F291" s="1" t="s">
        <v>77</v>
      </c>
      <c r="G291" s="1" t="s">
        <v>71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1</v>
      </c>
      <c r="L291" s="2">
        <f>Games[[#This Row],[OppDaysOff]]-Games[[#This Row],[DaysOff]]</f>
        <v>-1</v>
      </c>
      <c r="M291" s="1">
        <f>MAX(-16, MIN(16, Games[[#This Row],[RestDiff]]*8))</f>
        <v>8</v>
      </c>
      <c r="N291" s="1">
        <f>MAX(-16, MIN(16, Games[[#This Row],[OppRestDiff]]*8))</f>
        <v>-8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1510.4404313156883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1640.6765030962124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0.45659631361614628</v>
      </c>
      <c r="R291" s="1">
        <v>87</v>
      </c>
      <c r="S291" s="1">
        <v>74</v>
      </c>
      <c r="T291" s="1">
        <v>0</v>
      </c>
      <c r="U291" s="1">
        <f>Games[[#This Row],[PointsFor]]-Games[[#This Row],[PointsAgainst]]</f>
        <v>13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0.42582855689572685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16.753128869128993</v>
      </c>
      <c r="AB291" s="4">
        <f>Games[[#This Row],[PreGmRate]]+Games[[#This Row],[RatingChange]]</f>
        <v>1527.1935601848172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43303</v>
      </c>
      <c r="B292" s="2">
        <v>2018</v>
      </c>
      <c r="C292" s="2">
        <f>COUNTIFS(Games[Team],Games[[#This Row],[Team]],Games[Season],Games[[#This Row],[Season]],Games[Date],"&lt;=" &amp; Games[[#This Row],[Date]])</f>
        <v>25</v>
      </c>
      <c r="D292" s="2" t="s">
        <v>79</v>
      </c>
      <c r="E292" s="2" t="s">
        <v>80</v>
      </c>
      <c r="F292" s="1" t="s">
        <v>63</v>
      </c>
      <c r="G292" s="1" t="s">
        <v>75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1548.5867684489886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1377.953745953047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0.62215372262649049</v>
      </c>
      <c r="R292" s="1">
        <v>93</v>
      </c>
      <c r="S292" s="1">
        <v>76</v>
      </c>
      <c r="T292" s="1">
        <v>0</v>
      </c>
      <c r="U292" s="1">
        <f>Games[[#This Row],[PointsFor]]-Games[[#This Row],[PointsAgainst]]</f>
        <v>17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0.4661572225473567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72.25</v>
      </c>
      <c r="Z292" s="4">
        <f>Games[[#This Row],[K]]*Games[[#This Row],[POMult]]</f>
        <v>72.25</v>
      </c>
      <c r="AA292" s="4">
        <f>(Games[[#This Row],[Keff]]*Games[[#This Row],[MOVMult]])*(Games[[#This Row],[Result]]-Games[[#This Row],[ExpectedWin%]])</f>
        <v>12.725809469943695</v>
      </c>
      <c r="AB292" s="4">
        <f>Games[[#This Row],[PreGmRate]]+Games[[#This Row],[RatingChange]]</f>
        <v>1561.3125779189322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43303</v>
      </c>
      <c r="B293" s="2">
        <v>2018</v>
      </c>
      <c r="C293" s="2">
        <f>COUNTIFS(Games[Team],Games[[#This Row],[Team]],Games[Season],Games[[#This Row],[Season]],Games[Date],"&lt;=" &amp; Games[[#This Row],[Date]])</f>
        <v>25</v>
      </c>
      <c r="D293" s="2" t="s">
        <v>79</v>
      </c>
      <c r="E293" s="2" t="s">
        <v>80</v>
      </c>
      <c r="F293" s="1" t="s">
        <v>75</v>
      </c>
      <c r="G293" s="1" t="s">
        <v>63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1377.953745953047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1548.5867684489886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0.37784627737350951</v>
      </c>
      <c r="R293" s="1">
        <v>76</v>
      </c>
      <c r="S293" s="1">
        <v>93</v>
      </c>
      <c r="T293" s="1">
        <v>0</v>
      </c>
      <c r="U293" s="1">
        <f>Games[[#This Row],[PointsFor]]-Games[[#This Row],[PointsAgainst]]</f>
        <v>-17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0.4661572225473567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72.25</v>
      </c>
      <c r="Z293" s="4">
        <f>Games[[#This Row],[K]]*Games[[#This Row],[POMult]]</f>
        <v>72.25</v>
      </c>
      <c r="AA293" s="4">
        <f>(Games[[#This Row],[Keff]]*Games[[#This Row],[MOVMult]])*(Games[[#This Row],[Result]]-Games[[#This Row],[ExpectedWin%]])</f>
        <v>-12.725809469943695</v>
      </c>
      <c r="AB293" s="4">
        <f>Games[[#This Row],[PreGmRate]]+Games[[#This Row],[RatingChange]]</f>
        <v>1365.2279364831033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43303</v>
      </c>
      <c r="B294" s="2">
        <v>2018</v>
      </c>
      <c r="C294" s="2">
        <f>COUNTIFS(Games[Team],Games[[#This Row],[Team]],Games[Season],Games[[#This Row],[Season]],Games[Date],"&lt;=" &amp; Games[[#This Row],[Date]])</f>
        <v>25</v>
      </c>
      <c r="D294" s="2" t="s">
        <v>79</v>
      </c>
      <c r="E294" s="2" t="s">
        <v>80</v>
      </c>
      <c r="F294" s="1" t="s">
        <v>74</v>
      </c>
      <c r="G294" s="1" t="s">
        <v>85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1529.1207584589417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1560.2870261717455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0.34007717300037876</v>
      </c>
      <c r="R294" s="1">
        <v>92</v>
      </c>
      <c r="S294" s="1">
        <v>75</v>
      </c>
      <c r="T294" s="1">
        <v>0</v>
      </c>
      <c r="U294" s="1">
        <f>Games[[#This Row],[PointsFor]]-Games[[#This Row],[PointsAgainst]]</f>
        <v>17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0.51896360358001714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24.743885825775475</v>
      </c>
      <c r="AB294" s="4">
        <f>Games[[#This Row],[PreGmRate]]+Games[[#This Row],[RatingChange]]</f>
        <v>1553.8646442847173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43303</v>
      </c>
      <c r="B295" s="2">
        <v>2018</v>
      </c>
      <c r="C295" s="2">
        <f>COUNTIFS(Games[Team],Games[[#This Row],[Team]],Games[Season],Games[[#This Row],[Season]],Games[Date],"&lt;=" &amp; Games[[#This Row],[Date]])</f>
        <v>25</v>
      </c>
      <c r="D295" s="2" t="s">
        <v>79</v>
      </c>
      <c r="E295" s="2" t="s">
        <v>80</v>
      </c>
      <c r="F295" s="1" t="s">
        <v>85</v>
      </c>
      <c r="G295" s="1" t="s">
        <v>74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1560.2870261717455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1529.1207584589417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0.65992282699962124</v>
      </c>
      <c r="R295" s="1">
        <v>75</v>
      </c>
      <c r="S295" s="1">
        <v>92</v>
      </c>
      <c r="T295" s="1">
        <v>0</v>
      </c>
      <c r="U295" s="1">
        <f>Games[[#This Row],[PointsFor]]-Games[[#This Row],[PointsAgainst]]</f>
        <v>-17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0.51896360358001714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-24.743885825775475</v>
      </c>
      <c r="AB295" s="4">
        <f>Games[[#This Row],[PreGmRate]]+Games[[#This Row],[RatingChange]]</f>
        <v>1535.54314034597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43303</v>
      </c>
      <c r="B296" s="2">
        <v>2018</v>
      </c>
      <c r="C296" s="2">
        <f>COUNTIFS(Games[Team],Games[[#This Row],[Team]],Games[Season],Games[[#This Row],[Season]],Games[Date],"&lt;=" &amp; Games[[#This Row],[Date]])</f>
        <v>25</v>
      </c>
      <c r="D296" s="2" t="s">
        <v>79</v>
      </c>
      <c r="E296" s="2" t="s">
        <v>80</v>
      </c>
      <c r="F296" s="1" t="s">
        <v>69</v>
      </c>
      <c r="G296" s="1" t="s">
        <v>86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">
        <f>MAX(-16, MIN(16, Games[[#This Row],[RestDiff]]*8))</f>
        <v>-8</v>
      </c>
      <c r="N296" s="1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1305.0723141716035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1479.0991566160465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0.17116043057380001</v>
      </c>
      <c r="R296" s="1">
        <v>74</v>
      </c>
      <c r="S296" s="1">
        <v>88</v>
      </c>
      <c r="T296" s="1">
        <v>0</v>
      </c>
      <c r="U296" s="1">
        <f>Games[[#This Row],[PointsFor]]-Games[[#This Row],[PointsAgainst]]</f>
        <v>-14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0.42585028630150684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-5.2662099017514539</v>
      </c>
      <c r="AB296" s="4">
        <f>Games[[#This Row],[PreGmRate]]+Games[[#This Row],[RatingChange]]</f>
        <v>1299.8061042698521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43303</v>
      </c>
      <c r="B297" s="2">
        <v>2018</v>
      </c>
      <c r="C297" s="2">
        <f>COUNTIFS(Games[Team],Games[[#This Row],[Team]],Games[Season],Games[[#This Row],[Season]],Games[Date],"&lt;=" &amp; Games[[#This Row],[Date]])</f>
        <v>25</v>
      </c>
      <c r="D297" s="2" t="s">
        <v>79</v>
      </c>
      <c r="E297" s="2" t="s">
        <v>80</v>
      </c>
      <c r="F297" s="1" t="s">
        <v>86</v>
      </c>
      <c r="G297" s="1" t="s">
        <v>69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">
        <f>MAX(-16, MIN(16, Games[[#This Row],[RestDiff]]*8))</f>
        <v>8</v>
      </c>
      <c r="N297" s="1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1479.0991566160465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1305.0723141716035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0.82883956942619996</v>
      </c>
      <c r="R297" s="1">
        <v>88</v>
      </c>
      <c r="S297" s="1">
        <v>74</v>
      </c>
      <c r="T297" s="1">
        <v>0</v>
      </c>
      <c r="U297" s="1">
        <f>Games[[#This Row],[PointsFor]]-Games[[#This Row],[PointsAgainst]]</f>
        <v>14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0.42585028630150684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5.2662099017514539</v>
      </c>
      <c r="AB297" s="4">
        <f>Games[[#This Row],[PreGmRate]]+Games[[#This Row],[RatingChange]]</f>
        <v>1484.3653665177978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43305</v>
      </c>
      <c r="B298" s="2">
        <v>2018</v>
      </c>
      <c r="C298" s="2">
        <f>COUNTIFS(Games[Team],Games[[#This Row],[Team]],Games[Season],Games[[#This Row],[Season]],Games[Date],"&lt;=" &amp; Games[[#This Row],[Date]])</f>
        <v>25</v>
      </c>
      <c r="D298" s="2" t="s">
        <v>79</v>
      </c>
      <c r="E298" s="2" t="s">
        <v>80</v>
      </c>
      <c r="F298" s="1" t="s">
        <v>65</v>
      </c>
      <c r="G298" s="1" t="s">
        <v>74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1</v>
      </c>
      <c r="L298" s="2">
        <f>Games[[#This Row],[OppDaysOff]]-Games[[#This Row],[DaysOff]]</f>
        <v>-1</v>
      </c>
      <c r="M298" s="1">
        <f>MAX(-16, MIN(16, Games[[#This Row],[RestDiff]]*8))</f>
        <v>8</v>
      </c>
      <c r="N298" s="1">
        <f>MAX(-16, MIN(16, Games[[#This Row],[OppRestDiff]]*8))</f>
        <v>-8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1521.6402019087857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1553.8646442847173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0.35963740215509998</v>
      </c>
      <c r="R298" s="1">
        <v>68</v>
      </c>
      <c r="S298" s="1">
        <v>94</v>
      </c>
      <c r="T298" s="1">
        <v>0</v>
      </c>
      <c r="U298" s="1">
        <f>Games[[#This Row],[PointsFor]]-Games[[#This Row],[PointsAgainst]]</f>
        <v>-26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0.63698205426503107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-16.551215770305042</v>
      </c>
      <c r="AB298" s="4">
        <f>Games[[#This Row],[PreGmRate]]+Games[[#This Row],[RatingChange]]</f>
        <v>1505.0889861384805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43305</v>
      </c>
      <c r="B299" s="2">
        <v>2018</v>
      </c>
      <c r="C299" s="2">
        <f>COUNTIFS(Games[Team],Games[[#This Row],[Team]],Games[Season],Games[[#This Row],[Season]],Games[Date],"&lt;=" &amp; Games[[#This Row],[Date]])</f>
        <v>26</v>
      </c>
      <c r="D299" s="2" t="s">
        <v>79</v>
      </c>
      <c r="E299" s="2" t="s">
        <v>80</v>
      </c>
      <c r="F299" s="1" t="s">
        <v>74</v>
      </c>
      <c r="G299" s="1" t="s">
        <v>65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9" s="2">
        <f>Games[[#This Row],[DaysOff]]-Games[[#This Row],[OppDaysOff]]</f>
        <v>-1</v>
      </c>
      <c r="L299" s="2">
        <f>Games[[#This Row],[OppDaysOff]]-Games[[#This Row],[DaysOff]]</f>
        <v>1</v>
      </c>
      <c r="M299" s="1">
        <f>MAX(-16, MIN(16, Games[[#This Row],[RestDiff]]*8))</f>
        <v>-8</v>
      </c>
      <c r="N299" s="1">
        <f>MAX(-16, MIN(16, Games[[#This Row],[OppRestDiff]]*8))</f>
        <v>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1553.8646442847173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1521.6402019087857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0.64036259784489991</v>
      </c>
      <c r="R299" s="1">
        <v>94</v>
      </c>
      <c r="S299" s="1">
        <v>68</v>
      </c>
      <c r="T299" s="1">
        <v>0</v>
      </c>
      <c r="U299" s="1">
        <f>Games[[#This Row],[PointsFor]]-Games[[#This Row],[PointsAgainst]]</f>
        <v>26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0.63698205426503107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72.099999999999994</v>
      </c>
      <c r="Z299" s="4">
        <f>Games[[#This Row],[K]]*Games[[#This Row],[POMult]]</f>
        <v>72.099999999999994</v>
      </c>
      <c r="AA299" s="4">
        <f>(Games[[#This Row],[Keff]]*Games[[#This Row],[MOVMult]])*(Games[[#This Row],[Result]]-Games[[#This Row],[ExpectedWin%]])</f>
        <v>16.516853384622753</v>
      </c>
      <c r="AB299" s="4">
        <f>Games[[#This Row],[PreGmRate]]+Games[[#This Row],[RatingChange]]</f>
        <v>1570.38149766934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43305</v>
      </c>
      <c r="B300" s="2">
        <v>2018</v>
      </c>
      <c r="C300" s="2">
        <f>COUNTIFS(Games[Team],Games[[#This Row],[Team]],Games[Season],Games[[#This Row],[Season]],Games[Date],"&lt;=" &amp; Games[[#This Row],[Date]])</f>
        <v>26</v>
      </c>
      <c r="D300" s="2" t="s">
        <v>79</v>
      </c>
      <c r="E300" s="2" t="s">
        <v>80</v>
      </c>
      <c r="F300" s="1" t="s">
        <v>71</v>
      </c>
      <c r="G300" s="1" t="s">
        <v>69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1623.958083748221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1299.8061042698521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0.79938033104769257</v>
      </c>
      <c r="R300" s="1">
        <v>92</v>
      </c>
      <c r="S300" s="1">
        <v>72</v>
      </c>
      <c r="T300" s="1">
        <v>0</v>
      </c>
      <c r="U300" s="1">
        <f>Games[[#This Row],[PointsFor]]-Games[[#This Row],[PointsAgainst]]</f>
        <v>20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0.45262207445133457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72.099999999999994</v>
      </c>
      <c r="Z300" s="4">
        <f>Games[[#This Row],[K]]*Games[[#This Row],[POMult]]</f>
        <v>72.099999999999994</v>
      </c>
      <c r="AA300" s="4">
        <f>(Games[[#This Row],[Keff]]*Games[[#This Row],[MOVMult]])*(Games[[#This Row],[Result]]-Games[[#This Row],[ExpectedWin%]])</f>
        <v>6.5470326221328969</v>
      </c>
      <c r="AB300" s="4">
        <f>Games[[#This Row],[PreGmRate]]+Games[[#This Row],[RatingChange]]</f>
        <v>1630.505116370354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43305</v>
      </c>
      <c r="B301" s="2">
        <v>2018</v>
      </c>
      <c r="C301" s="2">
        <f>COUNTIFS(Games[Team],Games[[#This Row],[Team]],Games[Season],Games[[#This Row],[Season]],Games[Date],"&lt;=" &amp; Games[[#This Row],[Date]])</f>
        <v>26</v>
      </c>
      <c r="D301" s="2" t="s">
        <v>79</v>
      </c>
      <c r="E301" s="2" t="s">
        <v>80</v>
      </c>
      <c r="F301" s="1" t="s">
        <v>69</v>
      </c>
      <c r="G301" s="1" t="s">
        <v>71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1299.8061042698521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1623.958083748221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0.20061966895230735</v>
      </c>
      <c r="R301" s="1">
        <v>72</v>
      </c>
      <c r="S301" s="1">
        <v>92</v>
      </c>
      <c r="T301" s="1">
        <v>0</v>
      </c>
      <c r="U301" s="1">
        <f>Games[[#This Row],[PointsFor]]-Games[[#This Row],[PointsAgainst]]</f>
        <v>-20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0.45262207445133457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72.099999999999994</v>
      </c>
      <c r="Z301" s="4">
        <f>Games[[#This Row],[K]]*Games[[#This Row],[POMult]]</f>
        <v>72.099999999999994</v>
      </c>
      <c r="AA301" s="4">
        <f>(Games[[#This Row],[Keff]]*Games[[#This Row],[MOVMult]])*(Games[[#This Row],[Result]]-Games[[#This Row],[ExpectedWin%]])</f>
        <v>-6.5470326221328943</v>
      </c>
      <c r="AB301" s="4">
        <f>Games[[#This Row],[PreGmRate]]+Games[[#This Row],[RatingChange]]</f>
        <v>1293.2590716477191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43305</v>
      </c>
      <c r="B302" s="2">
        <v>2018</v>
      </c>
      <c r="C302" s="2">
        <f>COUNTIFS(Games[Team],Games[[#This Row],[Team]],Games[Season],Games[[#This Row],[Season]],Games[Date],"&lt;=" &amp; Games[[#This Row],[Date]])</f>
        <v>25</v>
      </c>
      <c r="D302" s="2" t="s">
        <v>79</v>
      </c>
      <c r="E302" s="2" t="s">
        <v>80</v>
      </c>
      <c r="F302" s="1" t="s">
        <v>77</v>
      </c>
      <c r="G302" s="1" t="s">
        <v>63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1527.1935601848172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1561.3125779189322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0.33627297024988934</v>
      </c>
      <c r="R302" s="1">
        <v>81</v>
      </c>
      <c r="S302" s="1">
        <v>71</v>
      </c>
      <c r="T302" s="1">
        <v>0</v>
      </c>
      <c r="U302" s="1">
        <f>Games[[#This Row],[PointsFor]]-Games[[#This Row],[PointsAgainst]]</f>
        <v>10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0.41143166250771951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19.72990828052605</v>
      </c>
      <c r="AB302" s="4">
        <f>Games[[#This Row],[PreGmRate]]+Games[[#This Row],[RatingChange]]</f>
        <v>1546.9234684653434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43305</v>
      </c>
      <c r="B303" s="2">
        <v>2018</v>
      </c>
      <c r="C303" s="2">
        <f>COUNTIFS(Games[Team],Games[[#This Row],[Team]],Games[Season],Games[[#This Row],[Season]],Games[Date],"&lt;=" &amp; Games[[#This Row],[Date]])</f>
        <v>26</v>
      </c>
      <c r="D303" s="2" t="s">
        <v>79</v>
      </c>
      <c r="E303" s="2" t="s">
        <v>80</v>
      </c>
      <c r="F303" s="1" t="s">
        <v>63</v>
      </c>
      <c r="G303" s="1" t="s">
        <v>77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1561.3125779189322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1527.1935601848172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0.66372702975011066</v>
      </c>
      <c r="R303" s="1">
        <v>71</v>
      </c>
      <c r="S303" s="1">
        <v>81</v>
      </c>
      <c r="T303" s="1">
        <v>0</v>
      </c>
      <c r="U303" s="1">
        <f>Games[[#This Row],[PointsFor]]-Games[[#This Row],[PointsAgainst]]</f>
        <v>-10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0.41143166250771951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72.099999999999994</v>
      </c>
      <c r="Z303" s="4">
        <f>Games[[#This Row],[K]]*Games[[#This Row],[POMult]]</f>
        <v>72.099999999999994</v>
      </c>
      <c r="AA303" s="4">
        <f>(Games[[#This Row],[Keff]]*Games[[#This Row],[MOVMult]])*(Games[[#This Row],[Result]]-Games[[#This Row],[ExpectedWin%]])</f>
        <v>-19.68894653323084</v>
      </c>
      <c r="AB303" s="4">
        <f>Games[[#This Row],[PreGmRate]]+Games[[#This Row],[RatingChange]]</f>
        <v>1541.6236313857014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43305</v>
      </c>
      <c r="B304" s="2">
        <v>2018</v>
      </c>
      <c r="C304" s="2">
        <f>COUNTIFS(Games[Team],Games[[#This Row],[Team]],Games[Season],Games[[#This Row],[Season]],Games[Date],"&lt;=" &amp; Games[[#This Row],[Date]])</f>
        <v>25</v>
      </c>
      <c r="D304" s="2" t="s">
        <v>79</v>
      </c>
      <c r="E304" s="2" t="s">
        <v>80</v>
      </c>
      <c r="F304" s="1" t="s">
        <v>60</v>
      </c>
      <c r="G304" s="1" t="s">
        <v>67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1394.9959002719693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1592.3028120863314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0.16529691209189079</v>
      </c>
      <c r="R304" s="1">
        <v>82</v>
      </c>
      <c r="S304" s="1">
        <v>85</v>
      </c>
      <c r="T304" s="1">
        <v>0</v>
      </c>
      <c r="U304" s="1">
        <f>Games[[#This Row],[PointsFor]]-Games[[#This Row],[PointsAgainst]]</f>
        <v>-3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0.24920811768281878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-2.9762182602068785</v>
      </c>
      <c r="AB304" s="4">
        <f>Games[[#This Row],[PreGmRate]]+Games[[#This Row],[RatingChange]]</f>
        <v>1392.0196820117624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43305</v>
      </c>
      <c r="B305" s="2">
        <v>2018</v>
      </c>
      <c r="C305" s="2">
        <f>COUNTIFS(Games[Team],Games[[#This Row],[Team]],Games[Season],Games[[#This Row],[Season]],Games[Date],"&lt;=" &amp; Games[[#This Row],[Date]])</f>
        <v>25</v>
      </c>
      <c r="D305" s="2" t="s">
        <v>79</v>
      </c>
      <c r="E305" s="2" t="s">
        <v>80</v>
      </c>
      <c r="F305" s="1" t="s">
        <v>67</v>
      </c>
      <c r="G305" s="1" t="s">
        <v>60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1592.3028120863314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1394.9959002719693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0.83470308790810921</v>
      </c>
      <c r="R305" s="1">
        <v>85</v>
      </c>
      <c r="S305" s="1">
        <v>82</v>
      </c>
      <c r="T305" s="1">
        <v>0</v>
      </c>
      <c r="U305" s="1">
        <f>Games[[#This Row],[PointsFor]]-Games[[#This Row],[PointsAgainst]]</f>
        <v>3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0.24920811768281878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72.25</v>
      </c>
      <c r="Z305" s="4">
        <f>Games[[#This Row],[K]]*Games[[#This Row],[POMult]]</f>
        <v>72.25</v>
      </c>
      <c r="AA305" s="4">
        <f>(Games[[#This Row],[Keff]]*Games[[#This Row],[MOVMult]])*(Games[[#This Row],[Result]]-Games[[#This Row],[ExpectedWin%]])</f>
        <v>2.9762182602068785</v>
      </c>
      <c r="AB305" s="4">
        <f>Games[[#This Row],[PreGmRate]]+Games[[#This Row],[RatingChange]]</f>
        <v>1595.2790303465383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43306</v>
      </c>
      <c r="B306" s="2">
        <v>2018</v>
      </c>
      <c r="C306" s="2">
        <f>COUNTIFS(Games[Team],Games[[#This Row],[Team]],Games[Season],Games[[#This Row],[Season]],Games[Date],"&lt;=" &amp; Games[[#This Row],[Date]])</f>
        <v>26</v>
      </c>
      <c r="D306" s="2" t="s">
        <v>79</v>
      </c>
      <c r="E306" s="2" t="s">
        <v>80</v>
      </c>
      <c r="F306" s="1" t="s">
        <v>75</v>
      </c>
      <c r="G306" s="1" t="s">
        <v>40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6" s="2">
        <f>Games[[#This Row],[DaysOff]]-Games[[#This Row],[OppDaysOff]]</f>
        <v>-1</v>
      </c>
      <c r="L306" s="2">
        <f>Games[[#This Row],[OppDaysOff]]-Games[[#This Row],[DaysOff]]</f>
        <v>1</v>
      </c>
      <c r="M306" s="1">
        <f>MAX(-16, MIN(16, Games[[#This Row],[RestDiff]]*8))</f>
        <v>-8</v>
      </c>
      <c r="N306" s="1">
        <f>MAX(-16, MIN(16, Games[[#This Row],[OppRestDiff]]*8))</f>
        <v>8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1365.2279364831033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1540.1839377694939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0.17040297827998055</v>
      </c>
      <c r="R306" s="1">
        <v>101</v>
      </c>
      <c r="S306" s="1">
        <v>87</v>
      </c>
      <c r="T306" s="1">
        <v>0</v>
      </c>
      <c r="U306" s="1">
        <f>Games[[#This Row],[PointsFor]]-Games[[#This Row],[PointsAgainst]]</f>
        <v>14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0.42556250795915063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25.454572558336029</v>
      </c>
      <c r="AB306" s="4">
        <f>Games[[#This Row],[PreGmRate]]+Games[[#This Row],[RatingChange]]</f>
        <v>1390.6825090414393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43306</v>
      </c>
      <c r="B307" s="2">
        <v>2018</v>
      </c>
      <c r="C307" s="2">
        <f>COUNTIFS(Games[Team],Games[[#This Row],[Team]],Games[Season],Games[[#This Row],[Season]],Games[Date],"&lt;=" &amp; Games[[#This Row],[Date]])</f>
        <v>26</v>
      </c>
      <c r="D307" s="2" t="s">
        <v>79</v>
      </c>
      <c r="E307" s="2" t="s">
        <v>80</v>
      </c>
      <c r="F307" s="1" t="s">
        <v>40</v>
      </c>
      <c r="G307" s="1" t="s">
        <v>75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1</v>
      </c>
      <c r="L307" s="2">
        <f>Games[[#This Row],[OppDaysOff]]-Games[[#This Row],[DaysOff]]</f>
        <v>-1</v>
      </c>
      <c r="M307" s="1">
        <f>MAX(-16, MIN(16, Games[[#This Row],[RestDiff]]*8))</f>
        <v>8</v>
      </c>
      <c r="N307" s="1">
        <f>MAX(-16, MIN(16, Games[[#This Row],[OppRestDiff]]*8))</f>
        <v>-8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1540.1839377694939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1365.2279364831033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0.82959702172001948</v>
      </c>
      <c r="R307" s="1">
        <v>87</v>
      </c>
      <c r="S307" s="1">
        <v>101</v>
      </c>
      <c r="T307" s="1">
        <v>0</v>
      </c>
      <c r="U307" s="1">
        <f>Games[[#This Row],[PointsFor]]-Games[[#This Row],[PointsAgainst]]</f>
        <v>-14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0.42556250795915063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72.099999999999994</v>
      </c>
      <c r="Z307" s="4">
        <f>Games[[#This Row],[K]]*Games[[#This Row],[POMult]]</f>
        <v>72.099999999999994</v>
      </c>
      <c r="AA307" s="4">
        <f>(Games[[#This Row],[Keff]]*Games[[#This Row],[MOVMult]])*(Games[[#This Row],[Result]]-Games[[#This Row],[ExpectedWin%]])</f>
        <v>-25.454572558336029</v>
      </c>
      <c r="AB307" s="4">
        <f>Games[[#This Row],[PreGmRate]]+Games[[#This Row],[RatingChange]]</f>
        <v>1514.729365211158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43312</v>
      </c>
      <c r="B308" s="2">
        <v>2018</v>
      </c>
      <c r="C308" s="2">
        <f>COUNTIFS(Games[Team],Games[[#This Row],[Team]],Games[Season],Games[[#This Row],[Season]],Games[Date],"&lt;=" &amp; Games[[#This Row],[Date]])</f>
        <v>26</v>
      </c>
      <c r="D308" s="2" t="s">
        <v>79</v>
      </c>
      <c r="E308" s="2" t="s">
        <v>80</v>
      </c>
      <c r="F308" s="1" t="s">
        <v>65</v>
      </c>
      <c r="G308" s="1" t="s">
        <v>77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6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1505.0889861384805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1546.9234684653434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0.32643327315729576</v>
      </c>
      <c r="R308" s="1">
        <v>86</v>
      </c>
      <c r="S308" s="1">
        <v>71</v>
      </c>
      <c r="T308" s="1">
        <v>0</v>
      </c>
      <c r="U308" s="1">
        <f>Games[[#This Row],[PointsFor]]-Games[[#This Row],[PointsAgainst]]</f>
        <v>15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0.48590826091724748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23.597727017019185</v>
      </c>
      <c r="AB308" s="4">
        <f>Games[[#This Row],[PreGmRate]]+Games[[#This Row],[RatingChange]]</f>
        <v>1528.6867131554998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43312</v>
      </c>
      <c r="B309" s="2">
        <v>2018</v>
      </c>
      <c r="C309" s="2">
        <f>COUNTIFS(Games[Team],Games[[#This Row],[Team]],Games[Season],Games[[#This Row],[Season]],Games[Date],"&lt;=" &amp; Games[[#This Row],[Date]])</f>
        <v>26</v>
      </c>
      <c r="D309" s="2" t="s">
        <v>79</v>
      </c>
      <c r="E309" s="2" t="s">
        <v>80</v>
      </c>
      <c r="F309" s="1" t="s">
        <v>77</v>
      </c>
      <c r="G309" s="1" t="s">
        <v>65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6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1546.9234684653434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1505.0889861384805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0.67356672684270424</v>
      </c>
      <c r="R309" s="1">
        <v>71</v>
      </c>
      <c r="S309" s="1">
        <v>86</v>
      </c>
      <c r="T309" s="1">
        <v>0</v>
      </c>
      <c r="U309" s="1">
        <f>Games[[#This Row],[PointsFor]]-Games[[#This Row],[PointsAgainst]]</f>
        <v>-15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0.48590826091724748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72.099999999999994</v>
      </c>
      <c r="Z309" s="4">
        <f>Games[[#This Row],[K]]*Games[[#This Row],[POMult]]</f>
        <v>72.099999999999994</v>
      </c>
      <c r="AA309" s="4">
        <f>(Games[[#This Row],[Keff]]*Games[[#This Row],[MOVMult]])*(Games[[#This Row],[Result]]-Games[[#This Row],[ExpectedWin%]])</f>
        <v>-23.597727017019185</v>
      </c>
      <c r="AB309" s="4">
        <f>Games[[#This Row],[PreGmRate]]+Games[[#This Row],[RatingChange]]</f>
        <v>1523.3257414483242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43312</v>
      </c>
      <c r="B310" s="2">
        <v>2018</v>
      </c>
      <c r="C310" s="2">
        <f>COUNTIFS(Games[Team],Games[[#This Row],[Team]],Games[Season],Games[[#This Row],[Season]],Games[Date],"&lt;=" &amp; Games[[#This Row],[Date]])</f>
        <v>27</v>
      </c>
      <c r="D310" s="2" t="s">
        <v>79</v>
      </c>
      <c r="E310" s="2" t="s">
        <v>80</v>
      </c>
      <c r="F310" s="1" t="s">
        <v>75</v>
      </c>
      <c r="G310" s="1" t="s">
        <v>85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10" s="2">
        <f>Games[[#This Row],[DaysOff]]-Games[[#This Row],[OppDaysOff]]</f>
        <v>-3</v>
      </c>
      <c r="L310" s="2">
        <f>Games[[#This Row],[OppDaysOff]]-Games[[#This Row],[DaysOff]]</f>
        <v>3</v>
      </c>
      <c r="M310" s="1">
        <f>MAX(-16, MIN(16, Games[[#This Row],[RestDiff]]*8))</f>
        <v>-16</v>
      </c>
      <c r="N310" s="1">
        <f>MAX(-16, MIN(16, Games[[#This Row],[OppRestDiff]]*8))</f>
        <v>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1390.6825090414393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1535.54314034597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0.18218187009010822</v>
      </c>
      <c r="R310" s="1">
        <v>92</v>
      </c>
      <c r="S310" s="1">
        <v>91</v>
      </c>
      <c r="T310" s="1">
        <v>0</v>
      </c>
      <c r="U310" s="1">
        <f>Games[[#This Row],[PointsFor]]-Games[[#This Row],[PointsAgainst]]</f>
        <v>1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0.21787804500911259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71.95</v>
      </c>
      <c r="Z310" s="4">
        <f>Games[[#This Row],[K]]*Games[[#This Row],[POMult]]</f>
        <v>71.95</v>
      </c>
      <c r="AA310" s="4">
        <f>(Games[[#This Row],[Keff]]*Games[[#This Row],[MOVMult]])*(Games[[#This Row],[Result]]-Games[[#This Row],[ExpectedWin%]])</f>
        <v>12.820383072113962</v>
      </c>
      <c r="AB310" s="4">
        <f>Games[[#This Row],[PreGmRate]]+Games[[#This Row],[RatingChange]]</f>
        <v>1403.5028921135533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43312</v>
      </c>
      <c r="B311" s="2">
        <v>2018</v>
      </c>
      <c r="C311" s="2">
        <f>COUNTIFS(Games[Team],Games[[#This Row],[Team]],Games[Season],Games[[#This Row],[Season]],Games[Date],"&lt;=" &amp; Games[[#This Row],[Date]])</f>
        <v>26</v>
      </c>
      <c r="D311" s="2" t="s">
        <v>79</v>
      </c>
      <c r="E311" s="2" t="s">
        <v>80</v>
      </c>
      <c r="F311" s="1" t="s">
        <v>85</v>
      </c>
      <c r="G311" s="1" t="s">
        <v>75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8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1" s="2">
        <f>Games[[#This Row],[DaysOff]]-Games[[#This Row],[OppDaysOff]]</f>
        <v>3</v>
      </c>
      <c r="L311" s="2">
        <f>Games[[#This Row],[OppDaysOff]]-Games[[#This Row],[DaysOff]]</f>
        <v>-3</v>
      </c>
      <c r="M311" s="1">
        <f>MAX(-16, MIN(16, Games[[#This Row],[RestDiff]]*8))</f>
        <v>16</v>
      </c>
      <c r="N311" s="1">
        <f>MAX(-16, MIN(16, Games[[#This Row],[OppRestDiff]]*8))</f>
        <v>-16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1535.54314034597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1390.6825090414393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0.81781812990989189</v>
      </c>
      <c r="R311" s="1">
        <v>91</v>
      </c>
      <c r="S311" s="1">
        <v>92</v>
      </c>
      <c r="T311" s="1">
        <v>0</v>
      </c>
      <c r="U311" s="1">
        <f>Games[[#This Row],[PointsFor]]-Games[[#This Row],[PointsAgainst]]</f>
        <v>-1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0.21787804500911259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72.099999999999994</v>
      </c>
      <c r="Z311" s="4">
        <f>Games[[#This Row],[K]]*Games[[#This Row],[POMult]]</f>
        <v>72.099999999999994</v>
      </c>
      <c r="AA311" s="4">
        <f>(Games[[#This Row],[Keff]]*Games[[#This Row],[MOVMult]])*(Games[[#This Row],[Result]]-Games[[#This Row],[ExpectedWin%]])</f>
        <v>-12.847110764411628</v>
      </c>
      <c r="AB311" s="4">
        <f>Games[[#This Row],[PreGmRate]]+Games[[#This Row],[RatingChange]]</f>
        <v>1522.6960295815584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43312</v>
      </c>
      <c r="B312" s="2">
        <v>2018</v>
      </c>
      <c r="C312" s="2">
        <f>COUNTIFS(Games[Team],Games[[#This Row],[Team]],Games[Season],Games[[#This Row],[Season]],Games[Date],"&lt;=" &amp; Games[[#This Row],[Date]])</f>
        <v>27</v>
      </c>
      <c r="D312" s="2" t="s">
        <v>79</v>
      </c>
      <c r="E312" s="2" t="s">
        <v>80</v>
      </c>
      <c r="F312" s="1" t="s">
        <v>71</v>
      </c>
      <c r="G312" s="1" t="s">
        <v>40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6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2" s="2">
        <f>Games[[#This Row],[DaysOff]]-Games[[#This Row],[OppDaysOff]]</f>
        <v>1</v>
      </c>
      <c r="L312" s="2">
        <f>Games[[#This Row],[OppDaysOff]]-Games[[#This Row],[DaysOff]]</f>
        <v>-1</v>
      </c>
      <c r="M312" s="1">
        <f>MAX(-16, MIN(16, Games[[#This Row],[RestDiff]]*8))</f>
        <v>8</v>
      </c>
      <c r="N312" s="1">
        <f>MAX(-16, MIN(16, Games[[#This Row],[OppRestDiff]]*8))</f>
        <v>-8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1630.505116370354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1514.729365211158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0.56832472600801753</v>
      </c>
      <c r="R312" s="1">
        <v>102</v>
      </c>
      <c r="S312" s="1">
        <v>91</v>
      </c>
      <c r="T312" s="1">
        <v>0</v>
      </c>
      <c r="U312" s="1">
        <f>Games[[#This Row],[PointsFor]]-Games[[#This Row],[PointsAgainst]]</f>
        <v>11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0.40113458835532123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71.95</v>
      </c>
      <c r="Z312" s="4">
        <f>Games[[#This Row],[K]]*Games[[#This Row],[POMult]]</f>
        <v>71.95</v>
      </c>
      <c r="AA312" s="4">
        <f>(Games[[#This Row],[Keff]]*Games[[#This Row],[MOVMult]])*(Games[[#This Row],[Result]]-Games[[#This Row],[ExpectedWin%]])</f>
        <v>12.458853606021201</v>
      </c>
      <c r="AB312" s="4">
        <f>Games[[#This Row],[PreGmRate]]+Games[[#This Row],[RatingChange]]</f>
        <v>1642.9639699763752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43312</v>
      </c>
      <c r="B313" s="2">
        <v>2018</v>
      </c>
      <c r="C313" s="2">
        <f>COUNTIFS(Games[Team],Games[[#This Row],[Team]],Games[Season],Games[[#This Row],[Season]],Games[Date],"&lt;=" &amp; Games[[#This Row],[Date]])</f>
        <v>27</v>
      </c>
      <c r="D313" s="2" t="s">
        <v>79</v>
      </c>
      <c r="E313" s="2" t="s">
        <v>80</v>
      </c>
      <c r="F313" s="1" t="s">
        <v>40</v>
      </c>
      <c r="G313" s="1" t="s">
        <v>71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13" s="2">
        <f>Games[[#This Row],[DaysOff]]-Games[[#This Row],[OppDaysOff]]</f>
        <v>-1</v>
      </c>
      <c r="L313" s="2">
        <f>Games[[#This Row],[OppDaysOff]]-Games[[#This Row],[DaysOff]]</f>
        <v>1</v>
      </c>
      <c r="M313" s="1">
        <f>MAX(-16, MIN(16, Games[[#This Row],[RestDiff]]*8))</f>
        <v>-8</v>
      </c>
      <c r="N313" s="1">
        <f>MAX(-16, MIN(16, Games[[#This Row],[OppRestDiff]]*8))</f>
        <v>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1514.729365211158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1630.505116370354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0.43167527399198247</v>
      </c>
      <c r="R313" s="1">
        <v>91</v>
      </c>
      <c r="S313" s="1">
        <v>102</v>
      </c>
      <c r="T313" s="1">
        <v>0</v>
      </c>
      <c r="U313" s="1">
        <f>Games[[#This Row],[PointsFor]]-Games[[#This Row],[PointsAgainst]]</f>
        <v>-11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0.40113458835532123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71.95</v>
      </c>
      <c r="Z313" s="4">
        <f>Games[[#This Row],[K]]*Games[[#This Row],[POMult]]</f>
        <v>71.95</v>
      </c>
      <c r="AA313" s="4">
        <f>(Games[[#This Row],[Keff]]*Games[[#This Row],[MOVMult]])*(Games[[#This Row],[Result]]-Games[[#This Row],[ExpectedWin%]])</f>
        <v>-12.458853606021201</v>
      </c>
      <c r="AB313" s="4">
        <f>Games[[#This Row],[PreGmRate]]+Games[[#This Row],[RatingChange]]</f>
        <v>1502.2705116051368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43313</v>
      </c>
      <c r="B314" s="2">
        <v>2018</v>
      </c>
      <c r="C314" s="2">
        <f>COUNTIFS(Games[Team],Games[[#This Row],[Team]],Games[Season],Games[[#This Row],[Season]],Games[Date],"&lt;=" &amp; Games[[#This Row],[Date]])</f>
        <v>26</v>
      </c>
      <c r="D314" s="2" t="s">
        <v>79</v>
      </c>
      <c r="E314" s="2" t="s">
        <v>80</v>
      </c>
      <c r="F314" s="1" t="s">
        <v>60</v>
      </c>
      <c r="G314" s="1" t="s">
        <v>74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7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1392.0196820117624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1570.38149766934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0.18089789145592552</v>
      </c>
      <c r="R314" s="1">
        <v>77</v>
      </c>
      <c r="S314" s="1">
        <v>92</v>
      </c>
      <c r="T314" s="1">
        <v>0</v>
      </c>
      <c r="U314" s="1">
        <f>Games[[#This Row],[PointsFor]]-Games[[#This Row],[PointsAgainst]]</f>
        <v>-15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0.43777883774779597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-5.7098346712946055</v>
      </c>
      <c r="AB314" s="4">
        <f>Games[[#This Row],[PreGmRate]]+Games[[#This Row],[RatingChange]]</f>
        <v>1386.3098473404677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43313</v>
      </c>
      <c r="B315" s="2">
        <v>2018</v>
      </c>
      <c r="C315" s="2">
        <f>COUNTIFS(Games[Team],Games[[#This Row],[Team]],Games[Season],Games[[#This Row],[Season]],Games[Date],"&lt;=" &amp; Games[[#This Row],[Date]])</f>
        <v>27</v>
      </c>
      <c r="D315" s="2" t="s">
        <v>79</v>
      </c>
      <c r="E315" s="2" t="s">
        <v>80</v>
      </c>
      <c r="F315" s="1" t="s">
        <v>74</v>
      </c>
      <c r="G315" s="1" t="s">
        <v>60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7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1570.38149766934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1392.0196820117624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0.8191021085440745</v>
      </c>
      <c r="R315" s="1">
        <v>92</v>
      </c>
      <c r="S315" s="1">
        <v>77</v>
      </c>
      <c r="T315" s="1">
        <v>0</v>
      </c>
      <c r="U315" s="1">
        <f>Games[[#This Row],[PointsFor]]-Games[[#This Row],[PointsAgainst]]</f>
        <v>15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0.43777883774779597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5.6979556809937151</v>
      </c>
      <c r="AB315" s="4">
        <f>Games[[#This Row],[PreGmRate]]+Games[[#This Row],[RatingChange]]</f>
        <v>1576.0794533503338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43313</v>
      </c>
      <c r="B316" s="2">
        <v>2018</v>
      </c>
      <c r="C316" s="2">
        <f>COUNTIFS(Games[Team],Games[[#This Row],[Team]],Games[Season],Games[[#This Row],[Season]],Games[Date],"&lt;=" &amp; Games[[#This Row],[Date]])</f>
        <v>28</v>
      </c>
      <c r="D316" s="2" t="s">
        <v>79</v>
      </c>
      <c r="E316" s="2" t="s">
        <v>80</v>
      </c>
      <c r="F316" s="1" t="s">
        <v>40</v>
      </c>
      <c r="G316" s="1" t="s">
        <v>86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316" s="2">
        <f>Games[[#This Row],[DaysOff]]-Games[[#This Row],[OppDaysOff]]</f>
        <v>-9</v>
      </c>
      <c r="L316" s="2">
        <f>Games[[#This Row],[OppDaysOff]]-Games[[#This Row],[DaysOff]]</f>
        <v>9</v>
      </c>
      <c r="M316" s="1">
        <f>MAX(-16, MIN(16, Games[[#This Row],[RestDiff]]*8))</f>
        <v>-16</v>
      </c>
      <c r="N316" s="1">
        <f>MAX(-16, MIN(16, Games[[#This Row],[OppRestDiff]]*8))</f>
        <v>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1502.2705116051368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1484.3653665177978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0.36246543513703289</v>
      </c>
      <c r="R316" s="1">
        <v>104</v>
      </c>
      <c r="S316" s="1">
        <v>93</v>
      </c>
      <c r="T316" s="1">
        <v>0</v>
      </c>
      <c r="U316" s="1">
        <f>Games[[#This Row],[PointsFor]]-Games[[#This Row],[PointsAgainst]]</f>
        <v>11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0.43336968107750923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71.8</v>
      </c>
      <c r="Z316" s="4">
        <f>Games[[#This Row],[K]]*Games[[#This Row],[POMult]]</f>
        <v>71.8</v>
      </c>
      <c r="AA316" s="4">
        <f>(Games[[#This Row],[Keff]]*Games[[#This Row],[MOVMult]])*(Games[[#This Row],[Result]]-Games[[#This Row],[ExpectedWin%]])</f>
        <v>19.83748924542968</v>
      </c>
      <c r="AB316" s="4">
        <f>Games[[#This Row],[PreGmRate]]+Games[[#This Row],[RatingChange]]</f>
        <v>1522.1080008505664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43313</v>
      </c>
      <c r="B317" s="2">
        <v>2018</v>
      </c>
      <c r="C317" s="2">
        <f>COUNTIFS(Games[Team],Games[[#This Row],[Team]],Games[Season],Games[[#This Row],[Season]],Games[Date],"&lt;=" &amp; Games[[#This Row],[Date]])</f>
        <v>26</v>
      </c>
      <c r="D317" s="2" t="s">
        <v>79</v>
      </c>
      <c r="E317" s="2" t="s">
        <v>80</v>
      </c>
      <c r="F317" s="1" t="s">
        <v>86</v>
      </c>
      <c r="G317" s="1" t="s">
        <v>40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9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7" s="2">
        <f>Games[[#This Row],[DaysOff]]-Games[[#This Row],[OppDaysOff]]</f>
        <v>9</v>
      </c>
      <c r="L317" s="2">
        <f>Games[[#This Row],[OppDaysOff]]-Games[[#This Row],[DaysOff]]</f>
        <v>-9</v>
      </c>
      <c r="M317" s="1">
        <f>MAX(-16, MIN(16, Games[[#This Row],[RestDiff]]*8))</f>
        <v>16</v>
      </c>
      <c r="N317" s="1">
        <f>MAX(-16, MIN(16, Games[[#This Row],[OppRestDiff]]*8))</f>
        <v>-16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1484.3653665177978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1502.2705116051368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0.63753456486296711</v>
      </c>
      <c r="R317" s="1">
        <v>93</v>
      </c>
      <c r="S317" s="1">
        <v>104</v>
      </c>
      <c r="T317" s="1">
        <v>0</v>
      </c>
      <c r="U317" s="1">
        <f>Games[[#This Row],[PointsFor]]-Games[[#This Row],[PointsAgainst]]</f>
        <v>-11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0.43336968107750923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-19.920375690744848</v>
      </c>
      <c r="AB317" s="4">
        <f>Games[[#This Row],[PreGmRate]]+Games[[#This Row],[RatingChange]]</f>
        <v>1464.4449908270531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43314</v>
      </c>
      <c r="B318" s="2">
        <v>2018</v>
      </c>
      <c r="C318" s="2">
        <f>COUNTIFS(Games[Team],Games[[#This Row],[Team]],Games[Season],Games[[#This Row],[Season]],Games[Date],"&lt;=" &amp; Games[[#This Row],[Date]])</f>
        <v>27</v>
      </c>
      <c r="D318" s="2" t="s">
        <v>79</v>
      </c>
      <c r="E318" s="2" t="s">
        <v>80</v>
      </c>
      <c r="F318" s="1" t="s">
        <v>85</v>
      </c>
      <c r="G318" s="1" t="s">
        <v>69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18" s="2">
        <f>Games[[#This Row],[DaysOff]]-Games[[#This Row],[OppDaysOff]]</f>
        <v>-7</v>
      </c>
      <c r="L318" s="2">
        <f>Games[[#This Row],[OppDaysOff]]-Games[[#This Row],[DaysOff]]</f>
        <v>7</v>
      </c>
      <c r="M318" s="1">
        <f>MAX(-16, MIN(16, Games[[#This Row],[RestDiff]]*8))</f>
        <v>-16</v>
      </c>
      <c r="N318" s="1">
        <f>MAX(-16, MIN(16, Games[[#This Row],[OppRestDiff]]*8))</f>
        <v>16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1522.6960295815584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1293.2590716477191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0.65768520111834228</v>
      </c>
      <c r="R318" s="1">
        <v>78</v>
      </c>
      <c r="S318" s="1">
        <v>84</v>
      </c>
      <c r="T318" s="1">
        <v>0</v>
      </c>
      <c r="U318" s="1">
        <f>Games[[#This Row],[PointsFor]]-Games[[#This Row],[PointsAgainst]]</f>
        <v>-6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0.29489716980488245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71.95</v>
      </c>
      <c r="Z318" s="4">
        <f>Games[[#This Row],[K]]*Games[[#This Row],[POMult]]</f>
        <v>71.95</v>
      </c>
      <c r="AA318" s="4">
        <f>(Games[[#This Row],[Keff]]*Games[[#This Row],[MOVMult]])*(Games[[#This Row],[Result]]-Games[[#This Row],[ExpectedWin%]])</f>
        <v>-13.954666843907875</v>
      </c>
      <c r="AB318" s="4">
        <f>Games[[#This Row],[PreGmRate]]+Games[[#This Row],[RatingChange]]</f>
        <v>1508.7413627376504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43314</v>
      </c>
      <c r="B319" s="2">
        <v>2018</v>
      </c>
      <c r="C319" s="2">
        <f>COUNTIFS(Games[Team],Games[[#This Row],[Team]],Games[Season],Games[[#This Row],[Season]],Games[Date],"&lt;=" &amp; Games[[#This Row],[Date]])</f>
        <v>27</v>
      </c>
      <c r="D319" s="2" t="s">
        <v>79</v>
      </c>
      <c r="E319" s="2" t="s">
        <v>80</v>
      </c>
      <c r="F319" s="1" t="s">
        <v>69</v>
      </c>
      <c r="G319" s="1" t="s">
        <v>85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8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7</v>
      </c>
      <c r="L319" s="2">
        <f>Games[[#This Row],[OppDaysOff]]-Games[[#This Row],[DaysOff]]</f>
        <v>-7</v>
      </c>
      <c r="M319" s="1">
        <f>MAX(-16, MIN(16, Games[[#This Row],[RestDiff]]*8))</f>
        <v>16</v>
      </c>
      <c r="N319" s="1">
        <f>MAX(-16, MIN(16, Games[[#This Row],[OppRestDiff]]*8))</f>
        <v>-16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1293.2590716477191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1522.6960295815584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0.34231479888165772</v>
      </c>
      <c r="R319" s="1">
        <v>84</v>
      </c>
      <c r="S319" s="1">
        <v>78</v>
      </c>
      <c r="T319" s="1">
        <v>0</v>
      </c>
      <c r="U319" s="1">
        <f>Games[[#This Row],[PointsFor]]-Games[[#This Row],[PointsAgainst]]</f>
        <v>6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0.29489716980488245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13.954666843907875</v>
      </c>
      <c r="AB319" s="4">
        <f>Games[[#This Row],[PreGmRate]]+Games[[#This Row],[RatingChange]]</f>
        <v>1307.2137384916271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43314</v>
      </c>
      <c r="B320" s="2">
        <v>2018</v>
      </c>
      <c r="C320" s="2">
        <f>COUNTIFS(Games[Team],Games[[#This Row],[Team]],Games[Season],Games[[#This Row],[Season]],Games[Date],"&lt;=" &amp; Games[[#This Row],[Date]])</f>
        <v>26</v>
      </c>
      <c r="D320" s="2" t="s">
        <v>79</v>
      </c>
      <c r="E320" s="2" t="s">
        <v>80</v>
      </c>
      <c r="F320" s="1" t="s">
        <v>67</v>
      </c>
      <c r="G320" s="1" t="s">
        <v>63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8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1595.2790303465383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1541.6236313857014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0.45644130861006638</v>
      </c>
      <c r="R320" s="1">
        <v>57</v>
      </c>
      <c r="S320" s="1">
        <v>79</v>
      </c>
      <c r="T320" s="1">
        <v>0</v>
      </c>
      <c r="U320" s="1">
        <f>Games[[#This Row],[PointsFor]]-Games[[#This Row],[PointsAgainst]]</f>
        <v>-22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0.57628867245581639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72.099999999999994</v>
      </c>
      <c r="Z320" s="4">
        <f>Games[[#This Row],[K]]*Games[[#This Row],[POMult]]</f>
        <v>72.099999999999994</v>
      </c>
      <c r="AA320" s="4">
        <f>(Games[[#This Row],[Keff]]*Games[[#This Row],[MOVMult]])*(Games[[#This Row],[Result]]-Games[[#This Row],[ExpectedWin%]])</f>
        <v>-18.965325012667421</v>
      </c>
      <c r="AB320" s="4">
        <f>Games[[#This Row],[PreGmRate]]+Games[[#This Row],[RatingChange]]</f>
        <v>1576.313705333871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43314</v>
      </c>
      <c r="B321" s="2">
        <v>2018</v>
      </c>
      <c r="C321" s="2">
        <f>COUNTIFS(Games[Team],Games[[#This Row],[Team]],Games[Season],Games[[#This Row],[Season]],Games[Date],"&lt;=" &amp; Games[[#This Row],[Date]])</f>
        <v>27</v>
      </c>
      <c r="D321" s="2" t="s">
        <v>79</v>
      </c>
      <c r="E321" s="2" t="s">
        <v>80</v>
      </c>
      <c r="F321" s="1" t="s">
        <v>63</v>
      </c>
      <c r="G321" s="1" t="s">
        <v>67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8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1541.6236313857014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1595.2790303465383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0.54355869138993362</v>
      </c>
      <c r="R321" s="1">
        <v>79</v>
      </c>
      <c r="S321" s="1">
        <v>57</v>
      </c>
      <c r="T321" s="1">
        <v>0</v>
      </c>
      <c r="U321" s="1">
        <f>Games[[#This Row],[PointsFor]]-Games[[#This Row],[PointsAgainst]]</f>
        <v>22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0.57628867245581639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18.925868719298489</v>
      </c>
      <c r="AB321" s="4">
        <f>Games[[#This Row],[PreGmRate]]+Games[[#This Row],[RatingChange]]</f>
        <v>1560.5495001049999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43315</v>
      </c>
      <c r="B322" s="2">
        <v>2018</v>
      </c>
      <c r="C322" s="2">
        <f>COUNTIFS(Games[Team],Games[[#This Row],[Team]],Games[Season],Games[[#This Row],[Season]],Games[Date],"&lt;=" &amp; Games[[#This Row],[Date]])</f>
        <v>28</v>
      </c>
      <c r="D322" s="2" t="s">
        <v>79</v>
      </c>
      <c r="E322" s="2" t="s">
        <v>80</v>
      </c>
      <c r="F322" s="1" t="s">
        <v>75</v>
      </c>
      <c r="G322" s="1" t="s">
        <v>77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1403.5028921135533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1523.3257414483242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0.23625925791204738</v>
      </c>
      <c r="R322" s="1">
        <v>74</v>
      </c>
      <c r="S322" s="1">
        <v>89</v>
      </c>
      <c r="T322" s="1">
        <v>0</v>
      </c>
      <c r="U322" s="1">
        <f>Games[[#This Row],[PointsFor]]-Games[[#This Row],[PointsAgainst]]</f>
        <v>-15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0.45719592895262895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-7.7556041502435704</v>
      </c>
      <c r="AB322" s="4">
        <f>Games[[#This Row],[PreGmRate]]+Games[[#This Row],[RatingChange]]</f>
        <v>1395.7472879633099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43315</v>
      </c>
      <c r="B323" s="2">
        <v>2018</v>
      </c>
      <c r="C323" s="2">
        <f>COUNTIFS(Games[Team],Games[[#This Row],[Team]],Games[Season],Games[[#This Row],[Season]],Games[Date],"&lt;=" &amp; Games[[#This Row],[Date]])</f>
        <v>27</v>
      </c>
      <c r="D323" s="2" t="s">
        <v>79</v>
      </c>
      <c r="E323" s="2" t="s">
        <v>80</v>
      </c>
      <c r="F323" s="1" t="s">
        <v>77</v>
      </c>
      <c r="G323" s="1" t="s">
        <v>75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1523.3257414483242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1403.5028921135533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0.76374074208795273</v>
      </c>
      <c r="R323" s="1">
        <v>89</v>
      </c>
      <c r="S323" s="1">
        <v>74</v>
      </c>
      <c r="T323" s="1">
        <v>0</v>
      </c>
      <c r="U323" s="1">
        <f>Games[[#This Row],[PointsFor]]-Games[[#This Row],[PointsAgainst]]</f>
        <v>15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0.45719592895262895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7.7718066658777802</v>
      </c>
      <c r="AB323" s="4">
        <f>Games[[#This Row],[PreGmRate]]+Games[[#This Row],[RatingChange]]</f>
        <v>1531.097548114202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43315</v>
      </c>
      <c r="B324" s="2">
        <v>2018</v>
      </c>
      <c r="C324" s="2">
        <f>COUNTIFS(Games[Team],Games[[#This Row],[Team]],Games[Season],Games[[#This Row],[Season]],Games[Date],"&lt;=" &amp; Games[[#This Row],[Date]])</f>
        <v>27</v>
      </c>
      <c r="D324" s="2" t="s">
        <v>79</v>
      </c>
      <c r="E324" s="2" t="s">
        <v>80</v>
      </c>
      <c r="F324" s="1" t="s">
        <v>67</v>
      </c>
      <c r="G324" s="1" t="s">
        <v>71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-2</v>
      </c>
      <c r="L324" s="2">
        <f>Games[[#This Row],[OppDaysOff]]-Games[[#This Row],[DaysOff]]</f>
        <v>2</v>
      </c>
      <c r="M324" s="1">
        <f>MAX(-16, MIN(16, Games[[#This Row],[RestDiff]]*8))</f>
        <v>-16</v>
      </c>
      <c r="N324" s="1">
        <f>MAX(-16, MIN(16, Games[[#This Row],[OppRestDiff]]*8))</f>
        <v>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1576.313705333871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1642.9639699763752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0.25895262226006932</v>
      </c>
      <c r="R324" s="1">
        <v>75</v>
      </c>
      <c r="S324" s="1">
        <v>85</v>
      </c>
      <c r="T324" s="1">
        <v>0</v>
      </c>
      <c r="U324" s="1">
        <f>Games[[#This Row],[PointsFor]]-Games[[#This Row],[PointsAgainst]]</f>
        <v>-10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0.40086490594311619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-7.4687710858241312</v>
      </c>
      <c r="AB324" s="4">
        <f>Games[[#This Row],[PreGmRate]]+Games[[#This Row],[RatingChange]]</f>
        <v>1568.8449342480469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43315</v>
      </c>
      <c r="B325" s="2">
        <v>2018</v>
      </c>
      <c r="C325" s="2">
        <f>COUNTIFS(Games[Team],Games[[#This Row],[Team]],Games[Season],Games[[#This Row],[Season]],Games[Date],"&lt;=" &amp; Games[[#This Row],[Date]])</f>
        <v>28</v>
      </c>
      <c r="D325" s="2" t="s">
        <v>79</v>
      </c>
      <c r="E325" s="2" t="s">
        <v>80</v>
      </c>
      <c r="F325" s="1" t="s">
        <v>71</v>
      </c>
      <c r="G325" s="1" t="s">
        <v>67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5" s="2">
        <f>Games[[#This Row],[DaysOff]]-Games[[#This Row],[OppDaysOff]]</f>
        <v>2</v>
      </c>
      <c r="L325" s="2">
        <f>Games[[#This Row],[OppDaysOff]]-Games[[#This Row],[DaysOff]]</f>
        <v>-2</v>
      </c>
      <c r="M325" s="1">
        <f>MAX(-16, MIN(16, Games[[#This Row],[RestDiff]]*8))</f>
        <v>16</v>
      </c>
      <c r="N325" s="1">
        <f>MAX(-16, MIN(16, Games[[#This Row],[OppRestDiff]]*8))</f>
        <v>-16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1642.9639699763752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1576.313705333871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0.74104737773993068</v>
      </c>
      <c r="R325" s="1">
        <v>85</v>
      </c>
      <c r="S325" s="1">
        <v>75</v>
      </c>
      <c r="T325" s="1">
        <v>0</v>
      </c>
      <c r="U325" s="1">
        <f>Games[[#This Row],[PointsFor]]-Games[[#This Row],[PointsAgainst]]</f>
        <v>10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0.40086490594311619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7.4532003330392298</v>
      </c>
      <c r="AB325" s="4">
        <f>Games[[#This Row],[PreGmRate]]+Games[[#This Row],[RatingChange]]</f>
        <v>1650.4171703094144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43315</v>
      </c>
      <c r="B326" s="2">
        <v>2018</v>
      </c>
      <c r="C326" s="2">
        <f>COUNTIFS(Games[Team],Games[[#This Row],[Team]],Games[Season],Games[[#This Row],[Season]],Games[Date],"&lt;=" &amp; Games[[#This Row],[Date]])</f>
        <v>27</v>
      </c>
      <c r="D326" s="2" t="s">
        <v>79</v>
      </c>
      <c r="E326" s="2" t="s">
        <v>80</v>
      </c>
      <c r="F326" s="1" t="s">
        <v>86</v>
      </c>
      <c r="G326" s="1" t="s">
        <v>65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6" s="2">
        <f>Games[[#This Row],[DaysOff]]-Games[[#This Row],[OppDaysOff]]</f>
        <v>-1</v>
      </c>
      <c r="L326" s="2">
        <f>Games[[#This Row],[OppDaysOff]]-Games[[#This Row],[DaysOff]]</f>
        <v>1</v>
      </c>
      <c r="M326" s="1">
        <f>MAX(-16, MIN(16, Games[[#This Row],[RestDiff]]*8))</f>
        <v>-8</v>
      </c>
      <c r="N326" s="1">
        <f>MAX(-16, MIN(16, Games[[#This Row],[OppRestDiff]]*8))</f>
        <v>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1464.4449908270531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1528.6867131554998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0.27980051088963243</v>
      </c>
      <c r="R326" s="1">
        <v>0</v>
      </c>
      <c r="S326" s="1">
        <v>1</v>
      </c>
      <c r="T326" s="1">
        <v>1</v>
      </c>
      <c r="U326" s="1">
        <f>Games[[#This Row],[PointsFor]]-Games[[#This Row],[PointsAgainst]]</f>
        <v>-1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0.20859463818107143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-4.1993535715803363</v>
      </c>
      <c r="AB326" s="4">
        <f>Games[[#This Row],[PreGmRate]]+Games[[#This Row],[RatingChange]]</f>
        <v>1460.2456372554727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43315</v>
      </c>
      <c r="B327" s="2">
        <v>2018</v>
      </c>
      <c r="C327" s="2">
        <f>COUNTIFS(Games[Team],Games[[#This Row],[Team]],Games[Season],Games[[#This Row],[Season]],Games[Date],"&lt;=" &amp; Games[[#This Row],[Date]])</f>
        <v>27</v>
      </c>
      <c r="D327" s="2" t="s">
        <v>79</v>
      </c>
      <c r="E327" s="2" t="s">
        <v>80</v>
      </c>
      <c r="F327" s="1" t="s">
        <v>65</v>
      </c>
      <c r="G327" s="1" t="s">
        <v>86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1</v>
      </c>
      <c r="L327" s="2">
        <f>Games[[#This Row],[OppDaysOff]]-Games[[#This Row],[DaysOff]]</f>
        <v>-1</v>
      </c>
      <c r="M327" s="1">
        <f>MAX(-16, MIN(16, Games[[#This Row],[RestDiff]]*8))</f>
        <v>8</v>
      </c>
      <c r="N327" s="1">
        <f>MAX(-16, MIN(16, Games[[#This Row],[OppRestDiff]]*8))</f>
        <v>-8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1528.6867131554998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1464.4449908270531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0.72019948911036757</v>
      </c>
      <c r="R327" s="1">
        <v>1</v>
      </c>
      <c r="S327" s="1">
        <v>0</v>
      </c>
      <c r="T327" s="1">
        <v>1</v>
      </c>
      <c r="U327" s="1">
        <f>Games[[#This Row],[PointsFor]]-Games[[#This Row],[PointsAgainst]]</f>
        <v>1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0.20859463818107143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4.1993535715803363</v>
      </c>
      <c r="AB327" s="4">
        <f>Games[[#This Row],[PreGmRate]]+Games[[#This Row],[RatingChange]]</f>
        <v>1532.8860667270801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43316</v>
      </c>
      <c r="B328" s="2">
        <v>2018</v>
      </c>
      <c r="C328" s="2">
        <f>COUNTIFS(Games[Team],Games[[#This Row],[Team]],Games[Season],Games[[#This Row],[Season]],Games[Date],"&lt;=" &amp; Games[[#This Row],[Date]])</f>
        <v>28</v>
      </c>
      <c r="D328" s="2" t="s">
        <v>79</v>
      </c>
      <c r="E328" s="2" t="s">
        <v>80</v>
      </c>
      <c r="F328" s="1" t="s">
        <v>69</v>
      </c>
      <c r="G328" s="1" t="s">
        <v>60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-1</v>
      </c>
      <c r="L328" s="2">
        <f>Games[[#This Row],[OppDaysOff]]-Games[[#This Row],[DaysOff]]</f>
        <v>1</v>
      </c>
      <c r="M328" s="1">
        <f>MAX(-16, MIN(16, Games[[#This Row],[RestDiff]]*8))</f>
        <v>-8</v>
      </c>
      <c r="N328" s="1">
        <f>MAX(-16, MIN(16, Games[[#This Row],[OppRestDiff]]*8))</f>
        <v>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1307.2137384916271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1386.3098473404677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0.26289801572634669</v>
      </c>
      <c r="R328" s="1">
        <v>68</v>
      </c>
      <c r="S328" s="1">
        <v>55</v>
      </c>
      <c r="T328" s="1">
        <v>0</v>
      </c>
      <c r="U328" s="1">
        <f>Games[[#This Row],[PointsFor]]-Games[[#This Row],[PointsAgainst]]</f>
        <v>13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0.44285374872005223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23.437557463184579</v>
      </c>
      <c r="AB328" s="4">
        <f>Games[[#This Row],[PreGmRate]]+Games[[#This Row],[RatingChange]]</f>
        <v>1330.6512959548115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43316</v>
      </c>
      <c r="B329" s="2">
        <v>2018</v>
      </c>
      <c r="C329" s="2">
        <f>COUNTIFS(Games[Team],Games[[#This Row],[Team]],Games[Season],Games[[#This Row],[Season]],Games[Date],"&lt;=" &amp; Games[[#This Row],[Date]])</f>
        <v>27</v>
      </c>
      <c r="D329" s="2" t="s">
        <v>79</v>
      </c>
      <c r="E329" s="2" t="s">
        <v>80</v>
      </c>
      <c r="F329" s="1" t="s">
        <v>60</v>
      </c>
      <c r="G329" s="1" t="s">
        <v>69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1</v>
      </c>
      <c r="L329" s="2">
        <f>Games[[#This Row],[OppDaysOff]]-Games[[#This Row],[DaysOff]]</f>
        <v>-1</v>
      </c>
      <c r="M329" s="1">
        <f>MAX(-16, MIN(16, Games[[#This Row],[RestDiff]]*8))</f>
        <v>8</v>
      </c>
      <c r="N329" s="1">
        <f>MAX(-16, MIN(16, Games[[#This Row],[OppRestDiff]]*8))</f>
        <v>-8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1386.3098473404677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1307.2137384916271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0.73710198427365337</v>
      </c>
      <c r="R329" s="1">
        <v>55</v>
      </c>
      <c r="S329" s="1">
        <v>68</v>
      </c>
      <c r="T329" s="1">
        <v>0</v>
      </c>
      <c r="U329" s="1">
        <f>Games[[#This Row],[PointsFor]]-Games[[#This Row],[PointsAgainst]]</f>
        <v>-13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0.44285374872005223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71.95</v>
      </c>
      <c r="Z329" s="4">
        <f>Games[[#This Row],[K]]*Games[[#This Row],[POMult]]</f>
        <v>71.95</v>
      </c>
      <c r="AA329" s="4">
        <f>(Games[[#This Row],[Keff]]*Games[[#This Row],[MOVMult]])*(Games[[#This Row],[Result]]-Games[[#This Row],[ExpectedWin%]])</f>
        <v>-23.486521719723271</v>
      </c>
      <c r="AB329" s="4">
        <f>Games[[#This Row],[PreGmRate]]+Games[[#This Row],[RatingChange]]</f>
        <v>1362.8233256207445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43317</v>
      </c>
      <c r="B330" s="2">
        <v>2018</v>
      </c>
      <c r="C330" s="2">
        <f>COUNTIFS(Games[Team],Games[[#This Row],[Team]],Games[Season],Games[[#This Row],[Season]],Games[Date],"&lt;=" &amp; Games[[#This Row],[Date]])</f>
        <v>28</v>
      </c>
      <c r="D330" s="2" t="s">
        <v>79</v>
      </c>
      <c r="E330" s="2" t="s">
        <v>80</v>
      </c>
      <c r="F330" s="1" t="s">
        <v>86</v>
      </c>
      <c r="G330" s="1" t="s">
        <v>74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0" s="2">
        <f>Games[[#This Row],[DaysOff]]-Games[[#This Row],[OppDaysOff]]</f>
        <v>-2</v>
      </c>
      <c r="L330" s="2">
        <f>Games[[#This Row],[OppDaysOff]]-Games[[#This Row],[DaysOff]]</f>
        <v>2</v>
      </c>
      <c r="M330" s="1">
        <f>MAX(-16, MIN(16, Games[[#This Row],[RestDiff]]*8))</f>
        <v>-16</v>
      </c>
      <c r="N330" s="1">
        <f>MAX(-16, MIN(16, Games[[#This Row],[OppRestDiff]]*8))</f>
        <v>16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1460.2456372554727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1576.0794533503338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0.20840893841137401</v>
      </c>
      <c r="R330" s="1">
        <v>88</v>
      </c>
      <c r="S330" s="1">
        <v>109</v>
      </c>
      <c r="T330" s="1">
        <v>0</v>
      </c>
      <c r="U330" s="1">
        <f>Games[[#This Row],[PointsFor]]-Games[[#This Row],[PointsAgainst]]</f>
        <v>-21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0.5367634869128235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-8.0320009492581086</v>
      </c>
      <c r="AB330" s="4">
        <f>Games[[#This Row],[PreGmRate]]+Games[[#This Row],[RatingChange]]</f>
        <v>1452.2136363062145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43317</v>
      </c>
      <c r="B331" s="2">
        <v>2018</v>
      </c>
      <c r="C331" s="2">
        <f>COUNTIFS(Games[Team],Games[[#This Row],[Team]],Games[Season],Games[[#This Row],[Season]],Games[Date],"&lt;=" &amp; Games[[#This Row],[Date]])</f>
        <v>28</v>
      </c>
      <c r="D331" s="2" t="s">
        <v>79</v>
      </c>
      <c r="E331" s="2" t="s">
        <v>80</v>
      </c>
      <c r="F331" s="1" t="s">
        <v>74</v>
      </c>
      <c r="G331" s="1" t="s">
        <v>86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2</v>
      </c>
      <c r="L331" s="2">
        <f>Games[[#This Row],[OppDaysOff]]-Games[[#This Row],[DaysOff]]</f>
        <v>-2</v>
      </c>
      <c r="M331" s="1">
        <f>MAX(-16, MIN(16, Games[[#This Row],[RestDiff]]*8))</f>
        <v>16</v>
      </c>
      <c r="N331" s="1">
        <f>MAX(-16, MIN(16, Games[[#This Row],[OppRestDiff]]*8))</f>
        <v>-16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1576.0794533503338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1460.2456372554727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0.79159106158862591</v>
      </c>
      <c r="R331" s="1">
        <v>109</v>
      </c>
      <c r="S331" s="1">
        <v>88</v>
      </c>
      <c r="T331" s="1">
        <v>0</v>
      </c>
      <c r="U331" s="1">
        <f>Games[[#This Row],[PointsFor]]-Games[[#This Row],[PointsAgainst]]</f>
        <v>21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0.5367634869128235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8.0320009492581121</v>
      </c>
      <c r="AB331" s="4">
        <f>Games[[#This Row],[PreGmRate]]+Games[[#This Row],[RatingChange]]</f>
        <v>1584.111454299592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43317</v>
      </c>
      <c r="B332" s="2">
        <v>2018</v>
      </c>
      <c r="C332" s="2">
        <f>COUNTIFS(Games[Team],Games[[#This Row],[Team]],Games[Season],Games[[#This Row],[Season]],Games[Date],"&lt;=" &amp; Games[[#This Row],[Date]])</f>
        <v>28</v>
      </c>
      <c r="D332" s="2" t="s">
        <v>79</v>
      </c>
      <c r="E332" s="2" t="s">
        <v>80</v>
      </c>
      <c r="F332" s="1" t="s">
        <v>65</v>
      </c>
      <c r="G332" s="1" t="s">
        <v>85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-1</v>
      </c>
      <c r="L332" s="2">
        <f>Games[[#This Row],[OppDaysOff]]-Games[[#This Row],[DaysOff]]</f>
        <v>1</v>
      </c>
      <c r="M332" s="1">
        <f>MAX(-16, MIN(16, Games[[#This Row],[RestDiff]]*8))</f>
        <v>-8</v>
      </c>
      <c r="N332" s="1">
        <f>MAX(-16, MIN(16, Games[[#This Row],[OppRestDiff]]*8))</f>
        <v>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1532.8860667270801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1508.7413627376504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0.3925375444254674</v>
      </c>
      <c r="R332" s="1">
        <v>76</v>
      </c>
      <c r="S332" s="1">
        <v>74</v>
      </c>
      <c r="T332" s="1">
        <v>0</v>
      </c>
      <c r="U332" s="1">
        <f>Games[[#This Row],[PointsFor]]-Games[[#This Row],[PointsAgainst]]</f>
        <v>2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0.26255848995967979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71.8</v>
      </c>
      <c r="Z332" s="4">
        <f>Games[[#This Row],[K]]*Games[[#This Row],[POMult]]</f>
        <v>71.8</v>
      </c>
      <c r="AA332" s="4">
        <f>(Games[[#This Row],[Keff]]*Games[[#This Row],[MOVMult]])*(Games[[#This Row],[Result]]-Games[[#This Row],[ExpectedWin%]])</f>
        <v>11.451699718076512</v>
      </c>
      <c r="AB332" s="4">
        <f>Games[[#This Row],[PreGmRate]]+Games[[#This Row],[RatingChange]]</f>
        <v>1544.3377664451566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43317</v>
      </c>
      <c r="B333" s="2">
        <v>2018</v>
      </c>
      <c r="C333" s="2">
        <f>COUNTIFS(Games[Team],Games[[#This Row],[Team]],Games[Season],Games[[#This Row],[Season]],Games[Date],"&lt;=" &amp; Games[[#This Row],[Date]])</f>
        <v>28</v>
      </c>
      <c r="D333" s="2" t="s">
        <v>79</v>
      </c>
      <c r="E333" s="2" t="s">
        <v>80</v>
      </c>
      <c r="F333" s="1" t="s">
        <v>85</v>
      </c>
      <c r="G333" s="1" t="s">
        <v>65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1</v>
      </c>
      <c r="L333" s="2">
        <f>Games[[#This Row],[OppDaysOff]]-Games[[#This Row],[DaysOff]]</f>
        <v>-1</v>
      </c>
      <c r="M333" s="1">
        <f>MAX(-16, MIN(16, Games[[#This Row],[RestDiff]]*8))</f>
        <v>8</v>
      </c>
      <c r="N333" s="1">
        <f>MAX(-16, MIN(16, Games[[#This Row],[OppRestDiff]]*8))</f>
        <v>-8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1508.7413627376504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1532.8860667270801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0.60746245557453271</v>
      </c>
      <c r="R333" s="1">
        <v>74</v>
      </c>
      <c r="S333" s="1">
        <v>76</v>
      </c>
      <c r="T333" s="1">
        <v>0</v>
      </c>
      <c r="U333" s="1">
        <f>Games[[#This Row],[PointsFor]]-Games[[#This Row],[PointsAgainst]]</f>
        <v>-2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0.26255848995967979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-11.451699718076513</v>
      </c>
      <c r="AB333" s="4">
        <f>Games[[#This Row],[PreGmRate]]+Games[[#This Row],[RatingChange]]</f>
        <v>1497.2896630195739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43317</v>
      </c>
      <c r="B334" s="2">
        <v>2018</v>
      </c>
      <c r="C334" s="2">
        <f>COUNTIFS(Games[Team],Games[[#This Row],[Team]],Games[Season],Games[[#This Row],[Season]],Games[Date],"&lt;=" &amp; Games[[#This Row],[Date]])</f>
        <v>29</v>
      </c>
      <c r="D334" s="2" t="s">
        <v>79</v>
      </c>
      <c r="E334" s="2" t="s">
        <v>80</v>
      </c>
      <c r="F334" s="1" t="s">
        <v>40</v>
      </c>
      <c r="G334" s="1" t="s">
        <v>63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1522.1080008505664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1560.5495001049999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0.35143749217407172</v>
      </c>
      <c r="R334" s="1">
        <v>75</v>
      </c>
      <c r="S334" s="1">
        <v>78</v>
      </c>
      <c r="T334" s="1">
        <v>0</v>
      </c>
      <c r="U334" s="1">
        <f>Games[[#This Row],[PointsFor]]-Games[[#This Row],[PointsAgainst]]</f>
        <v>-3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0.2811761601400512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-7.0801552640677805</v>
      </c>
      <c r="AB334" s="4">
        <f>Games[[#This Row],[PreGmRate]]+Games[[#This Row],[RatingChange]]</f>
        <v>1515.0278455864986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43317</v>
      </c>
      <c r="B335" s="2">
        <v>2018</v>
      </c>
      <c r="C335" s="2">
        <f>COUNTIFS(Games[Team],Games[[#This Row],[Team]],Games[Season],Games[[#This Row],[Season]],Games[Date],"&lt;=" &amp; Games[[#This Row],[Date]])</f>
        <v>28</v>
      </c>
      <c r="D335" s="2" t="s">
        <v>79</v>
      </c>
      <c r="E335" s="2" t="s">
        <v>80</v>
      </c>
      <c r="F335" s="1" t="s">
        <v>63</v>
      </c>
      <c r="G335" s="1" t="s">
        <v>40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1560.5495001049999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1522.1080008505664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0.64856250782592839</v>
      </c>
      <c r="R335" s="1">
        <v>78</v>
      </c>
      <c r="S335" s="1">
        <v>75</v>
      </c>
      <c r="T335" s="1">
        <v>0</v>
      </c>
      <c r="U335" s="1">
        <f>Games[[#This Row],[PointsFor]]-Games[[#This Row],[PointsAgainst]]</f>
        <v>3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0.2811761601400512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7.0949776407545908</v>
      </c>
      <c r="AB335" s="4">
        <f>Games[[#This Row],[PreGmRate]]+Games[[#This Row],[RatingChange]]</f>
        <v>1567.6444777457546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43317</v>
      </c>
      <c r="B336" s="2">
        <v>2018</v>
      </c>
      <c r="C336" s="2">
        <f>COUNTIFS(Games[Team],Games[[#This Row],[Team]],Games[Season],Games[[#This Row],[Season]],Games[Date],"&lt;=" &amp; Games[[#This Row],[Date]])</f>
        <v>28</v>
      </c>
      <c r="D336" s="2" t="s">
        <v>79</v>
      </c>
      <c r="E336" s="2" t="s">
        <v>80</v>
      </c>
      <c r="F336" s="1" t="s">
        <v>77</v>
      </c>
      <c r="G336" s="1" t="s">
        <v>67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1531.097548114202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1568.8449342480469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0.33162728072648712</v>
      </c>
      <c r="R336" s="1">
        <v>86</v>
      </c>
      <c r="S336" s="1">
        <v>66</v>
      </c>
      <c r="T336" s="1">
        <v>0</v>
      </c>
      <c r="U336" s="1">
        <f>Games[[#This Row],[PointsFor]]-Games[[#This Row],[PointsAgainst]]</f>
        <v>20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0.55735511014523609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26.747004250836952</v>
      </c>
      <c r="AB336" s="4">
        <f>Games[[#This Row],[PreGmRate]]+Games[[#This Row],[RatingChange]]</f>
        <v>1557.8445523650389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43317</v>
      </c>
      <c r="B337" s="2">
        <v>2018</v>
      </c>
      <c r="C337" s="2">
        <f>COUNTIFS(Games[Team],Games[[#This Row],[Team]],Games[Season],Games[[#This Row],[Season]],Games[Date],"&lt;=" &amp; Games[[#This Row],[Date]])</f>
        <v>28</v>
      </c>
      <c r="D337" s="2" t="s">
        <v>79</v>
      </c>
      <c r="E337" s="2" t="s">
        <v>80</v>
      </c>
      <c r="F337" s="1" t="s">
        <v>67</v>
      </c>
      <c r="G337" s="1" t="s">
        <v>77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1568.8449342480469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1531.097548114202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0.66837271927351294</v>
      </c>
      <c r="R337" s="1">
        <v>66</v>
      </c>
      <c r="S337" s="1">
        <v>86</v>
      </c>
      <c r="T337" s="1">
        <v>0</v>
      </c>
      <c r="U337" s="1">
        <f>Games[[#This Row],[PointsFor]]-Games[[#This Row],[PointsAgainst]]</f>
        <v>-20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0.55735511014523609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-26.747004250836952</v>
      </c>
      <c r="AB337" s="4">
        <f>Games[[#This Row],[PreGmRate]]+Games[[#This Row],[RatingChange]]</f>
        <v>1542.09792999721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43318</v>
      </c>
      <c r="B338" s="2">
        <v>2018</v>
      </c>
      <c r="C338" s="2">
        <f>COUNTIFS(Games[Team],Games[[#This Row],[Team]],Games[Season],Games[[#This Row],[Season]],Games[Date],"&lt;=" &amp; Games[[#This Row],[Date]])</f>
        <v>29</v>
      </c>
      <c r="D338" s="2" t="s">
        <v>79</v>
      </c>
      <c r="E338" s="2" t="s">
        <v>80</v>
      </c>
      <c r="F338" s="1" t="s">
        <v>71</v>
      </c>
      <c r="G338" s="1" t="s">
        <v>60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1</v>
      </c>
      <c r="L338" s="2">
        <f>Games[[#This Row],[OppDaysOff]]-Games[[#This Row],[DaysOff]]</f>
        <v>-1</v>
      </c>
      <c r="M338" s="1">
        <f>MAX(-16, MIN(16, Games[[#This Row],[RestDiff]]*8))</f>
        <v>8</v>
      </c>
      <c r="N338" s="1">
        <f>MAX(-16, MIN(16, Games[[#This Row],[OppRestDiff]]*8))</f>
        <v>-8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1650.4171703094144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1362.8233256207445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0.77972830720198716</v>
      </c>
      <c r="R338" s="1">
        <v>96</v>
      </c>
      <c r="S338" s="1">
        <v>80</v>
      </c>
      <c r="T338" s="1">
        <v>0</v>
      </c>
      <c r="U338" s="1">
        <f>Games[[#This Row],[PointsFor]]-Games[[#This Row],[PointsAgainst]]</f>
        <v>16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0.41768338915526482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6.5920742176505831</v>
      </c>
      <c r="AB338" s="4">
        <f>Games[[#This Row],[PreGmRate]]+Games[[#This Row],[RatingChange]]</f>
        <v>1657.009244527065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43318</v>
      </c>
      <c r="B339" s="2">
        <v>2018</v>
      </c>
      <c r="C339" s="2">
        <f>COUNTIFS(Games[Team],Games[[#This Row],[Team]],Games[Season],Games[[#This Row],[Season]],Games[Date],"&lt;=" &amp; Games[[#This Row],[Date]])</f>
        <v>28</v>
      </c>
      <c r="D339" s="2" t="s">
        <v>79</v>
      </c>
      <c r="E339" s="2" t="s">
        <v>80</v>
      </c>
      <c r="F339" s="1" t="s">
        <v>60</v>
      </c>
      <c r="G339" s="1" t="s">
        <v>71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9" s="2">
        <f>Games[[#This Row],[DaysOff]]-Games[[#This Row],[OppDaysOff]]</f>
        <v>-1</v>
      </c>
      <c r="L339" s="2">
        <f>Games[[#This Row],[OppDaysOff]]-Games[[#This Row],[DaysOff]]</f>
        <v>1</v>
      </c>
      <c r="M339" s="1">
        <f>MAX(-16, MIN(16, Games[[#This Row],[RestDiff]]*8))</f>
        <v>-8</v>
      </c>
      <c r="N339" s="1">
        <f>MAX(-16, MIN(16, Games[[#This Row],[OppRestDiff]]*8))</f>
        <v>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1362.8233256207445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1650.4171703094144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0.22027169279801284</v>
      </c>
      <c r="R339" s="1">
        <v>80</v>
      </c>
      <c r="S339" s="1">
        <v>96</v>
      </c>
      <c r="T339" s="1">
        <v>0</v>
      </c>
      <c r="U339" s="1">
        <f>Games[[#This Row],[PointsFor]]-Games[[#This Row],[PointsAgainst]]</f>
        <v>-16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0.41768338915526482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-6.6058747917280085</v>
      </c>
      <c r="AB339" s="4">
        <f>Games[[#This Row],[PreGmRate]]+Games[[#This Row],[RatingChange]]</f>
        <v>1356.2174508290166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43319</v>
      </c>
      <c r="B340" s="2">
        <v>2018</v>
      </c>
      <c r="C340" s="2">
        <f>COUNTIFS(Games[Team],Games[[#This Row],[Team]],Games[Season],Games[[#This Row],[Season]],Games[Date],"&lt;=" &amp; Games[[#This Row],[Date]])</f>
        <v>29</v>
      </c>
      <c r="D340" s="2" t="s">
        <v>79</v>
      </c>
      <c r="E340" s="2" t="s">
        <v>80</v>
      </c>
      <c r="F340" s="1" t="s">
        <v>86</v>
      </c>
      <c r="G340" s="1" t="s">
        <v>77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1452.2136363062145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1557.8445523650389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0.25131648656658245</v>
      </c>
      <c r="R340" s="1">
        <v>100</v>
      </c>
      <c r="S340" s="1">
        <v>109</v>
      </c>
      <c r="T340" s="1">
        <v>0</v>
      </c>
      <c r="U340" s="1">
        <f>Games[[#This Row],[PointsFor]]-Games[[#This Row],[PointsAgainst]]</f>
        <v>-9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0.37312675931973904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-6.7188287289585649</v>
      </c>
      <c r="AB340" s="4">
        <f>Games[[#This Row],[PreGmRate]]+Games[[#This Row],[RatingChange]]</f>
        <v>1445.4948075772559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43319</v>
      </c>
      <c r="B341" s="2">
        <v>2018</v>
      </c>
      <c r="C341" s="2">
        <f>COUNTIFS(Games[Team],Games[[#This Row],[Team]],Games[Season],Games[[#This Row],[Season]],Games[Date],"&lt;=" &amp; Games[[#This Row],[Date]])</f>
        <v>29</v>
      </c>
      <c r="D341" s="2" t="s">
        <v>79</v>
      </c>
      <c r="E341" s="2" t="s">
        <v>80</v>
      </c>
      <c r="F341" s="1" t="s">
        <v>77</v>
      </c>
      <c r="G341" s="1" t="s">
        <v>86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1557.8445523650389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1452.2136363062145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0.74868351343341755</v>
      </c>
      <c r="R341" s="1">
        <v>109</v>
      </c>
      <c r="S341" s="1">
        <v>100</v>
      </c>
      <c r="T341" s="1">
        <v>0</v>
      </c>
      <c r="U341" s="1">
        <f>Games[[#This Row],[PointsFor]]-Games[[#This Row],[PointsAgainst]]</f>
        <v>9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0.37312675931973904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71.650000000000006</v>
      </c>
      <c r="Z341" s="4">
        <f>Games[[#This Row],[K]]*Games[[#This Row],[POMult]]</f>
        <v>71.650000000000006</v>
      </c>
      <c r="AA341" s="4">
        <f>(Games[[#This Row],[Keff]]*Games[[#This Row],[MOVMult]])*(Games[[#This Row],[Result]]-Games[[#This Row],[ExpectedWin%]])</f>
        <v>6.7188287289585649</v>
      </c>
      <c r="AB341" s="4">
        <f>Games[[#This Row],[PreGmRate]]+Games[[#This Row],[RatingChange]]</f>
        <v>1564.5633810939976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43319</v>
      </c>
      <c r="B342" s="2">
        <v>2018</v>
      </c>
      <c r="C342" s="2">
        <f>COUNTIFS(Games[Team],Games[[#This Row],[Team]],Games[Season],Games[[#This Row],[Season]],Games[Date],"&lt;=" &amp; Games[[#This Row],[Date]])</f>
        <v>29</v>
      </c>
      <c r="D342" s="2" t="s">
        <v>79</v>
      </c>
      <c r="E342" s="2" t="s">
        <v>80</v>
      </c>
      <c r="F342" s="1" t="s">
        <v>67</v>
      </c>
      <c r="G342" s="1" t="s">
        <v>75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2" s="2">
        <f>Games[[#This Row],[DaysOff]]-Games[[#This Row],[OppDaysOff]]</f>
        <v>-2</v>
      </c>
      <c r="L342" s="2">
        <f>Games[[#This Row],[OppDaysOff]]-Games[[#This Row],[DaysOff]]</f>
        <v>2</v>
      </c>
      <c r="M342" s="1">
        <f>MAX(-16, MIN(16, Games[[#This Row],[RestDiff]]*8))</f>
        <v>-16</v>
      </c>
      <c r="N342" s="1">
        <f>MAX(-16, MIN(16, Games[[#This Row],[OppRestDiff]]*8))</f>
        <v>16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1542.09792999721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1395.7472879633099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0.54356731908690525</v>
      </c>
      <c r="R342" s="1">
        <v>85</v>
      </c>
      <c r="S342" s="1">
        <v>64</v>
      </c>
      <c r="T342" s="1">
        <v>0</v>
      </c>
      <c r="U342" s="1">
        <f>Games[[#This Row],[PointsFor]]-Games[[#This Row],[PointsAgainst]]</f>
        <v>21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0.52459702938746078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71.650000000000006</v>
      </c>
      <c r="Z342" s="4">
        <f>Games[[#This Row],[K]]*Games[[#This Row],[POMult]]</f>
        <v>71.650000000000006</v>
      </c>
      <c r="AA342" s="4">
        <f>(Games[[#This Row],[Keff]]*Games[[#This Row],[MOVMult]])*(Games[[#This Row],[Result]]-Games[[#This Row],[ExpectedWin%]])</f>
        <v>17.156107323627403</v>
      </c>
      <c r="AB342" s="4">
        <f>Games[[#This Row],[PreGmRate]]+Games[[#This Row],[RatingChange]]</f>
        <v>1559.2540373208374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43319</v>
      </c>
      <c r="B343" s="2">
        <v>2018</v>
      </c>
      <c r="C343" s="2">
        <f>COUNTIFS(Games[Team],Games[[#This Row],[Team]],Games[Season],Games[[#This Row],[Season]],Games[Date],"&lt;=" &amp; Games[[#This Row],[Date]])</f>
        <v>29</v>
      </c>
      <c r="D343" s="2" t="s">
        <v>79</v>
      </c>
      <c r="E343" s="2" t="s">
        <v>80</v>
      </c>
      <c r="F343" s="1" t="s">
        <v>75</v>
      </c>
      <c r="G343" s="1" t="s">
        <v>67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2</v>
      </c>
      <c r="L343" s="2">
        <f>Games[[#This Row],[OppDaysOff]]-Games[[#This Row],[DaysOff]]</f>
        <v>-2</v>
      </c>
      <c r="M343" s="1">
        <f>MAX(-16, MIN(16, Games[[#This Row],[RestDiff]]*8))</f>
        <v>16</v>
      </c>
      <c r="N343" s="1">
        <f>MAX(-16, MIN(16, Games[[#This Row],[OppRestDiff]]*8))</f>
        <v>-16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1395.7472879633099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1542.09792999721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0.4564326809130948</v>
      </c>
      <c r="R343" s="1">
        <v>64</v>
      </c>
      <c r="S343" s="1">
        <v>85</v>
      </c>
      <c r="T343" s="1">
        <v>0</v>
      </c>
      <c r="U343" s="1">
        <f>Games[[#This Row],[PointsFor]]-Games[[#This Row],[PointsAgainst]]</f>
        <v>-21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0.52459702938746078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71.650000000000006</v>
      </c>
      <c r="Z343" s="4">
        <f>Games[[#This Row],[K]]*Games[[#This Row],[POMult]]</f>
        <v>71.650000000000006</v>
      </c>
      <c r="AA343" s="4">
        <f>(Games[[#This Row],[Keff]]*Games[[#This Row],[MOVMult]])*(Games[[#This Row],[Result]]-Games[[#This Row],[ExpectedWin%]])</f>
        <v>-17.156107323627406</v>
      </c>
      <c r="AB343" s="4">
        <f>Games[[#This Row],[PreGmRate]]+Games[[#This Row],[RatingChange]]</f>
        <v>1378.5911806396825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43319</v>
      </c>
      <c r="B344" s="2">
        <v>2018</v>
      </c>
      <c r="C344" s="2">
        <f>COUNTIFS(Games[Team],Games[[#This Row],[Team]],Games[Season],Games[[#This Row],[Season]],Games[Date],"&lt;=" &amp; Games[[#This Row],[Date]])</f>
        <v>30</v>
      </c>
      <c r="D344" s="2" t="s">
        <v>79</v>
      </c>
      <c r="E344" s="2" t="s">
        <v>80</v>
      </c>
      <c r="F344" s="1" t="s">
        <v>71</v>
      </c>
      <c r="G344" s="1" t="s">
        <v>69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4" s="2">
        <f>Games[[#This Row],[DaysOff]]-Games[[#This Row],[OppDaysOff]]</f>
        <v>-2</v>
      </c>
      <c r="L344" s="2">
        <f>Games[[#This Row],[OppDaysOff]]-Games[[#This Row],[DaysOff]]</f>
        <v>2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1657.009244527065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1330.6512959548115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0.77046128369441325</v>
      </c>
      <c r="R344" s="1">
        <v>94</v>
      </c>
      <c r="S344" s="1">
        <v>79</v>
      </c>
      <c r="T344" s="1">
        <v>0</v>
      </c>
      <c r="U344" s="1">
        <f>Games[[#This Row],[PointsFor]]-Games[[#This Row],[PointsAgainst]]</f>
        <v>15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0.39533166792163638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71.5</v>
      </c>
      <c r="Z344" s="4">
        <f>Games[[#This Row],[K]]*Games[[#This Row],[POMult]]</f>
        <v>71.5</v>
      </c>
      <c r="AA344" s="4">
        <f>(Games[[#This Row],[Keff]]*Games[[#This Row],[MOVMult]])*(Games[[#This Row],[Result]]-Games[[#This Row],[ExpectedWin%]])</f>
        <v>6.488190535232043</v>
      </c>
      <c r="AB344" s="4">
        <f>Games[[#This Row],[PreGmRate]]+Games[[#This Row],[RatingChange]]</f>
        <v>1663.497435062297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43319</v>
      </c>
      <c r="B345" s="2">
        <v>2018</v>
      </c>
      <c r="C345" s="2">
        <f>COUNTIFS(Games[Team],Games[[#This Row],[Team]],Games[Season],Games[[#This Row],[Season]],Games[Date],"&lt;=" &amp; Games[[#This Row],[Date]])</f>
        <v>29</v>
      </c>
      <c r="D345" s="2" t="s">
        <v>79</v>
      </c>
      <c r="E345" s="2" t="s">
        <v>80</v>
      </c>
      <c r="F345" s="1" t="s">
        <v>69</v>
      </c>
      <c r="G345" s="1" t="s">
        <v>71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5" s="2">
        <f>Games[[#This Row],[DaysOff]]-Games[[#This Row],[OppDaysOff]]</f>
        <v>2</v>
      </c>
      <c r="L345" s="2">
        <f>Games[[#This Row],[OppDaysOff]]-Games[[#This Row],[DaysOff]]</f>
        <v>-2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1330.6512959548115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1657.009244527065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0.22953871630558681</v>
      </c>
      <c r="R345" s="1">
        <v>79</v>
      </c>
      <c r="S345" s="1">
        <v>94</v>
      </c>
      <c r="T345" s="1">
        <v>0</v>
      </c>
      <c r="U345" s="1">
        <f>Games[[#This Row],[PointsFor]]-Games[[#This Row],[PointsAgainst]]</f>
        <v>-15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0.39533166792163638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-6.5018021237674972</v>
      </c>
      <c r="AB345" s="4">
        <f>Games[[#This Row],[PreGmRate]]+Games[[#This Row],[RatingChange]]</f>
        <v>1324.1494938310441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43319</v>
      </c>
      <c r="B346" s="2">
        <v>2018</v>
      </c>
      <c r="C346" s="2">
        <f>COUNTIFS(Games[Team],Games[[#This Row],[Team]],Games[Season],Games[[#This Row],[Season]],Games[Date],"&lt;=" &amp; Games[[#This Row],[Date]])</f>
        <v>29</v>
      </c>
      <c r="D346" s="2" t="s">
        <v>79</v>
      </c>
      <c r="E346" s="2" t="s">
        <v>80</v>
      </c>
      <c r="F346" s="1" t="s">
        <v>65</v>
      </c>
      <c r="G346" s="1" t="s">
        <v>40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1544.3377664451566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1515.0278455864986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0.42193832759815958</v>
      </c>
      <c r="R346" s="1">
        <v>103</v>
      </c>
      <c r="S346" s="1">
        <v>98</v>
      </c>
      <c r="T346" s="1">
        <v>0</v>
      </c>
      <c r="U346" s="1">
        <f>Games[[#This Row],[PointsFor]]-Games[[#This Row],[PointsAgainst]]</f>
        <v>5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0.32384605687996426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71.650000000000006</v>
      </c>
      <c r="Z346" s="4">
        <f>Games[[#This Row],[K]]*Games[[#This Row],[POMult]]</f>
        <v>71.650000000000006</v>
      </c>
      <c r="AA346" s="4">
        <f>(Games[[#This Row],[Keff]]*Games[[#This Row],[MOVMult]])*(Games[[#This Row],[Result]]-Games[[#This Row],[ExpectedWin%]])</f>
        <v>13.413094465701434</v>
      </c>
      <c r="AB346" s="4">
        <f>Games[[#This Row],[PreGmRate]]+Games[[#This Row],[RatingChange]]</f>
        <v>1557.7508609108581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43319</v>
      </c>
      <c r="B347" s="2">
        <v>2018</v>
      </c>
      <c r="C347" s="2">
        <f>COUNTIFS(Games[Team],Games[[#This Row],[Team]],Games[Season],Games[[#This Row],[Season]],Games[Date],"&lt;=" &amp; Games[[#This Row],[Date]])</f>
        <v>30</v>
      </c>
      <c r="D347" s="2" t="s">
        <v>79</v>
      </c>
      <c r="E347" s="2" t="s">
        <v>80</v>
      </c>
      <c r="F347" s="1" t="s">
        <v>40</v>
      </c>
      <c r="G347" s="1" t="s">
        <v>65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1515.0278455864986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1544.3377664451566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0.57806167240184048</v>
      </c>
      <c r="R347" s="1">
        <v>98</v>
      </c>
      <c r="S347" s="1">
        <v>103</v>
      </c>
      <c r="T347" s="1">
        <v>0</v>
      </c>
      <c r="U347" s="1">
        <f>Games[[#This Row],[PointsFor]]-Games[[#This Row],[PointsAgainst]]</f>
        <v>-5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0.32384605687996426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71.5</v>
      </c>
      <c r="Z347" s="4">
        <f>Games[[#This Row],[K]]*Games[[#This Row],[POMult]]</f>
        <v>71.5</v>
      </c>
      <c r="AA347" s="4">
        <f>(Games[[#This Row],[Keff]]*Games[[#This Row],[MOVMult]])*(Games[[#This Row],[Result]]-Games[[#This Row],[ExpectedWin%]])</f>
        <v>-13.385014016715319</v>
      </c>
      <c r="AB347" s="4">
        <f>Games[[#This Row],[PreGmRate]]+Games[[#This Row],[RatingChange]]</f>
        <v>1501.6428315697833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43320</v>
      </c>
      <c r="B348" s="2">
        <v>2018</v>
      </c>
      <c r="C348" s="2">
        <f>COUNTIFS(Games[Team],Games[[#This Row],[Team]],Games[Season],Games[[#This Row],[Season]],Games[Date],"&lt;=" &amp; Games[[#This Row],[Date]])</f>
        <v>29</v>
      </c>
      <c r="D348" s="2" t="s">
        <v>79</v>
      </c>
      <c r="E348" s="2" t="s">
        <v>80</v>
      </c>
      <c r="F348" s="1" t="s">
        <v>74</v>
      </c>
      <c r="G348" s="1" t="s">
        <v>85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1584.111454299592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1497.2896630195739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0.50406079479839905</v>
      </c>
      <c r="R348" s="1">
        <v>101</v>
      </c>
      <c r="S348" s="1">
        <v>92</v>
      </c>
      <c r="T348" s="1">
        <v>0</v>
      </c>
      <c r="U348" s="1">
        <f>Games[[#This Row],[PointsFor]]-Games[[#This Row],[PointsAgainst]]</f>
        <v>9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0.3785806518648564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13.452501560863688</v>
      </c>
      <c r="AB348" s="4">
        <f>Games[[#This Row],[PreGmRate]]+Games[[#This Row],[RatingChange]]</f>
        <v>1597.5639558604557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43320</v>
      </c>
      <c r="B349" s="2">
        <v>2018</v>
      </c>
      <c r="C349" s="2">
        <f>COUNTIFS(Games[Team],Games[[#This Row],[Team]],Games[Season],Games[[#This Row],[Season]],Games[Date],"&lt;=" &amp; Games[[#This Row],[Date]])</f>
        <v>29</v>
      </c>
      <c r="D349" s="2" t="s">
        <v>79</v>
      </c>
      <c r="E349" s="2" t="s">
        <v>80</v>
      </c>
      <c r="F349" s="1" t="s">
        <v>85</v>
      </c>
      <c r="G349" s="1" t="s">
        <v>74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1497.2896630195739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1584.111454299592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0.49593920520160101</v>
      </c>
      <c r="R349" s="1">
        <v>92</v>
      </c>
      <c r="S349" s="1">
        <v>101</v>
      </c>
      <c r="T349" s="1">
        <v>0</v>
      </c>
      <c r="U349" s="1">
        <f>Games[[#This Row],[PointsFor]]-Games[[#This Row],[PointsAgainst]]</f>
        <v>-9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0.3785806518648564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-13.45250156086369</v>
      </c>
      <c r="AB349" s="4">
        <f>Games[[#This Row],[PreGmRate]]+Games[[#This Row],[RatingChange]]</f>
        <v>1483.8371614587102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43320</v>
      </c>
      <c r="B350" s="2">
        <v>2018</v>
      </c>
      <c r="C350" s="2">
        <f>COUNTIFS(Games[Team],Games[[#This Row],[Team]],Games[Season],Games[[#This Row],[Season]],Games[Date],"&lt;=" &amp; Games[[#This Row],[Date]])</f>
        <v>29</v>
      </c>
      <c r="D350" s="2" t="s">
        <v>79</v>
      </c>
      <c r="E350" s="2" t="s">
        <v>80</v>
      </c>
      <c r="F350" s="1" t="s">
        <v>63</v>
      </c>
      <c r="G350" s="1" t="s">
        <v>60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1</v>
      </c>
      <c r="L350" s="2">
        <f>Games[[#This Row],[OppDaysOff]]-Games[[#This Row],[DaysOff]]</f>
        <v>-1</v>
      </c>
      <c r="M350" s="1">
        <f>MAX(-16, MIN(16, Games[[#This Row],[RestDiff]]*8))</f>
        <v>8</v>
      </c>
      <c r="N350" s="1">
        <f>MAX(-16, MIN(16, Games[[#This Row],[OppRestDiff]]*8))</f>
        <v>-8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1567.6444777457546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1356.2174508290166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0.69543061885418744</v>
      </c>
      <c r="R350" s="1">
        <v>82</v>
      </c>
      <c r="S350" s="1">
        <v>81</v>
      </c>
      <c r="T350" s="1">
        <v>0</v>
      </c>
      <c r="U350" s="1">
        <f>Games[[#This Row],[PointsFor]]-Games[[#This Row],[PointsAgainst]]</f>
        <v>1</v>
      </c>
      <c r="V350" s="1">
        <f>IF(Games[[#This Row],[MOV]]&gt;0,1,IF(Games[[#This Row],[MOV]]=0,0.5,0))</f>
        <v>1</v>
      </c>
      <c r="W350" s="4">
        <f>((ABS(Games[[#This Row],[MOV]])+5)^0.6)/(12+0.01*(ABS(Games[[#This Row],[PreGmRate]]-Games[[#This Row],[OppPreGmRate]])))*IF(Games[[#This Row],[OT]]=1,0.9,1)</f>
        <v>0.20760237658084574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4.5303813053173547</v>
      </c>
      <c r="AB350" s="4">
        <f>Games[[#This Row],[PreGmRate]]+Games[[#This Row],[RatingChange]]</f>
        <v>1572.174859051072</v>
      </c>
      <c r="AC350" s="2">
        <f>IF(Games[[#This Row],[Type]]="R",IF(Games[[#This Row],[Result]]&gt;0.5,1,0),0)</f>
        <v>1</v>
      </c>
      <c r="AD350" s="2">
        <f>IF(Games[[#This Row],[Type]]="R",IF(Games[[#This Row],[Result]]&lt;0.5,1,0),0)</f>
        <v>0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43320</v>
      </c>
      <c r="B351" s="2">
        <v>2018</v>
      </c>
      <c r="C351" s="2">
        <f>COUNTIFS(Games[Team],Games[[#This Row],[Team]],Games[Season],Games[[#This Row],[Season]],Games[Date],"&lt;=" &amp; Games[[#This Row],[Date]])</f>
        <v>29</v>
      </c>
      <c r="D351" s="2" t="s">
        <v>79</v>
      </c>
      <c r="E351" s="2" t="s">
        <v>80</v>
      </c>
      <c r="F351" s="1" t="s">
        <v>60</v>
      </c>
      <c r="G351" s="1" t="s">
        <v>63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1" s="2">
        <f>Games[[#This Row],[DaysOff]]-Games[[#This Row],[OppDaysOff]]</f>
        <v>-1</v>
      </c>
      <c r="L351" s="2">
        <f>Games[[#This Row],[OppDaysOff]]-Games[[#This Row],[DaysOff]]</f>
        <v>1</v>
      </c>
      <c r="M351" s="1">
        <f>MAX(-16, MIN(16, Games[[#This Row],[RestDiff]]*8))</f>
        <v>-8</v>
      </c>
      <c r="N351" s="1">
        <f>MAX(-16, MIN(16, Games[[#This Row],[OppRestDiff]]*8))</f>
        <v>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1356.2174508290166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1567.6444777457546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0.30456938114581256</v>
      </c>
      <c r="R351" s="1">
        <v>81</v>
      </c>
      <c r="S351" s="1">
        <v>82</v>
      </c>
      <c r="T351" s="1">
        <v>0</v>
      </c>
      <c r="U351" s="1">
        <f>Games[[#This Row],[PointsFor]]-Games[[#This Row],[PointsAgainst]]</f>
        <v>-1</v>
      </c>
      <c r="V351" s="1">
        <f>IF(Games[[#This Row],[MOV]]&gt;0,1,IF(Games[[#This Row],[MOV]]=0,0.5,0))</f>
        <v>0</v>
      </c>
      <c r="W351" s="4">
        <f>((ABS(Games[[#This Row],[MOV]])+5)^0.6)/(12+0.01*(ABS(Games[[#This Row],[PreGmRate]]-Games[[#This Row],[OppPreGmRate]])))*IF(Games[[#This Row],[OT]]=1,0.9,1)</f>
        <v>0.20760237658084574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-4.5303813053173547</v>
      </c>
      <c r="AB351" s="4">
        <f>Games[[#This Row],[PreGmRate]]+Games[[#This Row],[RatingChange]]</f>
        <v>1351.6870695236992</v>
      </c>
      <c r="AC351" s="2">
        <f>IF(Games[[#This Row],[Type]]="R",IF(Games[[#This Row],[Result]]&gt;0.5,1,0),0)</f>
        <v>0</v>
      </c>
      <c r="AD351" s="2">
        <f>IF(Games[[#This Row],[Type]]="R",IF(Games[[#This Row],[Result]]&lt;0.5,1,0),0)</f>
        <v>1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43321</v>
      </c>
      <c r="B352" s="2">
        <v>2018</v>
      </c>
      <c r="C352" s="2">
        <f>COUNTIFS(Games[Team],Games[[#This Row],[Team]],Games[Season],Games[[#This Row],[Season]],Games[Date],"&lt;=" &amp; Games[[#This Row],[Date]])</f>
        <v>30</v>
      </c>
      <c r="D352" s="2" t="s">
        <v>79</v>
      </c>
      <c r="E352" s="2" t="s">
        <v>80</v>
      </c>
      <c r="F352" s="1" t="s">
        <v>63</v>
      </c>
      <c r="G352" s="1" t="s">
        <v>77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-1</v>
      </c>
      <c r="L352" s="2">
        <f>Games[[#This Row],[OppDaysOff]]-Games[[#This Row],[DaysOff]]</f>
        <v>1</v>
      </c>
      <c r="M352" s="1">
        <f>MAX(-16, MIN(16, Games[[#This Row],[RestDiff]]*8))</f>
        <v>-8</v>
      </c>
      <c r="N352" s="1">
        <f>MAX(-16, MIN(16, Games[[#This Row],[OppRestDiff]]*8))</f>
        <v>8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1572.174859051072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1564.5633810939976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0.37008991810037928</v>
      </c>
      <c r="R352" s="1">
        <v>73</v>
      </c>
      <c r="S352" s="1">
        <v>79</v>
      </c>
      <c r="T352" s="1">
        <v>0</v>
      </c>
      <c r="U352" s="1">
        <f>Games[[#This Row],[PointsFor]]-Games[[#This Row],[PointsAgainst]]</f>
        <v>-6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0.34906666672488673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-9.2368028681346797</v>
      </c>
      <c r="AB352" s="4">
        <f>Games[[#This Row],[PreGmRate]]+Games[[#This Row],[RatingChange]]</f>
        <v>1562.9380561829373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43321</v>
      </c>
      <c r="B353" s="2">
        <v>2018</v>
      </c>
      <c r="C353" s="2">
        <f>COUNTIFS(Games[Team],Games[[#This Row],[Team]],Games[Season],Games[[#This Row],[Season]],Games[Date],"&lt;=" &amp; Games[[#This Row],[Date]])</f>
        <v>30</v>
      </c>
      <c r="D353" s="2" t="s">
        <v>79</v>
      </c>
      <c r="E353" s="2" t="s">
        <v>80</v>
      </c>
      <c r="F353" s="1" t="s">
        <v>77</v>
      </c>
      <c r="G353" s="1" t="s">
        <v>63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3" s="2">
        <f>Games[[#This Row],[DaysOff]]-Games[[#This Row],[OppDaysOff]]</f>
        <v>1</v>
      </c>
      <c r="L353" s="2">
        <f>Games[[#This Row],[OppDaysOff]]-Games[[#This Row],[DaysOff]]</f>
        <v>-1</v>
      </c>
      <c r="M353" s="1">
        <f>MAX(-16, MIN(16, Games[[#This Row],[RestDiff]]*8))</f>
        <v>8</v>
      </c>
      <c r="N353" s="1">
        <f>MAX(-16, MIN(16, Games[[#This Row],[OppRestDiff]]*8))</f>
        <v>-8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1564.5633810939976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1572.174859051072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0.62991008189962072</v>
      </c>
      <c r="R353" s="1">
        <v>79</v>
      </c>
      <c r="S353" s="1">
        <v>73</v>
      </c>
      <c r="T353" s="1">
        <v>0</v>
      </c>
      <c r="U353" s="1">
        <f>Games[[#This Row],[PointsFor]]-Games[[#This Row],[PointsAgainst]]</f>
        <v>6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0.34906666672488673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71.5</v>
      </c>
      <c r="Z353" s="4">
        <f>Games[[#This Row],[K]]*Games[[#This Row],[POMult]]</f>
        <v>71.5</v>
      </c>
      <c r="AA353" s="4">
        <f>(Games[[#This Row],[Keff]]*Games[[#This Row],[MOVMult]])*(Games[[#This Row],[Result]]-Games[[#This Row],[ExpectedWin%]])</f>
        <v>9.2368028681346797</v>
      </c>
      <c r="AB353" s="4">
        <f>Games[[#This Row],[PreGmRate]]+Games[[#This Row],[RatingChange]]</f>
        <v>1573.8001839621322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43321</v>
      </c>
      <c r="B354" s="2">
        <v>2018</v>
      </c>
      <c r="C354" s="2">
        <f>COUNTIFS(Games[Team],Games[[#This Row],[Team]],Games[Season],Games[[#This Row],[Season]],Games[Date],"&lt;=" &amp; Games[[#This Row],[Date]])</f>
        <v>30</v>
      </c>
      <c r="D354" s="2" t="s">
        <v>79</v>
      </c>
      <c r="E354" s="2" t="s">
        <v>80</v>
      </c>
      <c r="F354" s="1" t="s">
        <v>67</v>
      </c>
      <c r="G354" s="1" t="s">
        <v>86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1559.2540373208374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1445.4948075772559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0.54272254591315927</v>
      </c>
      <c r="R354" s="1">
        <v>89</v>
      </c>
      <c r="S354" s="1">
        <v>73</v>
      </c>
      <c r="T354" s="1">
        <v>0</v>
      </c>
      <c r="U354" s="1">
        <f>Games[[#This Row],[PointsFor]]-Games[[#This Row],[PointsAgainst]]</f>
        <v>16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0.47295061733446209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71.5</v>
      </c>
      <c r="Z354" s="4">
        <f>Games[[#This Row],[K]]*Games[[#This Row],[POMult]]</f>
        <v>71.5</v>
      </c>
      <c r="AA354" s="4">
        <f>(Games[[#This Row],[Keff]]*Games[[#This Row],[MOVMult]])*(Games[[#This Row],[Result]]-Games[[#This Row],[ExpectedWin%]])</f>
        <v>15.463280275550424</v>
      </c>
      <c r="AB354" s="4">
        <f>Games[[#This Row],[PreGmRate]]+Games[[#This Row],[RatingChange]]</f>
        <v>1574.7173175963878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43321</v>
      </c>
      <c r="B355" s="2">
        <v>2018</v>
      </c>
      <c r="C355" s="2">
        <f>COUNTIFS(Games[Team],Games[[#This Row],[Team]],Games[Season],Games[[#This Row],[Season]],Games[Date],"&lt;=" &amp; Games[[#This Row],[Date]])</f>
        <v>30</v>
      </c>
      <c r="D355" s="2" t="s">
        <v>79</v>
      </c>
      <c r="E355" s="2" t="s">
        <v>80</v>
      </c>
      <c r="F355" s="1" t="s">
        <v>86</v>
      </c>
      <c r="G355" s="1" t="s">
        <v>67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1445.4948075772559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1559.2540373208374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0.45727745408684073</v>
      </c>
      <c r="R355" s="1">
        <v>73</v>
      </c>
      <c r="S355" s="1">
        <v>89</v>
      </c>
      <c r="T355" s="1">
        <v>0</v>
      </c>
      <c r="U355" s="1">
        <f>Games[[#This Row],[PointsFor]]-Games[[#This Row],[PointsAgainst]]</f>
        <v>-16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0.47295061733446209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-15.463280275550424</v>
      </c>
      <c r="AB355" s="4">
        <f>Games[[#This Row],[PreGmRate]]+Games[[#This Row],[RatingChange]]</f>
        <v>1430.0315273017054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43321</v>
      </c>
      <c r="B356" s="2">
        <v>2018</v>
      </c>
      <c r="C356" s="2">
        <f>COUNTIFS(Games[Team],Games[[#This Row],[Team]],Games[Season],Games[[#This Row],[Season]],Games[Date],"&lt;=" &amp; Games[[#This Row],[Date]])</f>
        <v>31</v>
      </c>
      <c r="D356" s="2" t="s">
        <v>79</v>
      </c>
      <c r="E356" s="2" t="s">
        <v>80</v>
      </c>
      <c r="F356" s="1" t="s">
        <v>71</v>
      </c>
      <c r="G356" s="1" t="s">
        <v>65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1663.497435062297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1557.7508609108581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0.5312550304465643</v>
      </c>
      <c r="R356" s="1">
        <v>77</v>
      </c>
      <c r="S356" s="1">
        <v>100</v>
      </c>
      <c r="T356" s="1">
        <v>0</v>
      </c>
      <c r="U356" s="1">
        <f>Games[[#This Row],[PointsFor]]-Games[[#This Row],[PointsAgainst]]</f>
        <v>-23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0.56550431583876615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71.349999999999994</v>
      </c>
      <c r="Z356" s="4">
        <f>Games[[#This Row],[K]]*Games[[#This Row],[POMult]]</f>
        <v>71.349999999999994</v>
      </c>
      <c r="AA356" s="4">
        <f>(Games[[#This Row],[Keff]]*Games[[#This Row],[MOVMult]])*(Games[[#This Row],[Result]]-Games[[#This Row],[ExpectedWin%]])</f>
        <v>-21.435467343914695</v>
      </c>
      <c r="AB356" s="4">
        <f>Games[[#This Row],[PreGmRate]]+Games[[#This Row],[RatingChange]]</f>
        <v>1642.0619677183822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43321</v>
      </c>
      <c r="B357" s="2">
        <v>2018</v>
      </c>
      <c r="C357" s="2">
        <f>COUNTIFS(Games[Team],Games[[#This Row],[Team]],Games[Season],Games[[#This Row],[Season]],Games[Date],"&lt;=" &amp; Games[[#This Row],[Date]])</f>
        <v>30</v>
      </c>
      <c r="D357" s="2" t="s">
        <v>79</v>
      </c>
      <c r="E357" s="2" t="s">
        <v>80</v>
      </c>
      <c r="F357" s="1" t="s">
        <v>65</v>
      </c>
      <c r="G357" s="1" t="s">
        <v>71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1557.7508609108581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1663.497435062297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0.4687449695534357</v>
      </c>
      <c r="R357" s="1">
        <v>100</v>
      </c>
      <c r="S357" s="1">
        <v>77</v>
      </c>
      <c r="T357" s="1">
        <v>0</v>
      </c>
      <c r="U357" s="1">
        <f>Games[[#This Row],[PointsFor]]-Games[[#This Row],[PointsAgainst]]</f>
        <v>23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0.56550431583876615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21.480531395793989</v>
      </c>
      <c r="AB357" s="4">
        <f>Games[[#This Row],[PreGmRate]]+Games[[#This Row],[RatingChange]]</f>
        <v>1579.2313923066522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43322</v>
      </c>
      <c r="B358" s="2">
        <v>2018</v>
      </c>
      <c r="C358" s="2">
        <f>COUNTIFS(Games[Team],Games[[#This Row],[Team]],Games[Season],Games[[#This Row],[Season]],Games[Date],"&lt;=" &amp; Games[[#This Row],[Date]])</f>
        <v>30</v>
      </c>
      <c r="D358" s="2" t="s">
        <v>79</v>
      </c>
      <c r="E358" s="2" t="s">
        <v>80</v>
      </c>
      <c r="F358" s="1" t="s">
        <v>74</v>
      </c>
      <c r="G358" s="1" t="s">
        <v>75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1597.5639558604557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1378.5911806396825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0.66482305736324976</v>
      </c>
      <c r="R358" s="1">
        <v>86</v>
      </c>
      <c r="S358" s="1">
        <v>97</v>
      </c>
      <c r="T358" s="1">
        <v>0</v>
      </c>
      <c r="U358" s="1">
        <f>Games[[#This Row],[PointsFor]]-Games[[#This Row],[PointsAgainst]]</f>
        <v>-11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0.37196144529766512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-17.681130987809354</v>
      </c>
      <c r="AB358" s="4">
        <f>Games[[#This Row],[PreGmRate]]+Games[[#This Row],[RatingChange]]</f>
        <v>1579.8828248726463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43322</v>
      </c>
      <c r="B359" s="2">
        <v>2018</v>
      </c>
      <c r="C359" s="2">
        <f>COUNTIFS(Games[Team],Games[[#This Row],[Team]],Games[Season],Games[[#This Row],[Season]],Games[Date],"&lt;=" &amp; Games[[#This Row],[Date]])</f>
        <v>30</v>
      </c>
      <c r="D359" s="2" t="s">
        <v>79</v>
      </c>
      <c r="E359" s="2" t="s">
        <v>80</v>
      </c>
      <c r="F359" s="1" t="s">
        <v>75</v>
      </c>
      <c r="G359" s="1" t="s">
        <v>74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1378.5911806396825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1597.5639558604557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0.33517694263675019</v>
      </c>
      <c r="R359" s="1">
        <v>97</v>
      </c>
      <c r="S359" s="1">
        <v>86</v>
      </c>
      <c r="T359" s="1">
        <v>0</v>
      </c>
      <c r="U359" s="1">
        <f>Games[[#This Row],[PointsFor]]-Games[[#This Row],[PointsAgainst]]</f>
        <v>11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0.37196144529766512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17.681130987809357</v>
      </c>
      <c r="AB359" s="4">
        <f>Games[[#This Row],[PreGmRate]]+Games[[#This Row],[RatingChange]]</f>
        <v>1396.2723116274919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43322</v>
      </c>
      <c r="B360" s="2">
        <v>2018</v>
      </c>
      <c r="C360" s="2">
        <f>COUNTIFS(Games[Team],Games[[#This Row],[Team]],Games[Season],Games[[#This Row],[Season]],Games[Date],"&lt;=" &amp; Games[[#This Row],[Date]])</f>
        <v>30</v>
      </c>
      <c r="D360" s="2" t="s">
        <v>79</v>
      </c>
      <c r="E360" s="2" t="s">
        <v>80</v>
      </c>
      <c r="F360" s="1" t="s">
        <v>69</v>
      </c>
      <c r="G360" s="1" t="s">
        <v>40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1324.1494938310441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1501.6428315697833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0.1816398480638326</v>
      </c>
      <c r="R360" s="1">
        <v>74</v>
      </c>
      <c r="S360" s="1">
        <v>94</v>
      </c>
      <c r="T360" s="1">
        <v>0</v>
      </c>
      <c r="U360" s="1">
        <f>Games[[#This Row],[PointsFor]]-Games[[#This Row],[PointsAgainst]]</f>
        <v>-20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0.50081173667458401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-6.504166794708123</v>
      </c>
      <c r="AB360" s="4">
        <f>Games[[#This Row],[PreGmRate]]+Games[[#This Row],[RatingChange]]</f>
        <v>1317.6453270363359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43322</v>
      </c>
      <c r="B361" s="2">
        <v>2018</v>
      </c>
      <c r="C361" s="2">
        <f>COUNTIFS(Games[Team],Games[[#This Row],[Team]],Games[Season],Games[[#This Row],[Season]],Games[Date],"&lt;=" &amp; Games[[#This Row],[Date]])</f>
        <v>31</v>
      </c>
      <c r="D361" s="2" t="s">
        <v>79</v>
      </c>
      <c r="E361" s="2" t="s">
        <v>80</v>
      </c>
      <c r="F361" s="1" t="s">
        <v>40</v>
      </c>
      <c r="G361" s="1" t="s">
        <v>69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1501.6428315697833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1324.1494938310441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0.8183601519361674</v>
      </c>
      <c r="R361" s="1">
        <v>94</v>
      </c>
      <c r="S361" s="1">
        <v>74</v>
      </c>
      <c r="T361" s="1">
        <v>0</v>
      </c>
      <c r="U361" s="1">
        <f>Games[[#This Row],[PointsFor]]-Games[[#This Row],[PointsAgainst]]</f>
        <v>20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0.50081173667458401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71.349999999999994</v>
      </c>
      <c r="Z361" s="4">
        <f>Games[[#This Row],[K]]*Games[[#This Row],[POMult]]</f>
        <v>71.349999999999994</v>
      </c>
      <c r="AA361" s="4">
        <f>(Games[[#This Row],[Keff]]*Games[[#This Row],[MOVMult]])*(Games[[#This Row],[Result]]-Games[[#This Row],[ExpectedWin%]])</f>
        <v>6.4905216895443996</v>
      </c>
      <c r="AB361" s="4">
        <f>Games[[#This Row],[PreGmRate]]+Games[[#This Row],[RatingChange]]</f>
        <v>1508.1333532593278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43323</v>
      </c>
      <c r="B362" s="2">
        <v>2018</v>
      </c>
      <c r="C362" s="2">
        <f>COUNTIFS(Games[Team],Games[[#This Row],[Team]],Games[Season],Games[[#This Row],[Season]],Games[Date],"&lt;=" &amp; Games[[#This Row],[Date]])</f>
        <v>30</v>
      </c>
      <c r="D362" s="2" t="s">
        <v>79</v>
      </c>
      <c r="E362" s="2" t="s">
        <v>80</v>
      </c>
      <c r="F362" s="1" t="s">
        <v>85</v>
      </c>
      <c r="G362" s="1" t="s">
        <v>77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1</v>
      </c>
      <c r="L362" s="2">
        <f>Games[[#This Row],[OppDaysOff]]-Games[[#This Row],[DaysOff]]</f>
        <v>-1</v>
      </c>
      <c r="M362" s="1">
        <f>MAX(-16, MIN(16, Games[[#This Row],[RestDiff]]*8))</f>
        <v>8</v>
      </c>
      <c r="N362" s="1">
        <f>MAX(-16, MIN(16, Games[[#This Row],[OppRestDiff]]*8))</f>
        <v>-8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1483.8371614587102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1573.8001839621322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0.28714141110789959</v>
      </c>
      <c r="R362" s="1">
        <v>82</v>
      </c>
      <c r="S362" s="1">
        <v>92</v>
      </c>
      <c r="T362" s="1">
        <v>0</v>
      </c>
      <c r="U362" s="1">
        <f>Games[[#This Row],[PointsFor]]-Games[[#This Row],[PointsAgainst]]</f>
        <v>-10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0.3936203056529039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-8.0812653354216764</v>
      </c>
      <c r="AB362" s="4">
        <f>Games[[#This Row],[PreGmRate]]+Games[[#This Row],[RatingChange]]</f>
        <v>1475.7558961232885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43323</v>
      </c>
      <c r="B363" s="2">
        <v>2018</v>
      </c>
      <c r="C363" s="2">
        <f>COUNTIFS(Games[Team],Games[[#This Row],[Team]],Games[Season],Games[[#This Row],[Season]],Games[Date],"&lt;=" &amp; Games[[#This Row],[Date]])</f>
        <v>31</v>
      </c>
      <c r="D363" s="2" t="s">
        <v>79</v>
      </c>
      <c r="E363" s="2" t="s">
        <v>80</v>
      </c>
      <c r="F363" s="1" t="s">
        <v>77</v>
      </c>
      <c r="G363" s="1" t="s">
        <v>85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3" s="2">
        <f>Games[[#This Row],[DaysOff]]-Games[[#This Row],[OppDaysOff]]</f>
        <v>-1</v>
      </c>
      <c r="L363" s="2">
        <f>Games[[#This Row],[OppDaysOff]]-Games[[#This Row],[DaysOff]]</f>
        <v>1</v>
      </c>
      <c r="M363" s="1">
        <f>MAX(-16, MIN(16, Games[[#This Row],[RestDiff]]*8))</f>
        <v>-8</v>
      </c>
      <c r="N363" s="1">
        <f>MAX(-16, MIN(16, Games[[#This Row],[OppRestDiff]]*8))</f>
        <v>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1573.8001839621322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1483.8371614587102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0.7128585888921003</v>
      </c>
      <c r="R363" s="1">
        <v>92</v>
      </c>
      <c r="S363" s="1">
        <v>82</v>
      </c>
      <c r="T363" s="1">
        <v>0</v>
      </c>
      <c r="U363" s="1">
        <f>Games[[#This Row],[PointsFor]]-Games[[#This Row],[PointsAgainst]]</f>
        <v>10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0.3936203056529039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8.0643116319207948</v>
      </c>
      <c r="AB363" s="4">
        <f>Games[[#This Row],[PreGmRate]]+Games[[#This Row],[RatingChange]]</f>
        <v>1581.8644955940531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43323</v>
      </c>
      <c r="B364" s="2">
        <v>2018</v>
      </c>
      <c r="C364" s="2">
        <f>COUNTIFS(Games[Team],Games[[#This Row],[Team]],Games[Season],Games[[#This Row],[Season]],Games[Date],"&lt;=" &amp; Games[[#This Row],[Date]])</f>
        <v>31</v>
      </c>
      <c r="D364" s="2" t="s">
        <v>79</v>
      </c>
      <c r="E364" s="2" t="s">
        <v>80</v>
      </c>
      <c r="F364" s="1" t="s">
        <v>69</v>
      </c>
      <c r="G364" s="1" t="s">
        <v>86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-1</v>
      </c>
      <c r="L364" s="2">
        <f>Games[[#This Row],[OppDaysOff]]-Games[[#This Row],[DaysOff]]</f>
        <v>1</v>
      </c>
      <c r="M364" s="1">
        <f>MAX(-16, MIN(16, Games[[#This Row],[RestDiff]]*8))</f>
        <v>-8</v>
      </c>
      <c r="N364" s="1">
        <f>MAX(-16, MIN(16, Games[[#This Row],[OppRestDiff]]*8))</f>
        <v>8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1317.6453270363359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1430.0315273017054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0.22748040932495939</v>
      </c>
      <c r="R364" s="1">
        <v>74</v>
      </c>
      <c r="S364" s="1">
        <v>92</v>
      </c>
      <c r="T364" s="1">
        <v>0</v>
      </c>
      <c r="U364" s="1">
        <f>Games[[#This Row],[PointsFor]]-Games[[#This Row],[PointsAgainst]]</f>
        <v>-18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0.50000580501295977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71.349999999999994</v>
      </c>
      <c r="Z364" s="4">
        <f>Games[[#This Row],[K]]*Games[[#This Row],[POMult]]</f>
        <v>71.349999999999994</v>
      </c>
      <c r="AA364" s="4">
        <f>(Games[[#This Row],[Keff]]*Games[[#This Row],[MOVMult]])*(Games[[#This Row],[Result]]-Games[[#This Row],[ExpectedWin%]])</f>
        <v>-8.1154578222496987</v>
      </c>
      <c r="AB364" s="4">
        <f>Games[[#This Row],[PreGmRate]]+Games[[#This Row],[RatingChange]]</f>
        <v>1309.5298692140861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43323</v>
      </c>
      <c r="B365" s="2">
        <v>2018</v>
      </c>
      <c r="C365" s="2">
        <f>COUNTIFS(Games[Team],Games[[#This Row],[Team]],Games[Season],Games[[#This Row],[Season]],Games[Date],"&lt;=" &amp; Games[[#This Row],[Date]])</f>
        <v>31</v>
      </c>
      <c r="D365" s="2" t="s">
        <v>79</v>
      </c>
      <c r="E365" s="2" t="s">
        <v>80</v>
      </c>
      <c r="F365" s="1" t="s">
        <v>86</v>
      </c>
      <c r="G365" s="1" t="s">
        <v>69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5" s="2">
        <f>Games[[#This Row],[DaysOff]]-Games[[#This Row],[OppDaysOff]]</f>
        <v>1</v>
      </c>
      <c r="L365" s="2">
        <f>Games[[#This Row],[OppDaysOff]]-Games[[#This Row],[DaysOff]]</f>
        <v>-1</v>
      </c>
      <c r="M365" s="1">
        <f>MAX(-16, MIN(16, Games[[#This Row],[RestDiff]]*8))</f>
        <v>8</v>
      </c>
      <c r="N365" s="1">
        <f>MAX(-16, MIN(16, Games[[#This Row],[OppRestDiff]]*8))</f>
        <v>-8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1430.0315273017054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1317.6453270363359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0.77251959067504061</v>
      </c>
      <c r="R365" s="1">
        <v>92</v>
      </c>
      <c r="S365" s="1">
        <v>74</v>
      </c>
      <c r="T365" s="1">
        <v>0</v>
      </c>
      <c r="U365" s="1">
        <f>Games[[#This Row],[PointsFor]]-Games[[#This Row],[PointsAgainst]]</f>
        <v>18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0.50000580501295977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8.1154578222496987</v>
      </c>
      <c r="AB365" s="4">
        <f>Games[[#This Row],[PreGmRate]]+Games[[#This Row],[RatingChange]]</f>
        <v>1438.1469851239551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43324</v>
      </c>
      <c r="B366" s="2">
        <v>2018</v>
      </c>
      <c r="C366" s="2">
        <f>COUNTIFS(Games[Team],Games[[#This Row],[Team]],Games[Season],Games[[#This Row],[Season]],Games[Date],"&lt;=" &amp; Games[[#This Row],[Date]])</f>
        <v>31</v>
      </c>
      <c r="D366" s="2" t="s">
        <v>79</v>
      </c>
      <c r="E366" s="2" t="s">
        <v>80</v>
      </c>
      <c r="F366" s="1" t="s">
        <v>75</v>
      </c>
      <c r="G366" s="1" t="s">
        <v>74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1396.2723116274919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1579.8828248726463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0.17646406229020431</v>
      </c>
      <c r="R366" s="1">
        <v>75</v>
      </c>
      <c r="S366" s="1">
        <v>82</v>
      </c>
      <c r="T366" s="1">
        <v>0</v>
      </c>
      <c r="U366" s="1">
        <f>Games[[#This Row],[PointsFor]]-Games[[#This Row],[PointsAgainst]]</f>
        <v>-7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0.32099250673002894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-4.0415238354588663</v>
      </c>
      <c r="AB366" s="4">
        <f>Games[[#This Row],[PreGmRate]]+Games[[#This Row],[RatingChange]]</f>
        <v>1392.230787792033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43324</v>
      </c>
      <c r="B367" s="2">
        <v>2018</v>
      </c>
      <c r="C367" s="2">
        <f>COUNTIFS(Games[Team],Games[[#This Row],[Team]],Games[Season],Games[[#This Row],[Season]],Games[Date],"&lt;=" &amp; Games[[#This Row],[Date]])</f>
        <v>31</v>
      </c>
      <c r="D367" s="2" t="s">
        <v>79</v>
      </c>
      <c r="E367" s="2" t="s">
        <v>80</v>
      </c>
      <c r="F367" s="1" t="s">
        <v>74</v>
      </c>
      <c r="G367" s="1" t="s">
        <v>75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1579.8828248726463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1396.2723116274919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0.82353593770979572</v>
      </c>
      <c r="R367" s="1">
        <v>82</v>
      </c>
      <c r="S367" s="1">
        <v>75</v>
      </c>
      <c r="T367" s="1">
        <v>0</v>
      </c>
      <c r="U367" s="1">
        <f>Games[[#This Row],[PointsFor]]-Games[[#This Row],[PointsAgainst]]</f>
        <v>7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0.32099250673002894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4.0415238354588654</v>
      </c>
      <c r="AB367" s="4">
        <f>Games[[#This Row],[PreGmRate]]+Games[[#This Row],[RatingChange]]</f>
        <v>1583.9243487081053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43324</v>
      </c>
      <c r="B368" s="2">
        <v>2018</v>
      </c>
      <c r="C368" s="2">
        <f>COUNTIFS(Games[Team],Games[[#This Row],[Team]],Games[Season],Games[[#This Row],[Season]],Games[Date],"&lt;=" &amp; Games[[#This Row],[Date]])</f>
        <v>32</v>
      </c>
      <c r="D368" s="2" t="s">
        <v>79</v>
      </c>
      <c r="E368" s="2" t="s">
        <v>80</v>
      </c>
      <c r="F368" s="1" t="s">
        <v>71</v>
      </c>
      <c r="G368" s="1" t="s">
        <v>67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1642.0619677183822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1574.7173175963878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0.47604936853221885</v>
      </c>
      <c r="R368" s="1">
        <v>81</v>
      </c>
      <c r="S368" s="1">
        <v>72</v>
      </c>
      <c r="T368" s="1">
        <v>0</v>
      </c>
      <c r="U368" s="1">
        <f>Games[[#This Row],[PointsFor]]-Games[[#This Row],[PointsAgainst]]</f>
        <v>9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0.38439885514157252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71.2</v>
      </c>
      <c r="Z368" s="4">
        <f>Games[[#This Row],[K]]*Games[[#This Row],[POMult]]</f>
        <v>71.2</v>
      </c>
      <c r="AA368" s="4">
        <f>(Games[[#This Row],[Keff]]*Games[[#This Row],[MOVMult]])*(Games[[#This Row],[Result]]-Games[[#This Row],[ExpectedWin%]])</f>
        <v>14.340108829548635</v>
      </c>
      <c r="AB368" s="4">
        <f>Games[[#This Row],[PreGmRate]]+Games[[#This Row],[RatingChange]]</f>
        <v>1656.4020765479308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43324</v>
      </c>
      <c r="B369" s="2">
        <v>2018</v>
      </c>
      <c r="C369" s="2">
        <f>COUNTIFS(Games[Team],Games[[#This Row],[Team]],Games[Season],Games[[#This Row],[Season]],Games[Date],"&lt;=" &amp; Games[[#This Row],[Date]])</f>
        <v>31</v>
      </c>
      <c r="D369" s="2" t="s">
        <v>79</v>
      </c>
      <c r="E369" s="2" t="s">
        <v>80</v>
      </c>
      <c r="F369" s="1" t="s">
        <v>67</v>
      </c>
      <c r="G369" s="1" t="s">
        <v>71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1574.7173175963878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1642.0619677183822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0.52395063146778109</v>
      </c>
      <c r="R369" s="1">
        <v>72</v>
      </c>
      <c r="S369" s="1">
        <v>81</v>
      </c>
      <c r="T369" s="1">
        <v>0</v>
      </c>
      <c r="U369" s="1">
        <f>Games[[#This Row],[PointsFor]]-Games[[#This Row],[PointsAgainst]]</f>
        <v>-9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0.38439885514157252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-14.370319732981672</v>
      </c>
      <c r="AB369" s="4">
        <f>Games[[#This Row],[PreGmRate]]+Games[[#This Row],[RatingChange]]</f>
        <v>1560.3469978634062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43324</v>
      </c>
      <c r="B370" s="2">
        <v>2018</v>
      </c>
      <c r="C370" s="2">
        <f>COUNTIFS(Games[Team],Games[[#This Row],[Team]],Games[Season],Games[[#This Row],[Season]],Games[Date],"&lt;=" &amp; Games[[#This Row],[Date]])</f>
        <v>32</v>
      </c>
      <c r="D370" s="2" t="s">
        <v>79</v>
      </c>
      <c r="E370" s="2" t="s">
        <v>80</v>
      </c>
      <c r="F370" s="1" t="s">
        <v>77</v>
      </c>
      <c r="G370" s="1" t="s">
        <v>60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0" s="2">
        <f>Games[[#This Row],[DaysOff]]-Games[[#This Row],[OppDaysOff]]</f>
        <v>-3</v>
      </c>
      <c r="L370" s="2">
        <f>Games[[#This Row],[OppDaysOff]]-Games[[#This Row],[DaysOff]]</f>
        <v>3</v>
      </c>
      <c r="M370" s="1">
        <f>MAX(-16, MIN(16, Games[[#This Row],[RestDiff]]*8))</f>
        <v>-16</v>
      </c>
      <c r="N370" s="1">
        <f>MAX(-16, MIN(16, Games[[#This Row],[OppRestDiff]]*8))</f>
        <v>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1581.8644955940531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1351.6870695236992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0.65864418952206827</v>
      </c>
      <c r="R370" s="1">
        <v>86</v>
      </c>
      <c r="S370" s="1">
        <v>77</v>
      </c>
      <c r="T370" s="1">
        <v>0</v>
      </c>
      <c r="U370" s="1">
        <f>Games[[#This Row],[PointsFor]]-Games[[#This Row],[PointsAgainst]]</f>
        <v>9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0.34063314361999064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71.2</v>
      </c>
      <c r="Z370" s="4">
        <f>Games[[#This Row],[K]]*Games[[#This Row],[POMult]]</f>
        <v>71.2</v>
      </c>
      <c r="AA370" s="4">
        <f>(Games[[#This Row],[Keff]]*Games[[#This Row],[MOVMult]])*(Games[[#This Row],[Result]]-Games[[#This Row],[ExpectedWin%]])</f>
        <v>8.2789297205025907</v>
      </c>
      <c r="AB370" s="4">
        <f>Games[[#This Row],[PreGmRate]]+Games[[#This Row],[RatingChange]]</f>
        <v>1590.1434253145558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43324</v>
      </c>
      <c r="B371" s="2">
        <v>2018</v>
      </c>
      <c r="C371" s="2">
        <f>COUNTIFS(Games[Team],Games[[#This Row],[Team]],Games[Season],Games[[#This Row],[Season]],Games[Date],"&lt;=" &amp; Games[[#This Row],[Date]])</f>
        <v>30</v>
      </c>
      <c r="D371" s="2" t="s">
        <v>79</v>
      </c>
      <c r="E371" s="2" t="s">
        <v>80</v>
      </c>
      <c r="F371" s="1" t="s">
        <v>60</v>
      </c>
      <c r="G371" s="1" t="s">
        <v>77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1" s="2">
        <f>Games[[#This Row],[DaysOff]]-Games[[#This Row],[OppDaysOff]]</f>
        <v>3</v>
      </c>
      <c r="L371" s="2">
        <f>Games[[#This Row],[OppDaysOff]]-Games[[#This Row],[DaysOff]]</f>
        <v>-3</v>
      </c>
      <c r="M371" s="1">
        <f>MAX(-16, MIN(16, Games[[#This Row],[RestDiff]]*8))</f>
        <v>16</v>
      </c>
      <c r="N371" s="1">
        <f>MAX(-16, MIN(16, Games[[#This Row],[OppRestDiff]]*8))</f>
        <v>-16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1351.6870695236992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1581.8644955940531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0.34135581047793168</v>
      </c>
      <c r="R371" s="1">
        <v>77</v>
      </c>
      <c r="S371" s="1">
        <v>86</v>
      </c>
      <c r="T371" s="1">
        <v>0</v>
      </c>
      <c r="U371" s="1">
        <f>Games[[#This Row],[PointsFor]]-Games[[#This Row],[PointsAgainst]]</f>
        <v>-9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0.34063314361999064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71.5</v>
      </c>
      <c r="Z371" s="4">
        <f>Games[[#This Row],[K]]*Games[[#This Row],[POMult]]</f>
        <v>71.5</v>
      </c>
      <c r="AA371" s="4">
        <f>(Games[[#This Row],[Keff]]*Games[[#This Row],[MOVMult]])*(Games[[#This Row],[Result]]-Games[[#This Row],[ExpectedWin%]])</f>
        <v>-8.3138128513474037</v>
      </c>
      <c r="AB371" s="4">
        <f>Games[[#This Row],[PreGmRate]]+Games[[#This Row],[RatingChange]]</f>
        <v>1343.3732566723518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43324</v>
      </c>
      <c r="B372" s="2">
        <v>2018</v>
      </c>
      <c r="C372" s="2">
        <f>COUNTIFS(Games[Team],Games[[#This Row],[Team]],Games[Season],Games[[#This Row],[Season]],Games[Date],"&lt;=" &amp; Games[[#This Row],[Date]])</f>
        <v>31</v>
      </c>
      <c r="D372" s="2" t="s">
        <v>79</v>
      </c>
      <c r="E372" s="2" t="s">
        <v>80</v>
      </c>
      <c r="F372" s="1" t="s">
        <v>63</v>
      </c>
      <c r="G372" s="1" t="s">
        <v>40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1</v>
      </c>
      <c r="L372" s="2">
        <f>Games[[#This Row],[OppDaysOff]]-Games[[#This Row],[DaysOff]]</f>
        <v>-1</v>
      </c>
      <c r="M372" s="1">
        <f>MAX(-16, MIN(16, Games[[#This Row],[RestDiff]]*8))</f>
        <v>8</v>
      </c>
      <c r="N372" s="1">
        <f>MAX(-16, MIN(16, Games[[#This Row],[OppRestDiff]]*8))</f>
        <v>-8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1562.9380561829373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1508.1333532593278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0.48101956603391333</v>
      </c>
      <c r="R372" s="1">
        <v>78</v>
      </c>
      <c r="S372" s="1">
        <v>86</v>
      </c>
      <c r="T372" s="1">
        <v>0</v>
      </c>
      <c r="U372" s="1">
        <f>Games[[#This Row],[PointsFor]]-Games[[#This Row],[PointsAgainst]]</f>
        <v>-8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0.37135551127431071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-12.745198191707551</v>
      </c>
      <c r="AB372" s="4">
        <f>Games[[#This Row],[PreGmRate]]+Games[[#This Row],[RatingChange]]</f>
        <v>1550.1928579912299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43324</v>
      </c>
      <c r="B373" s="2">
        <v>2018</v>
      </c>
      <c r="C373" s="2">
        <f>COUNTIFS(Games[Team],Games[[#This Row],[Team]],Games[Season],Games[[#This Row],[Season]],Games[Date],"&lt;=" &amp; Games[[#This Row],[Date]])</f>
        <v>32</v>
      </c>
      <c r="D373" s="2" t="s">
        <v>79</v>
      </c>
      <c r="E373" s="2" t="s">
        <v>80</v>
      </c>
      <c r="F373" s="1" t="s">
        <v>40</v>
      </c>
      <c r="G373" s="1" t="s">
        <v>63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-1</v>
      </c>
      <c r="L373" s="2">
        <f>Games[[#This Row],[OppDaysOff]]-Games[[#This Row],[DaysOff]]</f>
        <v>1</v>
      </c>
      <c r="M373" s="1">
        <f>MAX(-16, MIN(16, Games[[#This Row],[RestDiff]]*8))</f>
        <v>-8</v>
      </c>
      <c r="N373" s="1">
        <f>MAX(-16, MIN(16, Games[[#This Row],[OppRestDiff]]*8))</f>
        <v>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1508.1333532593278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1562.9380561829373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0.51898043396608662</v>
      </c>
      <c r="R373" s="1">
        <v>86</v>
      </c>
      <c r="S373" s="1">
        <v>78</v>
      </c>
      <c r="T373" s="1">
        <v>0</v>
      </c>
      <c r="U373" s="1">
        <f>Games[[#This Row],[PointsFor]]-Games[[#This Row],[PointsAgainst]]</f>
        <v>8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0.37135551127431071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12.718403801675933</v>
      </c>
      <c r="AB373" s="4">
        <f>Games[[#This Row],[PreGmRate]]+Games[[#This Row],[RatingChange]]</f>
        <v>1520.8517570610038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43324</v>
      </c>
      <c r="B374" s="2">
        <v>2018</v>
      </c>
      <c r="C374" s="2">
        <f>COUNTIFS(Games[Team],Games[[#This Row],[Team]],Games[Season],Games[[#This Row],[Season]],Games[Date],"&lt;=" &amp; Games[[#This Row],[Date]])</f>
        <v>31</v>
      </c>
      <c r="D374" s="2" t="s">
        <v>79</v>
      </c>
      <c r="E374" s="2" t="s">
        <v>80</v>
      </c>
      <c r="F374" s="1" t="s">
        <v>85</v>
      </c>
      <c r="G374" s="1" t="s">
        <v>65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-2</v>
      </c>
      <c r="L374" s="2">
        <f>Games[[#This Row],[OppDaysOff]]-Games[[#This Row],[DaysOff]]</f>
        <v>2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1475.7558961232885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1579.2313923066522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0.22038872441884549</v>
      </c>
      <c r="R374" s="1">
        <v>80</v>
      </c>
      <c r="S374" s="1">
        <v>93</v>
      </c>
      <c r="T374" s="1">
        <v>0</v>
      </c>
      <c r="U374" s="1">
        <f>Games[[#This Row],[PointsFor]]-Games[[#This Row],[PointsAgainst]]</f>
        <v>-13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0.43457089023578893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-6.8335122994315816</v>
      </c>
      <c r="AB374" s="4">
        <f>Games[[#This Row],[PreGmRate]]+Games[[#This Row],[RatingChange]]</f>
        <v>1468.922383823857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43324</v>
      </c>
      <c r="B375" s="2">
        <v>2018</v>
      </c>
      <c r="C375" s="2">
        <f>COUNTIFS(Games[Team],Games[[#This Row],[Team]],Games[Season],Games[[#This Row],[Season]],Games[Date],"&lt;=" &amp; Games[[#This Row],[Date]])</f>
        <v>31</v>
      </c>
      <c r="D375" s="2" t="s">
        <v>79</v>
      </c>
      <c r="E375" s="2" t="s">
        <v>80</v>
      </c>
      <c r="F375" s="1" t="s">
        <v>65</v>
      </c>
      <c r="G375" s="1" t="s">
        <v>85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2</v>
      </c>
      <c r="L375" s="2">
        <f>Games[[#This Row],[OppDaysOff]]-Games[[#This Row],[DaysOff]]</f>
        <v>-2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1579.2313923066522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1475.7558961232885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0.77961127558115451</v>
      </c>
      <c r="R375" s="1">
        <v>93</v>
      </c>
      <c r="S375" s="1">
        <v>80</v>
      </c>
      <c r="T375" s="1">
        <v>0</v>
      </c>
      <c r="U375" s="1">
        <f>Games[[#This Row],[PointsFor]]-Games[[#This Row],[PointsAgainst]]</f>
        <v>13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0.43457089023578893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6.8335122994315816</v>
      </c>
      <c r="AB375" s="4">
        <f>Games[[#This Row],[PreGmRate]]+Games[[#This Row],[RatingChange]]</f>
        <v>1586.0649046060837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43326</v>
      </c>
      <c r="B376" s="2">
        <v>2018</v>
      </c>
      <c r="C376" s="2">
        <f>COUNTIFS(Games[Team],Games[[#This Row],[Team]],Games[Season],Games[[#This Row],[Season]],Games[Date],"&lt;=" &amp; Games[[#This Row],[Date]])</f>
        <v>32</v>
      </c>
      <c r="D376" s="2" t="s">
        <v>79</v>
      </c>
      <c r="E376" s="2" t="s">
        <v>80</v>
      </c>
      <c r="F376" s="1" t="s">
        <v>85</v>
      </c>
      <c r="G376" s="1" t="s">
        <v>74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1468.922383823857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1583.9243487081053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0.24130330911393583</v>
      </c>
      <c r="R376" s="1">
        <v>76</v>
      </c>
      <c r="S376" s="1">
        <v>96</v>
      </c>
      <c r="T376" s="1">
        <v>0</v>
      </c>
      <c r="U376" s="1">
        <f>Games[[#This Row],[PointsFor]]-Games[[#This Row],[PointsAgainst]]</f>
        <v>-20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0.52461125469978431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-9.0132387411319907</v>
      </c>
      <c r="AB376" s="4">
        <f>Games[[#This Row],[PreGmRate]]+Games[[#This Row],[RatingChange]]</f>
        <v>1459.909145082725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43326</v>
      </c>
      <c r="B377" s="2">
        <v>2018</v>
      </c>
      <c r="C377" s="2">
        <f>COUNTIFS(Games[Team],Games[[#This Row],[Team]],Games[Season],Games[[#This Row],[Season]],Games[Date],"&lt;=" &amp; Games[[#This Row],[Date]])</f>
        <v>32</v>
      </c>
      <c r="D377" s="2" t="s">
        <v>79</v>
      </c>
      <c r="E377" s="2" t="s">
        <v>80</v>
      </c>
      <c r="F377" s="1" t="s">
        <v>74</v>
      </c>
      <c r="G377" s="1" t="s">
        <v>85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1583.9243487081053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1468.922383823857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0.75869669088606417</v>
      </c>
      <c r="R377" s="1">
        <v>96</v>
      </c>
      <c r="S377" s="1">
        <v>76</v>
      </c>
      <c r="T377" s="1">
        <v>0</v>
      </c>
      <c r="U377" s="1">
        <f>Games[[#This Row],[PointsFor]]-Games[[#This Row],[PointsAgainst]]</f>
        <v>20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0.52461125469978431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9.0132387411319907</v>
      </c>
      <c r="AB377" s="4">
        <f>Games[[#This Row],[PreGmRate]]+Games[[#This Row],[RatingChange]]</f>
        <v>1592.9375874492373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43326</v>
      </c>
      <c r="B378" s="2">
        <v>2018</v>
      </c>
      <c r="C378" s="2">
        <f>COUNTIFS(Games[Team],Games[[#This Row],[Team]],Games[Season],Games[[#This Row],[Season]],Games[Date],"&lt;=" &amp; Games[[#This Row],[Date]])</f>
        <v>31</v>
      </c>
      <c r="D378" s="2" t="s">
        <v>79</v>
      </c>
      <c r="E378" s="2" t="s">
        <v>80</v>
      </c>
      <c r="F378" s="1" t="s">
        <v>60</v>
      </c>
      <c r="G378" s="1" t="s">
        <v>63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1343.3732566723518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1550.1928579912299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0.15787934510199481</v>
      </c>
      <c r="R378" s="1">
        <v>66</v>
      </c>
      <c r="S378" s="1">
        <v>74</v>
      </c>
      <c r="T378" s="1">
        <v>0</v>
      </c>
      <c r="U378" s="1">
        <f>Games[[#This Row],[PointsFor]]-Games[[#This Row],[PointsAgainst]]</f>
        <v>-8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0.33122842585272244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-3.7311859580817419</v>
      </c>
      <c r="AB378" s="4">
        <f>Games[[#This Row],[PreGmRate]]+Games[[#This Row],[RatingChange]]</f>
        <v>1339.6420707142699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43326</v>
      </c>
      <c r="B379" s="2">
        <v>2018</v>
      </c>
      <c r="C379" s="2">
        <f>COUNTIFS(Games[Team],Games[[#This Row],[Team]],Games[Season],Games[[#This Row],[Season]],Games[Date],"&lt;=" &amp; Games[[#This Row],[Date]])</f>
        <v>32</v>
      </c>
      <c r="D379" s="2" t="s">
        <v>79</v>
      </c>
      <c r="E379" s="2" t="s">
        <v>80</v>
      </c>
      <c r="F379" s="1" t="s">
        <v>63</v>
      </c>
      <c r="G379" s="1" t="s">
        <v>60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1550.1928579912299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1343.3732566723518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0.84212065489800525</v>
      </c>
      <c r="R379" s="1">
        <v>74</v>
      </c>
      <c r="S379" s="1">
        <v>66</v>
      </c>
      <c r="T379" s="1">
        <v>0</v>
      </c>
      <c r="U379" s="1">
        <f>Games[[#This Row],[PointsFor]]-Games[[#This Row],[PointsAgainst]]</f>
        <v>8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0.33122842585272244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3.7233418390388224</v>
      </c>
      <c r="AB379" s="4">
        <f>Games[[#This Row],[PreGmRate]]+Games[[#This Row],[RatingChange]]</f>
        <v>1553.9161998302686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43326</v>
      </c>
      <c r="B380" s="2">
        <v>2018</v>
      </c>
      <c r="C380" s="2">
        <f>COUNTIFS(Games[Team],Games[[#This Row],[Team]],Games[Season],Games[[#This Row],[Season]],Games[Date],"&lt;=" &amp; Games[[#This Row],[Date]])</f>
        <v>32</v>
      </c>
      <c r="D380" s="2" t="s">
        <v>79</v>
      </c>
      <c r="E380" s="2" t="s">
        <v>80</v>
      </c>
      <c r="F380" s="1" t="s">
        <v>75</v>
      </c>
      <c r="G380" s="1" t="s">
        <v>67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1392.230787792033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1560.3469978634062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0.18980194943497039</v>
      </c>
      <c r="R380" s="1">
        <v>91</v>
      </c>
      <c r="S380" s="1">
        <v>88</v>
      </c>
      <c r="T380" s="1">
        <v>0</v>
      </c>
      <c r="U380" s="1">
        <f>Games[[#This Row],[PointsFor]]-Games[[#This Row],[PointsAgainst]]</f>
        <v>3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0.25452532669010874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14.682573753467244</v>
      </c>
      <c r="AB380" s="4">
        <f>Games[[#This Row],[PreGmRate]]+Games[[#This Row],[RatingChange]]</f>
        <v>1406.9133615455003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43326</v>
      </c>
      <c r="B381" s="2">
        <v>2018</v>
      </c>
      <c r="C381" s="2">
        <f>COUNTIFS(Games[Team],Games[[#This Row],[Team]],Games[Season],Games[[#This Row],[Season]],Games[Date],"&lt;=" &amp; Games[[#This Row],[Date]])</f>
        <v>32</v>
      </c>
      <c r="D381" s="2" t="s">
        <v>79</v>
      </c>
      <c r="E381" s="2" t="s">
        <v>80</v>
      </c>
      <c r="F381" s="1" t="s">
        <v>67</v>
      </c>
      <c r="G381" s="1" t="s">
        <v>75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1560.3469978634062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1392.230787792033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0.81019805056502958</v>
      </c>
      <c r="R381" s="1">
        <v>88</v>
      </c>
      <c r="S381" s="1">
        <v>91</v>
      </c>
      <c r="T381" s="1">
        <v>0</v>
      </c>
      <c r="U381" s="1">
        <f>Games[[#This Row],[PointsFor]]-Games[[#This Row],[PointsAgainst]]</f>
        <v>-3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0.25452532669010874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-14.682573753467244</v>
      </c>
      <c r="AB381" s="4">
        <f>Games[[#This Row],[PreGmRate]]+Games[[#This Row],[RatingChange]]</f>
        <v>1545.6644241099389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43327</v>
      </c>
      <c r="B382" s="2">
        <v>2018</v>
      </c>
      <c r="C382" s="2">
        <f>COUNTIFS(Games[Team],Games[[#This Row],[Team]],Games[Season],Games[[#This Row],[Season]],Games[Date],"&lt;=" &amp; Games[[#This Row],[Date]])</f>
        <v>32</v>
      </c>
      <c r="D382" s="2" t="s">
        <v>79</v>
      </c>
      <c r="E382" s="2" t="s">
        <v>80</v>
      </c>
      <c r="F382" s="1" t="s">
        <v>65</v>
      </c>
      <c r="G382" s="1" t="s">
        <v>69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2" s="2">
        <f>Games[[#This Row],[DaysOff]]-Games[[#This Row],[OppDaysOff]]</f>
        <v>-1</v>
      </c>
      <c r="L382" s="2">
        <f>Games[[#This Row],[OppDaysOff]]-Games[[#This Row],[DaysOff]]</f>
        <v>1</v>
      </c>
      <c r="M382" s="1">
        <f>MAX(-16, MIN(16, Games[[#This Row],[RestDiff]]*8))</f>
        <v>-8</v>
      </c>
      <c r="N382" s="1">
        <f>MAX(-16, MIN(16, Games[[#This Row],[OppRestDiff]]*8))</f>
        <v>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1586.0649046060837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1309.5298692140861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0.73423513093615911</v>
      </c>
      <c r="R382" s="1">
        <v>76</v>
      </c>
      <c r="S382" s="1">
        <v>62</v>
      </c>
      <c r="T382" s="1">
        <v>0</v>
      </c>
      <c r="U382" s="1">
        <f>Games[[#This Row],[PointsFor]]-Games[[#This Row],[PointsAgainst]]</f>
        <v>14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0.39628570282152398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7.4986998360630954</v>
      </c>
      <c r="AB382" s="4">
        <f>Games[[#This Row],[PreGmRate]]+Games[[#This Row],[RatingChange]]</f>
        <v>1593.5636044421467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43327</v>
      </c>
      <c r="B383" s="2">
        <v>2018</v>
      </c>
      <c r="C383" s="2">
        <f>COUNTIFS(Games[Team],Games[[#This Row],[Team]],Games[Season],Games[[#This Row],[Season]],Games[Date],"&lt;=" &amp; Games[[#This Row],[Date]])</f>
        <v>32</v>
      </c>
      <c r="D383" s="2" t="s">
        <v>79</v>
      </c>
      <c r="E383" s="2" t="s">
        <v>80</v>
      </c>
      <c r="F383" s="1" t="s">
        <v>69</v>
      </c>
      <c r="G383" s="1" t="s">
        <v>65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1</v>
      </c>
      <c r="L383" s="2">
        <f>Games[[#This Row],[OppDaysOff]]-Games[[#This Row],[DaysOff]]</f>
        <v>-1</v>
      </c>
      <c r="M383" s="1">
        <f>MAX(-16, MIN(16, Games[[#This Row],[RestDiff]]*8))</f>
        <v>8</v>
      </c>
      <c r="N383" s="1">
        <f>MAX(-16, MIN(16, Games[[#This Row],[OppRestDiff]]*8))</f>
        <v>-8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1309.5298692140861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1586.0649046060837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0.26576486906384095</v>
      </c>
      <c r="R383" s="1">
        <v>62</v>
      </c>
      <c r="S383" s="1">
        <v>76</v>
      </c>
      <c r="T383" s="1">
        <v>0</v>
      </c>
      <c r="U383" s="1">
        <f>Games[[#This Row],[PointsFor]]-Games[[#This Row],[PointsAgainst]]</f>
        <v>-14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0.39628570282152398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-7.4986998360630972</v>
      </c>
      <c r="AB383" s="4">
        <f>Games[[#This Row],[PreGmRate]]+Games[[#This Row],[RatingChange]]</f>
        <v>1302.0311693780232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43327</v>
      </c>
      <c r="B384" s="2">
        <v>2018</v>
      </c>
      <c r="C384" s="2">
        <f>COUNTIFS(Games[Team],Games[[#This Row],[Team]],Games[Season],Games[[#This Row],[Season]],Games[Date],"&lt;=" &amp; Games[[#This Row],[Date]])</f>
        <v>32</v>
      </c>
      <c r="D384" s="2" t="s">
        <v>79</v>
      </c>
      <c r="E384" s="2" t="s">
        <v>80</v>
      </c>
      <c r="F384" s="1" t="s">
        <v>60</v>
      </c>
      <c r="G384" s="1" t="s">
        <v>86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4" s="2">
        <f>Games[[#This Row],[DaysOff]]-Games[[#This Row],[OppDaysOff]]</f>
        <v>-3</v>
      </c>
      <c r="L384" s="2">
        <f>Games[[#This Row],[OppDaysOff]]-Games[[#This Row],[DaysOff]]</f>
        <v>3</v>
      </c>
      <c r="M384" s="1">
        <f>MAX(-16, MIN(16, Games[[#This Row],[RestDiff]]*8))</f>
        <v>-16</v>
      </c>
      <c r="N384" s="1">
        <f>MAX(-16, MIN(16, Games[[#This Row],[OppRestDiff]]*8))</f>
        <v>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1339.6420707142699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1438.1469851239551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0.22534424274521744</v>
      </c>
      <c r="R384" s="1">
        <v>72</v>
      </c>
      <c r="S384" s="1">
        <v>85</v>
      </c>
      <c r="T384" s="1">
        <v>0</v>
      </c>
      <c r="U384" s="1">
        <f>Games[[#This Row],[PointsFor]]-Games[[#This Row],[PointsAgainst]]</f>
        <v>-13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0.43623439579699758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-6.999167162116783</v>
      </c>
      <c r="AB384" s="4">
        <f>Games[[#This Row],[PreGmRate]]+Games[[#This Row],[RatingChange]]</f>
        <v>1332.6429035521533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43327</v>
      </c>
      <c r="B385" s="2">
        <v>2018</v>
      </c>
      <c r="C385" s="2">
        <f>COUNTIFS(Games[Team],Games[[#This Row],[Team]],Games[Season],Games[[#This Row],[Season]],Games[Date],"&lt;=" &amp; Games[[#This Row],[Date]])</f>
        <v>32</v>
      </c>
      <c r="D385" s="2" t="s">
        <v>79</v>
      </c>
      <c r="E385" s="2" t="s">
        <v>80</v>
      </c>
      <c r="F385" s="1" t="s">
        <v>86</v>
      </c>
      <c r="G385" s="1" t="s">
        <v>60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3</v>
      </c>
      <c r="L385" s="2">
        <f>Games[[#This Row],[OppDaysOff]]-Games[[#This Row],[DaysOff]]</f>
        <v>-3</v>
      </c>
      <c r="M385" s="1">
        <f>MAX(-16, MIN(16, Games[[#This Row],[RestDiff]]*8))</f>
        <v>16</v>
      </c>
      <c r="N385" s="1">
        <f>MAX(-16, MIN(16, Games[[#This Row],[OppRestDiff]]*8))</f>
        <v>-16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1438.1469851239551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1339.6420707142699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0.77465575725478264</v>
      </c>
      <c r="R385" s="1">
        <v>85</v>
      </c>
      <c r="S385" s="1">
        <v>72</v>
      </c>
      <c r="T385" s="1">
        <v>0</v>
      </c>
      <c r="U385" s="1">
        <f>Games[[#This Row],[PointsFor]]-Games[[#This Row],[PointsAgainst]]</f>
        <v>13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0.43623439579699758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6.9991671621167804</v>
      </c>
      <c r="AB385" s="4">
        <f>Games[[#This Row],[PreGmRate]]+Games[[#This Row],[RatingChange]]</f>
        <v>1445.1461522860718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43329</v>
      </c>
      <c r="B386" s="2">
        <v>2018</v>
      </c>
      <c r="C386" s="2">
        <f>COUNTIFS(Games[Team],Games[[#This Row],[Team]],Games[Season],Games[[#This Row],[Season]],Games[Date],"&lt;=" &amp; Games[[#This Row],[Date]])</f>
        <v>33</v>
      </c>
      <c r="D386" s="2" t="s">
        <v>79</v>
      </c>
      <c r="E386" s="2" t="s">
        <v>80</v>
      </c>
      <c r="F386" s="1" t="s">
        <v>67</v>
      </c>
      <c r="G386" s="1" t="s">
        <v>74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1545.6644241099389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1592.9375874492373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0.31958729507889988</v>
      </c>
      <c r="R386" s="1">
        <v>79</v>
      </c>
      <c r="S386" s="1">
        <v>96</v>
      </c>
      <c r="T386" s="1">
        <v>0</v>
      </c>
      <c r="U386" s="1">
        <f>Games[[#This Row],[PointsFor]]-Games[[#This Row],[PointsAgainst]]</f>
        <v>-17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0.5122618698760435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-11.631764980236118</v>
      </c>
      <c r="AB386" s="4">
        <f>Games[[#This Row],[PreGmRate]]+Games[[#This Row],[RatingChange]]</f>
        <v>1534.0326591297028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43329</v>
      </c>
      <c r="B387" s="2">
        <v>2018</v>
      </c>
      <c r="C387" s="2">
        <f>COUNTIFS(Games[Team],Games[[#This Row],[Team]],Games[Season],Games[[#This Row],[Season]],Games[Date],"&lt;=" &amp; Games[[#This Row],[Date]])</f>
        <v>33</v>
      </c>
      <c r="D387" s="2" t="s">
        <v>79</v>
      </c>
      <c r="E387" s="2" t="s">
        <v>80</v>
      </c>
      <c r="F387" s="1" t="s">
        <v>74</v>
      </c>
      <c r="G387" s="1" t="s">
        <v>67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1592.9375874492373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1545.6644241099389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0.68041270492110018</v>
      </c>
      <c r="R387" s="1">
        <v>96</v>
      </c>
      <c r="S387" s="1">
        <v>79</v>
      </c>
      <c r="T387" s="1">
        <v>0</v>
      </c>
      <c r="U387" s="1">
        <f>Games[[#This Row],[PointsFor]]-Games[[#This Row],[PointsAgainst]]</f>
        <v>17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0.5122618698760435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11.631764980236117</v>
      </c>
      <c r="AB387" s="4">
        <f>Games[[#This Row],[PreGmRate]]+Games[[#This Row],[RatingChange]]</f>
        <v>1604.5693524294734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43329</v>
      </c>
      <c r="B388" s="2">
        <v>2018</v>
      </c>
      <c r="C388" s="2">
        <f>COUNTIFS(Games[Team],Games[[#This Row],[Team]],Games[Season],Games[[#This Row],[Season]],Games[Date],"&lt;=" &amp; Games[[#This Row],[Date]])</f>
        <v>33</v>
      </c>
      <c r="D388" s="2" t="s">
        <v>79</v>
      </c>
      <c r="E388" s="2" t="s">
        <v>80</v>
      </c>
      <c r="F388" s="1" t="s">
        <v>86</v>
      </c>
      <c r="G388" s="1" t="s">
        <v>85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-1</v>
      </c>
      <c r="L388" s="2">
        <f>Games[[#This Row],[OppDaysOff]]-Games[[#This Row],[DaysOff]]</f>
        <v>1</v>
      </c>
      <c r="M388" s="1">
        <f>MAX(-16, MIN(16, Games[[#This Row],[RestDiff]]*8))</f>
        <v>-8</v>
      </c>
      <c r="N388" s="1">
        <f>MAX(-16, MIN(16, Games[[#This Row],[OppRestDiff]]*8))</f>
        <v>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1445.1461522860718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1459.909145082725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0.34059835403866451</v>
      </c>
      <c r="R388" s="1">
        <v>102</v>
      </c>
      <c r="S388" s="1">
        <v>107</v>
      </c>
      <c r="T388" s="1">
        <v>0</v>
      </c>
      <c r="U388" s="1">
        <f>Games[[#This Row],[PointsFor]]-Games[[#This Row],[PointsAgainst]]</f>
        <v>-5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0.3277241510600899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-7.9307648718362431</v>
      </c>
      <c r="AB388" s="4">
        <f>Games[[#This Row],[PreGmRate]]+Games[[#This Row],[RatingChange]]</f>
        <v>1437.2153874142355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43329</v>
      </c>
      <c r="B389" s="2">
        <v>2018</v>
      </c>
      <c r="C389" s="2">
        <f>COUNTIFS(Games[Team],Games[[#This Row],[Team]],Games[Season],Games[[#This Row],[Season]],Games[Date],"&lt;=" &amp; Games[[#This Row],[Date]])</f>
        <v>33</v>
      </c>
      <c r="D389" s="2" t="s">
        <v>79</v>
      </c>
      <c r="E389" s="2" t="s">
        <v>80</v>
      </c>
      <c r="F389" s="1" t="s">
        <v>85</v>
      </c>
      <c r="G389" s="1" t="s">
        <v>86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1</v>
      </c>
      <c r="L389" s="2">
        <f>Games[[#This Row],[OppDaysOff]]-Games[[#This Row],[DaysOff]]</f>
        <v>-1</v>
      </c>
      <c r="M389" s="1">
        <f>MAX(-16, MIN(16, Games[[#This Row],[RestDiff]]*8))</f>
        <v>8</v>
      </c>
      <c r="N389" s="1">
        <f>MAX(-16, MIN(16, Games[[#This Row],[OppRestDiff]]*8))</f>
        <v>-8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1459.909145082725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1445.1461522860718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0.65940164596133544</v>
      </c>
      <c r="R389" s="1">
        <v>107</v>
      </c>
      <c r="S389" s="1">
        <v>102</v>
      </c>
      <c r="T389" s="1">
        <v>0</v>
      </c>
      <c r="U389" s="1">
        <f>Games[[#This Row],[PointsFor]]-Games[[#This Row],[PointsAgainst]]</f>
        <v>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0.3277241510600899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7.930764871836244</v>
      </c>
      <c r="AB389" s="4">
        <f>Games[[#This Row],[PreGmRate]]+Games[[#This Row],[RatingChange]]</f>
        <v>1467.8399099545613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43329</v>
      </c>
      <c r="B390" s="2">
        <v>2018</v>
      </c>
      <c r="C390" s="2">
        <f>COUNTIFS(Games[Team],Games[[#This Row],[Team]],Games[Season],Games[[#This Row],[Season]],Games[Date],"&lt;=" &amp; Games[[#This Row],[Date]])</f>
        <v>33</v>
      </c>
      <c r="D390" s="2" t="s">
        <v>79</v>
      </c>
      <c r="E390" s="2" t="s">
        <v>80</v>
      </c>
      <c r="F390" s="1" t="s">
        <v>77</v>
      </c>
      <c r="G390" s="1" t="s">
        <v>40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1590.1434253145558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1520.8517570610038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0.47884564497354543</v>
      </c>
      <c r="R390" s="1">
        <v>95</v>
      </c>
      <c r="S390" s="1">
        <v>104</v>
      </c>
      <c r="T390" s="1">
        <v>0</v>
      </c>
      <c r="U390" s="1">
        <f>Games[[#This Row],[PointsFor]]-Games[[#This Row],[PointsAgainst]]</f>
        <v>-9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0.38380921009825442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-13.057950450134095</v>
      </c>
      <c r="AB390" s="4">
        <f>Games[[#This Row],[PreGmRate]]+Games[[#This Row],[RatingChange]]</f>
        <v>1577.0854748644217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43329</v>
      </c>
      <c r="B391" s="2">
        <v>2018</v>
      </c>
      <c r="C391" s="2">
        <f>COUNTIFS(Games[Team],Games[[#This Row],[Team]],Games[Season],Games[[#This Row],[Season]],Games[Date],"&lt;=" &amp; Games[[#This Row],[Date]])</f>
        <v>33</v>
      </c>
      <c r="D391" s="2" t="s">
        <v>79</v>
      </c>
      <c r="E391" s="2" t="s">
        <v>80</v>
      </c>
      <c r="F391" s="1" t="s">
        <v>40</v>
      </c>
      <c r="G391" s="1" t="s">
        <v>77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1520.8517570610038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1590.1434253145558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0.52115435502645457</v>
      </c>
      <c r="R391" s="1">
        <v>104</v>
      </c>
      <c r="S391" s="1">
        <v>95</v>
      </c>
      <c r="T391" s="1">
        <v>0</v>
      </c>
      <c r="U391" s="1">
        <f>Games[[#This Row],[PointsFor]]-Games[[#This Row],[PointsAgainst]]</f>
        <v>9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0.38380921009825442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13.057950450134095</v>
      </c>
      <c r="AB391" s="4">
        <f>Games[[#This Row],[PreGmRate]]+Games[[#This Row],[RatingChange]]</f>
        <v>1533.9097075111379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43329</v>
      </c>
      <c r="B392" s="2">
        <v>2018</v>
      </c>
      <c r="C392" s="2">
        <f>COUNTIFS(Games[Team],Games[[#This Row],[Team]],Games[Season],Games[[#This Row],[Season]],Games[Date],"&lt;=" &amp; Games[[#This Row],[Date]])</f>
        <v>33</v>
      </c>
      <c r="D392" s="2" t="s">
        <v>79</v>
      </c>
      <c r="E392" s="2" t="s">
        <v>80</v>
      </c>
      <c r="F392" s="1" t="s">
        <v>60</v>
      </c>
      <c r="G392" s="1" t="s">
        <v>71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2" s="2">
        <f>Games[[#This Row],[DaysOff]]-Games[[#This Row],[OppDaysOff]]</f>
        <v>-3</v>
      </c>
      <c r="L392" s="2">
        <f>Games[[#This Row],[OppDaysOff]]-Games[[#This Row],[DaysOff]]</f>
        <v>3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1332.6429035521533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1656.4020765479308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7.3682120235535054E-2</v>
      </c>
      <c r="R392" s="1">
        <v>77</v>
      </c>
      <c r="S392" s="1">
        <v>85</v>
      </c>
      <c r="T392" s="1">
        <v>0</v>
      </c>
      <c r="U392" s="1">
        <f>Games[[#This Row],[PointsFor]]-Games[[#This Row],[PointsAgainst]]</f>
        <v>-8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0.30580858856289744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-1.6009430198596757</v>
      </c>
      <c r="AB392" s="4">
        <f>Games[[#This Row],[PreGmRate]]+Games[[#This Row],[RatingChange]]</f>
        <v>1331.0419605322936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43329</v>
      </c>
      <c r="B393" s="2">
        <v>2018</v>
      </c>
      <c r="C393" s="2">
        <f>COUNTIFS(Games[Team],Games[[#This Row],[Team]],Games[Season],Games[[#This Row],[Season]],Games[Date],"&lt;=" &amp; Games[[#This Row],[Date]])</f>
        <v>33</v>
      </c>
      <c r="D393" s="2" t="s">
        <v>79</v>
      </c>
      <c r="E393" s="2" t="s">
        <v>80</v>
      </c>
      <c r="F393" s="1" t="s">
        <v>71</v>
      </c>
      <c r="G393" s="1" t="s">
        <v>60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3</v>
      </c>
      <c r="L393" s="2">
        <f>Games[[#This Row],[OppDaysOff]]-Games[[#This Row],[DaysOff]]</f>
        <v>-3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1656.4020765479308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1332.6429035521533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0.92631787976446489</v>
      </c>
      <c r="R393" s="1">
        <v>85</v>
      </c>
      <c r="S393" s="1">
        <v>77</v>
      </c>
      <c r="T393" s="1">
        <v>0</v>
      </c>
      <c r="U393" s="1">
        <f>Games[[#This Row],[PointsFor]]-Games[[#This Row],[PointsAgainst]]</f>
        <v>8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0.30580858856289744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1.600943019859677</v>
      </c>
      <c r="AB393" s="4">
        <f>Games[[#This Row],[PreGmRate]]+Games[[#This Row],[RatingChange]]</f>
        <v>1658.0030195677905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43329</v>
      </c>
      <c r="B394" s="2">
        <v>2018</v>
      </c>
      <c r="C394" s="2">
        <f>COUNTIFS(Games[Team],Games[[#This Row],[Team]],Games[Season],Games[[#This Row],[Season]],Games[Date],"&lt;=" &amp; Games[[#This Row],[Date]])</f>
        <v>33</v>
      </c>
      <c r="D394" s="2" t="s">
        <v>79</v>
      </c>
      <c r="E394" s="2" t="s">
        <v>80</v>
      </c>
      <c r="F394" s="1" t="s">
        <v>63</v>
      </c>
      <c r="G394" s="1" t="s">
        <v>65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1</v>
      </c>
      <c r="L394" s="2">
        <f>Games[[#This Row],[OppDaysOff]]-Games[[#This Row],[DaysOff]]</f>
        <v>-1</v>
      </c>
      <c r="M394" s="1">
        <f>MAX(-16, MIN(16, Games[[#This Row],[RestDiff]]*8))</f>
        <v>8</v>
      </c>
      <c r="N394" s="1">
        <f>MAX(-16, MIN(16, Games[[#This Row],[OppRestDiff]]*8))</f>
        <v>-8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1553.9161998302686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1593.5636044421467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0.34985690133580538</v>
      </c>
      <c r="R394" s="1">
        <v>67</v>
      </c>
      <c r="S394" s="1">
        <v>69</v>
      </c>
      <c r="T394" s="1">
        <v>0</v>
      </c>
      <c r="U394" s="1">
        <f>Games[[#This Row],[PointsFor]]-Games[[#This Row],[PointsAgainst]]</f>
        <v>-2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0.25927500334035236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-6.4448850550996486</v>
      </c>
      <c r="AB394" s="4">
        <f>Games[[#This Row],[PreGmRate]]+Games[[#This Row],[RatingChange]]</f>
        <v>1547.471314775169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43329</v>
      </c>
      <c r="B395" s="2">
        <v>2018</v>
      </c>
      <c r="C395" s="2">
        <f>COUNTIFS(Games[Team],Games[[#This Row],[Team]],Games[Season],Games[[#This Row],[Season]],Games[Date],"&lt;=" &amp; Games[[#This Row],[Date]])</f>
        <v>33</v>
      </c>
      <c r="D395" s="2" t="s">
        <v>79</v>
      </c>
      <c r="E395" s="2" t="s">
        <v>80</v>
      </c>
      <c r="F395" s="1" t="s">
        <v>65</v>
      </c>
      <c r="G395" s="1" t="s">
        <v>63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-1</v>
      </c>
      <c r="L395" s="2">
        <f>Games[[#This Row],[OppDaysOff]]-Games[[#This Row],[DaysOff]]</f>
        <v>1</v>
      </c>
      <c r="M395" s="1">
        <f>MAX(-16, MIN(16, Games[[#This Row],[RestDiff]]*8))</f>
        <v>-8</v>
      </c>
      <c r="N395" s="1">
        <f>MAX(-16, MIN(16, Games[[#This Row],[OppRestDiff]]*8))</f>
        <v>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1593.5636044421467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1553.9161998302686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0.65014309866419462</v>
      </c>
      <c r="R395" s="1">
        <v>69</v>
      </c>
      <c r="S395" s="1">
        <v>67</v>
      </c>
      <c r="T395" s="1">
        <v>0</v>
      </c>
      <c r="U395" s="1">
        <f>Games[[#This Row],[PointsFor]]-Games[[#This Row],[PointsAgainst]]</f>
        <v>2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0.25927500334035236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6.4448850550996486</v>
      </c>
      <c r="AB395" s="4">
        <f>Games[[#This Row],[PreGmRate]]+Games[[#This Row],[RatingChange]]</f>
        <v>1600.0084894972463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43330</v>
      </c>
      <c r="B396" s="2">
        <v>2018</v>
      </c>
      <c r="C396" s="2">
        <f>COUNTIFS(Games[Team],Games[[#This Row],[Team]],Games[Season],Games[[#This Row],[Season]],Games[Date],"&lt;=" &amp; Games[[#This Row],[Date]])</f>
        <v>33</v>
      </c>
      <c r="D396" s="2" t="s">
        <v>79</v>
      </c>
      <c r="E396" s="2" t="s">
        <v>80</v>
      </c>
      <c r="F396" s="1" t="s">
        <v>75</v>
      </c>
      <c r="G396" s="1" t="s">
        <v>69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1</v>
      </c>
      <c r="L396" s="2">
        <f>Games[[#This Row],[OppDaysOff]]-Games[[#This Row],[DaysOff]]</f>
        <v>-1</v>
      </c>
      <c r="M396" s="1">
        <f>MAX(-16, MIN(16, Games[[#This Row],[RestDiff]]*8))</f>
        <v>8</v>
      </c>
      <c r="N396" s="1">
        <f>MAX(-16, MIN(16, Games[[#This Row],[OppRestDiff]]*8))</f>
        <v>-8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1406.9133615455003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1302.0311693780232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0.55287925835977847</v>
      </c>
      <c r="R396" s="1">
        <v>115</v>
      </c>
      <c r="S396" s="1">
        <v>106</v>
      </c>
      <c r="T396" s="1">
        <v>1</v>
      </c>
      <c r="U396" s="1">
        <f>Games[[#This Row],[PointsFor]]-Games[[#This Row],[PointsAgainst]]</f>
        <v>9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0.33600676900244558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10.674239078215697</v>
      </c>
      <c r="AB396" s="4">
        <f>Games[[#This Row],[PreGmRate]]+Games[[#This Row],[RatingChange]]</f>
        <v>1417.5876006237161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43330</v>
      </c>
      <c r="B397" s="2">
        <v>2018</v>
      </c>
      <c r="C397" s="2">
        <f>COUNTIFS(Games[Team],Games[[#This Row],[Team]],Games[Season],Games[[#This Row],[Season]],Games[Date],"&lt;=" &amp; Games[[#This Row],[Date]])</f>
        <v>33</v>
      </c>
      <c r="D397" s="2" t="s">
        <v>79</v>
      </c>
      <c r="E397" s="2" t="s">
        <v>80</v>
      </c>
      <c r="F397" s="1" t="s">
        <v>69</v>
      </c>
      <c r="G397" s="1" t="s">
        <v>75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7" s="2">
        <f>Games[[#This Row],[DaysOff]]-Games[[#This Row],[OppDaysOff]]</f>
        <v>-1</v>
      </c>
      <c r="L397" s="2">
        <f>Games[[#This Row],[OppDaysOff]]-Games[[#This Row],[DaysOff]]</f>
        <v>1</v>
      </c>
      <c r="M397" s="1">
        <f>MAX(-16, MIN(16, Games[[#This Row],[RestDiff]]*8))</f>
        <v>-8</v>
      </c>
      <c r="N397" s="1">
        <f>MAX(-16, MIN(16, Games[[#This Row],[OppRestDiff]]*8))</f>
        <v>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1302.0311693780232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1406.9133615455003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0.44712074164022153</v>
      </c>
      <c r="R397" s="1">
        <v>106</v>
      </c>
      <c r="S397" s="1">
        <v>115</v>
      </c>
      <c r="T397" s="1">
        <v>1</v>
      </c>
      <c r="U397" s="1">
        <f>Games[[#This Row],[PointsFor]]-Games[[#This Row],[PointsAgainst]]</f>
        <v>-9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0.33600676900244558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-10.674239078215697</v>
      </c>
      <c r="AB397" s="4">
        <f>Games[[#This Row],[PreGmRate]]+Games[[#This Row],[RatingChange]]</f>
        <v>1291.3569302998073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43331</v>
      </c>
      <c r="B398" s="2">
        <v>2018</v>
      </c>
      <c r="C398" s="2">
        <f>COUNTIFS(Games[Team],Games[[#This Row],[Team]],Games[Season],Games[[#This Row],[Season]],Games[Date],"&lt;=" &amp; Games[[#This Row],[Date]])</f>
        <v>34</v>
      </c>
      <c r="D398" s="2" t="s">
        <v>79</v>
      </c>
      <c r="E398" s="2" t="s">
        <v>80</v>
      </c>
      <c r="F398" s="1" t="s">
        <v>69</v>
      </c>
      <c r="G398" s="1" t="s">
        <v>75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1291.3569302998073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1417.5876006237161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0.22966831562005305</v>
      </c>
      <c r="R398" s="1">
        <v>97</v>
      </c>
      <c r="S398" s="1">
        <v>92</v>
      </c>
      <c r="T398" s="1">
        <v>0</v>
      </c>
      <c r="U398" s="1">
        <f>Games[[#This Row],[PointsFor]]-Games[[#This Row],[PointsAgainst]]</f>
        <v>5</v>
      </c>
      <c r="V398" s="1">
        <f>IF(Games[[#This Row],[MOV]]&gt;0,1,IF(Games[[#This Row],[MOV]]=0,0.5,0))</f>
        <v>1</v>
      </c>
      <c r="W398" s="4">
        <f>((ABS(Games[[#This Row],[MOV]])+5)^0.6)/(12+0.01*(ABS(Games[[#This Row],[PreGmRate]]-Games[[#This Row],[OppPreGmRate]])))*IF(Games[[#This Row],[OT]]=1,0.9,1)</f>
        <v>0.3001794329309746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16.394754928382792</v>
      </c>
      <c r="AB398" s="4">
        <f>Games[[#This Row],[PreGmRate]]+Games[[#This Row],[RatingChange]]</f>
        <v>1307.7516852281901</v>
      </c>
      <c r="AC398" s="2">
        <f>IF(Games[[#This Row],[Type]]="R",IF(Games[[#This Row],[Result]]&gt;0.5,1,0),0)</f>
        <v>1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43331</v>
      </c>
      <c r="B399" s="2">
        <v>2018</v>
      </c>
      <c r="C399" s="2">
        <f>COUNTIFS(Games[Team],Games[[#This Row],[Team]],Games[Season],Games[[#This Row],[Season]],Games[Date],"&lt;=" &amp; Games[[#This Row],[Date]])</f>
        <v>34</v>
      </c>
      <c r="D399" s="2" t="s">
        <v>79</v>
      </c>
      <c r="E399" s="2" t="s">
        <v>80</v>
      </c>
      <c r="F399" s="1" t="s">
        <v>75</v>
      </c>
      <c r="G399" s="1" t="s">
        <v>69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1417.5876006237161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1291.3569302998073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0.77033168437994692</v>
      </c>
      <c r="R399" s="1">
        <v>92</v>
      </c>
      <c r="S399" s="1">
        <v>97</v>
      </c>
      <c r="T399" s="1">
        <v>0</v>
      </c>
      <c r="U399" s="1">
        <f>Games[[#This Row],[PointsFor]]-Games[[#This Row],[PointsAgainst]]</f>
        <v>-5</v>
      </c>
      <c r="V399" s="1">
        <f>IF(Games[[#This Row],[MOV]]&gt;0,1,IF(Games[[#This Row],[MOV]]=0,0.5,0))</f>
        <v>0</v>
      </c>
      <c r="W399" s="4">
        <f>((ABS(Games[[#This Row],[MOV]])+5)^0.6)/(12+0.01*(ABS(Games[[#This Row],[PreGmRate]]-Games[[#This Row],[OppPreGmRate]])))*IF(Games[[#This Row],[OT]]=1,0.9,1)</f>
        <v>0.3001794329309746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-16.394754928382792</v>
      </c>
      <c r="AB399" s="4">
        <f>Games[[#This Row],[PreGmRate]]+Games[[#This Row],[RatingChange]]</f>
        <v>1401.1928456953333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1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43331</v>
      </c>
      <c r="B400" s="2">
        <v>2018</v>
      </c>
      <c r="C400" s="2">
        <f>COUNTIFS(Games[Team],Games[[#This Row],[Team]],Games[Season],Games[[#This Row],[Season]],Games[Date],"&lt;=" &amp; Games[[#This Row],[Date]])</f>
        <v>34</v>
      </c>
      <c r="D400" s="2" t="s">
        <v>79</v>
      </c>
      <c r="E400" s="2" t="s">
        <v>80</v>
      </c>
      <c r="F400" s="1" t="s">
        <v>63</v>
      </c>
      <c r="G400" s="1" t="s">
        <v>74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1547.471314775169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1604.5693524294734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0.30741643769567428</v>
      </c>
      <c r="R400" s="1">
        <v>86</v>
      </c>
      <c r="S400" s="1">
        <v>89</v>
      </c>
      <c r="T400" s="1">
        <v>0</v>
      </c>
      <c r="U400" s="1">
        <f>Games[[#This Row],[PointsFor]]-Games[[#This Row],[PointsAgainst]]</f>
        <v>-3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0.27700323673101501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-6.037514192060832</v>
      </c>
      <c r="AB400" s="4">
        <f>Games[[#This Row],[PreGmRate]]+Games[[#This Row],[RatingChange]]</f>
        <v>1541.4338005831082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43331</v>
      </c>
      <c r="B401" s="2">
        <v>2018</v>
      </c>
      <c r="C401" s="2">
        <f>COUNTIFS(Games[Team],Games[[#This Row],[Team]],Games[Season],Games[[#This Row],[Season]],Games[Date],"&lt;=" &amp; Games[[#This Row],[Date]])</f>
        <v>34</v>
      </c>
      <c r="D401" s="2" t="s">
        <v>79</v>
      </c>
      <c r="E401" s="2" t="s">
        <v>80</v>
      </c>
      <c r="F401" s="1" t="s">
        <v>74</v>
      </c>
      <c r="G401" s="1" t="s">
        <v>63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1604.5693524294734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1547.471314775169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0.69258356230432561</v>
      </c>
      <c r="R401" s="1">
        <v>89</v>
      </c>
      <c r="S401" s="1">
        <v>86</v>
      </c>
      <c r="T401" s="1">
        <v>0</v>
      </c>
      <c r="U401" s="1">
        <f>Games[[#This Row],[PointsFor]]-Games[[#This Row],[PointsAgainst]]</f>
        <v>3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0.27700323673101501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6.0375141920608337</v>
      </c>
      <c r="AB401" s="4">
        <f>Games[[#This Row],[PreGmRate]]+Games[[#This Row],[RatingChange]]</f>
        <v>1610.6068666215342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43331</v>
      </c>
      <c r="B402" s="2">
        <v>2018</v>
      </c>
      <c r="C402" s="2">
        <f>COUNTIFS(Games[Team],Games[[#This Row],[Team]],Games[Season],Games[[#This Row],[Season]],Games[Date],"&lt;=" &amp; Games[[#This Row],[Date]])</f>
        <v>34</v>
      </c>
      <c r="D402" s="2" t="s">
        <v>79</v>
      </c>
      <c r="E402" s="2" t="s">
        <v>80</v>
      </c>
      <c r="F402" s="1" t="s">
        <v>77</v>
      </c>
      <c r="G402" s="1" t="s">
        <v>86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1577.0854748644217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1437.2153874142355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0.57971756446059797</v>
      </c>
      <c r="R402" s="1">
        <v>93</v>
      </c>
      <c r="S402" s="1">
        <v>78</v>
      </c>
      <c r="T402" s="1">
        <v>0</v>
      </c>
      <c r="U402" s="1">
        <f>Games[[#This Row],[PointsFor]]-Games[[#This Row],[PointsAgainst]]</f>
        <v>15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0.45035532870417189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13.419699199380958</v>
      </c>
      <c r="AB402" s="4">
        <f>Games[[#This Row],[PreGmRate]]+Games[[#This Row],[RatingChange]]</f>
        <v>1590.5051740638028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43331</v>
      </c>
      <c r="B403" s="2">
        <v>2018</v>
      </c>
      <c r="C403" s="2">
        <f>COUNTIFS(Games[Team],Games[[#This Row],[Team]],Games[Season],Games[[#This Row],[Season]],Games[Date],"&lt;=" &amp; Games[[#This Row],[Date]])</f>
        <v>34</v>
      </c>
      <c r="D403" s="2" t="s">
        <v>79</v>
      </c>
      <c r="E403" s="2" t="s">
        <v>80</v>
      </c>
      <c r="F403" s="1" t="s">
        <v>86</v>
      </c>
      <c r="G403" s="1" t="s">
        <v>77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1437.2153874142355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1577.0854748644217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0.42028243553940198</v>
      </c>
      <c r="R403" s="1">
        <v>78</v>
      </c>
      <c r="S403" s="1">
        <v>93</v>
      </c>
      <c r="T403" s="1">
        <v>0</v>
      </c>
      <c r="U403" s="1">
        <f>Games[[#This Row],[PointsFor]]-Games[[#This Row],[PointsAgainst]]</f>
        <v>-15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0.45035532870417189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-13.419699199380956</v>
      </c>
      <c r="AB403" s="4">
        <f>Games[[#This Row],[PreGmRate]]+Games[[#This Row],[RatingChange]]</f>
        <v>1423.7956882148544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43331</v>
      </c>
      <c r="B404" s="2">
        <v>2018</v>
      </c>
      <c r="C404" s="2">
        <f>COUNTIFS(Games[Team],Games[[#This Row],[Team]],Games[Season],Games[[#This Row],[Season]],Games[Date],"&lt;=" &amp; Games[[#This Row],[Date]])</f>
        <v>34</v>
      </c>
      <c r="D404" s="2" t="s">
        <v>79</v>
      </c>
      <c r="E404" s="2" t="s">
        <v>80</v>
      </c>
      <c r="F404" s="1" t="s">
        <v>65</v>
      </c>
      <c r="G404" s="1" t="s">
        <v>67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1600.0084894972463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1534.0326591297028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0.47408437953015564</v>
      </c>
      <c r="R404" s="1">
        <v>83</v>
      </c>
      <c r="S404" s="1">
        <v>88</v>
      </c>
      <c r="T404" s="1">
        <v>0</v>
      </c>
      <c r="U404" s="1">
        <f>Games[[#This Row],[PointsFor]]-Games[[#This Row],[PointsAgainst]]</f>
        <v>-5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0.31446664383625483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-10.570036012176331</v>
      </c>
      <c r="AB404" s="4">
        <f>Games[[#This Row],[PreGmRate]]+Games[[#This Row],[RatingChange]]</f>
        <v>1589.4384534850699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43331</v>
      </c>
      <c r="B405" s="2">
        <v>2018</v>
      </c>
      <c r="C405" s="2">
        <f>COUNTIFS(Games[Team],Games[[#This Row],[Team]],Games[Season],Games[[#This Row],[Season]],Games[Date],"&lt;=" &amp; Games[[#This Row],[Date]])</f>
        <v>34</v>
      </c>
      <c r="D405" s="2" t="s">
        <v>79</v>
      </c>
      <c r="E405" s="2" t="s">
        <v>80</v>
      </c>
      <c r="F405" s="1" t="s">
        <v>67</v>
      </c>
      <c r="G405" s="1" t="s">
        <v>65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1534.0326591297028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1600.0084894972463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0.52591562046984441</v>
      </c>
      <c r="R405" s="1">
        <v>88</v>
      </c>
      <c r="S405" s="1">
        <v>83</v>
      </c>
      <c r="T405" s="1">
        <v>0</v>
      </c>
      <c r="U405" s="1">
        <f>Games[[#This Row],[PointsFor]]-Games[[#This Row],[PointsAgainst]]</f>
        <v>5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0.31446664383625483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10.570036012176329</v>
      </c>
      <c r="AB405" s="4">
        <f>Games[[#This Row],[PreGmRate]]+Games[[#This Row],[RatingChange]]</f>
        <v>1544.6026951418792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43331</v>
      </c>
      <c r="B406" s="2">
        <v>2018</v>
      </c>
      <c r="C406" s="2">
        <f>COUNTIFS(Games[Team],Games[[#This Row],[Team]],Games[Season],Games[[#This Row],[Season]],Games[Date],"&lt;=" &amp; Games[[#This Row],[Date]])</f>
        <v>34</v>
      </c>
      <c r="D406" s="2" t="s">
        <v>79</v>
      </c>
      <c r="E406" s="2" t="s">
        <v>80</v>
      </c>
      <c r="F406" s="1" t="s">
        <v>60</v>
      </c>
      <c r="G406" s="1" t="s">
        <v>40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1331.0419605322936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1533.9097075111379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0.16092745510105538</v>
      </c>
      <c r="R406" s="1">
        <v>85</v>
      </c>
      <c r="S406" s="1">
        <v>96</v>
      </c>
      <c r="T406" s="1">
        <v>0</v>
      </c>
      <c r="U406" s="1">
        <f>Games[[#This Row],[PointsFor]]-Games[[#This Row],[PointsAgainst]]</f>
        <v>-11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0.37623159092923186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-4.2927108651915589</v>
      </c>
      <c r="AB406" s="4">
        <f>Games[[#This Row],[PreGmRate]]+Games[[#This Row],[RatingChange]]</f>
        <v>1326.749249667102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43331</v>
      </c>
      <c r="B407" s="2">
        <v>2018</v>
      </c>
      <c r="C407" s="2">
        <f>COUNTIFS(Games[Team],Games[[#This Row],[Team]],Games[Season],Games[[#This Row],[Season]],Games[Date],"&lt;=" &amp; Games[[#This Row],[Date]])</f>
        <v>34</v>
      </c>
      <c r="D407" s="2" t="s">
        <v>79</v>
      </c>
      <c r="E407" s="2" t="s">
        <v>80</v>
      </c>
      <c r="F407" s="1" t="s">
        <v>40</v>
      </c>
      <c r="G407" s="1" t="s">
        <v>60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1533.9097075111379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1331.0419605322936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0.83907254489894467</v>
      </c>
      <c r="R407" s="1">
        <v>96</v>
      </c>
      <c r="S407" s="1">
        <v>85</v>
      </c>
      <c r="T407" s="1">
        <v>0</v>
      </c>
      <c r="U407" s="1">
        <f>Games[[#This Row],[PointsFor]]-Games[[#This Row],[PointsAgainst]]</f>
        <v>11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0.37623159092923186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4.2927108651915571</v>
      </c>
      <c r="AB407" s="4">
        <f>Games[[#This Row],[PreGmRate]]+Games[[#This Row],[RatingChange]]</f>
        <v>1538.2024183763294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43331</v>
      </c>
      <c r="B408" s="2">
        <v>2018</v>
      </c>
      <c r="C408" s="2">
        <f>COUNTIFS(Games[Team],Games[[#This Row],[Team]],Games[Season],Games[[#This Row],[Season]],Games[Date],"&lt;=" &amp; Games[[#This Row],[Date]])</f>
        <v>34</v>
      </c>
      <c r="D408" s="2" t="s">
        <v>79</v>
      </c>
      <c r="E408" s="2" t="s">
        <v>80</v>
      </c>
      <c r="F408" s="1" t="s">
        <v>85</v>
      </c>
      <c r="G408" s="1" t="s">
        <v>71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1467.8399099545613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1658.0030195677905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0.17104917833894154</v>
      </c>
      <c r="R408" s="1">
        <v>68</v>
      </c>
      <c r="S408" s="1">
        <v>84</v>
      </c>
      <c r="T408" s="1">
        <v>0</v>
      </c>
      <c r="U408" s="1">
        <f>Games[[#This Row],[PointsFor]]-Games[[#This Row],[PointsAgainst]]</f>
        <v>-16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0.44695707607213386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-5.4204213195974233</v>
      </c>
      <c r="AB408" s="4">
        <f>Games[[#This Row],[PreGmRate]]+Games[[#This Row],[RatingChange]]</f>
        <v>1462.419488634964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43331</v>
      </c>
      <c r="B409" s="2">
        <v>2018</v>
      </c>
      <c r="C409" s="2">
        <f>COUNTIFS(Games[Team],Games[[#This Row],[Team]],Games[Season],Games[[#This Row],[Season]],Games[Date],"&lt;=" &amp; Games[[#This Row],[Date]])</f>
        <v>34</v>
      </c>
      <c r="D409" s="2" t="s">
        <v>79</v>
      </c>
      <c r="E409" s="2" t="s">
        <v>80</v>
      </c>
      <c r="F409" s="1" t="s">
        <v>71</v>
      </c>
      <c r="G409" s="1" t="s">
        <v>85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1658.0030195677905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1467.8399099545613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0.82895082166105849</v>
      </c>
      <c r="R409" s="1">
        <v>84</v>
      </c>
      <c r="S409" s="1">
        <v>68</v>
      </c>
      <c r="T409" s="1">
        <v>0</v>
      </c>
      <c r="U409" s="1">
        <f>Games[[#This Row],[PointsFor]]-Games[[#This Row],[PointsAgainst]]</f>
        <v>16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0.44695707607213386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5.4204213195974225</v>
      </c>
      <c r="AB409" s="4">
        <f>Games[[#This Row],[PreGmRate]]+Games[[#This Row],[RatingChange]]</f>
        <v>1663.4234408873879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43333</v>
      </c>
      <c r="B410" s="2">
        <v>2018</v>
      </c>
      <c r="C410" s="2">
        <f>COUNTIFS(Games[Team],Games[[#This Row],[Team]],Games[Season],Games[[#This Row],[Season]],Games[Date],"&lt;=" &amp; Games[[#This Row],[Date]])</f>
        <v>35</v>
      </c>
      <c r="D410" s="2" t="s">
        <v>83</v>
      </c>
      <c r="E410" s="2">
        <v>0.5</v>
      </c>
      <c r="F410" s="1" t="s">
        <v>67</v>
      </c>
      <c r="G410" s="1" t="s">
        <v>63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1544.6026951418792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1541.4338005831082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0.38572897687336616</v>
      </c>
      <c r="R410" s="1">
        <v>68</v>
      </c>
      <c r="S410" s="1">
        <v>75</v>
      </c>
      <c r="T410" s="1">
        <v>0</v>
      </c>
      <c r="U410" s="1">
        <f>Games[[#This Row],[PointsFor]]-Games[[#This Row],[PointsAgainst]]</f>
        <v>-7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0.36913238780782803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0" s="9">
        <f>MAX(kmin, kmax - 0.15 * MIN(Games[[#This Row],[GamesPlayed]], 82))</f>
        <v>70.75</v>
      </c>
      <c r="Z410" s="4">
        <f>Games[[#This Row],[K]]*Games[[#This Row],[POMult]]</f>
        <v>74.287500000000009</v>
      </c>
      <c r="AA410" s="4">
        <f>(Games[[#This Row],[Keff]]*Games[[#This Row],[MOVMult]])*(Games[[#This Row],[Result]]-Games[[#This Row],[ExpectedWin%]])</f>
        <v>-10.577430016970755</v>
      </c>
      <c r="AB410" s="4">
        <f>Games[[#This Row],[PreGmRate]]+Games[[#This Row],[RatingChange]]</f>
        <v>1534.0252651249084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43333</v>
      </c>
      <c r="B411" s="2">
        <v>2018</v>
      </c>
      <c r="C411" s="2">
        <f>COUNTIFS(Games[Team],Games[[#This Row],[Team]],Games[Season],Games[[#This Row],[Season]],Games[Date],"&lt;=" &amp; Games[[#This Row],[Date]])</f>
        <v>35</v>
      </c>
      <c r="D411" s="2" t="s">
        <v>83</v>
      </c>
      <c r="E411" s="2">
        <v>0.5</v>
      </c>
      <c r="F411" s="1" t="s">
        <v>63</v>
      </c>
      <c r="G411" s="1" t="s">
        <v>67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1541.4338005831082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1544.6026951418792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0.61427102312663384</v>
      </c>
      <c r="R411" s="1">
        <v>75</v>
      </c>
      <c r="S411" s="1">
        <v>68</v>
      </c>
      <c r="T411" s="1">
        <v>0</v>
      </c>
      <c r="U411" s="1">
        <f>Games[[#This Row],[PointsFor]]-Games[[#This Row],[PointsAgainst]]</f>
        <v>7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0.36913238780782803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1" s="9">
        <f>MAX(kmin, kmax - 0.15 * MIN(Games[[#This Row],[GamesPlayed]], 82))</f>
        <v>70.75</v>
      </c>
      <c r="Z411" s="4">
        <f>Games[[#This Row],[K]]*Games[[#This Row],[POMult]]</f>
        <v>74.287500000000009</v>
      </c>
      <c r="AA411" s="4">
        <f>(Games[[#This Row],[Keff]]*Games[[#This Row],[MOVMult]])*(Games[[#This Row],[Result]]-Games[[#This Row],[ExpectedWin%]])</f>
        <v>10.577430016970755</v>
      </c>
      <c r="AB411" s="4">
        <f>Games[[#This Row],[PreGmRate]]+Games[[#This Row],[RatingChange]]</f>
        <v>1552.011230600079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43333</v>
      </c>
      <c r="B412" s="2">
        <v>2018</v>
      </c>
      <c r="C412" s="2">
        <f>COUNTIFS(Games[Team],Games[[#This Row],[Team]],Games[Season],Games[[#This Row],[Season]],Games[Date],"&lt;=" &amp; Games[[#This Row],[Date]])</f>
        <v>35</v>
      </c>
      <c r="D412" s="2" t="s">
        <v>83</v>
      </c>
      <c r="E412" s="2">
        <v>0.5</v>
      </c>
      <c r="F412" s="1" t="s">
        <v>85</v>
      </c>
      <c r="G412" s="1" t="s">
        <v>40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1462.419488634964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1538.2024183763294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0.28500180994969537</v>
      </c>
      <c r="R412" s="1">
        <v>83</v>
      </c>
      <c r="S412" s="1">
        <v>101</v>
      </c>
      <c r="T412" s="1">
        <v>0</v>
      </c>
      <c r="U412" s="1">
        <f>Games[[#This Row],[PointsFor]]-Games[[#This Row],[PointsAgainst]]</f>
        <v>-18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0.51435138631664745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2" s="9">
        <f>MAX(kmin, kmax - 0.15 * MIN(Games[[#This Row],[GamesPlayed]], 82))</f>
        <v>70.75</v>
      </c>
      <c r="Z412" s="4">
        <f>Games[[#This Row],[K]]*Games[[#This Row],[POMult]]</f>
        <v>74.287500000000009</v>
      </c>
      <c r="AA412" s="4">
        <f>(Games[[#This Row],[Keff]]*Games[[#This Row],[MOVMult]])*(Games[[#This Row],[Result]]-Games[[#This Row],[ExpectedWin%]])</f>
        <v>-10.889884562092568</v>
      </c>
      <c r="AB412" s="4">
        <f>Games[[#This Row],[PreGmRate]]+Games[[#This Row],[RatingChange]]</f>
        <v>1451.5296040728713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43333</v>
      </c>
      <c r="B413" s="2">
        <v>2018</v>
      </c>
      <c r="C413" s="2">
        <f>COUNTIFS(Games[Team],Games[[#This Row],[Team]],Games[Season],Games[[#This Row],[Season]],Games[Date],"&lt;=" &amp; Games[[#This Row],[Date]])</f>
        <v>35</v>
      </c>
      <c r="D413" s="2" t="s">
        <v>83</v>
      </c>
      <c r="E413" s="2">
        <v>0.5</v>
      </c>
      <c r="F413" s="1" t="s">
        <v>40</v>
      </c>
      <c r="G413" s="1" t="s">
        <v>85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1538.2024183763294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1462.419488634964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0.71499819005030463</v>
      </c>
      <c r="R413" s="1">
        <v>101</v>
      </c>
      <c r="S413" s="1">
        <v>83</v>
      </c>
      <c r="T413" s="1">
        <v>0</v>
      </c>
      <c r="U413" s="1">
        <f>Games[[#This Row],[PointsFor]]-Games[[#This Row],[PointsAgainst]]</f>
        <v>18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0.51435138631664745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3" s="9">
        <f>MAX(kmin, kmax - 0.15 * MIN(Games[[#This Row],[GamesPlayed]], 82))</f>
        <v>70.75</v>
      </c>
      <c r="Z413" s="4">
        <f>Games[[#This Row],[K]]*Games[[#This Row],[POMult]]</f>
        <v>74.287500000000009</v>
      </c>
      <c r="AA413" s="4">
        <f>(Games[[#This Row],[Keff]]*Games[[#This Row],[MOVMult]])*(Games[[#This Row],[Result]]-Games[[#This Row],[ExpectedWin%]])</f>
        <v>10.889884562092568</v>
      </c>
      <c r="AB413" s="4">
        <f>Games[[#This Row],[PreGmRate]]+Games[[#This Row],[RatingChange]]</f>
        <v>1549.0923029384221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43335</v>
      </c>
      <c r="B414" s="2">
        <v>2018</v>
      </c>
      <c r="C414" s="2">
        <f>COUNTIFS(Games[Team],Games[[#This Row],[Team]],Games[Season],Games[[#This Row],[Season]],Games[Date],"&lt;=" &amp; Games[[#This Row],[Date]])</f>
        <v>36</v>
      </c>
      <c r="D414" s="2" t="s">
        <v>83</v>
      </c>
      <c r="E414" s="2">
        <v>1</v>
      </c>
      <c r="F414" s="1" t="s">
        <v>40</v>
      </c>
      <c r="G414" s="1" t="s">
        <v>74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4" s="2">
        <f>Games[[#This Row],[DaysOff]]-Games[[#This Row],[OppDaysOff]]</f>
        <v>-2</v>
      </c>
      <c r="L414" s="2">
        <f>Games[[#This Row],[OppDaysOff]]-Games[[#This Row],[DaysOff]]</f>
        <v>2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1549.0923029384221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1610.6068666215342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0.26466603770992364</v>
      </c>
      <c r="R414" s="1">
        <v>96</v>
      </c>
      <c r="S414" s="1">
        <v>86</v>
      </c>
      <c r="T414" s="1">
        <v>0</v>
      </c>
      <c r="U414" s="1">
        <f>Games[[#This Row],[PointsFor]]-Games[[#This Row],[PointsAgainst]]</f>
        <v>10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0.40249685086179243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70.599999999999994</v>
      </c>
      <c r="Z414" s="4">
        <f>Games[[#This Row],[K]]*Games[[#This Row],[POMult]]</f>
        <v>77.66</v>
      </c>
      <c r="AA414" s="4">
        <f>(Games[[#This Row],[Keff]]*Games[[#This Row],[MOVMult]])*(Games[[#This Row],[Result]]-Games[[#This Row],[ExpectedWin%]])</f>
        <v>22.984999458559233</v>
      </c>
      <c r="AB414" s="4">
        <f>Games[[#This Row],[PreGmRate]]+Games[[#This Row],[RatingChange]]</f>
        <v>1572.0773023969814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43335</v>
      </c>
      <c r="B415" s="2">
        <v>2018</v>
      </c>
      <c r="C415" s="2">
        <f>COUNTIFS(Games[Team],Games[[#This Row],[Team]],Games[Season],Games[[#This Row],[Season]],Games[Date],"&lt;=" &amp; Games[[#This Row],[Date]])</f>
        <v>35</v>
      </c>
      <c r="D415" s="2" t="s">
        <v>83</v>
      </c>
      <c r="E415" s="2">
        <v>1</v>
      </c>
      <c r="F415" s="1" t="s">
        <v>74</v>
      </c>
      <c r="G415" s="1" t="s">
        <v>40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2</v>
      </c>
      <c r="L415" s="2">
        <f>Games[[#This Row],[OppDaysOff]]-Games[[#This Row],[DaysOff]]</f>
        <v>-2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1610.6068666215342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1549.0923029384221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0.7353339622900763</v>
      </c>
      <c r="R415" s="1">
        <v>86</v>
      </c>
      <c r="S415" s="1">
        <v>96</v>
      </c>
      <c r="T415" s="1">
        <v>0</v>
      </c>
      <c r="U415" s="1">
        <f>Games[[#This Row],[PointsFor]]-Games[[#This Row],[PointsAgainst]]</f>
        <v>-10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0.40249685086179243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-23.033834443244562</v>
      </c>
      <c r="AB415" s="4">
        <f>Games[[#This Row],[PreGmRate]]+Games[[#This Row],[RatingChange]]</f>
        <v>1587.5730321782896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43335</v>
      </c>
      <c r="B416" s="2">
        <v>2018</v>
      </c>
      <c r="C416" s="2">
        <f>COUNTIFS(Games[Team],Games[[#This Row],[Team]],Games[Season],Games[[#This Row],[Season]],Games[Date],"&lt;=" &amp; Games[[#This Row],[Date]])</f>
        <v>36</v>
      </c>
      <c r="D416" s="2" t="s">
        <v>83</v>
      </c>
      <c r="E416" s="2">
        <v>1</v>
      </c>
      <c r="F416" s="1" t="s">
        <v>63</v>
      </c>
      <c r="G416" s="1" t="s">
        <v>65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-2</v>
      </c>
      <c r="L416" s="2">
        <f>Games[[#This Row],[OppDaysOff]]-Games[[#This Row],[DaysOff]]</f>
        <v>2</v>
      </c>
      <c r="M416" s="1">
        <f>MAX(-16, MIN(16, Games[[#This Row],[RestDiff]]*8))</f>
        <v>-16</v>
      </c>
      <c r="N416" s="1">
        <f>MAX(-16, MIN(16, Games[[#This Row],[OppRestDiff]]*8))</f>
        <v>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1552.011230600079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1589.4384534850699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0.29251549456614118</v>
      </c>
      <c r="R416" s="1">
        <v>64</v>
      </c>
      <c r="S416" s="1">
        <v>96</v>
      </c>
      <c r="T416" s="1">
        <v>0</v>
      </c>
      <c r="U416" s="1">
        <f>Games[[#This Row],[PointsFor]]-Games[[#This Row],[PointsAgainst]]</f>
        <v>-32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0.70534463661846725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70.599999999999994</v>
      </c>
      <c r="Z416" s="4">
        <f>Games[[#This Row],[K]]*Games[[#This Row],[POMult]]</f>
        <v>77.66</v>
      </c>
      <c r="AA416" s="4">
        <f>(Games[[#This Row],[Keff]]*Games[[#This Row],[MOVMult]])*(Games[[#This Row],[Result]]-Games[[#This Row],[ExpectedWin%]])</f>
        <v>-16.023140107187224</v>
      </c>
      <c r="AB416" s="4">
        <f>Games[[#This Row],[PreGmRate]]+Games[[#This Row],[RatingChange]]</f>
        <v>1535.9880904928918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43335</v>
      </c>
      <c r="B417" s="2">
        <v>2018</v>
      </c>
      <c r="C417" s="2">
        <f>COUNTIFS(Games[Team],Games[[#This Row],[Team]],Games[Season],Games[[#This Row],[Season]],Games[Date],"&lt;=" &amp; Games[[#This Row],[Date]])</f>
        <v>35</v>
      </c>
      <c r="D417" s="2" t="s">
        <v>83</v>
      </c>
      <c r="E417" s="2">
        <v>1</v>
      </c>
      <c r="F417" s="1" t="s">
        <v>65</v>
      </c>
      <c r="G417" s="1" t="s">
        <v>63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7" s="2">
        <f>Games[[#This Row],[DaysOff]]-Games[[#This Row],[OppDaysOff]]</f>
        <v>2</v>
      </c>
      <c r="L417" s="2">
        <f>Games[[#This Row],[OppDaysOff]]-Games[[#This Row],[DaysOff]]</f>
        <v>-2</v>
      </c>
      <c r="M417" s="1">
        <f>MAX(-16, MIN(16, Games[[#This Row],[RestDiff]]*8))</f>
        <v>16</v>
      </c>
      <c r="N417" s="1">
        <f>MAX(-16, MIN(16, Games[[#This Row],[OppRestDiff]]*8))</f>
        <v>-16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1589.4384534850699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1552.011230600079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0.70748450543385888</v>
      </c>
      <c r="R417" s="1">
        <v>96</v>
      </c>
      <c r="S417" s="1">
        <v>64</v>
      </c>
      <c r="T417" s="1">
        <v>0</v>
      </c>
      <c r="U417" s="1">
        <f>Games[[#This Row],[PointsFor]]-Games[[#This Row],[PointsAgainst]]</f>
        <v>32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0.70534463661846725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16.057183605998528</v>
      </c>
      <c r="AB417" s="4">
        <f>Games[[#This Row],[PreGmRate]]+Games[[#This Row],[RatingChange]]</f>
        <v>1605.4956370910684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43338</v>
      </c>
      <c r="B418" s="2">
        <v>2018</v>
      </c>
      <c r="C418" s="2">
        <f>COUNTIFS(Games[Team],Games[[#This Row],[Team]],Games[Season],Games[[#This Row],[Season]],Games[Date],"&lt;=" &amp; Games[[#This Row],[Date]])</f>
        <v>36</v>
      </c>
      <c r="D418" s="2" t="s">
        <v>83</v>
      </c>
      <c r="E418" s="2">
        <v>2</v>
      </c>
      <c r="F418" s="1" t="s">
        <v>65</v>
      </c>
      <c r="G418" s="1" t="s">
        <v>77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8" s="2">
        <f>Games[[#This Row],[DaysOff]]-Games[[#This Row],[OppDaysOff]]</f>
        <v>-4</v>
      </c>
      <c r="L418" s="2">
        <f>Games[[#This Row],[OppDaysOff]]-Games[[#This Row],[DaysOff]]</f>
        <v>4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1605.4956370910684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1590.5051740638028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0.3585972608348284</v>
      </c>
      <c r="R418" s="1">
        <v>87</v>
      </c>
      <c r="S418" s="1">
        <v>84</v>
      </c>
      <c r="T418" s="1">
        <v>0</v>
      </c>
      <c r="U418" s="1">
        <f>Games[[#This Row],[PointsFor]]-Games[[#This Row],[PointsAgainst]]</f>
        <v>3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0.28660325814478038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8" s="9">
        <f>MAX(kmin, kmax - 0.15 * MIN(Games[[#This Row],[GamesPlayed]], 82))</f>
        <v>70.599999999999994</v>
      </c>
      <c r="Z418" s="4">
        <f>Games[[#This Row],[K]]*Games[[#This Row],[POMult]]</f>
        <v>84.719999999999985</v>
      </c>
      <c r="AA418" s="4">
        <f>(Games[[#This Row],[Keff]]*Games[[#This Row],[MOVMult]])*(Games[[#This Row],[Result]]-Games[[#This Row],[ExpectedWin%]])</f>
        <v>15.573917888204852</v>
      </c>
      <c r="AB418" s="4">
        <f>Games[[#This Row],[PreGmRate]]+Games[[#This Row],[RatingChange]]</f>
        <v>1621.0695549792733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1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43338</v>
      </c>
      <c r="B419" s="2">
        <v>2018</v>
      </c>
      <c r="C419" s="2">
        <f>COUNTIFS(Games[Team],Games[[#This Row],[Team]],Games[Season],Games[[#This Row],[Season]],Games[Date],"&lt;=" &amp; Games[[#This Row],[Date]])</f>
        <v>35</v>
      </c>
      <c r="D419" s="2" t="s">
        <v>83</v>
      </c>
      <c r="E419" s="2">
        <v>2</v>
      </c>
      <c r="F419" s="1" t="s">
        <v>77</v>
      </c>
      <c r="G419" s="1" t="s">
        <v>65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9" s="2">
        <f>Games[[#This Row],[DaysOff]]-Games[[#This Row],[OppDaysOff]]</f>
        <v>4</v>
      </c>
      <c r="L419" s="2">
        <f>Games[[#This Row],[OppDaysOff]]-Games[[#This Row],[DaysOff]]</f>
        <v>-4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1590.5051740638028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1605.4956370910684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0.64140273916517165</v>
      </c>
      <c r="R419" s="1">
        <v>84</v>
      </c>
      <c r="S419" s="1">
        <v>87</v>
      </c>
      <c r="T419" s="1">
        <v>0</v>
      </c>
      <c r="U419" s="1">
        <f>Games[[#This Row],[PointsFor]]-Games[[#This Row],[PointsAgainst]]</f>
        <v>-3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0.28660325814478038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9" s="9">
        <f>MAX(kmin, kmax - 0.15 * MIN(Games[[#This Row],[GamesPlayed]], 82))</f>
        <v>70.75</v>
      </c>
      <c r="Z419" s="4">
        <f>Games[[#This Row],[K]]*Games[[#This Row],[POMult]]</f>
        <v>84.899999999999991</v>
      </c>
      <c r="AA419" s="4">
        <f>(Games[[#This Row],[Keff]]*Games[[#This Row],[MOVMult]])*(Games[[#This Row],[Result]]-Games[[#This Row],[ExpectedWin%]])</f>
        <v>-15.607006948873844</v>
      </c>
      <c r="AB419" s="4">
        <f>Games[[#This Row],[PreGmRate]]+Games[[#This Row],[RatingChange]]</f>
        <v>1574.898167114929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1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43338</v>
      </c>
      <c r="B420" s="2">
        <v>2018</v>
      </c>
      <c r="C420" s="2">
        <f>COUNTIFS(Games[Team],Games[[#This Row],[Team]],Games[Season],Games[[#This Row],[Season]],Games[Date],"&lt;=" &amp; Games[[#This Row],[Date]])</f>
        <v>37</v>
      </c>
      <c r="D420" s="2" t="s">
        <v>83</v>
      </c>
      <c r="E420" s="2">
        <v>2</v>
      </c>
      <c r="F420" s="1" t="s">
        <v>40</v>
      </c>
      <c r="G420" s="1" t="s">
        <v>71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20" s="2">
        <f>Games[[#This Row],[DaysOff]]-Games[[#This Row],[OppDaysOff]]</f>
        <v>-4</v>
      </c>
      <c r="L420" s="2">
        <f>Games[[#This Row],[OppDaysOff]]-Games[[#This Row],[DaysOff]]</f>
        <v>4</v>
      </c>
      <c r="M420" s="1">
        <f>MAX(-16, MIN(16, Games[[#This Row],[RestDiff]]*8))</f>
        <v>-16</v>
      </c>
      <c r="N420" s="1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1572.0773023969814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1663.4234408873879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0.23261921020863729</v>
      </c>
      <c r="R420" s="1">
        <v>87</v>
      </c>
      <c r="S420" s="1">
        <v>91</v>
      </c>
      <c r="T420" s="1">
        <v>0</v>
      </c>
      <c r="U420" s="1">
        <f>Games[[#This Row],[PointsFor]]-Games[[#This Row],[PointsAgainst]]</f>
        <v>-4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0.28940287251064689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0" s="9">
        <f>MAX(kmin, kmax - 0.15 * MIN(Games[[#This Row],[GamesPlayed]], 82))</f>
        <v>70.45</v>
      </c>
      <c r="Z420" s="4">
        <f>Games[[#This Row],[K]]*Games[[#This Row],[POMult]]</f>
        <v>84.54</v>
      </c>
      <c r="AA420" s="4">
        <f>(Games[[#This Row],[Keff]]*Games[[#This Row],[MOVMult]])*(Games[[#This Row],[Result]]-Games[[#This Row],[ExpectedWin%]])</f>
        <v>-5.6912892419083514</v>
      </c>
      <c r="AB420" s="4">
        <f>Games[[#This Row],[PreGmRate]]+Games[[#This Row],[RatingChange]]</f>
        <v>1566.386013155073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1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43338</v>
      </c>
      <c r="B421" s="2">
        <v>2018</v>
      </c>
      <c r="C421" s="2">
        <f>COUNTIFS(Games[Team],Games[[#This Row],[Team]],Games[Season],Games[[#This Row],[Season]],Games[Date],"&lt;=" &amp; Games[[#This Row],[Date]])</f>
        <v>35</v>
      </c>
      <c r="D421" s="2" t="s">
        <v>83</v>
      </c>
      <c r="E421" s="2">
        <v>2</v>
      </c>
      <c r="F421" s="1" t="s">
        <v>71</v>
      </c>
      <c r="G421" s="1" t="s">
        <v>40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6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1" s="2">
        <f>Games[[#This Row],[DaysOff]]-Games[[#This Row],[OppDaysOff]]</f>
        <v>4</v>
      </c>
      <c r="L421" s="2">
        <f>Games[[#This Row],[OppDaysOff]]-Games[[#This Row],[DaysOff]]</f>
        <v>-4</v>
      </c>
      <c r="M421" s="1">
        <f>MAX(-16, MIN(16, Games[[#This Row],[RestDiff]]*8))</f>
        <v>16</v>
      </c>
      <c r="N421" s="1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1663.4234408873879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1572.0773023969814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0.76738078979136271</v>
      </c>
      <c r="R421" s="1">
        <v>91</v>
      </c>
      <c r="S421" s="1">
        <v>87</v>
      </c>
      <c r="T421" s="1">
        <v>0</v>
      </c>
      <c r="U421" s="1">
        <f>Games[[#This Row],[PointsFor]]-Games[[#This Row],[PointsAgainst]]</f>
        <v>4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0.28940287251064689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1" s="9">
        <f>MAX(kmin, kmax - 0.15 * MIN(Games[[#This Row],[GamesPlayed]], 82))</f>
        <v>70.75</v>
      </c>
      <c r="Z421" s="4">
        <f>Games[[#This Row],[K]]*Games[[#This Row],[POMult]]</f>
        <v>84.899999999999991</v>
      </c>
      <c r="AA421" s="4">
        <f>(Games[[#This Row],[Keff]]*Games[[#This Row],[MOVMult]])*(Games[[#This Row],[Result]]-Games[[#This Row],[ExpectedWin%]])</f>
        <v>5.7155246822571444</v>
      </c>
      <c r="AB421" s="4">
        <f>Games[[#This Row],[PreGmRate]]+Games[[#This Row],[RatingChange]]</f>
        <v>1669.1389655696451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1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43340</v>
      </c>
      <c r="B422" s="2">
        <v>2018</v>
      </c>
      <c r="C422" s="2">
        <f>COUNTIFS(Games[Team],Games[[#This Row],[Team]],Games[Season],Games[[#This Row],[Season]],Games[Date],"&lt;=" &amp; Games[[#This Row],[Date]])</f>
        <v>37</v>
      </c>
      <c r="D422" s="2" t="s">
        <v>83</v>
      </c>
      <c r="E422" s="2">
        <v>2</v>
      </c>
      <c r="F422" s="1" t="s">
        <v>65</v>
      </c>
      <c r="G422" s="1" t="s">
        <v>77</v>
      </c>
      <c r="H422" s="1" t="s">
        <v>81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1621.0695549792733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1574.898167114929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0.4457743588999093</v>
      </c>
      <c r="R422" s="1">
        <v>75</v>
      </c>
      <c r="S422" s="1">
        <v>78</v>
      </c>
      <c r="T422" s="1">
        <v>0</v>
      </c>
      <c r="U422" s="1">
        <f>Games[[#This Row],[PointsFor]]-Games[[#This Row],[PointsAgainst]]</f>
        <v>-3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0.27943204980433733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2" s="9">
        <f>MAX(kmin, kmax - 0.15 * MIN(Games[[#This Row],[GamesPlayed]], 82))</f>
        <v>70.45</v>
      </c>
      <c r="Z422" s="4">
        <f>Games[[#This Row],[K]]*Games[[#This Row],[POMult]]</f>
        <v>84.54</v>
      </c>
      <c r="AA422" s="4">
        <f>(Games[[#This Row],[Keff]]*Games[[#This Row],[MOVMult]])*(Games[[#This Row],[Result]]-Games[[#This Row],[ExpectedWin%]])</f>
        <v>-10.530610367182858</v>
      </c>
      <c r="AB422" s="4">
        <f>Games[[#This Row],[PreGmRate]]+Games[[#This Row],[RatingChange]]</f>
        <v>1610.5389446120905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1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43340</v>
      </c>
      <c r="B423" s="2">
        <v>2018</v>
      </c>
      <c r="C423" s="2">
        <f>COUNTIFS(Games[Team],Games[[#This Row],[Team]],Games[Season],Games[[#This Row],[Season]],Games[Date],"&lt;=" &amp; Games[[#This Row],[Date]])</f>
        <v>36</v>
      </c>
      <c r="D423" s="2" t="s">
        <v>83</v>
      </c>
      <c r="E423" s="2">
        <v>2</v>
      </c>
      <c r="F423" s="1" t="s">
        <v>77</v>
      </c>
      <c r="G423" s="1" t="s">
        <v>65</v>
      </c>
      <c r="H423" s="1" t="s">
        <v>82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1574.898167114929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1621.0695549792733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0.55422564110009076</v>
      </c>
      <c r="R423" s="1">
        <v>78</v>
      </c>
      <c r="S423" s="1">
        <v>75</v>
      </c>
      <c r="T423" s="1">
        <v>0</v>
      </c>
      <c r="U423" s="1">
        <f>Games[[#This Row],[PointsFor]]-Games[[#This Row],[PointsAgainst]]</f>
        <v>3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0.27943204980433733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3" s="9">
        <f>MAX(kmin, kmax - 0.15 * MIN(Games[[#This Row],[GamesPlayed]], 82))</f>
        <v>70.599999999999994</v>
      </c>
      <c r="Z423" s="4">
        <f>Games[[#This Row],[K]]*Games[[#This Row],[POMult]]</f>
        <v>84.719999999999985</v>
      </c>
      <c r="AA423" s="4">
        <f>(Games[[#This Row],[Keff]]*Games[[#This Row],[MOVMult]])*(Games[[#This Row],[Result]]-Games[[#This Row],[ExpectedWin%]])</f>
        <v>10.553031822897225</v>
      </c>
      <c r="AB423" s="4">
        <f>Games[[#This Row],[PreGmRate]]+Games[[#This Row],[RatingChange]]</f>
        <v>1585.4511989378263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1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43340</v>
      </c>
      <c r="B424" s="2">
        <v>2018</v>
      </c>
      <c r="C424" s="2">
        <f>COUNTIFS(Games[Team],Games[[#This Row],[Team]],Games[Season],Games[[#This Row],[Season]],Games[Date],"&lt;=" &amp; Games[[#This Row],[Date]])</f>
        <v>38</v>
      </c>
      <c r="D424" s="2" t="s">
        <v>83</v>
      </c>
      <c r="E424" s="2">
        <v>2</v>
      </c>
      <c r="F424" s="1" t="s">
        <v>40</v>
      </c>
      <c r="G424" s="1" t="s">
        <v>71</v>
      </c>
      <c r="H424" s="1" t="s">
        <v>81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1566.386013155073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1669.1389655696451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0.25444647856514202</v>
      </c>
      <c r="R424" s="1">
        <v>87</v>
      </c>
      <c r="S424" s="1">
        <v>91</v>
      </c>
      <c r="T424" s="1">
        <v>1</v>
      </c>
      <c r="U424" s="1">
        <f>Games[[#This Row],[PointsFor]]-Games[[#This Row],[PointsAgainst]]</f>
        <v>-4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0.25818199304234213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4" s="9">
        <f>MAX(kmin, kmax - 0.15 * MIN(Games[[#This Row],[GamesPlayed]], 82))</f>
        <v>70.3</v>
      </c>
      <c r="Z424" s="4">
        <f>Games[[#This Row],[K]]*Games[[#This Row],[POMult]]</f>
        <v>84.36</v>
      </c>
      <c r="AA424" s="4">
        <f>(Games[[#This Row],[Keff]]*Games[[#This Row],[MOVMult]])*(Games[[#This Row],[Result]]-Games[[#This Row],[ExpectedWin%]])</f>
        <v>-5.5419035721436112</v>
      </c>
      <c r="AB424" s="4">
        <f>Games[[#This Row],[PreGmRate]]+Games[[#This Row],[RatingChange]]</f>
        <v>1560.8441095829294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1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43340</v>
      </c>
      <c r="B425" s="2">
        <v>2018</v>
      </c>
      <c r="C425" s="2">
        <f>COUNTIFS(Games[Team],Games[[#This Row],[Team]],Games[Season],Games[[#This Row],[Season]],Games[Date],"&lt;=" &amp; Games[[#This Row],[Date]])</f>
        <v>36</v>
      </c>
      <c r="D425" s="2" t="s">
        <v>83</v>
      </c>
      <c r="E425" s="2">
        <v>2</v>
      </c>
      <c r="F425" s="1" t="s">
        <v>71</v>
      </c>
      <c r="G425" s="1" t="s">
        <v>40</v>
      </c>
      <c r="H425" s="1" t="s">
        <v>82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1669.1389655696451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1566.386013155073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0.74555352143485798</v>
      </c>
      <c r="R425" s="1">
        <v>91</v>
      </c>
      <c r="S425" s="1">
        <v>87</v>
      </c>
      <c r="T425" s="1">
        <v>1</v>
      </c>
      <c r="U425" s="1">
        <f>Games[[#This Row],[PointsFor]]-Games[[#This Row],[PointsAgainst]]</f>
        <v>4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0.25818199304234213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5" s="9">
        <f>MAX(kmin, kmax - 0.15 * MIN(Games[[#This Row],[GamesPlayed]], 82))</f>
        <v>70.599999999999994</v>
      </c>
      <c r="Z425" s="4">
        <f>Games[[#This Row],[K]]*Games[[#This Row],[POMult]]</f>
        <v>84.719999999999985</v>
      </c>
      <c r="AA425" s="4">
        <f>(Games[[#This Row],[Keff]]*Games[[#This Row],[MOVMult]])*(Games[[#This Row],[Result]]-Games[[#This Row],[ExpectedWin%]])</f>
        <v>5.56555323176869</v>
      </c>
      <c r="AB425" s="4">
        <f>Games[[#This Row],[PreGmRate]]+Games[[#This Row],[RatingChange]]</f>
        <v>1674.7045188014138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1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43343</v>
      </c>
      <c r="B426" s="2">
        <v>2018</v>
      </c>
      <c r="C426" s="2">
        <f>COUNTIFS(Games[Team],Games[[#This Row],[Team]],Games[Season],Games[[#This Row],[Season]],Games[Date],"&lt;=" &amp; Games[[#This Row],[Date]])</f>
        <v>37</v>
      </c>
      <c r="D426" s="2" t="s">
        <v>83</v>
      </c>
      <c r="E426" s="2">
        <v>2</v>
      </c>
      <c r="F426" s="1" t="s">
        <v>71</v>
      </c>
      <c r="G426" s="1" t="s">
        <v>40</v>
      </c>
      <c r="H426" s="1" t="s">
        <v>81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1674.7045188014138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1560.8441095829294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0.54286708821030938</v>
      </c>
      <c r="R426" s="1">
        <v>66</v>
      </c>
      <c r="S426" s="1">
        <v>86</v>
      </c>
      <c r="T426" s="1">
        <v>0</v>
      </c>
      <c r="U426" s="1">
        <f>Games[[#This Row],[PointsFor]]-Games[[#This Row],[PointsAgainst]]</f>
        <v>-20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0.52506706640240064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6" s="9">
        <f>MAX(kmin, kmax - 0.15 * MIN(Games[[#This Row],[GamesPlayed]], 82))</f>
        <v>70.45</v>
      </c>
      <c r="Z426" s="4">
        <f>Games[[#This Row],[K]]*Games[[#This Row],[POMult]]</f>
        <v>84.54</v>
      </c>
      <c r="AA426" s="4">
        <f>(Games[[#This Row],[Keff]]*Games[[#This Row],[MOVMult]])*(Games[[#This Row],[Result]]-Games[[#This Row],[ExpectedWin%]])</f>
        <v>-24.097419353956653</v>
      </c>
      <c r="AB426" s="4">
        <f>Games[[#This Row],[PreGmRate]]+Games[[#This Row],[RatingChange]]</f>
        <v>1650.6070994474571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1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43343</v>
      </c>
      <c r="B427" s="2">
        <v>2018</v>
      </c>
      <c r="C427" s="2">
        <f>COUNTIFS(Games[Team],Games[[#This Row],[Team]],Games[Season],Games[[#This Row],[Season]],Games[Date],"&lt;=" &amp; Games[[#This Row],[Date]])</f>
        <v>39</v>
      </c>
      <c r="D427" s="2" t="s">
        <v>83</v>
      </c>
      <c r="E427" s="2">
        <v>2</v>
      </c>
      <c r="F427" s="1" t="s">
        <v>40</v>
      </c>
      <c r="G427" s="1" t="s">
        <v>71</v>
      </c>
      <c r="H427" s="1" t="s">
        <v>82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1560.8441095829294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1674.7045188014138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0.45713291178969057</v>
      </c>
      <c r="R427" s="1">
        <v>86</v>
      </c>
      <c r="S427" s="1">
        <v>66</v>
      </c>
      <c r="T427" s="1">
        <v>0</v>
      </c>
      <c r="U427" s="1">
        <f>Games[[#This Row],[PointsFor]]-Games[[#This Row],[PointsAgainst]]</f>
        <v>20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0.52506706640240064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7" s="9">
        <f>MAX(kmin, kmax - 0.15 * MIN(Games[[#This Row],[GamesPlayed]], 82))</f>
        <v>70.150000000000006</v>
      </c>
      <c r="Z427" s="4">
        <f>Games[[#This Row],[K]]*Games[[#This Row],[POMult]]</f>
        <v>84.18</v>
      </c>
      <c r="AA427" s="4">
        <f>(Games[[#This Row],[Keff]]*Games[[#This Row],[MOVMult]])*(Games[[#This Row],[Result]]-Games[[#This Row],[ExpectedWin%]])</f>
        <v>23.994804367353581</v>
      </c>
      <c r="AB427" s="4">
        <f>Games[[#This Row],[PreGmRate]]+Games[[#This Row],[RatingChange]]</f>
        <v>1584.8389139502829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1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43343</v>
      </c>
      <c r="B428" s="2">
        <v>2018</v>
      </c>
      <c r="C428" s="2">
        <f>COUNTIFS(Games[Team],Games[[#This Row],[Team]],Games[Season],Games[[#This Row],[Season]],Games[Date],"&lt;=" &amp; Games[[#This Row],[Date]])</f>
        <v>37</v>
      </c>
      <c r="D428" s="2" t="s">
        <v>83</v>
      </c>
      <c r="E428" s="2">
        <v>2</v>
      </c>
      <c r="F428" s="1" t="s">
        <v>77</v>
      </c>
      <c r="G428" s="1" t="s">
        <v>65</v>
      </c>
      <c r="H428" s="1" t="s">
        <v>81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1585.4511989378263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1610.5389446120905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0.34797334918262862</v>
      </c>
      <c r="R428" s="1">
        <v>81</v>
      </c>
      <c r="S428" s="1">
        <v>76</v>
      </c>
      <c r="T428" s="1">
        <v>0</v>
      </c>
      <c r="U428" s="1">
        <f>Games[[#This Row],[PointsFor]]-Games[[#This Row],[PointsAgainst]]</f>
        <v>5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0.3249621685950233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8" s="9">
        <f>MAX(kmin, kmax - 0.15 * MIN(Games[[#This Row],[GamesPlayed]], 82))</f>
        <v>70.45</v>
      </c>
      <c r="Z428" s="4">
        <f>Games[[#This Row],[K]]*Games[[#This Row],[POMult]]</f>
        <v>84.54</v>
      </c>
      <c r="AA428" s="4">
        <f>(Games[[#This Row],[Keff]]*Games[[#This Row],[MOVMult]])*(Games[[#This Row],[Result]]-Games[[#This Row],[ExpectedWin%]])</f>
        <v>17.91267288922743</v>
      </c>
      <c r="AB428" s="4">
        <f>Games[[#This Row],[PreGmRate]]+Games[[#This Row],[RatingChange]]</f>
        <v>1603.3638718270538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1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43343</v>
      </c>
      <c r="B429" s="2">
        <v>2018</v>
      </c>
      <c r="C429" s="2">
        <f>COUNTIFS(Games[Team],Games[[#This Row],[Team]],Games[Season],Games[[#This Row],[Season]],Games[Date],"&lt;=" &amp; Games[[#This Row],[Date]])</f>
        <v>38</v>
      </c>
      <c r="D429" s="2" t="s">
        <v>83</v>
      </c>
      <c r="E429" s="2">
        <v>2</v>
      </c>
      <c r="F429" s="1" t="s">
        <v>65</v>
      </c>
      <c r="G429" s="1" t="s">
        <v>77</v>
      </c>
      <c r="H429" s="1" t="s">
        <v>82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1610.5389446120905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1585.4511989378263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0.65202665081737143</v>
      </c>
      <c r="R429" s="1">
        <v>76</v>
      </c>
      <c r="S429" s="1">
        <v>81</v>
      </c>
      <c r="T429" s="1">
        <v>0</v>
      </c>
      <c r="U429" s="1">
        <f>Games[[#This Row],[PointsFor]]-Games[[#This Row],[PointsAgainst]]</f>
        <v>-5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0.3249621685950233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9" s="9">
        <f>MAX(kmin, kmax - 0.15 * MIN(Games[[#This Row],[GamesPlayed]], 82))</f>
        <v>70.3</v>
      </c>
      <c r="Z429" s="4">
        <f>Games[[#This Row],[K]]*Games[[#This Row],[POMult]]</f>
        <v>84.36</v>
      </c>
      <c r="AA429" s="4">
        <f>(Games[[#This Row],[Keff]]*Games[[#This Row],[MOVMult]])*(Games[[#This Row],[Result]]-Games[[#This Row],[ExpectedWin%]])</f>
        <v>-17.874533770229785</v>
      </c>
      <c r="AB429" s="4">
        <f>Games[[#This Row],[PreGmRate]]+Games[[#This Row],[RatingChange]]</f>
        <v>1592.6644108418607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1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43345</v>
      </c>
      <c r="B430" s="2">
        <v>2018</v>
      </c>
      <c r="C430" s="2">
        <f>COUNTIFS(Games[Team],Games[[#This Row],[Team]],Games[Season],Games[[#This Row],[Season]],Games[Date],"&lt;=" &amp; Games[[#This Row],[Date]])</f>
        <v>38</v>
      </c>
      <c r="D430" s="2" t="s">
        <v>83</v>
      </c>
      <c r="E430" s="2">
        <v>2</v>
      </c>
      <c r="F430" s="1" t="s">
        <v>71</v>
      </c>
      <c r="G430" s="1" t="s">
        <v>40</v>
      </c>
      <c r="H430" s="1" t="s">
        <v>81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1650.6070994474571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1584.8389139502829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0.47378636659432022</v>
      </c>
      <c r="R430" s="1">
        <v>84</v>
      </c>
      <c r="S430" s="1">
        <v>86</v>
      </c>
      <c r="T430" s="1">
        <v>0</v>
      </c>
      <c r="U430" s="1">
        <f>Games[[#This Row],[PointsFor]]-Games[[#This Row],[PointsAgainst]]</f>
        <v>-2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0.25392452477019645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0" s="9">
        <f>MAX(kmin, kmax - 0.15 * MIN(Games[[#This Row],[GamesPlayed]], 82))</f>
        <v>70.3</v>
      </c>
      <c r="Z430" s="4">
        <f>Games[[#This Row],[K]]*Games[[#This Row],[POMult]]</f>
        <v>84.36</v>
      </c>
      <c r="AA430" s="4">
        <f>(Games[[#This Row],[Keff]]*Games[[#This Row],[MOVMult]])*(Games[[#This Row],[Result]]-Games[[#This Row],[ExpectedWin%]])</f>
        <v>-10.149012302397933</v>
      </c>
      <c r="AB430" s="4">
        <f>Games[[#This Row],[PreGmRate]]+Games[[#This Row],[RatingChange]]</f>
        <v>1640.4580871450592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1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43345</v>
      </c>
      <c r="B431" s="2">
        <v>2018</v>
      </c>
      <c r="C431" s="2">
        <f>COUNTIFS(Games[Team],Games[[#This Row],[Team]],Games[Season],Games[[#This Row],[Season]],Games[Date],"&lt;=" &amp; Games[[#This Row],[Date]])</f>
        <v>40</v>
      </c>
      <c r="D431" s="2" t="s">
        <v>83</v>
      </c>
      <c r="E431" s="2">
        <v>2</v>
      </c>
      <c r="F431" s="1" t="s">
        <v>40</v>
      </c>
      <c r="G431" s="1" t="s">
        <v>71</v>
      </c>
      <c r="H431" s="1" t="s">
        <v>82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1584.8389139502829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1650.6070994474571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0.52621363340567973</v>
      </c>
      <c r="R431" s="1">
        <v>86</v>
      </c>
      <c r="S431" s="1">
        <v>84</v>
      </c>
      <c r="T431" s="1">
        <v>0</v>
      </c>
      <c r="U431" s="1">
        <f>Games[[#This Row],[PointsFor]]-Games[[#This Row],[PointsAgainst]]</f>
        <v>2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0.25392452477019645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1" s="9">
        <f>MAX(kmin, kmax - 0.15 * MIN(Games[[#This Row],[GamesPlayed]], 82))</f>
        <v>70</v>
      </c>
      <c r="Z431" s="4">
        <f>Games[[#This Row],[K]]*Games[[#This Row],[POMult]]</f>
        <v>84</v>
      </c>
      <c r="AA431" s="4">
        <f>(Games[[#This Row],[Keff]]*Games[[#This Row],[MOVMult]])*(Games[[#This Row],[Result]]-Games[[#This Row],[ExpectedWin%]])</f>
        <v>10.105702150325111</v>
      </c>
      <c r="AB431" s="4">
        <f>Games[[#This Row],[PreGmRate]]+Games[[#This Row],[RatingChange]]</f>
        <v>1594.9446161006081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1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43345</v>
      </c>
      <c r="B432" s="2">
        <v>2018</v>
      </c>
      <c r="C432" s="2">
        <f>COUNTIFS(Games[Team],Games[[#This Row],[Team]],Games[Season],Games[[#This Row],[Season]],Games[Date],"&lt;=" &amp; Games[[#This Row],[Date]])</f>
        <v>38</v>
      </c>
      <c r="D432" s="2" t="s">
        <v>83</v>
      </c>
      <c r="E432" s="2">
        <v>2</v>
      </c>
      <c r="F432" s="1" t="s">
        <v>77</v>
      </c>
      <c r="G432" s="1" t="s">
        <v>65</v>
      </c>
      <c r="H432" s="1" t="s">
        <v>81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">
        <f>MAX(-16, MIN(16, Games[[#This Row],[RestDiff]]*8))</f>
        <v>0</v>
      </c>
      <c r="N432" s="1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1603.3638718270538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1592.6644108418607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0.39604979095157644</v>
      </c>
      <c r="R432" s="1">
        <v>76</v>
      </c>
      <c r="S432" s="1">
        <v>97</v>
      </c>
      <c r="T432" s="1">
        <v>0</v>
      </c>
      <c r="U432" s="1">
        <f>Games[[#This Row],[PointsFor]]-Games[[#This Row],[PointsAgainst]]</f>
        <v>-21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0.58337479290702565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2" s="9">
        <f>MAX(kmin, kmax - 0.15 * MIN(Games[[#This Row],[GamesPlayed]], 82))</f>
        <v>70.3</v>
      </c>
      <c r="Z432" s="4">
        <f>Games[[#This Row],[K]]*Games[[#This Row],[POMult]]</f>
        <v>84.36</v>
      </c>
      <c r="AA432" s="4">
        <f>(Games[[#This Row],[Keff]]*Games[[#This Row],[MOVMult]])*(Games[[#This Row],[Result]]-Games[[#This Row],[ExpectedWin%]])</f>
        <v>-19.490995408608534</v>
      </c>
      <c r="AB432" s="4">
        <f>Games[[#This Row],[PreGmRate]]+Games[[#This Row],[RatingChange]]</f>
        <v>1583.8728764184452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1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43345</v>
      </c>
      <c r="B433" s="2">
        <v>2018</v>
      </c>
      <c r="C433" s="2">
        <f>COUNTIFS(Games[Team],Games[[#This Row],[Team]],Games[Season],Games[[#This Row],[Season]],Games[Date],"&lt;=" &amp; Games[[#This Row],[Date]])</f>
        <v>39</v>
      </c>
      <c r="D433" s="2" t="s">
        <v>83</v>
      </c>
      <c r="E433" s="2">
        <v>2</v>
      </c>
      <c r="F433" s="1" t="s">
        <v>65</v>
      </c>
      <c r="G433" s="1" t="s">
        <v>77</v>
      </c>
      <c r="H433" s="1" t="s">
        <v>82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">
        <f>MAX(-16, MIN(16, Games[[#This Row],[RestDiff]]*8))</f>
        <v>0</v>
      </c>
      <c r="N433" s="1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1592.6644108418607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1603.3638718270538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0.60395020904842345</v>
      </c>
      <c r="R433" s="1">
        <v>97</v>
      </c>
      <c r="S433" s="1">
        <v>76</v>
      </c>
      <c r="T433" s="1">
        <v>0</v>
      </c>
      <c r="U433" s="1">
        <f>Games[[#This Row],[PointsFor]]-Games[[#This Row],[PointsAgainst]]</f>
        <v>21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0.58337479290702565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3" s="9">
        <f>MAX(kmin, kmax - 0.15 * MIN(Games[[#This Row],[GamesPlayed]], 82))</f>
        <v>70.150000000000006</v>
      </c>
      <c r="Z433" s="4">
        <f>Games[[#This Row],[K]]*Games[[#This Row],[POMult]]</f>
        <v>84.18</v>
      </c>
      <c r="AA433" s="4">
        <f>(Games[[#This Row],[Keff]]*Games[[#This Row],[MOVMult]])*(Games[[#This Row],[Result]]-Games[[#This Row],[ExpectedWin%]])</f>
        <v>19.449407224948636</v>
      </c>
      <c r="AB433" s="4">
        <f>Games[[#This Row],[PreGmRate]]+Games[[#This Row],[RatingChange]]</f>
        <v>1612.1138180668092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1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43347</v>
      </c>
      <c r="B434" s="2">
        <v>2018</v>
      </c>
      <c r="C434" s="2">
        <f>COUNTIFS(Games[Team],Games[[#This Row],[Team]],Games[Season],Games[[#This Row],[Season]],Games[Date],"&lt;=" &amp; Games[[#This Row],[Date]])</f>
        <v>40</v>
      </c>
      <c r="D434" s="2" t="s">
        <v>83</v>
      </c>
      <c r="E434" s="2">
        <v>2</v>
      </c>
      <c r="F434" s="1" t="s">
        <v>65</v>
      </c>
      <c r="G434" s="1" t="s">
        <v>77</v>
      </c>
      <c r="H434" s="1" t="s">
        <v>81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1612.1138180668092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1583.8728764184452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0.42043816555375946</v>
      </c>
      <c r="R434" s="1">
        <v>86</v>
      </c>
      <c r="S434" s="1">
        <v>81</v>
      </c>
      <c r="T434" s="1">
        <v>0</v>
      </c>
      <c r="U434" s="1">
        <f>Games[[#This Row],[PointsFor]]-Games[[#This Row],[PointsAgainst]]</f>
        <v>5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0.32412791094491322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4" s="9">
        <f>MAX(kmin, kmax - 0.15 * MIN(Games[[#This Row],[GamesPlayed]], 82))</f>
        <v>70</v>
      </c>
      <c r="Z434" s="4">
        <f>Games[[#This Row],[K]]*Games[[#This Row],[POMult]]</f>
        <v>84</v>
      </c>
      <c r="AA434" s="4">
        <f>(Games[[#This Row],[Keff]]*Games[[#This Row],[MOVMult]])*(Games[[#This Row],[Result]]-Games[[#This Row],[ExpectedWin%]])</f>
        <v>15.779581999646775</v>
      </c>
      <c r="AB434" s="4">
        <f>Games[[#This Row],[PreGmRate]]+Games[[#This Row],[RatingChange]]</f>
        <v>1627.893400066456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1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43347</v>
      </c>
      <c r="B435" s="2">
        <v>2018</v>
      </c>
      <c r="C435" s="2">
        <f>COUNTIFS(Games[Team],Games[[#This Row],[Team]],Games[Season],Games[[#This Row],[Season]],Games[Date],"&lt;=" &amp; Games[[#This Row],[Date]])</f>
        <v>39</v>
      </c>
      <c r="D435" s="2" t="s">
        <v>83</v>
      </c>
      <c r="E435" s="2">
        <v>2</v>
      </c>
      <c r="F435" s="1" t="s">
        <v>77</v>
      </c>
      <c r="G435" s="1" t="s">
        <v>65</v>
      </c>
      <c r="H435" s="1" t="s">
        <v>82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1583.8728764184452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1612.1138180668092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0.57956183444624054</v>
      </c>
      <c r="R435" s="1">
        <v>81</v>
      </c>
      <c r="S435" s="1">
        <v>86</v>
      </c>
      <c r="T435" s="1">
        <v>0</v>
      </c>
      <c r="U435" s="1">
        <f>Games[[#This Row],[PointsFor]]-Games[[#This Row],[PointsAgainst]]</f>
        <v>-5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0.32412791094491322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5" s="9">
        <f>MAX(kmin, kmax - 0.15 * MIN(Games[[#This Row],[GamesPlayed]], 82))</f>
        <v>70.150000000000006</v>
      </c>
      <c r="Z435" s="4">
        <f>Games[[#This Row],[K]]*Games[[#This Row],[POMult]]</f>
        <v>84.18</v>
      </c>
      <c r="AA435" s="4">
        <f>(Games[[#This Row],[Keff]]*Games[[#This Row],[MOVMult]])*(Games[[#This Row],[Result]]-Games[[#This Row],[ExpectedWin%]])</f>
        <v>-15.813395389646018</v>
      </c>
      <c r="AB435" s="4">
        <f>Games[[#This Row],[PreGmRate]]+Games[[#This Row],[RatingChange]]</f>
        <v>1568.0594810287992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1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43347</v>
      </c>
      <c r="B436" s="2">
        <v>2018</v>
      </c>
      <c r="C436" s="2">
        <f>COUNTIFS(Games[Team],Games[[#This Row],[Team]],Games[Season],Games[[#This Row],[Season]],Games[Date],"&lt;=" &amp; Games[[#This Row],[Date]])</f>
        <v>41</v>
      </c>
      <c r="D436" s="2" t="s">
        <v>83</v>
      </c>
      <c r="E436" s="2">
        <v>2</v>
      </c>
      <c r="F436" s="1" t="s">
        <v>40</v>
      </c>
      <c r="G436" s="1" t="s">
        <v>71</v>
      </c>
      <c r="H436" s="1" t="s">
        <v>81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1594.9446161006081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1640.4580871450592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0.32179400390976581</v>
      </c>
      <c r="R436" s="1">
        <v>84</v>
      </c>
      <c r="S436" s="1">
        <v>94</v>
      </c>
      <c r="T436" s="1">
        <v>0</v>
      </c>
      <c r="U436" s="1">
        <f>Games[[#This Row],[PointsFor]]-Games[[#This Row],[PointsAgainst]]</f>
        <v>-10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0.40766772178943333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6" s="9">
        <f>MAX(kmin, kmax - 0.15 * MIN(Games[[#This Row],[GamesPlayed]], 82))</f>
        <v>69.849999999999994</v>
      </c>
      <c r="Z436" s="4">
        <f>Games[[#This Row],[K]]*Games[[#This Row],[POMult]]</f>
        <v>83.82</v>
      </c>
      <c r="AA436" s="4">
        <f>(Games[[#This Row],[Keff]]*Games[[#This Row],[MOVMult]])*(Games[[#This Row],[Result]]-Games[[#This Row],[ExpectedWin%]])</f>
        <v>-10.995929085466424</v>
      </c>
      <c r="AB436" s="4">
        <f>Games[[#This Row],[PreGmRate]]+Games[[#This Row],[RatingChange]]</f>
        <v>1583.9486870151416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1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43347</v>
      </c>
      <c r="B437" s="2">
        <v>2018</v>
      </c>
      <c r="C437" s="2">
        <f>COUNTIFS(Games[Team],Games[[#This Row],[Team]],Games[Season],Games[[#This Row],[Season]],Games[Date],"&lt;=" &amp; Games[[#This Row],[Date]])</f>
        <v>39</v>
      </c>
      <c r="D437" s="2" t="s">
        <v>83</v>
      </c>
      <c r="E437" s="2">
        <v>2</v>
      </c>
      <c r="F437" s="1" t="s">
        <v>71</v>
      </c>
      <c r="G437" s="1" t="s">
        <v>40</v>
      </c>
      <c r="H437" s="1" t="s">
        <v>82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1640.4580871450592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1594.9446161006081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0.67820599609023413</v>
      </c>
      <c r="R437" s="1">
        <v>94</v>
      </c>
      <c r="S437" s="1">
        <v>84</v>
      </c>
      <c r="T437" s="1">
        <v>0</v>
      </c>
      <c r="U437" s="1">
        <f>Games[[#This Row],[PointsFor]]-Games[[#This Row],[PointsAgainst]]</f>
        <v>10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0.40766772178943333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7" s="9">
        <f>MAX(kmin, kmax - 0.15 * MIN(Games[[#This Row],[GamesPlayed]], 82))</f>
        <v>70.150000000000006</v>
      </c>
      <c r="Z437" s="4">
        <f>Games[[#This Row],[K]]*Games[[#This Row],[POMult]]</f>
        <v>84.18</v>
      </c>
      <c r="AA437" s="4">
        <f>(Games[[#This Row],[Keff]]*Games[[#This Row],[MOVMult]])*(Games[[#This Row],[Result]]-Games[[#This Row],[ExpectedWin%]])</f>
        <v>11.04315569571181</v>
      </c>
      <c r="AB437" s="4">
        <f>Games[[#This Row],[PreGmRate]]+Games[[#This Row],[RatingChange]]</f>
        <v>1651.5012428407711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1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43350</v>
      </c>
      <c r="B438" s="2">
        <v>2018</v>
      </c>
      <c r="C438" s="2">
        <f>COUNTIFS(Games[Team],Games[[#This Row],[Team]],Games[Season],Games[[#This Row],[Season]],Games[Date],"&lt;=" &amp; Games[[#This Row],[Date]])</f>
        <v>41</v>
      </c>
      <c r="D438" s="2" t="s">
        <v>83</v>
      </c>
      <c r="E438" s="2">
        <v>3</v>
      </c>
      <c r="F438" s="1" t="s">
        <v>65</v>
      </c>
      <c r="G438" s="1" t="s">
        <v>71</v>
      </c>
      <c r="H438" s="1" t="s">
        <v>81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1627.893400066456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1651.5012428407711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0.34990870332096902</v>
      </c>
      <c r="R438" s="1">
        <v>76</v>
      </c>
      <c r="S438" s="1">
        <v>89</v>
      </c>
      <c r="T438" s="1">
        <v>0</v>
      </c>
      <c r="U438" s="1">
        <f>Games[[#This Row],[PointsFor]]-Games[[#This Row],[PointsAgainst]]</f>
        <v>-13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0.46293631584822953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8" s="9">
        <f>MAX(kmin, kmax - 0.15 * MIN(Games[[#This Row],[GamesPlayed]], 82))</f>
        <v>69.849999999999994</v>
      </c>
      <c r="Z438" s="4">
        <f>Games[[#This Row],[K]]*Games[[#This Row],[POMult]]</f>
        <v>94.297499999999999</v>
      </c>
      <c r="AA438" s="4">
        <f>(Games[[#This Row],[Keff]]*Games[[#This Row],[MOVMult]])*(Games[[#This Row],[Result]]-Games[[#This Row],[ExpectedWin%]])</f>
        <v>-15.274822594056808</v>
      </c>
      <c r="AB438" s="4">
        <f>Games[[#This Row],[PreGmRate]]+Games[[#This Row],[RatingChange]]</f>
        <v>1612.6185774723992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1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43350</v>
      </c>
      <c r="B439" s="2">
        <v>2018</v>
      </c>
      <c r="C439" s="2">
        <f>COUNTIFS(Games[Team],Games[[#This Row],[Team]],Games[Season],Games[[#This Row],[Season]],Games[Date],"&lt;=" &amp; Games[[#This Row],[Date]])</f>
        <v>40</v>
      </c>
      <c r="D439" s="2" t="s">
        <v>83</v>
      </c>
      <c r="E439" s="2">
        <v>3</v>
      </c>
      <c r="F439" s="1" t="s">
        <v>71</v>
      </c>
      <c r="G439" s="1" t="s">
        <v>65</v>
      </c>
      <c r="H439" s="1" t="s">
        <v>82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1651.5012428407711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1627.893400066456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0.65009129667903098</v>
      </c>
      <c r="R439" s="1">
        <v>89</v>
      </c>
      <c r="S439" s="1">
        <v>76</v>
      </c>
      <c r="T439" s="1">
        <v>0</v>
      </c>
      <c r="U439" s="1">
        <f>Games[[#This Row],[PointsFor]]-Games[[#This Row],[PointsAgainst]]</f>
        <v>13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0.46293631584822953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9" s="9">
        <f>MAX(kmin, kmax - 0.15 * MIN(Games[[#This Row],[GamesPlayed]], 82))</f>
        <v>70</v>
      </c>
      <c r="Z439" s="4">
        <f>Games[[#This Row],[K]]*Games[[#This Row],[POMult]]</f>
        <v>94.5</v>
      </c>
      <c r="AA439" s="4">
        <f>(Games[[#This Row],[Keff]]*Games[[#This Row],[MOVMult]])*(Games[[#This Row],[Result]]-Games[[#This Row],[ExpectedWin%]])</f>
        <v>15.307624646871531</v>
      </c>
      <c r="AB439" s="4">
        <f>Games[[#This Row],[PreGmRate]]+Games[[#This Row],[RatingChange]]</f>
        <v>1666.8088674876426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1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43352</v>
      </c>
      <c r="B440" s="2">
        <v>2018</v>
      </c>
      <c r="C440" s="2">
        <f>COUNTIFS(Games[Team],Games[[#This Row],[Team]],Games[Season],Games[[#This Row],[Season]],Games[Date],"&lt;=" &amp; Games[[#This Row],[Date]])</f>
        <v>42</v>
      </c>
      <c r="D440" s="2" t="s">
        <v>83</v>
      </c>
      <c r="E440" s="2">
        <v>3</v>
      </c>
      <c r="F440" s="1" t="s">
        <v>65</v>
      </c>
      <c r="G440" s="1" t="s">
        <v>71</v>
      </c>
      <c r="H440" s="1" t="s">
        <v>81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6">
        <f>MAX(-16, MIN(16, Games[[#This Row],[RestDiff]]*8))</f>
        <v>0</v>
      </c>
      <c r="N440" s="16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1612.6185774723992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1666.8088674876426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0.31099166554464763</v>
      </c>
      <c r="R440" s="1">
        <v>73</v>
      </c>
      <c r="S440" s="1">
        <v>75</v>
      </c>
      <c r="T440" s="1">
        <v>0</v>
      </c>
      <c r="U440" s="16">
        <f>Games[[#This Row],[PointsFor]]-Games[[#This Row],[PointsAgainst]]</f>
        <v>-2</v>
      </c>
      <c r="V440" s="16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0.25626859618543008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0" s="9">
        <f>MAX(kmin, kmax - 0.15 * MIN(Games[[#This Row],[GamesPlayed]], 82))</f>
        <v>69.7</v>
      </c>
      <c r="Z440" s="4">
        <f>Games[[#This Row],[K]]*Games[[#This Row],[POMult]]</f>
        <v>94.095000000000013</v>
      </c>
      <c r="AA440" s="4">
        <f>(Games[[#This Row],[Keff]]*Games[[#This Row],[MOVMult]])*(Games[[#This Row],[Result]]-Games[[#This Row],[ExpectedWin%]])</f>
        <v>-7.4991266228902678</v>
      </c>
      <c r="AB440" s="4">
        <f>Games[[#This Row],[PreGmRate]]+Games[[#This Row],[RatingChange]]</f>
        <v>1605.1194508495089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1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43352</v>
      </c>
      <c r="B441" s="2">
        <v>2018</v>
      </c>
      <c r="C441" s="2">
        <f>COUNTIFS(Games[Team],Games[[#This Row],[Team]],Games[Season],Games[[#This Row],[Season]],Games[Date],"&lt;=" &amp; Games[[#This Row],[Date]])</f>
        <v>41</v>
      </c>
      <c r="D441" s="2" t="s">
        <v>83</v>
      </c>
      <c r="E441" s="2">
        <v>3</v>
      </c>
      <c r="F441" s="1" t="s">
        <v>71</v>
      </c>
      <c r="G441" s="1" t="s">
        <v>65</v>
      </c>
      <c r="H441" s="1" t="s">
        <v>82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6">
        <f>MAX(-16, MIN(16, Games[[#This Row],[RestDiff]]*8))</f>
        <v>0</v>
      </c>
      <c r="N441" s="16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1666.8088674876426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1612.6185774723992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0.68900833445535248</v>
      </c>
      <c r="R441" s="1">
        <v>75</v>
      </c>
      <c r="S441" s="1">
        <v>73</v>
      </c>
      <c r="T441" s="1">
        <v>0</v>
      </c>
      <c r="U441" s="16">
        <f>Games[[#This Row],[PointsFor]]-Games[[#This Row],[PointsAgainst]]</f>
        <v>2</v>
      </c>
      <c r="V441" s="16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0.25626859618543008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1" s="9">
        <f>MAX(kmin, kmax - 0.15 * MIN(Games[[#This Row],[GamesPlayed]], 82))</f>
        <v>69.849999999999994</v>
      </c>
      <c r="Z441" s="4">
        <f>Games[[#This Row],[K]]*Games[[#This Row],[POMult]]</f>
        <v>94.297499999999999</v>
      </c>
      <c r="AA441" s="4">
        <f>(Games[[#This Row],[Keff]]*Games[[#This Row],[MOVMult]])*(Games[[#This Row],[Result]]-Games[[#This Row],[ExpectedWin%]])</f>
        <v>7.5152653458950498</v>
      </c>
      <c r="AB441" s="4">
        <f>Games[[#This Row],[PreGmRate]]+Games[[#This Row],[RatingChange]]</f>
        <v>1674.3241328335378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1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43355</v>
      </c>
      <c r="B442" s="2">
        <v>2018</v>
      </c>
      <c r="C442" s="2">
        <f>COUNTIFS(Games[Team],Games[[#This Row],[Team]],Games[Season],Games[[#This Row],[Season]],Games[Date],"&lt;=" &amp; Games[[#This Row],[Date]])</f>
        <v>42</v>
      </c>
      <c r="D442" s="2" t="s">
        <v>83</v>
      </c>
      <c r="E442" s="2">
        <v>3</v>
      </c>
      <c r="F442" s="1" t="s">
        <v>71</v>
      </c>
      <c r="G442" s="1" t="s">
        <v>65</v>
      </c>
      <c r="H442" s="1" t="s">
        <v>81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6">
        <f>MAX(-16, MIN(16, Games[[#This Row],[RestDiff]]*8))</f>
        <v>0</v>
      </c>
      <c r="N442" s="16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1674.3241328335378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1605.1194508495089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0.47872068707659804</v>
      </c>
      <c r="R442" s="1">
        <v>98</v>
      </c>
      <c r="S442" s="1">
        <v>82</v>
      </c>
      <c r="T442" s="1">
        <v>0</v>
      </c>
      <c r="U442" s="16">
        <f>Games[[#This Row],[PointsFor]]-Games[[#This Row],[PointsAgainst]]</f>
        <v>16</v>
      </c>
      <c r="V442" s="16">
        <f>IF(Games[[#This Row],[MOV]]&gt;0,1,IF(Games[[#This Row],[MOV]]=0,0.5,0))</f>
        <v>1</v>
      </c>
      <c r="W442" s="4">
        <f>((ABS(Games[[#This Row],[MOV]])+5)^0.6)/(12+0.01*(ABS(Games[[#This Row],[PreGmRate]]-Games[[#This Row],[OppPreGmRate]])))*IF(Games[[#This Row],[OT]]=1,0.9,1)</f>
        <v>0.48955321986741057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2" s="9">
        <f>MAX(kmin, kmax - 0.15 * MIN(Games[[#This Row],[GamesPlayed]], 82))</f>
        <v>69.7</v>
      </c>
      <c r="Z442" s="4">
        <f>Games[[#This Row],[K]]*Games[[#This Row],[POMult]]</f>
        <v>94.095000000000013</v>
      </c>
      <c r="AA442" s="4">
        <f>(Games[[#This Row],[Keff]]*Games[[#This Row],[MOVMult]])*(Games[[#This Row],[Result]]-Games[[#This Row],[ExpectedWin%]])</f>
        <v>24.012476239419485</v>
      </c>
      <c r="AB442" s="4">
        <f>Games[[#This Row],[PreGmRate]]+Games[[#This Row],[RatingChange]]</f>
        <v>1698.3366090729573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1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43355</v>
      </c>
      <c r="B443" s="2">
        <v>2018</v>
      </c>
      <c r="C443" s="2">
        <f>COUNTIFS(Games[Team],Games[[#This Row],[Team]],Games[Season],Games[[#This Row],[Season]],Games[Date],"&lt;=" &amp; Games[[#This Row],[Date]])</f>
        <v>43</v>
      </c>
      <c r="D443" s="2" t="s">
        <v>83</v>
      </c>
      <c r="E443" s="2">
        <v>3</v>
      </c>
      <c r="F443" s="1" t="s">
        <v>65</v>
      </c>
      <c r="G443" s="1" t="s">
        <v>71</v>
      </c>
      <c r="H443" s="1" t="s">
        <v>82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6">
        <f>MAX(-16, MIN(16, Games[[#This Row],[RestDiff]]*8))</f>
        <v>0</v>
      </c>
      <c r="N443" s="16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1605.1194508495089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1674.3241328335378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0.52127931292340191</v>
      </c>
      <c r="R443" s="1">
        <v>82</v>
      </c>
      <c r="S443" s="1">
        <v>98</v>
      </c>
      <c r="T443" s="1">
        <v>0</v>
      </c>
      <c r="U443" s="16">
        <f>Games[[#This Row],[PointsFor]]-Games[[#This Row],[PointsAgainst]]</f>
        <v>-16</v>
      </c>
      <c r="V443" s="16">
        <f>IF(Games[[#This Row],[MOV]]&gt;0,1,IF(Games[[#This Row],[MOV]]=0,0.5,0))</f>
        <v>0</v>
      </c>
      <c r="W443" s="4">
        <f>((ABS(Games[[#This Row],[MOV]])+5)^0.6)/(12+0.01*(ABS(Games[[#This Row],[PreGmRate]]-Games[[#This Row],[OppPreGmRate]])))*IF(Games[[#This Row],[OT]]=1,0.9,1)</f>
        <v>0.48955321986741057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3" s="9">
        <f>MAX(kmin, kmax - 0.15 * MIN(Games[[#This Row],[GamesPlayed]], 82))</f>
        <v>69.55</v>
      </c>
      <c r="Z443" s="4">
        <f>Games[[#This Row],[K]]*Games[[#This Row],[POMult]]</f>
        <v>93.892499999999998</v>
      </c>
      <c r="AA443" s="4">
        <f>(Games[[#This Row],[Keff]]*Games[[#This Row],[MOVMult]])*(Games[[#This Row],[Result]]-Games[[#This Row],[ExpectedWin%]])</f>
        <v>-23.96079946128587</v>
      </c>
      <c r="AB443" s="4">
        <f>Games[[#This Row],[PreGmRate]]+Games[[#This Row],[RatingChange]]</f>
        <v>1581.158651388223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1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2026-07-28T21:49:16Z</dcterms:modified>
</cp:coreProperties>
</file>
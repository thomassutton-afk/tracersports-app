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WNBA_Elo\Ratings\"/>
    </mc:Choice>
  </mc:AlternateContent>
  <xr:revisionPtr revIDLastSave="0" documentId="13_ncr:1_{748714EB-C569-471A-9C6E-86F6411FC40C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5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2" l="1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X478" i="2" a="1"/>
  <c r="X479" i="2" a="1"/>
  <c r="X480" i="2" a="1"/>
  <c r="X481" i="2" a="1"/>
  <c r="X482" i="2" a="1"/>
  <c r="X483" i="2" a="1"/>
  <c r="X484" i="2" a="1"/>
  <c r="X485" i="2" a="1"/>
  <c r="X486" i="2" a="1"/>
  <c r="X487" i="2" a="1"/>
  <c r="X488" i="2" a="1"/>
  <c r="X489" i="2" a="1"/>
  <c r="X490" i="2" a="1"/>
  <c r="X491" i="2" a="1"/>
  <c r="X492" i="2" a="1"/>
  <c r="X493" i="2" a="1"/>
  <c r="X494" i="2" a="1"/>
  <c r="X495" i="2" a="1"/>
  <c r="X496" i="2" a="1"/>
  <c r="X497" i="2" a="1"/>
  <c r="X498" i="2" a="1"/>
  <c r="X499" i="2" a="1"/>
  <c r="X500" i="2" a="1"/>
  <c r="X501" i="2" a="1"/>
  <c r="X502" i="2" a="1"/>
  <c r="X503" i="2" a="1"/>
  <c r="X504" i="2" a="1"/>
  <c r="X505" i="2" a="1"/>
  <c r="X506" i="2" a="1"/>
  <c r="X507" i="2" a="1"/>
  <c r="X508" i="2" a="1"/>
  <c r="X509" i="2" a="1"/>
  <c r="X510" i="2" a="1"/>
  <c r="X511" i="2" a="1"/>
  <c r="X512" i="2" a="1"/>
  <c r="X513" i="2" a="1"/>
  <c r="X514" i="2" a="1"/>
  <c r="X515" i="2" a="1"/>
  <c r="X516" i="2" a="1"/>
  <c r="X517" i="2" a="1"/>
  <c r="X518" i="2" a="1"/>
  <c r="X519" i="2" a="1"/>
  <c r="X520" i="2" a="1"/>
  <c r="X521" i="2" a="1"/>
  <c r="X522" i="2" a="1"/>
  <c r="X523" i="2" a="1"/>
  <c r="X524" i="2" a="1"/>
  <c r="X525" i="2" a="1"/>
  <c r="X526" i="2" a="1"/>
  <c r="X527" i="2" a="1"/>
  <c r="C196" i="2"/>
  <c r="C197" i="2"/>
  <c r="I196" i="2" a="1"/>
  <c r="I197" i="2" a="1"/>
  <c r="J196" i="2" a="1"/>
  <c r="J197" i="2" a="1"/>
  <c r="K196" i="2"/>
  <c r="K197" i="2"/>
  <c r="L196" i="2"/>
  <c r="L197" i="2"/>
  <c r="M196" i="2"/>
  <c r="M197" i="2"/>
  <c r="N196" i="2"/>
  <c r="N197" i="2"/>
  <c r="U196" i="2"/>
  <c r="U197" i="2"/>
  <c r="V196" i="2"/>
  <c r="V197" i="2"/>
  <c r="Y196" i="2"/>
  <c r="Y197" i="2"/>
  <c r="Z196" i="2"/>
  <c r="Z197" i="2"/>
  <c r="AC196" i="2"/>
  <c r="AC197" i="2"/>
  <c r="AD196" i="2"/>
  <c r="AD197" i="2"/>
  <c r="AE196" i="2"/>
  <c r="AE197" i="2"/>
  <c r="AF196" i="2"/>
  <c r="AF197" i="2"/>
  <c r="AG196" i="2"/>
  <c r="AG197" i="2"/>
  <c r="AH196" i="2"/>
  <c r="AH197" i="2"/>
  <c r="AI196" i="2"/>
  <c r="AI197" i="2"/>
  <c r="AJ196" i="2"/>
  <c r="AJ197" i="2"/>
  <c r="AK196" i="2"/>
  <c r="AK197" i="2"/>
  <c r="AL196" i="2"/>
  <c r="AL197" i="2"/>
  <c r="C524" i="2"/>
  <c r="C525" i="2"/>
  <c r="C526" i="2"/>
  <c r="C527" i="2"/>
  <c r="I524" i="2" a="1"/>
  <c r="I525" i="2" a="1"/>
  <c r="I526" i="2" a="1"/>
  <c r="I527" i="2" a="1"/>
  <c r="J524" i="2" a="1"/>
  <c r="J525" i="2" a="1"/>
  <c r="J526" i="2" a="1"/>
  <c r="J527" i="2" a="1"/>
  <c r="K524" i="2"/>
  <c r="K525" i="2"/>
  <c r="K526" i="2"/>
  <c r="L524" i="2"/>
  <c r="L525" i="2"/>
  <c r="L526" i="2"/>
  <c r="M524" i="2"/>
  <c r="M525" i="2"/>
  <c r="M526" i="2"/>
  <c r="N524" i="2"/>
  <c r="N525" i="2"/>
  <c r="N526" i="2"/>
  <c r="U524" i="2"/>
  <c r="U525" i="2"/>
  <c r="U526" i="2"/>
  <c r="U527" i="2"/>
  <c r="V524" i="2"/>
  <c r="V525" i="2"/>
  <c r="V526" i="2"/>
  <c r="V527" i="2"/>
  <c r="Y524" i="2"/>
  <c r="Y525" i="2"/>
  <c r="Y526" i="2"/>
  <c r="Y527" i="2"/>
  <c r="Z524" i="2"/>
  <c r="Z525" i="2"/>
  <c r="Z526" i="2"/>
  <c r="Z527" i="2"/>
  <c r="AC524" i="2"/>
  <c r="AC525" i="2"/>
  <c r="AC526" i="2"/>
  <c r="AC527" i="2"/>
  <c r="AD524" i="2"/>
  <c r="AD525" i="2"/>
  <c r="AD526" i="2"/>
  <c r="AD527" i="2"/>
  <c r="AE524" i="2"/>
  <c r="AE525" i="2"/>
  <c r="AE526" i="2"/>
  <c r="AE527" i="2"/>
  <c r="AF524" i="2"/>
  <c r="AF525" i="2"/>
  <c r="AF526" i="2"/>
  <c r="AF527" i="2"/>
  <c r="AG524" i="2"/>
  <c r="AG525" i="2"/>
  <c r="AG526" i="2"/>
  <c r="AG527" i="2"/>
  <c r="AH524" i="2"/>
  <c r="AH525" i="2"/>
  <c r="AH526" i="2"/>
  <c r="AH527" i="2"/>
  <c r="AI524" i="2"/>
  <c r="AI525" i="2"/>
  <c r="AI526" i="2"/>
  <c r="AI527" i="2"/>
  <c r="AJ524" i="2"/>
  <c r="AJ525" i="2"/>
  <c r="AJ526" i="2"/>
  <c r="AJ527" i="2"/>
  <c r="AK524" i="2"/>
  <c r="AK525" i="2"/>
  <c r="AK526" i="2"/>
  <c r="AK527" i="2"/>
  <c r="AL524" i="2"/>
  <c r="AL525" i="2"/>
  <c r="AL526" i="2"/>
  <c r="AL527" i="2"/>
  <c r="C482" i="2"/>
  <c r="Y482" i="2" s="1"/>
  <c r="C483" i="2"/>
  <c r="Y483" i="2" s="1"/>
  <c r="C484" i="2"/>
  <c r="Y484" i="2" s="1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I482" i="2" a="1"/>
  <c r="I483" i="2" a="1"/>
  <c r="I484" i="2" a="1"/>
  <c r="I485" i="2" a="1"/>
  <c r="I486" i="2" a="1"/>
  <c r="I487" i="2" a="1"/>
  <c r="I488" i="2" a="1"/>
  <c r="I489" i="2" a="1"/>
  <c r="I490" i="2" a="1"/>
  <c r="I491" i="2" a="1"/>
  <c r="I492" i="2" a="1"/>
  <c r="I493" i="2" a="1"/>
  <c r="I494" i="2" a="1"/>
  <c r="I495" i="2" a="1"/>
  <c r="I496" i="2" a="1"/>
  <c r="I497" i="2" a="1"/>
  <c r="I498" i="2" a="1"/>
  <c r="I499" i="2" a="1"/>
  <c r="I500" i="2" a="1"/>
  <c r="I501" i="2" a="1"/>
  <c r="I502" i="2" a="1"/>
  <c r="I503" i="2" a="1"/>
  <c r="I504" i="2" a="1"/>
  <c r="I505" i="2" a="1"/>
  <c r="I506" i="2" a="1"/>
  <c r="I507" i="2" a="1"/>
  <c r="I508" i="2" a="1"/>
  <c r="I509" i="2" a="1"/>
  <c r="I510" i="2" a="1"/>
  <c r="I511" i="2" a="1"/>
  <c r="I512" i="2" a="1"/>
  <c r="I513" i="2" a="1"/>
  <c r="I514" i="2" a="1"/>
  <c r="I515" i="2" a="1"/>
  <c r="I516" i="2" a="1"/>
  <c r="I517" i="2" a="1"/>
  <c r="I518" i="2" a="1"/>
  <c r="I519" i="2" a="1"/>
  <c r="I520" i="2" a="1"/>
  <c r="I521" i="2" a="1"/>
  <c r="I522" i="2" a="1"/>
  <c r="I523" i="2" a="1"/>
  <c r="J482" i="2" a="1"/>
  <c r="J483" i="2" a="1"/>
  <c r="J484" i="2" a="1"/>
  <c r="J485" i="2" a="1"/>
  <c r="J486" i="2" a="1"/>
  <c r="J487" i="2" a="1"/>
  <c r="J488" i="2" a="1"/>
  <c r="J489" i="2" a="1"/>
  <c r="J490" i="2" a="1"/>
  <c r="J491" i="2" a="1"/>
  <c r="J492" i="2" a="1"/>
  <c r="J493" i="2" a="1"/>
  <c r="J494" i="2" a="1"/>
  <c r="J495" i="2" a="1"/>
  <c r="J496" i="2" a="1"/>
  <c r="J497" i="2" a="1"/>
  <c r="J498" i="2" a="1"/>
  <c r="J499" i="2" a="1"/>
  <c r="J500" i="2" a="1"/>
  <c r="J501" i="2" a="1"/>
  <c r="J502" i="2" a="1"/>
  <c r="J503" i="2" a="1"/>
  <c r="J504" i="2" a="1"/>
  <c r="J505" i="2" a="1"/>
  <c r="J506" i="2" a="1"/>
  <c r="J507" i="2" a="1"/>
  <c r="J508" i="2" a="1"/>
  <c r="J509" i="2" a="1"/>
  <c r="J510" i="2" a="1"/>
  <c r="J511" i="2" a="1"/>
  <c r="J512" i="2" a="1"/>
  <c r="J513" i="2" a="1"/>
  <c r="J514" i="2" a="1"/>
  <c r="J515" i="2" a="1"/>
  <c r="J516" i="2" a="1"/>
  <c r="J517" i="2" a="1"/>
  <c r="J518" i="2" a="1"/>
  <c r="J519" i="2" a="1"/>
  <c r="J520" i="2" a="1"/>
  <c r="J521" i="2" a="1"/>
  <c r="J522" i="2" a="1"/>
  <c r="J523" i="2" a="1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Z515" i="2" s="1"/>
  <c r="Y516" i="2"/>
  <c r="Y517" i="2"/>
  <c r="Y518" i="2"/>
  <c r="Y519" i="2"/>
  <c r="Y520" i="2"/>
  <c r="Y521" i="2"/>
  <c r="Y522" i="2"/>
  <c r="Y523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6" i="2"/>
  <c r="Z517" i="2"/>
  <c r="Z518" i="2"/>
  <c r="Z519" i="2"/>
  <c r="Z520" i="2"/>
  <c r="Z521" i="2"/>
  <c r="Z522" i="2"/>
  <c r="Z523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Z458" i="2" s="1"/>
  <c r="C459" i="2"/>
  <c r="Y459" i="2" s="1"/>
  <c r="Z459" i="2" s="1"/>
  <c r="C460" i="2"/>
  <c r="Y460" i="2" s="1"/>
  <c r="Z460" i="2" s="1"/>
  <c r="C461" i="2"/>
  <c r="Y461" i="2" s="1"/>
  <c r="Z461" i="2" s="1"/>
  <c r="C462" i="2"/>
  <c r="Y462" i="2" s="1"/>
  <c r="Z462" i="2" s="1"/>
  <c r="C463" i="2"/>
  <c r="Y463" i="2" s="1"/>
  <c r="Z463" i="2" s="1"/>
  <c r="C464" i="2"/>
  <c r="Y464" i="2" s="1"/>
  <c r="Z464" i="2" s="1"/>
  <c r="C465" i="2"/>
  <c r="Y465" i="2" s="1"/>
  <c r="Z465" i="2" s="1"/>
  <c r="C466" i="2"/>
  <c r="Y466" i="2" s="1"/>
  <c r="Z466" i="2" s="1"/>
  <c r="C467" i="2"/>
  <c r="Y467" i="2" s="1"/>
  <c r="Z467" i="2" s="1"/>
  <c r="C468" i="2"/>
  <c r="Y468" i="2" s="1"/>
  <c r="Z468" i="2" s="1"/>
  <c r="C469" i="2"/>
  <c r="Y469" i="2" s="1"/>
  <c r="Z469" i="2" s="1"/>
  <c r="C470" i="2"/>
  <c r="Y470" i="2" s="1"/>
  <c r="Z470" i="2" s="1"/>
  <c r="C471" i="2"/>
  <c r="Y471" i="2" s="1"/>
  <c r="Z471" i="2" s="1"/>
  <c r="C472" i="2"/>
  <c r="Y472" i="2" s="1"/>
  <c r="Z472" i="2" s="1"/>
  <c r="C473" i="2"/>
  <c r="Y473" i="2" s="1"/>
  <c r="Z473" i="2" s="1"/>
  <c r="C474" i="2"/>
  <c r="Y474" i="2" s="1"/>
  <c r="Z474" i="2" s="1"/>
  <c r="C475" i="2"/>
  <c r="Y475" i="2" s="1"/>
  <c r="Z475" i="2" s="1"/>
  <c r="C476" i="2"/>
  <c r="Y476" i="2" s="1"/>
  <c r="Z476" i="2" s="1"/>
  <c r="C477" i="2"/>
  <c r="Y477" i="2" s="1"/>
  <c r="Z477" i="2" s="1"/>
  <c r="C478" i="2"/>
  <c r="Y478" i="2" s="1"/>
  <c r="Z478" i="2" s="1"/>
  <c r="C479" i="2"/>
  <c r="Y479" i="2" s="1"/>
  <c r="Z479" i="2" s="1"/>
  <c r="C480" i="2"/>
  <c r="Y480" i="2" s="1"/>
  <c r="Z480" i="2" s="1"/>
  <c r="C481" i="2"/>
  <c r="Y481" i="2" s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I478" i="2" a="1"/>
  <c r="I479" i="2" a="1"/>
  <c r="I480" i="2" a="1"/>
  <c r="I48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J478" i="2" a="1"/>
  <c r="J479" i="2" a="1"/>
  <c r="J480" i="2" a="1"/>
  <c r="J481" i="2" a="1"/>
  <c r="K466" i="2"/>
  <c r="K467" i="2"/>
  <c r="K468" i="2"/>
  <c r="K470" i="2"/>
  <c r="K471" i="2"/>
  <c r="K472" i="2"/>
  <c r="K473" i="2"/>
  <c r="K474" i="2"/>
  <c r="K475" i="2"/>
  <c r="L466" i="2"/>
  <c r="L467" i="2"/>
  <c r="L468" i="2"/>
  <c r="L470" i="2"/>
  <c r="L471" i="2"/>
  <c r="L472" i="2"/>
  <c r="L473" i="2"/>
  <c r="L474" i="2"/>
  <c r="L475" i="2"/>
  <c r="M466" i="2"/>
  <c r="M467" i="2"/>
  <c r="M468" i="2"/>
  <c r="M470" i="2"/>
  <c r="M471" i="2"/>
  <c r="M472" i="2"/>
  <c r="M473" i="2"/>
  <c r="M474" i="2"/>
  <c r="M475" i="2"/>
  <c r="N466" i="2"/>
  <c r="N467" i="2"/>
  <c r="N468" i="2"/>
  <c r="N470" i="2"/>
  <c r="N471" i="2"/>
  <c r="N472" i="2"/>
  <c r="N473" i="2"/>
  <c r="N474" i="2"/>
  <c r="N475" i="2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U442" i="2"/>
  <c r="V442" i="2" s="1"/>
  <c r="U443" i="2"/>
  <c r="V443" i="2" s="1"/>
  <c r="U444" i="2"/>
  <c r="V444" i="2" s="1"/>
  <c r="U445" i="2"/>
  <c r="V445" i="2" s="1"/>
  <c r="U446" i="2"/>
  <c r="V446" i="2" s="1"/>
  <c r="U447" i="2"/>
  <c r="V447" i="2" s="1"/>
  <c r="U448" i="2"/>
  <c r="V448" i="2" s="1"/>
  <c r="U449" i="2"/>
  <c r="V449" i="2" s="1"/>
  <c r="U450" i="2"/>
  <c r="V450" i="2" s="1"/>
  <c r="U451" i="2"/>
  <c r="V451" i="2" s="1"/>
  <c r="U452" i="2"/>
  <c r="V452" i="2" s="1"/>
  <c r="U453" i="2"/>
  <c r="V453" i="2" s="1"/>
  <c r="U454" i="2"/>
  <c r="V454" i="2" s="1"/>
  <c r="U455" i="2"/>
  <c r="V455" i="2" s="1"/>
  <c r="U456" i="2"/>
  <c r="V456" i="2" s="1"/>
  <c r="U457" i="2"/>
  <c r="V457" i="2" s="1"/>
  <c r="U458" i="2"/>
  <c r="V458" i="2" s="1"/>
  <c r="U459" i="2"/>
  <c r="V459" i="2" s="1"/>
  <c r="U460" i="2"/>
  <c r="V460" i="2" s="1"/>
  <c r="U461" i="2"/>
  <c r="V461" i="2" s="1"/>
  <c r="U462" i="2"/>
  <c r="V462" i="2" s="1"/>
  <c r="U463" i="2"/>
  <c r="V463" i="2" s="1"/>
  <c r="U464" i="2"/>
  <c r="V464" i="2" s="1"/>
  <c r="U465" i="2"/>
  <c r="V465" i="2" s="1"/>
  <c r="U466" i="2"/>
  <c r="V466" i="2" s="1"/>
  <c r="U467" i="2"/>
  <c r="V467" i="2" s="1"/>
  <c r="U468" i="2"/>
  <c r="V468" i="2" s="1"/>
  <c r="U469" i="2"/>
  <c r="V469" i="2" s="1"/>
  <c r="U470" i="2"/>
  <c r="U471" i="2"/>
  <c r="U472" i="2"/>
  <c r="U473" i="2"/>
  <c r="U474" i="2"/>
  <c r="U475" i="2"/>
  <c r="U476" i="2"/>
  <c r="U477" i="2"/>
  <c r="U478" i="2"/>
  <c r="U479" i="2"/>
  <c r="U480" i="2"/>
  <c r="U481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I298" i="2" a="1"/>
  <c r="K298" i="2" s="1"/>
  <c r="M298" i="2" s="1"/>
  <c r="I299" i="2" a="1"/>
  <c r="K299" i="2" s="1"/>
  <c r="M299" i="2" s="1"/>
  <c r="I300" i="2" a="1"/>
  <c r="K300" i="2" s="1"/>
  <c r="M300" i="2" s="1"/>
  <c r="I301" i="2" a="1"/>
  <c r="K301" i="2" s="1"/>
  <c r="M301" i="2" s="1"/>
  <c r="I302" i="2" a="1"/>
  <c r="K302" i="2" s="1"/>
  <c r="M302" i="2" s="1"/>
  <c r="I303" i="2" a="1"/>
  <c r="K303" i="2" s="1"/>
  <c r="M303" i="2" s="1"/>
  <c r="I304" i="2" a="1"/>
  <c r="K304" i="2" s="1"/>
  <c r="M304" i="2" s="1"/>
  <c r="I305" i="2" a="1"/>
  <c r="K305" i="2" s="1"/>
  <c r="M305" i="2" s="1"/>
  <c r="I306" i="2" a="1"/>
  <c r="K306" i="2" s="1"/>
  <c r="M306" i="2" s="1"/>
  <c r="I307" i="2" a="1"/>
  <c r="K307" i="2" s="1"/>
  <c r="M307" i="2" s="1"/>
  <c r="I308" i="2" a="1"/>
  <c r="K308" i="2" s="1"/>
  <c r="M308" i="2" s="1"/>
  <c r="I309" i="2" a="1"/>
  <c r="K309" i="2" s="1"/>
  <c r="M309" i="2" s="1"/>
  <c r="I310" i="2" a="1"/>
  <c r="K310" i="2" s="1"/>
  <c r="M310" i="2" s="1"/>
  <c r="I311" i="2" a="1"/>
  <c r="K311" i="2" s="1"/>
  <c r="M311" i="2" s="1"/>
  <c r="I312" i="2" a="1"/>
  <c r="K312" i="2" s="1"/>
  <c r="M312" i="2" s="1"/>
  <c r="I313" i="2" a="1"/>
  <c r="K313" i="2" s="1"/>
  <c r="M313" i="2" s="1"/>
  <c r="I314" i="2" a="1"/>
  <c r="K314" i="2" s="1"/>
  <c r="M314" i="2" s="1"/>
  <c r="I315" i="2" a="1"/>
  <c r="K315" i="2" s="1"/>
  <c r="M315" i="2" s="1"/>
  <c r="I316" i="2" a="1"/>
  <c r="K316" i="2" s="1"/>
  <c r="M316" i="2" s="1"/>
  <c r="I317" i="2" a="1"/>
  <c r="K317" i="2" s="1"/>
  <c r="M317" i="2" s="1"/>
  <c r="I318" i="2" a="1"/>
  <c r="K318" i="2" s="1"/>
  <c r="M318" i="2" s="1"/>
  <c r="I319" i="2" a="1"/>
  <c r="K319" i="2" s="1"/>
  <c r="M319" i="2" s="1"/>
  <c r="I320" i="2" a="1"/>
  <c r="K320" i="2" s="1"/>
  <c r="M320" i="2" s="1"/>
  <c r="I321" i="2" a="1"/>
  <c r="K321" i="2" s="1"/>
  <c r="M321" i="2" s="1"/>
  <c r="I322" i="2" a="1"/>
  <c r="K322" i="2" s="1"/>
  <c r="M322" i="2" s="1"/>
  <c r="I323" i="2" a="1"/>
  <c r="K323" i="2" s="1"/>
  <c r="M323" i="2" s="1"/>
  <c r="I324" i="2" a="1"/>
  <c r="K324" i="2" s="1"/>
  <c r="M324" i="2" s="1"/>
  <c r="I325" i="2" a="1"/>
  <c r="K325" i="2" s="1"/>
  <c r="M325" i="2" s="1"/>
  <c r="I326" i="2" a="1"/>
  <c r="K326" i="2" s="1"/>
  <c r="M326" i="2" s="1"/>
  <c r="I327" i="2" a="1"/>
  <c r="K327" i="2" s="1"/>
  <c r="M327" i="2" s="1"/>
  <c r="I328" i="2" a="1"/>
  <c r="K328" i="2" s="1"/>
  <c r="M328" i="2" s="1"/>
  <c r="I329" i="2" a="1"/>
  <c r="K329" i="2" s="1"/>
  <c r="M329" i="2" s="1"/>
  <c r="I330" i="2" a="1"/>
  <c r="K330" i="2" s="1"/>
  <c r="M330" i="2" s="1"/>
  <c r="I331" i="2" a="1"/>
  <c r="K331" i="2" s="1"/>
  <c r="M331" i="2" s="1"/>
  <c r="I332" i="2" a="1"/>
  <c r="K332" i="2" s="1"/>
  <c r="M332" i="2" s="1"/>
  <c r="I333" i="2" a="1"/>
  <c r="K333" i="2" s="1"/>
  <c r="M333" i="2" s="1"/>
  <c r="I334" i="2" a="1"/>
  <c r="K334" i="2" s="1"/>
  <c r="M334" i="2" s="1"/>
  <c r="I335" i="2" a="1"/>
  <c r="K335" i="2" s="1"/>
  <c r="M335" i="2" s="1"/>
  <c r="I336" i="2" a="1"/>
  <c r="K336" i="2" s="1"/>
  <c r="M336" i="2" s="1"/>
  <c r="I337" i="2" a="1"/>
  <c r="K337" i="2" s="1"/>
  <c r="M337" i="2" s="1"/>
  <c r="I338" i="2" a="1"/>
  <c r="K338" i="2" s="1"/>
  <c r="M338" i="2" s="1"/>
  <c r="I339" i="2" a="1"/>
  <c r="K339" i="2" s="1"/>
  <c r="M339" i="2" s="1"/>
  <c r="I340" i="2" a="1"/>
  <c r="K340" i="2" s="1"/>
  <c r="M340" i="2" s="1"/>
  <c r="I341" i="2" a="1"/>
  <c r="K341" i="2" s="1"/>
  <c r="M341" i="2" s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J318" i="2" a="1"/>
  <c r="J319" i="2" a="1"/>
  <c r="J320" i="2" a="1"/>
  <c r="J321" i="2" a="1"/>
  <c r="J322" i="2" a="1"/>
  <c r="J323" i="2" a="1"/>
  <c r="J324" i="2" a="1"/>
  <c r="J325" i="2" a="1"/>
  <c r="J326" i="2" a="1"/>
  <c r="J327" i="2" a="1"/>
  <c r="J328" i="2" a="1"/>
  <c r="J329" i="2" a="1"/>
  <c r="J330" i="2" a="1"/>
  <c r="J331" i="2" a="1"/>
  <c r="J332" i="2" a="1"/>
  <c r="J333" i="2" a="1"/>
  <c r="J334" i="2" a="1"/>
  <c r="J335" i="2" a="1"/>
  <c r="J336" i="2" a="1"/>
  <c r="J337" i="2" a="1"/>
  <c r="J338" i="2" a="1"/>
  <c r="J339" i="2" a="1"/>
  <c r="J340" i="2" a="1"/>
  <c r="J341" i="2" a="1"/>
  <c r="J342" i="2" a="1"/>
  <c r="L342" i="2" s="1"/>
  <c r="N342" i="2" s="1"/>
  <c r="J343" i="2" a="1"/>
  <c r="L343" i="2" s="1"/>
  <c r="N343" i="2" s="1"/>
  <c r="J344" i="2" a="1"/>
  <c r="J345" i="2" a="1"/>
  <c r="L345" i="2" s="1"/>
  <c r="N345" i="2" s="1"/>
  <c r="J346" i="2" a="1"/>
  <c r="L346" i="2" s="1"/>
  <c r="N346" i="2" s="1"/>
  <c r="J347" i="2" a="1"/>
  <c r="L347" i="2" s="1"/>
  <c r="N347" i="2" s="1"/>
  <c r="J348" i="2" a="1"/>
  <c r="L348" i="2" s="1"/>
  <c r="N348" i="2" s="1"/>
  <c r="J349" i="2" a="1"/>
  <c r="L349" i="2" s="1"/>
  <c r="N349" i="2" s="1"/>
  <c r="J350" i="2" a="1"/>
  <c r="L350" i="2" s="1"/>
  <c r="N350" i="2" s="1"/>
  <c r="J351" i="2" a="1"/>
  <c r="L351" i="2" s="1"/>
  <c r="N351" i="2" s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AC313" i="2" s="1"/>
  <c r="U314" i="2"/>
  <c r="V314" i="2" s="1"/>
  <c r="AC314" i="2" s="1"/>
  <c r="U315" i="2"/>
  <c r="V315" i="2" s="1"/>
  <c r="AC315" i="2" s="1"/>
  <c r="U316" i="2"/>
  <c r="V316" i="2" s="1"/>
  <c r="AC316" i="2" s="1"/>
  <c r="U317" i="2"/>
  <c r="V317" i="2" s="1"/>
  <c r="AC317" i="2" s="1"/>
  <c r="U318" i="2"/>
  <c r="V318" i="2" s="1"/>
  <c r="AC318" i="2" s="1"/>
  <c r="U319" i="2"/>
  <c r="V319" i="2" s="1"/>
  <c r="AC319" i="2" s="1"/>
  <c r="U320" i="2"/>
  <c r="V320" i="2" s="1"/>
  <c r="AC320" i="2" s="1"/>
  <c r="U321" i="2"/>
  <c r="V321" i="2" s="1"/>
  <c r="AC321" i="2" s="1"/>
  <c r="U322" i="2"/>
  <c r="V322" i="2" s="1"/>
  <c r="AC322" i="2" s="1"/>
  <c r="U323" i="2"/>
  <c r="V323" i="2" s="1"/>
  <c r="AC323" i="2" s="1"/>
  <c r="U324" i="2"/>
  <c r="V324" i="2" s="1"/>
  <c r="AC324" i="2" s="1"/>
  <c r="U325" i="2"/>
  <c r="V325" i="2" s="1"/>
  <c r="AC325" i="2" s="1"/>
  <c r="U326" i="2"/>
  <c r="V326" i="2" s="1"/>
  <c r="AC326" i="2" s="1"/>
  <c r="U327" i="2"/>
  <c r="V327" i="2" s="1"/>
  <c r="AC327" i="2" s="1"/>
  <c r="U328" i="2"/>
  <c r="V328" i="2" s="1"/>
  <c r="AC328" i="2" s="1"/>
  <c r="U329" i="2"/>
  <c r="V329" i="2" s="1"/>
  <c r="AC329" i="2" s="1"/>
  <c r="U330" i="2"/>
  <c r="V330" i="2" s="1"/>
  <c r="AC330" i="2" s="1"/>
  <c r="U331" i="2"/>
  <c r="V331" i="2" s="1"/>
  <c r="AC331" i="2" s="1"/>
  <c r="U332" i="2"/>
  <c r="V332" i="2" s="1"/>
  <c r="AC332" i="2" s="1"/>
  <c r="U333" i="2"/>
  <c r="V333" i="2" s="1"/>
  <c r="AC333" i="2" s="1"/>
  <c r="U334" i="2"/>
  <c r="V334" i="2" s="1"/>
  <c r="AC334" i="2" s="1"/>
  <c r="U335" i="2"/>
  <c r="V335" i="2" s="1"/>
  <c r="AC335" i="2" s="1"/>
  <c r="U336" i="2"/>
  <c r="V336" i="2" s="1"/>
  <c r="AC336" i="2" s="1"/>
  <c r="U337" i="2"/>
  <c r="V337" i="2" s="1"/>
  <c r="AC337" i="2" s="1"/>
  <c r="U338" i="2"/>
  <c r="V338" i="2" s="1"/>
  <c r="AC338" i="2" s="1"/>
  <c r="U339" i="2"/>
  <c r="V339" i="2" s="1"/>
  <c r="AC339" i="2" s="1"/>
  <c r="U340" i="2"/>
  <c r="V340" i="2" s="1"/>
  <c r="AC340" i="2" s="1"/>
  <c r="U341" i="2"/>
  <c r="V341" i="2" s="1"/>
  <c r="AC341" i="2" s="1"/>
  <c r="U342" i="2"/>
  <c r="V342" i="2" s="1"/>
  <c r="AC342" i="2" s="1"/>
  <c r="U343" i="2"/>
  <c r="V343" i="2" s="1"/>
  <c r="AC343" i="2" s="1"/>
  <c r="U344" i="2"/>
  <c r="V344" i="2" s="1"/>
  <c r="AC344" i="2" s="1"/>
  <c r="U345" i="2"/>
  <c r="V345" i="2" s="1"/>
  <c r="AC345" i="2" s="1"/>
  <c r="U346" i="2"/>
  <c r="V346" i="2" s="1"/>
  <c r="AC346" i="2" s="1"/>
  <c r="U347" i="2"/>
  <c r="V347" i="2" s="1"/>
  <c r="AC347" i="2" s="1"/>
  <c r="U348" i="2"/>
  <c r="V348" i="2" s="1"/>
  <c r="AC348" i="2" s="1"/>
  <c r="U349" i="2"/>
  <c r="V349" i="2" s="1"/>
  <c r="AC349" i="2" s="1"/>
  <c r="U350" i="2"/>
  <c r="V350" i="2" s="1"/>
  <c r="AC350" i="2" s="1"/>
  <c r="U351" i="2"/>
  <c r="V351" i="2" s="1"/>
  <c r="AC351" i="2" s="1"/>
  <c r="U352" i="2"/>
  <c r="V352" i="2" s="1"/>
  <c r="AC352" i="2" s="1"/>
  <c r="U353" i="2"/>
  <c r="V353" i="2" s="1"/>
  <c r="AC353" i="2" s="1"/>
  <c r="U354" i="2"/>
  <c r="V354" i="2" s="1"/>
  <c r="AC354" i="2" s="1"/>
  <c r="U355" i="2"/>
  <c r="V355" i="2" s="1"/>
  <c r="AC355" i="2" s="1"/>
  <c r="U356" i="2"/>
  <c r="V356" i="2" s="1"/>
  <c r="AC356" i="2" s="1"/>
  <c r="U357" i="2"/>
  <c r="V357" i="2" s="1"/>
  <c r="AC357" i="2" s="1"/>
  <c r="U358" i="2"/>
  <c r="V358" i="2" s="1"/>
  <c r="AC358" i="2" s="1"/>
  <c r="U359" i="2"/>
  <c r="V359" i="2" s="1"/>
  <c r="AC359" i="2" s="1"/>
  <c r="U360" i="2"/>
  <c r="V360" i="2" s="1"/>
  <c r="AC360" i="2" s="1"/>
  <c r="U361" i="2"/>
  <c r="V361" i="2" s="1"/>
  <c r="AC361" i="2" s="1"/>
  <c r="U362" i="2"/>
  <c r="V362" i="2" s="1"/>
  <c r="AC362" i="2" s="1"/>
  <c r="U363" i="2"/>
  <c r="V363" i="2" s="1"/>
  <c r="AC363" i="2" s="1"/>
  <c r="U364" i="2"/>
  <c r="V364" i="2" s="1"/>
  <c r="AC364" i="2" s="1"/>
  <c r="U365" i="2"/>
  <c r="V365" i="2" s="1"/>
  <c r="AC365" i="2" s="1"/>
  <c r="U366" i="2"/>
  <c r="V366" i="2" s="1"/>
  <c r="AC366" i="2" s="1"/>
  <c r="U367" i="2"/>
  <c r="V367" i="2" s="1"/>
  <c r="AC367" i="2" s="1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E29" i="3"/>
  <c r="D29" i="3"/>
  <c r="C29" i="3"/>
  <c r="B29" i="3"/>
  <c r="E35" i="3"/>
  <c r="D35" i="3"/>
  <c r="C35" i="3"/>
  <c r="B35" i="3"/>
  <c r="E32" i="3"/>
  <c r="D32" i="3"/>
  <c r="C32" i="3"/>
  <c r="B32" i="3"/>
  <c r="E27" i="3"/>
  <c r="D27" i="3"/>
  <c r="C27" i="3"/>
  <c r="B27" i="3"/>
  <c r="E28" i="3"/>
  <c r="D28" i="3"/>
  <c r="C28" i="3"/>
  <c r="B28" i="3"/>
  <c r="E36" i="3"/>
  <c r="D36" i="3"/>
  <c r="C36" i="3"/>
  <c r="B36" i="3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J249" i="2" a="1"/>
  <c r="J250" i="2" a="1"/>
  <c r="L250" i="2" s="1"/>
  <c r="N250" i="2" s="1"/>
  <c r="J251" i="2" a="1"/>
  <c r="L251" i="2" s="1"/>
  <c r="N251" i="2" s="1"/>
  <c r="J252" i="2" a="1"/>
  <c r="J253" i="2" a="1"/>
  <c r="L253" i="2" s="1"/>
  <c r="N253" i="2" s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32" i="2"/>
  <c r="AF233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2" i="2"/>
  <c r="AE233" i="2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U232" i="2"/>
  <c r="V232" i="2" s="1"/>
  <c r="U233" i="2"/>
  <c r="V233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J232" i="2" a="1"/>
  <c r="J233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I232" i="2" a="1"/>
  <c r="I233" i="2" a="1"/>
  <c r="C2" i="2"/>
  <c r="Y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C232" i="2"/>
  <c r="Y232" i="2" s="1"/>
  <c r="C233" i="2"/>
  <c r="Y233" i="2" s="1"/>
  <c r="Z2" i="2" l="1"/>
  <c r="K342" i="2"/>
  <c r="M342" i="2" s="1"/>
  <c r="K343" i="2"/>
  <c r="M343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99" i="2"/>
  <c r="M399" i="2" s="1"/>
  <c r="K400" i="2"/>
  <c r="M400" i="2" s="1"/>
  <c r="K401" i="2"/>
  <c r="M401" i="2" s="1"/>
  <c r="K402" i="2"/>
  <c r="M402" i="2" s="1"/>
  <c r="K403" i="2"/>
  <c r="M403" i="2" s="1"/>
  <c r="K404" i="2"/>
  <c r="M404" i="2" s="1"/>
  <c r="K405" i="2"/>
  <c r="M405" i="2" s="1"/>
  <c r="K406" i="2"/>
  <c r="M406" i="2" s="1"/>
  <c r="K407" i="2"/>
  <c r="M407" i="2" s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5" i="2"/>
  <c r="M415" i="2" s="1"/>
  <c r="K417" i="2"/>
  <c r="M417" i="2" s="1"/>
  <c r="L298" i="2"/>
  <c r="N298" i="2" s="1"/>
  <c r="L299" i="2"/>
  <c r="N299" i="2" s="1"/>
  <c r="L300" i="2"/>
  <c r="N300" i="2" s="1"/>
  <c r="L301" i="2"/>
  <c r="N301" i="2" s="1"/>
  <c r="L302" i="2"/>
  <c r="N302" i="2" s="1"/>
  <c r="L303" i="2"/>
  <c r="N303" i="2" s="1"/>
  <c r="L304" i="2"/>
  <c r="N304" i="2" s="1"/>
  <c r="L305" i="2"/>
  <c r="N305" i="2" s="1"/>
  <c r="L306" i="2"/>
  <c r="N306" i="2" s="1"/>
  <c r="L307" i="2"/>
  <c r="N307" i="2" s="1"/>
  <c r="L308" i="2"/>
  <c r="N308" i="2" s="1"/>
  <c r="L309" i="2"/>
  <c r="N309" i="2" s="1"/>
  <c r="L310" i="2"/>
  <c r="N310" i="2" s="1"/>
  <c r="L311" i="2"/>
  <c r="N311" i="2" s="1"/>
  <c r="L312" i="2"/>
  <c r="N312" i="2" s="1"/>
  <c r="L313" i="2"/>
  <c r="N313" i="2" s="1"/>
  <c r="L314" i="2"/>
  <c r="N314" i="2" s="1"/>
  <c r="L315" i="2"/>
  <c r="N315" i="2" s="1"/>
  <c r="L316" i="2"/>
  <c r="N316" i="2" s="1"/>
  <c r="L317" i="2"/>
  <c r="N317" i="2" s="1"/>
  <c r="L318" i="2"/>
  <c r="N318" i="2" s="1"/>
  <c r="L319" i="2"/>
  <c r="N319" i="2" s="1"/>
  <c r="L320" i="2"/>
  <c r="N320" i="2" s="1"/>
  <c r="L321" i="2"/>
  <c r="N321" i="2" s="1"/>
  <c r="L322" i="2"/>
  <c r="N322" i="2" s="1"/>
  <c r="L323" i="2"/>
  <c r="N323" i="2" s="1"/>
  <c r="L324" i="2"/>
  <c r="N324" i="2" s="1"/>
  <c r="L325" i="2"/>
  <c r="N325" i="2" s="1"/>
  <c r="L326" i="2"/>
  <c r="N326" i="2" s="1"/>
  <c r="L327" i="2"/>
  <c r="N327" i="2" s="1"/>
  <c r="L328" i="2"/>
  <c r="N328" i="2" s="1"/>
  <c r="L329" i="2"/>
  <c r="N329" i="2" s="1"/>
  <c r="L330" i="2"/>
  <c r="N330" i="2" s="1"/>
  <c r="L331" i="2"/>
  <c r="N331" i="2" s="1"/>
  <c r="L332" i="2"/>
  <c r="N332" i="2" s="1"/>
  <c r="L333" i="2"/>
  <c r="N333" i="2" s="1"/>
  <c r="L334" i="2"/>
  <c r="N334" i="2" s="1"/>
  <c r="L335" i="2"/>
  <c r="N335" i="2" s="1"/>
  <c r="L336" i="2"/>
  <c r="N336" i="2" s="1"/>
  <c r="L337" i="2"/>
  <c r="N337" i="2" s="1"/>
  <c r="L338" i="2"/>
  <c r="N338" i="2" s="1"/>
  <c r="L339" i="2"/>
  <c r="N339" i="2" s="1"/>
  <c r="L340" i="2"/>
  <c r="N340" i="2" s="1"/>
  <c r="L341" i="2"/>
  <c r="N341" i="2" s="1"/>
  <c r="Z481" i="2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406" i="2"/>
  <c r="N406" i="2" s="1"/>
  <c r="L407" i="2"/>
  <c r="N407" i="2" s="1"/>
  <c r="L408" i="2"/>
  <c r="N408" i="2" s="1"/>
  <c r="L409" i="2"/>
  <c r="N409" i="2" s="1"/>
  <c r="L410" i="2"/>
  <c r="N410" i="2" s="1"/>
  <c r="L411" i="2"/>
  <c r="N411" i="2" s="1"/>
  <c r="L412" i="2"/>
  <c r="N412" i="2" s="1"/>
  <c r="L413" i="2"/>
  <c r="N413" i="2" s="1"/>
  <c r="L415" i="2"/>
  <c r="N415" i="2" s="1"/>
  <c r="L417" i="2"/>
  <c r="N417" i="2" s="1"/>
  <c r="K352" i="2"/>
  <c r="M352" i="2" s="1"/>
  <c r="L352" i="2"/>
  <c r="N352" i="2" s="1"/>
  <c r="K353" i="2"/>
  <c r="M353" i="2" s="1"/>
  <c r="L353" i="2"/>
  <c r="N353" i="2" s="1"/>
  <c r="K354" i="2"/>
  <c r="M354" i="2" s="1"/>
  <c r="L354" i="2"/>
  <c r="N354" i="2" s="1"/>
  <c r="K355" i="2"/>
  <c r="M355" i="2" s="1"/>
  <c r="L355" i="2"/>
  <c r="N355" i="2" s="1"/>
  <c r="K356" i="2"/>
  <c r="M356" i="2" s="1"/>
  <c r="L356" i="2"/>
  <c r="N356" i="2" s="1"/>
  <c r="K357" i="2"/>
  <c r="M357" i="2" s="1"/>
  <c r="L357" i="2"/>
  <c r="N357" i="2" s="1"/>
  <c r="K358" i="2"/>
  <c r="M358" i="2" s="1"/>
  <c r="L358" i="2"/>
  <c r="N358" i="2" s="1"/>
  <c r="K359" i="2"/>
  <c r="M359" i="2" s="1"/>
  <c r="L359" i="2"/>
  <c r="N359" i="2" s="1"/>
  <c r="K360" i="2"/>
  <c r="M360" i="2" s="1"/>
  <c r="L360" i="2"/>
  <c r="N360" i="2" s="1"/>
  <c r="K361" i="2"/>
  <c r="M361" i="2" s="1"/>
  <c r="L361" i="2"/>
  <c r="N361" i="2" s="1"/>
  <c r="K362" i="2"/>
  <c r="M362" i="2" s="1"/>
  <c r="L362" i="2"/>
  <c r="N362" i="2" s="1"/>
  <c r="L363" i="2"/>
  <c r="N363" i="2" s="1"/>
  <c r="K363" i="2"/>
  <c r="M363" i="2" s="1"/>
  <c r="L364" i="2"/>
  <c r="N364" i="2" s="1"/>
  <c r="K364" i="2"/>
  <c r="M364" i="2" s="1"/>
  <c r="L365" i="2"/>
  <c r="N365" i="2" s="1"/>
  <c r="K365" i="2"/>
  <c r="M365" i="2" s="1"/>
  <c r="L366" i="2"/>
  <c r="N366" i="2" s="1"/>
  <c r="K366" i="2"/>
  <c r="M366" i="2" s="1"/>
  <c r="L367" i="2"/>
  <c r="N367" i="2" s="1"/>
  <c r="K367" i="2"/>
  <c r="M367" i="2" s="1"/>
  <c r="L368" i="2"/>
  <c r="N368" i="2" s="1"/>
  <c r="K368" i="2"/>
  <c r="M368" i="2" s="1"/>
  <c r="K370" i="2"/>
  <c r="M370" i="2" s="1"/>
  <c r="L370" i="2"/>
  <c r="N370" i="2" s="1"/>
  <c r="K371" i="2"/>
  <c r="M371" i="2" s="1"/>
  <c r="L371" i="2"/>
  <c r="N371" i="2" s="1"/>
  <c r="K372" i="2"/>
  <c r="M372" i="2" s="1"/>
  <c r="L372" i="2"/>
  <c r="N372" i="2" s="1"/>
  <c r="K373" i="2"/>
  <c r="M373" i="2" s="1"/>
  <c r="L373" i="2"/>
  <c r="N373" i="2" s="1"/>
  <c r="K374" i="2"/>
  <c r="M374" i="2" s="1"/>
  <c r="L374" i="2"/>
  <c r="N374" i="2" s="1"/>
  <c r="K375" i="2"/>
  <c r="M375" i="2" s="1"/>
  <c r="L375" i="2"/>
  <c r="N375" i="2" s="1"/>
  <c r="K376" i="2"/>
  <c r="M376" i="2" s="1"/>
  <c r="L376" i="2"/>
  <c r="N376" i="2" s="1"/>
  <c r="K377" i="2"/>
  <c r="M377" i="2" s="1"/>
  <c r="L377" i="2"/>
  <c r="N377" i="2" s="1"/>
  <c r="K378" i="2"/>
  <c r="M378" i="2" s="1"/>
  <c r="L378" i="2"/>
  <c r="N378" i="2" s="1"/>
  <c r="K379" i="2"/>
  <c r="M379" i="2" s="1"/>
  <c r="L379" i="2"/>
  <c r="N379" i="2" s="1"/>
  <c r="K380" i="2"/>
  <c r="M380" i="2" s="1"/>
  <c r="L380" i="2"/>
  <c r="N380" i="2" s="1"/>
  <c r="K381" i="2"/>
  <c r="M381" i="2" s="1"/>
  <c r="L381" i="2"/>
  <c r="N381" i="2" s="1"/>
  <c r="K382" i="2"/>
  <c r="M382" i="2" s="1"/>
  <c r="L382" i="2"/>
  <c r="N382" i="2" s="1"/>
  <c r="K383" i="2"/>
  <c r="M383" i="2" s="1"/>
  <c r="L383" i="2"/>
  <c r="N383" i="2" s="1"/>
  <c r="K384" i="2"/>
  <c r="M384" i="2" s="1"/>
  <c r="L384" i="2"/>
  <c r="N384" i="2" s="1"/>
  <c r="K385" i="2"/>
  <c r="M385" i="2" s="1"/>
  <c r="L385" i="2"/>
  <c r="N385" i="2" s="1"/>
  <c r="K386" i="2"/>
  <c r="M386" i="2" s="1"/>
  <c r="L386" i="2"/>
  <c r="N386" i="2" s="1"/>
  <c r="K387" i="2"/>
  <c r="M387" i="2" s="1"/>
  <c r="L387" i="2"/>
  <c r="N387" i="2" s="1"/>
  <c r="K388" i="2"/>
  <c r="M388" i="2" s="1"/>
  <c r="L388" i="2"/>
  <c r="N388" i="2" s="1"/>
  <c r="L389" i="2"/>
  <c r="N389" i="2" s="1"/>
  <c r="K389" i="2"/>
  <c r="M389" i="2" s="1"/>
  <c r="K390" i="2"/>
  <c r="M390" i="2" s="1"/>
  <c r="L390" i="2"/>
  <c r="N390" i="2" s="1"/>
  <c r="K391" i="2"/>
  <c r="M391" i="2" s="1"/>
  <c r="L391" i="2"/>
  <c r="N391" i="2" s="1"/>
  <c r="K392" i="2"/>
  <c r="M392" i="2" s="1"/>
  <c r="L392" i="2"/>
  <c r="N392" i="2" s="1"/>
  <c r="L393" i="2"/>
  <c r="N393" i="2" s="1"/>
  <c r="K393" i="2"/>
  <c r="M393" i="2" s="1"/>
  <c r="L394" i="2"/>
  <c r="N394" i="2" s="1"/>
  <c r="K394" i="2"/>
  <c r="M394" i="2" s="1"/>
  <c r="L395" i="2"/>
  <c r="N395" i="2" s="1"/>
  <c r="K395" i="2"/>
  <c r="M395" i="2" s="1"/>
  <c r="L396" i="2"/>
  <c r="N396" i="2" s="1"/>
  <c r="K396" i="2"/>
  <c r="M396" i="2" s="1"/>
  <c r="L397" i="2"/>
  <c r="N397" i="2" s="1"/>
  <c r="K397" i="2"/>
  <c r="M397" i="2" s="1"/>
  <c r="K398" i="2"/>
  <c r="M398" i="2" s="1"/>
  <c r="L398" i="2"/>
  <c r="N398" i="2" s="1"/>
  <c r="K422" i="2"/>
  <c r="M422" i="2" s="1"/>
  <c r="L422" i="2"/>
  <c r="N422" i="2" s="1"/>
  <c r="K423" i="2"/>
  <c r="M423" i="2" s="1"/>
  <c r="L423" i="2"/>
  <c r="N423" i="2" s="1"/>
  <c r="K424" i="2"/>
  <c r="M424" i="2" s="1"/>
  <c r="L424" i="2"/>
  <c r="N424" i="2" s="1"/>
  <c r="K425" i="2"/>
  <c r="M425" i="2" s="1"/>
  <c r="L425" i="2"/>
  <c r="N425" i="2" s="1"/>
  <c r="K426" i="2"/>
  <c r="M426" i="2" s="1"/>
  <c r="L426" i="2"/>
  <c r="N426" i="2" s="1"/>
  <c r="K427" i="2"/>
  <c r="M427" i="2" s="1"/>
  <c r="L427" i="2"/>
  <c r="N427" i="2" s="1"/>
  <c r="K428" i="2"/>
  <c r="M428" i="2" s="1"/>
  <c r="L428" i="2"/>
  <c r="N428" i="2" s="1"/>
  <c r="K429" i="2"/>
  <c r="M429" i="2" s="1"/>
  <c r="L429" i="2"/>
  <c r="N429" i="2" s="1"/>
  <c r="K430" i="2"/>
  <c r="M430" i="2" s="1"/>
  <c r="L430" i="2"/>
  <c r="N430" i="2" s="1"/>
  <c r="K431" i="2"/>
  <c r="M431" i="2" s="1"/>
  <c r="L431" i="2"/>
  <c r="N431" i="2" s="1"/>
  <c r="K432" i="2"/>
  <c r="M432" i="2" s="1"/>
  <c r="L432" i="2"/>
  <c r="N432" i="2" s="1"/>
  <c r="K433" i="2"/>
  <c r="M433" i="2" s="1"/>
  <c r="L433" i="2"/>
  <c r="N433" i="2" s="1"/>
  <c r="K434" i="2"/>
  <c r="M434" i="2" s="1"/>
  <c r="L434" i="2"/>
  <c r="N434" i="2" s="1"/>
  <c r="K435" i="2"/>
  <c r="M435" i="2" s="1"/>
  <c r="L435" i="2"/>
  <c r="N435" i="2" s="1"/>
  <c r="K436" i="2"/>
  <c r="M436" i="2" s="1"/>
  <c r="L436" i="2"/>
  <c r="N436" i="2" s="1"/>
  <c r="K437" i="2"/>
  <c r="M437" i="2" s="1"/>
  <c r="L437" i="2"/>
  <c r="N437" i="2" s="1"/>
  <c r="K438" i="2"/>
  <c r="M438" i="2" s="1"/>
  <c r="L438" i="2"/>
  <c r="N438" i="2" s="1"/>
  <c r="K439" i="2"/>
  <c r="M439" i="2" s="1"/>
  <c r="L439" i="2"/>
  <c r="N439" i="2" s="1"/>
  <c r="K440" i="2"/>
  <c r="M440" i="2" s="1"/>
  <c r="L440" i="2"/>
  <c r="N440" i="2" s="1"/>
  <c r="K441" i="2"/>
  <c r="M441" i="2" s="1"/>
  <c r="L441" i="2"/>
  <c r="N441" i="2" s="1"/>
  <c r="K442" i="2"/>
  <c r="M442" i="2" s="1"/>
  <c r="L442" i="2"/>
  <c r="N442" i="2" s="1"/>
  <c r="K443" i="2"/>
  <c r="M443" i="2" s="1"/>
  <c r="L443" i="2"/>
  <c r="N443" i="2" s="1"/>
  <c r="K444" i="2"/>
  <c r="M444" i="2" s="1"/>
  <c r="L444" i="2"/>
  <c r="N444" i="2" s="1"/>
  <c r="K445" i="2"/>
  <c r="M445" i="2" s="1"/>
  <c r="L445" i="2"/>
  <c r="N445" i="2" s="1"/>
  <c r="K446" i="2"/>
  <c r="M446" i="2" s="1"/>
  <c r="L446" i="2"/>
  <c r="N446" i="2" s="1"/>
  <c r="K447" i="2"/>
  <c r="M447" i="2" s="1"/>
  <c r="L447" i="2"/>
  <c r="N447" i="2" s="1"/>
  <c r="K448" i="2"/>
  <c r="M448" i="2" s="1"/>
  <c r="L448" i="2"/>
  <c r="N448" i="2" s="1"/>
  <c r="K449" i="2"/>
  <c r="M449" i="2" s="1"/>
  <c r="L449" i="2"/>
  <c r="N449" i="2" s="1"/>
  <c r="K450" i="2"/>
  <c r="M450" i="2" s="1"/>
  <c r="L450" i="2"/>
  <c r="N450" i="2" s="1"/>
  <c r="K451" i="2"/>
  <c r="M451" i="2" s="1"/>
  <c r="L451" i="2"/>
  <c r="N451" i="2" s="1"/>
  <c r="K452" i="2"/>
  <c r="M452" i="2" s="1"/>
  <c r="L452" i="2"/>
  <c r="N452" i="2" s="1"/>
  <c r="K453" i="2"/>
  <c r="M453" i="2" s="1"/>
  <c r="L453" i="2"/>
  <c r="N453" i="2" s="1"/>
  <c r="K454" i="2"/>
  <c r="M454" i="2" s="1"/>
  <c r="L454" i="2"/>
  <c r="N454" i="2" s="1"/>
  <c r="K455" i="2"/>
  <c r="M455" i="2" s="1"/>
  <c r="L455" i="2"/>
  <c r="N455" i="2" s="1"/>
  <c r="K456" i="2"/>
  <c r="M456" i="2" s="1"/>
  <c r="L456" i="2"/>
  <c r="N456" i="2" s="1"/>
  <c r="K457" i="2"/>
  <c r="M457" i="2" s="1"/>
  <c r="L457" i="2"/>
  <c r="N457" i="2" s="1"/>
  <c r="K458" i="2"/>
  <c r="M458" i="2" s="1"/>
  <c r="L458" i="2"/>
  <c r="N458" i="2" s="1"/>
  <c r="K459" i="2"/>
  <c r="M459" i="2" s="1"/>
  <c r="L459" i="2"/>
  <c r="N459" i="2" s="1"/>
  <c r="K460" i="2"/>
  <c r="M460" i="2" s="1"/>
  <c r="L460" i="2"/>
  <c r="N460" i="2" s="1"/>
  <c r="K461" i="2"/>
  <c r="M461" i="2" s="1"/>
  <c r="L461" i="2"/>
  <c r="N461" i="2" s="1"/>
  <c r="K462" i="2"/>
  <c r="M462" i="2" s="1"/>
  <c r="L462" i="2"/>
  <c r="N462" i="2" s="1"/>
  <c r="K463" i="2"/>
  <c r="M463" i="2" s="1"/>
  <c r="L463" i="2"/>
  <c r="N463" i="2" s="1"/>
  <c r="K464" i="2"/>
  <c r="M464" i="2" s="1"/>
  <c r="L464" i="2"/>
  <c r="N464" i="2" s="1"/>
  <c r="K465" i="2"/>
  <c r="M465" i="2" s="1"/>
  <c r="L465" i="2"/>
  <c r="N465" i="2" s="1"/>
  <c r="AC298" i="2"/>
  <c r="AD298" i="2"/>
  <c r="AC299" i="2"/>
  <c r="AD299" i="2"/>
  <c r="AC300" i="2"/>
  <c r="AD300" i="2"/>
  <c r="AC301" i="2"/>
  <c r="AD301" i="2"/>
  <c r="AC302" i="2"/>
  <c r="AD302" i="2"/>
  <c r="AC303" i="2"/>
  <c r="AD303" i="2"/>
  <c r="AC304" i="2"/>
  <c r="AD304" i="2"/>
  <c r="AC305" i="2"/>
  <c r="AD305" i="2"/>
  <c r="AC306" i="2"/>
  <c r="AD306" i="2"/>
  <c r="AC307" i="2"/>
  <c r="AD307" i="2"/>
  <c r="AC308" i="2"/>
  <c r="AD308" i="2"/>
  <c r="AC309" i="2"/>
  <c r="AD309" i="2"/>
  <c r="AC310" i="2"/>
  <c r="AD310" i="2"/>
  <c r="AC311" i="2"/>
  <c r="AD311" i="2"/>
  <c r="AC312" i="2"/>
  <c r="AD312" i="2"/>
  <c r="Z484" i="2"/>
  <c r="K527" i="2"/>
  <c r="M527" i="2" s="1"/>
  <c r="L527" i="2"/>
  <c r="N527" i="2" s="1"/>
  <c r="Z444" i="2"/>
  <c r="Z447" i="2"/>
  <c r="Z448" i="2"/>
  <c r="Z451" i="2"/>
  <c r="Z452" i="2"/>
  <c r="Z455" i="2"/>
  <c r="Z457" i="2"/>
  <c r="Z445" i="2"/>
  <c r="Z446" i="2"/>
  <c r="Z449" i="2"/>
  <c r="Z450" i="2"/>
  <c r="Z453" i="2"/>
  <c r="Z454" i="2"/>
  <c r="Z456" i="2"/>
  <c r="Z482" i="2"/>
  <c r="Z435" i="2"/>
  <c r="Z438" i="2"/>
  <c r="Z441" i="2"/>
  <c r="Z483" i="2"/>
  <c r="Z433" i="2"/>
  <c r="Z434" i="2"/>
  <c r="Z436" i="2"/>
  <c r="Z439" i="2"/>
  <c r="Z440" i="2"/>
  <c r="Z442" i="2"/>
  <c r="Z443" i="2"/>
  <c r="K522" i="2"/>
  <c r="M522" i="2" s="1"/>
  <c r="L522" i="2"/>
  <c r="N522" i="2" s="1"/>
  <c r="K476" i="2"/>
  <c r="M476" i="2" s="1"/>
  <c r="L476" i="2"/>
  <c r="N476" i="2" s="1"/>
  <c r="K477" i="2"/>
  <c r="M477" i="2" s="1"/>
  <c r="L477" i="2"/>
  <c r="N477" i="2" s="1"/>
  <c r="K478" i="2"/>
  <c r="M478" i="2" s="1"/>
  <c r="L478" i="2"/>
  <c r="N478" i="2" s="1"/>
  <c r="K479" i="2"/>
  <c r="M479" i="2" s="1"/>
  <c r="L479" i="2"/>
  <c r="N479" i="2" s="1"/>
  <c r="K480" i="2"/>
  <c r="M480" i="2" s="1"/>
  <c r="L480" i="2"/>
  <c r="N480" i="2" s="1"/>
  <c r="L416" i="2"/>
  <c r="N416" i="2" s="1"/>
  <c r="K416" i="2"/>
  <c r="M416" i="2" s="1"/>
  <c r="L418" i="2"/>
  <c r="N418" i="2" s="1"/>
  <c r="K418" i="2"/>
  <c r="M418" i="2" s="1"/>
  <c r="AC422" i="2"/>
  <c r="AD422" i="2"/>
  <c r="AC423" i="2"/>
  <c r="AD423" i="2"/>
  <c r="AC424" i="2"/>
  <c r="AD424" i="2"/>
  <c r="AC425" i="2"/>
  <c r="AD425" i="2"/>
  <c r="AC426" i="2"/>
  <c r="AD426" i="2"/>
  <c r="AC427" i="2"/>
  <c r="AD427" i="2"/>
  <c r="AC428" i="2"/>
  <c r="AD428" i="2"/>
  <c r="AC429" i="2"/>
  <c r="AD429" i="2"/>
  <c r="AC430" i="2"/>
  <c r="AD430" i="2"/>
  <c r="AC431" i="2"/>
  <c r="AD431" i="2"/>
  <c r="AC432" i="2"/>
  <c r="AD432" i="2"/>
  <c r="AC433" i="2"/>
  <c r="AD433" i="2"/>
  <c r="AC434" i="2"/>
  <c r="AD434" i="2"/>
  <c r="AC435" i="2"/>
  <c r="AD435" i="2"/>
  <c r="AC436" i="2"/>
  <c r="AD436" i="2"/>
  <c r="AC437" i="2"/>
  <c r="AD437" i="2"/>
  <c r="AC438" i="2"/>
  <c r="AD438" i="2"/>
  <c r="AC439" i="2"/>
  <c r="AD439" i="2"/>
  <c r="AC440" i="2"/>
  <c r="AD440" i="2"/>
  <c r="AC441" i="2"/>
  <c r="AD441" i="2"/>
  <c r="AC442" i="2"/>
  <c r="AD442" i="2"/>
  <c r="AC443" i="2"/>
  <c r="AD443" i="2"/>
  <c r="AC444" i="2"/>
  <c r="AD444" i="2"/>
  <c r="AC445" i="2"/>
  <c r="AD445" i="2"/>
  <c r="AC446" i="2"/>
  <c r="AD446" i="2"/>
  <c r="AC447" i="2"/>
  <c r="AD447" i="2"/>
  <c r="AC448" i="2"/>
  <c r="AD448" i="2"/>
  <c r="AC449" i="2"/>
  <c r="AD449" i="2"/>
  <c r="AC450" i="2"/>
  <c r="AD450" i="2"/>
  <c r="AC451" i="2"/>
  <c r="AD451" i="2"/>
  <c r="AC452" i="2"/>
  <c r="AD452" i="2"/>
  <c r="AC453" i="2"/>
  <c r="AD453" i="2"/>
  <c r="AC454" i="2"/>
  <c r="AD454" i="2"/>
  <c r="AC455" i="2"/>
  <c r="AD455" i="2"/>
  <c r="AC456" i="2"/>
  <c r="AD456" i="2"/>
  <c r="AC457" i="2"/>
  <c r="AD457" i="2"/>
  <c r="AC458" i="2"/>
  <c r="AD458" i="2"/>
  <c r="AC459" i="2"/>
  <c r="AD459" i="2"/>
  <c r="AC460" i="2"/>
  <c r="AD460" i="2"/>
  <c r="AC461" i="2"/>
  <c r="AD461" i="2"/>
  <c r="AC462" i="2"/>
  <c r="AD462" i="2"/>
  <c r="AC463" i="2"/>
  <c r="AD463" i="2"/>
  <c r="AC464" i="2"/>
  <c r="AD464" i="2"/>
  <c r="AC465" i="2"/>
  <c r="AD465" i="2"/>
  <c r="AC466" i="2"/>
  <c r="AD466" i="2"/>
  <c r="AC467" i="2"/>
  <c r="AD467" i="2"/>
  <c r="AC468" i="2"/>
  <c r="AD468" i="2"/>
  <c r="AC469" i="2"/>
  <c r="AD469" i="2"/>
  <c r="AC470" i="2"/>
  <c r="AD470" i="2"/>
  <c r="AC471" i="2"/>
  <c r="AD471" i="2"/>
  <c r="AC472" i="2"/>
  <c r="AD472" i="2"/>
  <c r="AC473" i="2"/>
  <c r="AD473" i="2"/>
  <c r="AC474" i="2"/>
  <c r="AD474" i="2"/>
  <c r="AC475" i="2"/>
  <c r="AD475" i="2"/>
  <c r="AC476" i="2"/>
  <c r="AD476" i="2"/>
  <c r="AC477" i="2"/>
  <c r="AD477" i="2"/>
  <c r="AC478" i="2"/>
  <c r="AD478" i="2"/>
  <c r="AC479" i="2"/>
  <c r="AD479" i="2"/>
  <c r="AC480" i="2"/>
  <c r="AD480" i="2"/>
  <c r="AC481" i="2"/>
  <c r="AD481" i="2"/>
  <c r="Z422" i="2"/>
  <c r="Z423" i="2"/>
  <c r="Z424" i="2"/>
  <c r="Z425" i="2"/>
  <c r="Z426" i="2"/>
  <c r="Z427" i="2"/>
  <c r="Z428" i="2"/>
  <c r="Z429" i="2"/>
  <c r="Z431" i="2"/>
  <c r="Z430" i="2"/>
  <c r="Z432" i="2"/>
  <c r="K369" i="2"/>
  <c r="M369" i="2" s="1"/>
  <c r="L369" i="2"/>
  <c r="N369" i="2" s="1"/>
  <c r="K419" i="2"/>
  <c r="M419" i="2" s="1"/>
  <c r="L419" i="2"/>
  <c r="N419" i="2" s="1"/>
  <c r="K523" i="2"/>
  <c r="M523" i="2" s="1"/>
  <c r="L523" i="2"/>
  <c r="N523" i="2" s="1"/>
  <c r="K469" i="2"/>
  <c r="M469" i="2" s="1"/>
  <c r="L469" i="2"/>
  <c r="N469" i="2" s="1"/>
  <c r="K414" i="2"/>
  <c r="M414" i="2" s="1"/>
  <c r="L414" i="2"/>
  <c r="N414" i="2" s="1"/>
  <c r="Z437" i="2"/>
  <c r="Z411" i="2"/>
  <c r="Z412" i="2"/>
  <c r="Z413" i="2"/>
  <c r="Z414" i="2"/>
  <c r="Z415" i="2"/>
  <c r="Z416" i="2"/>
  <c r="Z417" i="2"/>
  <c r="Z418" i="2"/>
  <c r="Z419" i="2"/>
  <c r="Z420" i="2"/>
  <c r="Z421" i="2"/>
  <c r="Z308" i="2"/>
  <c r="Z311" i="2"/>
  <c r="Z314" i="2"/>
  <c r="Z317" i="2"/>
  <c r="Z319" i="2"/>
  <c r="Z321" i="2"/>
  <c r="Z324" i="2"/>
  <c r="Z327" i="2"/>
  <c r="Z330" i="2"/>
  <c r="Z333" i="2"/>
  <c r="Z336" i="2"/>
  <c r="Z339" i="2"/>
  <c r="Z342" i="2"/>
  <c r="Z306" i="2"/>
  <c r="Z309" i="2"/>
  <c r="Z312" i="2"/>
  <c r="Z315" i="2"/>
  <c r="Z318" i="2"/>
  <c r="Z320" i="2"/>
  <c r="Z323" i="2"/>
  <c r="Z326" i="2"/>
  <c r="Z329" i="2"/>
  <c r="Z331" i="2"/>
  <c r="Z334" i="2"/>
  <c r="Z337" i="2"/>
  <c r="Z340" i="2"/>
  <c r="Z307" i="2"/>
  <c r="Z310" i="2"/>
  <c r="Z313" i="2"/>
  <c r="Z316" i="2"/>
  <c r="Z322" i="2"/>
  <c r="Z325" i="2"/>
  <c r="Z328" i="2"/>
  <c r="Z332" i="2"/>
  <c r="Z335" i="2"/>
  <c r="Z338" i="2"/>
  <c r="Z341" i="2"/>
  <c r="K481" i="2"/>
  <c r="M481" i="2" s="1"/>
  <c r="L481" i="2"/>
  <c r="N481" i="2" s="1"/>
  <c r="K420" i="2"/>
  <c r="M420" i="2" s="1"/>
  <c r="L420" i="2"/>
  <c r="N420" i="2" s="1"/>
  <c r="Z298" i="2"/>
  <c r="Z301" i="2"/>
  <c r="Z303" i="2"/>
  <c r="Z304" i="2"/>
  <c r="Z299" i="2"/>
  <c r="Z302" i="2"/>
  <c r="Z305" i="2"/>
  <c r="K421" i="2"/>
  <c r="M421" i="2" s="1"/>
  <c r="L421" i="2"/>
  <c r="N421" i="2" s="1"/>
  <c r="Z300" i="2"/>
  <c r="Z343" i="2"/>
  <c r="Z345" i="2"/>
  <c r="Z347" i="2"/>
  <c r="Z349" i="2"/>
  <c r="Z351" i="2"/>
  <c r="Z353" i="2"/>
  <c r="Z355" i="2"/>
  <c r="Z357" i="2"/>
  <c r="Z359" i="2"/>
  <c r="Z361" i="2"/>
  <c r="Z363" i="2"/>
  <c r="Z365" i="2"/>
  <c r="Z367" i="2"/>
  <c r="Z369" i="2"/>
  <c r="Z371" i="2"/>
  <c r="Z373" i="2"/>
  <c r="Z375" i="2"/>
  <c r="Z377" i="2"/>
  <c r="Z379" i="2"/>
  <c r="Z381" i="2"/>
  <c r="Z383" i="2"/>
  <c r="Z385" i="2"/>
  <c r="Z387" i="2"/>
  <c r="Z390" i="2"/>
  <c r="Z392" i="2"/>
  <c r="Z394" i="2"/>
  <c r="Z396" i="2"/>
  <c r="Z398" i="2"/>
  <c r="Z401" i="2"/>
  <c r="Z403" i="2"/>
  <c r="Z405" i="2"/>
  <c r="Z408" i="2"/>
  <c r="Z410" i="2"/>
  <c r="Z344" i="2"/>
  <c r="Z346" i="2"/>
  <c r="Z348" i="2"/>
  <c r="Z350" i="2"/>
  <c r="Z352" i="2"/>
  <c r="Z354" i="2"/>
  <c r="Z356" i="2"/>
  <c r="Z358" i="2"/>
  <c r="Z360" i="2"/>
  <c r="Z362" i="2"/>
  <c r="Z364" i="2"/>
  <c r="Z366" i="2"/>
  <c r="Z368" i="2"/>
  <c r="Z370" i="2"/>
  <c r="Z372" i="2"/>
  <c r="Z374" i="2"/>
  <c r="Z376" i="2"/>
  <c r="Z378" i="2"/>
  <c r="Z380" i="2"/>
  <c r="Z382" i="2"/>
  <c r="Z384" i="2"/>
  <c r="Z386" i="2"/>
  <c r="Z388" i="2"/>
  <c r="Z389" i="2"/>
  <c r="Z391" i="2"/>
  <c r="Z393" i="2"/>
  <c r="Z395" i="2"/>
  <c r="Z397" i="2"/>
  <c r="Z399" i="2"/>
  <c r="Z400" i="2"/>
  <c r="Z402" i="2"/>
  <c r="Z404" i="2"/>
  <c r="Z406" i="2"/>
  <c r="Z407" i="2"/>
  <c r="Z409" i="2"/>
  <c r="L344" i="2"/>
  <c r="N344" i="2" s="1"/>
  <c r="K344" i="2"/>
  <c r="M344" i="2" s="1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F26" i="3"/>
  <c r="F29" i="3"/>
  <c r="Z19" i="2"/>
  <c r="Z20" i="2"/>
  <c r="Z21" i="2"/>
  <c r="Z22" i="2"/>
  <c r="Z23" i="2"/>
  <c r="Z24" i="2"/>
  <c r="Z25" i="2"/>
  <c r="Z26" i="2"/>
  <c r="F25" i="3"/>
  <c r="F28" i="3"/>
  <c r="F35" i="3"/>
  <c r="F36" i="3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268" i="2"/>
  <c r="M268" i="2" s="1"/>
  <c r="K269" i="2"/>
  <c r="M269" i="2" s="1"/>
  <c r="K250" i="2"/>
  <c r="M250" i="2" s="1"/>
  <c r="K251" i="2"/>
  <c r="M251" i="2" s="1"/>
  <c r="K253" i="2"/>
  <c r="M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268" i="2"/>
  <c r="N268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K285" i="2"/>
  <c r="M285" i="2" s="1"/>
  <c r="L285" i="2"/>
  <c r="N285" i="2" s="1"/>
  <c r="K286" i="2"/>
  <c r="M286" i="2" s="1"/>
  <c r="L286" i="2"/>
  <c r="N28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2" i="2"/>
  <c r="M252" i="2" s="1"/>
  <c r="L252" i="2"/>
  <c r="N252" i="2" s="1"/>
  <c r="F27" i="3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C243" i="2"/>
  <c r="AD243" i="2"/>
  <c r="AC244" i="2"/>
  <c r="AD244" i="2"/>
  <c r="AD245" i="2"/>
  <c r="AC245" i="2"/>
  <c r="AC246" i="2"/>
  <c r="AD246" i="2"/>
  <c r="AC247" i="2"/>
  <c r="AD247" i="2"/>
  <c r="AC248" i="2"/>
  <c r="AD248" i="2"/>
  <c r="AC249" i="2"/>
  <c r="AD249" i="2"/>
  <c r="AD250" i="2"/>
  <c r="AC250" i="2"/>
  <c r="AD251" i="2"/>
  <c r="AC251" i="2"/>
  <c r="AD252" i="2"/>
  <c r="AC252" i="2"/>
  <c r="AD253" i="2"/>
  <c r="AC253" i="2"/>
  <c r="AD254" i="2"/>
  <c r="AC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C276" i="2"/>
  <c r="AD276" i="2"/>
  <c r="AC277" i="2"/>
  <c r="AD277" i="2"/>
  <c r="AD278" i="2"/>
  <c r="AC278" i="2"/>
  <c r="AD279" i="2"/>
  <c r="AC279" i="2"/>
  <c r="AD280" i="2"/>
  <c r="AC280" i="2"/>
  <c r="AD281" i="2"/>
  <c r="AC281" i="2"/>
  <c r="AC282" i="2"/>
  <c r="AD282" i="2"/>
  <c r="AC283" i="2"/>
  <c r="AD283" i="2"/>
  <c r="AC284" i="2"/>
  <c r="AD284" i="2"/>
  <c r="AC285" i="2"/>
  <c r="AD285" i="2"/>
  <c r="AC286" i="2"/>
  <c r="AD286" i="2"/>
  <c r="AC287" i="2"/>
  <c r="AD287" i="2"/>
  <c r="AC288" i="2"/>
  <c r="AD288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C226" i="2"/>
  <c r="AD226" i="2"/>
  <c r="AC227" i="2"/>
  <c r="AD227" i="2"/>
  <c r="AF228" i="2"/>
  <c r="AD228" i="2"/>
  <c r="AC228" i="2"/>
  <c r="AF229" i="2"/>
  <c r="AD229" i="2"/>
  <c r="AC229" i="2"/>
  <c r="AD230" i="2"/>
  <c r="AC230" i="2"/>
  <c r="AD231" i="2"/>
  <c r="AC231" i="2"/>
  <c r="AD232" i="2"/>
  <c r="AC232" i="2"/>
  <c r="AD233" i="2"/>
  <c r="AC233" i="2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34" i="2"/>
  <c r="M234" i="2" s="1"/>
  <c r="L234" i="2"/>
  <c r="N234" i="2" s="1"/>
  <c r="K235" i="2"/>
  <c r="M235" i="2" s="1"/>
  <c r="L235" i="2"/>
  <c r="N235" i="2" s="1"/>
  <c r="L236" i="2"/>
  <c r="N236" i="2" s="1"/>
  <c r="K236" i="2"/>
  <c r="M236" i="2" s="1"/>
  <c r="K237" i="2"/>
  <c r="M237" i="2" s="1"/>
  <c r="L237" i="2"/>
  <c r="N237" i="2" s="1"/>
  <c r="L238" i="2"/>
  <c r="N238" i="2" s="1"/>
  <c r="K238" i="2"/>
  <c r="M238" i="2" s="1"/>
  <c r="L239" i="2"/>
  <c r="N239" i="2" s="1"/>
  <c r="K239" i="2"/>
  <c r="M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K243" i="2"/>
  <c r="M243" i="2" s="1"/>
  <c r="L243" i="2"/>
  <c r="N243" i="2" s="1"/>
  <c r="K244" i="2"/>
  <c r="M244" i="2" s="1"/>
  <c r="L244" i="2"/>
  <c r="N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L248" i="2"/>
  <c r="N248" i="2" s="1"/>
  <c r="K248" i="2"/>
  <c r="M248" i="2" s="1"/>
  <c r="L249" i="2"/>
  <c r="N249" i="2" s="1"/>
  <c r="K249" i="2"/>
  <c r="M249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AC206" i="2"/>
  <c r="AD206" i="2"/>
  <c r="AC207" i="2"/>
  <c r="AD207" i="2"/>
  <c r="Z234" i="2"/>
  <c r="Z236" i="2"/>
  <c r="Z238" i="2"/>
  <c r="Z240" i="2"/>
  <c r="Z242" i="2"/>
  <c r="Z244" i="2"/>
  <c r="Z246" i="2"/>
  <c r="Z248" i="2"/>
  <c r="Z250" i="2"/>
  <c r="Z251" i="2"/>
  <c r="Z253" i="2"/>
  <c r="Z255" i="2"/>
  <c r="Z257" i="2"/>
  <c r="Z259" i="2"/>
  <c r="Z260" i="2"/>
  <c r="Z262" i="2"/>
  <c r="Z264" i="2"/>
  <c r="Z266" i="2"/>
  <c r="Z268" i="2"/>
  <c r="Z269" i="2"/>
  <c r="Z271" i="2"/>
  <c r="Z273" i="2"/>
  <c r="Z275" i="2"/>
  <c r="Z277" i="2"/>
  <c r="Z278" i="2"/>
  <c r="Z280" i="2"/>
  <c r="Z282" i="2"/>
  <c r="Z284" i="2"/>
  <c r="Z286" i="2"/>
  <c r="Z287" i="2"/>
  <c r="Z289" i="2"/>
  <c r="Z291" i="2"/>
  <c r="Z293" i="2"/>
  <c r="Z295" i="2"/>
  <c r="Z296" i="2"/>
  <c r="Z235" i="2"/>
  <c r="Z237" i="2"/>
  <c r="Z239" i="2"/>
  <c r="Z241" i="2"/>
  <c r="Z243" i="2"/>
  <c r="Z245" i="2"/>
  <c r="Z247" i="2"/>
  <c r="Z249" i="2"/>
  <c r="Z252" i="2"/>
  <c r="Z254" i="2"/>
  <c r="Z256" i="2"/>
  <c r="Z258" i="2"/>
  <c r="Z261" i="2"/>
  <c r="Z263" i="2"/>
  <c r="Z265" i="2"/>
  <c r="Z267" i="2"/>
  <c r="Z270" i="2"/>
  <c r="Z272" i="2"/>
  <c r="Z274" i="2"/>
  <c r="Z276" i="2"/>
  <c r="Z279" i="2"/>
  <c r="Z281" i="2"/>
  <c r="Z283" i="2"/>
  <c r="Z285" i="2"/>
  <c r="Z288" i="2"/>
  <c r="Z290" i="2"/>
  <c r="Z292" i="2"/>
  <c r="Z294" i="2"/>
  <c r="Z297" i="2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30" i="2"/>
  <c r="AF230" i="2"/>
  <c r="AE231" i="2"/>
  <c r="AF231" i="2"/>
  <c r="AH232" i="2"/>
  <c r="AG232" i="2"/>
  <c r="AG233" i="2"/>
  <c r="AH233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9" i="2"/>
  <c r="Z230" i="2"/>
  <c r="Z231" i="2"/>
  <c r="Z232" i="2"/>
  <c r="Z233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8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8" i="2"/>
  <c r="N198" i="2" s="1"/>
  <c r="K198" i="2"/>
  <c r="M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K202" i="2"/>
  <c r="M202" i="2" s="1"/>
  <c r="L202" i="2"/>
  <c r="N202" i="2" s="1"/>
  <c r="K203" i="2"/>
  <c r="M203" i="2" s="1"/>
  <c r="L203" i="2"/>
  <c r="N203" i="2" s="1"/>
  <c r="L204" i="2"/>
  <c r="N204" i="2" s="1"/>
  <c r="K204" i="2"/>
  <c r="M204" i="2" s="1"/>
  <c r="K205" i="2"/>
  <c r="M205" i="2" s="1"/>
  <c r="L205" i="2"/>
  <c r="N205" i="2" s="1"/>
  <c r="L206" i="2"/>
  <c r="N206" i="2" s="1"/>
  <c r="K206" i="2"/>
  <c r="M206" i="2" s="1"/>
  <c r="L207" i="2"/>
  <c r="N207" i="2" s="1"/>
  <c r="K207" i="2"/>
  <c r="M207" i="2" s="1"/>
  <c r="K208" i="2"/>
  <c r="M208" i="2" s="1"/>
  <c r="L208" i="2"/>
  <c r="N208" i="2" s="1"/>
  <c r="L209" i="2"/>
  <c r="N209" i="2" s="1"/>
  <c r="K209" i="2"/>
  <c r="M209" i="2" s="1"/>
  <c r="L210" i="2"/>
  <c r="N210" i="2" s="1"/>
  <c r="K210" i="2"/>
  <c r="M210" i="2" s="1"/>
  <c r="L211" i="2"/>
  <c r="N211" i="2" s="1"/>
  <c r="K211" i="2"/>
  <c r="M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K222" i="2"/>
  <c r="M222" i="2" s="1"/>
  <c r="L222" i="2"/>
  <c r="N222" i="2" s="1"/>
  <c r="K223" i="2"/>
  <c r="M223" i="2" s="1"/>
  <c r="L223" i="2"/>
  <c r="N223" i="2" s="1"/>
  <c r="L224" i="2"/>
  <c r="N224" i="2" s="1"/>
  <c r="K224" i="2"/>
  <c r="M224" i="2" s="1"/>
  <c r="L225" i="2"/>
  <c r="N225" i="2" s="1"/>
  <c r="K225" i="2"/>
  <c r="M225" i="2" s="1"/>
  <c r="K226" i="2"/>
  <c r="M226" i="2" s="1"/>
  <c r="L226" i="2"/>
  <c r="N226" i="2" s="1"/>
  <c r="K227" i="2"/>
  <c r="M227" i="2" s="1"/>
  <c r="L227" i="2"/>
  <c r="N227" i="2" s="1"/>
  <c r="K228" i="2"/>
  <c r="M228" i="2" s="1"/>
  <c r="L228" i="2"/>
  <c r="N228" i="2" s="1"/>
  <c r="L229" i="2"/>
  <c r="N229" i="2" s="1"/>
  <c r="K229" i="2"/>
  <c r="M229" i="2" s="1"/>
  <c r="K230" i="2"/>
  <c r="M230" i="2" s="1"/>
  <c r="L230" i="2"/>
  <c r="N230" i="2" s="1"/>
  <c r="K231" i="2"/>
  <c r="M231" i="2" s="1"/>
  <c r="L231" i="2"/>
  <c r="N231" i="2" s="1"/>
  <c r="L232" i="2"/>
  <c r="N232" i="2" s="1"/>
  <c r="K232" i="2"/>
  <c r="M232" i="2" s="1"/>
  <c r="L233" i="2"/>
  <c r="N233" i="2" s="1"/>
  <c r="K233" i="2"/>
  <c r="M233" i="2" s="1"/>
  <c r="W2" i="2"/>
  <c r="AC368" i="2" l="1"/>
  <c r="AD368" i="2"/>
  <c r="AC369" i="2"/>
  <c r="AD369" i="2"/>
  <c r="AD370" i="2"/>
  <c r="AC370" i="2"/>
  <c r="AD371" i="2"/>
  <c r="AC371" i="2"/>
  <c r="AC372" i="2"/>
  <c r="AD372" i="2"/>
  <c r="AC373" i="2"/>
  <c r="AD373" i="2"/>
  <c r="AD374" i="2"/>
  <c r="AC374" i="2"/>
  <c r="AD375" i="2"/>
  <c r="AC375" i="2"/>
  <c r="AD376" i="2"/>
  <c r="AC376" i="2"/>
  <c r="AD377" i="2"/>
  <c r="AC377" i="2"/>
  <c r="AD378" i="2"/>
  <c r="AC378" i="2"/>
  <c r="AD379" i="2"/>
  <c r="AC379" i="2"/>
  <c r="AD380" i="2"/>
  <c r="AC380" i="2"/>
  <c r="AC381" i="2"/>
  <c r="AD381" i="2"/>
  <c r="AC382" i="2"/>
  <c r="AD382" i="2"/>
  <c r="AD383" i="2"/>
  <c r="AC383" i="2"/>
  <c r="AD384" i="2"/>
  <c r="AC384" i="2"/>
  <c r="AD385" i="2"/>
  <c r="AC385" i="2"/>
  <c r="AD386" i="2"/>
  <c r="AC386" i="2"/>
  <c r="AD387" i="2"/>
  <c r="AC387" i="2"/>
  <c r="AD388" i="2"/>
  <c r="AC388" i="2"/>
  <c r="AD389" i="2"/>
  <c r="AC389" i="2"/>
  <c r="AD390" i="2"/>
  <c r="AC390" i="2"/>
  <c r="AD391" i="2"/>
  <c r="AC391" i="2"/>
  <c r="AD392" i="2"/>
  <c r="AC392" i="2"/>
  <c r="AC393" i="2"/>
  <c r="AD393" i="2"/>
  <c r="AC394" i="2"/>
  <c r="AD394" i="2"/>
  <c r="AD395" i="2"/>
  <c r="AC395" i="2"/>
  <c r="AC396" i="2"/>
  <c r="AD396" i="2"/>
  <c r="AC397" i="2"/>
  <c r="AD397" i="2"/>
  <c r="AC398" i="2"/>
  <c r="AD398" i="2"/>
  <c r="AC399" i="2"/>
  <c r="AD399" i="2"/>
  <c r="AC400" i="2"/>
  <c r="AD400" i="2"/>
  <c r="AC401" i="2"/>
  <c r="AD401" i="2"/>
  <c r="AC402" i="2"/>
  <c r="AD402" i="2"/>
  <c r="AD403" i="2"/>
  <c r="AC403" i="2"/>
  <c r="AC404" i="2"/>
  <c r="AD404" i="2"/>
  <c r="AC405" i="2"/>
  <c r="AD405" i="2"/>
  <c r="AD406" i="2"/>
  <c r="AC406" i="2"/>
  <c r="AD407" i="2"/>
  <c r="AC407" i="2"/>
  <c r="AC408" i="2"/>
  <c r="AD408" i="2"/>
  <c r="AD409" i="2"/>
  <c r="AC409" i="2"/>
  <c r="AD410" i="2"/>
  <c r="AC410" i="2"/>
  <c r="AC411" i="2"/>
  <c r="AD411" i="2"/>
  <c r="AD412" i="2"/>
  <c r="AC412" i="2"/>
  <c r="AD413" i="2"/>
  <c r="AC413" i="2"/>
  <c r="AC414" i="2"/>
  <c r="AD414" i="2"/>
  <c r="AC415" i="2"/>
  <c r="AD415" i="2"/>
  <c r="AD416" i="2"/>
  <c r="AC416" i="2"/>
  <c r="AC417" i="2"/>
  <c r="AD417" i="2"/>
  <c r="AC418" i="2"/>
  <c r="AD418" i="2"/>
  <c r="AD419" i="2"/>
  <c r="AC419" i="2"/>
  <c r="AC420" i="2"/>
  <c r="AD420" i="2"/>
  <c r="AC421" i="2"/>
  <c r="AD421" i="2"/>
  <c r="Q2" i="2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4" i="3"/>
  <c r="B34" i="3"/>
  <c r="C31" i="3"/>
  <c r="B31" i="3"/>
  <c r="C30" i="3"/>
  <c r="B30" i="3"/>
  <c r="C33" i="3"/>
  <c r="B33" i="3"/>
  <c r="Q16" i="2" l="1"/>
  <c r="Q17" i="2"/>
  <c r="W16" i="2"/>
  <c r="W17" i="2"/>
  <c r="AA16" i="2" l="1"/>
  <c r="AB16" i="2" s="1"/>
  <c r="AA17" i="2"/>
  <c r="AB17" i="2" s="1"/>
  <c r="E34" i="3"/>
  <c r="D34" i="3"/>
  <c r="E31" i="3"/>
  <c r="D31" i="3"/>
  <c r="E30" i="3"/>
  <c r="D30" i="3"/>
  <c r="E33" i="3"/>
  <c r="D33" i="3"/>
  <c r="O19" i="2" l="1" a="1"/>
  <c r="O18" i="2" a="1"/>
  <c r="P19" i="2" a="1"/>
  <c r="P18" i="2" a="1"/>
  <c r="F30" i="3"/>
  <c r="F34" i="3"/>
  <c r="F31" i="3"/>
  <c r="F33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Q26" i="2" l="1"/>
  <c r="Q27" i="2"/>
  <c r="W26" i="2"/>
  <c r="W27" i="2"/>
  <c r="AA26" i="2" l="1"/>
  <c r="AB26" i="2" s="1"/>
  <c r="AA27" i="2"/>
  <c r="AB27" i="2" s="1"/>
  <c r="O29" i="2" l="1" a="1"/>
  <c r="P29" i="2" a="1"/>
  <c r="O28" i="2" a="1"/>
  <c r="P28" i="2" a="1"/>
  <c r="Q28" i="2" l="1"/>
  <c r="Q29" i="2"/>
  <c r="W28" i="2"/>
  <c r="W29" i="2"/>
  <c r="AA28" i="2" l="1"/>
  <c r="AB28" i="2" s="1"/>
  <c r="AA29" i="2"/>
  <c r="AB29" i="2" s="1"/>
  <c r="P31" i="2" l="1" a="1"/>
  <c r="O31" i="2" a="1"/>
  <c r="P30" i="2" a="1"/>
  <c r="O30" i="2" a="1"/>
  <c r="W30" i="2" l="1"/>
  <c r="Q31" i="2"/>
  <c r="W31" i="2"/>
  <c r="Q30" i="2"/>
  <c r="AA31" i="2" l="1"/>
  <c r="AB31" i="2" s="1"/>
  <c r="AA30" i="2"/>
  <c r="AB30" i="2" s="1"/>
  <c r="P32" i="2" l="1" a="1"/>
  <c r="P33" i="2" a="1"/>
  <c r="O33" i="2" a="1"/>
  <c r="O32" i="2" a="1"/>
  <c r="W33" i="2" l="1"/>
  <c r="Q33" i="2"/>
  <c r="Q32" i="2"/>
  <c r="W32" i="2"/>
  <c r="P39" i="2" a="1"/>
  <c r="P38" i="2" a="1"/>
  <c r="O38" i="2" a="1"/>
  <c r="O39" i="2" a="1"/>
  <c r="AA33" i="2" l="1"/>
  <c r="AB33" i="2" s="1"/>
  <c r="AA32" i="2"/>
  <c r="AB32" i="2" s="1"/>
  <c r="P35" i="2" a="1"/>
  <c r="O35" i="2" a="1"/>
  <c r="O34" i="2" a="1"/>
  <c r="P34" i="2" a="1"/>
  <c r="P36" i="2" a="1"/>
  <c r="O37" i="2" a="1"/>
  <c r="O36" i="2" a="1"/>
  <c r="P37" i="2" a="1"/>
  <c r="W38" i="2"/>
  <c r="Q39" i="2"/>
  <c r="Q38" i="2"/>
  <c r="W39" i="2"/>
  <c r="W34" i="2" l="1"/>
  <c r="Q35" i="2"/>
  <c r="Q34" i="2"/>
  <c r="W35" i="2"/>
  <c r="Q37" i="2"/>
  <c r="Q36" i="2"/>
  <c r="W37" i="2"/>
  <c r="W36" i="2"/>
  <c r="AA38" i="2"/>
  <c r="AB38" i="2" s="1"/>
  <c r="AA39" i="2"/>
  <c r="AB39" i="2" s="1"/>
  <c r="AA35" i="2" l="1"/>
  <c r="AB35" i="2" s="1"/>
  <c r="AA34" i="2"/>
  <c r="AB34" i="2" s="1"/>
  <c r="AA36" i="2"/>
  <c r="AB36" i="2" s="1"/>
  <c r="AA37" i="2"/>
  <c r="AB37" i="2" s="1"/>
  <c r="P40" i="2" a="1"/>
  <c r="O41" i="2" a="1"/>
  <c r="P41" i="2" a="1"/>
  <c r="O40" i="2" a="1"/>
  <c r="W41" i="2" l="1"/>
  <c r="W40" i="2"/>
  <c r="Q41" i="2"/>
  <c r="Q40" i="2"/>
  <c r="AA41" i="2" l="1"/>
  <c r="AB41" i="2" s="1"/>
  <c r="AA40" i="2"/>
  <c r="AB40" i="2" s="1"/>
  <c r="O43" i="2" l="1" a="1"/>
  <c r="P43" i="2" a="1"/>
  <c r="O42" i="2" a="1"/>
  <c r="P42" i="2" a="1"/>
  <c r="P45" i="2" a="1"/>
  <c r="O44" i="2" a="1"/>
  <c r="P44" i="2" a="1"/>
  <c r="O45" i="2" a="1"/>
  <c r="Q42" i="2" l="1"/>
  <c r="Q43" i="2"/>
  <c r="W42" i="2"/>
  <c r="W43" i="2"/>
  <c r="W44" i="2"/>
  <c r="W45" i="2"/>
  <c r="Q44" i="2"/>
  <c r="Q45" i="2"/>
  <c r="AA42" i="2" l="1"/>
  <c r="AB42" i="2" s="1"/>
  <c r="AA43" i="2"/>
  <c r="AB43" i="2" s="1"/>
  <c r="AA44" i="2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W50" i="2"/>
  <c r="AA51" i="2" l="1"/>
  <c r="AB51" i="2" s="1"/>
  <c r="AA50" i="2"/>
  <c r="AB50" i="2" s="1"/>
  <c r="O53" i="2" a="1"/>
  <c r="P53" i="2" a="1"/>
  <c r="O52" i="2" a="1"/>
  <c r="P52" i="2" a="1"/>
  <c r="Q53" i="2" l="1"/>
  <c r="W52" i="2"/>
  <c r="Q52" i="2"/>
  <c r="W53" i="2"/>
  <c r="AA52" i="2" l="1"/>
  <c r="AB52" i="2" s="1"/>
  <c r="AA53" i="2"/>
  <c r="AB53" i="2" s="1"/>
  <c r="P55" i="2" l="1" a="1"/>
  <c r="O54" i="2" a="1"/>
  <c r="O55" i="2" a="1"/>
  <c r="P54" i="2" a="1"/>
  <c r="Q55" i="2" l="1"/>
  <c r="W54" i="2"/>
  <c r="W55" i="2"/>
  <c r="Q54" i="2"/>
  <c r="AA55" i="2" l="1"/>
  <c r="AB55" i="2" s="1"/>
  <c r="P57" i="2" a="1"/>
  <c r="P56" i="2" a="1"/>
  <c r="O57" i="2" a="1"/>
  <c r="O56" i="2" a="1"/>
  <c r="AA54" i="2"/>
  <c r="AB54" i="2" s="1"/>
  <c r="Q57" i="2" l="1"/>
  <c r="Q56" i="2"/>
  <c r="W57" i="2"/>
  <c r="W56" i="2"/>
  <c r="AA57" i="2" l="1"/>
  <c r="AB57" i="2" s="1"/>
  <c r="AA56" i="2"/>
  <c r="AB56" i="2" s="1"/>
  <c r="O59" i="2" l="1" a="1"/>
  <c r="P58" i="2" a="1"/>
  <c r="O58" i="2" a="1"/>
  <c r="P59" i="2" a="1"/>
  <c r="W58" i="2" l="1"/>
  <c r="Q59" i="2"/>
  <c r="W59" i="2"/>
  <c r="Q58" i="2"/>
  <c r="AA58" i="2" l="1"/>
  <c r="AB58" i="2" s="1"/>
  <c r="AA59" i="2"/>
  <c r="AB59" i="2" s="1"/>
  <c r="O61" i="2" l="1" a="1"/>
  <c r="O60" i="2" a="1"/>
  <c r="P60" i="2" a="1"/>
  <c r="P61" i="2" a="1"/>
  <c r="P63" i="2" a="1"/>
  <c r="O62" i="2" a="1"/>
  <c r="O63" i="2" a="1"/>
  <c r="P62" i="2" a="1"/>
  <c r="W60" i="2" l="1"/>
  <c r="W61" i="2"/>
  <c r="Q60" i="2"/>
  <c r="Q61" i="2"/>
  <c r="W62" i="2"/>
  <c r="W63" i="2"/>
  <c r="Q63" i="2"/>
  <c r="Q62" i="2"/>
  <c r="AA60" i="2" l="1"/>
  <c r="AB60" i="2" s="1"/>
  <c r="AA61" i="2"/>
  <c r="AB61" i="2" s="1"/>
  <c r="AA62" i="2"/>
  <c r="AB62" i="2" s="1"/>
  <c r="AA63" i="2"/>
  <c r="AB63" i="2" s="1"/>
  <c r="O67" i="2" a="1"/>
  <c r="P66" i="2" a="1"/>
  <c r="P67" i="2" a="1"/>
  <c r="O66" i="2" a="1"/>
  <c r="P65" i="2" l="1" a="1"/>
  <c r="P64" i="2" a="1"/>
  <c r="O64" i="2" a="1"/>
  <c r="O65" i="2" a="1"/>
  <c r="W67" i="2"/>
  <c r="W66" i="2"/>
  <c r="Q66" i="2"/>
  <c r="Q67" i="2"/>
  <c r="W65" i="2" l="1"/>
  <c r="W64" i="2"/>
  <c r="Q65" i="2"/>
  <c r="Q64" i="2"/>
  <c r="AA67" i="2"/>
  <c r="AB67" i="2" s="1"/>
  <c r="AA66" i="2"/>
  <c r="AB66" i="2" s="1"/>
  <c r="AA64" i="2" l="1"/>
  <c r="AB64" i="2" s="1"/>
  <c r="AA65" i="2"/>
  <c r="AB65" i="2" s="1"/>
  <c r="P68" i="2" a="1"/>
  <c r="O68" i="2" a="1"/>
  <c r="P69" i="2" a="1"/>
  <c r="O69" i="2" a="1"/>
  <c r="W68" i="2" l="1"/>
  <c r="Q69" i="2"/>
  <c r="W69" i="2"/>
  <c r="Q68" i="2"/>
  <c r="AA69" i="2" l="1"/>
  <c r="AB69" i="2" s="1"/>
  <c r="AA68" i="2"/>
  <c r="AB68" i="2" s="1"/>
  <c r="O70" i="2" l="1" a="1"/>
  <c r="P70" i="2" a="1"/>
  <c r="O71" i="2" a="1"/>
  <c r="P71" i="2" a="1"/>
  <c r="W71" i="2" l="1"/>
  <c r="W70" i="2"/>
  <c r="Q70" i="2"/>
  <c r="Q71" i="2"/>
  <c r="AA71" i="2" l="1"/>
  <c r="AB71" i="2" s="1"/>
  <c r="AA70" i="2"/>
  <c r="AB70" i="2" s="1"/>
  <c r="P73" i="2" l="1" a="1"/>
  <c r="O73" i="2" a="1"/>
  <c r="P72" i="2" a="1"/>
  <c r="O72" i="2" a="1"/>
  <c r="P75" i="2" a="1"/>
  <c r="O74" i="2" a="1"/>
  <c r="P74" i="2" a="1"/>
  <c r="O75" i="2" a="1"/>
  <c r="Q72" i="2" l="1"/>
  <c r="Q73" i="2"/>
  <c r="W73" i="2"/>
  <c r="W72" i="2"/>
  <c r="W74" i="2"/>
  <c r="Q75" i="2"/>
  <c r="Q74" i="2"/>
  <c r="W75" i="2"/>
  <c r="AA72" i="2" l="1"/>
  <c r="AB72" i="2" s="1"/>
  <c r="AA73" i="2"/>
  <c r="AB73" i="2" s="1"/>
  <c r="AA74" i="2"/>
  <c r="AB74" i="2" s="1"/>
  <c r="AA75" i="2"/>
  <c r="AB75" i="2" s="1"/>
  <c r="P76" i="2" l="1" a="1"/>
  <c r="P77" i="2" a="1"/>
  <c r="O77" i="2" a="1"/>
  <c r="O76" i="2" a="1"/>
  <c r="Q76" i="2" l="1"/>
  <c r="W77" i="2"/>
  <c r="W76" i="2"/>
  <c r="Q77" i="2"/>
  <c r="AA76" i="2" l="1"/>
  <c r="AB76" i="2" s="1"/>
  <c r="AA77" i="2"/>
  <c r="AB77" i="2" s="1"/>
  <c r="O78" i="2" l="1" a="1"/>
  <c r="O79" i="2" a="1"/>
  <c r="P78" i="2" a="1"/>
  <c r="P79" i="2" a="1"/>
  <c r="W78" i="2" l="1"/>
  <c r="Q79" i="2"/>
  <c r="W79" i="2"/>
  <c r="Q78" i="2"/>
  <c r="AA79" i="2" l="1"/>
  <c r="AB79" i="2" s="1"/>
  <c r="AA78" i="2"/>
  <c r="AB78" i="2" s="1"/>
  <c r="O86" i="2" a="1"/>
  <c r="P87" i="2" a="1"/>
  <c r="O87" i="2" a="1"/>
  <c r="P86" i="2" a="1"/>
  <c r="W87" i="2" l="1"/>
  <c r="P84" i="2" a="1"/>
  <c r="O84" i="2" a="1"/>
  <c r="O85" i="2" a="1"/>
  <c r="P85" i="2" a="1"/>
  <c r="P83" i="2" a="1"/>
  <c r="O83" i="2" a="1"/>
  <c r="O82" i="2" a="1"/>
  <c r="P80" i="2" a="1"/>
  <c r="P82" i="2" a="1"/>
  <c r="P81" i="2" a="1"/>
  <c r="O81" i="2" a="1"/>
  <c r="O80" i="2" a="1"/>
  <c r="W86" i="2"/>
  <c r="Q87" i="2"/>
  <c r="Q86" i="2"/>
  <c r="W84" i="2" l="1"/>
  <c r="Q85" i="2"/>
  <c r="AA87" i="2"/>
  <c r="AB87" i="2" s="1"/>
  <c r="Q83" i="2"/>
  <c r="W82" i="2"/>
  <c r="Q81" i="2"/>
  <c r="W80" i="2"/>
  <c r="W85" i="2"/>
  <c r="W83" i="2"/>
  <c r="Q80" i="2"/>
  <c r="Q82" i="2"/>
  <c r="Q84" i="2"/>
  <c r="W81" i="2"/>
  <c r="AA86" i="2"/>
  <c r="AB86" i="2" s="1"/>
  <c r="O88" i="2" l="1" a="1"/>
  <c r="P89" i="2" a="1"/>
  <c r="O89" i="2" a="1"/>
  <c r="P88" i="2" a="1"/>
  <c r="AA85" i="2"/>
  <c r="AB85" i="2" s="1"/>
  <c r="AA84" i="2"/>
  <c r="AB84" i="2" s="1"/>
  <c r="AA81" i="2"/>
  <c r="AB81" i="2" s="1"/>
  <c r="AA80" i="2"/>
  <c r="AB80" i="2" s="1"/>
  <c r="AA83" i="2"/>
  <c r="AB83" i="2" s="1"/>
  <c r="AA82" i="2"/>
  <c r="AB82" i="2" s="1"/>
  <c r="Q88" i="2" l="1"/>
  <c r="Q89" i="2"/>
  <c r="W88" i="2"/>
  <c r="W89" i="2"/>
  <c r="P91" i="2" a="1"/>
  <c r="P93" i="2" a="1"/>
  <c r="P94" i="2" a="1"/>
  <c r="O95" i="2" a="1"/>
  <c r="O97" i="2" a="1"/>
  <c r="P97" i="2" a="1"/>
  <c r="O96" i="2" a="1"/>
  <c r="P96" i="2" a="1"/>
  <c r="AA88" i="2" l="1"/>
  <c r="AB88" i="2" s="1"/>
  <c r="AA89" i="2"/>
  <c r="AB89" i="2" s="1"/>
  <c r="O91" i="2" a="1"/>
  <c r="P92" i="2" a="1"/>
  <c r="O92" i="2" a="1"/>
  <c r="O90" i="2" a="1"/>
  <c r="P90" i="2" a="1"/>
  <c r="O93" i="2" a="1"/>
  <c r="W97" i="2"/>
  <c r="W96" i="2"/>
  <c r="Q97" i="2"/>
  <c r="Q96" i="2"/>
  <c r="Q90" i="2" l="1"/>
  <c r="P95" i="2" a="1"/>
  <c r="O94" i="2" a="1"/>
  <c r="W92" i="2"/>
  <c r="W90" i="2"/>
  <c r="AA90" i="2" s="1"/>
  <c r="AB90" i="2" s="1"/>
  <c r="Q92" i="2"/>
  <c r="W91" i="2"/>
  <c r="Q91" i="2"/>
  <c r="Q93" i="2"/>
  <c r="W93" i="2"/>
  <c r="AA96" i="2"/>
  <c r="AB96" i="2" s="1"/>
  <c r="AA97" i="2"/>
  <c r="AB97" i="2" s="1"/>
  <c r="AA93" i="2" l="1"/>
  <c r="AB93" i="2" s="1"/>
  <c r="AA91" i="2"/>
  <c r="AB91" i="2" s="1"/>
  <c r="Q95" i="2"/>
  <c r="W95" i="2"/>
  <c r="W94" i="2"/>
  <c r="Q94" i="2"/>
  <c r="AA92" i="2"/>
  <c r="AB92" i="2" s="1"/>
  <c r="P98" i="2" a="1"/>
  <c r="O99" i="2" a="1"/>
  <c r="AA94" i="2" l="1"/>
  <c r="AB94" i="2" s="1"/>
  <c r="AA95" i="2"/>
  <c r="AB95" i="2" s="1"/>
  <c r="P99" i="2" l="1" a="1"/>
  <c r="O98" i="2" a="1"/>
  <c r="Q99" i="2" l="1"/>
  <c r="W99" i="2"/>
  <c r="W98" i="2"/>
  <c r="Q98" i="2"/>
  <c r="O101" i="2" a="1"/>
  <c r="P101" i="2" a="1"/>
  <c r="O100" i="2" a="1"/>
  <c r="P100" i="2" a="1"/>
  <c r="AA99" i="2" l="1"/>
  <c r="AB99" i="2" s="1"/>
  <c r="AA98" i="2"/>
  <c r="AB98" i="2" s="1"/>
  <c r="W100" i="2"/>
  <c r="W101" i="2"/>
  <c r="Q101" i="2"/>
  <c r="Q100" i="2"/>
  <c r="AA100" i="2" l="1"/>
  <c r="AB100" i="2" s="1"/>
  <c r="AA101" i="2"/>
  <c r="AB101" i="2" s="1"/>
  <c r="P102" i="2" l="1" a="1"/>
  <c r="O102" i="2" a="1"/>
  <c r="P103" i="2" a="1"/>
  <c r="O103" i="2" a="1"/>
  <c r="Q103" i="2" l="1"/>
  <c r="W102" i="2"/>
  <c r="Q102" i="2"/>
  <c r="W103" i="2"/>
  <c r="AA102" i="2" l="1"/>
  <c r="AB102" i="2" s="1"/>
  <c r="AA103" i="2"/>
  <c r="AB103" i="2" s="1"/>
  <c r="P104" i="2" l="1" a="1"/>
  <c r="O106" i="2" a="1"/>
  <c r="O107" i="2" a="1"/>
  <c r="P106" i="2" a="1"/>
  <c r="P107" i="2" a="1"/>
  <c r="O105" i="2" a="1"/>
  <c r="P105" i="2" a="1"/>
  <c r="O104" i="2" a="1"/>
  <c r="Q104" i="2" l="1"/>
  <c r="W106" i="2"/>
  <c r="W107" i="2"/>
  <c r="W105" i="2"/>
  <c r="W104" i="2"/>
  <c r="Q106" i="2"/>
  <c r="Q107" i="2"/>
  <c r="Q105" i="2"/>
  <c r="O110" i="2" a="1"/>
  <c r="O111" i="2" a="1"/>
  <c r="P110" i="2" a="1"/>
  <c r="P111" i="2" a="1"/>
  <c r="AA104" i="2" l="1"/>
  <c r="AB104" i="2" s="1"/>
  <c r="AA106" i="2"/>
  <c r="AB106" i="2" s="1"/>
  <c r="AA107" i="2"/>
  <c r="AB107" i="2" s="1"/>
  <c r="AA105" i="2"/>
  <c r="AB105" i="2" s="1"/>
  <c r="O108" i="2" a="1"/>
  <c r="P109" i="2" a="1"/>
  <c r="P108" i="2" a="1"/>
  <c r="O109" i="2" a="1"/>
  <c r="W110" i="2"/>
  <c r="W111" i="2"/>
  <c r="Q110" i="2"/>
  <c r="Q111" i="2"/>
  <c r="Q109" i="2" l="1"/>
  <c r="AA110" i="2"/>
  <c r="AB110" i="2" s="1"/>
  <c r="W108" i="2"/>
  <c r="Q108" i="2"/>
  <c r="W109" i="2"/>
  <c r="AA111" i="2"/>
  <c r="AB111" i="2" s="1"/>
  <c r="AA108" i="2" l="1"/>
  <c r="AB108" i="2" s="1"/>
  <c r="AA109" i="2"/>
  <c r="AB109" i="2" s="1"/>
  <c r="O113" i="2" a="1"/>
  <c r="P112" i="2" a="1"/>
  <c r="P113" i="2" a="1"/>
  <c r="O112" i="2" a="1"/>
  <c r="P114" i="2" a="1"/>
  <c r="P115" i="2" a="1"/>
  <c r="O114" i="2" a="1"/>
  <c r="O115" i="2" a="1"/>
  <c r="Q113" i="2" l="1"/>
  <c r="W112" i="2"/>
  <c r="Q115" i="2"/>
  <c r="W114" i="2"/>
  <c r="Q112" i="2"/>
  <c r="Q114" i="2"/>
  <c r="W115" i="2"/>
  <c r="W113" i="2"/>
  <c r="P116" i="2" a="1"/>
  <c r="O117" i="2" a="1"/>
  <c r="P117" i="2" a="1"/>
  <c r="O116" i="2" a="1"/>
  <c r="AA113" i="2" l="1"/>
  <c r="AB113" i="2" s="1"/>
  <c r="AA112" i="2"/>
  <c r="AB112" i="2" s="1"/>
  <c r="AA115" i="2"/>
  <c r="AB115" i="2" s="1"/>
  <c r="AA114" i="2"/>
  <c r="AB114" i="2" s="1"/>
  <c r="W117" i="2"/>
  <c r="W116" i="2"/>
  <c r="Q116" i="2"/>
  <c r="Q117" i="2"/>
  <c r="AA117" i="2" l="1"/>
  <c r="AB117" i="2" s="1"/>
  <c r="AA116" i="2"/>
  <c r="AB116" i="2" s="1"/>
  <c r="O118" i="2" a="1"/>
  <c r="P118" i="2" a="1"/>
  <c r="O119" i="2" a="1"/>
  <c r="P119" i="2" a="1"/>
  <c r="Q118" i="2" l="1"/>
  <c r="W119" i="2"/>
  <c r="Q119" i="2"/>
  <c r="W118" i="2"/>
  <c r="AA119" i="2" l="1"/>
  <c r="AB119" i="2" s="1"/>
  <c r="O120" i="2" a="1"/>
  <c r="P121" i="2" a="1"/>
  <c r="O121" i="2" a="1"/>
  <c r="P120" i="2" a="1"/>
  <c r="AA118" i="2"/>
  <c r="AB118" i="2" s="1"/>
  <c r="Q121" i="2" l="1"/>
  <c r="Q120" i="2"/>
  <c r="W120" i="2"/>
  <c r="W121" i="2"/>
  <c r="AA121" i="2" l="1"/>
  <c r="AB121" i="2" s="1"/>
  <c r="AA120" i="2"/>
  <c r="AB120" i="2" s="1"/>
  <c r="O123" i="2" a="1"/>
  <c r="P122" i="2" a="1"/>
  <c r="P123" i="2" a="1"/>
  <c r="O122" i="2" a="1"/>
  <c r="Q122" i="2" l="1"/>
  <c r="Q123" i="2"/>
  <c r="W123" i="2"/>
  <c r="W122" i="2"/>
  <c r="AA123" i="2" l="1"/>
  <c r="AB123" i="2" s="1"/>
  <c r="AA122" i="2"/>
  <c r="AB122" i="2" s="1"/>
  <c r="O126" i="2" l="1" a="1"/>
  <c r="O131" i="2" a="1"/>
  <c r="P129" i="2" a="1"/>
  <c r="P128" i="2" a="1"/>
  <c r="P124" i="2" a="1"/>
  <c r="O130" i="2" a="1"/>
  <c r="P130" i="2" a="1"/>
  <c r="O124" i="2" a="1"/>
  <c r="P131" i="2" a="1"/>
  <c r="P125" i="2" a="1"/>
  <c r="P127" i="2" a="1"/>
  <c r="O125" i="2" a="1"/>
  <c r="O128" i="2" a="1"/>
  <c r="O127" i="2" a="1"/>
  <c r="O129" i="2" a="1"/>
  <c r="P126" i="2" a="1"/>
  <c r="W125" i="2" l="1"/>
  <c r="W130" i="2"/>
  <c r="W124" i="2"/>
  <c r="W129" i="2"/>
  <c r="Q128" i="2"/>
  <c r="W127" i="2"/>
  <c r="W126" i="2"/>
  <c r="Q131" i="2"/>
  <c r="Q127" i="2"/>
  <c r="W131" i="2"/>
  <c r="Q129" i="2"/>
  <c r="Q124" i="2"/>
  <c r="Q130" i="2"/>
  <c r="W128" i="2"/>
  <c r="Q126" i="2"/>
  <c r="Q125" i="2"/>
  <c r="AA125" i="2" s="1"/>
  <c r="AB125" i="2" s="1"/>
  <c r="AA129" i="2" l="1"/>
  <c r="AB129" i="2" s="1"/>
  <c r="AA130" i="2"/>
  <c r="AB130" i="2" s="1"/>
  <c r="AA124" i="2"/>
  <c r="AB124" i="2" s="1"/>
  <c r="AA128" i="2"/>
  <c r="AB128" i="2" s="1"/>
  <c r="AA131" i="2"/>
  <c r="AB131" i="2" s="1"/>
  <c r="AA126" i="2"/>
  <c r="AB126" i="2" s="1"/>
  <c r="AA127" i="2"/>
  <c r="AB127" i="2" s="1"/>
  <c r="O132" i="2" a="1"/>
  <c r="P132" i="2" a="1"/>
  <c r="O133" i="2" a="1"/>
  <c r="P133" i="2" a="1"/>
  <c r="W133" i="2" l="1"/>
  <c r="W132" i="2"/>
  <c r="Q132" i="2"/>
  <c r="Q133" i="2"/>
  <c r="AA133" i="2" l="1"/>
  <c r="AB133" i="2" s="1"/>
  <c r="AA132" i="2"/>
  <c r="AB132" i="2" s="1"/>
  <c r="P138" i="2" a="1"/>
  <c r="O139" i="2" a="1"/>
  <c r="P134" i="2" a="1"/>
  <c r="O137" i="2" a="1"/>
  <c r="O135" i="2" a="1"/>
  <c r="P137" i="2" a="1"/>
  <c r="O136" i="2" a="1"/>
  <c r="P136" i="2" a="1"/>
  <c r="P135" i="2" a="1"/>
  <c r="O134" i="2" a="1"/>
  <c r="O138" i="2" a="1"/>
  <c r="P139" i="2" a="1"/>
  <c r="W134" i="2" l="1"/>
  <c r="W135" i="2"/>
  <c r="Q136" i="2"/>
  <c r="W138" i="2"/>
  <c r="Q139" i="2"/>
  <c r="Q137" i="2"/>
  <c r="Q138" i="2"/>
  <c r="Q134" i="2"/>
  <c r="AA134" i="2" s="1"/>
  <c r="AB134" i="2" s="1"/>
  <c r="W136" i="2"/>
  <c r="Q135" i="2"/>
  <c r="W137" i="2"/>
  <c r="W139" i="2"/>
  <c r="AA138" i="2" l="1"/>
  <c r="AB138" i="2" s="1"/>
  <c r="AA135" i="2"/>
  <c r="AB135" i="2" s="1"/>
  <c r="AA136" i="2"/>
  <c r="AB136" i="2" s="1"/>
  <c r="AA139" i="2"/>
  <c r="AB139" i="2" s="1"/>
  <c r="AA137" i="2"/>
  <c r="AB137" i="2" s="1"/>
  <c r="O141" i="2" a="1"/>
  <c r="P141" i="2" a="1"/>
  <c r="P140" i="2" a="1"/>
  <c r="O140" i="2" a="1"/>
  <c r="Q140" i="2" l="1"/>
  <c r="W141" i="2"/>
  <c r="W140" i="2"/>
  <c r="Q141" i="2"/>
  <c r="AA140" i="2" l="1"/>
  <c r="AB140" i="2" s="1"/>
  <c r="AA141" i="2"/>
  <c r="AB141" i="2" s="1"/>
  <c r="O147" i="2" a="1"/>
  <c r="O146" i="2" a="1"/>
  <c r="P147" i="2" a="1"/>
  <c r="P146" i="2" a="1"/>
  <c r="O142" i="2" a="1"/>
  <c r="O143" i="2" a="1"/>
  <c r="O144" i="2" a="1"/>
  <c r="P142" i="2" a="1"/>
  <c r="O145" i="2" a="1"/>
  <c r="P143" i="2" a="1"/>
  <c r="P144" i="2" a="1"/>
  <c r="P145" i="2" a="1"/>
  <c r="W143" i="2" l="1"/>
  <c r="Q144" i="2"/>
  <c r="Q146" i="2"/>
  <c r="Q142" i="2"/>
  <c r="W147" i="2"/>
  <c r="Q145" i="2"/>
  <c r="Q147" i="2"/>
  <c r="W142" i="2"/>
  <c r="W144" i="2"/>
  <c r="W145" i="2"/>
  <c r="Q143" i="2"/>
  <c r="W146" i="2"/>
  <c r="AA142" i="2" l="1"/>
  <c r="AB142" i="2" s="1"/>
  <c r="AA144" i="2"/>
  <c r="AB144" i="2" s="1"/>
  <c r="AA143" i="2"/>
  <c r="AB143" i="2" s="1"/>
  <c r="AA145" i="2"/>
  <c r="AB145" i="2" s="1"/>
  <c r="AA146" i="2"/>
  <c r="AB146" i="2" s="1"/>
  <c r="AA147" i="2"/>
  <c r="AB147" i="2" s="1"/>
  <c r="O151" i="2" a="1"/>
  <c r="O150" i="2" a="1"/>
  <c r="P150" i="2" a="1"/>
  <c r="P148" i="2" a="1"/>
  <c r="O148" i="2" a="1"/>
  <c r="P149" i="2" a="1"/>
  <c r="O149" i="2" a="1"/>
  <c r="P151" i="2" a="1"/>
  <c r="Q151" i="2" l="1"/>
  <c r="Q148" i="2"/>
  <c r="Q149" i="2"/>
  <c r="W150" i="2"/>
  <c r="W148" i="2"/>
  <c r="W151" i="2"/>
  <c r="W149" i="2"/>
  <c r="Q150" i="2"/>
  <c r="AA148" i="2" l="1"/>
  <c r="AB148" i="2" s="1"/>
  <c r="AA151" i="2"/>
  <c r="AB151" i="2" s="1"/>
  <c r="AA149" i="2"/>
  <c r="AB149" i="2" s="1"/>
  <c r="AA150" i="2"/>
  <c r="AB150" i="2" s="1"/>
  <c r="O153" i="2" a="1"/>
  <c r="O152" i="2" a="1"/>
  <c r="P152" i="2" a="1"/>
  <c r="P153" i="2" a="1"/>
  <c r="P155" i="2" a="1"/>
  <c r="O155" i="2" a="1"/>
  <c r="O154" i="2" a="1"/>
  <c r="P154" i="2" a="1"/>
  <c r="W155" i="2" l="1"/>
  <c r="Q153" i="2"/>
  <c r="W154" i="2"/>
  <c r="W152" i="2"/>
  <c r="W153" i="2"/>
  <c r="Q152" i="2"/>
  <c r="Q155" i="2"/>
  <c r="Q154" i="2"/>
  <c r="AA155" i="2" l="1"/>
  <c r="AB155" i="2" s="1"/>
  <c r="AA153" i="2"/>
  <c r="AB153" i="2" s="1"/>
  <c r="AA154" i="2"/>
  <c r="AB154" i="2" s="1"/>
  <c r="AA152" i="2"/>
  <c r="AB152" i="2" s="1"/>
  <c r="P160" i="2" a="1"/>
  <c r="P161" i="2" a="1"/>
  <c r="P156" i="2" a="1"/>
  <c r="P158" i="2" a="1"/>
  <c r="O156" i="2" a="1"/>
  <c r="O157" i="2" a="1"/>
  <c r="P157" i="2" a="1"/>
  <c r="P159" i="2" a="1"/>
  <c r="O158" i="2" a="1"/>
  <c r="O159" i="2" a="1"/>
  <c r="O161" i="2" a="1"/>
  <c r="O160" i="2" a="1"/>
  <c r="W158" i="2" l="1"/>
  <c r="Q159" i="2"/>
  <c r="W157" i="2"/>
  <c r="Q160" i="2"/>
  <c r="W156" i="2"/>
  <c r="W161" i="2"/>
  <c r="Q156" i="2"/>
  <c r="Q157" i="2"/>
  <c r="W159" i="2"/>
  <c r="W160" i="2"/>
  <c r="Q158" i="2"/>
  <c r="Q161" i="2"/>
  <c r="AA156" i="2" l="1"/>
  <c r="AB156" i="2" s="1"/>
  <c r="AA158" i="2"/>
  <c r="AB158" i="2" s="1"/>
  <c r="AA159" i="2"/>
  <c r="AB159" i="2" s="1"/>
  <c r="AA157" i="2"/>
  <c r="AB157" i="2" s="1"/>
  <c r="AA160" i="2"/>
  <c r="AB160" i="2" s="1"/>
  <c r="AA161" i="2"/>
  <c r="AB161" i="2" s="1"/>
  <c r="P163" i="2" a="1"/>
  <c r="O162" i="2" a="1"/>
  <c r="P162" i="2" a="1"/>
  <c r="O163" i="2" a="1"/>
  <c r="W163" i="2" l="1"/>
  <c r="W162" i="2"/>
  <c r="Q163" i="2"/>
  <c r="Q162" i="2"/>
  <c r="AA163" i="2" l="1"/>
  <c r="AB163" i="2" s="1"/>
  <c r="AA162" i="2"/>
  <c r="AB162" i="2" s="1"/>
  <c r="P167" i="2" a="1"/>
  <c r="P166" i="2" a="1"/>
  <c r="P164" i="2" a="1"/>
  <c r="O164" i="2" a="1"/>
  <c r="P165" i="2" a="1"/>
  <c r="O166" i="2" a="1"/>
  <c r="O165" i="2" a="1"/>
  <c r="O167" i="2" a="1"/>
  <c r="W167" i="2" l="1"/>
  <c r="Q165" i="2"/>
  <c r="W166" i="2"/>
  <c r="W164" i="2"/>
  <c r="Q164" i="2"/>
  <c r="W165" i="2"/>
  <c r="Q167" i="2"/>
  <c r="Q166" i="2"/>
  <c r="AA164" i="2" l="1"/>
  <c r="AB164" i="2" s="1"/>
  <c r="AA167" i="2"/>
  <c r="AB167" i="2" s="1"/>
  <c r="AA166" i="2"/>
  <c r="AB166" i="2" s="1"/>
  <c r="AA165" i="2"/>
  <c r="AB165" i="2" s="1"/>
  <c r="P168" i="2" a="1"/>
  <c r="P169" i="2" a="1"/>
  <c r="O171" i="2" a="1"/>
  <c r="P170" i="2" a="1"/>
  <c r="P171" i="2" a="1"/>
  <c r="O170" i="2" a="1"/>
  <c r="O169" i="2" a="1"/>
  <c r="O168" i="2" a="1"/>
  <c r="P172" i="2" a="1"/>
  <c r="P173" i="2" a="1"/>
  <c r="O173" i="2" a="1"/>
  <c r="O172" i="2" a="1"/>
  <c r="W170" i="2" l="1"/>
  <c r="W169" i="2"/>
  <c r="W168" i="2"/>
  <c r="W171" i="2"/>
  <c r="Q172" i="2"/>
  <c r="W173" i="2"/>
  <c r="Q169" i="2"/>
  <c r="Q170" i="2"/>
  <c r="Q171" i="2"/>
  <c r="Q173" i="2"/>
  <c r="W172" i="2"/>
  <c r="Q168" i="2"/>
  <c r="AA169" i="2" l="1"/>
  <c r="AB169" i="2" s="1"/>
  <c r="AA170" i="2"/>
  <c r="AB170" i="2" s="1"/>
  <c r="AA168" i="2"/>
  <c r="AB168" i="2" s="1"/>
  <c r="AA171" i="2"/>
  <c r="AB171" i="2" s="1"/>
  <c r="AA172" i="2"/>
  <c r="AB172" i="2" s="1"/>
  <c r="AA173" i="2"/>
  <c r="AB173" i="2" s="1"/>
  <c r="O175" i="2" a="1"/>
  <c r="P174" i="2" a="1"/>
  <c r="P175" i="2" a="1"/>
  <c r="O174" i="2" a="1"/>
  <c r="P176" i="2" a="1"/>
  <c r="O177" i="2" a="1"/>
  <c r="P177" i="2" a="1"/>
  <c r="O176" i="2" a="1"/>
  <c r="W176" i="2" l="1"/>
  <c r="Q174" i="2"/>
  <c r="Q175" i="2"/>
  <c r="W177" i="2"/>
  <c r="W175" i="2"/>
  <c r="W174" i="2"/>
  <c r="Q176" i="2"/>
  <c r="Q177" i="2"/>
  <c r="AA176" i="2" l="1"/>
  <c r="AB176" i="2" s="1"/>
  <c r="AA177" i="2"/>
  <c r="AB177" i="2" s="1"/>
  <c r="AA175" i="2"/>
  <c r="AB175" i="2" s="1"/>
  <c r="AA174" i="2"/>
  <c r="AB174" i="2" s="1"/>
  <c r="O179" i="2" a="1"/>
  <c r="O181" i="2" a="1"/>
  <c r="P180" i="2" a="1"/>
  <c r="O178" i="2" a="1"/>
  <c r="P178" i="2" a="1"/>
  <c r="P181" i="2" a="1"/>
  <c r="P179" i="2" a="1"/>
  <c r="O180" i="2" a="1"/>
  <c r="Q181" i="2" l="1"/>
  <c r="Q178" i="2"/>
  <c r="Q179" i="2"/>
  <c r="W178" i="2"/>
  <c r="W180" i="2"/>
  <c r="W181" i="2"/>
  <c r="Q180" i="2"/>
  <c r="W179" i="2"/>
  <c r="AA178" i="2" l="1"/>
  <c r="AB178" i="2" s="1"/>
  <c r="AA181" i="2"/>
  <c r="AB181" i="2" s="1"/>
  <c r="AA180" i="2"/>
  <c r="AB180" i="2" s="1"/>
  <c r="AA179" i="2"/>
  <c r="AB179" i="2" s="1"/>
  <c r="P184" i="2" a="1"/>
  <c r="O185" i="2" a="1"/>
  <c r="P182" i="2" a="1"/>
  <c r="P185" i="2" a="1"/>
  <c r="O184" i="2" a="1"/>
  <c r="O182" i="2" a="1"/>
  <c r="P183" i="2" a="1"/>
  <c r="O183" i="2" a="1"/>
  <c r="P186" i="2" a="1"/>
  <c r="O186" i="2" a="1"/>
  <c r="P187" i="2" a="1"/>
  <c r="O187" i="2" a="1"/>
  <c r="Q185" i="2" l="1"/>
  <c r="W184" i="2"/>
  <c r="W183" i="2"/>
  <c r="W182" i="2"/>
  <c r="Q184" i="2"/>
  <c r="AA184" i="2" s="1"/>
  <c r="AB184" i="2" s="1"/>
  <c r="W185" i="2"/>
  <c r="AA185" i="2" s="1"/>
  <c r="AB185" i="2" s="1"/>
  <c r="Q182" i="2"/>
  <c r="Q183" i="2"/>
  <c r="Q186" i="2"/>
  <c r="W187" i="2"/>
  <c r="Q187" i="2"/>
  <c r="W186" i="2"/>
  <c r="AA187" i="2" l="1"/>
  <c r="AB187" i="2" s="1"/>
  <c r="P194" i="2" s="1" a="1"/>
  <c r="AA183" i="2"/>
  <c r="AB183" i="2" s="1"/>
  <c r="AA182" i="2"/>
  <c r="AB182" i="2" s="1"/>
  <c r="O192" i="2" a="1"/>
  <c r="O193" i="2" a="1"/>
  <c r="O190" i="2" a="1"/>
  <c r="P191" i="2" a="1"/>
  <c r="O188" i="2" a="1"/>
  <c r="P192" i="2" a="1"/>
  <c r="P188" i="2" a="1"/>
  <c r="P193" i="2" a="1"/>
  <c r="O189" i="2" a="1"/>
  <c r="P189" i="2" a="1"/>
  <c r="O191" i="2" a="1"/>
  <c r="P190" i="2" a="1"/>
  <c r="AA186" i="2"/>
  <c r="AB186" i="2" s="1"/>
  <c r="O195" i="2" a="1"/>
  <c r="Q189" i="2" l="1"/>
  <c r="P195" i="2" a="1"/>
  <c r="O194" i="2" a="1"/>
  <c r="O196" i="2" a="1"/>
  <c r="P197" i="2" a="1"/>
  <c r="Q192" i="2"/>
  <c r="Q190" i="2"/>
  <c r="W193" i="2"/>
  <c r="Q191" i="2"/>
  <c r="Q188" i="2"/>
  <c r="W192" i="2"/>
  <c r="W190" i="2"/>
  <c r="W188" i="2"/>
  <c r="Q193" i="2"/>
  <c r="W189" i="2"/>
  <c r="AA189" i="2" s="1"/>
  <c r="AB189" i="2" s="1"/>
  <c r="W191" i="2"/>
  <c r="Q195" i="2" l="1"/>
  <c r="W195" i="2"/>
  <c r="AA195" i="2" s="1"/>
  <c r="AB195" i="2" s="1"/>
  <c r="W194" i="2"/>
  <c r="Q194" i="2"/>
  <c r="AA192" i="2"/>
  <c r="AB192" i="2" s="1"/>
  <c r="AA190" i="2"/>
  <c r="AB190" i="2" s="1"/>
  <c r="AA188" i="2"/>
  <c r="AB188" i="2" s="1"/>
  <c r="AA193" i="2"/>
  <c r="AB193" i="2" s="1"/>
  <c r="AA191" i="2"/>
  <c r="AB191" i="2" s="1"/>
  <c r="P205" i="2" a="1"/>
  <c r="O204" i="2" a="1"/>
  <c r="AA194" i="2" l="1"/>
  <c r="AB194" i="2" s="1"/>
  <c r="O205" i="2" a="1"/>
  <c r="P204" i="2" a="1"/>
  <c r="Q204" i="2" s="1"/>
  <c r="O197" i="2" a="1"/>
  <c r="P196" i="2" a="1"/>
  <c r="O199" i="2" a="1"/>
  <c r="P202" i="2" a="1"/>
  <c r="P198" i="2" a="1"/>
  <c r="P200" i="2" a="1"/>
  <c r="P199" i="2" a="1"/>
  <c r="O202" i="2" a="1"/>
  <c r="O198" i="2" a="1"/>
  <c r="O201" i="2" a="1"/>
  <c r="P203" i="2" a="1"/>
  <c r="O203" i="2" a="1"/>
  <c r="Q205" i="2"/>
  <c r="W205" i="2"/>
  <c r="W204" i="2"/>
  <c r="Q199" i="2" l="1"/>
  <c r="Q197" i="2"/>
  <c r="W197" i="2"/>
  <c r="W196" i="2"/>
  <c r="Q196" i="2"/>
  <c r="W198" i="2"/>
  <c r="Q203" i="2"/>
  <c r="W202" i="2"/>
  <c r="W203" i="2"/>
  <c r="W199" i="2"/>
  <c r="Q198" i="2"/>
  <c r="AA198" i="2" s="1"/>
  <c r="AB198" i="2" s="1"/>
  <c r="Q202" i="2"/>
  <c r="AA205" i="2"/>
  <c r="AB205" i="2" s="1"/>
  <c r="AA204" i="2"/>
  <c r="AB204" i="2" s="1"/>
  <c r="AA197" i="2" l="1"/>
  <c r="AB197" i="2" s="1"/>
  <c r="AA199" i="2"/>
  <c r="AB199" i="2" s="1"/>
  <c r="AA196" i="2"/>
  <c r="AB196" i="2" s="1"/>
  <c r="AA203" i="2"/>
  <c r="AB203" i="2" s="1"/>
  <c r="AA202" i="2"/>
  <c r="AB202" i="2" s="1"/>
  <c r="P208" i="2" a="1"/>
  <c r="O209" i="2" a="1"/>
  <c r="P209" i="2" a="1"/>
  <c r="O206" i="2" a="1"/>
  <c r="O208" i="2" a="1"/>
  <c r="P207" i="2" a="1"/>
  <c r="O207" i="2" a="1"/>
  <c r="P206" i="2" a="1"/>
  <c r="O200" i="2" l="1" a="1"/>
  <c r="P201" i="2" a="1"/>
  <c r="W206" i="2"/>
  <c r="W207" i="2"/>
  <c r="Q208" i="2"/>
  <c r="Q209" i="2"/>
  <c r="W209" i="2"/>
  <c r="W208" i="2"/>
  <c r="Q207" i="2"/>
  <c r="Q206" i="2"/>
  <c r="W200" i="2" l="1"/>
  <c r="Q200" i="2"/>
  <c r="W201" i="2"/>
  <c r="Q201" i="2"/>
  <c r="AA208" i="2"/>
  <c r="AB208" i="2" s="1"/>
  <c r="AA206" i="2"/>
  <c r="AB206" i="2" s="1"/>
  <c r="AA209" i="2"/>
  <c r="AB209" i="2" s="1"/>
  <c r="AA207" i="2"/>
  <c r="AB207" i="2" s="1"/>
  <c r="O213" i="2" a="1"/>
  <c r="O212" i="2" a="1"/>
  <c r="P213" i="2" a="1"/>
  <c r="P212" i="2" a="1"/>
  <c r="AA201" i="2" l="1"/>
  <c r="AB201" i="2" s="1"/>
  <c r="AA200" i="2"/>
  <c r="AB200" i="2" s="1"/>
  <c r="P210" i="2" a="1"/>
  <c r="O210" i="2" a="1"/>
  <c r="O211" i="2" a="1"/>
  <c r="P211" i="2" a="1"/>
  <c r="W212" i="2"/>
  <c r="Q213" i="2"/>
  <c r="W213" i="2"/>
  <c r="Q212" i="2"/>
  <c r="W210" i="2" l="1"/>
  <c r="Q211" i="2"/>
  <c r="Q210" i="2"/>
  <c r="W211" i="2"/>
  <c r="AA212" i="2"/>
  <c r="AB212" i="2" s="1"/>
  <c r="AA213" i="2"/>
  <c r="AB213" i="2" s="1"/>
  <c r="AA210" i="2" l="1"/>
  <c r="AB210" i="2" s="1"/>
  <c r="AA211" i="2"/>
  <c r="AB211" i="2" s="1"/>
  <c r="P214" i="2" a="1"/>
  <c r="O214" i="2" a="1"/>
  <c r="O215" i="2" a="1"/>
  <c r="P215" i="2" a="1"/>
  <c r="W215" i="2" l="1"/>
  <c r="W214" i="2"/>
  <c r="Q215" i="2"/>
  <c r="Q214" i="2"/>
  <c r="AA215" i="2" l="1"/>
  <c r="AB215" i="2" s="1"/>
  <c r="AA214" i="2"/>
  <c r="AB214" i="2" s="1"/>
  <c r="O219" i="2" l="1" a="1"/>
  <c r="P218" i="2" a="1"/>
  <c r="O217" i="2" a="1"/>
  <c r="P216" i="2" a="1"/>
  <c r="P217" i="2" a="1"/>
  <c r="O216" i="2" a="1"/>
  <c r="O218" i="2" a="1"/>
  <c r="P219" i="2" a="1"/>
  <c r="Q216" i="2" l="1"/>
  <c r="W217" i="2"/>
  <c r="Q217" i="2"/>
  <c r="W216" i="2"/>
  <c r="Q218" i="2"/>
  <c r="W218" i="2"/>
  <c r="Q219" i="2"/>
  <c r="W219" i="2"/>
  <c r="AA216" i="2" l="1"/>
  <c r="AB216" i="2" s="1"/>
  <c r="AA219" i="2"/>
  <c r="AB219" i="2" s="1"/>
  <c r="AA217" i="2"/>
  <c r="AB217" i="2" s="1"/>
  <c r="O222" i="2" a="1"/>
  <c r="P223" i="2" a="1"/>
  <c r="P222" i="2" a="1"/>
  <c r="O223" i="2" a="1"/>
  <c r="AA218" i="2"/>
  <c r="AB218" i="2" s="1"/>
  <c r="P220" i="2" l="1" a="1"/>
  <c r="O221" i="2" a="1"/>
  <c r="P221" i="2" a="1"/>
  <c r="O220" i="2" a="1"/>
  <c r="W222" i="2"/>
  <c r="Q223" i="2"/>
  <c r="W223" i="2"/>
  <c r="Q222" i="2"/>
  <c r="W221" i="2" l="1"/>
  <c r="W220" i="2"/>
  <c r="Q221" i="2"/>
  <c r="Q220" i="2"/>
  <c r="AA223" i="2"/>
  <c r="AB223" i="2" s="1"/>
  <c r="AA222" i="2"/>
  <c r="AB222" i="2" s="1"/>
  <c r="O228" i="2" a="1"/>
  <c r="O226" i="2" a="1"/>
  <c r="P227" i="2" a="1"/>
  <c r="O227" i="2" a="1"/>
  <c r="P226" i="2" a="1"/>
  <c r="P229" i="2" a="1"/>
  <c r="P228" i="2" a="1"/>
  <c r="O229" i="2" a="1"/>
  <c r="AA221" i="2" l="1"/>
  <c r="AB221" i="2" s="1"/>
  <c r="AA220" i="2"/>
  <c r="AB220" i="2" s="1"/>
  <c r="O225" i="2" a="1"/>
  <c r="P224" i="2" a="1"/>
  <c r="O224" i="2" a="1"/>
  <c r="P225" i="2" a="1"/>
  <c r="W228" i="2"/>
  <c r="W226" i="2"/>
  <c r="W227" i="2"/>
  <c r="Q229" i="2"/>
  <c r="Q228" i="2"/>
  <c r="Q227" i="2"/>
  <c r="Q226" i="2"/>
  <c r="W229" i="2"/>
  <c r="W224" i="2" l="1"/>
  <c r="W225" i="2"/>
  <c r="Q224" i="2"/>
  <c r="Q225" i="2"/>
  <c r="AA228" i="2"/>
  <c r="AB228" i="2" s="1"/>
  <c r="AA227" i="2"/>
  <c r="AB227" i="2" s="1"/>
  <c r="AA226" i="2"/>
  <c r="AB226" i="2" s="1"/>
  <c r="AA229" i="2"/>
  <c r="AB229" i="2" s="1"/>
  <c r="AA224" i="2" l="1"/>
  <c r="AB224" i="2" s="1"/>
  <c r="AA225" i="2"/>
  <c r="AB225" i="2" s="1"/>
  <c r="O230" i="2" a="1"/>
  <c r="P231" i="2" a="1"/>
  <c r="O231" i="2" a="1"/>
  <c r="P230" i="2" a="1"/>
  <c r="Q231" i="2" l="1"/>
  <c r="W230" i="2"/>
  <c r="W231" i="2"/>
  <c r="Q230" i="2"/>
  <c r="AA231" i="2" l="1"/>
  <c r="AB231" i="2" s="1"/>
  <c r="AA230" i="2"/>
  <c r="AB230" i="2" s="1"/>
  <c r="P233" i="2" l="1" a="1"/>
  <c r="O232" i="2" a="1"/>
  <c r="P232" i="2" a="1"/>
  <c r="O233" i="2" a="1"/>
  <c r="W232" i="2" l="1"/>
  <c r="W233" i="2"/>
  <c r="Q233" i="2"/>
  <c r="Q232" i="2"/>
  <c r="AA233" i="2" l="1"/>
  <c r="AB233" i="2" s="1"/>
  <c r="AA232" i="2"/>
  <c r="AB232" i="2" s="1"/>
  <c r="P236" i="2" a="1"/>
  <c r="O237" i="2" a="1"/>
  <c r="P237" i="2" a="1"/>
  <c r="O236" i="2" a="1"/>
  <c r="O235" i="2" a="1"/>
  <c r="P234" i="2" a="1"/>
  <c r="P235" i="2" a="1"/>
  <c r="O234" i="2" a="1"/>
  <c r="Q236" i="2" l="1"/>
  <c r="W237" i="2"/>
  <c r="W234" i="2"/>
  <c r="W236" i="2"/>
  <c r="W235" i="2"/>
  <c r="Q237" i="2"/>
  <c r="Q234" i="2"/>
  <c r="Q235" i="2"/>
  <c r="P238" i="2" a="1"/>
  <c r="P239" i="2" a="1"/>
  <c r="O238" i="2" a="1"/>
  <c r="O239" i="2" a="1"/>
  <c r="AA235" i="2" l="1"/>
  <c r="AB235" i="2" s="1"/>
  <c r="AA236" i="2"/>
  <c r="AB236" i="2" s="1"/>
  <c r="AA237" i="2"/>
  <c r="AB237" i="2" s="1"/>
  <c r="AA234" i="2"/>
  <c r="AB234" i="2" s="1"/>
  <c r="Q239" i="2"/>
  <c r="W238" i="2"/>
  <c r="Q238" i="2"/>
  <c r="W239" i="2"/>
  <c r="AA239" i="2" l="1"/>
  <c r="AB239" i="2" s="1"/>
  <c r="AA238" i="2"/>
  <c r="AB238" i="2" s="1"/>
  <c r="P241" i="2" l="1" a="1"/>
  <c r="P240" i="2" a="1"/>
  <c r="O241" i="2" a="1"/>
  <c r="O240" i="2" a="1"/>
  <c r="Q240" i="2" l="1"/>
  <c r="W241" i="2"/>
  <c r="W240" i="2"/>
  <c r="Q241" i="2"/>
  <c r="AA240" i="2" l="1"/>
  <c r="AB240" i="2" s="1"/>
  <c r="AA241" i="2"/>
  <c r="AB241" i="2" s="1"/>
  <c r="O242" i="2" a="1"/>
  <c r="P242" i="2" a="1"/>
  <c r="O243" i="2" a="1"/>
  <c r="P243" i="2" a="1"/>
  <c r="W242" i="2" l="1"/>
  <c r="Q243" i="2"/>
  <c r="W243" i="2"/>
  <c r="Q242" i="2"/>
  <c r="AA242" i="2" l="1"/>
  <c r="AB242" i="2" s="1"/>
  <c r="AA243" i="2"/>
  <c r="AB243" i="2" s="1"/>
  <c r="P244" i="2" l="1" a="1"/>
  <c r="O244" i="2" a="1"/>
  <c r="O247" i="2" a="1"/>
  <c r="O245" i="2" a="1"/>
  <c r="P247" i="2" a="1"/>
  <c r="O246" i="2" a="1"/>
  <c r="P246" i="2" a="1"/>
  <c r="P245" i="2" a="1"/>
  <c r="W244" i="2" l="1"/>
  <c r="Q247" i="2"/>
  <c r="Q246" i="2"/>
  <c r="Q245" i="2"/>
  <c r="W247" i="2"/>
  <c r="W245" i="2"/>
  <c r="W246" i="2"/>
  <c r="Q244" i="2"/>
  <c r="AA244" i="2" l="1"/>
  <c r="AB244" i="2" s="1"/>
  <c r="AA247" i="2"/>
  <c r="AB247" i="2" s="1"/>
  <c r="AA246" i="2"/>
  <c r="AB246" i="2" s="1"/>
  <c r="AA245" i="2"/>
  <c r="AB245" i="2" s="1"/>
  <c r="P248" i="2" a="1"/>
  <c r="P249" i="2" a="1"/>
  <c r="O249" i="2" a="1"/>
  <c r="O248" i="2" a="1"/>
  <c r="O250" i="2" a="1"/>
  <c r="P252" i="2" a="1"/>
  <c r="P251" i="2" a="1"/>
  <c r="O251" i="2" a="1"/>
  <c r="O252" i="2" a="1"/>
  <c r="P250" i="2" a="1"/>
  <c r="P253" i="2" a="1"/>
  <c r="P255" i="2" a="1"/>
  <c r="O255" i="2" l="1" a="1"/>
  <c r="O253" i="2" a="1"/>
  <c r="O254" i="2" a="1"/>
  <c r="P254" i="2" a="1"/>
  <c r="Q251" i="2"/>
  <c r="W252" i="2"/>
  <c r="W249" i="2"/>
  <c r="W248" i="2"/>
  <c r="Q252" i="2"/>
  <c r="W251" i="2"/>
  <c r="Q248" i="2"/>
  <c r="Q249" i="2"/>
  <c r="W250" i="2"/>
  <c r="Q250" i="2"/>
  <c r="AA252" i="2" l="1"/>
  <c r="AB252" i="2" s="1"/>
  <c r="Q254" i="2"/>
  <c r="W254" i="2"/>
  <c r="Q255" i="2"/>
  <c r="W255" i="2"/>
  <c r="AA255" i="2" s="1"/>
  <c r="AB255" i="2" s="1"/>
  <c r="Q253" i="2"/>
  <c r="W253" i="2"/>
  <c r="AA251" i="2"/>
  <c r="AB251" i="2" s="1"/>
  <c r="AA248" i="2"/>
  <c r="AB248" i="2" s="1"/>
  <c r="AA249" i="2"/>
  <c r="AB249" i="2" s="1"/>
  <c r="AA250" i="2"/>
  <c r="AB250" i="2" s="1"/>
  <c r="O256" i="2" a="1"/>
  <c r="O257" i="2" a="1"/>
  <c r="P256" i="2" a="1"/>
  <c r="P257" i="2" a="1"/>
  <c r="AA254" i="2" l="1"/>
  <c r="AB254" i="2" s="1"/>
  <c r="AA253" i="2"/>
  <c r="AB253" i="2" s="1"/>
  <c r="Q257" i="2"/>
  <c r="Q256" i="2"/>
  <c r="W257" i="2"/>
  <c r="W256" i="2"/>
  <c r="AA257" i="2" l="1"/>
  <c r="AB257" i="2" s="1"/>
  <c r="AA256" i="2"/>
  <c r="AB256" i="2" s="1"/>
  <c r="O258" i="2" a="1"/>
  <c r="P258" i="2" a="1"/>
  <c r="O259" i="2" a="1"/>
  <c r="P259" i="2" a="1"/>
  <c r="P263" i="2" l="1" a="1"/>
  <c r="P260" i="2" a="1"/>
  <c r="O263" i="2" a="1"/>
  <c r="O262" i="2" a="1"/>
  <c r="O261" i="2" a="1"/>
  <c r="P261" i="2" a="1"/>
  <c r="P262" i="2" a="1"/>
  <c r="O260" i="2" a="1"/>
  <c r="W259" i="2"/>
  <c r="Q258" i="2"/>
  <c r="Q259" i="2"/>
  <c r="W258" i="2"/>
  <c r="P264" i="2" a="1"/>
  <c r="O264" i="2" a="1"/>
  <c r="P265" i="2" a="1"/>
  <c r="O265" i="2" a="1"/>
  <c r="W263" i="2" l="1"/>
  <c r="Q263" i="2"/>
  <c r="AA263" i="2" s="1"/>
  <c r="AB263" i="2" s="1"/>
  <c r="Q260" i="2"/>
  <c r="W262" i="2"/>
  <c r="Q261" i="2"/>
  <c r="W261" i="2"/>
  <c r="Q262" i="2"/>
  <c r="W260" i="2"/>
  <c r="AA259" i="2"/>
  <c r="AB259" i="2" s="1"/>
  <c r="AA258" i="2"/>
  <c r="AB258" i="2" s="1"/>
  <c r="W264" i="2"/>
  <c r="W265" i="2"/>
  <c r="Q264" i="2"/>
  <c r="Q265" i="2"/>
  <c r="AA261" i="2" l="1"/>
  <c r="AB261" i="2" s="1"/>
  <c r="AA262" i="2"/>
  <c r="AB262" i="2" s="1"/>
  <c r="AA260" i="2"/>
  <c r="AB260" i="2" s="1"/>
  <c r="AA264" i="2"/>
  <c r="AB264" i="2" s="1"/>
  <c r="AA265" i="2"/>
  <c r="AB265" i="2" s="1"/>
  <c r="O266" i="2" l="1" a="1"/>
  <c r="O267" i="2" a="1"/>
  <c r="P266" i="2" a="1"/>
  <c r="P267" i="2" a="1"/>
  <c r="W267" i="2" l="1"/>
  <c r="W266" i="2"/>
  <c r="Q266" i="2"/>
  <c r="Q267" i="2"/>
  <c r="AA267" i="2" l="1"/>
  <c r="AB267" i="2" s="1"/>
  <c r="AA266" i="2"/>
  <c r="AB266" i="2" s="1"/>
  <c r="P268" i="2" l="1" a="1"/>
  <c r="O268" i="2" a="1"/>
  <c r="P269" i="2" a="1"/>
  <c r="O269" i="2" a="1"/>
  <c r="W268" i="2" l="1"/>
  <c r="W269" i="2"/>
  <c r="Q269" i="2"/>
  <c r="O272" i="2" a="1"/>
  <c r="P271" i="2" a="1"/>
  <c r="P274" i="2" a="1"/>
  <c r="O275" i="2" a="1"/>
  <c r="O274" i="2" a="1"/>
  <c r="P275" i="2" a="1"/>
  <c r="P270" i="2" a="1"/>
  <c r="P272" i="2" a="1"/>
  <c r="O271" i="2" a="1"/>
  <c r="W271" i="2" s="1"/>
  <c r="P273" i="2" a="1"/>
  <c r="O273" i="2" a="1"/>
  <c r="O270" i="2" a="1"/>
  <c r="Q268" i="2"/>
  <c r="Q275" i="2" l="1"/>
  <c r="AA269" i="2"/>
  <c r="AB269" i="2" s="1"/>
  <c r="AA268" i="2"/>
  <c r="AB268" i="2" s="1"/>
  <c r="W274" i="2"/>
  <c r="Q270" i="2"/>
  <c r="Q272" i="2"/>
  <c r="W273" i="2"/>
  <c r="W272" i="2"/>
  <c r="W275" i="2"/>
  <c r="AA275" i="2" s="1"/>
  <c r="AB275" i="2" s="1"/>
  <c r="Q273" i="2"/>
  <c r="W270" i="2"/>
  <c r="Q271" i="2"/>
  <c r="AA271" i="2" s="1"/>
  <c r="AB271" i="2" s="1"/>
  <c r="Q274" i="2"/>
  <c r="AA272" i="2" l="1"/>
  <c r="AB272" i="2" s="1"/>
  <c r="AA274" i="2"/>
  <c r="AB274" i="2" s="1"/>
  <c r="AA273" i="2"/>
  <c r="AB273" i="2" s="1"/>
  <c r="AA270" i="2"/>
  <c r="AB270" i="2" s="1"/>
  <c r="P276" i="2" a="1"/>
  <c r="P277" i="2" a="1"/>
  <c r="O276" i="2" a="1"/>
  <c r="O277" i="2" a="1"/>
  <c r="O278" i="2" a="1"/>
  <c r="P278" i="2" a="1"/>
  <c r="P279" i="2" a="1"/>
  <c r="O279" i="2" a="1"/>
  <c r="W276" i="2" l="1"/>
  <c r="Q277" i="2"/>
  <c r="W278" i="2"/>
  <c r="W279" i="2"/>
  <c r="Q276" i="2"/>
  <c r="W277" i="2"/>
  <c r="Q278" i="2"/>
  <c r="Q279" i="2"/>
  <c r="O282" i="2" a="1"/>
  <c r="P283" i="2" a="1"/>
  <c r="P282" i="2" a="1"/>
  <c r="O283" i="2" a="1"/>
  <c r="O285" i="2" a="1"/>
  <c r="P284" i="2" a="1"/>
  <c r="O284" i="2" a="1"/>
  <c r="P285" i="2" a="1"/>
  <c r="AA276" i="2" l="1"/>
  <c r="AB276" i="2" s="1"/>
  <c r="AA277" i="2"/>
  <c r="AB277" i="2" s="1"/>
  <c r="AA278" i="2"/>
  <c r="AB278" i="2" s="1"/>
  <c r="AA279" i="2"/>
  <c r="AB279" i="2" s="1"/>
  <c r="P281" i="2" a="1"/>
  <c r="O281" i="2" a="1"/>
  <c r="O280" i="2" a="1"/>
  <c r="P280" i="2" a="1"/>
  <c r="W282" i="2"/>
  <c r="W283" i="2"/>
  <c r="Q283" i="2"/>
  <c r="Q282" i="2"/>
  <c r="W284" i="2"/>
  <c r="Q285" i="2"/>
  <c r="W285" i="2"/>
  <c r="Q284" i="2"/>
  <c r="W281" i="2" l="1"/>
  <c r="W280" i="2"/>
  <c r="Q281" i="2"/>
  <c r="Q280" i="2"/>
  <c r="AA282" i="2"/>
  <c r="AB282" i="2" s="1"/>
  <c r="AA283" i="2"/>
  <c r="AB283" i="2" s="1"/>
  <c r="AA284" i="2"/>
  <c r="AB284" i="2" s="1"/>
  <c r="AA285" i="2"/>
  <c r="AB285" i="2" s="1"/>
  <c r="AA281" i="2" l="1"/>
  <c r="AB281" i="2" s="1"/>
  <c r="AA280" i="2"/>
  <c r="AB280" i="2" s="1"/>
  <c r="P287" i="2" a="1"/>
  <c r="O286" i="2" a="1"/>
  <c r="O287" i="2" a="1"/>
  <c r="P286" i="2" a="1"/>
  <c r="W286" i="2" l="1"/>
  <c r="Q287" i="2"/>
  <c r="Q286" i="2"/>
  <c r="W287" i="2"/>
  <c r="AA286" i="2" l="1"/>
  <c r="AB286" i="2" s="1"/>
  <c r="AA287" i="2"/>
  <c r="AB287" i="2" s="1"/>
  <c r="O290" i="2" a="1"/>
  <c r="P290" i="2" a="1"/>
  <c r="O291" i="2" a="1"/>
  <c r="O289" i="2" a="1"/>
  <c r="P288" i="2" a="1"/>
  <c r="O288" i="2" a="1"/>
  <c r="P289" i="2" a="1"/>
  <c r="P291" i="2" a="1"/>
  <c r="W291" i="2" l="1"/>
  <c r="Q290" i="2"/>
  <c r="W288" i="2"/>
  <c r="Q289" i="2"/>
  <c r="W290" i="2"/>
  <c r="W289" i="2"/>
  <c r="Q288" i="2"/>
  <c r="Q291" i="2"/>
  <c r="AA289" i="2" l="1"/>
  <c r="AB289" i="2" s="1"/>
  <c r="AA291" i="2"/>
  <c r="AB291" i="2" s="1"/>
  <c r="AA290" i="2"/>
  <c r="AB290" i="2" s="1"/>
  <c r="AA288" i="2"/>
  <c r="AB288" i="2" s="1"/>
  <c r="P294" i="2" a="1"/>
  <c r="O295" i="2" a="1"/>
  <c r="P295" i="2" a="1"/>
  <c r="O294" i="2" a="1"/>
  <c r="O293" i="2" l="1" a="1"/>
  <c r="P292" i="2" a="1"/>
  <c r="O292" i="2" a="1"/>
  <c r="P293" i="2" a="1"/>
  <c r="Q295" i="2"/>
  <c r="Q294" i="2"/>
  <c r="W295" i="2"/>
  <c r="W294" i="2"/>
  <c r="W292" i="2" l="1"/>
  <c r="Q293" i="2"/>
  <c r="W293" i="2"/>
  <c r="Q292" i="2"/>
  <c r="AA295" i="2"/>
  <c r="AB295" i="2" s="1"/>
  <c r="O299" i="2" a="1"/>
  <c r="P298" i="2" a="1"/>
  <c r="P299" i="2" a="1"/>
  <c r="O298" i="2" a="1"/>
  <c r="AA294" i="2"/>
  <c r="AB294" i="2" s="1"/>
  <c r="P297" i="2" l="1" a="1"/>
  <c r="O297" i="2" a="1"/>
  <c r="P296" i="2" a="1"/>
  <c r="O296" i="2" a="1"/>
  <c r="AA292" i="2"/>
  <c r="AB292" i="2" s="1"/>
  <c r="AA293" i="2"/>
  <c r="AB293" i="2" s="1"/>
  <c r="Q299" i="2"/>
  <c r="W298" i="2"/>
  <c r="W299" i="2"/>
  <c r="Q298" i="2"/>
  <c r="Q297" i="2" l="1"/>
  <c r="Q296" i="2"/>
  <c r="W297" i="2"/>
  <c r="W296" i="2"/>
  <c r="AA299" i="2"/>
  <c r="AB299" i="2" s="1"/>
  <c r="AA298" i="2"/>
  <c r="AB298" i="2" s="1"/>
  <c r="P301" i="2" a="1"/>
  <c r="O300" i="2" a="1"/>
  <c r="O301" i="2" a="1"/>
  <c r="P300" i="2" a="1"/>
  <c r="AA297" i="2" l="1"/>
  <c r="AB297" i="2" s="1"/>
  <c r="AA296" i="2"/>
  <c r="AB296" i="2" s="1"/>
  <c r="Q301" i="2"/>
  <c r="W300" i="2"/>
  <c r="W301" i="2"/>
  <c r="Q300" i="2"/>
  <c r="AA300" i="2" l="1"/>
  <c r="AB300" i="2" s="1"/>
  <c r="AA301" i="2"/>
  <c r="AB301" i="2" s="1"/>
  <c r="P303" i="2" a="1"/>
  <c r="P302" i="2" a="1"/>
  <c r="O302" i="2" a="1"/>
  <c r="O303" i="2" a="1"/>
  <c r="W303" i="2" l="1"/>
  <c r="W302" i="2"/>
  <c r="Q303" i="2"/>
  <c r="Q302" i="2"/>
  <c r="AA303" i="2" l="1"/>
  <c r="AB303" i="2" s="1"/>
  <c r="O304" i="2" a="1"/>
  <c r="O305" i="2" a="1"/>
  <c r="P304" i="2" a="1"/>
  <c r="P305" i="2" a="1"/>
  <c r="AA302" i="2"/>
  <c r="AB302" i="2" s="1"/>
  <c r="W304" i="2" l="1"/>
  <c r="Q305" i="2"/>
  <c r="W305" i="2"/>
  <c r="Q304" i="2"/>
  <c r="AA305" i="2" l="1"/>
  <c r="AB305" i="2" s="1"/>
  <c r="AA304" i="2"/>
  <c r="AB304" i="2" s="1"/>
  <c r="P311" i="2" l="1" a="1"/>
  <c r="O310" i="2" a="1"/>
  <c r="P306" i="2" a="1"/>
  <c r="P307" i="2" a="1"/>
  <c r="O309" i="2" a="1"/>
  <c r="P309" i="2" a="1"/>
  <c r="O306" i="2" a="1"/>
  <c r="O308" i="2" a="1"/>
  <c r="O307" i="2" a="1"/>
  <c r="P308" i="2" a="1"/>
  <c r="O311" i="2" a="1"/>
  <c r="P310" i="2" a="1"/>
  <c r="Q306" i="2" l="1"/>
  <c r="W310" i="2"/>
  <c r="W309" i="2"/>
  <c r="W307" i="2"/>
  <c r="Q308" i="2"/>
  <c r="W311" i="2"/>
  <c r="Q311" i="2"/>
  <c r="AA311" i="2" s="1"/>
  <c r="AB311" i="2" s="1"/>
  <c r="Q307" i="2"/>
  <c r="Q309" i="2"/>
  <c r="W306" i="2"/>
  <c r="W308" i="2"/>
  <c r="Q310" i="2"/>
  <c r="P315" i="2" a="1"/>
  <c r="P312" i="2" a="1"/>
  <c r="O312" i="2" a="1"/>
  <c r="P314" i="2" a="1"/>
  <c r="O314" i="2" a="1"/>
  <c r="Q314" i="2" l="1"/>
  <c r="AA310" i="2"/>
  <c r="AB310" i="2" s="1"/>
  <c r="W312" i="2"/>
  <c r="AA307" i="2"/>
  <c r="AB307" i="2" s="1"/>
  <c r="AA306" i="2"/>
  <c r="AB306" i="2" s="1"/>
  <c r="AA309" i="2"/>
  <c r="AB309" i="2" s="1"/>
  <c r="W314" i="2"/>
  <c r="AA308" i="2"/>
  <c r="AB308" i="2" s="1"/>
  <c r="Q312" i="2"/>
  <c r="O313" i="2" a="1"/>
  <c r="P313" i="2" a="1"/>
  <c r="O315" i="2" a="1"/>
  <c r="O316" i="2" a="1"/>
  <c r="P317" i="2" a="1"/>
  <c r="P316" i="2" a="1"/>
  <c r="O317" i="2" a="1"/>
  <c r="AA314" i="2" l="1"/>
  <c r="AB314" i="2" s="1"/>
  <c r="AA312" i="2"/>
  <c r="AB312" i="2" s="1"/>
  <c r="Q313" i="2"/>
  <c r="Q315" i="2"/>
  <c r="W315" i="2"/>
  <c r="W313" i="2"/>
  <c r="Q317" i="2"/>
  <c r="Q316" i="2"/>
  <c r="W316" i="2"/>
  <c r="W317" i="2"/>
  <c r="AA313" i="2" l="1"/>
  <c r="AB313" i="2" s="1"/>
  <c r="AA315" i="2"/>
  <c r="AB315" i="2" s="1"/>
  <c r="AA316" i="2"/>
  <c r="AB316" i="2" s="1"/>
  <c r="AA317" i="2"/>
  <c r="AB317" i="2" s="1"/>
  <c r="O324" i="2" a="1"/>
  <c r="O325" i="2" a="1"/>
  <c r="P325" i="2" a="1"/>
  <c r="P324" i="2" a="1"/>
  <c r="O318" i="2" l="1" a="1"/>
  <c r="P321" i="2" a="1"/>
  <c r="P319" i="2" a="1"/>
  <c r="P320" i="2" a="1"/>
  <c r="P322" i="2" a="1"/>
  <c r="O323" i="2" a="1"/>
  <c r="O322" i="2" a="1"/>
  <c r="O319" i="2" a="1"/>
  <c r="P318" i="2" a="1"/>
  <c r="O321" i="2" a="1"/>
  <c r="P323" i="2" a="1"/>
  <c r="O320" i="2" a="1"/>
  <c r="W325" i="2"/>
  <c r="Q324" i="2"/>
  <c r="W324" i="2"/>
  <c r="Q325" i="2"/>
  <c r="Q318" i="2" l="1"/>
  <c r="W323" i="2"/>
  <c r="Q322" i="2"/>
  <c r="Q321" i="2"/>
  <c r="Q319" i="2"/>
  <c r="Q320" i="2"/>
  <c r="W318" i="2"/>
  <c r="W322" i="2"/>
  <c r="W319" i="2"/>
  <c r="W321" i="2"/>
  <c r="W320" i="2"/>
  <c r="Q323" i="2"/>
  <c r="AA324" i="2"/>
  <c r="AB324" i="2" s="1"/>
  <c r="AA325" i="2"/>
  <c r="AB325" i="2" s="1"/>
  <c r="AA318" i="2" l="1"/>
  <c r="AB318" i="2" s="1"/>
  <c r="AA323" i="2"/>
  <c r="AB323" i="2" s="1"/>
  <c r="AA322" i="2"/>
  <c r="AB322" i="2" s="1"/>
  <c r="AA321" i="2"/>
  <c r="AB321" i="2" s="1"/>
  <c r="AA319" i="2"/>
  <c r="AB319" i="2" s="1"/>
  <c r="AA320" i="2"/>
  <c r="AB320" i="2" s="1"/>
  <c r="O327" i="2" a="1"/>
  <c r="P329" i="2" a="1"/>
  <c r="P326" i="2" a="1"/>
  <c r="P327" i="2" a="1"/>
  <c r="O326" i="2" a="1"/>
  <c r="P328" i="2" a="1"/>
  <c r="O329" i="2" a="1"/>
  <c r="O328" i="2" a="1"/>
  <c r="O330" i="2" a="1"/>
  <c r="P330" i="2" a="1"/>
  <c r="O331" i="2" a="1"/>
  <c r="P331" i="2" a="1"/>
  <c r="Q331" i="2" l="1"/>
  <c r="Q328" i="2"/>
  <c r="W326" i="2"/>
  <c r="Q327" i="2"/>
  <c r="W329" i="2"/>
  <c r="Q330" i="2"/>
  <c r="W327" i="2"/>
  <c r="Q329" i="2"/>
  <c r="Q326" i="2"/>
  <c r="W328" i="2"/>
  <c r="W330" i="2"/>
  <c r="W331" i="2"/>
  <c r="AA331" i="2" s="1"/>
  <c r="AB331" i="2" s="1"/>
  <c r="AA328" i="2" l="1"/>
  <c r="AB328" i="2" s="1"/>
  <c r="O333" i="2" a="1"/>
  <c r="P332" i="2" a="1"/>
  <c r="P333" i="2" a="1"/>
  <c r="O332" i="2" a="1"/>
  <c r="AA329" i="2"/>
  <c r="AB329" i="2" s="1"/>
  <c r="AA326" i="2"/>
  <c r="AB326" i="2" s="1"/>
  <c r="AA330" i="2"/>
  <c r="AB330" i="2" s="1"/>
  <c r="AA327" i="2"/>
  <c r="AB327" i="2" s="1"/>
  <c r="Q333" i="2" l="1"/>
  <c r="Q332" i="2"/>
  <c r="W333" i="2"/>
  <c r="W332" i="2"/>
  <c r="P335" i="2" a="1"/>
  <c r="O334" i="2" a="1"/>
  <c r="P334" i="2" a="1"/>
  <c r="O335" i="2" a="1"/>
  <c r="AA333" i="2" l="1"/>
  <c r="AB333" i="2" s="1"/>
  <c r="AA332" i="2"/>
  <c r="AB332" i="2" s="1"/>
  <c r="W335" i="2"/>
  <c r="Q334" i="2"/>
  <c r="Q335" i="2"/>
  <c r="W334" i="2"/>
  <c r="AA335" i="2" l="1"/>
  <c r="AB335" i="2" s="1"/>
  <c r="AA334" i="2"/>
  <c r="AB334" i="2" s="1"/>
  <c r="O336" i="2" l="1" a="1"/>
  <c r="P336" i="2" a="1"/>
  <c r="O337" i="2" a="1"/>
  <c r="P337" i="2" a="1"/>
  <c r="Q336" i="2" l="1"/>
  <c r="Q337" i="2"/>
  <c r="W336" i="2"/>
  <c r="W337" i="2"/>
  <c r="AA336" i="2" l="1"/>
  <c r="AB336" i="2" s="1"/>
  <c r="AA337" i="2"/>
  <c r="AB337" i="2" s="1"/>
  <c r="P338" i="2" a="1"/>
  <c r="O338" i="2" a="1"/>
  <c r="O339" i="2" a="1"/>
  <c r="P339" i="2" a="1"/>
  <c r="O342" i="2" a="1"/>
  <c r="O343" i="2" a="1"/>
  <c r="P343" i="2" a="1"/>
  <c r="P342" i="2" a="1"/>
  <c r="P341" i="2" a="1"/>
  <c r="P340" i="2" a="1"/>
  <c r="O341" i="2" a="1"/>
  <c r="O340" i="2" a="1"/>
  <c r="P344" i="2" a="1"/>
  <c r="O345" i="2" a="1"/>
  <c r="O344" i="2" a="1"/>
  <c r="P345" i="2" a="1"/>
  <c r="Q339" i="2" l="1"/>
  <c r="W338" i="2"/>
  <c r="Q340" i="2"/>
  <c r="Q344" i="2"/>
  <c r="W343" i="2"/>
  <c r="W342" i="2"/>
  <c r="Q343" i="2"/>
  <c r="W341" i="2"/>
  <c r="W345" i="2"/>
  <c r="W339" i="2"/>
  <c r="AA339" i="2" s="1"/>
  <c r="AB339" i="2" s="1"/>
  <c r="Q341" i="2"/>
  <c r="Q342" i="2"/>
  <c r="W340" i="2"/>
  <c r="W344" i="2"/>
  <c r="Q345" i="2"/>
  <c r="Q338" i="2"/>
  <c r="P348" i="2" a="1"/>
  <c r="O349" i="2" a="1"/>
  <c r="P347" i="2" a="1"/>
  <c r="O346" i="2" a="1"/>
  <c r="AA343" i="2" l="1"/>
  <c r="AB343" i="2" s="1"/>
  <c r="AA340" i="2"/>
  <c r="AB340" i="2" s="1"/>
  <c r="AA344" i="2"/>
  <c r="AB344" i="2" s="1"/>
  <c r="AA338" i="2"/>
  <c r="AB338" i="2" s="1"/>
  <c r="AA341" i="2"/>
  <c r="AB341" i="2" s="1"/>
  <c r="AA342" i="2"/>
  <c r="AB342" i="2" s="1"/>
  <c r="AA345" i="2"/>
  <c r="AB345" i="2" s="1"/>
  <c r="P351" i="2" a="1"/>
  <c r="O350" i="2" a="1"/>
  <c r="O351" i="2" a="1"/>
  <c r="P350" i="2" a="1"/>
  <c r="O352" i="2" a="1"/>
  <c r="P352" i="2" a="1"/>
  <c r="O353" i="2" a="1"/>
  <c r="P353" i="2" a="1"/>
  <c r="O347" i="2" l="1" a="1"/>
  <c r="P346" i="2" a="1"/>
  <c r="O348" i="2" a="1"/>
  <c r="P349" i="2" a="1"/>
  <c r="Q350" i="2"/>
  <c r="Q351" i="2"/>
  <c r="W350" i="2"/>
  <c r="W351" i="2"/>
  <c r="Q352" i="2"/>
  <c r="W352" i="2"/>
  <c r="W353" i="2"/>
  <c r="Q353" i="2"/>
  <c r="Q347" i="2" l="1"/>
  <c r="W347" i="2"/>
  <c r="Q346" i="2"/>
  <c r="W346" i="2"/>
  <c r="Q348" i="2"/>
  <c r="W348" i="2"/>
  <c r="Q349" i="2"/>
  <c r="W349" i="2"/>
  <c r="AA351" i="2"/>
  <c r="AB351" i="2" s="1"/>
  <c r="AA350" i="2"/>
  <c r="AB350" i="2" s="1"/>
  <c r="AA352" i="2"/>
  <c r="AB352" i="2" s="1"/>
  <c r="AA353" i="2"/>
  <c r="AB353" i="2" s="1"/>
  <c r="AA347" i="2" l="1"/>
  <c r="AB347" i="2" s="1"/>
  <c r="AA346" i="2"/>
  <c r="AB346" i="2" s="1"/>
  <c r="AA349" i="2"/>
  <c r="AB349" i="2" s="1"/>
  <c r="P357" i="2" s="1" a="1"/>
  <c r="AA348" i="2"/>
  <c r="AB348" i="2" s="1"/>
  <c r="O357" i="2" a="1"/>
  <c r="P356" i="2" a="1"/>
  <c r="O356" i="2" a="1"/>
  <c r="P355" i="2" a="1"/>
  <c r="O354" i="2" a="1"/>
  <c r="P354" i="2" a="1"/>
  <c r="O355" i="2" a="1"/>
  <c r="Q356" i="2" l="1"/>
  <c r="Q355" i="2"/>
  <c r="W356" i="2"/>
  <c r="Q354" i="2"/>
  <c r="W355" i="2"/>
  <c r="W354" i="2"/>
  <c r="Q357" i="2"/>
  <c r="W357" i="2"/>
  <c r="AA356" i="2" l="1"/>
  <c r="AB356" i="2" s="1"/>
  <c r="AA355" i="2"/>
  <c r="AB355" i="2" s="1"/>
  <c r="AA354" i="2"/>
  <c r="AB354" i="2" s="1"/>
  <c r="AA357" i="2"/>
  <c r="AB357" i="2" s="1"/>
  <c r="P359" i="2" a="1"/>
  <c r="P358" i="2" a="1"/>
  <c r="O359" i="2" a="1"/>
  <c r="O358" i="2" a="1"/>
  <c r="W358" i="2" l="1"/>
  <c r="W359" i="2"/>
  <c r="Q359" i="2"/>
  <c r="Q358" i="2"/>
  <c r="AA358" i="2" l="1"/>
  <c r="AB358" i="2" s="1"/>
  <c r="AA359" i="2"/>
  <c r="AB359" i="2" s="1"/>
  <c r="O360" i="2" l="1" a="1"/>
  <c r="O361" i="2" a="1"/>
  <c r="P360" i="2" a="1"/>
  <c r="P361" i="2" a="1"/>
  <c r="W361" i="2" l="1"/>
  <c r="Q360" i="2"/>
  <c r="Q361" i="2"/>
  <c r="W360" i="2"/>
  <c r="O367" i="2" a="1"/>
  <c r="O366" i="2" a="1"/>
  <c r="P366" i="2" a="1"/>
  <c r="P367" i="2" a="1"/>
  <c r="AA361" i="2" l="1"/>
  <c r="AB361" i="2" s="1"/>
  <c r="AA360" i="2"/>
  <c r="AB360" i="2" s="1"/>
  <c r="O365" i="2" a="1"/>
  <c r="P364" i="2" a="1"/>
  <c r="P365" i="2" a="1"/>
  <c r="O364" i="2" a="1"/>
  <c r="O362" i="2" a="1"/>
  <c r="O363" i="2" a="1"/>
  <c r="P362" i="2" a="1"/>
  <c r="P363" i="2" a="1"/>
  <c r="Q366" i="2"/>
  <c r="Q367" i="2"/>
  <c r="W367" i="2"/>
  <c r="W366" i="2"/>
  <c r="W363" i="2" l="1"/>
  <c r="Q365" i="2"/>
  <c r="Q362" i="2"/>
  <c r="W364" i="2"/>
  <c r="W365" i="2"/>
  <c r="Q364" i="2"/>
  <c r="W362" i="2"/>
  <c r="Q363" i="2"/>
  <c r="AA367" i="2"/>
  <c r="AB367" i="2" s="1"/>
  <c r="AA366" i="2"/>
  <c r="AB366" i="2" s="1"/>
  <c r="P369" i="2" a="1"/>
  <c r="O369" i="2" a="1"/>
  <c r="P368" i="2" a="1"/>
  <c r="O368" i="2" a="1"/>
  <c r="AA365" i="2" l="1"/>
  <c r="AB365" i="2" s="1"/>
  <c r="AA363" i="2"/>
  <c r="AB363" i="2" s="1"/>
  <c r="AA364" i="2"/>
  <c r="AB364" i="2" s="1"/>
  <c r="AA362" i="2"/>
  <c r="AB362" i="2" s="1"/>
  <c r="W369" i="2"/>
  <c r="W368" i="2"/>
  <c r="Q368" i="2"/>
  <c r="Q369" i="2"/>
  <c r="AA369" i="2" l="1"/>
  <c r="AB369" i="2" s="1"/>
  <c r="P371" i="2" a="1"/>
  <c r="P370" i="2" a="1"/>
  <c r="O371" i="2" a="1"/>
  <c r="O370" i="2" a="1"/>
  <c r="AA368" i="2"/>
  <c r="AB368" i="2" s="1"/>
  <c r="Q370" i="2" l="1"/>
  <c r="W371" i="2"/>
  <c r="W370" i="2"/>
  <c r="Q371" i="2"/>
  <c r="AA371" i="2" l="1"/>
  <c r="AB371" i="2" s="1"/>
  <c r="AA370" i="2"/>
  <c r="AB370" i="2" s="1"/>
  <c r="P372" i="2" l="1" a="1"/>
  <c r="O372" i="2" a="1"/>
  <c r="P373" i="2" a="1"/>
  <c r="O373" i="2" a="1"/>
  <c r="O375" i="2" a="1"/>
  <c r="P374" i="2" a="1"/>
  <c r="O374" i="2" a="1"/>
  <c r="O376" i="2" a="1"/>
  <c r="O377" i="2" a="1"/>
  <c r="P376" i="2" a="1"/>
  <c r="P377" i="2" a="1"/>
  <c r="P375" i="2" a="1"/>
  <c r="W373" i="2" l="1"/>
  <c r="W372" i="2"/>
  <c r="Q372" i="2"/>
  <c r="AA372" i="2" s="1"/>
  <c r="AB372" i="2" s="1"/>
  <c r="Q373" i="2"/>
  <c r="Q377" i="2"/>
  <c r="Q374" i="2"/>
  <c r="W375" i="2"/>
  <c r="W376" i="2"/>
  <c r="W374" i="2"/>
  <c r="W377" i="2"/>
  <c r="Q376" i="2"/>
  <c r="Q375" i="2"/>
  <c r="AA373" i="2" l="1"/>
  <c r="AB373" i="2" s="1"/>
  <c r="AA377" i="2"/>
  <c r="AB377" i="2" s="1"/>
  <c r="P379" i="2" a="1"/>
  <c r="P378" i="2" a="1"/>
  <c r="O379" i="2" a="1"/>
  <c r="O378" i="2" a="1"/>
  <c r="AA374" i="2"/>
  <c r="AB374" i="2" s="1"/>
  <c r="AA376" i="2"/>
  <c r="AB376" i="2" s="1"/>
  <c r="AA375" i="2"/>
  <c r="AB375" i="2" s="1"/>
  <c r="Q378" i="2" l="1"/>
  <c r="W379" i="2"/>
  <c r="Q379" i="2"/>
  <c r="W378" i="2"/>
  <c r="AA379" i="2" l="1"/>
  <c r="AB379" i="2" s="1"/>
  <c r="AA378" i="2"/>
  <c r="AB378" i="2" s="1"/>
  <c r="O381" i="2" a="1"/>
  <c r="P381" i="2" a="1"/>
  <c r="P380" i="2" a="1"/>
  <c r="O380" i="2" a="1"/>
  <c r="Q380" i="2" l="1"/>
  <c r="W381" i="2"/>
  <c r="Q381" i="2"/>
  <c r="W380" i="2"/>
  <c r="AA380" i="2" l="1"/>
  <c r="AB380" i="2" s="1"/>
  <c r="AA381" i="2"/>
  <c r="AB381" i="2" s="1"/>
  <c r="P388" i="2" a="1"/>
  <c r="P389" i="2" a="1"/>
  <c r="O388" i="2" a="1"/>
  <c r="O391" i="2" a="1"/>
  <c r="P391" i="2" a="1"/>
  <c r="P390" i="2" a="1"/>
  <c r="O389" i="2" a="1"/>
  <c r="O390" i="2" a="1"/>
  <c r="O382" i="2" l="1" a="1"/>
  <c r="O385" i="2" a="1"/>
  <c r="P383" i="2" a="1"/>
  <c r="O383" i="2" a="1"/>
  <c r="O386" i="2" a="1"/>
  <c r="P382" i="2" a="1"/>
  <c r="P386" i="2" a="1"/>
  <c r="O384" i="2" a="1"/>
  <c r="P385" i="2" a="1"/>
  <c r="Q385" i="2" s="1"/>
  <c r="O387" i="2" a="1"/>
  <c r="P384" i="2" a="1"/>
  <c r="P387" i="2" a="1"/>
  <c r="Q391" i="2"/>
  <c r="Q390" i="2"/>
  <c r="Q389" i="2"/>
  <c r="W388" i="2"/>
  <c r="Q388" i="2"/>
  <c r="W391" i="2"/>
  <c r="W389" i="2"/>
  <c r="W390" i="2"/>
  <c r="Q384" i="2" l="1"/>
  <c r="W386" i="2"/>
  <c r="W383" i="2"/>
  <c r="W382" i="2"/>
  <c r="Q387" i="2"/>
  <c r="Q383" i="2"/>
  <c r="Q382" i="2"/>
  <c r="Q386" i="2"/>
  <c r="W384" i="2"/>
  <c r="W387" i="2"/>
  <c r="W385" i="2"/>
  <c r="AA385" i="2" s="1"/>
  <c r="AB385" i="2" s="1"/>
  <c r="AA390" i="2"/>
  <c r="AB390" i="2" s="1"/>
  <c r="AA391" i="2"/>
  <c r="AB391" i="2" s="1"/>
  <c r="AA388" i="2"/>
  <c r="AB388" i="2" s="1"/>
  <c r="AA389" i="2"/>
  <c r="AB389" i="2" s="1"/>
  <c r="P395" i="2" a="1"/>
  <c r="O395" i="2" a="1"/>
  <c r="O394" i="2" a="1"/>
  <c r="P394" i="2" a="1"/>
  <c r="AA386" i="2" l="1"/>
  <c r="AB386" i="2" s="1"/>
  <c r="AA384" i="2"/>
  <c r="AB384" i="2" s="1"/>
  <c r="AA383" i="2"/>
  <c r="AB383" i="2" s="1"/>
  <c r="AA382" i="2"/>
  <c r="AB382" i="2" s="1"/>
  <c r="AA387" i="2"/>
  <c r="AB387" i="2" s="1"/>
  <c r="W395" i="2"/>
  <c r="Q394" i="2"/>
  <c r="Q395" i="2"/>
  <c r="W394" i="2"/>
  <c r="O393" i="2" l="1" a="1"/>
  <c r="P392" i="2" a="1"/>
  <c r="O392" i="2" a="1"/>
  <c r="P393" i="2" a="1"/>
  <c r="AA395" i="2"/>
  <c r="AB395" i="2" s="1"/>
  <c r="O396" i="2" a="1"/>
  <c r="P396" i="2" a="1"/>
  <c r="P397" i="2" a="1"/>
  <c r="O397" i="2" a="1"/>
  <c r="AA394" i="2"/>
  <c r="AB394" i="2" s="1"/>
  <c r="W392" i="2" l="1"/>
  <c r="Q392" i="2"/>
  <c r="W393" i="2"/>
  <c r="Q393" i="2"/>
  <c r="Q396" i="2"/>
  <c r="Q397" i="2"/>
  <c r="W396" i="2"/>
  <c r="W397" i="2"/>
  <c r="AA392" i="2" l="1"/>
  <c r="AB392" i="2" s="1"/>
  <c r="AA393" i="2"/>
  <c r="AB393" i="2" s="1"/>
  <c r="AA396" i="2"/>
  <c r="AB396" i="2" s="1"/>
  <c r="AA397" i="2"/>
  <c r="AB397" i="2" s="1"/>
  <c r="O399" i="2" a="1"/>
  <c r="P399" i="2" a="1"/>
  <c r="P398" i="2" a="1"/>
  <c r="O398" i="2" a="1"/>
  <c r="W399" i="2" l="1"/>
  <c r="Q399" i="2"/>
  <c r="W398" i="2"/>
  <c r="Q398" i="2"/>
  <c r="AA399" i="2" l="1"/>
  <c r="AB399" i="2" s="1"/>
  <c r="O401" i="2" a="1"/>
  <c r="P400" i="2" a="1"/>
  <c r="P401" i="2" a="1"/>
  <c r="O400" i="2" a="1"/>
  <c r="AA398" i="2"/>
  <c r="AB398" i="2" s="1"/>
  <c r="W401" i="2" l="1"/>
  <c r="Q400" i="2"/>
  <c r="Q401" i="2"/>
  <c r="W400" i="2"/>
  <c r="O404" i="2" a="1"/>
  <c r="P404" i="2" a="1"/>
  <c r="O405" i="2" a="1"/>
  <c r="P402" i="2" a="1"/>
  <c r="O403" i="2" a="1"/>
  <c r="O402" i="2" a="1"/>
  <c r="P405" i="2" a="1"/>
  <c r="P403" i="2" a="1"/>
  <c r="W402" i="2" l="1"/>
  <c r="AA401" i="2"/>
  <c r="AB401" i="2" s="1"/>
  <c r="W404" i="2"/>
  <c r="AA400" i="2"/>
  <c r="AB400" i="2" s="1"/>
  <c r="P409" i="2" s="1" a="1"/>
  <c r="Q405" i="2"/>
  <c r="Q403" i="2"/>
  <c r="Q404" i="2"/>
  <c r="W405" i="2"/>
  <c r="Q402" i="2"/>
  <c r="W403" i="2"/>
  <c r="O411" i="2" a="1"/>
  <c r="O409" i="2" a="1"/>
  <c r="O408" i="2" a="1"/>
  <c r="P411" i="2" a="1"/>
  <c r="P408" i="2" a="1"/>
  <c r="O410" i="2" a="1"/>
  <c r="P410" i="2" a="1"/>
  <c r="AA402" i="2" l="1"/>
  <c r="AB402" i="2" s="1"/>
  <c r="AA404" i="2"/>
  <c r="AB404" i="2" s="1"/>
  <c r="AA405" i="2"/>
  <c r="AB405" i="2" s="1"/>
  <c r="AA403" i="2"/>
  <c r="AB403" i="2" s="1"/>
  <c r="P406" i="2" a="1"/>
  <c r="O407" i="2" a="1"/>
  <c r="P407" i="2" a="1"/>
  <c r="O406" i="2" a="1"/>
  <c r="W411" i="2"/>
  <c r="Q410" i="2"/>
  <c r="Q408" i="2"/>
  <c r="W409" i="2"/>
  <c r="W408" i="2"/>
  <c r="Q411" i="2"/>
  <c r="W410" i="2"/>
  <c r="Q409" i="2"/>
  <c r="W406" i="2" l="1"/>
  <c r="W407" i="2"/>
  <c r="Q406" i="2"/>
  <c r="Q407" i="2"/>
  <c r="AA408" i="2"/>
  <c r="AB408" i="2" s="1"/>
  <c r="AA411" i="2"/>
  <c r="AB411" i="2" s="1"/>
  <c r="AA410" i="2"/>
  <c r="AB410" i="2" s="1"/>
  <c r="AA409" i="2"/>
  <c r="AB409" i="2" s="1"/>
  <c r="O412" i="2" a="1"/>
  <c r="P412" i="2" a="1"/>
  <c r="P413" i="2" a="1"/>
  <c r="O413" i="2" a="1"/>
  <c r="AA406" i="2" l="1"/>
  <c r="AB406" i="2" s="1"/>
  <c r="AA407" i="2"/>
  <c r="AB407" i="2" s="1"/>
  <c r="Q412" i="2"/>
  <c r="W413" i="2"/>
  <c r="W412" i="2"/>
  <c r="Q413" i="2"/>
  <c r="AA412" i="2" l="1"/>
  <c r="AB412" i="2" s="1"/>
  <c r="AA413" i="2"/>
  <c r="AB413" i="2" s="1"/>
  <c r="P415" i="2" l="1" a="1"/>
  <c r="P414" i="2" a="1"/>
  <c r="O415" i="2" a="1"/>
  <c r="O414" i="2" a="1"/>
  <c r="Q414" i="2" l="1"/>
  <c r="W415" i="2"/>
  <c r="Q415" i="2"/>
  <c r="W414" i="2"/>
  <c r="AA415" i="2" l="1"/>
  <c r="AB415" i="2" s="1"/>
  <c r="AA414" i="2"/>
  <c r="AB414" i="2" s="1"/>
  <c r="O417" i="2" a="1"/>
  <c r="O416" i="2" a="1"/>
  <c r="P417" i="2" a="1"/>
  <c r="P416" i="2" a="1"/>
  <c r="P418" i="2" a="1"/>
  <c r="O418" i="2" a="1"/>
  <c r="P419" i="2" a="1"/>
  <c r="O419" i="2" a="1"/>
  <c r="P420" i="2" a="1"/>
  <c r="O421" i="2" a="1"/>
  <c r="P421" i="2" a="1"/>
  <c r="O420" i="2" a="1"/>
  <c r="AX5" i="3" a="1"/>
  <c r="Q417" i="2" l="1"/>
  <c r="Q419" i="2"/>
  <c r="W417" i="2"/>
  <c r="Q418" i="2"/>
  <c r="W416" i="2"/>
  <c r="Q416" i="2"/>
  <c r="W418" i="2"/>
  <c r="W419" i="2"/>
  <c r="Q421" i="2"/>
  <c r="W421" i="2"/>
  <c r="W420" i="2"/>
  <c r="Q420" i="2"/>
  <c r="AA417" i="2" l="1"/>
  <c r="AB417" i="2" s="1"/>
  <c r="AA419" i="2"/>
  <c r="AB419" i="2" s="1"/>
  <c r="AA416" i="2"/>
  <c r="AB416" i="2" s="1"/>
  <c r="AA418" i="2"/>
  <c r="AB418" i="2" s="1"/>
  <c r="AA421" i="2"/>
  <c r="AB421" i="2" s="1"/>
  <c r="AA420" i="2"/>
  <c r="AB420" i="2" s="1"/>
  <c r="O422" i="2" l="1" a="1"/>
  <c r="P422" i="2" a="1"/>
  <c r="O423" i="2" a="1"/>
  <c r="P423" i="2" a="1"/>
  <c r="O425" i="2" a="1"/>
  <c r="P424" i="2" a="1"/>
  <c r="P425" i="2" a="1"/>
  <c r="O424" i="2" a="1"/>
  <c r="W423" i="2" l="1"/>
  <c r="W422" i="2"/>
  <c r="Q422" i="2"/>
  <c r="Q423" i="2"/>
  <c r="AA423" i="2" s="1"/>
  <c r="AB423" i="2" s="1"/>
  <c r="Q425" i="2"/>
  <c r="W425" i="2"/>
  <c r="W424" i="2"/>
  <c r="Q424" i="2"/>
  <c r="AA422" i="2" l="1"/>
  <c r="AB422" i="2" s="1"/>
  <c r="O429" i="2" a="1"/>
  <c r="O431" i="2" a="1"/>
  <c r="P429" i="2" a="1"/>
  <c r="AA425" i="2"/>
  <c r="AB425" i="2" s="1"/>
  <c r="AA424" i="2"/>
  <c r="AB424" i="2" s="1"/>
  <c r="AX2" i="3" a="1"/>
  <c r="P430" i="2" l="1" a="1"/>
  <c r="P431" i="2" a="1"/>
  <c r="O430" i="2" a="1"/>
  <c r="O428" i="2" a="1"/>
  <c r="P428" i="2" a="1"/>
  <c r="P427" i="2" a="1"/>
  <c r="O427" i="2" a="1"/>
  <c r="P426" i="2" a="1"/>
  <c r="O426" i="2" a="1"/>
  <c r="W429" i="2"/>
  <c r="Q429" i="2"/>
  <c r="AX9" i="3" a="1"/>
  <c r="W426" i="2" l="1"/>
  <c r="W427" i="2"/>
  <c r="W428" i="2"/>
  <c r="Q428" i="2"/>
  <c r="Q426" i="2"/>
  <c r="Q427" i="2"/>
  <c r="W431" i="2"/>
  <c r="Q431" i="2"/>
  <c r="W430" i="2"/>
  <c r="Q430" i="2"/>
  <c r="AA429" i="2"/>
  <c r="AB429" i="2" s="1"/>
  <c r="P435" i="2" a="1"/>
  <c r="O435" i="2" a="1"/>
  <c r="O434" i="2" a="1"/>
  <c r="P434" i="2" a="1"/>
  <c r="P437" i="2" a="1"/>
  <c r="O436" i="2" a="1"/>
  <c r="AX4" i="3" a="1"/>
  <c r="Q434" i="2" l="1"/>
  <c r="AA426" i="2"/>
  <c r="AB426" i="2" s="1"/>
  <c r="AA431" i="2"/>
  <c r="AB431" i="2" s="1"/>
  <c r="AA428" i="2"/>
  <c r="AB428" i="2" s="1"/>
  <c r="AA427" i="2"/>
  <c r="AB427" i="2" s="1"/>
  <c r="AA430" i="2"/>
  <c r="AB430" i="2" s="1"/>
  <c r="P436" i="2" a="1"/>
  <c r="O437" i="2" a="1"/>
  <c r="O432" i="2" a="1"/>
  <c r="O433" i="2" a="1"/>
  <c r="P432" i="2" a="1"/>
  <c r="P433" i="2" a="1"/>
  <c r="W435" i="2"/>
  <c r="Q435" i="2"/>
  <c r="W434" i="2"/>
  <c r="AA434" i="2" l="1"/>
  <c r="AB434" i="2" s="1"/>
  <c r="Q433" i="2"/>
  <c r="Q432" i="2"/>
  <c r="W436" i="2"/>
  <c r="Q436" i="2"/>
  <c r="W437" i="2"/>
  <c r="Q437" i="2"/>
  <c r="W432" i="2"/>
  <c r="W433" i="2"/>
  <c r="AA435" i="2"/>
  <c r="AB435" i="2" s="1"/>
  <c r="AA436" i="2" l="1"/>
  <c r="AB436" i="2" s="1"/>
  <c r="AA433" i="2"/>
  <c r="AB433" i="2" s="1"/>
  <c r="AA437" i="2"/>
  <c r="AB437" i="2" s="1"/>
  <c r="AA432" i="2"/>
  <c r="AB432" i="2" s="1"/>
  <c r="O439" i="2" a="1"/>
  <c r="P439" i="2" a="1"/>
  <c r="P438" i="2" a="1"/>
  <c r="O438" i="2" a="1"/>
  <c r="W438" i="2" l="1"/>
  <c r="W439" i="2"/>
  <c r="Q439" i="2"/>
  <c r="Q438" i="2"/>
  <c r="P445" i="2" a="1"/>
  <c r="O445" i="2" a="1"/>
  <c r="O444" i="2" a="1"/>
  <c r="P447" i="2" a="1"/>
  <c r="O447" i="2" a="1"/>
  <c r="O446" i="2" a="1"/>
  <c r="P446" i="2" a="1"/>
  <c r="P444" i="2" a="1"/>
  <c r="O442" i="2" a="1"/>
  <c r="P443" i="2" a="1"/>
  <c r="O448" i="2" a="1"/>
  <c r="P448" i="2" a="1"/>
  <c r="O449" i="2" a="1"/>
  <c r="P449" i="2" a="1"/>
  <c r="AA439" i="2" l="1"/>
  <c r="AB439" i="2" s="1"/>
  <c r="AA438" i="2"/>
  <c r="AB438" i="2" s="1"/>
  <c r="O443" i="2" a="1"/>
  <c r="P442" i="2" a="1"/>
  <c r="O440" i="2" a="1"/>
  <c r="O441" i="2" a="1"/>
  <c r="P441" i="2" a="1"/>
  <c r="P440" i="2" a="1"/>
  <c r="Q448" i="2"/>
  <c r="W447" i="2"/>
  <c r="Q444" i="2"/>
  <c r="W445" i="2"/>
  <c r="Q446" i="2"/>
  <c r="W449" i="2"/>
  <c r="Q445" i="2"/>
  <c r="W444" i="2"/>
  <c r="Q447" i="2"/>
  <c r="W446" i="2"/>
  <c r="W448" i="2"/>
  <c r="Q449" i="2"/>
  <c r="AX8" i="3" a="1"/>
  <c r="Q440" i="2" l="1"/>
  <c r="Q443" i="2"/>
  <c r="W443" i="2"/>
  <c r="W442" i="2"/>
  <c r="Q442" i="2"/>
  <c r="W440" i="2"/>
  <c r="Q441" i="2"/>
  <c r="W441" i="2"/>
  <c r="AA448" i="2"/>
  <c r="AB448" i="2" s="1"/>
  <c r="AA447" i="2"/>
  <c r="AB447" i="2" s="1"/>
  <c r="AA444" i="2"/>
  <c r="AB444" i="2" s="1"/>
  <c r="AA445" i="2"/>
  <c r="AB445" i="2" s="1"/>
  <c r="AA446" i="2"/>
  <c r="AB446" i="2" s="1"/>
  <c r="AA449" i="2"/>
  <c r="AB449" i="2" s="1"/>
  <c r="P455" i="2" a="1"/>
  <c r="O455" i="2" a="1"/>
  <c r="P454" i="2" a="1"/>
  <c r="O454" i="2" a="1"/>
  <c r="AA440" i="2" l="1"/>
  <c r="AB440" i="2" s="1"/>
  <c r="AA443" i="2"/>
  <c r="AB443" i="2" s="1"/>
  <c r="AA442" i="2"/>
  <c r="AB442" i="2" s="1"/>
  <c r="AA441" i="2"/>
  <c r="AB441" i="2" s="1"/>
  <c r="P453" i="2" a="1"/>
  <c r="P451" i="2" a="1"/>
  <c r="O451" i="2" a="1"/>
  <c r="O450" i="2" a="1"/>
  <c r="P450" i="2" a="1"/>
  <c r="O452" i="2" a="1"/>
  <c r="P452" i="2" a="1"/>
  <c r="O453" i="2" a="1"/>
  <c r="W455" i="2"/>
  <c r="W454" i="2"/>
  <c r="Q455" i="2"/>
  <c r="Q454" i="2"/>
  <c r="Q451" i="2" l="1"/>
  <c r="Q450" i="2"/>
  <c r="W451" i="2"/>
  <c r="W450" i="2"/>
  <c r="W452" i="2"/>
  <c r="Q452" i="2"/>
  <c r="Q453" i="2"/>
  <c r="W453" i="2"/>
  <c r="AA455" i="2"/>
  <c r="AB455" i="2" s="1"/>
  <c r="P457" i="2" a="1"/>
  <c r="O457" i="2" a="1"/>
  <c r="P456" i="2" a="1"/>
  <c r="O456" i="2" a="1"/>
  <c r="AA454" i="2"/>
  <c r="AB454" i="2" s="1"/>
  <c r="AA451" i="2" l="1"/>
  <c r="AB451" i="2" s="1"/>
  <c r="AA450" i="2"/>
  <c r="AB450" i="2" s="1"/>
  <c r="AA452" i="2"/>
  <c r="AB452" i="2" s="1"/>
  <c r="AA453" i="2"/>
  <c r="AB453" i="2" s="1"/>
  <c r="W457" i="2"/>
  <c r="W456" i="2"/>
  <c r="Q457" i="2"/>
  <c r="Q456" i="2"/>
  <c r="AA457" i="2" l="1"/>
  <c r="AB457" i="2" s="1"/>
  <c r="AA456" i="2"/>
  <c r="AB456" i="2" s="1"/>
  <c r="P459" i="2" l="1" a="1"/>
  <c r="O459" i="2" a="1"/>
  <c r="O458" i="2" a="1"/>
  <c r="P458" i="2" a="1"/>
  <c r="Q459" i="2" l="1"/>
  <c r="W458" i="2"/>
  <c r="W459" i="2"/>
  <c r="Q458" i="2"/>
  <c r="AA459" i="2" l="1"/>
  <c r="AB459" i="2" s="1"/>
  <c r="AA458" i="2"/>
  <c r="AB458" i="2" s="1"/>
  <c r="O461" i="2" a="1"/>
  <c r="P460" i="2" a="1"/>
  <c r="P461" i="2" a="1"/>
  <c r="O460" i="2" a="1"/>
  <c r="W461" i="2" l="1"/>
  <c r="W460" i="2"/>
  <c r="Q460" i="2"/>
  <c r="Q461" i="2"/>
  <c r="AA460" i="2" l="1"/>
  <c r="AB460" i="2" s="1"/>
  <c r="AA461" i="2"/>
  <c r="AB461" i="2" s="1"/>
  <c r="P463" i="2" a="1"/>
  <c r="O462" i="2" a="1"/>
  <c r="P462" i="2" a="1"/>
  <c r="O463" i="2" a="1"/>
  <c r="O464" i="2" a="1"/>
  <c r="P466" i="2" a="1"/>
  <c r="P465" i="2" a="1"/>
  <c r="P464" i="2" a="1"/>
  <c r="P467" i="2" a="1"/>
  <c r="O465" i="2" a="1"/>
  <c r="O466" i="2" a="1"/>
  <c r="O467" i="2" a="1"/>
  <c r="P471" i="2" a="1"/>
  <c r="P469" i="2" a="1"/>
  <c r="O470" i="2" a="1"/>
  <c r="O468" i="2" a="1"/>
  <c r="P470" i="2" a="1"/>
  <c r="O471" i="2" a="1"/>
  <c r="O469" i="2" a="1"/>
  <c r="W462" i="2" l="1"/>
  <c r="W463" i="2"/>
  <c r="Q464" i="2"/>
  <c r="W465" i="2"/>
  <c r="W466" i="2"/>
  <c r="W467" i="2"/>
  <c r="Q463" i="2"/>
  <c r="Q462" i="2"/>
  <c r="W464" i="2"/>
  <c r="Q466" i="2"/>
  <c r="Q465" i="2"/>
  <c r="Q467" i="2"/>
  <c r="Q470" i="2"/>
  <c r="W470" i="2"/>
  <c r="W471" i="2"/>
  <c r="W469" i="2"/>
  <c r="Q471" i="2"/>
  <c r="Q469" i="2"/>
  <c r="AA462" i="2" l="1"/>
  <c r="AB462" i="2" s="1"/>
  <c r="AA463" i="2"/>
  <c r="AB463" i="2" s="1"/>
  <c r="AA464" i="2"/>
  <c r="AB464" i="2" s="1"/>
  <c r="AA466" i="2"/>
  <c r="AB466" i="2" s="1"/>
  <c r="AA465" i="2"/>
  <c r="AB465" i="2" s="1"/>
  <c r="P468" i="2" s="1" a="1"/>
  <c r="AA467" i="2"/>
  <c r="AB467" i="2" s="1"/>
  <c r="AA470" i="2"/>
  <c r="AB470" i="2" s="1"/>
  <c r="AA469" i="2"/>
  <c r="AB469" i="2" s="1"/>
  <c r="AA471" i="2"/>
  <c r="AB471" i="2" s="1"/>
  <c r="Q468" i="2" l="1"/>
  <c r="W468" i="2"/>
  <c r="P483" i="2" a="1"/>
  <c r="O482" i="2" a="1"/>
  <c r="O483" i="2" a="1"/>
  <c r="P482" i="2" a="1"/>
  <c r="O472" i="2" a="1"/>
  <c r="P473" i="2" a="1"/>
  <c r="O473" i="2" a="1"/>
  <c r="P472" i="2" a="1"/>
  <c r="AA468" i="2" l="1"/>
  <c r="AB468" i="2" s="1"/>
  <c r="W482" i="2"/>
  <c r="W483" i="2"/>
  <c r="Q483" i="2"/>
  <c r="Q482" i="2"/>
  <c r="W472" i="2"/>
  <c r="W473" i="2"/>
  <c r="Q473" i="2"/>
  <c r="Q472" i="2"/>
  <c r="AA482" i="2" l="1"/>
  <c r="AB482" i="2" s="1"/>
  <c r="AA483" i="2"/>
  <c r="AB483" i="2" s="1"/>
  <c r="AA473" i="2"/>
  <c r="AB473" i="2" s="1"/>
  <c r="AA472" i="2"/>
  <c r="AB472" i="2" s="1"/>
  <c r="P475" i="2" a="1"/>
  <c r="O475" i="2" a="1"/>
  <c r="P474" i="2" a="1"/>
  <c r="O474" i="2" a="1"/>
  <c r="Q475" i="2" l="1"/>
  <c r="W475" i="2"/>
  <c r="W474" i="2"/>
  <c r="Q474" i="2"/>
  <c r="AA475" i="2" l="1"/>
  <c r="AB475" i="2" s="1"/>
  <c r="P477" i="2" a="1"/>
  <c r="O477" i="2" a="1"/>
  <c r="P476" i="2" a="1"/>
  <c r="O476" i="2" a="1"/>
  <c r="AA474" i="2"/>
  <c r="AB474" i="2" s="1"/>
  <c r="O485" i="2" l="1" a="1"/>
  <c r="P484" i="2" a="1"/>
  <c r="Q477" i="2"/>
  <c r="W477" i="2"/>
  <c r="W476" i="2"/>
  <c r="Q476" i="2"/>
  <c r="AA476" i="2" l="1"/>
  <c r="AB476" i="2" s="1"/>
  <c r="AA477" i="2"/>
  <c r="AB477" i="2" s="1"/>
  <c r="P479" i="2" a="1"/>
  <c r="O479" i="2" a="1"/>
  <c r="P478" i="2" a="1"/>
  <c r="O478" i="2" a="1"/>
  <c r="G30" i="3" l="1" a="1"/>
  <c r="AX7" i="3" a="1"/>
  <c r="P488" i="2" a="1"/>
  <c r="O489" i="2" a="1"/>
  <c r="O484" i="2" a="1"/>
  <c r="P485" i="2" a="1"/>
  <c r="Q479" i="2"/>
  <c r="Q478" i="2"/>
  <c r="W479" i="2"/>
  <c r="W478" i="2"/>
  <c r="Q484" i="2" l="1"/>
  <c r="W484" i="2"/>
  <c r="W485" i="2"/>
  <c r="Q485" i="2"/>
  <c r="AA479" i="2"/>
  <c r="AB479" i="2" s="1"/>
  <c r="AA478" i="2"/>
  <c r="AB478" i="2" s="1"/>
  <c r="P480" i="2" a="1"/>
  <c r="O481" i="2" a="1"/>
  <c r="P481" i="2" a="1"/>
  <c r="O480" i="2" a="1"/>
  <c r="AA484" i="2" l="1"/>
  <c r="AB484" i="2" s="1"/>
  <c r="AA485" i="2"/>
  <c r="AB485" i="2" s="1"/>
  <c r="O487" i="2" a="1"/>
  <c r="P486" i="2" a="1"/>
  <c r="W481" i="2"/>
  <c r="W480" i="2"/>
  <c r="Q481" i="2"/>
  <c r="Q480" i="2"/>
  <c r="AA481" i="2" l="1"/>
  <c r="AB481" i="2" s="1"/>
  <c r="AA480" i="2"/>
  <c r="AB480" i="2" s="1"/>
  <c r="P489" i="2" l="1" a="1"/>
  <c r="O488" i="2" a="1"/>
  <c r="O486" i="2" a="1"/>
  <c r="P487" i="2" a="1"/>
  <c r="O491" i="2" a="1"/>
  <c r="P490" i="2" a="1"/>
  <c r="O490" i="2" a="1"/>
  <c r="P491" i="2" a="1"/>
  <c r="W489" i="2" l="1"/>
  <c r="Q489" i="2"/>
  <c r="Q488" i="2"/>
  <c r="W488" i="2"/>
  <c r="Q486" i="2"/>
  <c r="W486" i="2"/>
  <c r="Q487" i="2"/>
  <c r="W487" i="2"/>
  <c r="Q491" i="2"/>
  <c r="Q490" i="2"/>
  <c r="W491" i="2"/>
  <c r="W490" i="2"/>
  <c r="AA488" i="2" l="1"/>
  <c r="AB488" i="2" s="1"/>
  <c r="AA487" i="2"/>
  <c r="AB487" i="2" s="1"/>
  <c r="AA489" i="2"/>
  <c r="AB489" i="2" s="1"/>
  <c r="AA486" i="2"/>
  <c r="AB486" i="2" s="1"/>
  <c r="AA491" i="2"/>
  <c r="AB491" i="2" s="1"/>
  <c r="AA490" i="2"/>
  <c r="AB490" i="2" s="1"/>
  <c r="P493" i="2" l="1" a="1"/>
  <c r="O492" i="2" a="1"/>
  <c r="P492" i="2" a="1"/>
  <c r="O493" i="2" a="1"/>
  <c r="O494" i="2" a="1"/>
  <c r="P495" i="2" a="1"/>
  <c r="P494" i="2" a="1"/>
  <c r="O495" i="2" a="1"/>
  <c r="W493" i="2" l="1"/>
  <c r="W494" i="2"/>
  <c r="W492" i="2"/>
  <c r="W495" i="2"/>
  <c r="Q493" i="2"/>
  <c r="Q492" i="2"/>
  <c r="Q494" i="2"/>
  <c r="Q495" i="2"/>
  <c r="O498" i="2" a="1"/>
  <c r="P499" i="2" a="1"/>
  <c r="P498" i="2" a="1"/>
  <c r="O499" i="2" a="1"/>
  <c r="P497" i="2" a="1"/>
  <c r="O497" i="2" a="1"/>
  <c r="O496" i="2" a="1"/>
  <c r="P496" i="2" a="1"/>
  <c r="AA493" i="2" l="1"/>
  <c r="AB493" i="2" s="1"/>
  <c r="W499" i="2"/>
  <c r="Q498" i="2"/>
  <c r="AA494" i="2"/>
  <c r="AB494" i="2" s="1"/>
  <c r="G26" i="3" s="1" a="1"/>
  <c r="AA492" i="2"/>
  <c r="AB492" i="2" s="1"/>
  <c r="G35" i="3" s="1" a="1"/>
  <c r="W497" i="2"/>
  <c r="AA495" i="2"/>
  <c r="AB495" i="2" s="1"/>
  <c r="W496" i="2"/>
  <c r="W498" i="2"/>
  <c r="Q499" i="2"/>
  <c r="Q497" i="2"/>
  <c r="Q496" i="2"/>
  <c r="O502" i="2" a="1"/>
  <c r="P503" i="2" a="1"/>
  <c r="O503" i="2" a="1"/>
  <c r="P502" i="2" a="1"/>
  <c r="AA499" i="2" l="1"/>
  <c r="AB499" i="2" s="1"/>
  <c r="AA498" i="2"/>
  <c r="AB498" i="2" s="1"/>
  <c r="AA497" i="2"/>
  <c r="AB497" i="2" s="1"/>
  <c r="W503" i="2"/>
  <c r="AA496" i="2"/>
  <c r="AB496" i="2" s="1"/>
  <c r="W502" i="2"/>
  <c r="G36" i="3" a="1"/>
  <c r="AX6" i="3" a="1"/>
  <c r="G34" i="3" a="1"/>
  <c r="Q503" i="2"/>
  <c r="Q502" i="2"/>
  <c r="O501" i="2" l="1" a="1"/>
  <c r="P500" i="2" a="1"/>
  <c r="O500" i="2" a="1"/>
  <c r="P501" i="2" a="1"/>
  <c r="G29" i="3" a="1"/>
  <c r="G25" i="3" a="1"/>
  <c r="AA503" i="2"/>
  <c r="AB503" i="2" s="1"/>
  <c r="AA502" i="2"/>
  <c r="AB502" i="2" s="1"/>
  <c r="Q500" i="2" l="1"/>
  <c r="W500" i="2"/>
  <c r="W501" i="2"/>
  <c r="Q501" i="2"/>
  <c r="O507" i="2" a="1"/>
  <c r="P506" i="2" a="1"/>
  <c r="O506" i="2" a="1"/>
  <c r="P507" i="2" a="1"/>
  <c r="Q507" i="2" l="1"/>
  <c r="AA500" i="2"/>
  <c r="AB500" i="2" s="1"/>
  <c r="AA501" i="2"/>
  <c r="AB501" i="2" s="1"/>
  <c r="O505" i="2" a="1"/>
  <c r="P504" i="2" a="1"/>
  <c r="W506" i="2"/>
  <c r="W507" i="2"/>
  <c r="Q506" i="2"/>
  <c r="AA507" i="2" l="1"/>
  <c r="AB507" i="2" s="1"/>
  <c r="P505" i="2" a="1"/>
  <c r="O504" i="2" a="1"/>
  <c r="AA506" i="2"/>
  <c r="AB506" i="2" s="1"/>
  <c r="O510" i="2" a="1"/>
  <c r="P511" i="2" a="1"/>
  <c r="Q505" i="2" l="1"/>
  <c r="W505" i="2"/>
  <c r="Q504" i="2"/>
  <c r="W504" i="2"/>
  <c r="O511" i="2" a="1"/>
  <c r="P510" i="2" a="1"/>
  <c r="AA505" i="2" l="1"/>
  <c r="AB505" i="2" s="1"/>
  <c r="AA504" i="2"/>
  <c r="AB504" i="2" s="1"/>
  <c r="W511" i="2"/>
  <c r="Q511" i="2"/>
  <c r="Q510" i="2"/>
  <c r="W510" i="2"/>
  <c r="O508" i="2" l="1" a="1"/>
  <c r="P509" i="2" a="1"/>
  <c r="O509" i="2" a="1"/>
  <c r="P508" i="2" a="1"/>
  <c r="AA510" i="2"/>
  <c r="AB510" i="2" s="1"/>
  <c r="AA511" i="2"/>
  <c r="AB511" i="2" s="1"/>
  <c r="W509" i="2" l="1"/>
  <c r="Q509" i="2"/>
  <c r="W508" i="2"/>
  <c r="Q508" i="2"/>
  <c r="P515" i="2" a="1"/>
  <c r="O514" i="2" a="1"/>
  <c r="O515" i="2" a="1"/>
  <c r="P514" i="2" a="1"/>
  <c r="G28" i="3" a="1"/>
  <c r="AA509" i="2" l="1"/>
  <c r="AB509" i="2" s="1"/>
  <c r="AA508" i="2"/>
  <c r="AB508" i="2" s="1"/>
  <c r="O513" i="2" a="1"/>
  <c r="P512" i="2" a="1"/>
  <c r="P513" i="2" a="1"/>
  <c r="O512" i="2" a="1"/>
  <c r="Q515" i="2"/>
  <c r="Q514" i="2"/>
  <c r="W514" i="2"/>
  <c r="W515" i="2"/>
  <c r="Q513" i="2" l="1"/>
  <c r="W512" i="2"/>
  <c r="AA514" i="2"/>
  <c r="AB514" i="2" s="1"/>
  <c r="AA515" i="2"/>
  <c r="AB515" i="2" s="1"/>
  <c r="Q512" i="2"/>
  <c r="W513" i="2"/>
  <c r="AA513" i="2" l="1"/>
  <c r="AB513" i="2" s="1"/>
  <c r="P518" i="2" a="1"/>
  <c r="O519" i="2" a="1"/>
  <c r="AA512" i="2"/>
  <c r="AB512" i="2" s="1"/>
  <c r="O516" i="2" a="1"/>
  <c r="P517" i="2" a="1"/>
  <c r="P516" i="2" l="1" a="1"/>
  <c r="O517" i="2" a="1"/>
  <c r="Q516" i="2" l="1"/>
  <c r="W516" i="2"/>
  <c r="W517" i="2"/>
  <c r="Q517" i="2"/>
  <c r="AA516" i="2" l="1"/>
  <c r="AB516" i="2" s="1"/>
  <c r="G27" i="3" s="1" a="1"/>
  <c r="AA517" i="2"/>
  <c r="AB517" i="2" s="1"/>
  <c r="P519" i="2" l="1" a="1"/>
  <c r="O518" i="2" a="1"/>
  <c r="W519" i="2" l="1"/>
  <c r="Q519" i="2"/>
  <c r="Q518" i="2"/>
  <c r="W518" i="2"/>
  <c r="AA518" i="2" l="1"/>
  <c r="AB518" i="2" s="1"/>
  <c r="P521" i="2" a="1"/>
  <c r="O520" i="2" a="1"/>
  <c r="AA519" i="2"/>
  <c r="AB519" i="2" s="1"/>
  <c r="P520" i="2" l="1" a="1"/>
  <c r="O521" i="2" a="1"/>
  <c r="G31" i="3" a="1"/>
  <c r="W520" i="2" l="1"/>
  <c r="Q520" i="2"/>
  <c r="Q521" i="2"/>
  <c r="W521" i="2"/>
  <c r="AA520" i="2" l="1"/>
  <c r="AB520" i="2" s="1"/>
  <c r="P522" i="2" a="1"/>
  <c r="O523" i="2" a="1"/>
  <c r="AA521" i="2"/>
  <c r="AB521" i="2" s="1"/>
  <c r="O522" i="2" l="1" a="1"/>
  <c r="P523" i="2" a="1"/>
  <c r="Q522" i="2" l="1"/>
  <c r="W522" i="2"/>
  <c r="W523" i="2"/>
  <c r="Q523" i="2"/>
  <c r="AA523" i="2" l="1"/>
  <c r="AB523" i="2" s="1"/>
  <c r="AA522" i="2"/>
  <c r="AB522" i="2" s="1"/>
  <c r="P525" i="2" a="1"/>
  <c r="O524" i="2" a="1"/>
  <c r="P524" i="2" a="1"/>
  <c r="O525" i="2" a="1"/>
  <c r="W525" i="2" l="1"/>
  <c r="W524" i="2"/>
  <c r="Q524" i="2"/>
  <c r="Q525" i="2"/>
  <c r="AA524" i="2" l="1"/>
  <c r="AB524" i="2" s="1"/>
  <c r="AA525" i="2"/>
  <c r="AB525" i="2" s="1"/>
  <c r="P526" i="2" a="1"/>
  <c r="O527" i="2" a="1"/>
  <c r="O526" i="2" a="1"/>
  <c r="P527" i="2" a="1"/>
  <c r="W526" i="2" l="1"/>
  <c r="Q527" i="2"/>
  <c r="Q526" i="2"/>
  <c r="W527" i="2"/>
  <c r="AA526" i="2" l="1"/>
  <c r="AB526" i="2" s="1"/>
  <c r="G32" i="3" s="1" a="1"/>
  <c r="AA527" i="2"/>
  <c r="AB527" i="2" s="1"/>
  <c r="G33" i="3" a="1"/>
  <c r="AX3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<sst xmlns="http://schemas.openxmlformats.org/spreadsheetml/2006/main" count="2696" uniqueCount="88">
  <si>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</si>
  <si>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</si>
  <si>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</si>
  <si>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</si>
  <si>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</si>
  <si>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</si>
  <si>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</si>
  <si>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</si>
  <si>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</si>
  <si>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</si>
  <si>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</si>
  <si>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</si>
  <si>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</si>
  <si>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</si>
  <si>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</si>
  <si>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</si>
  <si>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</si>
  <si>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</si>
  <si>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</si>
  <si>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</si>
  <si>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</si>
  <si>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</si>
  <si>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</si>
  <si>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</si>
  <si>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</si>
  <si>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</si>
  <si>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</si>
  <si>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</si>
  <si>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</si>
  <si>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</si>
  <si>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</si>
  <si>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</si>
  <si>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</si>
  <si>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</si>
  <si>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</si>
  <si>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</si>
  <si>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</si>
  <si>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</si>
  <si>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</si>
  <si>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</si>
  <si>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</si>
  <si>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</si>
  <si>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</si>
  <si>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</si>
  <si>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</si>
  <si>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</si>
  <si>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</si>
  <si>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</si>
  <si>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</si>
  <si>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</si>
  <si>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</si>
  <si>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</si>
  <si>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</si>
  <si>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</si>
  <si>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</si>
  <si>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</si>
  <si>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</si>
  <si>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</si>
  <si>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</si>
  <si>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</si>
  <si>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</si>
  <si>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</si>
  <si>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</si>
  <si>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</si>
  <si>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</si>
  <si>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</si>
  <si>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</si>
  <si>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</si>
  <si>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</si>
  <si>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</si>
  <si>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</si>
  <si>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</si>
  <si>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</si>
  <si>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Connecticut Sun</t>
  </si>
  <si>
    <t>CON</t>
  </si>
  <si>
    <t>CHI</t>
  </si>
  <si>
    <t>Chicago Sky</t>
  </si>
  <si>
    <t>ATL</t>
  </si>
  <si>
    <t>Atlanta Dream</t>
  </si>
  <si>
    <t>R</t>
  </si>
  <si>
    <t>RS</t>
  </si>
  <si>
    <t>A</t>
  </si>
  <si>
    <t>H</t>
  </si>
  <si>
    <t>P</t>
  </si>
  <si>
    <t>Dallas Wings</t>
  </si>
  <si>
    <t>DAL</t>
  </si>
  <si>
    <t>LVA</t>
  </si>
  <si>
    <t>Las Vegas 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</si>
</sst>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5">
    <dxf>
      <numFmt numFmtId="166" formatCode="0.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59.079253935182" createdVersion="8" refreshedVersion="8" minRefreshableVersion="3" recordCount="526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24-05-14T00:00:00" maxDate="2024-10-21T00:00:00"/>
    </cacheField>
    <cacheField name="Season" numFmtId="1">
      <sharedItems containsSemiMixedTypes="0" containsString="0" containsNumber="1" containsInteger="1" minValue="2024" maxValue="2024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0">
      <sharedItems containsMixedTypes="1" containsNumber="1" minValue="0.1" maxValue="3"/>
    </cacheField>
    <cacheField name="Team" numFmtId="0">
      <sharedItems containsBlank="1" count="59">
        <s v="IND"/>
        <s v="CON"/>
        <s v="PHX"/>
        <s v="LVA"/>
        <s v="MIN"/>
        <s v="SEA"/>
        <s v="NYL"/>
        <s v="WAS"/>
        <s v="CHI"/>
        <s v="DAL"/>
        <s v="ATL"/>
        <s v="LAS"/>
        <s v="SAS" u="1"/>
        <s v="TUL" u="1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31"/>
    </cacheField>
    <cacheField name="OppDaysOff" numFmtId="1">
      <sharedItems containsSemiMixedTypes="0" containsString="0" containsNumber="1" containsInteger="1" minValue="0" maxValue="31"/>
    </cacheField>
    <cacheField name="RestDiff" numFmtId="1">
      <sharedItems containsSemiMixedTypes="0" containsString="0" containsNumber="1" containsInteger="1" minValue="-30" maxValue="30"/>
    </cacheField>
    <cacheField name="OppRestDiff" numFmtId="1">
      <sharedItems containsSemiMixedTypes="0" containsString="0" containsNumber="1" containsInteger="1" minValue="-30" maxValue="30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80.6145779020942" maxValue="1744.398125650258"/>
    </cacheField>
    <cacheField name="OppPreGmRate" numFmtId="165">
      <sharedItems containsSemiMixedTypes="0" containsString="0" containsNumber="1" minValue="1280.6145779020942" maxValue="1744.398125650258"/>
    </cacheField>
    <cacheField name="ExpectedWin%" numFmtId="165">
      <sharedItems containsSemiMixedTypes="0" containsString="0" containsNumber="1" minValue="5.7395968191432722E-2" maxValue="0.94260403180856733"/>
    </cacheField>
    <cacheField name="PointsFor" numFmtId="0">
      <sharedItems containsSemiMixedTypes="0" containsString="0" containsNumber="1" containsInteger="1" minValue="47" maxValue="113"/>
    </cacheField>
    <cacheField name="PointsAgainst" numFmtId="0">
      <sharedItems containsSemiMixedTypes="0" containsString="0" containsNumber="1" containsInteger="1" minValue="47" maxValue="113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6" maxValue="36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681722276694439" maxValue="0.72301420024888752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8.05" maxValue="75.849999999999994"/>
    </cacheField>
    <cacheField name="Keff" numFmtId="165">
      <sharedItems containsSemiMixedTypes="0" containsString="0" containsNumber="1" minValue="69.849999999999994" maxValue="92.88"/>
    </cacheField>
    <cacheField name="RatingChange" numFmtId="165">
      <sharedItems containsSemiMixedTypes="0" containsString="0" containsNumber="1" minValue="-30.084627760033342" maxValue="30.084627760033349"/>
    </cacheField>
    <cacheField name="PostGmRate" numFmtId="165">
      <sharedItems containsSemiMixedTypes="0" containsString="0" containsNumber="1" minValue="1280.6145779020942" maxValue="1744.398125650258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6">
  <r>
    <d v="2024-05-14T00:00:00"/>
    <n v="2024"/>
    <x v="0"/>
    <s v="R"/>
    <s v="RS"/>
    <x v="0"/>
    <s v="CON"/>
    <s v="A"/>
    <n v="0"/>
    <n v="0"/>
    <n v="0"/>
    <n v="0"/>
    <n v="0"/>
    <n v="0"/>
    <n v="1428.7138334292722"/>
    <n v="1550.7827854729285"/>
    <n v="0.23393419011478161"/>
    <n v="71"/>
    <n v="92"/>
    <n v="0"/>
    <n v="-21"/>
    <n v="0"/>
    <n v="0.53423200524685033"/>
    <n v="1"/>
    <n v="75.849999999999994"/>
    <n v="75.849999999999994"/>
    <n v="-9.4793637228200218"/>
    <n v="1419.2344697064523"/>
    <n v="0"/>
    <n v="1"/>
    <n v="0"/>
    <n v="0"/>
    <n v="0"/>
    <n v="0"/>
    <n v="0"/>
    <n v="0"/>
    <n v="0"/>
    <n v="0"/>
  </r>
  <r>
    <d v="2024-05-14T00:00:00"/>
    <n v="2024"/>
    <x v="0"/>
    <s v="R"/>
    <s v="RS"/>
    <x v="1"/>
    <s v="IND"/>
    <s v="H"/>
    <n v="0"/>
    <n v="0"/>
    <n v="0"/>
    <n v="0"/>
    <n v="0"/>
    <n v="0"/>
    <n v="1550.7827854729285"/>
    <n v="1428.7138334292722"/>
    <n v="0.76606580988521833"/>
    <n v="92"/>
    <n v="71"/>
    <n v="0"/>
    <n v="21"/>
    <n v="1"/>
    <n v="0.53423200524685033"/>
    <n v="1"/>
    <n v="75.849999999999994"/>
    <n v="75.849999999999994"/>
    <n v="9.4793637228200236"/>
    <n v="1560.2621491957484"/>
    <n v="1"/>
    <n v="0"/>
    <n v="0"/>
    <n v="0"/>
    <n v="0"/>
    <n v="0"/>
    <n v="0"/>
    <n v="0"/>
    <n v="0"/>
    <n v="0"/>
  </r>
  <r>
    <d v="2024-05-14T00:00:00"/>
    <n v="2024"/>
    <x v="0"/>
    <s v="R"/>
    <s v="RS"/>
    <x v="2"/>
    <s v="LVA"/>
    <s v="A"/>
    <n v="0"/>
    <n v="0"/>
    <n v="0"/>
    <n v="0"/>
    <n v="0"/>
    <n v="0"/>
    <n v="1401.1094400895952"/>
    <n v="1637.5641052883061"/>
    <n v="0.13649810767901091"/>
    <n v="80"/>
    <n v="89"/>
    <n v="0"/>
    <n v="-9"/>
    <n v="0"/>
    <n v="0.3391445928502726"/>
    <n v="1"/>
    <n v="75.849999999999994"/>
    <n v="75.849999999999994"/>
    <n v="-3.5112933424028978"/>
    <n v="1397.5981467471922"/>
    <n v="0"/>
    <n v="1"/>
    <n v="0"/>
    <n v="0"/>
    <n v="0"/>
    <n v="0"/>
    <n v="0"/>
    <n v="0"/>
    <n v="0"/>
    <n v="0"/>
  </r>
  <r>
    <d v="2024-05-14T00:00:00"/>
    <n v="2024"/>
    <x v="0"/>
    <s v="R"/>
    <s v="RS"/>
    <x v="3"/>
    <s v="PHX"/>
    <s v="H"/>
    <n v="0"/>
    <n v="0"/>
    <n v="0"/>
    <n v="0"/>
    <n v="0"/>
    <n v="0"/>
    <n v="1637.5641052883061"/>
    <n v="1401.1094400895952"/>
    <n v="0.86350189232098917"/>
    <n v="89"/>
    <n v="80"/>
    <n v="0"/>
    <n v="9"/>
    <n v="1"/>
    <n v="0.3391445928502726"/>
    <n v="1"/>
    <n v="75.849999999999994"/>
    <n v="75.849999999999994"/>
    <n v="3.5112933424028956"/>
    <n v="1641.0753986307091"/>
    <n v="1"/>
    <n v="0"/>
    <n v="0"/>
    <n v="0"/>
    <n v="0"/>
    <n v="0"/>
    <n v="0"/>
    <n v="0"/>
    <n v="0"/>
    <n v="0"/>
  </r>
  <r>
    <d v="2024-05-14T00:00:00"/>
    <n v="2024"/>
    <x v="0"/>
    <s v="R"/>
    <s v="RS"/>
    <x v="4"/>
    <s v="SEA"/>
    <s v="A"/>
    <n v="0"/>
    <n v="0"/>
    <n v="0"/>
    <n v="0"/>
    <n v="0"/>
    <n v="0"/>
    <n v="1471.553635505898"/>
    <n v="1445.9246551520691"/>
    <n v="0.4167788745089277"/>
    <n v="83"/>
    <n v="70"/>
    <n v="0"/>
    <n v="13"/>
    <n v="1"/>
    <n v="0.46217290538724937"/>
    <n v="1"/>
    <n v="75.849999999999994"/>
    <n v="75.849999999999994"/>
    <n v="20.445291805600998"/>
    <n v="1491.9989273114991"/>
    <n v="1"/>
    <n v="0"/>
    <n v="0"/>
    <n v="0"/>
    <n v="0"/>
    <n v="0"/>
    <n v="0"/>
    <n v="0"/>
    <n v="0"/>
    <n v="0"/>
  </r>
  <r>
    <d v="2024-05-14T00:00:00"/>
    <n v="2024"/>
    <x v="0"/>
    <s v="R"/>
    <s v="RS"/>
    <x v="5"/>
    <s v="MIN"/>
    <s v="H"/>
    <n v="0"/>
    <n v="0"/>
    <n v="0"/>
    <n v="0"/>
    <n v="0"/>
    <n v="0"/>
    <n v="1445.9246551520691"/>
    <n v="1471.553635505898"/>
    <n v="0.58322112549107241"/>
    <n v="70"/>
    <n v="83"/>
    <n v="0"/>
    <n v="-13"/>
    <n v="0"/>
    <n v="0.46217290538724937"/>
    <n v="1"/>
    <n v="75.849999999999994"/>
    <n v="75.849999999999994"/>
    <n v="-20.445291805601002"/>
    <n v="1425.4793633464681"/>
    <n v="0"/>
    <n v="1"/>
    <n v="0"/>
    <n v="0"/>
    <n v="0"/>
    <n v="0"/>
    <n v="0"/>
    <n v="0"/>
    <n v="0"/>
    <n v="0"/>
  </r>
  <r>
    <d v="2024-05-14T00:00:00"/>
    <n v="2024"/>
    <x v="0"/>
    <s v="R"/>
    <s v="RS"/>
    <x v="6"/>
    <s v="WAS"/>
    <s v="A"/>
    <n v="0"/>
    <n v="0"/>
    <n v="0"/>
    <n v="0"/>
    <n v="0"/>
    <n v="0"/>
    <n v="1609.783302890015"/>
    <n v="1486.1623226612535"/>
    <n v="0.55677327979588065"/>
    <n v="85"/>
    <n v="80"/>
    <n v="0"/>
    <n v="5"/>
    <n v="1"/>
    <n v="0.3007712755389329"/>
    <n v="1"/>
    <n v="75.849999999999994"/>
    <n v="75.849999999999994"/>
    <n v="10.111553335245222"/>
    <n v="1619.8948562252601"/>
    <n v="1"/>
    <n v="0"/>
    <n v="0"/>
    <n v="0"/>
    <n v="0"/>
    <n v="0"/>
    <n v="0"/>
    <n v="0"/>
    <n v="0"/>
    <n v="0"/>
  </r>
  <r>
    <d v="2024-05-14T00:00:00"/>
    <n v="2024"/>
    <x v="0"/>
    <s v="R"/>
    <s v="RS"/>
    <x v="7"/>
    <s v="NYL"/>
    <s v="H"/>
    <n v="0"/>
    <n v="0"/>
    <n v="0"/>
    <n v="0"/>
    <n v="0"/>
    <n v="0"/>
    <n v="1486.1623226612535"/>
    <n v="1609.783302890015"/>
    <n v="0.44322672020411935"/>
    <n v="80"/>
    <n v="85"/>
    <n v="0"/>
    <n v="-5"/>
    <n v="0"/>
    <n v="0.3007712755389329"/>
    <n v="1"/>
    <n v="75.849999999999994"/>
    <n v="75.849999999999994"/>
    <n v="-10.111553335245222"/>
    <n v="1476.0507693260083"/>
    <n v="0"/>
    <n v="1"/>
    <n v="0"/>
    <n v="0"/>
    <n v="0"/>
    <n v="0"/>
    <n v="0"/>
    <n v="0"/>
    <n v="0"/>
    <n v="0"/>
  </r>
  <r>
    <d v="2024-05-15T00:00:00"/>
    <n v="2024"/>
    <x v="0"/>
    <s v="R"/>
    <s v="RS"/>
    <x v="8"/>
    <s v="DAL"/>
    <s v="A"/>
    <n v="1"/>
    <n v="1"/>
    <n v="0"/>
    <n v="0"/>
    <n v="0"/>
    <n v="0"/>
    <n v="1499.033737039377"/>
    <n v="1530.3830072621431"/>
    <n v="0.33984079330055572"/>
    <n v="79"/>
    <n v="87"/>
    <n v="0"/>
    <n v="-8"/>
    <n v="0"/>
    <n v="0.37842929968952299"/>
    <n v="1"/>
    <n v="75.849999999999994"/>
    <n v="75.849999999999994"/>
    <n v="-9.7547433625020545"/>
    <n v="1489.278993676875"/>
    <n v="0"/>
    <n v="1"/>
    <n v="0"/>
    <n v="0"/>
    <n v="0"/>
    <n v="0"/>
    <n v="0"/>
    <n v="0"/>
    <n v="0"/>
    <n v="0"/>
  </r>
  <r>
    <d v="2024-05-15T00:00:00"/>
    <n v="2024"/>
    <x v="0"/>
    <s v="R"/>
    <s v="RS"/>
    <x v="9"/>
    <s v="CHI"/>
    <s v="H"/>
    <n v="1"/>
    <n v="1"/>
    <n v="0"/>
    <n v="0"/>
    <n v="0"/>
    <n v="0"/>
    <n v="1530.3830072621431"/>
    <n v="1499.033737039377"/>
    <n v="0.66015920669944428"/>
    <n v="87"/>
    <n v="79"/>
    <n v="0"/>
    <n v="8"/>
    <n v="1"/>
    <n v="0.37842929968952299"/>
    <n v="1"/>
    <n v="75.849999999999994"/>
    <n v="75.849999999999994"/>
    <n v="9.7547433625020545"/>
    <n v="1540.1377506246452"/>
    <n v="1"/>
    <n v="0"/>
    <n v="0"/>
    <n v="0"/>
    <n v="0"/>
    <n v="0"/>
    <n v="0"/>
    <n v="0"/>
    <n v="0"/>
    <n v="0"/>
  </r>
  <r>
    <d v="2024-05-15T00:00:00"/>
    <n v="2024"/>
    <x v="0"/>
    <s v="R"/>
    <s v="RS"/>
    <x v="10"/>
    <s v="LAS"/>
    <s v="A"/>
    <n v="1"/>
    <n v="1"/>
    <n v="0"/>
    <n v="0"/>
    <n v="0"/>
    <n v="0"/>
    <n v="1468.0100301849161"/>
    <n v="1471.2447130562898"/>
    <n v="0.37703244337874198"/>
    <n v="92"/>
    <n v="81"/>
    <n v="0"/>
    <n v="11"/>
    <n v="1"/>
    <n v="0.43865354932224815"/>
    <n v="1"/>
    <n v="75.849999999999994"/>
    <n v="75.849999999999994"/>
    <n v="20.7272966271901"/>
    <n v="1488.7373268121062"/>
    <n v="1"/>
    <n v="0"/>
    <n v="0"/>
    <n v="0"/>
    <n v="0"/>
    <n v="0"/>
    <n v="0"/>
    <n v="0"/>
    <n v="0"/>
    <n v="0"/>
  </r>
  <r>
    <d v="2024-05-15T00:00:00"/>
    <n v="2024"/>
    <x v="0"/>
    <s v="R"/>
    <s v="RS"/>
    <x v="11"/>
    <s v="ATL"/>
    <s v="H"/>
    <n v="1"/>
    <n v="1"/>
    <n v="0"/>
    <n v="0"/>
    <n v="0"/>
    <n v="0"/>
    <n v="1471.2447130562898"/>
    <n v="1468.0100301849161"/>
    <n v="0.62296755662125802"/>
    <n v="81"/>
    <n v="92"/>
    <n v="0"/>
    <n v="-11"/>
    <n v="0"/>
    <n v="0.43865354932224815"/>
    <n v="1"/>
    <n v="75.849999999999994"/>
    <n v="75.849999999999994"/>
    <n v="-20.7272966271901"/>
    <n v="1450.5174164290997"/>
    <n v="0"/>
    <n v="1"/>
    <n v="0"/>
    <n v="0"/>
    <n v="0"/>
    <n v="0"/>
    <n v="0"/>
    <n v="0"/>
    <n v="0"/>
    <n v="0"/>
  </r>
  <r>
    <d v="2024-05-16T00:00:00"/>
    <n v="2024"/>
    <x v="1"/>
    <s v="R"/>
    <s v="RS"/>
    <x v="6"/>
    <s v="IND"/>
    <s v="A"/>
    <n v="1"/>
    <n v="1"/>
    <n v="0"/>
    <n v="0"/>
    <n v="0"/>
    <n v="0"/>
    <n v="1619.8948562252601"/>
    <n v="1419.2344697064523"/>
    <n v="0.66185040446264642"/>
    <n v="102"/>
    <n v="66"/>
    <n v="0"/>
    <n v="36"/>
    <n v="1"/>
    <n v="0.66273127809501575"/>
    <n v="1"/>
    <n v="75.7"/>
    <n v="75.7"/>
    <n v="16.964545142380171"/>
    <n v="1636.8594013676402"/>
    <n v="1"/>
    <n v="0"/>
    <n v="0"/>
    <n v="0"/>
    <n v="0"/>
    <n v="0"/>
    <n v="0"/>
    <n v="0"/>
    <n v="0"/>
    <n v="0"/>
  </r>
  <r>
    <d v="2024-05-16T00:00:00"/>
    <n v="2024"/>
    <x v="1"/>
    <s v="R"/>
    <s v="RS"/>
    <x v="0"/>
    <s v="NYL"/>
    <s v="H"/>
    <n v="1"/>
    <n v="1"/>
    <n v="0"/>
    <n v="0"/>
    <n v="0"/>
    <n v="0"/>
    <n v="1419.2344697064523"/>
    <n v="1619.8948562252601"/>
    <n v="0.33814959553735358"/>
    <n v="66"/>
    <n v="102"/>
    <n v="0"/>
    <n v="-36"/>
    <n v="0"/>
    <n v="0.66273127809501575"/>
    <n v="1"/>
    <n v="75.7"/>
    <n v="75.7"/>
    <n v="-16.964545142380171"/>
    <n v="1402.2699245640722"/>
    <n v="0"/>
    <n v="1"/>
    <n v="0"/>
    <n v="0"/>
    <n v="0"/>
    <n v="0"/>
    <n v="0"/>
    <n v="0"/>
    <n v="0"/>
    <n v="0"/>
  </r>
  <r>
    <d v="2024-05-17T00:00:00"/>
    <n v="2024"/>
    <x v="1"/>
    <s v="R"/>
    <s v="RS"/>
    <x v="7"/>
    <s v="CON"/>
    <s v="A"/>
    <n v="2"/>
    <n v="2"/>
    <n v="0"/>
    <n v="0"/>
    <n v="0"/>
    <n v="0"/>
    <n v="1476.0507693260083"/>
    <n v="1560.2621491957484"/>
    <n v="0.27521897137224582"/>
    <n v="77"/>
    <n v="84"/>
    <n v="0"/>
    <n v="-7"/>
    <n v="0"/>
    <n v="0.34583761983921429"/>
    <n v="1"/>
    <n v="75.7"/>
    <n v="75.7"/>
    <n v="-7.205207301343858"/>
    <n v="1468.8455620246646"/>
    <n v="0"/>
    <n v="1"/>
    <n v="0"/>
    <n v="0"/>
    <n v="0"/>
    <n v="0"/>
    <n v="0"/>
    <n v="0"/>
    <n v="0"/>
    <n v="0"/>
  </r>
  <r>
    <d v="2024-05-17T00:00:00"/>
    <n v="2024"/>
    <x v="1"/>
    <s v="R"/>
    <s v="RS"/>
    <x v="1"/>
    <s v="WAS"/>
    <s v="H"/>
    <n v="2"/>
    <n v="2"/>
    <n v="0"/>
    <n v="0"/>
    <n v="0"/>
    <n v="0"/>
    <n v="1560.2621491957484"/>
    <n v="1476.0507693260083"/>
    <n v="0.72478102862775418"/>
    <n v="84"/>
    <n v="77"/>
    <n v="0"/>
    <n v="7"/>
    <n v="1"/>
    <n v="0.34583761983921429"/>
    <n v="1"/>
    <n v="75.7"/>
    <n v="75.7"/>
    <n v="7.205207301343858"/>
    <n v="1567.4673564970922"/>
    <n v="1"/>
    <n v="0"/>
    <n v="0"/>
    <n v="0"/>
    <n v="0"/>
    <n v="0"/>
    <n v="0"/>
    <n v="0"/>
    <n v="0"/>
    <n v="0"/>
  </r>
  <r>
    <d v="2024-05-17T00:00:00"/>
    <n v="2024"/>
    <x v="1"/>
    <s v="R"/>
    <s v="RS"/>
    <x v="5"/>
    <s v="MIN"/>
    <s v="A"/>
    <n v="2"/>
    <n v="2"/>
    <n v="0"/>
    <n v="0"/>
    <n v="0"/>
    <n v="0"/>
    <n v="1425.4793633464681"/>
    <n v="1491.9989273114991"/>
    <n v="0.29599138159374744"/>
    <n v="93"/>
    <n v="102"/>
    <n v="1"/>
    <n v="-9"/>
    <n v="0"/>
    <n v="0.34618434787251967"/>
    <n v="1"/>
    <n v="75.7"/>
    <n v="75.7"/>
    <n v="-7.7567960643578608"/>
    <n v="1417.7225672821103"/>
    <n v="0"/>
    <n v="1"/>
    <n v="0"/>
    <n v="0"/>
    <n v="0"/>
    <n v="0"/>
    <n v="0"/>
    <n v="0"/>
    <n v="0"/>
    <n v="0"/>
  </r>
  <r>
    <d v="2024-05-17T00:00:00"/>
    <n v="2024"/>
    <x v="1"/>
    <s v="R"/>
    <s v="RS"/>
    <x v="4"/>
    <s v="SEA"/>
    <s v="H"/>
    <n v="2"/>
    <n v="2"/>
    <n v="0"/>
    <n v="0"/>
    <n v="0"/>
    <n v="0"/>
    <n v="1491.9989273114991"/>
    <n v="1425.4793633464681"/>
    <n v="0.70400861840625251"/>
    <n v="102"/>
    <n v="93"/>
    <n v="1"/>
    <n v="9"/>
    <n v="1"/>
    <n v="0.34618434787251967"/>
    <n v="1"/>
    <n v="75.7"/>
    <n v="75.7"/>
    <n v="7.7567960643578626"/>
    <n v="1499.7557233758569"/>
    <n v="1"/>
    <n v="0"/>
    <n v="0"/>
    <n v="0"/>
    <n v="0"/>
    <n v="0"/>
    <n v="0"/>
    <n v="0"/>
    <n v="0"/>
    <n v="0"/>
  </r>
  <r>
    <d v="2024-05-18T00:00:00"/>
    <n v="2024"/>
    <x v="1"/>
    <s v="R"/>
    <s v="RS"/>
    <x v="8"/>
    <s v="DAL"/>
    <s v="A"/>
    <n v="2"/>
    <n v="2"/>
    <n v="0"/>
    <n v="0"/>
    <n v="0"/>
    <n v="0"/>
    <n v="1489.278993676875"/>
    <n v="1540.1377506246452"/>
    <n v="0.31511583756084072"/>
    <n v="83"/>
    <n v="74"/>
    <n v="0"/>
    <n v="9"/>
    <n v="1"/>
    <n v="0.38946510137197932"/>
    <n v="1"/>
    <n v="75.7"/>
    <n v="75.7"/>
    <n v="20.192102917258975"/>
    <n v="1509.471096594134"/>
    <n v="1"/>
    <n v="0"/>
    <n v="0"/>
    <n v="0"/>
    <n v="0"/>
    <n v="0"/>
    <n v="0"/>
    <n v="0"/>
    <n v="0"/>
    <n v="0"/>
  </r>
  <r>
    <d v="2024-05-18T00:00:00"/>
    <n v="2024"/>
    <x v="1"/>
    <s v="R"/>
    <s v="RS"/>
    <x v="9"/>
    <s v="CHI"/>
    <s v="H"/>
    <n v="2"/>
    <n v="2"/>
    <n v="0"/>
    <n v="0"/>
    <n v="0"/>
    <n v="0"/>
    <n v="1540.1377506246452"/>
    <n v="1489.278993676875"/>
    <n v="0.68488416243915928"/>
    <n v="74"/>
    <n v="83"/>
    <n v="0"/>
    <n v="-9"/>
    <n v="0"/>
    <n v="0.38946510137197932"/>
    <n v="1"/>
    <n v="75.7"/>
    <n v="75.7"/>
    <n v="-20.192102917258975"/>
    <n v="1519.9456477073861"/>
    <n v="0"/>
    <n v="1"/>
    <n v="0"/>
    <n v="0"/>
    <n v="0"/>
    <n v="0"/>
    <n v="0"/>
    <n v="0"/>
    <n v="0"/>
    <n v="0"/>
  </r>
  <r>
    <d v="2024-05-18T00:00:00"/>
    <n v="2024"/>
    <x v="1"/>
    <s v="R"/>
    <s v="RS"/>
    <x v="11"/>
    <s v="LVA"/>
    <s v="A"/>
    <n v="2"/>
    <n v="3"/>
    <n v="-1"/>
    <n v="1"/>
    <n v="-8"/>
    <n v="8"/>
    <n v="1450.5174164290997"/>
    <n v="1641.0753986307091"/>
    <n v="0.15807967628142844"/>
    <n v="82"/>
    <n v="89"/>
    <n v="0"/>
    <n v="-7"/>
    <n v="0"/>
    <n v="0.31938877247061259"/>
    <n v="1"/>
    <n v="75.7"/>
    <n v="75.7"/>
    <n v="-3.822007743637847"/>
    <n v="1446.6954086854619"/>
    <n v="0"/>
    <n v="1"/>
    <n v="0"/>
    <n v="0"/>
    <n v="0"/>
    <n v="0"/>
    <n v="0"/>
    <n v="0"/>
    <n v="0"/>
    <n v="0"/>
  </r>
  <r>
    <d v="2024-05-18T00:00:00"/>
    <n v="2024"/>
    <x v="1"/>
    <s v="R"/>
    <s v="RS"/>
    <x v="3"/>
    <s v="LAS"/>
    <s v="H"/>
    <n v="3"/>
    <n v="2"/>
    <n v="1"/>
    <n v="-1"/>
    <n v="8"/>
    <n v="-8"/>
    <n v="1641.0753986307091"/>
    <n v="1450.5174164290997"/>
    <n v="0.84192032371857162"/>
    <n v="89"/>
    <n v="82"/>
    <n v="0"/>
    <n v="7"/>
    <n v="1"/>
    <n v="0.31938877247061259"/>
    <n v="1"/>
    <n v="75.7"/>
    <n v="75.7"/>
    <n v="3.8220077436378457"/>
    <n v="1644.8974063743469"/>
    <n v="1"/>
    <n v="0"/>
    <n v="0"/>
    <n v="0"/>
    <n v="0"/>
    <n v="0"/>
    <n v="0"/>
    <n v="0"/>
    <n v="0"/>
    <n v="0"/>
  </r>
  <r>
    <d v="2024-05-18T00:00:00"/>
    <n v="2024"/>
    <x v="2"/>
    <s v="R"/>
    <s v="RS"/>
    <x v="0"/>
    <s v="NYL"/>
    <s v="A"/>
    <n v="1"/>
    <n v="1"/>
    <n v="0"/>
    <n v="0"/>
    <n v="0"/>
    <n v="0"/>
    <n v="1402.2699245640722"/>
    <n v="1636.8594013676402"/>
    <n v="0.13776857194119593"/>
    <n v="80"/>
    <n v="91"/>
    <n v="0"/>
    <n v="-11"/>
    <n v="0"/>
    <n v="0.36791233509196264"/>
    <n v="1"/>
    <n v="75.55"/>
    <n v="75.55"/>
    <n v="-3.8293844917406266"/>
    <n v="1398.4405400723315"/>
    <n v="0"/>
    <n v="1"/>
    <n v="0"/>
    <n v="0"/>
    <n v="0"/>
    <n v="0"/>
    <n v="0"/>
    <n v="0"/>
    <n v="0"/>
    <n v="0"/>
  </r>
  <r>
    <d v="2024-05-18T00:00:00"/>
    <n v="2024"/>
    <x v="2"/>
    <s v="R"/>
    <s v="RS"/>
    <x v="6"/>
    <s v="IND"/>
    <s v="H"/>
    <n v="1"/>
    <n v="1"/>
    <n v="0"/>
    <n v="0"/>
    <n v="0"/>
    <n v="0"/>
    <n v="1636.8594013676402"/>
    <n v="1402.2699245640722"/>
    <n v="0.86223142805880415"/>
    <n v="91"/>
    <n v="80"/>
    <n v="0"/>
    <n v="11"/>
    <n v="1"/>
    <n v="0.36791233509196264"/>
    <n v="1"/>
    <n v="75.55"/>
    <n v="75.55"/>
    <n v="3.8293844917406243"/>
    <n v="1640.6887858593809"/>
    <n v="1"/>
    <n v="0"/>
    <n v="0"/>
    <n v="0"/>
    <n v="0"/>
    <n v="0"/>
    <n v="0"/>
    <n v="0"/>
    <n v="0"/>
    <n v="0"/>
  </r>
  <r>
    <d v="2024-05-18T00:00:00"/>
    <n v="2024"/>
    <x v="1"/>
    <s v="R"/>
    <s v="RS"/>
    <x v="10"/>
    <s v="PHX"/>
    <s v="A"/>
    <n v="2"/>
    <n v="3"/>
    <n v="-1"/>
    <n v="1"/>
    <n v="-8"/>
    <n v="8"/>
    <n v="1488.7373268121062"/>
    <n v="1397.5981467471922"/>
    <n v="0.48725101904429724"/>
    <n v="85"/>
    <n v="88"/>
    <n v="0"/>
    <n v="-3"/>
    <n v="0"/>
    <n v="0.26969999105823922"/>
    <n v="1"/>
    <n v="75.7"/>
    <n v="75.7"/>
    <n v="-9.9478577777879238"/>
    <n v="1478.7894690343182"/>
    <n v="0"/>
    <n v="1"/>
    <n v="0"/>
    <n v="0"/>
    <n v="0"/>
    <n v="0"/>
    <n v="0"/>
    <n v="0"/>
    <n v="0"/>
    <n v="0"/>
  </r>
  <r>
    <d v="2024-05-18T00:00:00"/>
    <n v="2024"/>
    <x v="1"/>
    <s v="R"/>
    <s v="RS"/>
    <x v="2"/>
    <s v="ATL"/>
    <s v="H"/>
    <n v="3"/>
    <n v="2"/>
    <n v="1"/>
    <n v="-1"/>
    <n v="8"/>
    <n v="-8"/>
    <n v="1397.5981467471922"/>
    <n v="1488.7373268121062"/>
    <n v="0.51274898095570276"/>
    <n v="88"/>
    <n v="85"/>
    <n v="0"/>
    <n v="3"/>
    <n v="1"/>
    <n v="0.26969999105823922"/>
    <n v="1"/>
    <n v="75.7"/>
    <n v="75.7"/>
    <n v="9.9478577777879238"/>
    <n v="1407.5460045249802"/>
    <n v="1"/>
    <n v="0"/>
    <n v="0"/>
    <n v="0"/>
    <n v="0"/>
    <n v="0"/>
    <n v="0"/>
    <n v="0"/>
    <n v="0"/>
    <n v="0"/>
  </r>
  <r>
    <d v="2024-05-19T00:00:00"/>
    <n v="2024"/>
    <x v="2"/>
    <s v="R"/>
    <s v="RS"/>
    <x v="5"/>
    <s v="WAS"/>
    <s v="A"/>
    <n v="1"/>
    <n v="1"/>
    <n v="0"/>
    <n v="0"/>
    <n v="0"/>
    <n v="0"/>
    <n v="1417.7225672821103"/>
    <n v="1468.8455620246646"/>
    <n v="0.31478765478179838"/>
    <n v="84"/>
    <n v="75"/>
    <n v="0"/>
    <n v="9"/>
    <n v="1"/>
    <n v="0.38938284615009922"/>
    <n v="1"/>
    <n v="75.55"/>
    <n v="75.55"/>
    <n v="20.157490453127611"/>
    <n v="1437.8800577352379"/>
    <n v="1"/>
    <n v="0"/>
    <n v="0"/>
    <n v="0"/>
    <n v="0"/>
    <n v="0"/>
    <n v="0"/>
    <n v="0"/>
    <n v="0"/>
    <n v="0"/>
  </r>
  <r>
    <d v="2024-05-19T00:00:00"/>
    <n v="2024"/>
    <x v="2"/>
    <s v="R"/>
    <s v="RS"/>
    <x v="7"/>
    <s v="SEA"/>
    <s v="H"/>
    <n v="1"/>
    <n v="1"/>
    <n v="0"/>
    <n v="0"/>
    <n v="0"/>
    <n v="0"/>
    <n v="1468.8455620246646"/>
    <n v="1417.7225672821103"/>
    <n v="0.68521234521820162"/>
    <n v="75"/>
    <n v="84"/>
    <n v="0"/>
    <n v="-9"/>
    <n v="0"/>
    <n v="0.38938284615009922"/>
    <n v="1"/>
    <n v="75.55"/>
    <n v="75.55"/>
    <n v="-20.157490453127611"/>
    <n v="1448.688071571537"/>
    <n v="0"/>
    <n v="1"/>
    <n v="0"/>
    <n v="0"/>
    <n v="0"/>
    <n v="0"/>
    <n v="0"/>
    <n v="0"/>
    <n v="0"/>
    <n v="0"/>
  </r>
  <r>
    <d v="2024-05-20T00:00:00"/>
    <n v="2024"/>
    <x v="2"/>
    <s v="R"/>
    <s v="RS"/>
    <x v="1"/>
    <s v="IND"/>
    <s v="A"/>
    <n v="2"/>
    <n v="1"/>
    <n v="1"/>
    <n v="-1"/>
    <n v="8"/>
    <n v="-8"/>
    <n v="1567.4673564970922"/>
    <n v="1398.4405400723315"/>
    <n v="0.6414256171270829"/>
    <n v="88"/>
    <n v="84"/>
    <n v="0"/>
    <n v="4"/>
    <n v="1"/>
    <n v="0.27298171036607605"/>
    <n v="1"/>
    <n v="75.55"/>
    <n v="75.55"/>
    <n v="7.3951549613397436"/>
    <n v="1574.862511458432"/>
    <n v="1"/>
    <n v="0"/>
    <n v="0"/>
    <n v="0"/>
    <n v="0"/>
    <n v="0"/>
    <n v="0"/>
    <n v="0"/>
    <n v="0"/>
    <n v="0"/>
  </r>
  <r>
    <d v="2024-05-20T00:00:00"/>
    <n v="2024"/>
    <x v="3"/>
    <s v="R"/>
    <s v="RS"/>
    <x v="0"/>
    <s v="CON"/>
    <s v="H"/>
    <n v="1"/>
    <n v="2"/>
    <n v="-1"/>
    <n v="1"/>
    <n v="-8"/>
    <n v="8"/>
    <n v="1398.4405400723315"/>
    <n v="1567.4673564970922"/>
    <n v="0.35857438287291704"/>
    <n v="84"/>
    <n v="88"/>
    <n v="0"/>
    <n v="-4"/>
    <n v="0"/>
    <n v="0.27298171036607605"/>
    <n v="1"/>
    <n v="75.400000000000006"/>
    <n v="75.400000000000006"/>
    <n v="-7.3804723240902268"/>
    <n v="1391.0600677482412"/>
    <n v="0"/>
    <n v="1"/>
    <n v="0"/>
    <n v="0"/>
    <n v="0"/>
    <n v="0"/>
    <n v="0"/>
    <n v="0"/>
    <n v="0"/>
    <n v="0"/>
  </r>
  <r>
    <d v="2024-05-20T00:00:00"/>
    <n v="2024"/>
    <x v="3"/>
    <s v="R"/>
    <s v="RS"/>
    <x v="5"/>
    <s v="NYL"/>
    <s v="A"/>
    <n v="0"/>
    <n v="1"/>
    <n v="-1"/>
    <n v="1"/>
    <n v="-8"/>
    <n v="8"/>
    <n v="1437.8800577352379"/>
    <n v="1640.6887858593809"/>
    <n v="0.14891869755518297"/>
    <n v="63"/>
    <n v="74"/>
    <n v="0"/>
    <n v="-11"/>
    <n v="0"/>
    <n v="0.37624741971412173"/>
    <n v="1"/>
    <n v="75.400000000000006"/>
    <n v="75.400000000000006"/>
    <n v="-4.2246827879553264"/>
    <n v="1433.6553749472826"/>
    <n v="0"/>
    <n v="1"/>
    <n v="0"/>
    <n v="0"/>
    <n v="0"/>
    <n v="0"/>
    <n v="0"/>
    <n v="0"/>
    <n v="0"/>
    <n v="0"/>
  </r>
  <r>
    <d v="2024-05-20T00:00:00"/>
    <n v="2024"/>
    <x v="3"/>
    <s v="R"/>
    <s v="RS"/>
    <x v="6"/>
    <s v="SEA"/>
    <s v="H"/>
    <n v="1"/>
    <n v="0"/>
    <n v="1"/>
    <n v="-1"/>
    <n v="8"/>
    <n v="-8"/>
    <n v="1640.6887858593809"/>
    <n v="1437.8800577352379"/>
    <n v="0.85108130244481695"/>
    <n v="74"/>
    <n v="63"/>
    <n v="0"/>
    <n v="11"/>
    <n v="1"/>
    <n v="0.37624741971412173"/>
    <n v="1"/>
    <n v="75.400000000000006"/>
    <n v="75.400000000000006"/>
    <n v="4.224682787955329"/>
    <n v="1644.9134686473362"/>
    <n v="1"/>
    <n v="0"/>
    <n v="0"/>
    <n v="0"/>
    <n v="0"/>
    <n v="0"/>
    <n v="0"/>
    <n v="0"/>
    <n v="0"/>
    <n v="0"/>
  </r>
  <r>
    <d v="2024-05-21T00:00:00"/>
    <n v="2024"/>
    <x v="2"/>
    <s v="R"/>
    <s v="RS"/>
    <x v="9"/>
    <s v="ATL"/>
    <s v="A"/>
    <n v="2"/>
    <n v="2"/>
    <n v="0"/>
    <n v="0"/>
    <n v="0"/>
    <n v="0"/>
    <n v="1519.9456477073861"/>
    <n v="1478.7894690343182"/>
    <n v="0.43865342454355727"/>
    <n v="78"/>
    <n v="83"/>
    <n v="0"/>
    <n v="-5"/>
    <n v="0"/>
    <n v="0.32075509705725952"/>
    <n v="1"/>
    <n v="75.55"/>
    <n v="75.55"/>
    <n v="-10.629909309267779"/>
    <n v="1509.3157383981184"/>
    <n v="0"/>
    <n v="1"/>
    <n v="0"/>
    <n v="0"/>
    <n v="0"/>
    <n v="0"/>
    <n v="0"/>
    <n v="0"/>
    <n v="0"/>
    <n v="0"/>
  </r>
  <r>
    <d v="2024-05-21T00:00:00"/>
    <n v="2024"/>
    <x v="2"/>
    <s v="R"/>
    <s v="RS"/>
    <x v="10"/>
    <s v="DAL"/>
    <s v="H"/>
    <n v="2"/>
    <n v="2"/>
    <n v="0"/>
    <n v="0"/>
    <n v="0"/>
    <n v="0"/>
    <n v="1478.7894690343182"/>
    <n v="1519.9456477073861"/>
    <n v="0.56134657545644273"/>
    <n v="83"/>
    <n v="78"/>
    <n v="0"/>
    <n v="5"/>
    <n v="1"/>
    <n v="0.32075509705725952"/>
    <n v="1"/>
    <n v="75.55"/>
    <n v="75.55"/>
    <n v="10.629909309267779"/>
    <n v="1489.419378343586"/>
    <n v="1"/>
    <n v="0"/>
    <n v="0"/>
    <n v="0"/>
    <n v="0"/>
    <n v="0"/>
    <n v="0"/>
    <n v="0"/>
    <n v="0"/>
    <n v="0"/>
  </r>
  <r>
    <d v="2024-05-21T00:00:00"/>
    <n v="2024"/>
    <x v="3"/>
    <s v="R"/>
    <s v="RS"/>
    <x v="7"/>
    <s v="LAS"/>
    <s v="A"/>
    <n v="1"/>
    <n v="2"/>
    <n v="-1"/>
    <n v="1"/>
    <n v="-8"/>
    <n v="8"/>
    <n v="1448.688071571537"/>
    <n v="1446.6954086854619"/>
    <n v="0.36258186181364005"/>
    <n v="68"/>
    <n v="70"/>
    <n v="0"/>
    <n v="-2"/>
    <n v="0"/>
    <n v="0.26739729359069059"/>
    <n v="1"/>
    <n v="75.400000000000006"/>
    <n v="75.400000000000006"/>
    <n v="-7.3102870049747004"/>
    <n v="1441.3777845665622"/>
    <n v="0"/>
    <n v="1"/>
    <n v="0"/>
    <n v="0"/>
    <n v="0"/>
    <n v="0"/>
    <n v="0"/>
    <n v="0"/>
    <n v="0"/>
    <n v="0"/>
  </r>
  <r>
    <d v="2024-05-21T00:00:00"/>
    <n v="2024"/>
    <x v="2"/>
    <s v="R"/>
    <s v="RS"/>
    <x v="11"/>
    <s v="WAS"/>
    <s v="H"/>
    <n v="2"/>
    <n v="1"/>
    <n v="1"/>
    <n v="-1"/>
    <n v="8"/>
    <n v="-8"/>
    <n v="1446.6954086854619"/>
    <n v="1448.688071571537"/>
    <n v="0.63741813818635984"/>
    <n v="70"/>
    <n v="68"/>
    <n v="0"/>
    <n v="2"/>
    <n v="1"/>
    <n v="0.26739729359069059"/>
    <n v="1"/>
    <n v="75.55"/>
    <n v="75.55"/>
    <n v="7.3248300162578079"/>
    <n v="1454.0202387017198"/>
    <n v="1"/>
    <n v="0"/>
    <n v="0"/>
    <n v="0"/>
    <n v="0"/>
    <n v="0"/>
    <n v="0"/>
    <n v="0"/>
    <n v="0"/>
    <n v="0"/>
  </r>
  <r>
    <d v="2024-05-21T00:00:00"/>
    <n v="2024"/>
    <x v="2"/>
    <s v="R"/>
    <s v="RS"/>
    <x v="2"/>
    <s v="LVA"/>
    <s v="A"/>
    <n v="2"/>
    <n v="2"/>
    <n v="0"/>
    <n v="0"/>
    <n v="0"/>
    <n v="0"/>
    <n v="1407.5460045249802"/>
    <n v="1644.8974063743469"/>
    <n v="0.13589081865865385"/>
    <n v="98"/>
    <n v="88"/>
    <n v="0"/>
    <n v="10"/>
    <n v="1"/>
    <n v="0.35325783141508571"/>
    <n v="1"/>
    <n v="75.55"/>
    <n v="75.55"/>
    <n v="23.061889497516756"/>
    <n v="1430.607894022497"/>
    <n v="1"/>
    <n v="0"/>
    <n v="0"/>
    <n v="0"/>
    <n v="0"/>
    <n v="0"/>
    <n v="0"/>
    <n v="0"/>
    <n v="0"/>
    <n v="0"/>
  </r>
  <r>
    <d v="2024-05-21T00:00:00"/>
    <n v="2024"/>
    <x v="2"/>
    <s v="R"/>
    <s v="RS"/>
    <x v="3"/>
    <s v="PHX"/>
    <s v="H"/>
    <n v="2"/>
    <n v="2"/>
    <n v="0"/>
    <n v="0"/>
    <n v="0"/>
    <n v="0"/>
    <n v="1644.8974063743469"/>
    <n v="1407.5460045249802"/>
    <n v="0.86410918134134607"/>
    <n v="88"/>
    <n v="98"/>
    <n v="0"/>
    <n v="-10"/>
    <n v="0"/>
    <n v="0.35325783141508571"/>
    <n v="1"/>
    <n v="75.55"/>
    <n v="75.55"/>
    <n v="-23.061889497516752"/>
    <n v="1621.8355168768301"/>
    <n v="0"/>
    <n v="1"/>
    <n v="0"/>
    <n v="0"/>
    <n v="0"/>
    <n v="0"/>
    <n v="0"/>
    <n v="0"/>
    <n v="0"/>
    <n v="0"/>
  </r>
  <r>
    <d v="2024-05-22T00:00:00"/>
    <n v="2024"/>
    <x v="4"/>
    <s v="R"/>
    <s v="RS"/>
    <x v="0"/>
    <s v="SEA"/>
    <s v="A"/>
    <n v="1"/>
    <n v="1"/>
    <n v="0"/>
    <n v="0"/>
    <n v="0"/>
    <n v="0"/>
    <n v="1391.0600677482412"/>
    <n v="1433.6553749472826"/>
    <n v="0.32547103019947626"/>
    <n v="83"/>
    <n v="85"/>
    <n v="0"/>
    <n v="-2"/>
    <n v="0"/>
    <n v="0.25865990569053376"/>
    <n v="1"/>
    <n v="75.25"/>
    <n v="75.25"/>
    <n v="-6.3350195247239043"/>
    <n v="1384.7250482235172"/>
    <n v="0"/>
    <n v="1"/>
    <n v="0"/>
    <n v="0"/>
    <n v="0"/>
    <n v="0"/>
    <n v="0"/>
    <n v="0"/>
    <n v="0"/>
    <n v="0"/>
  </r>
  <r>
    <d v="2024-05-22T00:00:00"/>
    <n v="2024"/>
    <x v="4"/>
    <s v="R"/>
    <s v="RS"/>
    <x v="5"/>
    <s v="IND"/>
    <s v="H"/>
    <n v="1"/>
    <n v="1"/>
    <n v="0"/>
    <n v="0"/>
    <n v="0"/>
    <n v="0"/>
    <n v="1433.6553749472826"/>
    <n v="1391.0600677482412"/>
    <n v="0.67452896980052368"/>
    <n v="85"/>
    <n v="83"/>
    <n v="0"/>
    <n v="2"/>
    <n v="1"/>
    <n v="0.25865990569053376"/>
    <n v="1"/>
    <n v="75.25"/>
    <n v="75.25"/>
    <n v="6.3350195247239052"/>
    <n v="1439.9903944720065"/>
    <n v="1"/>
    <n v="0"/>
    <n v="0"/>
    <n v="0"/>
    <n v="0"/>
    <n v="0"/>
    <n v="0"/>
    <n v="0"/>
    <n v="0"/>
    <n v="0"/>
  </r>
  <r>
    <d v="2024-05-23T00:00:00"/>
    <n v="2024"/>
    <x v="2"/>
    <s v="R"/>
    <s v="RS"/>
    <x v="4"/>
    <s v="CON"/>
    <s v="A"/>
    <n v="5"/>
    <n v="2"/>
    <n v="3"/>
    <n v="-3"/>
    <n v="16"/>
    <n v="-16"/>
    <n v="1499.7557233758569"/>
    <n v="1574.862511458432"/>
    <n v="0.32482496756742485"/>
    <n v="82"/>
    <n v="83"/>
    <n v="1"/>
    <n v="-1"/>
    <n v="0"/>
    <n v="0.20681722276694439"/>
    <n v="1"/>
    <n v="75.55"/>
    <n v="75.55"/>
    <n v="-5.0754034945470314"/>
    <n v="1494.6803198813097"/>
    <n v="0"/>
    <n v="1"/>
    <n v="0"/>
    <n v="0"/>
    <n v="0"/>
    <n v="0"/>
    <n v="0"/>
    <n v="0"/>
    <n v="0"/>
    <n v="0"/>
  </r>
  <r>
    <d v="2024-05-23T00:00:00"/>
    <n v="2024"/>
    <x v="3"/>
    <s v="R"/>
    <s v="RS"/>
    <x v="1"/>
    <s v="MIN"/>
    <s v="H"/>
    <n v="2"/>
    <n v="5"/>
    <n v="-3"/>
    <n v="3"/>
    <n v="-16"/>
    <n v="16"/>
    <n v="1574.862511458432"/>
    <n v="1499.7557233758569"/>
    <n v="0.67517503243257515"/>
    <n v="83"/>
    <n v="82"/>
    <n v="1"/>
    <n v="1"/>
    <n v="1"/>
    <n v="0.20681722276694439"/>
    <n v="1"/>
    <n v="75.400000000000006"/>
    <n v="75.400000000000006"/>
    <n v="5.0653265848953826"/>
    <n v="1579.9278380433273"/>
    <n v="1"/>
    <n v="0"/>
    <n v="0"/>
    <n v="0"/>
    <n v="0"/>
    <n v="0"/>
    <n v="0"/>
    <n v="0"/>
    <n v="0"/>
    <n v="0"/>
  </r>
  <r>
    <d v="2024-05-23T00:00:00"/>
    <n v="2024"/>
    <x v="2"/>
    <s v="R"/>
    <s v="RS"/>
    <x v="8"/>
    <s v="NYL"/>
    <s v="A"/>
    <n v="4"/>
    <n v="2"/>
    <n v="2"/>
    <n v="-2"/>
    <n v="16"/>
    <n v="-16"/>
    <n v="1509.471096594134"/>
    <n v="1644.9134686473362"/>
    <n v="0.25369435182114397"/>
    <n v="90"/>
    <n v="81"/>
    <n v="0"/>
    <n v="9"/>
    <n v="1"/>
    <n v="0.36479734563737759"/>
    <n v="1"/>
    <n v="75.55"/>
    <n v="75.55"/>
    <n v="20.568511637456599"/>
    <n v="1530.0396082315906"/>
    <n v="1"/>
    <n v="0"/>
    <n v="0"/>
    <n v="0"/>
    <n v="0"/>
    <n v="0"/>
    <n v="0"/>
    <n v="0"/>
    <n v="0"/>
    <n v="0"/>
  </r>
  <r>
    <d v="2024-05-23T00:00:00"/>
    <n v="2024"/>
    <x v="4"/>
    <s v="R"/>
    <s v="RS"/>
    <x v="6"/>
    <s v="CHI"/>
    <s v="H"/>
    <n v="2"/>
    <n v="4"/>
    <n v="-2"/>
    <n v="2"/>
    <n v="-16"/>
    <n v="16"/>
    <n v="1644.9134686473362"/>
    <n v="1509.471096594134"/>
    <n v="0.74630564817885603"/>
    <n v="81"/>
    <n v="90"/>
    <n v="0"/>
    <n v="-9"/>
    <n v="0"/>
    <n v="0.36479734563737759"/>
    <n v="1"/>
    <n v="75.25"/>
    <n v="75.25"/>
    <n v="-20.486836541609652"/>
    <n v="1624.4266321057266"/>
    <n v="0"/>
    <n v="1"/>
    <n v="0"/>
    <n v="0"/>
    <n v="0"/>
    <n v="0"/>
    <n v="0"/>
    <n v="0"/>
    <n v="0"/>
    <n v="0"/>
  </r>
  <r>
    <d v="2024-05-23T00:00:00"/>
    <n v="2024"/>
    <x v="4"/>
    <s v="R"/>
    <s v="RS"/>
    <x v="7"/>
    <s v="PHX"/>
    <s v="A"/>
    <n v="1"/>
    <n v="1"/>
    <n v="0"/>
    <n v="0"/>
    <n v="0"/>
    <n v="0"/>
    <n v="1441.3777845665622"/>
    <n v="1430.607894022497"/>
    <n v="0.39614677043965396"/>
    <n v="80"/>
    <n v="83"/>
    <n v="0"/>
    <n v="-3"/>
    <n v="0"/>
    <n v="0.28760231654090379"/>
    <n v="1"/>
    <n v="75.25"/>
    <n v="75.25"/>
    <n v="-8.5734378473653177"/>
    <n v="1432.8043467191969"/>
    <n v="0"/>
    <n v="1"/>
    <n v="0"/>
    <n v="0"/>
    <n v="0"/>
    <n v="0"/>
    <n v="0"/>
    <n v="0"/>
    <n v="0"/>
    <n v="0"/>
  </r>
  <r>
    <d v="2024-05-23T00:00:00"/>
    <n v="2024"/>
    <x v="3"/>
    <s v="R"/>
    <s v="RS"/>
    <x v="2"/>
    <s v="WAS"/>
    <s v="H"/>
    <n v="1"/>
    <n v="1"/>
    <n v="0"/>
    <n v="0"/>
    <n v="0"/>
    <n v="0"/>
    <n v="1430.607894022497"/>
    <n v="1441.3777845665622"/>
    <n v="0.60385322956034604"/>
    <n v="83"/>
    <n v="80"/>
    <n v="0"/>
    <n v="3"/>
    <n v="1"/>
    <n v="0.28760231654090379"/>
    <n v="1"/>
    <n v="75.400000000000006"/>
    <n v="75.400000000000006"/>
    <n v="8.5905277566956162"/>
    <n v="1439.1984217791926"/>
    <n v="1"/>
    <n v="0"/>
    <n v="0"/>
    <n v="0"/>
    <n v="0"/>
    <n v="0"/>
    <n v="0"/>
    <n v="0"/>
    <n v="0"/>
    <n v="0"/>
  </r>
  <r>
    <d v="2024-05-24T00:00:00"/>
    <n v="2024"/>
    <x v="5"/>
    <s v="R"/>
    <s v="RS"/>
    <x v="0"/>
    <s v="LAS"/>
    <s v="A"/>
    <n v="1"/>
    <n v="2"/>
    <n v="-1"/>
    <n v="1"/>
    <n v="-8"/>
    <n v="8"/>
    <n v="1384.7250482235172"/>
    <n v="1454.0202387017198"/>
    <n v="0.27397622000636229"/>
    <n v="78"/>
    <n v="73"/>
    <n v="0"/>
    <n v="5"/>
    <n v="1"/>
    <n v="0.31364427561055497"/>
    <n v="1"/>
    <n v="75.099999999999994"/>
    <n v="75.099999999999994"/>
    <n v="17.101261511665822"/>
    <n v="1401.826309735183"/>
    <n v="1"/>
    <n v="0"/>
    <n v="0"/>
    <n v="0"/>
    <n v="0"/>
    <n v="0"/>
    <n v="0"/>
    <n v="0"/>
    <n v="0"/>
    <n v="0"/>
  </r>
  <r>
    <d v="2024-05-24T00:00:00"/>
    <n v="2024"/>
    <x v="3"/>
    <s v="R"/>
    <s v="RS"/>
    <x v="11"/>
    <s v="IND"/>
    <s v="H"/>
    <n v="2"/>
    <n v="1"/>
    <n v="1"/>
    <n v="-1"/>
    <n v="8"/>
    <n v="-8"/>
    <n v="1454.0202387017198"/>
    <n v="1384.7250482235172"/>
    <n v="0.72602377999363765"/>
    <n v="73"/>
    <n v="78"/>
    <n v="0"/>
    <n v="-5"/>
    <n v="0"/>
    <n v="0.31364427561055497"/>
    <n v="1"/>
    <n v="75.400000000000006"/>
    <n v="75.400000000000006"/>
    <n v="-17.169575472431465"/>
    <n v="1436.8506632292883"/>
    <n v="0"/>
    <n v="1"/>
    <n v="0"/>
    <n v="0"/>
    <n v="0"/>
    <n v="0"/>
    <n v="0"/>
    <n v="0"/>
    <n v="0"/>
    <n v="0"/>
  </r>
  <r>
    <d v="2024-05-25T00:00:00"/>
    <n v="2024"/>
    <x v="4"/>
    <s v="R"/>
    <s v="RS"/>
    <x v="1"/>
    <s v="CHI"/>
    <s v="A"/>
    <n v="1"/>
    <n v="1"/>
    <n v="0"/>
    <n v="0"/>
    <n v="0"/>
    <n v="0"/>
    <n v="1579.9278380433273"/>
    <n v="1530.0396082315906"/>
    <n v="0.45106634952395802"/>
    <n v="86"/>
    <n v="82"/>
    <n v="0"/>
    <n v="4"/>
    <n v="1"/>
    <n v="0.29900216112999667"/>
    <n v="1"/>
    <n v="75.25"/>
    <n v="75.25"/>
    <n v="12.350959172650938"/>
    <n v="1592.2787972159781"/>
    <n v="1"/>
    <n v="0"/>
    <n v="0"/>
    <n v="0"/>
    <n v="0"/>
    <n v="0"/>
    <n v="0"/>
    <n v="0"/>
    <n v="0"/>
    <n v="0"/>
  </r>
  <r>
    <d v="2024-05-25T00:00:00"/>
    <n v="2024"/>
    <x v="3"/>
    <s v="R"/>
    <s v="RS"/>
    <x v="8"/>
    <s v="CON"/>
    <s v="H"/>
    <n v="1"/>
    <n v="1"/>
    <n v="0"/>
    <n v="0"/>
    <n v="0"/>
    <n v="0"/>
    <n v="1530.0396082315906"/>
    <n v="1579.9278380433273"/>
    <n v="0.54893365047604203"/>
    <n v="82"/>
    <n v="86"/>
    <n v="0"/>
    <n v="-4"/>
    <n v="0"/>
    <n v="0.29900216112999667"/>
    <n v="1"/>
    <n v="75.400000000000006"/>
    <n v="75.400000000000006"/>
    <n v="-12.375579024822336"/>
    <n v="1517.6640292067682"/>
    <n v="0"/>
    <n v="1"/>
    <n v="0"/>
    <n v="0"/>
    <n v="0"/>
    <n v="0"/>
    <n v="0"/>
    <n v="0"/>
    <n v="0"/>
    <n v="0"/>
  </r>
  <r>
    <d v="2024-05-25T00:00:00"/>
    <n v="2024"/>
    <x v="6"/>
    <s v="R"/>
    <s v="RS"/>
    <x v="0"/>
    <s v="LVA"/>
    <s v="A"/>
    <n v="0"/>
    <n v="3"/>
    <n v="-3"/>
    <n v="3"/>
    <n v="-16"/>
    <n v="16"/>
    <n v="1401.826309735183"/>
    <n v="1621.8355168768301"/>
    <n v="0.12628373106047536"/>
    <n v="80"/>
    <n v="99"/>
    <n v="0"/>
    <n v="-19"/>
    <n v="0"/>
    <n v="0.47406248063895134"/>
    <n v="1"/>
    <n v="74.95"/>
    <n v="74.95"/>
    <n v="-4.486985091874792"/>
    <n v="1397.3393246433081"/>
    <n v="0"/>
    <n v="1"/>
    <n v="0"/>
    <n v="0"/>
    <n v="0"/>
    <n v="0"/>
    <n v="0"/>
    <n v="0"/>
    <n v="0"/>
    <n v="0"/>
  </r>
  <r>
    <d v="2024-05-25T00:00:00"/>
    <n v="2024"/>
    <x v="3"/>
    <s v="R"/>
    <s v="RS"/>
    <x v="3"/>
    <s v="IND"/>
    <s v="H"/>
    <n v="3"/>
    <n v="0"/>
    <n v="3"/>
    <n v="-3"/>
    <n v="16"/>
    <n v="-16"/>
    <n v="1621.8355168768301"/>
    <n v="1401.826309735183"/>
    <n v="0.87371626893952459"/>
    <n v="99"/>
    <n v="80"/>
    <n v="0"/>
    <n v="19"/>
    <n v="1"/>
    <n v="0.47406248063895134"/>
    <n v="1"/>
    <n v="75.400000000000006"/>
    <n v="75.400000000000006"/>
    <n v="4.5139249623396855"/>
    <n v="1626.3494418391697"/>
    <n v="1"/>
    <n v="0"/>
    <n v="0"/>
    <n v="0"/>
    <n v="0"/>
    <n v="0"/>
    <n v="0"/>
    <n v="0"/>
    <n v="0"/>
    <n v="0"/>
  </r>
  <r>
    <d v="2024-05-25T00:00:00"/>
    <n v="2024"/>
    <x v="5"/>
    <s v="R"/>
    <s v="RS"/>
    <x v="6"/>
    <s v="MIN"/>
    <s v="A"/>
    <n v="1"/>
    <n v="1"/>
    <n v="0"/>
    <n v="0"/>
    <n v="0"/>
    <n v="0"/>
    <n v="1624.4266321057266"/>
    <n v="1494.6803198813097"/>
    <n v="0.56545640827860599"/>
    <n v="67"/>
    <n v="84"/>
    <n v="0"/>
    <n v="-17"/>
    <n v="0"/>
    <n v="0.48049050937361548"/>
    <n v="1"/>
    <n v="75.099999999999994"/>
    <n v="75.099999999999994"/>
    <n v="-20.40440246694142"/>
    <n v="1604.0222296387851"/>
    <n v="0"/>
    <n v="1"/>
    <n v="0"/>
    <n v="0"/>
    <n v="0"/>
    <n v="0"/>
    <n v="0"/>
    <n v="0"/>
    <n v="0"/>
    <n v="0"/>
  </r>
  <r>
    <d v="2024-05-25T00:00:00"/>
    <n v="2024"/>
    <x v="3"/>
    <s v="R"/>
    <s v="RS"/>
    <x v="4"/>
    <s v="NYL"/>
    <s v="H"/>
    <n v="1"/>
    <n v="1"/>
    <n v="0"/>
    <n v="0"/>
    <n v="0"/>
    <n v="0"/>
    <n v="1494.6803198813097"/>
    <n v="1624.4266321057266"/>
    <n v="0.43454359172139406"/>
    <n v="84"/>
    <n v="67"/>
    <n v="0"/>
    <n v="17"/>
    <n v="1"/>
    <n v="0.48049050937361548"/>
    <n v="1"/>
    <n v="75.400000000000006"/>
    <n v="75.400000000000006"/>
    <n v="20.48591139823413"/>
    <n v="1515.1662312795438"/>
    <n v="1"/>
    <n v="0"/>
    <n v="0"/>
    <n v="0"/>
    <n v="0"/>
    <n v="0"/>
    <n v="0"/>
    <n v="0"/>
    <n v="0"/>
    <n v="0"/>
  </r>
  <r>
    <d v="2024-05-25T00:00:00"/>
    <n v="2024"/>
    <x v="3"/>
    <s v="R"/>
    <s v="RS"/>
    <x v="9"/>
    <s v="PHX"/>
    <s v="A"/>
    <n v="3"/>
    <n v="1"/>
    <n v="2"/>
    <n v="-2"/>
    <n v="16"/>
    <n v="-16"/>
    <n v="1509.3157383981184"/>
    <n v="1439.1984217791926"/>
    <n v="0.52604930777759773"/>
    <n v="107"/>
    <n v="92"/>
    <n v="0"/>
    <n v="15"/>
    <n v="1"/>
    <n v="0.4750881086015144"/>
    <n v="1"/>
    <n v="75.400000000000006"/>
    <n v="75.400000000000006"/>
    <n v="16.977692680549296"/>
    <n v="1526.2934310786677"/>
    <n v="1"/>
    <n v="0"/>
    <n v="0"/>
    <n v="0"/>
    <n v="0"/>
    <n v="0"/>
    <n v="0"/>
    <n v="0"/>
    <n v="0"/>
    <n v="0"/>
  </r>
  <r>
    <d v="2024-05-25T00:00:00"/>
    <n v="2024"/>
    <x v="4"/>
    <s v="R"/>
    <s v="RS"/>
    <x v="2"/>
    <s v="DAL"/>
    <s v="H"/>
    <n v="1"/>
    <n v="3"/>
    <n v="-2"/>
    <n v="2"/>
    <n v="-16"/>
    <n v="16"/>
    <n v="1439.1984217791926"/>
    <n v="1509.3157383981184"/>
    <n v="0.47395069222240233"/>
    <n v="92"/>
    <n v="107"/>
    <n v="0"/>
    <n v="-15"/>
    <n v="0"/>
    <n v="0.4750881086015144"/>
    <n v="1"/>
    <n v="75.25"/>
    <n v="75.25"/>
    <n v="-16.943917429858551"/>
    <n v="1422.254504349334"/>
    <n v="0"/>
    <n v="1"/>
    <n v="0"/>
    <n v="0"/>
    <n v="0"/>
    <n v="0"/>
    <n v="0"/>
    <n v="0"/>
    <n v="0"/>
    <n v="0"/>
  </r>
  <r>
    <d v="2024-05-25T00:00:00"/>
    <n v="2024"/>
    <x v="5"/>
    <s v="R"/>
    <s v="RS"/>
    <x v="7"/>
    <s v="SEA"/>
    <s v="A"/>
    <n v="1"/>
    <n v="2"/>
    <n v="-1"/>
    <n v="1"/>
    <n v="-8"/>
    <n v="8"/>
    <n v="1432.8043467191969"/>
    <n v="1439.9903944720065"/>
    <n v="0.35046121864573743"/>
    <n v="69"/>
    <n v="101"/>
    <n v="0"/>
    <n v="-32"/>
    <n v="0"/>
    <n v="0.72301420024888752"/>
    <n v="1"/>
    <n v="75.099999999999994"/>
    <n v="75.099999999999994"/>
    <n v="-19.029471672576612"/>
    <n v="1413.7748750466203"/>
    <n v="0"/>
    <n v="1"/>
    <n v="0"/>
    <n v="0"/>
    <n v="0"/>
    <n v="0"/>
    <n v="0"/>
    <n v="0"/>
    <n v="0"/>
    <n v="0"/>
  </r>
  <r>
    <d v="2024-05-25T00:00:00"/>
    <n v="2024"/>
    <x v="5"/>
    <s v="R"/>
    <s v="RS"/>
    <x v="5"/>
    <s v="WAS"/>
    <s v="H"/>
    <n v="2"/>
    <n v="1"/>
    <n v="1"/>
    <n v="-1"/>
    <n v="8"/>
    <n v="-8"/>
    <n v="1439.9903944720065"/>
    <n v="1432.8043467191969"/>
    <n v="0.64953878135426257"/>
    <n v="101"/>
    <n v="69"/>
    <n v="0"/>
    <n v="32"/>
    <n v="1"/>
    <n v="0.72301420024888752"/>
    <n v="1"/>
    <n v="75.099999999999994"/>
    <n v="75.099999999999994"/>
    <n v="19.029471672576612"/>
    <n v="1459.0198661445831"/>
    <n v="1"/>
    <n v="0"/>
    <n v="0"/>
    <n v="0"/>
    <n v="0"/>
    <n v="0"/>
    <n v="0"/>
    <n v="0"/>
    <n v="0"/>
    <n v="0"/>
  </r>
  <r>
    <d v="2024-05-26T00:00:00"/>
    <n v="2024"/>
    <x v="4"/>
    <s v="R"/>
    <s v="RS"/>
    <x v="4"/>
    <s v="ATL"/>
    <s v="A"/>
    <n v="0"/>
    <n v="4"/>
    <n v="-4"/>
    <n v="4"/>
    <n v="-16"/>
    <n v="16"/>
    <n v="1515.1662312795438"/>
    <n v="1489.419378343586"/>
    <n v="0.3729600658552652"/>
    <n v="92"/>
    <n v="79"/>
    <n v="0"/>
    <n v="13"/>
    <n v="1"/>
    <n v="0.46212846104409849"/>
    <n v="1"/>
    <n v="75.25"/>
    <n v="75.25"/>
    <n v="21.805418233407309"/>
    <n v="1536.9716495129512"/>
    <n v="1"/>
    <n v="0"/>
    <n v="0"/>
    <n v="0"/>
    <n v="0"/>
    <n v="0"/>
    <n v="0"/>
    <n v="0"/>
    <n v="0"/>
    <n v="0"/>
  </r>
  <r>
    <d v="2024-05-26T00:00:00"/>
    <n v="2024"/>
    <x v="3"/>
    <s v="R"/>
    <s v="RS"/>
    <x v="10"/>
    <s v="MIN"/>
    <s v="H"/>
    <n v="4"/>
    <n v="0"/>
    <n v="4"/>
    <n v="-4"/>
    <n v="16"/>
    <n v="-16"/>
    <n v="1489.419378343586"/>
    <n v="1515.1662312795438"/>
    <n v="0.6270399341447348"/>
    <n v="79"/>
    <n v="92"/>
    <n v="0"/>
    <n v="-13"/>
    <n v="0"/>
    <n v="0.46212846104409849"/>
    <n v="1"/>
    <n v="75.400000000000006"/>
    <n v="75.400000000000006"/>
    <n v="-21.848884183374238"/>
    <n v="1467.5704941602119"/>
    <n v="0"/>
    <n v="1"/>
    <n v="0"/>
    <n v="0"/>
    <n v="0"/>
    <n v="0"/>
    <n v="0"/>
    <n v="0"/>
    <n v="0"/>
    <n v="0"/>
  </r>
  <r>
    <d v="2024-05-26T00:00:00"/>
    <n v="2024"/>
    <x v="4"/>
    <s v="R"/>
    <s v="RS"/>
    <x v="9"/>
    <s v="LAS"/>
    <s v="A"/>
    <n v="0"/>
    <n v="1"/>
    <n v="-1"/>
    <n v="1"/>
    <n v="-8"/>
    <n v="8"/>
    <n v="1526.2934310786677"/>
    <n v="1436.8506632292883"/>
    <n v="0.48481159593222839"/>
    <n v="84"/>
    <n v="83"/>
    <n v="0"/>
    <n v="1"/>
    <n v="1"/>
    <n v="0.22724204010005311"/>
    <n v="1"/>
    <n v="75.25"/>
    <n v="75.25"/>
    <n v="8.8097029142128829"/>
    <n v="1535.1031339928807"/>
    <n v="1"/>
    <n v="0"/>
    <n v="0"/>
    <n v="0"/>
    <n v="0"/>
    <n v="0"/>
    <n v="0"/>
    <n v="0"/>
    <n v="0"/>
    <n v="0"/>
  </r>
  <r>
    <d v="2024-05-26T00:00:00"/>
    <n v="2024"/>
    <x v="4"/>
    <s v="R"/>
    <s v="RS"/>
    <x v="11"/>
    <s v="DAL"/>
    <s v="H"/>
    <n v="1"/>
    <n v="0"/>
    <n v="1"/>
    <n v="-1"/>
    <n v="8"/>
    <n v="-8"/>
    <n v="1436.8506632292883"/>
    <n v="1526.2934310786677"/>
    <n v="0.51518840406777167"/>
    <n v="83"/>
    <n v="84"/>
    <n v="0"/>
    <n v="-1"/>
    <n v="0"/>
    <n v="0.22724204010005311"/>
    <n v="1"/>
    <n v="75.25"/>
    <n v="75.25"/>
    <n v="-8.8097029142128829"/>
    <n v="1428.0409603150754"/>
    <n v="0"/>
    <n v="1"/>
    <n v="0"/>
    <n v="0"/>
    <n v="0"/>
    <n v="0"/>
    <n v="0"/>
    <n v="0"/>
    <n v="0"/>
    <n v="0"/>
  </r>
  <r>
    <d v="2024-05-28T00:00:00"/>
    <n v="2024"/>
    <x v="6"/>
    <s v="R"/>
    <s v="RS"/>
    <x v="5"/>
    <s v="CHI"/>
    <s v="A"/>
    <n v="2"/>
    <n v="2"/>
    <n v="0"/>
    <n v="0"/>
    <n v="0"/>
    <n v="0"/>
    <n v="1459.0198661445831"/>
    <n v="1517.6640292067682"/>
    <n v="0.30552473423003734"/>
    <n v="77"/>
    <n v="68"/>
    <n v="0"/>
    <n v="9"/>
    <n v="1"/>
    <n v="0.38705604560343265"/>
    <n v="1"/>
    <n v="74.95"/>
    <n v="74.95"/>
    <n v="20.146623717866685"/>
    <n v="1479.1664898624499"/>
    <n v="1"/>
    <n v="0"/>
    <n v="0"/>
    <n v="0"/>
    <n v="0"/>
    <n v="0"/>
    <n v="0"/>
    <n v="0"/>
    <n v="0"/>
    <n v="0"/>
  </r>
  <r>
    <d v="2024-05-28T00:00:00"/>
    <n v="2024"/>
    <x v="4"/>
    <s v="R"/>
    <s v="RS"/>
    <x v="8"/>
    <s v="SEA"/>
    <s v="H"/>
    <n v="2"/>
    <n v="2"/>
    <n v="0"/>
    <n v="0"/>
    <n v="0"/>
    <n v="0"/>
    <n v="1517.6640292067682"/>
    <n v="1459.0198661445831"/>
    <n v="0.69447526576996266"/>
    <n v="68"/>
    <n v="77"/>
    <n v="0"/>
    <n v="-9"/>
    <n v="0"/>
    <n v="0.38705604560343265"/>
    <n v="1"/>
    <n v="75.25"/>
    <n v="75.25"/>
    <n v="-20.22726397290818"/>
    <n v="1497.4367652338601"/>
    <n v="0"/>
    <n v="1"/>
    <n v="0"/>
    <n v="0"/>
    <n v="0"/>
    <n v="0"/>
    <n v="0"/>
    <n v="0"/>
    <n v="0"/>
    <n v="0"/>
  </r>
  <r>
    <d v="2024-05-28T00:00:00"/>
    <n v="2024"/>
    <x v="5"/>
    <s v="R"/>
    <s v="RS"/>
    <x v="2"/>
    <s v="CON"/>
    <s v="A"/>
    <n v="2"/>
    <n v="2"/>
    <n v="0"/>
    <n v="0"/>
    <n v="0"/>
    <n v="0"/>
    <n v="1422.254504349334"/>
    <n v="1592.2787972159781"/>
    <n v="0.18811864281894006"/>
    <n v="47"/>
    <n v="70"/>
    <n v="0"/>
    <n v="-23"/>
    <n v="0"/>
    <n v="0.53897243057586952"/>
    <n v="1"/>
    <n v="75.099999999999994"/>
    <n v="75.099999999999994"/>
    <n v="-7.6144462379725226"/>
    <n v="1414.6400581113614"/>
    <n v="0"/>
    <n v="1"/>
    <n v="0"/>
    <n v="0"/>
    <n v="0"/>
    <n v="0"/>
    <n v="0"/>
    <n v="0"/>
    <n v="0"/>
    <n v="0"/>
  </r>
  <r>
    <d v="2024-05-28T00:00:00"/>
    <n v="2024"/>
    <x v="5"/>
    <s v="R"/>
    <s v="RS"/>
    <x v="1"/>
    <s v="PHX"/>
    <s v="H"/>
    <n v="2"/>
    <n v="2"/>
    <n v="0"/>
    <n v="0"/>
    <n v="0"/>
    <n v="0"/>
    <n v="1592.2787972159781"/>
    <n v="1422.254504349334"/>
    <n v="0.81188135718105992"/>
    <n v="70"/>
    <n v="47"/>
    <n v="0"/>
    <n v="23"/>
    <n v="1"/>
    <n v="0.53897243057586952"/>
    <n v="1"/>
    <n v="75.099999999999994"/>
    <n v="75.099999999999994"/>
    <n v="7.6144462379725235"/>
    <n v="1599.8932434539506"/>
    <n v="1"/>
    <n v="0"/>
    <n v="0"/>
    <n v="0"/>
    <n v="0"/>
    <n v="0"/>
    <n v="0"/>
    <n v="0"/>
    <n v="0"/>
    <n v="0"/>
  </r>
  <r>
    <d v="2024-05-28T00:00:00"/>
    <n v="2024"/>
    <x v="5"/>
    <s v="R"/>
    <s v="RS"/>
    <x v="11"/>
    <s v="IND"/>
    <s v="A"/>
    <n v="1"/>
    <n v="2"/>
    <n v="-1"/>
    <n v="1"/>
    <n v="-8"/>
    <n v="8"/>
    <n v="1428.0409603150754"/>
    <n v="1397.3393246433081"/>
    <n v="0.40157342276770769"/>
    <n v="88"/>
    <n v="82"/>
    <n v="0"/>
    <n v="6"/>
    <n v="1"/>
    <n v="0.34251755347598761"/>
    <n v="1"/>
    <n v="75.099999999999994"/>
    <n v="75.099999999999994"/>
    <n v="15.393367698362903"/>
    <n v="1443.4343280134383"/>
    <n v="1"/>
    <n v="0"/>
    <n v="0"/>
    <n v="0"/>
    <n v="0"/>
    <n v="0"/>
    <n v="0"/>
    <n v="0"/>
    <n v="0"/>
    <n v="0"/>
  </r>
  <r>
    <d v="2024-05-28T00:00:00"/>
    <n v="2024"/>
    <x v="7"/>
    <s v="R"/>
    <s v="RS"/>
    <x v="0"/>
    <s v="LAS"/>
    <s v="H"/>
    <n v="2"/>
    <n v="1"/>
    <n v="1"/>
    <n v="-1"/>
    <n v="8"/>
    <n v="-8"/>
    <n v="1397.3393246433081"/>
    <n v="1428.0409603150754"/>
    <n v="0.59842657723229231"/>
    <n v="82"/>
    <n v="88"/>
    <n v="0"/>
    <n v="-6"/>
    <n v="0"/>
    <n v="0.34251755347598761"/>
    <n v="1"/>
    <n v="74.8"/>
    <n v="74.8"/>
    <n v="-15.33187621621232"/>
    <n v="1382.0074484270958"/>
    <n v="0"/>
    <n v="1"/>
    <n v="0"/>
    <n v="0"/>
    <n v="0"/>
    <n v="0"/>
    <n v="0"/>
    <n v="0"/>
    <n v="0"/>
    <n v="0"/>
  </r>
  <r>
    <d v="2024-05-29T00:00:00"/>
    <n v="2024"/>
    <x v="4"/>
    <s v="R"/>
    <s v="RS"/>
    <x v="3"/>
    <s v="MIN"/>
    <s v="A"/>
    <n v="3"/>
    <n v="2"/>
    <n v="1"/>
    <n v="-1"/>
    <n v="8"/>
    <n v="-8"/>
    <n v="1626.3494418391697"/>
    <n v="1536.9716495129512"/>
    <n v="0.53072634964982934"/>
    <n v="80"/>
    <n v="66"/>
    <n v="0"/>
    <n v="14"/>
    <n v="1"/>
    <n v="0.45380781933995107"/>
    <n v="1"/>
    <n v="75.25"/>
    <n v="75.25"/>
    <n v="16.025243908417998"/>
    <n v="1642.3746857475876"/>
    <n v="1"/>
    <n v="0"/>
    <n v="0"/>
    <n v="0"/>
    <n v="0"/>
    <n v="0"/>
    <n v="0"/>
    <n v="0"/>
    <n v="0"/>
    <n v="0"/>
  </r>
  <r>
    <d v="2024-05-29T00:00:00"/>
    <n v="2024"/>
    <x v="5"/>
    <s v="R"/>
    <s v="RS"/>
    <x v="4"/>
    <s v="LVA"/>
    <s v="H"/>
    <n v="2"/>
    <n v="3"/>
    <n v="-1"/>
    <n v="1"/>
    <n v="-8"/>
    <n v="8"/>
    <n v="1536.9716495129512"/>
    <n v="1626.3494418391697"/>
    <n v="0.46927365035017066"/>
    <n v="66"/>
    <n v="80"/>
    <n v="0"/>
    <n v="-14"/>
    <n v="0"/>
    <n v="0.45380781933995107"/>
    <n v="1"/>
    <n v="75.099999999999994"/>
    <n v="75.099999999999994"/>
    <n v="-15.993299900627132"/>
    <n v="1520.9783496123241"/>
    <n v="0"/>
    <n v="1"/>
    <n v="0"/>
    <n v="0"/>
    <n v="0"/>
    <n v="0"/>
    <n v="0"/>
    <n v="0"/>
    <n v="0"/>
    <n v="0"/>
  </r>
  <r>
    <d v="2024-05-29T00:00:00"/>
    <n v="2024"/>
    <x v="6"/>
    <s v="R"/>
    <s v="RS"/>
    <x v="2"/>
    <s v="NYL"/>
    <s v="A"/>
    <n v="0"/>
    <n v="3"/>
    <n v="-3"/>
    <n v="3"/>
    <n v="-16"/>
    <n v="16"/>
    <n v="1414.6400581113614"/>
    <n v="1604.0222296387851"/>
    <n v="0.14705089988121886"/>
    <n v="78"/>
    <n v="81"/>
    <n v="0"/>
    <n v="-3"/>
    <n v="0"/>
    <n v="0.25062954776196106"/>
    <n v="1"/>
    <n v="74.95"/>
    <n v="74.95"/>
    <n v="-2.7623047751146865"/>
    <n v="1411.8777533362468"/>
    <n v="0"/>
    <n v="1"/>
    <n v="0"/>
    <n v="0"/>
    <n v="0"/>
    <n v="0"/>
    <n v="0"/>
    <n v="0"/>
    <n v="0"/>
    <n v="0"/>
  </r>
  <r>
    <d v="2024-05-29T00:00:00"/>
    <n v="2024"/>
    <x v="6"/>
    <s v="R"/>
    <s v="RS"/>
    <x v="6"/>
    <s v="PHX"/>
    <s v="H"/>
    <n v="3"/>
    <n v="0"/>
    <n v="3"/>
    <n v="-3"/>
    <n v="16"/>
    <n v="-16"/>
    <n v="1604.0222296387851"/>
    <n v="1414.6400581113614"/>
    <n v="0.85294910011878111"/>
    <n v="81"/>
    <n v="78"/>
    <n v="0"/>
    <n v="3"/>
    <n v="1"/>
    <n v="0.25062954776196106"/>
    <n v="1"/>
    <n v="74.95"/>
    <n v="74.95"/>
    <n v="2.762304775114687"/>
    <n v="1606.7845344138998"/>
    <n v="1"/>
    <n v="0"/>
    <n v="0"/>
    <n v="0"/>
    <n v="0"/>
    <n v="0"/>
    <n v="0"/>
    <n v="0"/>
    <n v="0"/>
    <n v="0"/>
  </r>
  <r>
    <d v="2024-05-29T00:00:00"/>
    <n v="2024"/>
    <x v="4"/>
    <s v="R"/>
    <s v="RS"/>
    <x v="10"/>
    <s v="WAS"/>
    <s v="A"/>
    <n v="2"/>
    <n v="3"/>
    <n v="-1"/>
    <n v="1"/>
    <n v="-8"/>
    <n v="8"/>
    <n v="1467.5704941602119"/>
    <n v="1413.7748750466203"/>
    <n v="0.43389578782682503"/>
    <n v="73"/>
    <n v="67"/>
    <n v="0"/>
    <n v="6"/>
    <n v="1"/>
    <n v="0.33620863471130025"/>
    <n v="1"/>
    <n v="75.25"/>
    <n v="75.25"/>
    <n v="14.322266601999219"/>
    <n v="1481.8927607622111"/>
    <n v="1"/>
    <n v="0"/>
    <n v="0"/>
    <n v="0"/>
    <n v="0"/>
    <n v="0"/>
    <n v="0"/>
    <n v="0"/>
    <n v="0"/>
    <n v="0"/>
  </r>
  <r>
    <d v="2024-05-29T00:00:00"/>
    <n v="2024"/>
    <x v="6"/>
    <s v="R"/>
    <s v="RS"/>
    <x v="7"/>
    <s v="ATL"/>
    <s v="H"/>
    <n v="3"/>
    <n v="2"/>
    <n v="1"/>
    <n v="-1"/>
    <n v="8"/>
    <n v="-8"/>
    <n v="1413.7748750466203"/>
    <n v="1467.5704941602119"/>
    <n v="0.56610421217317497"/>
    <n v="67"/>
    <n v="73"/>
    <n v="0"/>
    <n v="-6"/>
    <n v="0"/>
    <n v="0.33620863471130025"/>
    <n v="1"/>
    <n v="74.95"/>
    <n v="74.95"/>
    <n v="-14.265167864715503"/>
    <n v="1399.5097071819048"/>
    <n v="0"/>
    <n v="1"/>
    <n v="0"/>
    <n v="0"/>
    <n v="0"/>
    <n v="0"/>
    <n v="0"/>
    <n v="0"/>
    <n v="0"/>
    <n v="0"/>
  </r>
  <r>
    <d v="2024-05-30T00:00:00"/>
    <n v="2024"/>
    <x v="6"/>
    <s v="R"/>
    <s v="RS"/>
    <x v="11"/>
    <s v="CHI"/>
    <s v="A"/>
    <n v="1"/>
    <n v="1"/>
    <n v="0"/>
    <n v="0"/>
    <n v="0"/>
    <n v="0"/>
    <n v="1443.4343280134383"/>
    <n v="1497.4367652338601"/>
    <n v="0.31122342385437818"/>
    <n v="73"/>
    <n v="83"/>
    <n v="0"/>
    <n v="-10"/>
    <n v="0"/>
    <n v="0.40490801622699729"/>
    <n v="1"/>
    <n v="74.95"/>
    <n v="74.95"/>
    <n v="-9.4449635937609546"/>
    <n v="1433.9893644196773"/>
    <n v="0"/>
    <n v="1"/>
    <n v="0"/>
    <n v="0"/>
    <n v="0"/>
    <n v="0"/>
    <n v="0"/>
    <n v="0"/>
    <n v="0"/>
    <n v="0"/>
  </r>
  <r>
    <d v="2024-05-30T00:00:00"/>
    <n v="2024"/>
    <x v="5"/>
    <s v="R"/>
    <s v="RS"/>
    <x v="8"/>
    <s v="LAS"/>
    <s v="H"/>
    <n v="1"/>
    <n v="1"/>
    <n v="0"/>
    <n v="0"/>
    <n v="0"/>
    <n v="0"/>
    <n v="1497.4367652338601"/>
    <n v="1443.4343280134383"/>
    <n v="0.68877657614562182"/>
    <n v="83"/>
    <n v="73"/>
    <n v="0"/>
    <n v="10"/>
    <n v="1"/>
    <n v="0.40490801622699729"/>
    <n v="1"/>
    <n v="75.099999999999994"/>
    <n v="75.099999999999994"/>
    <n v="9.4638661226343892"/>
    <n v="1506.9006313564946"/>
    <n v="1"/>
    <n v="0"/>
    <n v="0"/>
    <n v="0"/>
    <n v="0"/>
    <n v="0"/>
    <n v="0"/>
    <n v="0"/>
    <n v="0"/>
    <n v="0"/>
  </r>
  <r>
    <d v="2024-05-30T00:00:00"/>
    <n v="2024"/>
    <x v="7"/>
    <s v="R"/>
    <s v="RS"/>
    <x v="5"/>
    <s v="IND"/>
    <s v="A"/>
    <n v="1"/>
    <n v="1"/>
    <n v="0"/>
    <n v="0"/>
    <n v="0"/>
    <n v="0"/>
    <n v="1479.1664898624499"/>
    <n v="1382.0074484270958"/>
    <n v="0.51892833288541007"/>
    <n v="103"/>
    <n v="88"/>
    <n v="0"/>
    <n v="15"/>
    <n v="1"/>
    <n v="0.46518400163700241"/>
    <n v="1"/>
    <n v="74.8"/>
    <n v="74.8"/>
    <n v="16.739255870054656"/>
    <n v="1495.9057457325046"/>
    <n v="1"/>
    <n v="0"/>
    <n v="0"/>
    <n v="0"/>
    <n v="0"/>
    <n v="0"/>
    <n v="0"/>
    <n v="0"/>
    <n v="0"/>
    <n v="0"/>
  </r>
  <r>
    <d v="2024-05-30T00:00:00"/>
    <n v="2024"/>
    <x v="8"/>
    <s v="R"/>
    <s v="RS"/>
    <x v="0"/>
    <s v="SEA"/>
    <s v="H"/>
    <n v="1"/>
    <n v="1"/>
    <n v="0"/>
    <n v="0"/>
    <n v="0"/>
    <n v="0"/>
    <n v="1382.0074484270958"/>
    <n v="1479.1664898624499"/>
    <n v="0.48107166711458987"/>
    <n v="88"/>
    <n v="103"/>
    <n v="0"/>
    <n v="-15"/>
    <n v="0"/>
    <n v="0.46518400163700241"/>
    <n v="1"/>
    <n v="74.650000000000006"/>
    <n v="74.650000000000006"/>
    <n v="-16.705687843577273"/>
    <n v="1365.3017605835184"/>
    <n v="0"/>
    <n v="1"/>
    <n v="0"/>
    <n v="0"/>
    <n v="0"/>
    <n v="0"/>
    <n v="0"/>
    <n v="0"/>
    <n v="0"/>
    <n v="0"/>
  </r>
  <r>
    <d v="2024-05-31T00:00:00"/>
    <n v="2024"/>
    <x v="5"/>
    <s v="R"/>
    <s v="RS"/>
    <x v="3"/>
    <s v="ATL"/>
    <s v="A"/>
    <n v="1"/>
    <n v="1"/>
    <n v="0"/>
    <n v="0"/>
    <n v="0"/>
    <n v="0"/>
    <n v="1642.3746857475876"/>
    <n v="1481.8927607622111"/>
    <n v="0.60832225673453133"/>
    <n v="74"/>
    <n v="78"/>
    <n v="0"/>
    <n v="-4"/>
    <n v="0"/>
    <n v="0.27469624919028029"/>
    <n v="1"/>
    <n v="75.099999999999994"/>
    <n v="75.099999999999994"/>
    <n v="-12.549498551018079"/>
    <n v="1629.8251871965695"/>
    <n v="0"/>
    <n v="1"/>
    <n v="0"/>
    <n v="0"/>
    <n v="0"/>
    <n v="0"/>
    <n v="0"/>
    <n v="0"/>
    <n v="0"/>
    <n v="0"/>
  </r>
  <r>
    <d v="2024-05-31T00:00:00"/>
    <n v="2024"/>
    <x v="5"/>
    <s v="R"/>
    <s v="RS"/>
    <x v="10"/>
    <s v="LVA"/>
    <s v="H"/>
    <n v="1"/>
    <n v="1"/>
    <n v="0"/>
    <n v="0"/>
    <n v="0"/>
    <n v="0"/>
    <n v="1481.8927607622111"/>
    <n v="1642.3746857475876"/>
    <n v="0.39167774326546867"/>
    <n v="78"/>
    <n v="74"/>
    <n v="0"/>
    <n v="4"/>
    <n v="1"/>
    <n v="0.27469624919028029"/>
    <n v="1"/>
    <n v="75.099999999999994"/>
    <n v="75.099999999999994"/>
    <n v="12.549498551018079"/>
    <n v="1494.4422593132292"/>
    <n v="1"/>
    <n v="0"/>
    <n v="0"/>
    <n v="0"/>
    <n v="0"/>
    <n v="0"/>
    <n v="0"/>
    <n v="0"/>
    <n v="0"/>
    <n v="0"/>
  </r>
  <r>
    <d v="2024-05-31T00:00:00"/>
    <n v="2024"/>
    <x v="5"/>
    <s v="R"/>
    <s v="RS"/>
    <x v="9"/>
    <s v="CON"/>
    <s v="A"/>
    <n v="4"/>
    <n v="2"/>
    <n v="2"/>
    <n v="-2"/>
    <n v="16"/>
    <n v="-16"/>
    <n v="1535.1031339928807"/>
    <n v="1599.8932434539506"/>
    <n v="0.33798249082684267"/>
    <n v="72"/>
    <n v="74"/>
    <n v="0"/>
    <n v="-2"/>
    <n v="0"/>
    <n v="0.25412088738467226"/>
    <n v="1"/>
    <n v="75.099999999999994"/>
    <n v="75.099999999999994"/>
    <n v="-6.4502196277538726"/>
    <n v="1528.6529143651269"/>
    <n v="0"/>
    <n v="1"/>
    <n v="0"/>
    <n v="0"/>
    <n v="0"/>
    <n v="0"/>
    <n v="0"/>
    <n v="0"/>
    <n v="0"/>
    <n v="0"/>
  </r>
  <r>
    <d v="2024-05-31T00:00:00"/>
    <n v="2024"/>
    <x v="6"/>
    <s v="R"/>
    <s v="RS"/>
    <x v="1"/>
    <s v="DAL"/>
    <s v="H"/>
    <n v="2"/>
    <n v="4"/>
    <n v="-2"/>
    <n v="2"/>
    <n v="-16"/>
    <n v="16"/>
    <n v="1599.8932434539506"/>
    <n v="1535.1031339928807"/>
    <n v="0.66201750917315738"/>
    <n v="74"/>
    <n v="72"/>
    <n v="0"/>
    <n v="2"/>
    <n v="1"/>
    <n v="0.25412088738467226"/>
    <n v="1"/>
    <n v="74.95"/>
    <n v="74.95"/>
    <n v="6.4373363661804621"/>
    <n v="1606.3305798201311"/>
    <n v="1"/>
    <n v="0"/>
    <n v="0"/>
    <n v="0"/>
    <n v="0"/>
    <n v="0"/>
    <n v="0"/>
    <n v="0"/>
    <n v="0"/>
    <n v="0"/>
  </r>
  <r>
    <d v="2024-05-31T00:00:00"/>
    <n v="2024"/>
    <x v="7"/>
    <s v="R"/>
    <s v="RS"/>
    <x v="2"/>
    <s v="MIN"/>
    <s v="A"/>
    <n v="1"/>
    <n v="1"/>
    <n v="0"/>
    <n v="0"/>
    <n v="0"/>
    <n v="0"/>
    <n v="1411.8777533362468"/>
    <n v="1520.9783496123241"/>
    <n v="0.24757711828712134"/>
    <n v="71"/>
    <n v="95"/>
    <n v="0"/>
    <n v="-24"/>
    <n v="0"/>
    <n v="0.57605742406882809"/>
    <n v="1"/>
    <n v="74.8"/>
    <n v="74.8"/>
    <n v="-10.667874049010928"/>
    <n v="1401.2098792872359"/>
    <n v="0"/>
    <n v="1"/>
    <n v="0"/>
    <n v="0"/>
    <n v="0"/>
    <n v="0"/>
    <n v="0"/>
    <n v="0"/>
    <n v="0"/>
    <n v="0"/>
  </r>
  <r>
    <d v="2024-05-31T00:00:00"/>
    <n v="2024"/>
    <x v="6"/>
    <s v="R"/>
    <s v="RS"/>
    <x v="4"/>
    <s v="PHX"/>
    <s v="H"/>
    <n v="1"/>
    <n v="1"/>
    <n v="0"/>
    <n v="0"/>
    <n v="0"/>
    <n v="0"/>
    <n v="1520.9783496123241"/>
    <n v="1411.8777533362468"/>
    <n v="0.75242288171287863"/>
    <n v="95"/>
    <n v="71"/>
    <n v="0"/>
    <n v="24"/>
    <n v="1"/>
    <n v="0.57605742406882809"/>
    <n v="1"/>
    <n v="74.95"/>
    <n v="74.95"/>
    <n v="10.689266844563759"/>
    <n v="1531.6676164568878"/>
    <n v="1"/>
    <n v="0"/>
    <n v="0"/>
    <n v="0"/>
    <n v="0"/>
    <n v="0"/>
    <n v="0"/>
    <n v="0"/>
    <n v="0"/>
    <n v="0"/>
  </r>
  <r>
    <d v="2024-05-31T00:00:00"/>
    <n v="2024"/>
    <x v="7"/>
    <s v="R"/>
    <s v="RS"/>
    <x v="7"/>
    <s v="NYL"/>
    <s v="A"/>
    <n v="1"/>
    <n v="1"/>
    <n v="0"/>
    <n v="0"/>
    <n v="0"/>
    <n v="0"/>
    <n v="1399.5097071819048"/>
    <n v="1606.7845344138998"/>
    <n v="0.15753125403394849"/>
    <n v="79"/>
    <n v="90"/>
    <n v="0"/>
    <n v="-11"/>
    <n v="0"/>
    <n v="0.37505336846485576"/>
    <n v="1"/>
    <n v="74.8"/>
    <n v="74.8"/>
    <n v="-4.4193805343016104"/>
    <n v="1395.0903266476032"/>
    <n v="0"/>
    <n v="1"/>
    <n v="0"/>
    <n v="0"/>
    <n v="0"/>
    <n v="0"/>
    <n v="0"/>
    <n v="0"/>
    <n v="0"/>
    <n v="0"/>
  </r>
  <r>
    <d v="2024-05-31T00:00:00"/>
    <n v="2024"/>
    <x v="7"/>
    <s v="R"/>
    <s v="RS"/>
    <x v="6"/>
    <s v="WAS"/>
    <s v="H"/>
    <n v="1"/>
    <n v="1"/>
    <n v="0"/>
    <n v="0"/>
    <n v="0"/>
    <n v="0"/>
    <n v="1606.7845344138998"/>
    <n v="1399.5097071819048"/>
    <n v="0.84246874596605159"/>
    <n v="90"/>
    <n v="79"/>
    <n v="0"/>
    <n v="11"/>
    <n v="1"/>
    <n v="0.37505336846485576"/>
    <n v="1"/>
    <n v="74.8"/>
    <n v="74.8"/>
    <n v="4.4193805343016086"/>
    <n v="1611.2039149482014"/>
    <n v="1"/>
    <n v="0"/>
    <n v="0"/>
    <n v="0"/>
    <n v="0"/>
    <n v="0"/>
    <n v="0"/>
    <n v="0"/>
    <n v="0"/>
    <n v="0"/>
  </r>
  <r>
    <d v="2024-06-01T00:00:00"/>
    <n v="2024"/>
    <x v="6"/>
    <s v="R"/>
    <s v="RS"/>
    <x v="8"/>
    <s v="IND"/>
    <s v="A"/>
    <n v="1"/>
    <n v="1"/>
    <n v="0"/>
    <n v="0"/>
    <n v="0"/>
    <n v="0"/>
    <n v="1506.9006313564946"/>
    <n v="1365.3017605835184"/>
    <n v="0.58214029983359949"/>
    <n v="70"/>
    <n v="71"/>
    <n v="0"/>
    <n v="-1"/>
    <n v="0"/>
    <n v="0.21840776072622076"/>
    <n v="1"/>
    <n v="74.95"/>
    <n v="74.95"/>
    <n v="-9.5294397506702833"/>
    <n v="1497.3711916058244"/>
    <n v="0"/>
    <n v="1"/>
    <n v="0"/>
    <n v="0"/>
    <n v="0"/>
    <n v="0"/>
    <n v="0"/>
    <n v="0"/>
    <n v="0"/>
    <n v="0"/>
  </r>
  <r>
    <d v="2024-06-01T00:00:00"/>
    <n v="2024"/>
    <x v="9"/>
    <s v="R"/>
    <s v="RS"/>
    <x v="0"/>
    <s v="CHI"/>
    <s v="H"/>
    <n v="1"/>
    <n v="1"/>
    <n v="0"/>
    <n v="0"/>
    <n v="0"/>
    <n v="0"/>
    <n v="1365.3017605835184"/>
    <n v="1506.9006313564946"/>
    <n v="0.41785970016640051"/>
    <n v="71"/>
    <n v="70"/>
    <n v="0"/>
    <n v="1"/>
    <n v="1"/>
    <n v="0.21840776072622076"/>
    <n v="1"/>
    <n v="74.5"/>
    <n v="74.5"/>
    <n v="9.4722249689784679"/>
    <n v="1374.7739855524969"/>
    <n v="1"/>
    <n v="0"/>
    <n v="0"/>
    <n v="0"/>
    <n v="0"/>
    <n v="0"/>
    <n v="0"/>
    <n v="0"/>
    <n v="0"/>
    <n v="0"/>
  </r>
  <r>
    <d v="2024-06-02T00:00:00"/>
    <n v="2024"/>
    <x v="7"/>
    <s v="R"/>
    <s v="RS"/>
    <x v="1"/>
    <s v="ATL"/>
    <s v="A"/>
    <n v="1"/>
    <n v="1"/>
    <n v="0"/>
    <n v="0"/>
    <n v="0"/>
    <n v="0"/>
    <n v="1606.3305798201311"/>
    <n v="1494.4422593132292"/>
    <n v="0.5400485438348227"/>
    <n v="69"/>
    <n v="50"/>
    <n v="0"/>
    <n v="19"/>
    <n v="1"/>
    <n v="0.51313292202160299"/>
    <n v="1"/>
    <n v="74.8"/>
    <n v="74.8"/>
    <n v="17.654014354821623"/>
    <n v="1623.9845941749527"/>
    <n v="1"/>
    <n v="0"/>
    <n v="0"/>
    <n v="0"/>
    <n v="0"/>
    <n v="0"/>
    <n v="0"/>
    <n v="0"/>
    <n v="0"/>
    <n v="0"/>
  </r>
  <r>
    <d v="2024-06-02T00:00:00"/>
    <n v="2024"/>
    <x v="6"/>
    <s v="R"/>
    <s v="RS"/>
    <x v="10"/>
    <s v="CON"/>
    <s v="H"/>
    <n v="1"/>
    <n v="1"/>
    <n v="0"/>
    <n v="0"/>
    <n v="0"/>
    <n v="0"/>
    <n v="1494.4422593132292"/>
    <n v="1606.3305798201311"/>
    <n v="0.4599514561651773"/>
    <n v="50"/>
    <n v="69"/>
    <n v="0"/>
    <n v="-19"/>
    <n v="0"/>
    <n v="0.51313292202160299"/>
    <n v="1"/>
    <n v="74.95"/>
    <n v="74.95"/>
    <n v="-17.689416790025142"/>
    <n v="1476.752842523204"/>
    <n v="0"/>
    <n v="1"/>
    <n v="0"/>
    <n v="0"/>
    <n v="0"/>
    <n v="0"/>
    <n v="0"/>
    <n v="0"/>
    <n v="0"/>
    <n v="0"/>
  </r>
  <r>
    <d v="2024-06-02T00:00:00"/>
    <n v="2024"/>
    <x v="6"/>
    <s v="R"/>
    <s v="RS"/>
    <x v="9"/>
    <s v="MIN"/>
    <s v="A"/>
    <n v="1"/>
    <n v="1"/>
    <n v="0"/>
    <n v="0"/>
    <n v="0"/>
    <n v="0"/>
    <n v="1528.6529143651269"/>
    <n v="1531.6676164568878"/>
    <n v="0.37732991953412398"/>
    <n v="76"/>
    <n v="87"/>
    <n v="0"/>
    <n v="-11"/>
    <n v="0"/>
    <n v="0.43873376060278529"/>
    <n v="1"/>
    <n v="74.95"/>
    <n v="74.95"/>
    <n v="-12.407775725157187"/>
    <n v="1516.2451386399698"/>
    <n v="0"/>
    <n v="1"/>
    <n v="0"/>
    <n v="0"/>
    <n v="0"/>
    <n v="0"/>
    <n v="0"/>
    <n v="0"/>
    <n v="0"/>
    <n v="0"/>
  </r>
  <r>
    <d v="2024-06-02T00:00:00"/>
    <n v="2024"/>
    <x v="7"/>
    <s v="R"/>
    <s v="RS"/>
    <x v="4"/>
    <s v="DAL"/>
    <s v="H"/>
    <n v="1"/>
    <n v="1"/>
    <n v="0"/>
    <n v="0"/>
    <n v="0"/>
    <n v="0"/>
    <n v="1531.6676164568878"/>
    <n v="1528.6529143651269"/>
    <n v="0.62267008046587602"/>
    <n v="87"/>
    <n v="76"/>
    <n v="0"/>
    <n v="11"/>
    <n v="1"/>
    <n v="0.43873376060278529"/>
    <n v="1"/>
    <n v="74.8"/>
    <n v="74.8"/>
    <n v="12.382943618969414"/>
    <n v="1544.0505600758572"/>
    <n v="1"/>
    <n v="0"/>
    <n v="0"/>
    <n v="0"/>
    <n v="0"/>
    <n v="0"/>
    <n v="0"/>
    <n v="0"/>
    <n v="0"/>
    <n v="0"/>
  </r>
  <r>
    <d v="2024-06-02T00:00:00"/>
    <n v="2024"/>
    <x v="10"/>
    <s v="R"/>
    <s v="RS"/>
    <x v="0"/>
    <s v="NYL"/>
    <s v="A"/>
    <n v="0"/>
    <n v="1"/>
    <n v="-1"/>
    <n v="1"/>
    <n v="-8"/>
    <n v="8"/>
    <n v="1374.7739855524969"/>
    <n v="1611.2039149482014"/>
    <n v="0.12601675280066763"/>
    <n v="68"/>
    <n v="104"/>
    <n v="0"/>
    <n v="-36"/>
    <n v="0"/>
    <n v="0.64622814460931011"/>
    <n v="1"/>
    <n v="74.349999999999994"/>
    <n v="74.349999999999994"/>
    <n v="-6.0547348043760714"/>
    <n v="1368.7192507481209"/>
    <n v="0"/>
    <n v="1"/>
    <n v="0"/>
    <n v="0"/>
    <n v="0"/>
    <n v="0"/>
    <n v="0"/>
    <n v="0"/>
    <n v="0"/>
    <n v="0"/>
  </r>
  <r>
    <d v="2024-06-02T00:00:00"/>
    <n v="2024"/>
    <x v="8"/>
    <s v="R"/>
    <s v="RS"/>
    <x v="6"/>
    <s v="IND"/>
    <s v="H"/>
    <n v="1"/>
    <n v="0"/>
    <n v="1"/>
    <n v="-1"/>
    <n v="8"/>
    <n v="-8"/>
    <n v="1611.2039149482014"/>
    <n v="1374.7739855524969"/>
    <n v="0.87398324719933229"/>
    <n v="104"/>
    <n v="68"/>
    <n v="0"/>
    <n v="36"/>
    <n v="1"/>
    <n v="0.64622814460931011"/>
    <n v="1"/>
    <n v="74.650000000000006"/>
    <n v="74.650000000000006"/>
    <n v="6.0791654760816956"/>
    <n v="1617.2830804242831"/>
    <n v="1"/>
    <n v="0"/>
    <n v="0"/>
    <n v="0"/>
    <n v="0"/>
    <n v="0"/>
    <n v="0"/>
    <n v="0"/>
    <n v="0"/>
    <n v="0"/>
  </r>
  <r>
    <d v="2024-06-02T00:00:00"/>
    <n v="2024"/>
    <x v="7"/>
    <s v="R"/>
    <s v="RS"/>
    <x v="11"/>
    <s v="PHX"/>
    <s v="A"/>
    <n v="2"/>
    <n v="1"/>
    <n v="1"/>
    <n v="-1"/>
    <n v="8"/>
    <n v="-8"/>
    <n v="1433.9893644196773"/>
    <n v="1401.2098792872359"/>
    <n v="0.44948651922142396"/>
    <n v="68"/>
    <n v="87"/>
    <n v="0"/>
    <n v="-19"/>
    <n v="0"/>
    <n v="0.54606123429722608"/>
    <n v="1"/>
    <n v="74.8"/>
    <n v="74.8"/>
    <n v="-18.35944782875389"/>
    <n v="1415.6299165909234"/>
    <n v="0"/>
    <n v="1"/>
    <n v="0"/>
    <n v="0"/>
    <n v="0"/>
    <n v="0"/>
    <n v="0"/>
    <n v="0"/>
    <n v="0"/>
    <n v="0"/>
  </r>
  <r>
    <d v="2024-06-02T00:00:00"/>
    <n v="2024"/>
    <x v="8"/>
    <s v="R"/>
    <s v="RS"/>
    <x v="2"/>
    <s v="LAS"/>
    <s v="H"/>
    <n v="1"/>
    <n v="2"/>
    <n v="-1"/>
    <n v="1"/>
    <n v="-8"/>
    <n v="8"/>
    <n v="1401.2098792872359"/>
    <n v="1433.9893644196773"/>
    <n v="0.55051348077857609"/>
    <n v="87"/>
    <n v="68"/>
    <n v="0"/>
    <n v="19"/>
    <n v="1"/>
    <n v="0.54606123429722608"/>
    <n v="1"/>
    <n v="74.650000000000006"/>
    <n v="74.650000000000006"/>
    <n v="18.322630754230993"/>
    <n v="1419.5325100414668"/>
    <n v="1"/>
    <n v="0"/>
    <n v="0"/>
    <n v="0"/>
    <n v="0"/>
    <n v="0"/>
    <n v="0"/>
    <n v="0"/>
    <n v="0"/>
    <n v="0"/>
  </r>
  <r>
    <d v="2024-06-04T00:00:00"/>
    <n v="2024"/>
    <x v="9"/>
    <s v="R"/>
    <s v="RS"/>
    <x v="6"/>
    <s v="CHI"/>
    <s v="A"/>
    <n v="1"/>
    <n v="2"/>
    <n v="-1"/>
    <n v="1"/>
    <n v="-8"/>
    <n v="8"/>
    <n v="1617.2830804242831"/>
    <n v="1497.3711916058244"/>
    <n v="0.5286241791249171"/>
    <n v="88"/>
    <n v="75"/>
    <n v="0"/>
    <n v="13"/>
    <n v="1"/>
    <n v="0.42915933372189757"/>
    <n v="1"/>
    <n v="74.5"/>
    <n v="74.5"/>
    <n v="15.071002324842553"/>
    <n v="1632.3540827491256"/>
    <n v="1"/>
    <n v="0"/>
    <n v="0"/>
    <n v="0"/>
    <n v="0"/>
    <n v="0"/>
    <n v="0"/>
    <n v="0"/>
    <n v="0"/>
    <n v="0"/>
  </r>
  <r>
    <d v="2024-06-04T00:00:00"/>
    <n v="2024"/>
    <x v="7"/>
    <s v="R"/>
    <s v="RS"/>
    <x v="8"/>
    <s v="NYL"/>
    <s v="H"/>
    <n v="2"/>
    <n v="1"/>
    <n v="1"/>
    <n v="-1"/>
    <n v="8"/>
    <n v="-8"/>
    <n v="1497.3711916058244"/>
    <n v="1617.2830804242831"/>
    <n v="0.47137582087508278"/>
    <n v="75"/>
    <n v="88"/>
    <n v="0"/>
    <n v="-13"/>
    <n v="0"/>
    <n v="0.42915933372189757"/>
    <n v="1"/>
    <n v="74.8"/>
    <n v="74.8"/>
    <n v="-15.131690924808357"/>
    <n v="1482.2395006810161"/>
    <n v="0"/>
    <n v="1"/>
    <n v="0"/>
    <n v="0"/>
    <n v="0"/>
    <n v="0"/>
    <n v="0"/>
    <n v="0"/>
    <n v="0"/>
    <n v="0"/>
  </r>
  <r>
    <d v="2024-06-04T00:00:00"/>
    <n v="2024"/>
    <x v="8"/>
    <s v="R"/>
    <s v="RS"/>
    <x v="7"/>
    <s v="CON"/>
    <s v="A"/>
    <n v="3"/>
    <n v="1"/>
    <n v="2"/>
    <n v="-2"/>
    <n v="16"/>
    <n v="-16"/>
    <n v="1395.0903266476032"/>
    <n v="1623.9845941749527"/>
    <n v="0.16562491184070344"/>
    <n v="59"/>
    <n v="76"/>
    <n v="0"/>
    <n v="-17"/>
    <n v="0"/>
    <n v="0.44715028775645044"/>
    <n v="1"/>
    <n v="74.650000000000006"/>
    <n v="74.650000000000006"/>
    <n v="-5.5285212947443236"/>
    <n v="1389.561805352859"/>
    <n v="0"/>
    <n v="1"/>
    <n v="0"/>
    <n v="0"/>
    <n v="0"/>
    <n v="0"/>
    <n v="0"/>
    <n v="0"/>
    <n v="0"/>
    <n v="0"/>
  </r>
  <r>
    <d v="2024-06-04T00:00:00"/>
    <n v="2024"/>
    <x v="8"/>
    <s v="R"/>
    <s v="RS"/>
    <x v="1"/>
    <s v="WAS"/>
    <s v="H"/>
    <n v="1"/>
    <n v="3"/>
    <n v="-2"/>
    <n v="2"/>
    <n v="-16"/>
    <n v="16"/>
    <n v="1623.9845941749527"/>
    <n v="1395.0903266476032"/>
    <n v="0.83437508815929662"/>
    <n v="76"/>
    <n v="59"/>
    <n v="0"/>
    <n v="17"/>
    <n v="1"/>
    <n v="0.44715028775645044"/>
    <n v="1"/>
    <n v="74.650000000000006"/>
    <n v="74.650000000000006"/>
    <n v="5.5285212947443219"/>
    <n v="1629.5131154696969"/>
    <n v="1"/>
    <n v="0"/>
    <n v="0"/>
    <n v="0"/>
    <n v="0"/>
    <n v="0"/>
    <n v="0"/>
    <n v="0"/>
    <n v="0"/>
    <n v="0"/>
  </r>
  <r>
    <d v="2024-06-04T00:00:00"/>
    <n v="2024"/>
    <x v="9"/>
    <s v="R"/>
    <s v="RS"/>
    <x v="2"/>
    <s v="SEA"/>
    <s v="A"/>
    <n v="1"/>
    <n v="4"/>
    <n v="-3"/>
    <n v="3"/>
    <n v="-16"/>
    <n v="16"/>
    <n v="1419.5325100414668"/>
    <n v="1495.9057457325046"/>
    <n v="0.24835791247587893"/>
    <n v="62"/>
    <n v="80"/>
    <n v="0"/>
    <n v="-18"/>
    <n v="0"/>
    <n v="0.51411350551887247"/>
    <n v="1"/>
    <n v="74.5"/>
    <n v="74.5"/>
    <n v="-9.5124696969710953"/>
    <n v="1410.0200403444958"/>
    <n v="0"/>
    <n v="1"/>
    <n v="0"/>
    <n v="0"/>
    <n v="0"/>
    <n v="0"/>
    <n v="0"/>
    <n v="0"/>
    <n v="0"/>
    <n v="0"/>
  </r>
  <r>
    <d v="2024-06-04T00:00:00"/>
    <n v="2024"/>
    <x v="8"/>
    <s v="R"/>
    <s v="RS"/>
    <x v="5"/>
    <s v="PHX"/>
    <s v="H"/>
    <n v="4"/>
    <n v="1"/>
    <n v="3"/>
    <n v="-3"/>
    <n v="16"/>
    <n v="-16"/>
    <n v="1495.9057457325046"/>
    <n v="1419.5325100414668"/>
    <n v="0.75164208752412098"/>
    <n v="80"/>
    <n v="62"/>
    <n v="0"/>
    <n v="18"/>
    <n v="1"/>
    <n v="0.51411350551887247"/>
    <n v="1"/>
    <n v="74.650000000000006"/>
    <n v="74.650000000000006"/>
    <n v="9.5316223205220485"/>
    <n v="1505.4373680530266"/>
    <n v="1"/>
    <n v="0"/>
    <n v="0"/>
    <n v="0"/>
    <n v="0"/>
    <n v="0"/>
    <n v="0"/>
    <n v="0"/>
    <n v="0"/>
    <n v="0"/>
  </r>
  <r>
    <d v="2024-06-05T00:00:00"/>
    <n v="2024"/>
    <x v="6"/>
    <s v="R"/>
    <s v="RS"/>
    <x v="3"/>
    <s v="DAL"/>
    <s v="A"/>
    <n v="4"/>
    <n v="2"/>
    <n v="2"/>
    <n v="-2"/>
    <n v="16"/>
    <n v="-16"/>
    <n v="1629.8251871965695"/>
    <n v="1516.2451386399698"/>
    <n v="0.58770433263648425"/>
    <n v="95"/>
    <n v="81"/>
    <n v="0"/>
    <n v="14"/>
    <n v="1"/>
    <n v="0.44544656786153175"/>
    <n v="1"/>
    <n v="74.95"/>
    <n v="74.95"/>
    <n v="13.764993963345777"/>
    <n v="1643.5901811599153"/>
    <n v="1"/>
    <n v="0"/>
    <n v="0"/>
    <n v="0"/>
    <n v="0"/>
    <n v="0"/>
    <n v="0"/>
    <n v="0"/>
    <n v="0"/>
    <n v="0"/>
  </r>
  <r>
    <d v="2024-06-05T00:00:00"/>
    <n v="2024"/>
    <x v="7"/>
    <s v="R"/>
    <s v="RS"/>
    <x v="9"/>
    <s v="LVA"/>
    <s v="H"/>
    <n v="2"/>
    <n v="4"/>
    <n v="-2"/>
    <n v="2"/>
    <n v="-16"/>
    <n v="16"/>
    <n v="1516.2451386399698"/>
    <n v="1629.8251871965695"/>
    <n v="0.41229566736351581"/>
    <n v="81"/>
    <n v="95"/>
    <n v="0"/>
    <n v="-14"/>
    <n v="0"/>
    <n v="0.44544656786153175"/>
    <n v="1"/>
    <n v="74.8"/>
    <n v="74.8"/>
    <n v="-13.737445609850086"/>
    <n v="1502.5076930301198"/>
    <n v="0"/>
    <n v="1"/>
    <n v="0"/>
    <n v="0"/>
    <n v="0"/>
    <n v="0"/>
    <n v="0"/>
    <n v="0"/>
    <n v="0"/>
    <n v="0"/>
  </r>
  <r>
    <d v="2024-06-05T00:00:00"/>
    <n v="2024"/>
    <x v="8"/>
    <s v="R"/>
    <s v="RS"/>
    <x v="4"/>
    <s v="LAS"/>
    <s v="A"/>
    <n v="2"/>
    <n v="2"/>
    <n v="0"/>
    <n v="0"/>
    <n v="0"/>
    <n v="0"/>
    <n v="1544.0505600758572"/>
    <n v="1415.6299165909234"/>
    <n v="0.56358038565223745"/>
    <n v="86"/>
    <n v="62"/>
    <n v="0"/>
    <n v="24"/>
    <n v="1"/>
    <n v="0.56767946285405402"/>
    <n v="1"/>
    <n v="74.650000000000006"/>
    <n v="74.650000000000006"/>
    <n v="18.494272660605176"/>
    <n v="1562.5448327364625"/>
    <n v="1"/>
    <n v="0"/>
    <n v="0"/>
    <n v="0"/>
    <n v="0"/>
    <n v="0"/>
    <n v="0"/>
    <n v="0"/>
    <n v="0"/>
    <n v="0"/>
  </r>
  <r>
    <d v="2024-06-05T00:00:00"/>
    <n v="2024"/>
    <x v="8"/>
    <s v="R"/>
    <s v="RS"/>
    <x v="11"/>
    <s v="MIN"/>
    <s v="H"/>
    <n v="2"/>
    <n v="2"/>
    <n v="0"/>
    <n v="0"/>
    <n v="0"/>
    <n v="0"/>
    <n v="1415.6299165909234"/>
    <n v="1544.0505600758572"/>
    <n v="0.43641961434776255"/>
    <n v="62"/>
    <n v="86"/>
    <n v="0"/>
    <n v="-24"/>
    <n v="0"/>
    <n v="0.56767946285405402"/>
    <n v="1"/>
    <n v="74.650000000000006"/>
    <n v="74.650000000000006"/>
    <n v="-18.494272660605176"/>
    <n v="1397.1356439303181"/>
    <n v="0"/>
    <n v="1"/>
    <n v="0"/>
    <n v="0"/>
    <n v="0"/>
    <n v="0"/>
    <n v="0"/>
    <n v="0"/>
    <n v="0"/>
    <n v="0"/>
  </r>
  <r>
    <d v="2024-06-06T00:00:00"/>
    <n v="2024"/>
    <x v="10"/>
    <s v="R"/>
    <s v="RS"/>
    <x v="6"/>
    <s v="ATL"/>
    <s v="A"/>
    <n v="1"/>
    <n v="3"/>
    <n v="-2"/>
    <n v="2"/>
    <n v="-16"/>
    <n v="16"/>
    <n v="1632.3540827491256"/>
    <n v="1476.752842523204"/>
    <n v="0.55674523772849993"/>
    <n v="78"/>
    <n v="61"/>
    <n v="0"/>
    <n v="17"/>
    <n v="1"/>
    <n v="0.47132627496852536"/>
    <n v="1"/>
    <n v="74.349999999999994"/>
    <n v="74.349999999999994"/>
    <n v="15.533024746885138"/>
    <n v="1647.8871074960107"/>
    <n v="1"/>
    <n v="0"/>
    <n v="0"/>
    <n v="0"/>
    <n v="0"/>
    <n v="0"/>
    <n v="0"/>
    <n v="0"/>
    <n v="0"/>
    <n v="0"/>
  </r>
  <r>
    <d v="2024-06-06T00:00:00"/>
    <n v="2024"/>
    <x v="7"/>
    <s v="R"/>
    <s v="RS"/>
    <x v="10"/>
    <s v="NYL"/>
    <s v="H"/>
    <n v="3"/>
    <n v="1"/>
    <n v="2"/>
    <n v="-2"/>
    <n v="16"/>
    <n v="-16"/>
    <n v="1476.752842523204"/>
    <n v="1632.3540827491256"/>
    <n v="0.44325476227150007"/>
    <n v="61"/>
    <n v="78"/>
    <n v="0"/>
    <n v="-17"/>
    <n v="0"/>
    <n v="0.47132627496852536"/>
    <n v="1"/>
    <n v="74.8"/>
    <n v="74.8"/>
    <n v="-15.627037674068704"/>
    <n v="1461.1258048491352"/>
    <n v="0"/>
    <n v="1"/>
    <n v="0"/>
    <n v="0"/>
    <n v="0"/>
    <n v="0"/>
    <n v="0"/>
    <n v="0"/>
    <n v="0"/>
    <n v="0"/>
  </r>
  <r>
    <d v="2024-06-06T00:00:00"/>
    <n v="2024"/>
    <x v="8"/>
    <s v="R"/>
    <s v="RS"/>
    <x v="8"/>
    <s v="WAS"/>
    <s v="A"/>
    <n v="1"/>
    <n v="1"/>
    <n v="0"/>
    <n v="0"/>
    <n v="0"/>
    <n v="0"/>
    <n v="1482.2395006810161"/>
    <n v="1389.561805352859"/>
    <n v="0.51248561128464432"/>
    <n v="79"/>
    <n v="71"/>
    <n v="0"/>
    <n v="8"/>
    <n v="1"/>
    <n v="0.36047550266218059"/>
    <n v="1"/>
    <n v="74.650000000000006"/>
    <n v="74.650000000000006"/>
    <n v="13.118766626526492"/>
    <n v="1495.3582673075425"/>
    <n v="1"/>
    <n v="0"/>
    <n v="0"/>
    <n v="0"/>
    <n v="0"/>
    <n v="0"/>
    <n v="0"/>
    <n v="0"/>
    <n v="0"/>
    <n v="0"/>
  </r>
  <r>
    <d v="2024-06-06T00:00:00"/>
    <n v="2024"/>
    <x v="9"/>
    <s v="R"/>
    <s v="RS"/>
    <x v="7"/>
    <s v="CHI"/>
    <s v="H"/>
    <n v="1"/>
    <n v="1"/>
    <n v="0"/>
    <n v="0"/>
    <n v="0"/>
    <n v="0"/>
    <n v="1389.561805352859"/>
    <n v="1482.2395006810161"/>
    <n v="0.48751438871535568"/>
    <n v="71"/>
    <n v="79"/>
    <n v="0"/>
    <n v="-8"/>
    <n v="0"/>
    <n v="0.36047550266218059"/>
    <n v="1"/>
    <n v="74.5"/>
    <n v="74.5"/>
    <n v="-13.09240607737741"/>
    <n v="1376.4693992754815"/>
    <n v="0"/>
    <n v="1"/>
    <n v="0"/>
    <n v="0"/>
    <n v="0"/>
    <n v="0"/>
    <n v="0"/>
    <n v="0"/>
    <n v="0"/>
    <n v="0"/>
  </r>
  <r>
    <d v="2024-06-07T00:00:00"/>
    <n v="2024"/>
    <x v="8"/>
    <s v="R"/>
    <s v="RS"/>
    <x v="9"/>
    <s v="LAS"/>
    <s v="A"/>
    <n v="1"/>
    <n v="1"/>
    <n v="0"/>
    <n v="0"/>
    <n v="0"/>
    <n v="0"/>
    <n v="1502.5076930301198"/>
    <n v="1397.1356439303181"/>
    <n v="0.53071811568711813"/>
    <n v="72"/>
    <n v="81"/>
    <n v="0"/>
    <n v="-9"/>
    <n v="0"/>
    <n v="0.37320075369519834"/>
    <n v="1"/>
    <n v="74.650000000000006"/>
    <n v="74.650000000000006"/>
    <n v="-14.785507517788654"/>
    <n v="1487.7221855123312"/>
    <n v="0"/>
    <n v="1"/>
    <n v="0"/>
    <n v="0"/>
    <n v="0"/>
    <n v="0"/>
    <n v="0"/>
    <n v="0"/>
    <n v="0"/>
    <n v="0"/>
  </r>
  <r>
    <d v="2024-06-07T00:00:00"/>
    <n v="2024"/>
    <x v="9"/>
    <s v="R"/>
    <s v="RS"/>
    <x v="11"/>
    <s v="DAL"/>
    <s v="H"/>
    <n v="1"/>
    <n v="1"/>
    <n v="0"/>
    <n v="0"/>
    <n v="0"/>
    <n v="0"/>
    <n v="1397.1356439303181"/>
    <n v="1502.5076930301198"/>
    <n v="0.46928188431288181"/>
    <n v="81"/>
    <n v="72"/>
    <n v="0"/>
    <n v="9"/>
    <n v="1"/>
    <n v="0.37320075369519834"/>
    <n v="1"/>
    <n v="74.5"/>
    <n v="74.5"/>
    <n v="14.755797857672533"/>
    <n v="1411.8914417879907"/>
    <n v="1"/>
    <n v="0"/>
    <n v="0"/>
    <n v="0"/>
    <n v="0"/>
    <n v="0"/>
    <n v="0"/>
    <n v="0"/>
    <n v="0"/>
    <n v="0"/>
  </r>
  <r>
    <d v="2024-06-07T00:00:00"/>
    <n v="2024"/>
    <x v="9"/>
    <s v="R"/>
    <s v="RS"/>
    <x v="5"/>
    <s v="LVA"/>
    <s v="A"/>
    <n v="2"/>
    <n v="1"/>
    <n v="1"/>
    <n v="-1"/>
    <n v="8"/>
    <n v="-8"/>
    <n v="1505.4373680530266"/>
    <n v="1643.5901811599153"/>
    <n v="0.23384768932852257"/>
    <n v="78"/>
    <n v="65"/>
    <n v="0"/>
    <n v="13"/>
    <n v="1"/>
    <n v="0.42330928219010072"/>
    <n v="1"/>
    <n v="74.5"/>
    <n v="74.5"/>
    <n v="24.161794158557946"/>
    <n v="1529.5991622115846"/>
    <n v="1"/>
    <n v="0"/>
    <n v="0"/>
    <n v="0"/>
    <n v="0"/>
    <n v="0"/>
    <n v="0"/>
    <n v="0"/>
    <n v="0"/>
    <n v="0"/>
  </r>
  <r>
    <d v="2024-06-07T00:00:00"/>
    <n v="2024"/>
    <x v="7"/>
    <s v="R"/>
    <s v="RS"/>
    <x v="3"/>
    <s v="SEA"/>
    <s v="H"/>
    <n v="1"/>
    <n v="2"/>
    <n v="-1"/>
    <n v="1"/>
    <n v="-8"/>
    <n v="8"/>
    <n v="1643.5901811599153"/>
    <n v="1505.4373680530266"/>
    <n v="0.76615231067147749"/>
    <n v="65"/>
    <n v="78"/>
    <n v="0"/>
    <n v="-13"/>
    <n v="0"/>
    <n v="0.42330928219010072"/>
    <n v="1"/>
    <n v="74.8"/>
    <n v="74.8"/>
    <n v="-24.259089973961537"/>
    <n v="1619.3310911859537"/>
    <n v="0"/>
    <n v="1"/>
    <n v="0"/>
    <n v="0"/>
    <n v="0"/>
    <n v="0"/>
    <n v="0"/>
    <n v="0"/>
    <n v="0"/>
    <n v="0"/>
  </r>
  <r>
    <d v="2024-06-07T00:00:00"/>
    <n v="2024"/>
    <x v="9"/>
    <s v="R"/>
    <s v="RS"/>
    <x v="4"/>
    <s v="PHX"/>
    <s v="A"/>
    <n v="1"/>
    <n v="2"/>
    <n v="-1"/>
    <n v="1"/>
    <n v="-8"/>
    <n v="8"/>
    <n v="1562.5448327364625"/>
    <n v="1410.0200403444958"/>
    <n v="0.57501860613287448"/>
    <n v="80"/>
    <n v="81"/>
    <n v="0"/>
    <n v="-1"/>
    <n v="0"/>
    <n v="0.21664342628437019"/>
    <n v="1"/>
    <n v="74.5"/>
    <n v="74.5"/>
    <n v="-9.2807630752367078"/>
    <n v="1553.2640696612257"/>
    <n v="0"/>
    <n v="1"/>
    <n v="0"/>
    <n v="0"/>
    <n v="0"/>
    <n v="0"/>
    <n v="0"/>
    <n v="0"/>
    <n v="0"/>
    <n v="0"/>
  </r>
  <r>
    <d v="2024-06-07T00:00:00"/>
    <n v="2024"/>
    <x v="10"/>
    <s v="R"/>
    <s v="RS"/>
    <x v="2"/>
    <s v="MIN"/>
    <s v="H"/>
    <n v="2"/>
    <n v="1"/>
    <n v="1"/>
    <n v="-1"/>
    <n v="8"/>
    <n v="-8"/>
    <n v="1410.0200403444958"/>
    <n v="1562.5448327364625"/>
    <n v="0.42498139386712558"/>
    <n v="81"/>
    <n v="80"/>
    <n v="0"/>
    <n v="1"/>
    <n v="1"/>
    <n v="0.21664342628437019"/>
    <n v="1"/>
    <n v="74.349999999999994"/>
    <n v="74.349999999999994"/>
    <n v="9.2620769750852219"/>
    <n v="1419.2821173195809"/>
    <n v="1"/>
    <n v="0"/>
    <n v="0"/>
    <n v="0"/>
    <n v="0"/>
    <n v="0"/>
    <n v="0"/>
    <n v="0"/>
    <n v="0"/>
    <n v="0"/>
  </r>
  <r>
    <d v="2024-06-07T00:00:00"/>
    <n v="2024"/>
    <x v="11"/>
    <s v="R"/>
    <s v="RS"/>
    <x v="0"/>
    <s v="WAS"/>
    <s v="A"/>
    <n v="4"/>
    <n v="0"/>
    <n v="4"/>
    <n v="-4"/>
    <n v="16"/>
    <n v="-16"/>
    <n v="1368.7192507481209"/>
    <n v="1376.4693992754815"/>
    <n v="0.41485041564840675"/>
    <n v="85"/>
    <n v="83"/>
    <n v="0"/>
    <n v="2"/>
    <n v="1"/>
    <n v="0.26612257954470669"/>
    <n v="1"/>
    <n v="74.2"/>
    <n v="74.2"/>
    <n v="11.554536547091194"/>
    <n v="1380.2737872952121"/>
    <n v="1"/>
    <n v="0"/>
    <n v="0"/>
    <n v="0"/>
    <n v="0"/>
    <n v="0"/>
    <n v="0"/>
    <n v="0"/>
    <n v="0"/>
    <n v="0"/>
  </r>
  <r>
    <d v="2024-06-07T00:00:00"/>
    <n v="2024"/>
    <x v="10"/>
    <s v="R"/>
    <s v="RS"/>
    <x v="7"/>
    <s v="IND"/>
    <s v="H"/>
    <n v="0"/>
    <n v="4"/>
    <n v="-4"/>
    <n v="4"/>
    <n v="-16"/>
    <n v="16"/>
    <n v="1376.4693992754815"/>
    <n v="1368.7192507481209"/>
    <n v="0.58514958435159325"/>
    <n v="83"/>
    <n v="85"/>
    <n v="0"/>
    <n v="-2"/>
    <n v="0"/>
    <n v="0.26612257954470669"/>
    <n v="1"/>
    <n v="74.349999999999994"/>
    <n v="74.349999999999994"/>
    <n v="-11.577894774612266"/>
    <n v="1364.8915045008691"/>
    <n v="0"/>
    <n v="1"/>
    <n v="0"/>
    <n v="0"/>
    <n v="0"/>
    <n v="0"/>
    <n v="0"/>
    <n v="0"/>
    <n v="0"/>
    <n v="0"/>
  </r>
  <r>
    <d v="2024-06-08T00:00:00"/>
    <n v="2024"/>
    <x v="8"/>
    <s v="R"/>
    <s v="RS"/>
    <x v="10"/>
    <s v="CHI"/>
    <s v="A"/>
    <n v="1"/>
    <n v="1"/>
    <n v="0"/>
    <n v="0"/>
    <n v="0"/>
    <n v="0"/>
    <n v="1461.1258048491352"/>
    <n v="1495.3582673075425"/>
    <n v="0.33612723150744983"/>
    <n v="89"/>
    <n v="80"/>
    <n v="0"/>
    <n v="9"/>
    <n v="1"/>
    <n v="0.394711569655468"/>
    <n v="1"/>
    <n v="74.650000000000006"/>
    <n v="74.650000000000006"/>
    <n v="19.561156295865043"/>
    <n v="1480.6869611450002"/>
    <n v="1"/>
    <n v="0"/>
    <n v="0"/>
    <n v="0"/>
    <n v="0"/>
    <n v="0"/>
    <n v="0"/>
    <n v="0"/>
    <n v="0"/>
    <n v="0"/>
  </r>
  <r>
    <d v="2024-06-08T00:00:00"/>
    <n v="2024"/>
    <x v="9"/>
    <s v="R"/>
    <s v="RS"/>
    <x v="8"/>
    <s v="ATL"/>
    <s v="H"/>
    <n v="1"/>
    <n v="1"/>
    <n v="0"/>
    <n v="0"/>
    <n v="0"/>
    <n v="0"/>
    <n v="1495.3582673075425"/>
    <n v="1461.1258048491352"/>
    <n v="0.66387276849255017"/>
    <n v="80"/>
    <n v="89"/>
    <n v="0"/>
    <n v="-9"/>
    <n v="0"/>
    <n v="0.394711569655468"/>
    <n v="1"/>
    <n v="74.5"/>
    <n v="74.5"/>
    <n v="-19.521850556489561"/>
    <n v="1475.8364167510529"/>
    <n v="0"/>
    <n v="1"/>
    <n v="0"/>
    <n v="0"/>
    <n v="0"/>
    <n v="0"/>
    <n v="0"/>
    <n v="0"/>
    <n v="0"/>
    <n v="0"/>
  </r>
  <r>
    <d v="2024-06-08T00:00:00"/>
    <n v="2024"/>
    <x v="11"/>
    <s v="R"/>
    <s v="RS"/>
    <x v="6"/>
    <s v="CON"/>
    <s v="A"/>
    <n v="1"/>
    <n v="3"/>
    <n v="-2"/>
    <n v="2"/>
    <n v="-16"/>
    <n v="16"/>
    <n v="1647.8871074960107"/>
    <n v="1629.5131154696969"/>
    <n v="0.3630893395955353"/>
    <n v="82"/>
    <n v="75"/>
    <n v="0"/>
    <n v="7"/>
    <n v="1"/>
    <n v="0.36452567921770934"/>
    <n v="1"/>
    <n v="74.2"/>
    <n v="74.2"/>
    <n v="17.227035598502351"/>
    <n v="1665.1141430945131"/>
    <n v="1"/>
    <n v="0"/>
    <n v="0"/>
    <n v="0"/>
    <n v="0"/>
    <n v="0"/>
    <n v="0"/>
    <n v="0"/>
    <n v="0"/>
    <n v="0"/>
  </r>
  <r>
    <d v="2024-06-08T00:00:00"/>
    <n v="2024"/>
    <x v="9"/>
    <s v="R"/>
    <s v="RS"/>
    <x v="1"/>
    <s v="NYL"/>
    <s v="H"/>
    <n v="3"/>
    <n v="1"/>
    <n v="2"/>
    <n v="-2"/>
    <n v="16"/>
    <n v="-16"/>
    <n v="1629.5131154696969"/>
    <n v="1647.8871074960107"/>
    <n v="0.63691066040446476"/>
    <n v="75"/>
    <n v="82"/>
    <n v="0"/>
    <n v="-7"/>
    <n v="0"/>
    <n v="0.36452567921770934"/>
    <n v="1"/>
    <n v="74.5"/>
    <n v="74.5"/>
    <n v="-17.296686685827829"/>
    <n v="1612.2164287838691"/>
    <n v="0"/>
    <n v="1"/>
    <n v="0"/>
    <n v="0"/>
    <n v="0"/>
    <n v="0"/>
    <n v="0"/>
    <n v="0"/>
    <n v="0"/>
    <n v="0"/>
  </r>
  <r>
    <d v="2024-06-09T00:00:00"/>
    <n v="2024"/>
    <x v="11"/>
    <s v="R"/>
    <s v="RS"/>
    <x v="2"/>
    <s v="DAL"/>
    <s v="A"/>
    <n v="1"/>
    <n v="1"/>
    <n v="0"/>
    <n v="0"/>
    <n v="0"/>
    <n v="0"/>
    <n v="1419.2821173195809"/>
    <n v="1487.7221855123312"/>
    <n v="0.29369287794445786"/>
    <n v="97"/>
    <n v="90"/>
    <n v="1"/>
    <n v="7"/>
    <n v="1"/>
    <n v="0.31512387247087925"/>
    <n v="1"/>
    <n v="74.2"/>
    <n v="74.2"/>
    <n v="16.515008270828105"/>
    <n v="1435.797125590409"/>
    <n v="1"/>
    <n v="0"/>
    <n v="0"/>
    <n v="0"/>
    <n v="0"/>
    <n v="0"/>
    <n v="0"/>
    <n v="0"/>
    <n v="0"/>
    <n v="0"/>
  </r>
  <r>
    <d v="2024-06-09T00:00:00"/>
    <n v="2024"/>
    <x v="9"/>
    <s v="R"/>
    <s v="RS"/>
    <x v="9"/>
    <s v="PHX"/>
    <s v="H"/>
    <n v="1"/>
    <n v="1"/>
    <n v="0"/>
    <n v="0"/>
    <n v="0"/>
    <n v="0"/>
    <n v="1487.7221855123312"/>
    <n v="1419.2821173195809"/>
    <n v="0.70630712205554214"/>
    <n v="90"/>
    <n v="97"/>
    <n v="1"/>
    <n v="-7"/>
    <n v="0"/>
    <n v="0.31512387247087925"/>
    <n v="1"/>
    <n v="74.5"/>
    <n v="74.5"/>
    <n v="-16.581780541464877"/>
    <n v="1471.1404049708663"/>
    <n v="0"/>
    <n v="1"/>
    <n v="0"/>
    <n v="0"/>
    <n v="0"/>
    <n v="0"/>
    <n v="0"/>
    <n v="0"/>
    <n v="0"/>
    <n v="0"/>
  </r>
  <r>
    <d v="2024-06-09T00:00:00"/>
    <n v="2024"/>
    <x v="8"/>
    <s v="R"/>
    <s v="RS"/>
    <x v="3"/>
    <s v="LAS"/>
    <s v="A"/>
    <n v="1"/>
    <n v="1"/>
    <n v="0"/>
    <n v="0"/>
    <n v="0"/>
    <n v="0"/>
    <n v="1619.3310911859537"/>
    <n v="1411.8914417879907"/>
    <n v="0.67052836514419656"/>
    <n v="92"/>
    <n v="96"/>
    <n v="0"/>
    <n v="-4"/>
    <n v="0"/>
    <n v="0.26553130149808901"/>
    <n v="1"/>
    <n v="74.650000000000006"/>
    <n v="74.650000000000006"/>
    <n v="-13.291154017288484"/>
    <n v="1606.0399371686651"/>
    <n v="0"/>
    <n v="1"/>
    <n v="0"/>
    <n v="0"/>
    <n v="0"/>
    <n v="0"/>
    <n v="0"/>
    <n v="0"/>
    <n v="0"/>
    <n v="0"/>
  </r>
  <r>
    <d v="2024-06-09T00:00:00"/>
    <n v="2024"/>
    <x v="10"/>
    <s v="R"/>
    <s v="RS"/>
    <x v="11"/>
    <s v="LVA"/>
    <s v="H"/>
    <n v="1"/>
    <n v="1"/>
    <n v="0"/>
    <n v="0"/>
    <n v="0"/>
    <n v="0"/>
    <n v="1411.8914417879907"/>
    <n v="1619.3310911859537"/>
    <n v="0.3294716348558035"/>
    <n v="96"/>
    <n v="92"/>
    <n v="0"/>
    <n v="4"/>
    <n v="1"/>
    <n v="0.26553130149808901"/>
    <n v="1"/>
    <n v="74.349999999999994"/>
    <n v="74.349999999999994"/>
    <n v="13.237740136442044"/>
    <n v="1425.1291819244327"/>
    <n v="1"/>
    <n v="0"/>
    <n v="0"/>
    <n v="0"/>
    <n v="0"/>
    <n v="0"/>
    <n v="0"/>
    <n v="0"/>
    <n v="0"/>
    <n v="0"/>
  </r>
  <r>
    <d v="2024-06-09T00:00:00"/>
    <n v="2024"/>
    <x v="10"/>
    <s v="R"/>
    <s v="RS"/>
    <x v="5"/>
    <s v="MIN"/>
    <s v="A"/>
    <n v="1"/>
    <n v="1"/>
    <n v="0"/>
    <n v="0"/>
    <n v="0"/>
    <n v="0"/>
    <n v="1529.5991622115846"/>
    <n v="1553.2640696612257"/>
    <n v="0.34983398437633889"/>
    <n v="64"/>
    <n v="83"/>
    <n v="0"/>
    <n v="-19"/>
    <n v="0"/>
    <n v="0.55012862031873178"/>
    <n v="1"/>
    <n v="74.349999999999994"/>
    <n v="74.349999999999994"/>
    <n v="-14.30893164075939"/>
    <n v="1515.2902305708253"/>
    <n v="0"/>
    <n v="1"/>
    <n v="0"/>
    <n v="0"/>
    <n v="0"/>
    <n v="0"/>
    <n v="0"/>
    <n v="0"/>
    <n v="0"/>
    <n v="0"/>
  </r>
  <r>
    <d v="2024-06-09T00:00:00"/>
    <n v="2024"/>
    <x v="10"/>
    <s v="R"/>
    <s v="RS"/>
    <x v="4"/>
    <s v="SEA"/>
    <s v="H"/>
    <n v="1"/>
    <n v="1"/>
    <n v="0"/>
    <n v="0"/>
    <n v="0"/>
    <n v="0"/>
    <n v="1553.2640696612257"/>
    <n v="1529.5991622115846"/>
    <n v="0.65016601562366116"/>
    <n v="83"/>
    <n v="64"/>
    <n v="0"/>
    <n v="19"/>
    <n v="1"/>
    <n v="0.55012862031873178"/>
    <n v="1"/>
    <n v="74.349999999999994"/>
    <n v="74.349999999999994"/>
    <n v="14.308931640759388"/>
    <n v="1567.573001301985"/>
    <n v="1"/>
    <n v="0"/>
    <n v="0"/>
    <n v="0"/>
    <n v="0"/>
    <n v="0"/>
    <n v="0"/>
    <n v="0"/>
    <n v="0"/>
    <n v="0"/>
  </r>
  <r>
    <d v="2024-06-09T00:00:00"/>
    <n v="2024"/>
    <x v="11"/>
    <s v="R"/>
    <s v="RS"/>
    <x v="7"/>
    <s v="NYL"/>
    <s v="A"/>
    <n v="1"/>
    <n v="0"/>
    <n v="1"/>
    <n v="-1"/>
    <n v="8"/>
    <n v="-8"/>
    <n v="1364.8915045008691"/>
    <n v="1665.1141430945131"/>
    <n v="0.10720061700036164"/>
    <n v="88"/>
    <n v="93"/>
    <n v="0"/>
    <n v="-5"/>
    <n v="0"/>
    <n v="0.26536539331701825"/>
    <n v="1"/>
    <n v="74.2"/>
    <n v="74.2"/>
    <n v="-2.1107921749442977"/>
    <n v="1362.7807123259249"/>
    <n v="0"/>
    <n v="1"/>
    <n v="0"/>
    <n v="0"/>
    <n v="0"/>
    <n v="0"/>
    <n v="0"/>
    <n v="0"/>
    <n v="0"/>
    <n v="0"/>
  </r>
  <r>
    <d v="2024-06-09T00:00:00"/>
    <n v="2024"/>
    <x v="12"/>
    <s v="R"/>
    <s v="RS"/>
    <x v="6"/>
    <s v="WAS"/>
    <s v="H"/>
    <n v="0"/>
    <n v="1"/>
    <n v="-1"/>
    <n v="1"/>
    <n v="-8"/>
    <n v="8"/>
    <n v="1665.1141430945131"/>
    <n v="1364.8915045008691"/>
    <n v="0.89279938299963835"/>
    <n v="93"/>
    <n v="88"/>
    <n v="0"/>
    <n v="5"/>
    <n v="1"/>
    <n v="0.26536539331701825"/>
    <n v="1"/>
    <n v="74.05"/>
    <n v="74.05"/>
    <n v="2.1065250748601785"/>
    <n v="1667.2206681693733"/>
    <n v="1"/>
    <n v="0"/>
    <n v="0"/>
    <n v="0"/>
    <n v="0"/>
    <n v="0"/>
    <n v="0"/>
    <n v="0"/>
    <n v="0"/>
    <n v="0"/>
  </r>
  <r>
    <d v="2024-06-10T00:00:00"/>
    <n v="2024"/>
    <x v="12"/>
    <s v="R"/>
    <s v="RS"/>
    <x v="0"/>
    <s v="CON"/>
    <s v="A"/>
    <n v="2"/>
    <n v="1"/>
    <n v="1"/>
    <n v="-1"/>
    <n v="8"/>
    <n v="-8"/>
    <n v="1380.2737872952121"/>
    <n v="1612.2164287838691"/>
    <n v="0.15102188639669886"/>
    <n v="72"/>
    <n v="89"/>
    <n v="0"/>
    <n v="-17"/>
    <n v="0"/>
    <n v="0.44619837721583622"/>
    <n v="1"/>
    <n v="74.05"/>
    <n v="74.05"/>
    <n v="-4.9899126129685376"/>
    <n v="1375.2838746822435"/>
    <n v="0"/>
    <n v="1"/>
    <n v="0"/>
    <n v="0"/>
    <n v="0"/>
    <n v="0"/>
    <n v="0"/>
    <n v="0"/>
    <n v="0"/>
    <n v="0"/>
  </r>
  <r>
    <d v="2024-06-10T00:00:00"/>
    <n v="2024"/>
    <x v="10"/>
    <s v="R"/>
    <s v="RS"/>
    <x v="1"/>
    <s v="IND"/>
    <s v="H"/>
    <n v="1"/>
    <n v="2"/>
    <n v="-1"/>
    <n v="1"/>
    <n v="-8"/>
    <n v="8"/>
    <n v="1612.2164287838691"/>
    <n v="1380.2737872952121"/>
    <n v="0.84897811360330111"/>
    <n v="89"/>
    <n v="72"/>
    <n v="0"/>
    <n v="17"/>
    <n v="1"/>
    <n v="0.44619837721583622"/>
    <n v="1"/>
    <n v="74.349999999999994"/>
    <n v="74.349999999999994"/>
    <n v="5.0101283291588237"/>
    <n v="1617.2265571130279"/>
    <n v="1"/>
    <n v="0"/>
    <n v="0"/>
    <n v="0"/>
    <n v="0"/>
    <n v="0"/>
    <n v="0"/>
    <n v="0"/>
    <n v="0"/>
    <n v="0"/>
  </r>
  <r>
    <d v="2024-06-11T00:00:00"/>
    <n v="2024"/>
    <x v="12"/>
    <s v="R"/>
    <s v="RS"/>
    <x v="7"/>
    <s v="ATL"/>
    <s v="A"/>
    <n v="1"/>
    <n v="2"/>
    <n v="-1"/>
    <n v="1"/>
    <n v="-8"/>
    <n v="8"/>
    <n v="1362.7807123259249"/>
    <n v="1480.6869611450002"/>
    <n v="0.22194472574709301"/>
    <n v="87"/>
    <n v="68"/>
    <n v="0"/>
    <n v="19"/>
    <n v="1"/>
    <n v="0.51078981366916199"/>
    <n v="1"/>
    <n v="74.05"/>
    <n v="74.05"/>
    <n v="29.429151568864373"/>
    <n v="1392.2098638947894"/>
    <n v="1"/>
    <n v="0"/>
    <n v="0"/>
    <n v="0"/>
    <n v="0"/>
    <n v="0"/>
    <n v="0"/>
    <n v="0"/>
    <n v="0"/>
    <n v="0"/>
  </r>
  <r>
    <d v="2024-06-11T00:00:00"/>
    <n v="2024"/>
    <x v="9"/>
    <s v="R"/>
    <s v="RS"/>
    <x v="10"/>
    <s v="WAS"/>
    <s v="H"/>
    <n v="2"/>
    <n v="1"/>
    <n v="1"/>
    <n v="-1"/>
    <n v="8"/>
    <n v="-8"/>
    <n v="1480.6869611450002"/>
    <n v="1362.7807123259249"/>
    <n v="0.77805527425290699"/>
    <n v="68"/>
    <n v="87"/>
    <n v="0"/>
    <n v="-19"/>
    <n v="0"/>
    <n v="0.51078981366916199"/>
    <n v="1"/>
    <n v="74.5"/>
    <n v="74.5"/>
    <n v="-29.607991787716355"/>
    <n v="1451.0789693572838"/>
    <n v="0"/>
    <n v="1"/>
    <n v="0"/>
    <n v="0"/>
    <n v="0"/>
    <n v="0"/>
    <n v="0"/>
    <n v="0"/>
    <n v="0"/>
    <n v="0"/>
  </r>
  <r>
    <d v="2024-06-11T00:00:00"/>
    <n v="2024"/>
    <x v="11"/>
    <s v="R"/>
    <s v="RS"/>
    <x v="4"/>
    <s v="LVA"/>
    <s v="A"/>
    <n v="1"/>
    <n v="1"/>
    <n v="0"/>
    <n v="0"/>
    <n v="0"/>
    <n v="0"/>
    <n v="1567.573001301985"/>
    <n v="1606.0399371686651"/>
    <n v="0.33070983140818139"/>
    <n v="100"/>
    <n v="86"/>
    <n v="0"/>
    <n v="14"/>
    <n v="1"/>
    <n v="0.47246293566282999"/>
    <n v="1"/>
    <n v="74.2"/>
    <n v="74.2"/>
    <n v="23.463138001446552"/>
    <n v="1591.0361393034316"/>
    <n v="1"/>
    <n v="0"/>
    <n v="0"/>
    <n v="0"/>
    <n v="0"/>
    <n v="0"/>
    <n v="0"/>
    <n v="0"/>
    <n v="0"/>
    <n v="0"/>
  </r>
  <r>
    <d v="2024-06-11T00:00:00"/>
    <n v="2024"/>
    <x v="9"/>
    <s v="R"/>
    <s v="RS"/>
    <x v="3"/>
    <s v="MIN"/>
    <s v="H"/>
    <n v="1"/>
    <n v="1"/>
    <n v="0"/>
    <n v="0"/>
    <n v="0"/>
    <n v="0"/>
    <n v="1606.0399371686651"/>
    <n v="1567.573001301985"/>
    <n v="0.66929016859181867"/>
    <n v="86"/>
    <n v="100"/>
    <n v="0"/>
    <n v="-14"/>
    <n v="0"/>
    <n v="0.47246293566282999"/>
    <n v="1"/>
    <n v="74.5"/>
    <n v="74.5"/>
    <n v="-23.558002440805495"/>
    <n v="1582.4819347278597"/>
    <n v="0"/>
    <n v="1"/>
    <n v="0"/>
    <n v="0"/>
    <n v="0"/>
    <n v="0"/>
    <n v="0"/>
    <n v="0"/>
    <n v="0"/>
    <n v="0"/>
  </r>
  <r>
    <d v="2024-06-11T00:00:00"/>
    <n v="2024"/>
    <x v="11"/>
    <s v="R"/>
    <s v="RS"/>
    <x v="11"/>
    <s v="SEA"/>
    <s v="A"/>
    <n v="1"/>
    <n v="1"/>
    <n v="0"/>
    <n v="0"/>
    <n v="0"/>
    <n v="0"/>
    <n v="1425.1291819244327"/>
    <n v="1515.2902305708253"/>
    <n v="0.26844004498335722"/>
    <n v="79"/>
    <n v="95"/>
    <n v="0"/>
    <n v="-16"/>
    <n v="0"/>
    <n v="0.48160130038646981"/>
    <n v="1"/>
    <n v="74.2"/>
    <n v="74.2"/>
    <n v="-9.5926557456922161"/>
    <n v="1415.5365261787406"/>
    <n v="0"/>
    <n v="1"/>
    <n v="0"/>
    <n v="0"/>
    <n v="0"/>
    <n v="0"/>
    <n v="0"/>
    <n v="0"/>
    <n v="0"/>
    <n v="0"/>
  </r>
  <r>
    <d v="2024-06-11T00:00:00"/>
    <n v="2024"/>
    <x v="11"/>
    <s v="R"/>
    <s v="RS"/>
    <x v="5"/>
    <s v="LAS"/>
    <s v="H"/>
    <n v="1"/>
    <n v="1"/>
    <n v="0"/>
    <n v="0"/>
    <n v="0"/>
    <n v="0"/>
    <n v="1515.2902305708253"/>
    <n v="1425.1291819244327"/>
    <n v="0.73155995501664273"/>
    <n v="95"/>
    <n v="79"/>
    <n v="0"/>
    <n v="16"/>
    <n v="1"/>
    <n v="0.48160130038646981"/>
    <n v="1"/>
    <n v="74.2"/>
    <n v="74.2"/>
    <n v="9.5926557456922179"/>
    <n v="1524.8828863165174"/>
    <n v="1"/>
    <n v="0"/>
    <n v="0"/>
    <n v="0"/>
    <n v="0"/>
    <n v="0"/>
    <n v="0"/>
    <n v="0"/>
    <n v="0"/>
    <n v="0"/>
  </r>
  <r>
    <d v="2024-06-12T00:00:00"/>
    <n v="2024"/>
    <x v="11"/>
    <s v="R"/>
    <s v="RS"/>
    <x v="1"/>
    <s v="CHI"/>
    <s v="A"/>
    <n v="1"/>
    <n v="3"/>
    <n v="-2"/>
    <n v="2"/>
    <n v="-16"/>
    <n v="16"/>
    <n v="1617.2265571130279"/>
    <n v="1475.8364167510529"/>
    <n v="0.53647444175855197"/>
    <n v="83"/>
    <n v="75"/>
    <n v="0"/>
    <n v="8"/>
    <n v="1"/>
    <n v="0.34738487184486233"/>
    <n v="1"/>
    <n v="74.2"/>
    <n v="74.2"/>
    <n v="11.947815085172058"/>
    <n v="1629.1743721982"/>
    <n v="1"/>
    <n v="0"/>
    <n v="0"/>
    <n v="0"/>
    <n v="0"/>
    <n v="0"/>
    <n v="0"/>
    <n v="0"/>
    <n v="0"/>
    <n v="0"/>
  </r>
  <r>
    <d v="2024-06-12T00:00:00"/>
    <n v="2024"/>
    <x v="10"/>
    <s v="R"/>
    <s v="RS"/>
    <x v="8"/>
    <s v="CON"/>
    <s v="H"/>
    <n v="3"/>
    <n v="1"/>
    <n v="2"/>
    <n v="-2"/>
    <n v="16"/>
    <n v="-16"/>
    <n v="1475.8364167510529"/>
    <n v="1617.2265571130279"/>
    <n v="0.46352555824144803"/>
    <n v="75"/>
    <n v="83"/>
    <n v="0"/>
    <n v="-8"/>
    <n v="0"/>
    <n v="0.34738487184486233"/>
    <n v="1"/>
    <n v="74.349999999999994"/>
    <n v="74.349999999999994"/>
    <n v="-11.971968350169035"/>
    <n v="1463.8644484008839"/>
    <n v="0"/>
    <n v="1"/>
    <n v="0"/>
    <n v="0"/>
    <n v="0"/>
    <n v="0"/>
    <n v="0"/>
    <n v="0"/>
    <n v="0"/>
    <n v="0"/>
  </r>
  <r>
    <d v="2024-06-13T00:00:00"/>
    <n v="2024"/>
    <x v="12"/>
    <s v="R"/>
    <s v="RS"/>
    <x v="5"/>
    <s v="DAL"/>
    <s v="A"/>
    <n v="1"/>
    <n v="3"/>
    <n v="-2"/>
    <n v="2"/>
    <n v="-16"/>
    <n v="16"/>
    <n v="1524.8828863165174"/>
    <n v="1471.1404049708663"/>
    <n v="0.41135103151175945"/>
    <n v="92"/>
    <n v="84"/>
    <n v="0"/>
    <n v="8"/>
    <n v="1"/>
    <n v="0.37167013875406713"/>
    <n v="1"/>
    <n v="74.05"/>
    <n v="74.05"/>
    <n v="16.200899203054021"/>
    <n v="1541.0837855195714"/>
    <n v="1"/>
    <n v="0"/>
    <n v="0"/>
    <n v="0"/>
    <n v="0"/>
    <n v="0"/>
    <n v="0"/>
    <n v="0"/>
    <n v="0"/>
    <n v="0"/>
  </r>
  <r>
    <d v="2024-06-13T00:00:00"/>
    <n v="2024"/>
    <x v="10"/>
    <s v="R"/>
    <s v="RS"/>
    <x v="9"/>
    <s v="SEA"/>
    <s v="H"/>
    <n v="3"/>
    <n v="1"/>
    <n v="2"/>
    <n v="-2"/>
    <n v="16"/>
    <n v="-16"/>
    <n v="1471.1404049708663"/>
    <n v="1524.8828863165174"/>
    <n v="0.58864896848824055"/>
    <n v="84"/>
    <n v="92"/>
    <n v="0"/>
    <n v="-8"/>
    <n v="0"/>
    <n v="0.37167013875406713"/>
    <n v="1"/>
    <n v="74.349999999999994"/>
    <n v="74.349999999999994"/>
    <n v="-16.266534176192661"/>
    <n v="1454.8738707946736"/>
    <n v="0"/>
    <n v="1"/>
    <n v="0"/>
    <n v="0"/>
    <n v="0"/>
    <n v="0"/>
    <n v="0"/>
    <n v="0"/>
    <n v="0"/>
    <n v="0"/>
  </r>
  <r>
    <d v="2024-06-13T00:00:00"/>
    <n v="2024"/>
    <x v="10"/>
    <s v="R"/>
    <s v="RS"/>
    <x v="10"/>
    <s v="IND"/>
    <s v="A"/>
    <n v="1"/>
    <n v="2"/>
    <n v="-1"/>
    <n v="1"/>
    <n v="-8"/>
    <n v="8"/>
    <n v="1451.0789693572838"/>
    <n v="1375.2838746822435"/>
    <n v="0.46522258740627659"/>
    <n v="84"/>
    <n v="91"/>
    <n v="0"/>
    <n v="-7"/>
    <n v="0"/>
    <n v="0.34811907400985009"/>
    <n v="1"/>
    <n v="74.349999999999994"/>
    <n v="74.349999999999994"/>
    <n v="-12.041194868606846"/>
    <n v="1439.0377744886769"/>
    <n v="0"/>
    <n v="1"/>
    <n v="0"/>
    <n v="0"/>
    <n v="0"/>
    <n v="0"/>
    <n v="0"/>
    <n v="0"/>
    <n v="0"/>
    <n v="0"/>
  </r>
  <r>
    <d v="2024-06-13T00:00:00"/>
    <n v="2024"/>
    <x v="13"/>
    <s v="R"/>
    <s v="RS"/>
    <x v="0"/>
    <s v="ATL"/>
    <s v="H"/>
    <n v="2"/>
    <n v="1"/>
    <n v="1"/>
    <n v="-1"/>
    <n v="8"/>
    <n v="-8"/>
    <n v="1375.2838746822435"/>
    <n v="1451.0789693572838"/>
    <n v="0.53477741259372336"/>
    <n v="91"/>
    <n v="84"/>
    <n v="0"/>
    <n v="7"/>
    <n v="1"/>
    <n v="0.34811907400985009"/>
    <n v="1"/>
    <n v="73.900000000000006"/>
    <n v="73.900000000000006"/>
    <n v="11.968316083255496"/>
    <n v="1387.2521907654991"/>
    <n v="1"/>
    <n v="0"/>
    <n v="0"/>
    <n v="0"/>
    <n v="0"/>
    <n v="0"/>
    <n v="0"/>
    <n v="0"/>
    <n v="0"/>
    <n v="0"/>
  </r>
  <r>
    <d v="2024-06-13T00:00:00"/>
    <n v="2024"/>
    <x v="10"/>
    <s v="R"/>
    <s v="RS"/>
    <x v="3"/>
    <s v="PHX"/>
    <s v="A"/>
    <n v="1"/>
    <n v="3"/>
    <n v="-2"/>
    <n v="2"/>
    <n v="-16"/>
    <n v="16"/>
    <n v="1582.4819347278597"/>
    <n v="1435.797125590409"/>
    <n v="0.5440445328196577"/>
    <n v="103"/>
    <n v="99"/>
    <n v="0"/>
    <n v="4"/>
    <n v="1"/>
    <n v="0.27751057957208397"/>
    <n v="1"/>
    <n v="74.349999999999994"/>
    <n v="74.349999999999994"/>
    <n v="9.4076888438492023"/>
    <n v="1591.8896235717089"/>
    <n v="1"/>
    <n v="0"/>
    <n v="0"/>
    <n v="0"/>
    <n v="0"/>
    <n v="0"/>
    <n v="0"/>
    <n v="0"/>
    <n v="0"/>
    <n v="0"/>
  </r>
  <r>
    <d v="2024-06-13T00:00:00"/>
    <n v="2024"/>
    <x v="12"/>
    <s v="R"/>
    <s v="RS"/>
    <x v="2"/>
    <s v="LVA"/>
    <s v="H"/>
    <n v="3"/>
    <n v="1"/>
    <n v="2"/>
    <n v="-2"/>
    <n v="16"/>
    <n v="-16"/>
    <n v="1435.797125590409"/>
    <n v="1582.4819347278597"/>
    <n v="0.45595546718034241"/>
    <n v="99"/>
    <n v="103"/>
    <n v="0"/>
    <n v="-4"/>
    <n v="0"/>
    <n v="0.27751057957208397"/>
    <n v="1"/>
    <n v="74.05"/>
    <n v="74.05"/>
    <n v="-9.369729104062321"/>
    <n v="1426.4273964863467"/>
    <n v="0"/>
    <n v="1"/>
    <n v="0"/>
    <n v="0"/>
    <n v="0"/>
    <n v="0"/>
    <n v="0"/>
    <n v="0"/>
    <n v="0"/>
    <n v="0"/>
  </r>
  <r>
    <d v="2024-06-14T00:00:00"/>
    <n v="2024"/>
    <x v="12"/>
    <s v="R"/>
    <s v="RS"/>
    <x v="11"/>
    <s v="MIN"/>
    <s v="A"/>
    <n v="2"/>
    <n v="2"/>
    <n v="0"/>
    <n v="0"/>
    <n v="0"/>
    <n v="0"/>
    <n v="1415.5365261787406"/>
    <n v="1591.0361393034316"/>
    <n v="0.18335207529570507"/>
    <n v="76"/>
    <n v="81"/>
    <n v="0"/>
    <n v="-5"/>
    <n v="0"/>
    <n v="0.28942732281045597"/>
    <n v="1"/>
    <n v="74.05"/>
    <n v="74.05"/>
    <n v="-3.9296187760729313"/>
    <n v="1411.6069074026677"/>
    <n v="0"/>
    <n v="1"/>
    <n v="0"/>
    <n v="0"/>
    <n v="0"/>
    <n v="0"/>
    <n v="0"/>
    <n v="0"/>
    <n v="0"/>
    <n v="0"/>
  </r>
  <r>
    <d v="2024-06-14T00:00:00"/>
    <n v="2024"/>
    <x v="12"/>
    <s v="R"/>
    <s v="RS"/>
    <x v="4"/>
    <s v="LAS"/>
    <s v="H"/>
    <n v="2"/>
    <n v="2"/>
    <n v="0"/>
    <n v="0"/>
    <n v="0"/>
    <n v="0"/>
    <n v="1591.0361393034316"/>
    <n v="1415.5365261787406"/>
    <n v="0.81664792470429481"/>
    <n v="81"/>
    <n v="76"/>
    <n v="0"/>
    <n v="5"/>
    <n v="1"/>
    <n v="0.28942732281045597"/>
    <n v="1"/>
    <n v="74.05"/>
    <n v="74.05"/>
    <n v="3.9296187760729335"/>
    <n v="1594.9657580795044"/>
    <n v="1"/>
    <n v="0"/>
    <n v="0"/>
    <n v="0"/>
    <n v="0"/>
    <n v="0"/>
    <n v="0"/>
    <n v="0"/>
    <n v="0"/>
    <n v="0"/>
  </r>
  <r>
    <d v="2024-06-14T00:00:00"/>
    <n v="2024"/>
    <x v="11"/>
    <s v="R"/>
    <s v="RS"/>
    <x v="8"/>
    <s v="WAS"/>
    <s v="A"/>
    <n v="1"/>
    <n v="2"/>
    <n v="-1"/>
    <n v="1"/>
    <n v="-8"/>
    <n v="8"/>
    <n v="1463.8644484008839"/>
    <n v="1392.2098638947894"/>
    <n v="0.45929793306963784"/>
    <n v="81"/>
    <n v="83"/>
    <n v="0"/>
    <n v="-2"/>
    <n v="0"/>
    <n v="0.25274912612880485"/>
    <n v="1"/>
    <n v="74.2"/>
    <n v="74.2"/>
    <n v="-8.613666620235902"/>
    <n v="1455.2507817806481"/>
    <n v="0"/>
    <n v="1"/>
    <n v="0"/>
    <n v="0"/>
    <n v="0"/>
    <n v="0"/>
    <n v="0"/>
    <n v="0"/>
    <n v="0"/>
    <n v="0"/>
  </r>
  <r>
    <d v="2024-06-14T00:00:00"/>
    <n v="2024"/>
    <x v="13"/>
    <s v="R"/>
    <s v="RS"/>
    <x v="7"/>
    <s v="CHI"/>
    <s v="H"/>
    <n v="2"/>
    <n v="1"/>
    <n v="1"/>
    <n v="-1"/>
    <n v="8"/>
    <n v="-8"/>
    <n v="1392.2098638947894"/>
    <n v="1463.8644484008839"/>
    <n v="0.54070206693036216"/>
    <n v="83"/>
    <n v="81"/>
    <n v="0"/>
    <n v="2"/>
    <n v="1"/>
    <n v="0.25274912612880485"/>
    <n v="1"/>
    <n v="73.900000000000006"/>
    <n v="73.900000000000006"/>
    <n v="8.5788404748710665"/>
    <n v="1400.7887043696603"/>
    <n v="1"/>
    <n v="0"/>
    <n v="0"/>
    <n v="0"/>
    <n v="0"/>
    <n v="0"/>
    <n v="0"/>
    <n v="0"/>
    <n v="0"/>
    <n v="0"/>
  </r>
  <r>
    <d v="2024-06-15T00:00:00"/>
    <n v="2024"/>
    <x v="12"/>
    <s v="R"/>
    <s v="RS"/>
    <x v="1"/>
    <s v="DAL"/>
    <s v="A"/>
    <n v="2"/>
    <n v="1"/>
    <n v="1"/>
    <n v="-1"/>
    <n v="8"/>
    <n v="-8"/>
    <n v="1629.1743721982"/>
    <n v="1454.8738707946736"/>
    <n v="0.64837748706281961"/>
    <n v="85"/>
    <n v="67"/>
    <n v="0"/>
    <n v="18"/>
    <n v="1"/>
    <n v="0.47747979272468427"/>
    <n v="1"/>
    <n v="74.05"/>
    <n v="74.05"/>
    <n v="12.432450332228465"/>
    <n v="1641.6068225304284"/>
    <n v="1"/>
    <n v="0"/>
    <n v="0"/>
    <n v="0"/>
    <n v="0"/>
    <n v="0"/>
    <n v="0"/>
    <n v="0"/>
    <n v="0"/>
    <n v="0"/>
  </r>
  <r>
    <d v="2024-06-15T00:00:00"/>
    <n v="2024"/>
    <x v="11"/>
    <s v="R"/>
    <s v="RS"/>
    <x v="9"/>
    <s v="CON"/>
    <s v="H"/>
    <n v="1"/>
    <n v="2"/>
    <n v="-1"/>
    <n v="1"/>
    <n v="-8"/>
    <n v="8"/>
    <n v="1454.8738707946736"/>
    <n v="1629.1743721982"/>
    <n v="0.35162251293718033"/>
    <n v="67"/>
    <n v="85"/>
    <n v="0"/>
    <n v="-18"/>
    <n v="0"/>
    <n v="0.47747979272468427"/>
    <n v="1"/>
    <n v="74.2"/>
    <n v="74.2"/>
    <n v="-12.457634228917648"/>
    <n v="1442.416236565756"/>
    <n v="0"/>
    <n v="1"/>
    <n v="0"/>
    <n v="0"/>
    <n v="0"/>
    <n v="0"/>
    <n v="0"/>
    <n v="0"/>
    <n v="0"/>
    <n v="0"/>
  </r>
  <r>
    <d v="2024-06-15T00:00:00"/>
    <n v="2024"/>
    <x v="13"/>
    <s v="R"/>
    <s v="RS"/>
    <x v="6"/>
    <s v="LVA"/>
    <s v="A"/>
    <n v="5"/>
    <n v="1"/>
    <n v="4"/>
    <n v="-4"/>
    <n v="16"/>
    <n v="-16"/>
    <n v="1667.2206681693733"/>
    <n v="1591.8896235717089"/>
    <n v="0.53352569362245272"/>
    <n v="90"/>
    <n v="82"/>
    <n v="0"/>
    <n v="8"/>
    <n v="1"/>
    <n v="0.36537857678404695"/>
    <n v="1"/>
    <n v="73.900000000000006"/>
    <n v="73.900000000000006"/>
    <n v="12.59549517280392"/>
    <n v="1679.8161633421773"/>
    <n v="1"/>
    <n v="0"/>
    <n v="0"/>
    <n v="0"/>
    <n v="0"/>
    <n v="0"/>
    <n v="0"/>
    <n v="0"/>
    <n v="0"/>
    <n v="0"/>
  </r>
  <r>
    <d v="2024-06-15T00:00:00"/>
    <n v="2024"/>
    <x v="11"/>
    <s v="R"/>
    <s v="RS"/>
    <x v="3"/>
    <s v="NYL"/>
    <s v="H"/>
    <n v="1"/>
    <n v="5"/>
    <n v="-4"/>
    <n v="4"/>
    <n v="-16"/>
    <n v="16"/>
    <n v="1591.8896235717089"/>
    <n v="1667.2206681693733"/>
    <n v="0.46647430637754717"/>
    <n v="82"/>
    <n v="90"/>
    <n v="0"/>
    <n v="-8"/>
    <n v="0"/>
    <n v="0.36537857678404695"/>
    <n v="1"/>
    <n v="74.2"/>
    <n v="74.2"/>
    <n v="-12.646627088255082"/>
    <n v="1579.2429964834537"/>
    <n v="0"/>
    <n v="1"/>
    <n v="0"/>
    <n v="0"/>
    <n v="0"/>
    <n v="0"/>
    <n v="0"/>
    <n v="0"/>
    <n v="0"/>
    <n v="0"/>
  </r>
  <r>
    <d v="2024-06-16T00:00:00"/>
    <n v="2024"/>
    <x v="13"/>
    <s v="R"/>
    <s v="RS"/>
    <x v="11"/>
    <s v="ATL"/>
    <s v="A"/>
    <n v="1"/>
    <n v="2"/>
    <n v="-1"/>
    <n v="1"/>
    <n v="-8"/>
    <n v="8"/>
    <n v="1411.6069074026677"/>
    <n v="1439.0377744886769"/>
    <n v="0.3244159609442972"/>
    <n v="74"/>
    <n v="87"/>
    <n v="0"/>
    <n v="-13"/>
    <n v="0"/>
    <n v="0.46149442870190455"/>
    <n v="1"/>
    <n v="73.900000000000006"/>
    <n v="73.900000000000006"/>
    <n v="-11.064024117419043"/>
    <n v="1400.5428832852488"/>
    <n v="0"/>
    <n v="1"/>
    <n v="0"/>
    <n v="0"/>
    <n v="0"/>
    <n v="0"/>
    <n v="0"/>
    <n v="0"/>
    <n v="0"/>
    <n v="0"/>
  </r>
  <r>
    <d v="2024-06-16T00:00:00"/>
    <n v="2024"/>
    <x v="11"/>
    <s v="R"/>
    <s v="RS"/>
    <x v="10"/>
    <s v="LAS"/>
    <s v="H"/>
    <n v="2"/>
    <n v="1"/>
    <n v="1"/>
    <n v="-1"/>
    <n v="8"/>
    <n v="-8"/>
    <n v="1439.0377744886769"/>
    <n v="1411.6069074026677"/>
    <n v="0.67558403905570275"/>
    <n v="87"/>
    <n v="74"/>
    <n v="0"/>
    <n v="13"/>
    <n v="1"/>
    <n v="0.46149442870190455"/>
    <n v="1"/>
    <n v="74.2"/>
    <n v="74.2"/>
    <n v="11.108938964986375"/>
    <n v="1450.1467134536633"/>
    <n v="1"/>
    <n v="0"/>
    <n v="0"/>
    <n v="0"/>
    <n v="0"/>
    <n v="0"/>
    <n v="0"/>
    <n v="0"/>
    <n v="0"/>
    <n v="0"/>
  </r>
  <r>
    <d v="2024-06-16T00:00:00"/>
    <n v="2024"/>
    <x v="12"/>
    <s v="R"/>
    <s v="RS"/>
    <x v="8"/>
    <s v="IND"/>
    <s v="A"/>
    <n v="1"/>
    <n v="2"/>
    <n v="-1"/>
    <n v="1"/>
    <n v="-8"/>
    <n v="8"/>
    <n v="1455.2507817806481"/>
    <n v="1387.2521907654991"/>
    <n v="0.45407606663224448"/>
    <n v="83"/>
    <n v="91"/>
    <n v="0"/>
    <n v="-8"/>
    <n v="0"/>
    <n v="0.36749145094124119"/>
    <n v="1"/>
    <n v="74.05"/>
    <n v="74.05"/>
    <n v="-12.356654823391986"/>
    <n v="1442.894126957256"/>
    <n v="0"/>
    <n v="1"/>
    <n v="0"/>
    <n v="0"/>
    <n v="0"/>
    <n v="0"/>
    <n v="0"/>
    <n v="0"/>
    <n v="0"/>
    <n v="0"/>
  </r>
  <r>
    <d v="2024-06-16T00:00:00"/>
    <n v="2024"/>
    <x v="14"/>
    <s v="R"/>
    <s v="RS"/>
    <x v="0"/>
    <s v="CHI"/>
    <s v="H"/>
    <n v="2"/>
    <n v="1"/>
    <n v="1"/>
    <n v="-1"/>
    <n v="8"/>
    <n v="-8"/>
    <n v="1387.2521907654991"/>
    <n v="1455.2507817806481"/>
    <n v="0.54592393336775547"/>
    <n v="91"/>
    <n v="83"/>
    <n v="0"/>
    <n v="8"/>
    <n v="1"/>
    <n v="0.36749145094124119"/>
    <n v="1"/>
    <n v="73.75"/>
    <n v="73.75"/>
    <n v="12.306594101622675"/>
    <n v="1399.5587848671219"/>
    <n v="1"/>
    <n v="0"/>
    <n v="0"/>
    <n v="0"/>
    <n v="0"/>
    <n v="0"/>
    <n v="0"/>
    <n v="0"/>
    <n v="0"/>
    <n v="0"/>
  </r>
  <r>
    <d v="2024-06-16T00:00:00"/>
    <n v="2024"/>
    <x v="13"/>
    <s v="R"/>
    <s v="RS"/>
    <x v="5"/>
    <s v="PHX"/>
    <s v="A"/>
    <n v="2"/>
    <n v="2"/>
    <n v="0"/>
    <n v="0"/>
    <n v="0"/>
    <n v="0"/>
    <n v="1541.0837855195714"/>
    <n v="1426.4273964863467"/>
    <n v="0.5440039500792555"/>
    <n v="78"/>
    <n v="87"/>
    <n v="0"/>
    <n v="-9"/>
    <n v="0"/>
    <n v="0.37056514283169051"/>
    <n v="1"/>
    <n v="73.900000000000006"/>
    <n v="73.900000000000006"/>
    <n v="-14.897419818050901"/>
    <n v="1526.1863657015206"/>
    <n v="0"/>
    <n v="1"/>
    <n v="0"/>
    <n v="0"/>
    <n v="0"/>
    <n v="0"/>
    <n v="0"/>
    <n v="0"/>
    <n v="0"/>
    <n v="0"/>
  </r>
  <r>
    <d v="2024-06-16T00:00:00"/>
    <n v="2024"/>
    <x v="13"/>
    <s v="R"/>
    <s v="RS"/>
    <x v="2"/>
    <s v="SEA"/>
    <s v="H"/>
    <n v="2"/>
    <n v="2"/>
    <n v="0"/>
    <n v="0"/>
    <n v="0"/>
    <n v="0"/>
    <n v="1426.4273964863467"/>
    <n v="1541.0837855195714"/>
    <n v="0.45599604992074444"/>
    <n v="87"/>
    <n v="78"/>
    <n v="0"/>
    <n v="9"/>
    <n v="1"/>
    <n v="0.37056514283169051"/>
    <n v="1"/>
    <n v="73.900000000000006"/>
    <n v="73.900000000000006"/>
    <n v="14.897419818050901"/>
    <n v="1441.3248163043975"/>
    <n v="1"/>
    <n v="0"/>
    <n v="0"/>
    <n v="0"/>
    <n v="0"/>
    <n v="0"/>
    <n v="0"/>
    <n v="0"/>
    <n v="0"/>
    <n v="0"/>
  </r>
  <r>
    <d v="2024-06-17T00:00:00"/>
    <n v="2024"/>
    <x v="12"/>
    <s v="R"/>
    <s v="RS"/>
    <x v="9"/>
    <s v="MIN"/>
    <s v="A"/>
    <n v="1"/>
    <n v="2"/>
    <n v="-1"/>
    <n v="1"/>
    <n v="-8"/>
    <n v="8"/>
    <n v="1442.416236565756"/>
    <n v="1594.9657580795044"/>
    <n v="0.18941867346490898"/>
    <n v="78"/>
    <n v="90"/>
    <n v="0"/>
    <n v="-12"/>
    <n v="0"/>
    <n v="0.40468413391567276"/>
    <n v="1"/>
    <n v="74.05"/>
    <n v="74.05"/>
    <n v="-5.6762828911675012"/>
    <n v="1436.7399536745884"/>
    <n v="0"/>
    <n v="1"/>
    <n v="0"/>
    <n v="0"/>
    <n v="0"/>
    <n v="0"/>
    <n v="0"/>
    <n v="0"/>
    <n v="0"/>
    <n v="0"/>
  </r>
  <r>
    <d v="2024-06-17T00:00:00"/>
    <n v="2024"/>
    <x v="13"/>
    <s v="R"/>
    <s v="RS"/>
    <x v="4"/>
    <s v="DAL"/>
    <s v="H"/>
    <n v="2"/>
    <n v="1"/>
    <n v="1"/>
    <n v="-1"/>
    <n v="8"/>
    <n v="-8"/>
    <n v="1594.9657580795044"/>
    <n v="1442.416236565756"/>
    <n v="0.81058132653509096"/>
    <n v="90"/>
    <n v="78"/>
    <n v="0"/>
    <n v="12"/>
    <n v="1"/>
    <n v="0.40468413391567276"/>
    <n v="1"/>
    <n v="73.900000000000006"/>
    <n v="73.900000000000006"/>
    <n v="5.6647846813947131"/>
    <n v="1600.6305427608991"/>
    <n v="1"/>
    <n v="0"/>
    <n v="0"/>
    <n v="0"/>
    <n v="0"/>
    <n v="0"/>
    <n v="0"/>
    <n v="0"/>
    <n v="0"/>
    <n v="0"/>
  </r>
  <r>
    <d v="2024-06-18T00:00:00"/>
    <n v="2024"/>
    <x v="14"/>
    <s v="R"/>
    <s v="RS"/>
    <x v="11"/>
    <s v="CON"/>
    <s v="A"/>
    <n v="1"/>
    <n v="2"/>
    <n v="-1"/>
    <n v="1"/>
    <n v="-8"/>
    <n v="8"/>
    <n v="1400.5428832852488"/>
    <n v="1641.6068225304284"/>
    <n v="0.12310799602125999"/>
    <n v="70"/>
    <n v="79"/>
    <n v="0"/>
    <n v="-9"/>
    <n v="0"/>
    <n v="0.33805983156574287"/>
    <n v="1"/>
    <n v="73.75"/>
    <n v="73.75"/>
    <n v="-3.0693177944515684"/>
    <n v="1397.4735654907972"/>
    <n v="0"/>
    <n v="1"/>
    <n v="0"/>
    <n v="0"/>
    <n v="0"/>
    <n v="0"/>
    <n v="0"/>
    <n v="0"/>
    <n v="0"/>
    <n v="0"/>
  </r>
  <r>
    <d v="2024-06-18T00:00:00"/>
    <n v="2024"/>
    <x v="13"/>
    <s v="R"/>
    <s v="RS"/>
    <x v="1"/>
    <s v="LAS"/>
    <s v="H"/>
    <n v="2"/>
    <n v="1"/>
    <n v="1"/>
    <n v="-1"/>
    <n v="8"/>
    <n v="-8"/>
    <n v="1641.6068225304284"/>
    <n v="1400.5428832852488"/>
    <n v="0.87689200397874001"/>
    <n v="79"/>
    <n v="70"/>
    <n v="0"/>
    <n v="9"/>
    <n v="1"/>
    <n v="0.33805983156574287"/>
    <n v="1"/>
    <n v="73.900000000000006"/>
    <n v="73.900000000000006"/>
    <n v="3.07556047471147"/>
    <n v="1644.6823830051399"/>
    <n v="1"/>
    <n v="0"/>
    <n v="0"/>
    <n v="0"/>
    <n v="0"/>
    <n v="0"/>
    <n v="0"/>
    <n v="0"/>
    <n v="0"/>
    <n v="0"/>
  </r>
  <r>
    <d v="2024-06-18T00:00:00"/>
    <n v="2024"/>
    <x v="14"/>
    <s v="R"/>
    <s v="RS"/>
    <x v="6"/>
    <s v="PHX"/>
    <s v="A"/>
    <n v="2"/>
    <n v="1"/>
    <n v="1"/>
    <n v="-1"/>
    <n v="8"/>
    <n v="-8"/>
    <n v="1679.8161633421773"/>
    <n v="1441.3248163043975"/>
    <n v="0.72739128949175191"/>
    <n v="93"/>
    <n v="99"/>
    <n v="0"/>
    <n v="-6"/>
    <n v="0"/>
    <n v="0.29304097947981539"/>
    <n v="1"/>
    <n v="73.75"/>
    <n v="73.75"/>
    <n v="-15.720214875408983"/>
    <n v="1664.0959484667683"/>
    <n v="0"/>
    <n v="1"/>
    <n v="0"/>
    <n v="0"/>
    <n v="0"/>
    <n v="0"/>
    <n v="0"/>
    <n v="0"/>
    <n v="0"/>
    <n v="0"/>
  </r>
  <r>
    <d v="2024-06-18T00:00:00"/>
    <n v="2024"/>
    <x v="14"/>
    <s v="R"/>
    <s v="RS"/>
    <x v="2"/>
    <s v="NYL"/>
    <s v="H"/>
    <n v="1"/>
    <n v="2"/>
    <n v="-1"/>
    <n v="1"/>
    <n v="-8"/>
    <n v="8"/>
    <n v="1441.3248163043975"/>
    <n v="1679.8161633421773"/>
    <n v="0.27260871050824814"/>
    <n v="99"/>
    <n v="93"/>
    <n v="0"/>
    <n v="6"/>
    <n v="1"/>
    <n v="0.29304097947981539"/>
    <n v="1"/>
    <n v="73.75"/>
    <n v="73.75"/>
    <n v="15.720214875408979"/>
    <n v="1457.0450311798065"/>
    <n v="1"/>
    <n v="0"/>
    <n v="0"/>
    <n v="0"/>
    <n v="0"/>
    <n v="0"/>
    <n v="0"/>
    <n v="0"/>
    <n v="0"/>
    <n v="0"/>
  </r>
  <r>
    <d v="2024-06-19T00:00:00"/>
    <n v="2024"/>
    <x v="14"/>
    <s v="R"/>
    <s v="RS"/>
    <x v="7"/>
    <s v="IND"/>
    <s v="A"/>
    <n v="4"/>
    <n v="2"/>
    <n v="2"/>
    <n v="-2"/>
    <n v="16"/>
    <n v="-16"/>
    <n v="1400.7887043696603"/>
    <n v="1399.5587848671219"/>
    <n v="0.42745163216762966"/>
    <n v="81"/>
    <n v="88"/>
    <n v="0"/>
    <n v="-7"/>
    <n v="0"/>
    <n v="0.36972822585746912"/>
    <n v="1"/>
    <n v="73.75"/>
    <n v="73.75"/>
    <n v="-11.655518853089768"/>
    <n v="1389.1331855165706"/>
    <n v="0"/>
    <n v="1"/>
    <n v="0"/>
    <n v="0"/>
    <n v="0"/>
    <n v="0"/>
    <n v="0"/>
    <n v="0"/>
    <n v="0"/>
    <n v="0"/>
  </r>
  <r>
    <d v="2024-06-19T00:00:00"/>
    <n v="2024"/>
    <x v="15"/>
    <s v="R"/>
    <s v="RS"/>
    <x v="0"/>
    <s v="WAS"/>
    <s v="H"/>
    <n v="2"/>
    <n v="4"/>
    <n v="-2"/>
    <n v="2"/>
    <n v="-16"/>
    <n v="16"/>
    <n v="1399.5587848671219"/>
    <n v="1400.7887043696603"/>
    <n v="0.57254836783237029"/>
    <n v="88"/>
    <n v="81"/>
    <n v="0"/>
    <n v="7"/>
    <n v="1"/>
    <n v="0.36972822585746912"/>
    <n v="1"/>
    <n v="73.599999999999994"/>
    <n v="73.599999999999994"/>
    <n v="11.631812713049586"/>
    <n v="1411.1905975801715"/>
    <n v="1"/>
    <n v="0"/>
    <n v="0"/>
    <n v="0"/>
    <n v="0"/>
    <n v="0"/>
    <n v="0"/>
    <n v="0"/>
    <n v="0"/>
    <n v="0"/>
  </r>
  <r>
    <d v="2024-06-19T00:00:00"/>
    <n v="2024"/>
    <x v="14"/>
    <s v="R"/>
    <s v="RS"/>
    <x v="5"/>
    <s v="LVA"/>
    <s v="A"/>
    <n v="2"/>
    <n v="3"/>
    <n v="-1"/>
    <n v="1"/>
    <n v="-8"/>
    <n v="8"/>
    <n v="1526.1863657015206"/>
    <n v="1579.2429964834537"/>
    <n v="0.29295717664135335"/>
    <n v="83"/>
    <n v="94"/>
    <n v="0"/>
    <n v="-11"/>
    <n v="0"/>
    <n v="0.42121253847864615"/>
    <n v="1"/>
    <n v="73.75"/>
    <n v="73.75"/>
    <n v="-9.1005461578498164"/>
    <n v="1517.0858195436708"/>
    <n v="0"/>
    <n v="1"/>
    <n v="0"/>
    <n v="0"/>
    <n v="0"/>
    <n v="0"/>
    <n v="0"/>
    <n v="0"/>
    <n v="0"/>
    <n v="0"/>
  </r>
  <r>
    <d v="2024-06-19T00:00:00"/>
    <n v="2024"/>
    <x v="12"/>
    <s v="R"/>
    <s v="RS"/>
    <x v="3"/>
    <s v="SEA"/>
    <s v="H"/>
    <n v="3"/>
    <n v="2"/>
    <n v="1"/>
    <n v="-1"/>
    <n v="8"/>
    <n v="-8"/>
    <n v="1579.2429964834537"/>
    <n v="1526.1863657015206"/>
    <n v="0.70704282335864665"/>
    <n v="94"/>
    <n v="83"/>
    <n v="0"/>
    <n v="11"/>
    <n v="1"/>
    <n v="0.42121253847864615"/>
    <n v="1"/>
    <n v="74.05"/>
    <n v="74.05"/>
    <n v="9.1375653286614096"/>
    <n v="1588.380561812115"/>
    <n v="1"/>
    <n v="0"/>
    <n v="0"/>
    <n v="0"/>
    <n v="0"/>
    <n v="0"/>
    <n v="0"/>
    <n v="0"/>
    <n v="0"/>
    <n v="0"/>
  </r>
  <r>
    <d v="2024-06-19T00:00:00"/>
    <n v="2024"/>
    <x v="12"/>
    <s v="R"/>
    <s v="RS"/>
    <x v="10"/>
    <s v="MIN"/>
    <s v="A"/>
    <n v="2"/>
    <n v="1"/>
    <n v="1"/>
    <n v="-1"/>
    <n v="8"/>
    <n v="-8"/>
    <n v="1450.1467134536633"/>
    <n v="1600.6305427608991"/>
    <n v="0.22137110905805779"/>
    <n v="55"/>
    <n v="68"/>
    <n v="0"/>
    <n v="-13"/>
    <n v="0"/>
    <n v="0.41944412401258963"/>
    <n v="1"/>
    <n v="74.05"/>
    <n v="74.05"/>
    <n v="-6.8757506486669122"/>
    <n v="1443.2709628049963"/>
    <n v="0"/>
    <n v="1"/>
    <n v="0"/>
    <n v="0"/>
    <n v="0"/>
    <n v="0"/>
    <n v="0"/>
    <n v="0"/>
    <n v="0"/>
    <n v="0"/>
  </r>
  <r>
    <d v="2024-06-19T00:00:00"/>
    <n v="2024"/>
    <x v="14"/>
    <s v="R"/>
    <s v="RS"/>
    <x v="4"/>
    <s v="ATL"/>
    <s v="H"/>
    <n v="1"/>
    <n v="2"/>
    <n v="-1"/>
    <n v="1"/>
    <n v="-8"/>
    <n v="8"/>
    <n v="1600.6305427608991"/>
    <n v="1450.1467134536633"/>
    <n v="0.77862889094194221"/>
    <n v="68"/>
    <n v="55"/>
    <n v="0"/>
    <n v="13"/>
    <n v="1"/>
    <n v="0.41944412401258963"/>
    <n v="1"/>
    <n v="73.75"/>
    <n v="73.75"/>
    <n v="6.8478948053907462"/>
    <n v="1607.4784375662898"/>
    <n v="1"/>
    <n v="0"/>
    <n v="0"/>
    <n v="0"/>
    <n v="0"/>
    <n v="0"/>
    <n v="0"/>
    <n v="0"/>
    <n v="0"/>
    <n v="0"/>
  </r>
  <r>
    <d v="2024-06-20T00:00:00"/>
    <n v="2024"/>
    <x v="13"/>
    <s v="R"/>
    <s v="RS"/>
    <x v="9"/>
    <s v="CHI"/>
    <s v="A"/>
    <n v="2"/>
    <n v="3"/>
    <n v="-1"/>
    <n v="1"/>
    <n v="-8"/>
    <n v="8"/>
    <n v="1436.7399536745884"/>
    <n v="1442.894126957256"/>
    <n v="0.35181457533664645"/>
    <n v="72"/>
    <n v="83"/>
    <n v="0"/>
    <n v="-11"/>
    <n v="0"/>
    <n v="0.43759179050277569"/>
    <n v="1"/>
    <n v="73.900000000000006"/>
    <n v="73.900000000000006"/>
    <n v="-11.376991459049069"/>
    <n v="1425.3629622155393"/>
    <n v="0"/>
    <n v="1"/>
    <n v="0"/>
    <n v="0"/>
    <n v="0"/>
    <n v="0"/>
    <n v="0"/>
    <n v="0"/>
    <n v="0"/>
    <n v="0"/>
  </r>
  <r>
    <d v="2024-06-20T00:00:00"/>
    <n v="2024"/>
    <x v="13"/>
    <s v="R"/>
    <s v="RS"/>
    <x v="8"/>
    <s v="DAL"/>
    <s v="H"/>
    <n v="3"/>
    <n v="2"/>
    <n v="1"/>
    <n v="-1"/>
    <n v="8"/>
    <n v="-8"/>
    <n v="1442.894126957256"/>
    <n v="1436.7399536745884"/>
    <n v="0.6481854246633536"/>
    <n v="83"/>
    <n v="72"/>
    <n v="0"/>
    <n v="11"/>
    <n v="1"/>
    <n v="0.43759179050277569"/>
    <n v="1"/>
    <n v="73.900000000000006"/>
    <n v="73.900000000000006"/>
    <n v="11.376991459049068"/>
    <n v="1454.2711184163052"/>
    <n v="1"/>
    <n v="0"/>
    <n v="0"/>
    <n v="0"/>
    <n v="0"/>
    <n v="0"/>
    <n v="0"/>
    <n v="0"/>
    <n v="0"/>
    <n v="0"/>
  </r>
  <r>
    <d v="2024-06-20T00:00:00"/>
    <n v="2024"/>
    <x v="15"/>
    <s v="R"/>
    <s v="RS"/>
    <x v="11"/>
    <s v="NYL"/>
    <s v="A"/>
    <n v="1"/>
    <n v="1"/>
    <n v="0"/>
    <n v="0"/>
    <n v="0"/>
    <n v="0"/>
    <n v="1397.4735654907972"/>
    <n v="1664.0959484667683"/>
    <n v="0.11729026292551661"/>
    <n v="80"/>
    <n v="93"/>
    <n v="0"/>
    <n v="-13"/>
    <n v="0"/>
    <n v="0.38622927984198219"/>
    <n v="1"/>
    <n v="73.599999999999994"/>
    <n v="73.599999999999994"/>
    <n v="-3.3341487263698482"/>
    <n v="1394.1394167644273"/>
    <n v="0"/>
    <n v="1"/>
    <n v="0"/>
    <n v="0"/>
    <n v="0"/>
    <n v="0"/>
    <n v="0"/>
    <n v="0"/>
    <n v="0"/>
    <n v="0"/>
  </r>
  <r>
    <d v="2024-06-20T00:00:00"/>
    <n v="2024"/>
    <x v="15"/>
    <s v="R"/>
    <s v="RS"/>
    <x v="6"/>
    <s v="LAS"/>
    <s v="H"/>
    <n v="1"/>
    <n v="1"/>
    <n v="0"/>
    <n v="0"/>
    <n v="0"/>
    <n v="0"/>
    <n v="1664.0959484667683"/>
    <n v="1397.4735654907972"/>
    <n v="0.88270973707448341"/>
    <n v="93"/>
    <n v="80"/>
    <n v="0"/>
    <n v="13"/>
    <n v="1"/>
    <n v="0.38622927984198219"/>
    <n v="1"/>
    <n v="73.599999999999994"/>
    <n v="73.599999999999994"/>
    <n v="3.3341487263698473"/>
    <n v="1667.4300971931382"/>
    <n v="1"/>
    <n v="0"/>
    <n v="0"/>
    <n v="0"/>
    <n v="0"/>
    <n v="0"/>
    <n v="0"/>
    <n v="0"/>
    <n v="0"/>
    <n v="0"/>
  </r>
  <r>
    <d v="2024-06-21T00:00:00"/>
    <n v="2024"/>
    <x v="16"/>
    <s v="R"/>
    <s v="RS"/>
    <x v="0"/>
    <s v="ATL"/>
    <s v="A"/>
    <n v="1"/>
    <n v="1"/>
    <n v="0"/>
    <n v="0"/>
    <n v="0"/>
    <n v="0"/>
    <n v="1411.1905975801715"/>
    <n v="1443.2709628049963"/>
    <n v="0.33889725304313911"/>
    <n v="91"/>
    <n v="79"/>
    <n v="0"/>
    <n v="12"/>
    <n v="1"/>
    <n v="0.44425294578245289"/>
    <n v="1"/>
    <n v="73.45"/>
    <n v="73.45"/>
    <n v="21.572033103693563"/>
    <n v="1432.7626306838649"/>
    <n v="1"/>
    <n v="0"/>
    <n v="0"/>
    <n v="0"/>
    <n v="0"/>
    <n v="0"/>
    <n v="0"/>
    <n v="0"/>
    <n v="0"/>
    <n v="0"/>
  </r>
  <r>
    <d v="2024-06-21T00:00:00"/>
    <n v="2024"/>
    <x v="13"/>
    <s v="R"/>
    <s v="RS"/>
    <x v="10"/>
    <s v="IND"/>
    <s v="H"/>
    <n v="1"/>
    <n v="1"/>
    <n v="0"/>
    <n v="0"/>
    <n v="0"/>
    <n v="0"/>
    <n v="1443.2709628049963"/>
    <n v="1411.1905975801715"/>
    <n v="0.66110274695686078"/>
    <n v="79"/>
    <n v="91"/>
    <n v="0"/>
    <n v="-12"/>
    <n v="0"/>
    <n v="0.44425294578245289"/>
    <n v="1"/>
    <n v="73.900000000000006"/>
    <n v="73.900000000000006"/>
    <n v="-21.704196682953771"/>
    <n v="1421.5667661220425"/>
    <n v="0"/>
    <n v="1"/>
    <n v="0"/>
    <n v="0"/>
    <n v="0"/>
    <n v="0"/>
    <n v="0"/>
    <n v="0"/>
    <n v="0"/>
    <n v="0"/>
  </r>
  <r>
    <d v="2024-06-21T00:00:00"/>
    <n v="2024"/>
    <x v="14"/>
    <s v="R"/>
    <s v="RS"/>
    <x v="1"/>
    <s v="LVA"/>
    <s v="A"/>
    <n v="2"/>
    <n v="1"/>
    <n v="1"/>
    <n v="-1"/>
    <n v="8"/>
    <n v="-8"/>
    <n v="1644.6823830051399"/>
    <n v="1588.380561812115"/>
    <n v="0.48317132634028093"/>
    <n v="74"/>
    <n v="85"/>
    <n v="0"/>
    <n v="-11"/>
    <n v="0"/>
    <n v="0.42012449190588508"/>
    <n v="1"/>
    <n v="73.75"/>
    <n v="73.75"/>
    <n v="-14.970667963687481"/>
    <n v="1629.7117150414524"/>
    <n v="0"/>
    <n v="1"/>
    <n v="0"/>
    <n v="0"/>
    <n v="0"/>
    <n v="0"/>
    <n v="0"/>
    <n v="0"/>
    <n v="0"/>
    <n v="0"/>
  </r>
  <r>
    <d v="2024-06-21T00:00:00"/>
    <n v="2024"/>
    <x v="13"/>
    <s v="R"/>
    <s v="RS"/>
    <x v="3"/>
    <s v="CON"/>
    <s v="H"/>
    <n v="1"/>
    <n v="2"/>
    <n v="-1"/>
    <n v="1"/>
    <n v="-8"/>
    <n v="8"/>
    <n v="1588.380561812115"/>
    <n v="1644.6823830051399"/>
    <n v="0.51682867365971896"/>
    <n v="85"/>
    <n v="74"/>
    <n v="0"/>
    <n v="11"/>
    <n v="1"/>
    <n v="0.42012449190588508"/>
    <n v="1"/>
    <n v="73.900000000000006"/>
    <n v="73.900000000000006"/>
    <n v="15.001116779884814"/>
    <n v="1603.3816785919998"/>
    <n v="1"/>
    <n v="0"/>
    <n v="0"/>
    <n v="0"/>
    <n v="0"/>
    <n v="0"/>
    <n v="0"/>
    <n v="0"/>
    <n v="0"/>
    <n v="0"/>
  </r>
  <r>
    <d v="2024-06-22T00:00:00"/>
    <n v="2024"/>
    <x v="15"/>
    <s v="R"/>
    <s v="RS"/>
    <x v="2"/>
    <s v="MIN"/>
    <s v="A"/>
    <n v="3"/>
    <n v="2"/>
    <n v="1"/>
    <n v="-1"/>
    <n v="8"/>
    <n v="-8"/>
    <n v="1457.0450311798065"/>
    <n v="1607.4784375662898"/>
    <n v="0.22142114363966822"/>
    <n v="60"/>
    <n v="73"/>
    <n v="0"/>
    <n v="-13"/>
    <n v="0"/>
    <n v="0.41945978535340445"/>
    <n v="1"/>
    <n v="73.599999999999994"/>
    <n v="73.599999999999994"/>
    <n v="-6.8357667322477216"/>
    <n v="1450.2092644475588"/>
    <n v="0"/>
    <n v="1"/>
    <n v="0"/>
    <n v="0"/>
    <n v="0"/>
    <n v="0"/>
    <n v="0"/>
    <n v="0"/>
    <n v="0"/>
    <n v="0"/>
  </r>
  <r>
    <d v="2024-06-22T00:00:00"/>
    <n v="2024"/>
    <x v="15"/>
    <s v="R"/>
    <s v="RS"/>
    <x v="4"/>
    <s v="PHX"/>
    <s v="H"/>
    <n v="2"/>
    <n v="3"/>
    <n v="-1"/>
    <n v="1"/>
    <n v="-8"/>
    <n v="8"/>
    <n v="1607.4784375662898"/>
    <n v="1457.0450311798065"/>
    <n v="0.77857885636033186"/>
    <n v="73"/>
    <n v="60"/>
    <n v="0"/>
    <n v="13"/>
    <n v="1"/>
    <n v="0.41945978535340445"/>
    <n v="1"/>
    <n v="73.599999999999994"/>
    <n v="73.599999999999994"/>
    <n v="6.8357667322477189"/>
    <n v="1614.3142042985376"/>
    <n v="1"/>
    <n v="0"/>
    <n v="0"/>
    <n v="0"/>
    <n v="0"/>
    <n v="0"/>
    <n v="0"/>
    <n v="0"/>
    <n v="0"/>
    <n v="0"/>
  </r>
  <r>
    <d v="2024-06-22T00:00:00"/>
    <n v="2024"/>
    <x v="16"/>
    <s v="R"/>
    <s v="RS"/>
    <x v="11"/>
    <s v="NYL"/>
    <s v="A"/>
    <n v="1"/>
    <n v="1"/>
    <n v="0"/>
    <n v="0"/>
    <n v="0"/>
    <n v="0"/>
    <n v="1394.1394167644273"/>
    <n v="1667.4300971931382"/>
    <n v="0.11337406762329449"/>
    <n v="88"/>
    <n v="98"/>
    <n v="0"/>
    <n v="-10"/>
    <n v="0"/>
    <n v="0.34464050166324928"/>
    <n v="1"/>
    <n v="73.45"/>
    <n v="73.45"/>
    <n v="-2.8699335575081446"/>
    <n v="1391.2694832069192"/>
    <n v="0"/>
    <n v="1"/>
    <n v="0"/>
    <n v="0"/>
    <n v="0"/>
    <n v="0"/>
    <n v="0"/>
    <n v="0"/>
    <n v="0"/>
    <n v="0"/>
  </r>
  <r>
    <d v="2024-06-22T00:00:00"/>
    <n v="2024"/>
    <x v="16"/>
    <s v="R"/>
    <s v="RS"/>
    <x v="6"/>
    <s v="LAS"/>
    <s v="H"/>
    <n v="1"/>
    <n v="1"/>
    <n v="0"/>
    <n v="0"/>
    <n v="0"/>
    <n v="0"/>
    <n v="1667.4300971931382"/>
    <n v="1394.1394167644273"/>
    <n v="0.88662593237670562"/>
    <n v="98"/>
    <n v="88"/>
    <n v="0"/>
    <n v="10"/>
    <n v="1"/>
    <n v="0.34464050166324928"/>
    <n v="1"/>
    <n v="73.45"/>
    <n v="73.45"/>
    <n v="2.8699335575081419"/>
    <n v="1670.3000307506463"/>
    <n v="1"/>
    <n v="0"/>
    <n v="0"/>
    <n v="0"/>
    <n v="0"/>
    <n v="0"/>
    <n v="0"/>
    <n v="0"/>
    <n v="0"/>
    <n v="0"/>
  </r>
  <r>
    <d v="2024-06-22T00:00:00"/>
    <n v="2024"/>
    <x v="14"/>
    <s v="R"/>
    <s v="RS"/>
    <x v="9"/>
    <s v="WAS"/>
    <s v="A"/>
    <n v="1"/>
    <n v="2"/>
    <n v="-1"/>
    <n v="1"/>
    <n v="-8"/>
    <n v="8"/>
    <n v="1425.3629622155393"/>
    <n v="1389.1331855165706"/>
    <n v="0.40924414591454239"/>
    <n v="69"/>
    <n v="97"/>
    <n v="0"/>
    <n v="-28"/>
    <n v="0"/>
    <n v="0.65918780427800605"/>
    <n v="1"/>
    <n v="73.75"/>
    <n v="73.75"/>
    <n v="-19.895445309478841"/>
    <n v="1405.4675169060604"/>
    <n v="0"/>
    <n v="1"/>
    <n v="0"/>
    <n v="0"/>
    <n v="0"/>
    <n v="0"/>
    <n v="0"/>
    <n v="0"/>
    <n v="0"/>
    <n v="0"/>
  </r>
  <r>
    <d v="2024-06-22T00:00:00"/>
    <n v="2024"/>
    <x v="15"/>
    <s v="R"/>
    <s v="RS"/>
    <x v="7"/>
    <s v="DAL"/>
    <s v="H"/>
    <n v="2"/>
    <n v="1"/>
    <n v="1"/>
    <n v="-1"/>
    <n v="8"/>
    <n v="-8"/>
    <n v="1389.1331855165706"/>
    <n v="1425.3629622155393"/>
    <n v="0.59075585408545761"/>
    <n v="97"/>
    <n v="69"/>
    <n v="0"/>
    <n v="28"/>
    <n v="1"/>
    <n v="0.65918780427800605"/>
    <n v="1"/>
    <n v="73.599999999999994"/>
    <n v="73.599999999999994"/>
    <n v="19.854979996984984"/>
    <n v="1408.9881655135557"/>
    <n v="1"/>
    <n v="0"/>
    <n v="0"/>
    <n v="0"/>
    <n v="0"/>
    <n v="0"/>
    <n v="0"/>
    <n v="0"/>
    <n v="0"/>
    <n v="0"/>
  </r>
  <r>
    <d v="2024-06-23T00:00:00"/>
    <n v="2024"/>
    <x v="17"/>
    <s v="R"/>
    <s v="RS"/>
    <x v="6"/>
    <s v="ATL"/>
    <s v="A"/>
    <n v="0"/>
    <n v="1"/>
    <n v="-1"/>
    <n v="1"/>
    <n v="-8"/>
    <n v="8"/>
    <n v="1670.3000307506463"/>
    <n v="1421.5667661220425"/>
    <n v="0.7018614053005231"/>
    <n v="96"/>
    <n v="75"/>
    <n v="0"/>
    <n v="21"/>
    <n v="1"/>
    <n v="0.48752352456402592"/>
    <n v="1"/>
    <n v="73.3"/>
    <n v="73.3"/>
    <n v="10.654124103790123"/>
    <n v="1680.9541548544364"/>
    <n v="1"/>
    <n v="0"/>
    <n v="0"/>
    <n v="0"/>
    <n v="0"/>
    <n v="0"/>
    <n v="0"/>
    <n v="0"/>
    <n v="0"/>
    <n v="0"/>
  </r>
  <r>
    <d v="2024-06-23T00:00:00"/>
    <n v="2024"/>
    <x v="14"/>
    <s v="R"/>
    <s v="RS"/>
    <x v="10"/>
    <s v="NYL"/>
    <s v="H"/>
    <n v="1"/>
    <n v="0"/>
    <n v="1"/>
    <n v="-1"/>
    <n v="8"/>
    <n v="-8"/>
    <n v="1421.5667661220425"/>
    <n v="1670.3000307506463"/>
    <n v="0.29813859469947696"/>
    <n v="75"/>
    <n v="96"/>
    <n v="0"/>
    <n v="-21"/>
    <n v="0"/>
    <n v="0.48752352456402592"/>
    <n v="1"/>
    <n v="73.75"/>
    <n v="73.75"/>
    <n v="-10.719531414113527"/>
    <n v="1410.8472347079289"/>
    <n v="0"/>
    <n v="1"/>
    <n v="0"/>
    <n v="0"/>
    <n v="0"/>
    <n v="0"/>
    <n v="0"/>
    <n v="0"/>
    <n v="0"/>
    <n v="0"/>
  </r>
  <r>
    <d v="2024-06-23T00:00:00"/>
    <n v="2024"/>
    <x v="17"/>
    <s v="R"/>
    <s v="RS"/>
    <x v="0"/>
    <s v="CHI"/>
    <s v="A"/>
    <n v="1"/>
    <n v="2"/>
    <n v="-1"/>
    <n v="1"/>
    <n v="-8"/>
    <n v="8"/>
    <n v="1432.7626306838649"/>
    <n v="1454.2711184163052"/>
    <n v="0.33193216737696052"/>
    <n v="87"/>
    <n v="88"/>
    <n v="0"/>
    <n v="-1"/>
    <n v="0"/>
    <n v="0.23988012207945819"/>
    <n v="1"/>
    <n v="73.3"/>
    <n v="73.3"/>
    <n v="-5.8364339834211094"/>
    <n v="1426.9261967004438"/>
    <n v="0"/>
    <n v="1"/>
    <n v="0"/>
    <n v="0"/>
    <n v="0"/>
    <n v="0"/>
    <n v="0"/>
    <n v="0"/>
    <n v="0"/>
    <n v="0"/>
  </r>
  <r>
    <d v="2024-06-23T00:00:00"/>
    <n v="2024"/>
    <x v="14"/>
    <s v="R"/>
    <s v="RS"/>
    <x v="8"/>
    <s v="IND"/>
    <s v="H"/>
    <n v="2"/>
    <n v="1"/>
    <n v="1"/>
    <n v="-1"/>
    <n v="8"/>
    <n v="-8"/>
    <n v="1454.2711184163052"/>
    <n v="1432.7626306838649"/>
    <n v="0.66806783262303948"/>
    <n v="88"/>
    <n v="87"/>
    <n v="0"/>
    <n v="1"/>
    <n v="1"/>
    <n v="0.23988012207945819"/>
    <n v="1"/>
    <n v="73.75"/>
    <n v="73.75"/>
    <n v="5.8722647513957273"/>
    <n v="1460.1433831677009"/>
    <n v="1"/>
    <n v="0"/>
    <n v="0"/>
    <n v="0"/>
    <n v="0"/>
    <n v="0"/>
    <n v="0"/>
    <n v="0"/>
    <n v="0"/>
    <n v="0"/>
  </r>
  <r>
    <d v="2024-06-23T00:00:00"/>
    <n v="2024"/>
    <x v="15"/>
    <s v="R"/>
    <s v="RS"/>
    <x v="1"/>
    <s v="SEA"/>
    <s v="A"/>
    <n v="1"/>
    <n v="3"/>
    <n v="-2"/>
    <n v="2"/>
    <n v="-16"/>
    <n v="16"/>
    <n v="1629.7117150414524"/>
    <n v="1517.0858195436708"/>
    <n v="0.49514442594023772"/>
    <n v="61"/>
    <n v="72"/>
    <n v="0"/>
    <n v="-11"/>
    <n v="0"/>
    <n v="0.40209717492202995"/>
    <n v="1"/>
    <n v="73.599999999999994"/>
    <n v="73.599999999999994"/>
    <n v="-14.653478468883446"/>
    <n v="1615.0582365725691"/>
    <n v="0"/>
    <n v="1"/>
    <n v="0"/>
    <n v="0"/>
    <n v="0"/>
    <n v="0"/>
    <n v="0"/>
    <n v="0"/>
    <n v="0"/>
    <n v="0"/>
  </r>
  <r>
    <d v="2024-06-23T00:00:00"/>
    <n v="2024"/>
    <x v="15"/>
    <s v="R"/>
    <s v="RS"/>
    <x v="5"/>
    <s v="CON"/>
    <s v="H"/>
    <n v="3"/>
    <n v="1"/>
    <n v="2"/>
    <n v="-2"/>
    <n v="16"/>
    <n v="-16"/>
    <n v="1517.0858195436708"/>
    <n v="1629.7117150414524"/>
    <n v="0.50485557405976222"/>
    <n v="72"/>
    <n v="61"/>
    <n v="0"/>
    <n v="11"/>
    <n v="1"/>
    <n v="0.40209717492202995"/>
    <n v="1"/>
    <n v="73.599999999999994"/>
    <n v="73.599999999999994"/>
    <n v="14.653478468883447"/>
    <n v="1531.7392980125542"/>
    <n v="1"/>
    <n v="0"/>
    <n v="0"/>
    <n v="0"/>
    <n v="0"/>
    <n v="0"/>
    <n v="0"/>
    <n v="0"/>
    <n v="0"/>
    <n v="0"/>
  </r>
  <r>
    <d v="2024-06-23T00:00:00"/>
    <n v="2024"/>
    <x v="15"/>
    <s v="R"/>
    <s v="RS"/>
    <x v="9"/>
    <s v="WAS"/>
    <s v="A"/>
    <n v="0"/>
    <n v="0"/>
    <n v="0"/>
    <n v="0"/>
    <n v="0"/>
    <n v="0"/>
    <n v="1405.4675169060604"/>
    <n v="1408.9881655135557"/>
    <n v="0.37664587542437927"/>
    <n v="84"/>
    <n v="92"/>
    <n v="0"/>
    <n v="-8"/>
    <n v="0"/>
    <n v="0.38717959890655468"/>
    <n v="1"/>
    <n v="73.599999999999994"/>
    <n v="73.599999999999994"/>
    <n v="-10.733058484679182"/>
    <n v="1394.7344584213813"/>
    <n v="0"/>
    <n v="1"/>
    <n v="0"/>
    <n v="0"/>
    <n v="0"/>
    <n v="0"/>
    <n v="0"/>
    <n v="0"/>
    <n v="0"/>
    <n v="0"/>
  </r>
  <r>
    <d v="2024-06-23T00:00:00"/>
    <n v="2024"/>
    <x v="16"/>
    <s v="R"/>
    <s v="RS"/>
    <x v="7"/>
    <s v="DAL"/>
    <s v="H"/>
    <n v="0"/>
    <n v="0"/>
    <n v="0"/>
    <n v="0"/>
    <n v="0"/>
    <n v="0"/>
    <n v="1408.9881655135557"/>
    <n v="1405.4675169060604"/>
    <n v="0.62335412457562067"/>
    <n v="92"/>
    <n v="84"/>
    <n v="0"/>
    <n v="8"/>
    <n v="1"/>
    <n v="0.38717959890655468"/>
    <n v="1"/>
    <n v="73.45"/>
    <n v="73.45"/>
    <n v="10.711184044832692"/>
    <n v="1419.6993495583883"/>
    <n v="1"/>
    <n v="0"/>
    <n v="0"/>
    <n v="0"/>
    <n v="0"/>
    <n v="0"/>
    <n v="0"/>
    <n v="0"/>
    <n v="0"/>
    <n v="0"/>
  </r>
  <r>
    <d v="2024-06-25T00:00:00"/>
    <n v="2024"/>
    <x v="16"/>
    <s v="P"/>
    <n v="0.1"/>
    <x v="4"/>
    <s v="NYL"/>
    <s v="A"/>
    <n v="2"/>
    <n v="1"/>
    <n v="1"/>
    <n v="-1"/>
    <n v="8"/>
    <n v="-8"/>
    <n v="1614.3142042985376"/>
    <n v="1680.9541548544364"/>
    <n v="0.31538773439169598"/>
    <n v="94"/>
    <n v="89"/>
    <n v="0"/>
    <n v="5"/>
    <n v="1"/>
    <n v="0.31430176379544739"/>
    <n v="1"/>
    <n v="73.45"/>
    <n v="73.45"/>
    <n v="15.80459218872668"/>
    <n v="1630.1187964872643"/>
    <n v="0"/>
    <n v="0"/>
    <n v="0"/>
    <n v="0"/>
    <n v="0"/>
    <n v="0"/>
    <n v="0"/>
    <n v="0"/>
    <n v="0"/>
    <n v="0"/>
  </r>
  <r>
    <d v="2024-06-25T00:00:00"/>
    <n v="2024"/>
    <x v="18"/>
    <s v="P"/>
    <n v="0.1"/>
    <x v="6"/>
    <s v="MIN"/>
    <s v="H"/>
    <n v="1"/>
    <n v="2"/>
    <n v="-1"/>
    <n v="1"/>
    <n v="-8"/>
    <n v="8"/>
    <n v="1680.9541548544364"/>
    <n v="1614.3142042985376"/>
    <n v="0.68461226560830402"/>
    <n v="89"/>
    <n v="94"/>
    <n v="0"/>
    <n v="-5"/>
    <n v="0"/>
    <n v="0.31430176379544739"/>
    <n v="1"/>
    <n v="73.150000000000006"/>
    <n v="73.150000000000006"/>
    <n v="-15.740039735947676"/>
    <n v="1665.2141151184887"/>
    <n v="0"/>
    <n v="0"/>
    <n v="0"/>
    <n v="0"/>
    <n v="0"/>
    <n v="0"/>
    <n v="0"/>
    <n v="0"/>
    <n v="0"/>
    <n v="0"/>
  </r>
  <r>
    <d v="2024-06-27T00:00:00"/>
    <n v="2024"/>
    <x v="14"/>
    <s v="R"/>
    <s v="RS"/>
    <x v="3"/>
    <s v="CHI"/>
    <s v="A"/>
    <n v="5"/>
    <n v="3"/>
    <n v="2"/>
    <n v="-2"/>
    <n v="16"/>
    <n v="-16"/>
    <n v="1603.3816785919998"/>
    <n v="1460.1433831677009"/>
    <n v="0.62836519367551635"/>
    <n v="95"/>
    <n v="83"/>
    <n v="0"/>
    <n v="12"/>
    <n v="1"/>
    <n v="0.40748937366988303"/>
    <n v="1"/>
    <n v="73.75"/>
    <n v="73.75"/>
    <n v="11.168496041653045"/>
    <n v="1614.5501746336529"/>
    <n v="1"/>
    <n v="0"/>
    <n v="0"/>
    <n v="0"/>
    <n v="0"/>
    <n v="0"/>
    <n v="0"/>
    <n v="0"/>
    <n v="0"/>
    <n v="0"/>
  </r>
  <r>
    <d v="2024-06-27T00:00:00"/>
    <n v="2024"/>
    <x v="15"/>
    <s v="R"/>
    <s v="RS"/>
    <x v="8"/>
    <s v="LVA"/>
    <s v="H"/>
    <n v="3"/>
    <n v="5"/>
    <n v="-2"/>
    <n v="2"/>
    <n v="-16"/>
    <n v="16"/>
    <n v="1460.1433831677009"/>
    <n v="1603.3816785919998"/>
    <n v="0.37163480632448354"/>
    <n v="83"/>
    <n v="95"/>
    <n v="0"/>
    <n v="-12"/>
    <n v="0"/>
    <n v="0.40748937366988303"/>
    <n v="1"/>
    <n v="73.599999999999994"/>
    <n v="73.599999999999994"/>
    <n v="-11.145780456483577"/>
    <n v="1448.9976027112173"/>
    <n v="0"/>
    <n v="1"/>
    <n v="0"/>
    <n v="0"/>
    <n v="0"/>
    <n v="0"/>
    <n v="0"/>
    <n v="0"/>
    <n v="0"/>
    <n v="0"/>
  </r>
  <r>
    <d v="2024-06-27T00:00:00"/>
    <n v="2024"/>
    <x v="17"/>
    <s v="R"/>
    <s v="RS"/>
    <x v="4"/>
    <s v="DAL"/>
    <s v="A"/>
    <n v="1"/>
    <n v="3"/>
    <n v="-2"/>
    <n v="2"/>
    <n v="-16"/>
    <n v="16"/>
    <n v="1630.1187964872643"/>
    <n v="1394.7344584213813"/>
    <n v="0.6653507758507119"/>
    <n v="88"/>
    <n v="94"/>
    <n v="0"/>
    <n v="-6"/>
    <n v="0"/>
    <n v="0.29367529109115986"/>
    <n v="1"/>
    <n v="73.3"/>
    <n v="73.3"/>
    <n v="-14.322606167457849"/>
    <n v="1615.7961903198063"/>
    <n v="0"/>
    <n v="1"/>
    <n v="0"/>
    <n v="0"/>
    <n v="0"/>
    <n v="0"/>
    <n v="0"/>
    <n v="0"/>
    <n v="0"/>
    <n v="0"/>
  </r>
  <r>
    <d v="2024-06-27T00:00:00"/>
    <n v="2024"/>
    <x v="16"/>
    <s v="R"/>
    <s v="RS"/>
    <x v="9"/>
    <s v="MIN"/>
    <s v="H"/>
    <n v="3"/>
    <n v="1"/>
    <n v="2"/>
    <n v="-2"/>
    <n v="16"/>
    <n v="-16"/>
    <n v="1394.7344584213813"/>
    <n v="1630.1187964872643"/>
    <n v="0.3346492241492881"/>
    <n v="94"/>
    <n v="88"/>
    <n v="0"/>
    <n v="6"/>
    <n v="1"/>
    <n v="0.29367529109115986"/>
    <n v="1"/>
    <n v="73.45"/>
    <n v="73.45"/>
    <n v="14.351915729874202"/>
    <n v="1409.0863741512555"/>
    <n v="1"/>
    <n v="0"/>
    <n v="0"/>
    <n v="0"/>
    <n v="0"/>
    <n v="0"/>
    <n v="0"/>
    <n v="0"/>
    <n v="0"/>
    <n v="0"/>
  </r>
  <r>
    <d v="2024-06-27T00:00:00"/>
    <n v="2024"/>
    <x v="18"/>
    <s v="R"/>
    <s v="RS"/>
    <x v="0"/>
    <s v="SEA"/>
    <s v="A"/>
    <n v="3"/>
    <n v="3"/>
    <n v="0"/>
    <n v="0"/>
    <n v="0"/>
    <n v="0"/>
    <n v="1426.9261967004438"/>
    <n v="1531.7392980125542"/>
    <n v="0.25220331135013907"/>
    <n v="77"/>
    <n v="89"/>
    <n v="0"/>
    <n v="-12"/>
    <n v="0"/>
    <n v="0.41948945112632025"/>
    <n v="1"/>
    <n v="73.150000000000006"/>
    <n v="73.150000000000006"/>
    <n v="-7.7390233857848276"/>
    <n v="1419.187173314659"/>
    <n v="0"/>
    <n v="1"/>
    <n v="0"/>
    <n v="0"/>
    <n v="0"/>
    <n v="0"/>
    <n v="0"/>
    <n v="0"/>
    <n v="0"/>
    <n v="0"/>
  </r>
  <r>
    <d v="2024-06-27T00:00:00"/>
    <n v="2024"/>
    <x v="16"/>
    <s v="R"/>
    <s v="RS"/>
    <x v="5"/>
    <s v="IND"/>
    <s v="H"/>
    <n v="3"/>
    <n v="3"/>
    <n v="0"/>
    <n v="0"/>
    <n v="0"/>
    <n v="0"/>
    <n v="1531.7392980125542"/>
    <n v="1426.9261967004438"/>
    <n v="0.74779668864986093"/>
    <n v="89"/>
    <n v="77"/>
    <n v="0"/>
    <n v="12"/>
    <n v="1"/>
    <n v="0.41948945112632025"/>
    <n v="1"/>
    <n v="73.45"/>
    <n v="73.45"/>
    <n v="7.7707623743799807"/>
    <n v="1539.5100603869341"/>
    <n v="1"/>
    <n v="0"/>
    <n v="0"/>
    <n v="0"/>
    <n v="0"/>
    <n v="0"/>
    <n v="0"/>
    <n v="0"/>
    <n v="0"/>
    <n v="0"/>
  </r>
  <r>
    <d v="2024-06-27T00:00:00"/>
    <n v="2024"/>
    <x v="16"/>
    <s v="R"/>
    <s v="RS"/>
    <x v="1"/>
    <s v="WAS"/>
    <s v="A"/>
    <n v="3"/>
    <n v="3"/>
    <n v="0"/>
    <n v="0"/>
    <n v="0"/>
    <n v="0"/>
    <n v="1615.0582365725691"/>
    <n v="1419.6993495583883"/>
    <n v="0.65498699828232609"/>
    <n v="94"/>
    <n v="91"/>
    <n v="1"/>
    <n v="3"/>
    <n v="1"/>
    <n v="0.22460042767722715"/>
    <n v="1"/>
    <n v="73.45"/>
    <n v="73.45"/>
    <n v="5.6916454755025203"/>
    <n v="1620.7498820480716"/>
    <n v="1"/>
    <n v="0"/>
    <n v="0"/>
    <n v="0"/>
    <n v="0"/>
    <n v="0"/>
    <n v="0"/>
    <n v="0"/>
    <n v="0"/>
    <n v="0"/>
  </r>
  <r>
    <d v="2024-06-27T00:00:00"/>
    <n v="2024"/>
    <x v="17"/>
    <s v="R"/>
    <s v="RS"/>
    <x v="7"/>
    <s v="CON"/>
    <s v="H"/>
    <n v="3"/>
    <n v="3"/>
    <n v="0"/>
    <n v="0"/>
    <n v="0"/>
    <n v="0"/>
    <n v="1419.6993495583883"/>
    <n v="1615.0582365725691"/>
    <n v="0.34501300171767385"/>
    <n v="91"/>
    <n v="94"/>
    <n v="1"/>
    <n v="-3"/>
    <n v="0"/>
    <n v="0.22460042767722715"/>
    <n v="1"/>
    <n v="73.3"/>
    <n v="73.3"/>
    <n v="-5.6800219653415196"/>
    <n v="1414.0193275930469"/>
    <n v="0"/>
    <n v="1"/>
    <n v="0"/>
    <n v="0"/>
    <n v="0"/>
    <n v="0"/>
    <n v="0"/>
    <n v="0"/>
    <n v="0"/>
    <n v="0"/>
  </r>
  <r>
    <d v="2024-06-28T00:00:00"/>
    <n v="2024"/>
    <x v="15"/>
    <s v="R"/>
    <s v="RS"/>
    <x v="10"/>
    <s v="CON"/>
    <s v="A"/>
    <n v="4"/>
    <n v="0"/>
    <n v="4"/>
    <n v="-4"/>
    <n v="16"/>
    <n v="-16"/>
    <n v="1410.8472347079289"/>
    <n v="1620.7498820480716"/>
    <n v="0.1812898727710201"/>
    <n v="78"/>
    <n v="74"/>
    <n v="0"/>
    <n v="4"/>
    <n v="1"/>
    <n v="0.2650674375210918"/>
    <n v="1"/>
    <n v="73.599999999999994"/>
    <n v="73.599999999999994"/>
    <n v="15.972185908590438"/>
    <n v="1426.8194206165194"/>
    <n v="1"/>
    <n v="0"/>
    <n v="0"/>
    <n v="0"/>
    <n v="0"/>
    <n v="0"/>
    <n v="0"/>
    <n v="0"/>
    <n v="0"/>
    <n v="0"/>
  </r>
  <r>
    <d v="2024-06-28T00:00:00"/>
    <n v="2024"/>
    <x v="17"/>
    <s v="R"/>
    <s v="RS"/>
    <x v="1"/>
    <s v="ATL"/>
    <s v="H"/>
    <n v="0"/>
    <n v="4"/>
    <n v="-4"/>
    <n v="4"/>
    <n v="-16"/>
    <n v="16"/>
    <n v="1620.7498820480716"/>
    <n v="1410.8472347079289"/>
    <n v="0.81871012722897996"/>
    <n v="74"/>
    <n v="78"/>
    <n v="0"/>
    <n v="-4"/>
    <n v="0"/>
    <n v="0.2650674375210918"/>
    <n v="1"/>
    <n v="73.3"/>
    <n v="73.3"/>
    <n v="-15.907081889941297"/>
    <n v="1604.8428001581303"/>
    <n v="0"/>
    <n v="1"/>
    <n v="0"/>
    <n v="0"/>
    <n v="0"/>
    <n v="0"/>
    <n v="0"/>
    <n v="0"/>
    <n v="0"/>
    <n v="0"/>
  </r>
  <r>
    <d v="2024-06-28T00:00:00"/>
    <n v="2024"/>
    <x v="17"/>
    <s v="R"/>
    <s v="RS"/>
    <x v="11"/>
    <s v="PHX"/>
    <s v="A"/>
    <n v="5"/>
    <n v="5"/>
    <n v="0"/>
    <n v="0"/>
    <n v="0"/>
    <n v="0"/>
    <n v="1391.2694832069192"/>
    <n v="1450.2092644475588"/>
    <n v="0.30516378494610841"/>
    <n v="78"/>
    <n v="92"/>
    <n v="0"/>
    <n v="-14"/>
    <n v="0"/>
    <n v="0.46477975591834686"/>
    <n v="1"/>
    <n v="73.3"/>
    <n v="73.3"/>
    <n v="-10.396428497057807"/>
    <n v="1380.8730547098614"/>
    <n v="0"/>
    <n v="1"/>
    <n v="0"/>
    <n v="0"/>
    <n v="0"/>
    <n v="0"/>
    <n v="0"/>
    <n v="0"/>
    <n v="0"/>
    <n v="0"/>
  </r>
  <r>
    <d v="2024-06-28T00:00:00"/>
    <n v="2024"/>
    <x v="16"/>
    <s v="R"/>
    <s v="RS"/>
    <x v="2"/>
    <s v="LAS"/>
    <s v="H"/>
    <n v="5"/>
    <n v="5"/>
    <n v="0"/>
    <n v="0"/>
    <n v="0"/>
    <n v="0"/>
    <n v="1450.2092644475588"/>
    <n v="1391.2694832069192"/>
    <n v="0.69483621505389159"/>
    <n v="92"/>
    <n v="78"/>
    <n v="0"/>
    <n v="14"/>
    <n v="1"/>
    <n v="0.46477975591834686"/>
    <n v="1"/>
    <n v="73.45"/>
    <n v="73.45"/>
    <n v="10.417703589480162"/>
    <n v="1460.626968037039"/>
    <n v="1"/>
    <n v="0"/>
    <n v="0"/>
    <n v="0"/>
    <n v="0"/>
    <n v="0"/>
    <n v="0"/>
    <n v="0"/>
    <n v="0"/>
    <n v="0"/>
  </r>
  <r>
    <d v="2024-06-29T00:00:00"/>
    <n v="2024"/>
    <x v="17"/>
    <s v="R"/>
    <s v="RS"/>
    <x v="9"/>
    <s v="SEA"/>
    <s v="A"/>
    <n v="1"/>
    <n v="1"/>
    <n v="0"/>
    <n v="0"/>
    <n v="0"/>
    <n v="0"/>
    <n v="1409.0863741512555"/>
    <n v="1539.5100603869341"/>
    <n v="0.22542587717767706"/>
    <n v="76"/>
    <n v="97"/>
    <n v="0"/>
    <n v="-21"/>
    <n v="0"/>
    <n v="0.53087715938317126"/>
    <n v="1"/>
    <n v="73.3"/>
    <n v="73.3"/>
    <n v="-8.7720638357090372"/>
    <n v="1400.3143103155464"/>
    <n v="0"/>
    <n v="1"/>
    <n v="0"/>
    <n v="0"/>
    <n v="0"/>
    <n v="0"/>
    <n v="0"/>
    <n v="0"/>
    <n v="0"/>
    <n v="0"/>
  </r>
  <r>
    <d v="2024-06-29T00:00:00"/>
    <n v="2024"/>
    <x v="17"/>
    <s v="R"/>
    <s v="RS"/>
    <x v="5"/>
    <s v="DAL"/>
    <s v="H"/>
    <n v="1"/>
    <n v="1"/>
    <n v="0"/>
    <n v="0"/>
    <n v="0"/>
    <n v="0"/>
    <n v="1539.5100603869341"/>
    <n v="1409.0863741512555"/>
    <n v="0.77457412282232296"/>
    <n v="97"/>
    <n v="76"/>
    <n v="0"/>
    <n v="21"/>
    <n v="1"/>
    <n v="0.53087715938317126"/>
    <n v="1"/>
    <n v="73.3"/>
    <n v="73.3"/>
    <n v="8.7720638357090355"/>
    <n v="1548.2821242226432"/>
    <n v="1"/>
    <n v="0"/>
    <n v="0"/>
    <n v="0"/>
    <n v="0"/>
    <n v="0"/>
    <n v="0"/>
    <n v="0"/>
    <n v="0"/>
    <n v="0"/>
  </r>
  <r>
    <d v="2024-06-29T00:00:00"/>
    <n v="2024"/>
    <x v="15"/>
    <s v="R"/>
    <s v="RS"/>
    <x v="3"/>
    <s v="WAS"/>
    <s v="A"/>
    <n v="1"/>
    <n v="1"/>
    <n v="0"/>
    <n v="0"/>
    <n v="0"/>
    <n v="0"/>
    <n v="1614.5501746336529"/>
    <n v="1414.0193275930469"/>
    <n v="0.66168349577220875"/>
    <n v="88"/>
    <n v="77"/>
    <n v="0"/>
    <n v="11"/>
    <n v="1"/>
    <n v="0.37685936402217274"/>
    <n v="1"/>
    <n v="73.599999999999994"/>
    <n v="73.599999999999994"/>
    <n v="9.3838338569416724"/>
    <n v="1623.9340084905946"/>
    <n v="1"/>
    <n v="0"/>
    <n v="0"/>
    <n v="0"/>
    <n v="0"/>
    <n v="0"/>
    <n v="0"/>
    <n v="0"/>
    <n v="0"/>
    <n v="0"/>
  </r>
  <r>
    <d v="2024-06-29T00:00:00"/>
    <n v="2024"/>
    <x v="18"/>
    <s v="R"/>
    <s v="RS"/>
    <x v="7"/>
    <s v="LVA"/>
    <s v="H"/>
    <n v="1"/>
    <n v="1"/>
    <n v="0"/>
    <n v="0"/>
    <n v="0"/>
    <n v="0"/>
    <n v="1414.0193275930469"/>
    <n v="1614.5501746336529"/>
    <n v="0.33831650422779114"/>
    <n v="77"/>
    <n v="88"/>
    <n v="0"/>
    <n v="-11"/>
    <n v="0"/>
    <n v="0.37685936402217274"/>
    <n v="1"/>
    <n v="73.150000000000006"/>
    <n v="73.150000000000006"/>
    <n v="-9.3264598727619994"/>
    <n v="1404.692867720285"/>
    <n v="0"/>
    <n v="1"/>
    <n v="0"/>
    <n v="0"/>
    <n v="0"/>
    <n v="0"/>
    <n v="0"/>
    <n v="0"/>
    <n v="0"/>
    <n v="0"/>
  </r>
  <r>
    <d v="2024-06-30T00:00:00"/>
    <n v="2024"/>
    <x v="18"/>
    <s v="R"/>
    <s v="RS"/>
    <x v="4"/>
    <s v="CHI"/>
    <s v="A"/>
    <n v="2"/>
    <n v="2"/>
    <n v="0"/>
    <n v="0"/>
    <n v="0"/>
    <n v="0"/>
    <n v="1615.7961903198063"/>
    <n v="1448.9976027112173"/>
    <n v="0.61695107042061781"/>
    <n v="70"/>
    <n v="62"/>
    <n v="0"/>
    <n v="8"/>
    <n v="1"/>
    <n v="0.34092707310950865"/>
    <n v="1"/>
    <n v="73.150000000000006"/>
    <n v="73.150000000000006"/>
    <n v="9.5527865431666061"/>
    <n v="1625.3489768629729"/>
    <n v="1"/>
    <n v="0"/>
    <n v="0"/>
    <n v="0"/>
    <n v="0"/>
    <n v="0"/>
    <n v="0"/>
    <n v="0"/>
    <n v="0"/>
    <n v="0"/>
  </r>
  <r>
    <d v="2024-06-30T00:00:00"/>
    <n v="2024"/>
    <x v="16"/>
    <s v="R"/>
    <s v="RS"/>
    <x v="8"/>
    <s v="MIN"/>
    <s v="H"/>
    <n v="2"/>
    <n v="2"/>
    <n v="0"/>
    <n v="0"/>
    <n v="0"/>
    <n v="0"/>
    <n v="1448.9976027112173"/>
    <n v="1615.7961903198063"/>
    <n v="0.38304892957938202"/>
    <n v="62"/>
    <n v="70"/>
    <n v="0"/>
    <n v="-8"/>
    <n v="0"/>
    <n v="0.34092707310950865"/>
    <n v="1"/>
    <n v="73.45"/>
    <n v="73.45"/>
    <n v="-9.5919640682923717"/>
    <n v="1439.4056386429249"/>
    <n v="0"/>
    <n v="1"/>
    <n v="0"/>
    <n v="0"/>
    <n v="0"/>
    <n v="0"/>
    <n v="0"/>
    <n v="0"/>
    <n v="0"/>
    <n v="0"/>
  </r>
  <r>
    <d v="2024-06-30T00:00:00"/>
    <n v="2024"/>
    <x v="16"/>
    <s v="R"/>
    <s v="RS"/>
    <x v="10"/>
    <s v="NYL"/>
    <s v="A"/>
    <n v="1"/>
    <n v="4"/>
    <n v="-3"/>
    <n v="3"/>
    <n v="-16"/>
    <n v="16"/>
    <n v="1426.8194206165194"/>
    <n v="1665.2141151184887"/>
    <n v="0.11506063772533465"/>
    <n v="75"/>
    <n v="81"/>
    <n v="0"/>
    <n v="-6"/>
    <n v="0"/>
    <n v="0.29306067028781918"/>
    <n v="1"/>
    <n v="73.45"/>
    <n v="73.45"/>
    <n v="-2.4767154623607155"/>
    <n v="1424.3427051541587"/>
    <n v="0"/>
    <n v="1"/>
    <n v="0"/>
    <n v="0"/>
    <n v="0"/>
    <n v="0"/>
    <n v="0"/>
    <n v="0"/>
    <n v="0"/>
    <n v="0"/>
  </r>
  <r>
    <d v="2024-06-30T00:00:00"/>
    <n v="2024"/>
    <x v="19"/>
    <s v="R"/>
    <s v="RS"/>
    <x v="6"/>
    <s v="ATL"/>
    <s v="H"/>
    <n v="4"/>
    <n v="1"/>
    <n v="3"/>
    <n v="-3"/>
    <n v="16"/>
    <n v="-16"/>
    <n v="1665.2141151184887"/>
    <n v="1426.8194206165194"/>
    <n v="0.8849393622746653"/>
    <n v="81"/>
    <n v="75"/>
    <n v="0"/>
    <n v="6"/>
    <n v="1"/>
    <n v="0.29306067028781918"/>
    <n v="1"/>
    <n v="73"/>
    <n v="73"/>
    <n v="2.4615415759337278"/>
    <n v="1667.6756566944225"/>
    <n v="1"/>
    <n v="0"/>
    <n v="0"/>
    <n v="0"/>
    <n v="0"/>
    <n v="0"/>
    <n v="0"/>
    <n v="0"/>
    <n v="0"/>
    <n v="0"/>
  </r>
  <r>
    <d v="2024-06-30T00:00:00"/>
    <n v="2024"/>
    <x v="19"/>
    <s v="R"/>
    <s v="RS"/>
    <x v="0"/>
    <s v="PHX"/>
    <s v="A"/>
    <n v="2"/>
    <n v="1"/>
    <n v="1"/>
    <n v="-1"/>
    <n v="8"/>
    <n v="-8"/>
    <n v="1419.187173314659"/>
    <n v="1460.626968037039"/>
    <n v="0.34751368964884088"/>
    <n v="88"/>
    <n v="82"/>
    <n v="0"/>
    <n v="6"/>
    <n v="1"/>
    <n v="0.33955485807787983"/>
    <n v="1"/>
    <n v="73"/>
    <n v="73"/>
    <n v="16.173507445160453"/>
    <n v="1435.3606807598194"/>
    <n v="1"/>
    <n v="0"/>
    <n v="0"/>
    <n v="0"/>
    <n v="0"/>
    <n v="0"/>
    <n v="0"/>
    <n v="0"/>
    <n v="0"/>
    <n v="0"/>
  </r>
  <r>
    <d v="2024-06-30T00:00:00"/>
    <n v="2024"/>
    <x v="17"/>
    <s v="R"/>
    <s v="RS"/>
    <x v="2"/>
    <s v="IND"/>
    <s v="H"/>
    <n v="1"/>
    <n v="2"/>
    <n v="-1"/>
    <n v="1"/>
    <n v="-8"/>
    <n v="8"/>
    <n v="1460.626968037039"/>
    <n v="1419.187173314659"/>
    <n v="0.65248631035115912"/>
    <n v="82"/>
    <n v="88"/>
    <n v="0"/>
    <n v="-6"/>
    <n v="0"/>
    <n v="0.33955485807787983"/>
    <n v="1"/>
    <n v="73.3"/>
    <n v="73.3"/>
    <n v="-16.239973914113165"/>
    <n v="1444.3869941229259"/>
    <n v="0"/>
    <n v="1"/>
    <n v="0"/>
    <n v="0"/>
    <n v="0"/>
    <n v="0"/>
    <n v="0"/>
    <n v="0"/>
    <n v="0"/>
    <n v="0"/>
  </r>
  <r>
    <d v="2024-07-01T00:00:00"/>
    <n v="2024"/>
    <x v="18"/>
    <s v="R"/>
    <s v="RS"/>
    <x v="1"/>
    <s v="PHX"/>
    <s v="A"/>
    <n v="2"/>
    <n v="0"/>
    <n v="2"/>
    <n v="-2"/>
    <n v="16"/>
    <n v="-16"/>
    <n v="1604.8428001581303"/>
    <n v="1444.3869941229259"/>
    <n v="0.65120083653035876"/>
    <n v="83"/>
    <n v="72"/>
    <n v="0"/>
    <n v="11"/>
    <n v="1"/>
    <n v="0.38796053643766781"/>
    <n v="1"/>
    <n v="73.150000000000006"/>
    <n v="73.150000000000006"/>
    <n v="9.898680718099806"/>
    <n v="1614.7414808762301"/>
    <n v="1"/>
    <n v="0"/>
    <n v="0"/>
    <n v="0"/>
    <n v="0"/>
    <n v="0"/>
    <n v="0"/>
    <n v="0"/>
    <n v="0"/>
    <n v="0"/>
  </r>
  <r>
    <d v="2024-07-01T00:00:00"/>
    <n v="2024"/>
    <x v="18"/>
    <s v="R"/>
    <s v="RS"/>
    <x v="2"/>
    <s v="CON"/>
    <s v="H"/>
    <n v="0"/>
    <n v="2"/>
    <n v="-2"/>
    <n v="2"/>
    <n v="-16"/>
    <n v="16"/>
    <n v="1444.3869941229259"/>
    <n v="1604.8428001581303"/>
    <n v="0.34879916346964124"/>
    <n v="72"/>
    <n v="83"/>
    <n v="0"/>
    <n v="-11"/>
    <n v="0"/>
    <n v="0.38796053643766781"/>
    <n v="1"/>
    <n v="73.150000000000006"/>
    <n v="73.150000000000006"/>
    <n v="-9.898680718099806"/>
    <n v="1434.4883134048262"/>
    <n v="0"/>
    <n v="1"/>
    <n v="0"/>
    <n v="0"/>
    <n v="0"/>
    <n v="0"/>
    <n v="0"/>
    <n v="0"/>
    <n v="0"/>
    <n v="0"/>
  </r>
  <r>
    <d v="2024-07-01T00:00:00"/>
    <n v="2024"/>
    <x v="18"/>
    <s v="R"/>
    <s v="RS"/>
    <x v="9"/>
    <s v="SEA"/>
    <s v="A"/>
    <n v="1"/>
    <n v="1"/>
    <n v="0"/>
    <n v="0"/>
    <n v="0"/>
    <n v="0"/>
    <n v="1400.3143103155464"/>
    <n v="1548.2821242226432"/>
    <n v="0.20828171327173706"/>
    <n v="71"/>
    <n v="95"/>
    <n v="0"/>
    <n v="-24"/>
    <n v="0"/>
    <n v="0.55944742119023516"/>
    <n v="1"/>
    <n v="73.150000000000006"/>
    <n v="73.150000000000006"/>
    <n v="-8.5236331181855256"/>
    <n v="1391.790677197361"/>
    <n v="0"/>
    <n v="1"/>
    <n v="0"/>
    <n v="0"/>
    <n v="0"/>
    <n v="0"/>
    <n v="0"/>
    <n v="0"/>
    <n v="0"/>
    <n v="0"/>
  </r>
  <r>
    <d v="2024-07-01T00:00:00"/>
    <n v="2024"/>
    <x v="18"/>
    <s v="R"/>
    <s v="RS"/>
    <x v="5"/>
    <s v="DAL"/>
    <s v="H"/>
    <n v="1"/>
    <n v="1"/>
    <n v="0"/>
    <n v="0"/>
    <n v="0"/>
    <n v="0"/>
    <n v="1548.2821242226432"/>
    <n v="1400.3143103155464"/>
    <n v="0.79171828672826294"/>
    <n v="95"/>
    <n v="71"/>
    <n v="0"/>
    <n v="24"/>
    <n v="1"/>
    <n v="0.55944742119023516"/>
    <n v="1"/>
    <n v="73.150000000000006"/>
    <n v="73.150000000000006"/>
    <n v="8.5236331181855256"/>
    <n v="1556.8057573408287"/>
    <n v="1"/>
    <n v="0"/>
    <n v="0"/>
    <n v="0"/>
    <n v="0"/>
    <n v="0"/>
    <n v="0"/>
    <n v="0"/>
    <n v="0"/>
    <n v="0"/>
  </r>
  <r>
    <d v="2024-07-02T00:00:00"/>
    <n v="2024"/>
    <x v="17"/>
    <s v="R"/>
    <s v="RS"/>
    <x v="8"/>
    <s v="ATL"/>
    <s v="A"/>
    <n v="1"/>
    <n v="1"/>
    <n v="0"/>
    <n v="0"/>
    <n v="0"/>
    <n v="0"/>
    <n v="1439.4056386429249"/>
    <n v="1424.3427051541587"/>
    <n v="0.40207332563308212"/>
    <n v="85"/>
    <n v="77"/>
    <n v="0"/>
    <n v="8"/>
    <n v="1"/>
    <n v="0.38350165177507223"/>
    <n v="1"/>
    <n v="73.3"/>
    <n v="73.3"/>
    <n v="16.808120070164502"/>
    <n v="1456.2137587130894"/>
    <n v="1"/>
    <n v="0"/>
    <n v="0"/>
    <n v="0"/>
    <n v="0"/>
    <n v="0"/>
    <n v="0"/>
    <n v="0"/>
    <n v="0"/>
    <n v="0"/>
  </r>
  <r>
    <d v="2024-07-02T00:00:00"/>
    <n v="2024"/>
    <x v="17"/>
    <s v="R"/>
    <s v="RS"/>
    <x v="10"/>
    <s v="CHI"/>
    <s v="H"/>
    <n v="1"/>
    <n v="1"/>
    <n v="0"/>
    <n v="0"/>
    <n v="0"/>
    <n v="0"/>
    <n v="1424.3427051541587"/>
    <n v="1439.4056386429249"/>
    <n v="0.59792667436691782"/>
    <n v="77"/>
    <n v="85"/>
    <n v="0"/>
    <n v="-8"/>
    <n v="0"/>
    <n v="0.38350165177507223"/>
    <n v="1"/>
    <n v="73.3"/>
    <n v="73.3"/>
    <n v="-16.808120070164502"/>
    <n v="1407.5345850839942"/>
    <n v="0"/>
    <n v="1"/>
    <n v="0"/>
    <n v="0"/>
    <n v="0"/>
    <n v="0"/>
    <n v="0"/>
    <n v="0"/>
    <n v="0"/>
    <n v="0"/>
  </r>
  <r>
    <d v="2024-07-02T00:00:00"/>
    <n v="2024"/>
    <x v="19"/>
    <s v="R"/>
    <s v="RS"/>
    <x v="7"/>
    <s v="LAS"/>
    <s v="A"/>
    <n v="2"/>
    <n v="3"/>
    <n v="-1"/>
    <n v="1"/>
    <n v="-8"/>
    <n v="8"/>
    <n v="1404.692867720285"/>
    <n v="1380.8730547098614"/>
    <n v="0.39209167613076346"/>
    <n v="82"/>
    <n v="80"/>
    <n v="0"/>
    <n v="2"/>
    <n v="1"/>
    <n v="0.26262819212003258"/>
    <n v="1"/>
    <n v="73"/>
    <n v="73"/>
    <n v="11.65473207729227"/>
    <n v="1416.3475997975772"/>
    <n v="1"/>
    <n v="0"/>
    <n v="0"/>
    <n v="0"/>
    <n v="0"/>
    <n v="0"/>
    <n v="0"/>
    <n v="0"/>
    <n v="0"/>
    <n v="0"/>
  </r>
  <r>
    <d v="2024-07-02T00:00:00"/>
    <n v="2024"/>
    <x v="18"/>
    <s v="R"/>
    <s v="RS"/>
    <x v="11"/>
    <s v="WAS"/>
    <s v="H"/>
    <n v="3"/>
    <n v="2"/>
    <n v="1"/>
    <n v="-1"/>
    <n v="8"/>
    <n v="-8"/>
    <n v="1380.8730547098614"/>
    <n v="1404.692867720285"/>
    <n v="0.60790832386923654"/>
    <n v="80"/>
    <n v="82"/>
    <n v="0"/>
    <n v="-2"/>
    <n v="0"/>
    <n v="0.26262819212003258"/>
    <n v="1"/>
    <n v="73.150000000000006"/>
    <n v="73.150000000000006"/>
    <n v="-11.678680156903145"/>
    <n v="1369.1943745529584"/>
    <n v="0"/>
    <n v="1"/>
    <n v="0"/>
    <n v="0"/>
    <n v="0"/>
    <n v="0"/>
    <n v="0"/>
    <n v="0"/>
    <n v="0"/>
    <n v="0"/>
  </r>
  <r>
    <d v="2024-07-02T00:00:00"/>
    <n v="2024"/>
    <x v="20"/>
    <s v="R"/>
    <s v="RS"/>
    <x v="0"/>
    <s v="LVA"/>
    <s v="A"/>
    <n v="1"/>
    <n v="2"/>
    <n v="-1"/>
    <n v="1"/>
    <n v="-8"/>
    <n v="8"/>
    <n v="1435.3606807598194"/>
    <n v="1623.9340084905946"/>
    <n v="0.15960612669066199"/>
    <n v="69"/>
    <n v="88"/>
    <n v="0"/>
    <n v="-19"/>
    <n v="0"/>
    <n v="0.48479477016012401"/>
    <n v="1"/>
    <n v="72.849999999999994"/>
    <n v="72.849999999999994"/>
    <n v="-5.6368572995499662"/>
    <n v="1429.7238234602694"/>
    <n v="0"/>
    <n v="1"/>
    <n v="0"/>
    <n v="0"/>
    <n v="0"/>
    <n v="0"/>
    <n v="0"/>
    <n v="0"/>
    <n v="0"/>
    <n v="0"/>
  </r>
  <r>
    <d v="2024-07-02T00:00:00"/>
    <n v="2024"/>
    <x v="16"/>
    <s v="R"/>
    <s v="RS"/>
    <x v="3"/>
    <s v="IND"/>
    <s v="H"/>
    <n v="2"/>
    <n v="1"/>
    <n v="1"/>
    <n v="-1"/>
    <n v="8"/>
    <n v="-8"/>
    <n v="1623.9340084905946"/>
    <n v="1435.3606807598194"/>
    <n v="0.8403938733093379"/>
    <n v="88"/>
    <n v="69"/>
    <n v="0"/>
    <n v="19"/>
    <n v="1"/>
    <n v="0.48479477016012401"/>
    <n v="1"/>
    <n v="73.45"/>
    <n v="73.45"/>
    <n v="5.6832830288530589"/>
    <n v="1629.6172915194477"/>
    <n v="1"/>
    <n v="0"/>
    <n v="0"/>
    <n v="0"/>
    <n v="0"/>
    <n v="0"/>
    <n v="0"/>
    <n v="0"/>
    <n v="0"/>
    <n v="0"/>
  </r>
  <r>
    <d v="2024-07-02T00:00:00"/>
    <n v="2024"/>
    <x v="19"/>
    <s v="R"/>
    <s v="RS"/>
    <x v="4"/>
    <s v="NYL"/>
    <s v="A"/>
    <n v="1"/>
    <n v="1"/>
    <n v="0"/>
    <n v="0"/>
    <n v="0"/>
    <n v="0"/>
    <n v="1625.3489768629729"/>
    <n v="1667.6756566944225"/>
    <n v="0.32581060545499846"/>
    <n v="67"/>
    <n v="76"/>
    <n v="0"/>
    <n v="-9"/>
    <n v="0"/>
    <n v="0.3921398779287158"/>
    <n v="1"/>
    <n v="73"/>
    <n v="73"/>
    <n v="-9.3267231667232977"/>
    <n v="1616.0222536962497"/>
    <n v="0"/>
    <n v="1"/>
    <n v="0"/>
    <n v="0"/>
    <n v="0"/>
    <n v="0"/>
    <n v="0"/>
    <n v="0"/>
    <n v="0"/>
    <n v="0"/>
  </r>
  <r>
    <d v="2024-07-02T00:00:00"/>
    <n v="2024"/>
    <x v="20"/>
    <s v="R"/>
    <s v="RS"/>
    <x v="6"/>
    <s v="MIN"/>
    <s v="H"/>
    <n v="1"/>
    <n v="1"/>
    <n v="0"/>
    <n v="0"/>
    <n v="0"/>
    <n v="0"/>
    <n v="1667.6756566944225"/>
    <n v="1625.3489768629729"/>
    <n v="0.6741893945450016"/>
    <n v="76"/>
    <n v="67"/>
    <n v="0"/>
    <n v="9"/>
    <n v="1"/>
    <n v="0.3921398779287158"/>
    <n v="1"/>
    <n v="72.849999999999994"/>
    <n v="72.849999999999994"/>
    <n v="9.3075586670656456"/>
    <n v="1676.9832153614882"/>
    <n v="1"/>
    <n v="0"/>
    <n v="0"/>
    <n v="0"/>
    <n v="0"/>
    <n v="0"/>
    <n v="0"/>
    <n v="0"/>
    <n v="0"/>
    <n v="0"/>
  </r>
  <r>
    <d v="2024-07-03T00:00:00"/>
    <n v="2024"/>
    <x v="19"/>
    <s v="R"/>
    <s v="RS"/>
    <x v="2"/>
    <s v="DAL"/>
    <s v="A"/>
    <n v="1"/>
    <n v="1"/>
    <n v="0"/>
    <n v="0"/>
    <n v="0"/>
    <n v="0"/>
    <n v="1434.4883134048262"/>
    <n v="1391.790677197361"/>
    <n v="0.44083954196449909"/>
    <n v="104"/>
    <n v="96"/>
    <n v="0"/>
    <n v="8"/>
    <n v="1"/>
    <n v="0.37497346774208612"/>
    <n v="1"/>
    <n v="73"/>
    <n v="73"/>
    <n v="15.305934526089226"/>
    <n v="1449.7942479309154"/>
    <n v="1"/>
    <n v="0"/>
    <n v="0"/>
    <n v="0"/>
    <n v="0"/>
    <n v="0"/>
    <n v="0"/>
    <n v="0"/>
    <n v="0"/>
    <n v="0"/>
  </r>
  <r>
    <d v="2024-07-03T00:00:00"/>
    <n v="2024"/>
    <x v="19"/>
    <s v="R"/>
    <s v="RS"/>
    <x v="9"/>
    <s v="PHX"/>
    <s v="H"/>
    <n v="1"/>
    <n v="1"/>
    <n v="0"/>
    <n v="0"/>
    <n v="0"/>
    <n v="0"/>
    <n v="1391.790677197361"/>
    <n v="1434.4883134048262"/>
    <n v="0.55916045803550085"/>
    <n v="96"/>
    <n v="104"/>
    <n v="0"/>
    <n v="-8"/>
    <n v="0"/>
    <n v="0.37497346774208612"/>
    <n v="1"/>
    <n v="73"/>
    <n v="73"/>
    <n v="-15.305934526089223"/>
    <n v="1376.4847426712718"/>
    <n v="0"/>
    <n v="1"/>
    <n v="0"/>
    <n v="0"/>
    <n v="0"/>
    <n v="0"/>
    <n v="0"/>
    <n v="0"/>
    <n v="0"/>
    <n v="0"/>
  </r>
  <r>
    <d v="2024-07-04T00:00:00"/>
    <n v="2024"/>
    <x v="20"/>
    <s v="R"/>
    <s v="RS"/>
    <x v="7"/>
    <s v="LVA"/>
    <s v="A"/>
    <n v="1"/>
    <n v="1"/>
    <n v="0"/>
    <n v="0"/>
    <n v="0"/>
    <n v="0"/>
    <n v="1416.3475997975772"/>
    <n v="1629.6172915194477"/>
    <n v="0.15300529663622295"/>
    <n v="77"/>
    <n v="98"/>
    <n v="0"/>
    <n v="-21"/>
    <n v="0"/>
    <n v="0.49975708915427708"/>
    <n v="1"/>
    <n v="72.849999999999994"/>
    <n v="72.849999999999994"/>
    <n v="-5.5705103398128832"/>
    <n v="1410.7770894577643"/>
    <n v="0"/>
    <n v="1"/>
    <n v="0"/>
    <n v="0"/>
    <n v="0"/>
    <n v="0"/>
    <n v="0"/>
    <n v="0"/>
    <n v="0"/>
    <n v="0"/>
  </r>
  <r>
    <d v="2024-07-04T00:00:00"/>
    <n v="2024"/>
    <x v="17"/>
    <s v="R"/>
    <s v="RS"/>
    <x v="3"/>
    <s v="WAS"/>
    <s v="H"/>
    <n v="1"/>
    <n v="1"/>
    <n v="0"/>
    <n v="0"/>
    <n v="0"/>
    <n v="0"/>
    <n v="1629.6172915194477"/>
    <n v="1416.3475997975772"/>
    <n v="0.84699470336377713"/>
    <n v="98"/>
    <n v="77"/>
    <n v="0"/>
    <n v="21"/>
    <n v="1"/>
    <n v="0.49975708915427708"/>
    <n v="1"/>
    <n v="73.3"/>
    <n v="73.3"/>
    <n v="5.604919806565329"/>
    <n v="1635.2222113260129"/>
    <n v="1"/>
    <n v="0"/>
    <n v="0"/>
    <n v="0"/>
    <n v="0"/>
    <n v="0"/>
    <n v="0"/>
    <n v="0"/>
    <n v="0"/>
    <n v="0"/>
  </r>
  <r>
    <d v="2024-07-04T00:00:00"/>
    <n v="2024"/>
    <x v="19"/>
    <s v="R"/>
    <s v="RS"/>
    <x v="1"/>
    <s v="MIN"/>
    <s v="A"/>
    <n v="2"/>
    <n v="1"/>
    <n v="1"/>
    <n v="-1"/>
    <n v="8"/>
    <n v="-8"/>
    <n v="1614.7414808762301"/>
    <n v="1616.0222536962497"/>
    <n v="0.40159775819277715"/>
    <n v="78"/>
    <n v="73"/>
    <n v="0"/>
    <n v="5"/>
    <n v="1"/>
    <n v="0.33140226628195868"/>
    <n v="1"/>
    <n v="73"/>
    <n v="73"/>
    <n v="14.476765713067634"/>
    <n v="1629.2182465892977"/>
    <n v="1"/>
    <n v="0"/>
    <n v="0"/>
    <n v="0"/>
    <n v="0"/>
    <n v="0"/>
    <n v="0"/>
    <n v="0"/>
    <n v="0"/>
    <n v="0"/>
  </r>
  <r>
    <d v="2024-07-04T00:00:00"/>
    <n v="2024"/>
    <x v="20"/>
    <s v="R"/>
    <s v="RS"/>
    <x v="4"/>
    <s v="CON"/>
    <s v="H"/>
    <n v="1"/>
    <n v="2"/>
    <n v="-1"/>
    <n v="1"/>
    <n v="-8"/>
    <n v="8"/>
    <n v="1616.0222536962497"/>
    <n v="1614.7414808762301"/>
    <n v="0.59840224180722279"/>
    <n v="73"/>
    <n v="78"/>
    <n v="0"/>
    <n v="-5"/>
    <n v="0"/>
    <n v="0.33140226628195868"/>
    <n v="1"/>
    <n v="72.849999999999994"/>
    <n v="72.849999999999994"/>
    <n v="-14.447018934205165"/>
    <n v="1601.5752347620446"/>
    <n v="0"/>
    <n v="1"/>
    <n v="0"/>
    <n v="0"/>
    <n v="0"/>
    <n v="0"/>
    <n v="0"/>
    <n v="0"/>
    <n v="0"/>
    <n v="0"/>
  </r>
  <r>
    <d v="2024-07-05T00:00:00"/>
    <n v="2024"/>
    <x v="18"/>
    <s v="R"/>
    <s v="RS"/>
    <x v="10"/>
    <s v="DAL"/>
    <s v="A"/>
    <n v="2"/>
    <n v="1"/>
    <n v="1"/>
    <n v="-1"/>
    <n v="8"/>
    <n v="-8"/>
    <n v="1407.5345850839942"/>
    <n v="1376.4847426712718"/>
    <n v="0.44702402753345033"/>
    <n v="82"/>
    <n v="85"/>
    <n v="0"/>
    <n v="-3"/>
    <n v="0"/>
    <n v="0.28286444083854173"/>
    <n v="1"/>
    <n v="73.150000000000006"/>
    <n v="73.150000000000006"/>
    <n v="-9.2496127962823351"/>
    <n v="1398.284972287712"/>
    <n v="0"/>
    <n v="1"/>
    <n v="0"/>
    <n v="0"/>
    <n v="0"/>
    <n v="0"/>
    <n v="0"/>
    <n v="0"/>
    <n v="0"/>
    <n v="0"/>
  </r>
  <r>
    <d v="2024-07-05T00:00:00"/>
    <n v="2024"/>
    <x v="20"/>
    <s v="R"/>
    <s v="RS"/>
    <x v="9"/>
    <s v="ATL"/>
    <s v="H"/>
    <n v="1"/>
    <n v="2"/>
    <n v="-1"/>
    <n v="1"/>
    <n v="-8"/>
    <n v="8"/>
    <n v="1376.4847426712718"/>
    <n v="1407.5345850839942"/>
    <n v="0.55297597246654973"/>
    <n v="85"/>
    <n v="82"/>
    <n v="0"/>
    <n v="3"/>
    <n v="1"/>
    <n v="0.28286444083854173"/>
    <n v="1"/>
    <n v="72.849999999999994"/>
    <n v="72.849999999999994"/>
    <n v="9.2116786358054412"/>
    <n v="1385.6964213070771"/>
    <n v="1"/>
    <n v="0"/>
    <n v="0"/>
    <n v="0"/>
    <n v="0"/>
    <n v="0"/>
    <n v="0"/>
    <n v="0"/>
    <n v="0"/>
    <n v="0"/>
  </r>
  <r>
    <d v="2024-07-05T00:00:00"/>
    <n v="2024"/>
    <x v="18"/>
    <s v="R"/>
    <s v="RS"/>
    <x v="3"/>
    <s v="LAS"/>
    <s v="A"/>
    <n v="0"/>
    <n v="2"/>
    <n v="-2"/>
    <n v="2"/>
    <n v="-16"/>
    <n v="16"/>
    <n v="1635.2222113260129"/>
    <n v="1369.1943745529584"/>
    <n v="0.70341843426193662"/>
    <n v="93"/>
    <n v="98"/>
    <n v="1"/>
    <n v="-5"/>
    <n v="0"/>
    <n v="0.24439948854369054"/>
    <n v="1"/>
    <n v="73.150000000000006"/>
    <n v="73.150000000000006"/>
    <n v="-12.575589972139801"/>
    <n v="1622.6466213538731"/>
    <n v="0"/>
    <n v="1"/>
    <n v="0"/>
    <n v="0"/>
    <n v="0"/>
    <n v="0"/>
    <n v="0"/>
    <n v="0"/>
    <n v="0"/>
    <n v="0"/>
  </r>
  <r>
    <d v="2024-07-05T00:00:00"/>
    <n v="2024"/>
    <x v="19"/>
    <s v="R"/>
    <s v="RS"/>
    <x v="11"/>
    <s v="LVA"/>
    <s v="H"/>
    <n v="2"/>
    <n v="0"/>
    <n v="2"/>
    <n v="-2"/>
    <n v="16"/>
    <n v="-16"/>
    <n v="1369.1943745529584"/>
    <n v="1635.2222113260129"/>
    <n v="0.29658156573806332"/>
    <n v="98"/>
    <n v="93"/>
    <n v="1"/>
    <n v="5"/>
    <n v="1"/>
    <n v="0.24439948854369054"/>
    <n v="1"/>
    <n v="73"/>
    <n v="73"/>
    <n v="12.549802706304929"/>
    <n v="1381.7441772592633"/>
    <n v="1"/>
    <n v="0"/>
    <n v="0"/>
    <n v="0"/>
    <n v="0"/>
    <n v="0"/>
    <n v="0"/>
    <n v="0"/>
    <n v="0"/>
    <n v="0"/>
  </r>
  <r>
    <d v="2024-07-05T00:00:00"/>
    <n v="2024"/>
    <x v="18"/>
    <s v="R"/>
    <s v="RS"/>
    <x v="8"/>
    <s v="SEA"/>
    <s v="A"/>
    <n v="2"/>
    <n v="3"/>
    <n v="-1"/>
    <n v="1"/>
    <n v="-8"/>
    <n v="8"/>
    <n v="1456.2137587130894"/>
    <n v="1556.8057573408287"/>
    <n v="0.23963158981778965"/>
    <n v="88"/>
    <n v="84"/>
    <n v="0"/>
    <n v="4"/>
    <n v="1"/>
    <n v="0.28734551825550841"/>
    <n v="1"/>
    <n v="73.150000000000006"/>
    <n v="73.150000000000006"/>
    <n v="15.98243047512481"/>
    <n v="1472.1961891882142"/>
    <n v="1"/>
    <n v="0"/>
    <n v="0"/>
    <n v="0"/>
    <n v="0"/>
    <n v="0"/>
    <n v="0"/>
    <n v="0"/>
    <n v="0"/>
    <n v="0"/>
  </r>
  <r>
    <d v="2024-07-05T00:00:00"/>
    <n v="2024"/>
    <x v="19"/>
    <s v="R"/>
    <s v="RS"/>
    <x v="5"/>
    <s v="CHI"/>
    <s v="H"/>
    <n v="3"/>
    <n v="2"/>
    <n v="1"/>
    <n v="-1"/>
    <n v="8"/>
    <n v="-8"/>
    <n v="1556.8057573408287"/>
    <n v="1456.2137587130894"/>
    <n v="0.76036841018221035"/>
    <n v="84"/>
    <n v="88"/>
    <n v="0"/>
    <n v="-4"/>
    <n v="0"/>
    <n v="0.28734551825550841"/>
    <n v="1"/>
    <n v="73"/>
    <n v="73"/>
    <n v="-15.949657206891468"/>
    <n v="1540.8561001339372"/>
    <n v="0"/>
    <n v="1"/>
    <n v="0"/>
    <n v="0"/>
    <n v="0"/>
    <n v="0"/>
    <n v="0"/>
    <n v="0"/>
    <n v="0"/>
    <n v="0"/>
  </r>
  <r>
    <d v="2024-07-06T00:00:00"/>
    <n v="2024"/>
    <x v="21"/>
    <s v="R"/>
    <s v="RS"/>
    <x v="6"/>
    <s v="IND"/>
    <s v="A"/>
    <n v="3"/>
    <n v="3"/>
    <n v="0"/>
    <n v="0"/>
    <n v="0"/>
    <n v="0"/>
    <n v="1676.9832153614882"/>
    <n v="1429.7238234602694"/>
    <n v="0.71905857078527202"/>
    <n v="78"/>
    <n v="83"/>
    <n v="0"/>
    <n v="-5"/>
    <n v="0"/>
    <n v="0.27507658459933471"/>
    <n v="1"/>
    <n v="72.7"/>
    <n v="72.7"/>
    <n v="-14.379781979096339"/>
    <n v="1662.6034333823918"/>
    <n v="0"/>
    <n v="1"/>
    <n v="0"/>
    <n v="0"/>
    <n v="0"/>
    <n v="0"/>
    <n v="0"/>
    <n v="0"/>
    <n v="0"/>
    <n v="0"/>
  </r>
  <r>
    <d v="2024-07-06T00:00:00"/>
    <n v="2024"/>
    <x v="21"/>
    <s v="R"/>
    <s v="RS"/>
    <x v="0"/>
    <s v="NYL"/>
    <s v="H"/>
    <n v="3"/>
    <n v="3"/>
    <n v="0"/>
    <n v="0"/>
    <n v="0"/>
    <n v="0"/>
    <n v="1429.7238234602694"/>
    <n v="1676.9832153614882"/>
    <n v="0.28094142921472792"/>
    <n v="83"/>
    <n v="78"/>
    <n v="0"/>
    <n v="5"/>
    <n v="1"/>
    <n v="0.27507658459933471"/>
    <n v="1"/>
    <n v="72.7"/>
    <n v="72.7"/>
    <n v="14.379781979096341"/>
    <n v="1444.1036054393658"/>
    <n v="1"/>
    <n v="0"/>
    <n v="0"/>
    <n v="0"/>
    <n v="0"/>
    <n v="0"/>
    <n v="0"/>
    <n v="0"/>
    <n v="0"/>
    <n v="0"/>
  </r>
  <r>
    <d v="2024-07-06T00:00:00"/>
    <n v="2024"/>
    <x v="21"/>
    <s v="R"/>
    <s v="RS"/>
    <x v="7"/>
    <s v="MIN"/>
    <s v="A"/>
    <n v="1"/>
    <n v="1"/>
    <n v="0"/>
    <n v="0"/>
    <n v="0"/>
    <n v="0"/>
    <n v="1410.7770894577643"/>
    <n v="1601.5752347620446"/>
    <n v="0.17053147474166319"/>
    <n v="67"/>
    <n v="74"/>
    <n v="0"/>
    <n v="-7"/>
    <n v="0"/>
    <n v="0.31933362039925434"/>
    <n v="1"/>
    <n v="72.7"/>
    <n v="72.7"/>
    <n v="-3.9589826951870055"/>
    <n v="1406.8181067625774"/>
    <n v="0"/>
    <n v="1"/>
    <n v="0"/>
    <n v="0"/>
    <n v="0"/>
    <n v="0"/>
    <n v="0"/>
    <n v="0"/>
    <n v="0"/>
    <n v="0"/>
  </r>
  <r>
    <d v="2024-07-06T00:00:00"/>
    <n v="2024"/>
    <x v="21"/>
    <s v="R"/>
    <s v="RS"/>
    <x v="4"/>
    <s v="WAS"/>
    <s v="H"/>
    <n v="1"/>
    <n v="1"/>
    <n v="0"/>
    <n v="0"/>
    <n v="0"/>
    <n v="0"/>
    <n v="1601.5752347620446"/>
    <n v="1410.7770894577643"/>
    <n v="0.82946852525833681"/>
    <n v="74"/>
    <n v="67"/>
    <n v="0"/>
    <n v="7"/>
    <n v="1"/>
    <n v="0.31933362039925434"/>
    <n v="1"/>
    <n v="72.7"/>
    <n v="72.7"/>
    <n v="3.9589826951870055"/>
    <n v="1605.5342174572315"/>
    <n v="1"/>
    <n v="0"/>
    <n v="0"/>
    <n v="0"/>
    <n v="0"/>
    <n v="0"/>
    <n v="0"/>
    <n v="0"/>
    <n v="0"/>
    <n v="0"/>
  </r>
  <r>
    <d v="2024-07-07T00:00:00"/>
    <n v="2024"/>
    <x v="19"/>
    <s v="R"/>
    <s v="RS"/>
    <x v="10"/>
    <s v="CON"/>
    <s v="A"/>
    <n v="1"/>
    <n v="2"/>
    <n v="-1"/>
    <n v="1"/>
    <n v="-8"/>
    <n v="8"/>
    <n v="1398.284972287712"/>
    <n v="1629.2182465892977"/>
    <n v="0.12954304829321614"/>
    <n v="67"/>
    <n v="80"/>
    <n v="0"/>
    <n v="-13"/>
    <n v="0"/>
    <n v="0.39586227880081754"/>
    <n v="1"/>
    <n v="73"/>
    <n v="73"/>
    <n v="-3.7435280599114535"/>
    <n v="1394.5414442278006"/>
    <n v="0"/>
    <n v="1"/>
    <n v="0"/>
    <n v="0"/>
    <n v="0"/>
    <n v="0"/>
    <n v="0"/>
    <n v="0"/>
    <n v="0"/>
    <n v="0"/>
  </r>
  <r>
    <d v="2024-07-07T00:00:00"/>
    <n v="2024"/>
    <x v="20"/>
    <s v="R"/>
    <s v="RS"/>
    <x v="1"/>
    <s v="ATL"/>
    <s v="H"/>
    <n v="2"/>
    <n v="1"/>
    <n v="1"/>
    <n v="-1"/>
    <n v="8"/>
    <n v="-8"/>
    <n v="1629.2182465892977"/>
    <n v="1398.284972287712"/>
    <n v="0.87045695170678394"/>
    <n v="80"/>
    <n v="67"/>
    <n v="0"/>
    <n v="13"/>
    <n v="1"/>
    <n v="0.39586227880081754"/>
    <n v="1"/>
    <n v="72.849999999999994"/>
    <n v="72.849999999999994"/>
    <n v="3.735835878966427"/>
    <n v="1632.954082468264"/>
    <n v="1"/>
    <n v="0"/>
    <n v="0"/>
    <n v="0"/>
    <n v="0"/>
    <n v="0"/>
    <n v="0"/>
    <n v="0"/>
    <n v="0"/>
    <n v="0"/>
  </r>
  <r>
    <d v="2024-07-07T00:00:00"/>
    <n v="2024"/>
    <x v="20"/>
    <s v="R"/>
    <s v="RS"/>
    <x v="2"/>
    <s v="LAS"/>
    <s v="A"/>
    <n v="3"/>
    <n v="1"/>
    <n v="2"/>
    <n v="-2"/>
    <n v="16"/>
    <n v="-16"/>
    <n v="1449.7942479309154"/>
    <n v="1381.7441772592633"/>
    <n v="0.5230814917082427"/>
    <n v="84"/>
    <n v="78"/>
    <n v="0"/>
    <n v="6"/>
    <n v="1"/>
    <n v="0.33242923371780836"/>
    <n v="1"/>
    <n v="72.849999999999994"/>
    <n v="72.849999999999994"/>
    <n v="11.549759512642053"/>
    <n v="1461.3440074435575"/>
    <n v="1"/>
    <n v="0"/>
    <n v="0"/>
    <n v="0"/>
    <n v="0"/>
    <n v="0"/>
    <n v="0"/>
    <n v="0"/>
    <n v="0"/>
    <n v="0"/>
  </r>
  <r>
    <d v="2024-07-07T00:00:00"/>
    <n v="2024"/>
    <x v="20"/>
    <s v="R"/>
    <s v="RS"/>
    <x v="11"/>
    <s v="PHX"/>
    <s v="H"/>
    <n v="1"/>
    <n v="3"/>
    <n v="-2"/>
    <n v="2"/>
    <n v="-16"/>
    <n v="16"/>
    <n v="1381.7441772592633"/>
    <n v="1449.7942479309154"/>
    <n v="0.47691850829175719"/>
    <n v="78"/>
    <n v="84"/>
    <n v="0"/>
    <n v="-6"/>
    <n v="0"/>
    <n v="0.33242923371780836"/>
    <n v="1"/>
    <n v="72.849999999999994"/>
    <n v="72.849999999999994"/>
    <n v="-11.549759512642051"/>
    <n v="1370.1944177466212"/>
    <n v="0"/>
    <n v="1"/>
    <n v="0"/>
    <n v="0"/>
    <n v="0"/>
    <n v="0"/>
    <n v="0"/>
    <n v="0"/>
    <n v="0"/>
    <n v="0"/>
  </r>
  <r>
    <d v="2024-07-07T00:00:00"/>
    <n v="2024"/>
    <x v="21"/>
    <s v="R"/>
    <s v="RS"/>
    <x v="9"/>
    <s v="LVA"/>
    <s v="A"/>
    <n v="1"/>
    <n v="1"/>
    <n v="0"/>
    <n v="0"/>
    <n v="0"/>
    <n v="0"/>
    <n v="1385.6964213070771"/>
    <n v="1622.6466213538731"/>
    <n v="0.13616223904928582"/>
    <n v="85"/>
    <n v="104"/>
    <n v="0"/>
    <n v="-19"/>
    <n v="0"/>
    <n v="0.46847349841754921"/>
    <n v="1"/>
    <n v="72.7"/>
    <n v="72.7"/>
    <n v="-4.63741671488041"/>
    <n v="1381.0590045921967"/>
    <n v="0"/>
    <n v="1"/>
    <n v="0"/>
    <n v="0"/>
    <n v="0"/>
    <n v="0"/>
    <n v="0"/>
    <n v="0"/>
    <n v="0"/>
    <n v="0"/>
  </r>
  <r>
    <d v="2024-07-07T00:00:00"/>
    <n v="2024"/>
    <x v="19"/>
    <s v="R"/>
    <s v="RS"/>
    <x v="3"/>
    <s v="DAL"/>
    <s v="H"/>
    <n v="1"/>
    <n v="1"/>
    <n v="0"/>
    <n v="0"/>
    <n v="0"/>
    <n v="0"/>
    <n v="1622.6466213538731"/>
    <n v="1385.6964213070771"/>
    <n v="0.86383776095071418"/>
    <n v="104"/>
    <n v="85"/>
    <n v="0"/>
    <n v="19"/>
    <n v="1"/>
    <n v="0.46847349841754921"/>
    <n v="1"/>
    <n v="73"/>
    <n v="73"/>
    <n v="4.6565532350243455"/>
    <n v="1627.3031745888975"/>
    <n v="1"/>
    <n v="0"/>
    <n v="0"/>
    <n v="0"/>
    <n v="0"/>
    <n v="0"/>
    <n v="0"/>
    <n v="0"/>
    <n v="0"/>
    <n v="0"/>
  </r>
  <r>
    <d v="2024-07-07T00:00:00"/>
    <n v="2024"/>
    <x v="19"/>
    <s v="R"/>
    <s v="RS"/>
    <x v="8"/>
    <s v="SEA"/>
    <s v="A"/>
    <n v="1"/>
    <n v="1"/>
    <n v="0"/>
    <n v="0"/>
    <n v="0"/>
    <n v="0"/>
    <n v="1472.1961891882142"/>
    <n v="1540.8561001339372"/>
    <n v="0.29343043106049277"/>
    <n v="71"/>
    <n v="84"/>
    <n v="0"/>
    <n v="-13"/>
    <n v="0"/>
    <n v="0.44649673398655665"/>
    <n v="1"/>
    <n v="73"/>
    <n v="73"/>
    <n v="-9.5641482258167567"/>
    <n v="1462.6320409623975"/>
    <n v="0"/>
    <n v="1"/>
    <n v="0"/>
    <n v="0"/>
    <n v="0"/>
    <n v="0"/>
    <n v="0"/>
    <n v="0"/>
    <n v="0"/>
    <n v="0"/>
  </r>
  <r>
    <d v="2024-07-07T00:00:00"/>
    <n v="2024"/>
    <x v="20"/>
    <s v="R"/>
    <s v="RS"/>
    <x v="5"/>
    <s v="CHI"/>
    <s v="H"/>
    <n v="1"/>
    <n v="1"/>
    <n v="0"/>
    <n v="0"/>
    <n v="0"/>
    <n v="0"/>
    <n v="1540.8561001339372"/>
    <n v="1472.1961891882142"/>
    <n v="0.70656956893950718"/>
    <n v="84"/>
    <n v="71"/>
    <n v="0"/>
    <n v="13"/>
    <n v="1"/>
    <n v="0.44649673398655665"/>
    <n v="1"/>
    <n v="72.849999999999994"/>
    <n v="72.849999999999994"/>
    <n v="9.5444958664486421"/>
    <n v="1550.4005960003858"/>
    <n v="1"/>
    <n v="0"/>
    <n v="0"/>
    <n v="0"/>
    <n v="0"/>
    <n v="0"/>
    <n v="0"/>
    <n v="0"/>
    <n v="0"/>
    <n v="0"/>
  </r>
  <r>
    <d v="2024-07-09T00:00:00"/>
    <n v="2024"/>
    <x v="22"/>
    <s v="R"/>
    <s v="RS"/>
    <x v="4"/>
    <s v="LAS"/>
    <s v="A"/>
    <n v="2"/>
    <n v="1"/>
    <n v="1"/>
    <n v="-1"/>
    <n v="8"/>
    <n v="-8"/>
    <n v="1605.5342174572315"/>
    <n v="1370.1944177466212"/>
    <n v="0.72377909865646139"/>
    <n v="82"/>
    <n v="67"/>
    <n v="0"/>
    <n v="15"/>
    <n v="1"/>
    <n v="0.42040054471852295"/>
    <n v="1"/>
    <n v="72.55"/>
    <n v="72.55"/>
    <n v="8.4247539314605877"/>
    <n v="1613.9589713886921"/>
    <n v="1"/>
    <n v="0"/>
    <n v="0"/>
    <n v="0"/>
    <n v="0"/>
    <n v="0"/>
    <n v="0"/>
    <n v="0"/>
    <n v="0"/>
    <n v="0"/>
  </r>
  <r>
    <d v="2024-07-09T00:00:00"/>
    <n v="2024"/>
    <x v="21"/>
    <s v="R"/>
    <s v="RS"/>
    <x v="11"/>
    <s v="MIN"/>
    <s v="H"/>
    <n v="1"/>
    <n v="2"/>
    <n v="-1"/>
    <n v="1"/>
    <n v="-8"/>
    <n v="8"/>
    <n v="1370.1944177466212"/>
    <n v="1605.5342174572315"/>
    <n v="0.27622090134353861"/>
    <n v="67"/>
    <n v="82"/>
    <n v="0"/>
    <n v="-15"/>
    <n v="0"/>
    <n v="0.42040054471852295"/>
    <n v="1"/>
    <n v="72.7"/>
    <n v="72.7"/>
    <n v="-8.4421724440687065"/>
    <n v="1361.7522453025524"/>
    <n v="0"/>
    <n v="1"/>
    <n v="0"/>
    <n v="0"/>
    <n v="0"/>
    <n v="0"/>
    <n v="0"/>
    <n v="0"/>
    <n v="0"/>
    <n v="0"/>
  </r>
  <r>
    <d v="2024-07-10T00:00:00"/>
    <n v="2024"/>
    <x v="20"/>
    <s v="R"/>
    <s v="RS"/>
    <x v="10"/>
    <s v="CHI"/>
    <s v="A"/>
    <n v="2"/>
    <n v="2"/>
    <n v="0"/>
    <n v="0"/>
    <n v="0"/>
    <n v="0"/>
    <n v="1394.5414442278006"/>
    <n v="1462.6320409623975"/>
    <n v="0.29411035686027015"/>
    <n v="69"/>
    <n v="78"/>
    <n v="0"/>
    <n v="-9"/>
    <n v="0"/>
    <n v="0.38417273484337022"/>
    <n v="1"/>
    <n v="72.849999999999994"/>
    <n v="72.849999999999994"/>
    <n v="-8.2312617732550617"/>
    <n v="1386.3101824545456"/>
    <n v="0"/>
    <n v="1"/>
    <n v="0"/>
    <n v="0"/>
    <n v="0"/>
    <n v="0"/>
    <n v="0"/>
    <n v="0"/>
    <n v="0"/>
    <n v="0"/>
  </r>
  <r>
    <d v="2024-07-10T00:00:00"/>
    <n v="2024"/>
    <x v="20"/>
    <s v="R"/>
    <s v="RS"/>
    <x v="8"/>
    <s v="ATL"/>
    <s v="H"/>
    <n v="2"/>
    <n v="2"/>
    <n v="0"/>
    <n v="0"/>
    <n v="0"/>
    <n v="0"/>
    <n v="1462.6320409623975"/>
    <n v="1394.5414442278006"/>
    <n v="0.70588964313972979"/>
    <n v="78"/>
    <n v="69"/>
    <n v="0"/>
    <n v="9"/>
    <n v="1"/>
    <n v="0.38417273484337022"/>
    <n v="1"/>
    <n v="72.849999999999994"/>
    <n v="72.849999999999994"/>
    <n v="8.2312617732550635"/>
    <n v="1470.8633027356525"/>
    <n v="1"/>
    <n v="0"/>
    <n v="0"/>
    <n v="0"/>
    <n v="0"/>
    <n v="0"/>
    <n v="0"/>
    <n v="0"/>
    <n v="0"/>
    <n v="0"/>
  </r>
  <r>
    <d v="2024-07-10T00:00:00"/>
    <n v="2024"/>
    <x v="22"/>
    <s v="R"/>
    <s v="RS"/>
    <x v="6"/>
    <s v="CON"/>
    <s v="A"/>
    <n v="3"/>
    <n v="2"/>
    <n v="1"/>
    <n v="-1"/>
    <n v="8"/>
    <n v="-8"/>
    <n v="1662.6034333823918"/>
    <n v="1632.954082468264"/>
    <n v="0.4450320450745387"/>
    <n v="71"/>
    <n v="68"/>
    <n v="0"/>
    <n v="3"/>
    <n v="1"/>
    <n v="0.28318660523797362"/>
    <n v="1"/>
    <n v="72.55"/>
    <n v="72.55"/>
    <n v="11.401921084470716"/>
    <n v="1674.0053544668626"/>
    <n v="1"/>
    <n v="0"/>
    <n v="0"/>
    <n v="0"/>
    <n v="0"/>
    <n v="0"/>
    <n v="0"/>
    <n v="0"/>
    <n v="0"/>
    <n v="0"/>
  </r>
  <r>
    <d v="2024-07-10T00:00:00"/>
    <n v="2024"/>
    <x v="21"/>
    <s v="R"/>
    <s v="RS"/>
    <x v="1"/>
    <s v="NYL"/>
    <s v="H"/>
    <n v="2"/>
    <n v="3"/>
    <n v="-1"/>
    <n v="1"/>
    <n v="-8"/>
    <n v="8"/>
    <n v="1632.954082468264"/>
    <n v="1662.6034333823918"/>
    <n v="0.55496795492546125"/>
    <n v="68"/>
    <n v="71"/>
    <n v="0"/>
    <n v="-3"/>
    <n v="0"/>
    <n v="0.28318660523797362"/>
    <n v="1"/>
    <n v="72.7"/>
    <n v="72.7"/>
    <n v="-11.425495008146395"/>
    <n v="1621.5285874601177"/>
    <n v="0"/>
    <n v="1"/>
    <n v="0"/>
    <n v="0"/>
    <n v="0"/>
    <n v="0"/>
    <n v="0"/>
    <n v="0"/>
    <n v="0"/>
    <n v="0"/>
  </r>
  <r>
    <d v="2024-07-10T00:00:00"/>
    <n v="2024"/>
    <x v="22"/>
    <s v="R"/>
    <s v="RS"/>
    <x v="7"/>
    <s v="IND"/>
    <s v="A"/>
    <n v="3"/>
    <n v="3"/>
    <n v="0"/>
    <n v="0"/>
    <n v="0"/>
    <n v="0"/>
    <n v="1406.8181067625774"/>
    <n v="1444.1036054393658"/>
    <n v="0.33221687742335093"/>
    <n v="89"/>
    <n v="84"/>
    <n v="0"/>
    <n v="5"/>
    <n v="1"/>
    <n v="0.32175853590723558"/>
    <n v="1"/>
    <n v="72.55"/>
    <n v="72.55"/>
    <n v="15.588449933218476"/>
    <n v="1422.4065566957959"/>
    <n v="1"/>
    <n v="0"/>
    <n v="0"/>
    <n v="0"/>
    <n v="0"/>
    <n v="0"/>
    <n v="0"/>
    <n v="0"/>
    <n v="0"/>
    <n v="0"/>
  </r>
  <r>
    <d v="2024-07-10T00:00:00"/>
    <n v="2024"/>
    <x v="22"/>
    <s v="R"/>
    <s v="RS"/>
    <x v="0"/>
    <s v="WAS"/>
    <s v="H"/>
    <n v="3"/>
    <n v="3"/>
    <n v="0"/>
    <n v="0"/>
    <n v="0"/>
    <n v="0"/>
    <n v="1444.1036054393658"/>
    <n v="1406.8181067625774"/>
    <n v="0.66778312257664907"/>
    <n v="84"/>
    <n v="89"/>
    <n v="0"/>
    <n v="-5"/>
    <n v="0"/>
    <n v="0.32175853590723558"/>
    <n v="1"/>
    <n v="72.55"/>
    <n v="72.55"/>
    <n v="-15.588449933218476"/>
    <n v="1428.5151555061473"/>
    <n v="0"/>
    <n v="1"/>
    <n v="0"/>
    <n v="0"/>
    <n v="0"/>
    <n v="0"/>
    <n v="0"/>
    <n v="0"/>
    <n v="0"/>
    <n v="0"/>
  </r>
  <r>
    <d v="2024-07-10T00:00:00"/>
    <n v="2024"/>
    <x v="22"/>
    <s v="R"/>
    <s v="RS"/>
    <x v="9"/>
    <s v="PHX"/>
    <s v="A"/>
    <n v="2"/>
    <n v="2"/>
    <n v="0"/>
    <n v="0"/>
    <n v="0"/>
    <n v="0"/>
    <n v="1381.0590045921967"/>
    <n v="1461.3440074435575"/>
    <n v="0.27975030835074038"/>
    <n v="84"/>
    <n v="100"/>
    <n v="0"/>
    <n v="-16"/>
    <n v="0"/>
    <n v="0.48531634546391017"/>
    <n v="1"/>
    <n v="72.55"/>
    <n v="72.55"/>
    <n v="-9.8499246734753498"/>
    <n v="1371.2090799187215"/>
    <n v="0"/>
    <n v="1"/>
    <n v="0"/>
    <n v="0"/>
    <n v="0"/>
    <n v="0"/>
    <n v="0"/>
    <n v="0"/>
    <n v="0"/>
    <n v="0"/>
  </r>
  <r>
    <d v="2024-07-10T00:00:00"/>
    <n v="2024"/>
    <x v="21"/>
    <s v="R"/>
    <s v="RS"/>
    <x v="2"/>
    <s v="DAL"/>
    <s v="H"/>
    <n v="2"/>
    <n v="2"/>
    <n v="0"/>
    <n v="0"/>
    <n v="0"/>
    <n v="0"/>
    <n v="1461.3440074435575"/>
    <n v="1381.0590045921967"/>
    <n v="0.72024969164925967"/>
    <n v="100"/>
    <n v="84"/>
    <n v="0"/>
    <n v="16"/>
    <n v="1"/>
    <n v="0.48531634546391017"/>
    <n v="1"/>
    <n v="72.7"/>
    <n v="72.7"/>
    <n v="9.8702897830690262"/>
    <n v="1471.2142972266265"/>
    <n v="1"/>
    <n v="0"/>
    <n v="0"/>
    <n v="0"/>
    <n v="0"/>
    <n v="0"/>
    <n v="0"/>
    <n v="0"/>
    <n v="0"/>
    <n v="0"/>
  </r>
  <r>
    <d v="2024-07-10T00:00:00"/>
    <n v="2024"/>
    <x v="20"/>
    <s v="R"/>
    <s v="RS"/>
    <x v="3"/>
    <s v="SEA"/>
    <s v="A"/>
    <n v="2"/>
    <n v="2"/>
    <n v="0"/>
    <n v="0"/>
    <n v="0"/>
    <n v="0"/>
    <n v="1627.3031745888975"/>
    <n v="1550.4005960003858"/>
    <n v="0.48978741008249377"/>
    <n v="84"/>
    <n v="79"/>
    <n v="0"/>
    <n v="5"/>
    <n v="1"/>
    <n v="0.31177568064242223"/>
    <n v="1"/>
    <n v="72.849999999999994"/>
    <n v="72.849999999999994"/>
    <n v="11.588386275427961"/>
    <n v="1638.8915608643254"/>
    <n v="1"/>
    <n v="0"/>
    <n v="0"/>
    <n v="0"/>
    <n v="0"/>
    <n v="0"/>
    <n v="0"/>
    <n v="0"/>
    <n v="0"/>
    <n v="0"/>
  </r>
  <r>
    <d v="2024-07-10T00:00:00"/>
    <n v="2024"/>
    <x v="21"/>
    <s v="R"/>
    <s v="RS"/>
    <x v="5"/>
    <s v="LVA"/>
    <s v="H"/>
    <n v="2"/>
    <n v="2"/>
    <n v="0"/>
    <n v="0"/>
    <n v="0"/>
    <n v="0"/>
    <n v="1550.4005960003858"/>
    <n v="1627.3031745888975"/>
    <n v="0.51021258991750618"/>
    <n v="79"/>
    <n v="84"/>
    <n v="0"/>
    <n v="-5"/>
    <n v="0"/>
    <n v="0.31177568064242223"/>
    <n v="1"/>
    <n v="72.7"/>
    <n v="72.7"/>
    <n v="-11.564525493803879"/>
    <n v="1538.836070506582"/>
    <n v="0"/>
    <n v="1"/>
    <n v="0"/>
    <n v="0"/>
    <n v="0"/>
    <n v="0"/>
    <n v="0"/>
    <n v="0"/>
    <n v="0"/>
    <n v="0"/>
  </r>
  <r>
    <d v="2024-07-11T00:00:00"/>
    <n v="2024"/>
    <x v="21"/>
    <s v="R"/>
    <s v="RS"/>
    <x v="8"/>
    <s v="NYL"/>
    <s v="A"/>
    <n v="0"/>
    <n v="0"/>
    <n v="0"/>
    <n v="0"/>
    <n v="0"/>
    <n v="0"/>
    <n v="1470.8633027356525"/>
    <n v="1674.0053544668626"/>
    <n v="0.16071435378463025"/>
    <n v="76"/>
    <n v="91"/>
    <n v="0"/>
    <n v="-15"/>
    <n v="0"/>
    <n v="0.43004743027266107"/>
    <n v="1"/>
    <n v="72.7"/>
    <n v="72.7"/>
    <n v="-5.0246455858139409"/>
    <n v="1465.8386571498386"/>
    <n v="0"/>
    <n v="1"/>
    <n v="0"/>
    <n v="0"/>
    <n v="0"/>
    <n v="0"/>
    <n v="0"/>
    <n v="0"/>
    <n v="0"/>
    <n v="0"/>
  </r>
  <r>
    <d v="2024-07-11T00:00:00"/>
    <n v="2024"/>
    <x v="23"/>
    <s v="R"/>
    <s v="RS"/>
    <x v="6"/>
    <s v="CHI"/>
    <s v="H"/>
    <n v="0"/>
    <n v="0"/>
    <n v="0"/>
    <n v="0"/>
    <n v="0"/>
    <n v="0"/>
    <n v="1674.0053544668626"/>
    <n v="1470.8633027356525"/>
    <n v="0.83928564621536972"/>
    <n v="91"/>
    <n v="76"/>
    <n v="0"/>
    <n v="15"/>
    <n v="1"/>
    <n v="0.43004743027266107"/>
    <n v="1"/>
    <n v="72.400000000000006"/>
    <n v="72.400000000000006"/>
    <n v="5.0039111473580382"/>
    <n v="1679.0092656142206"/>
    <n v="1"/>
    <n v="0"/>
    <n v="0"/>
    <n v="0"/>
    <n v="0"/>
    <n v="0"/>
    <n v="0"/>
    <n v="0"/>
    <n v="0"/>
    <n v="0"/>
  </r>
  <r>
    <d v="2024-07-12T00:00:00"/>
    <n v="2024"/>
    <x v="21"/>
    <s v="R"/>
    <s v="RS"/>
    <x v="3"/>
    <s v="ATL"/>
    <s v="A"/>
    <n v="1"/>
    <n v="1"/>
    <n v="0"/>
    <n v="0"/>
    <n v="0"/>
    <n v="0"/>
    <n v="1638.8915608643254"/>
    <n v="1386.3101824545456"/>
    <n v="0.7252056803171435"/>
    <n v="84"/>
    <n v="70"/>
    <n v="0"/>
    <n v="14"/>
    <n v="1"/>
    <n v="0.40282061503603672"/>
    <n v="1"/>
    <n v="72.7"/>
    <n v="72.7"/>
    <n v="8.0473677859442834"/>
    <n v="1646.9389286502696"/>
    <n v="1"/>
    <n v="0"/>
    <n v="0"/>
    <n v="0"/>
    <n v="0"/>
    <n v="0"/>
    <n v="0"/>
    <n v="0"/>
    <n v="0"/>
    <n v="0"/>
  </r>
  <r>
    <d v="2024-07-12T00:00:00"/>
    <n v="2024"/>
    <x v="21"/>
    <s v="R"/>
    <s v="RS"/>
    <x v="10"/>
    <s v="LVA"/>
    <s v="H"/>
    <n v="1"/>
    <n v="1"/>
    <n v="0"/>
    <n v="0"/>
    <n v="0"/>
    <n v="0"/>
    <n v="1386.3101824545456"/>
    <n v="1638.8915608643254"/>
    <n v="0.27479431968285661"/>
    <n v="70"/>
    <n v="84"/>
    <n v="0"/>
    <n v="-14"/>
    <n v="0"/>
    <n v="0.40282061503603672"/>
    <n v="1"/>
    <n v="72.7"/>
    <n v="72.7"/>
    <n v="-8.0473677859442869"/>
    <n v="1378.2628146686013"/>
    <n v="0"/>
    <n v="1"/>
    <n v="0"/>
    <n v="0"/>
    <n v="0"/>
    <n v="0"/>
    <n v="0"/>
    <n v="0"/>
    <n v="0"/>
    <n v="0"/>
  </r>
  <r>
    <d v="2024-07-12T00:00:00"/>
    <n v="2024"/>
    <x v="22"/>
    <s v="R"/>
    <s v="RS"/>
    <x v="2"/>
    <s v="IND"/>
    <s v="A"/>
    <n v="1"/>
    <n v="1"/>
    <n v="0"/>
    <n v="0"/>
    <n v="0"/>
    <n v="0"/>
    <n v="1471.2142972266265"/>
    <n v="1428.5151555061473"/>
    <n v="0.44084167824082904"/>
    <n v="86"/>
    <n v="95"/>
    <n v="0"/>
    <n v="-9"/>
    <n v="0"/>
    <n v="0.39202234573223016"/>
    <n v="1"/>
    <n v="72.55"/>
    <n v="72.55"/>
    <n v="-12.538075677476481"/>
    <n v="1458.6762215491501"/>
    <n v="0"/>
    <n v="1"/>
    <n v="0"/>
    <n v="0"/>
    <n v="0"/>
    <n v="0"/>
    <n v="0"/>
    <n v="0"/>
    <n v="0"/>
    <n v="0"/>
  </r>
  <r>
    <d v="2024-07-12T00:00:00"/>
    <n v="2024"/>
    <x v="23"/>
    <s v="R"/>
    <s v="RS"/>
    <x v="0"/>
    <s v="PHX"/>
    <s v="H"/>
    <n v="1"/>
    <n v="1"/>
    <n v="0"/>
    <n v="0"/>
    <n v="0"/>
    <n v="0"/>
    <n v="1428.5151555061473"/>
    <n v="1471.2142972266265"/>
    <n v="0.55915832175917091"/>
    <n v="95"/>
    <n v="86"/>
    <n v="0"/>
    <n v="9"/>
    <n v="1"/>
    <n v="0.39202234573223016"/>
    <n v="1"/>
    <n v="72.400000000000006"/>
    <n v="72.400000000000006"/>
    <n v="12.512152709156409"/>
    <n v="1441.0273082153037"/>
    <n v="1"/>
    <n v="0"/>
    <n v="0"/>
    <n v="0"/>
    <n v="0"/>
    <n v="0"/>
    <n v="0"/>
    <n v="0"/>
    <n v="0"/>
    <n v="0"/>
  </r>
  <r>
    <d v="2024-07-12T00:00:00"/>
    <n v="2024"/>
    <x v="23"/>
    <s v="R"/>
    <s v="RS"/>
    <x v="4"/>
    <s v="SEA"/>
    <s v="A"/>
    <n v="2"/>
    <n v="1"/>
    <n v="1"/>
    <n v="-1"/>
    <n v="8"/>
    <n v="-8"/>
    <n v="1613.9589713886921"/>
    <n v="1538.836070506582"/>
    <n v="0.51024924247089898"/>
    <n v="63"/>
    <n v="91"/>
    <n v="0"/>
    <n v="-28"/>
    <n v="0"/>
    <n v="0.63908160658203417"/>
    <n v="1"/>
    <n v="72.400000000000006"/>
    <n v="72.400000000000006"/>
    <n v="-23.608981568015128"/>
    <n v="1590.3499898206769"/>
    <n v="0"/>
    <n v="1"/>
    <n v="0"/>
    <n v="0"/>
    <n v="0"/>
    <n v="0"/>
    <n v="0"/>
    <n v="0"/>
    <n v="0"/>
    <n v="0"/>
  </r>
  <r>
    <d v="2024-07-12T00:00:00"/>
    <n v="2024"/>
    <x v="22"/>
    <s v="R"/>
    <s v="RS"/>
    <x v="5"/>
    <s v="MIN"/>
    <s v="H"/>
    <n v="1"/>
    <n v="2"/>
    <n v="-1"/>
    <n v="1"/>
    <n v="-8"/>
    <n v="8"/>
    <n v="1538.836070506582"/>
    <n v="1613.9589713886921"/>
    <n v="0.48975075752910102"/>
    <n v="91"/>
    <n v="63"/>
    <n v="0"/>
    <n v="28"/>
    <n v="1"/>
    <n v="0.63908160658203417"/>
    <n v="1"/>
    <n v="72.55"/>
    <n v="72.55"/>
    <n v="23.657895203860459"/>
    <n v="1562.4939657104426"/>
    <n v="1"/>
    <n v="0"/>
    <n v="0"/>
    <n v="0"/>
    <n v="0"/>
    <n v="0"/>
    <n v="0"/>
    <n v="0"/>
    <n v="0"/>
    <n v="0"/>
  </r>
  <r>
    <d v="2024-07-13T00:00:00"/>
    <n v="2024"/>
    <x v="24"/>
    <s v="R"/>
    <s v="RS"/>
    <x v="6"/>
    <s v="CHI"/>
    <s v="A"/>
    <n v="1"/>
    <n v="1"/>
    <n v="0"/>
    <n v="0"/>
    <n v="0"/>
    <n v="0"/>
    <n v="1679.0092656142206"/>
    <n v="1465.8386571498386"/>
    <n v="0.67777510452267076"/>
    <n v="81"/>
    <n v="67"/>
    <n v="0"/>
    <n v="14"/>
    <n v="1"/>
    <n v="0.41405455274558189"/>
    <n v="1"/>
    <n v="72.25"/>
    <n v="72.25"/>
    <n v="9.6394999898308242"/>
    <n v="1688.6487656040513"/>
    <n v="1"/>
    <n v="0"/>
    <n v="0"/>
    <n v="0"/>
    <n v="0"/>
    <n v="0"/>
    <n v="0"/>
    <n v="0"/>
    <n v="0"/>
    <n v="0"/>
  </r>
  <r>
    <d v="2024-07-13T00:00:00"/>
    <n v="2024"/>
    <x v="22"/>
    <s v="R"/>
    <s v="RS"/>
    <x v="8"/>
    <s v="NYL"/>
    <s v="H"/>
    <n v="1"/>
    <n v="1"/>
    <n v="0"/>
    <n v="0"/>
    <n v="0"/>
    <n v="0"/>
    <n v="1465.8386571498386"/>
    <n v="1679.0092656142206"/>
    <n v="0.32222489547732924"/>
    <n v="67"/>
    <n v="81"/>
    <n v="0"/>
    <n v="-14"/>
    <n v="0"/>
    <n v="0.41405455274558189"/>
    <n v="1"/>
    <n v="72.55"/>
    <n v="72.55"/>
    <n v="-9.6795255953249324"/>
    <n v="1456.1591315545136"/>
    <n v="0"/>
    <n v="1"/>
    <n v="0"/>
    <n v="0"/>
    <n v="0"/>
    <n v="0"/>
    <n v="0"/>
    <n v="0"/>
    <n v="0"/>
    <n v="0"/>
  </r>
  <r>
    <d v="2024-07-13T00:00:00"/>
    <n v="2024"/>
    <x v="22"/>
    <s v="R"/>
    <s v="RS"/>
    <x v="11"/>
    <s v="DAL"/>
    <s v="A"/>
    <n v="3"/>
    <n v="2"/>
    <n v="1"/>
    <n v="-1"/>
    <n v="8"/>
    <n v="-8"/>
    <n v="1361.7522453025524"/>
    <n v="1371.2090799187215"/>
    <n v="0.39034140135732409"/>
    <n v="87"/>
    <n v="81"/>
    <n v="0"/>
    <n v="6"/>
    <n v="1"/>
    <n v="0.34853407020761362"/>
    <n v="1"/>
    <n v="72.55"/>
    <n v="72.55"/>
    <n v="15.415916819236225"/>
    <n v="1377.1681621217886"/>
    <n v="1"/>
    <n v="0"/>
    <n v="0"/>
    <n v="0"/>
    <n v="0"/>
    <n v="0"/>
    <n v="0"/>
    <n v="0"/>
    <n v="0"/>
    <n v="0"/>
  </r>
  <r>
    <d v="2024-07-13T00:00:00"/>
    <n v="2024"/>
    <x v="23"/>
    <s v="R"/>
    <s v="RS"/>
    <x v="9"/>
    <s v="LAS"/>
    <s v="H"/>
    <n v="2"/>
    <n v="3"/>
    <n v="-1"/>
    <n v="1"/>
    <n v="-8"/>
    <n v="8"/>
    <n v="1371.2090799187215"/>
    <n v="1361.7522453025524"/>
    <n v="0.60965859864267591"/>
    <n v="81"/>
    <n v="87"/>
    <n v="0"/>
    <n v="-6"/>
    <n v="0"/>
    <n v="0.34853407020761362"/>
    <n v="1"/>
    <n v="72.400000000000006"/>
    <n v="72.400000000000006"/>
    <n v="-15.384043800312927"/>
    <n v="1355.8250361184087"/>
    <n v="0"/>
    <n v="1"/>
    <n v="0"/>
    <n v="0"/>
    <n v="0"/>
    <n v="0"/>
    <n v="0"/>
    <n v="0"/>
    <n v="0"/>
    <n v="0"/>
  </r>
  <r>
    <d v="2024-07-14T00:00:00"/>
    <n v="2024"/>
    <x v="23"/>
    <s v="R"/>
    <s v="RS"/>
    <x v="2"/>
    <s v="CON"/>
    <s v="A"/>
    <n v="1"/>
    <n v="3"/>
    <n v="-2"/>
    <n v="2"/>
    <n v="-16"/>
    <n v="16"/>
    <n v="1458.6762215491501"/>
    <n v="1621.5285874601177"/>
    <n v="0.16725564441037916"/>
    <n v="69"/>
    <n v="96"/>
    <n v="0"/>
    <n v="-27"/>
    <n v="0"/>
    <n v="0.587004153942425"/>
    <n v="1"/>
    <n v="72.400000000000006"/>
    <n v="72.400000000000006"/>
    <n v="-7.1082144820387834"/>
    <n v="1451.5680070671112"/>
    <n v="0"/>
    <n v="1"/>
    <n v="0"/>
    <n v="0"/>
    <n v="0"/>
    <n v="0"/>
    <n v="0"/>
    <n v="0"/>
    <n v="0"/>
    <n v="0"/>
  </r>
  <r>
    <d v="2024-07-14T00:00:00"/>
    <n v="2024"/>
    <x v="22"/>
    <s v="R"/>
    <s v="RS"/>
    <x v="1"/>
    <s v="PHX"/>
    <s v="H"/>
    <n v="3"/>
    <n v="1"/>
    <n v="2"/>
    <n v="-2"/>
    <n v="16"/>
    <n v="-16"/>
    <n v="1621.5285874601177"/>
    <n v="1458.6762215491501"/>
    <n v="0.83274435558962079"/>
    <n v="96"/>
    <n v="69"/>
    <n v="0"/>
    <n v="27"/>
    <n v="1"/>
    <n v="0.587004153942425"/>
    <n v="1"/>
    <n v="72.55"/>
    <n v="72.55"/>
    <n v="7.122941445744666"/>
    <n v="1628.6515289058623"/>
    <n v="1"/>
    <n v="0"/>
    <n v="0"/>
    <n v="0"/>
    <n v="0"/>
    <n v="0"/>
    <n v="0"/>
    <n v="0"/>
    <n v="0"/>
    <n v="0"/>
  </r>
  <r>
    <d v="2024-07-14T00:00:00"/>
    <n v="2024"/>
    <x v="24"/>
    <s v="R"/>
    <s v="RS"/>
    <x v="0"/>
    <s v="MIN"/>
    <s v="A"/>
    <n v="1"/>
    <n v="1"/>
    <n v="0"/>
    <n v="0"/>
    <n v="0"/>
    <n v="0"/>
    <n v="1441.0273082153037"/>
    <n v="1590.3499898206769"/>
    <n v="0.20699854021957431"/>
    <n v="81"/>
    <n v="74"/>
    <n v="0"/>
    <n v="7"/>
    <n v="1"/>
    <n v="0.32914929322627007"/>
    <n v="1"/>
    <n v="72.25"/>
    <n v="72.25"/>
    <n v="18.858396608520714"/>
    <n v="1459.8857048238244"/>
    <n v="1"/>
    <n v="0"/>
    <n v="0"/>
    <n v="0"/>
    <n v="0"/>
    <n v="0"/>
    <n v="0"/>
    <n v="0"/>
    <n v="0"/>
    <n v="0"/>
  </r>
  <r>
    <d v="2024-07-14T00:00:00"/>
    <n v="2024"/>
    <x v="24"/>
    <s v="R"/>
    <s v="RS"/>
    <x v="4"/>
    <s v="IND"/>
    <s v="H"/>
    <n v="1"/>
    <n v="1"/>
    <n v="0"/>
    <n v="0"/>
    <n v="0"/>
    <n v="0"/>
    <n v="1590.3499898206769"/>
    <n v="1441.0273082153037"/>
    <n v="0.79300145978042569"/>
    <n v="74"/>
    <n v="81"/>
    <n v="0"/>
    <n v="-7"/>
    <n v="0"/>
    <n v="0.32914929322627007"/>
    <n v="1"/>
    <n v="72.25"/>
    <n v="72.25"/>
    <n v="-18.858396608520714"/>
    <n v="1571.4915932121562"/>
    <n v="0"/>
    <n v="1"/>
    <n v="0"/>
    <n v="0"/>
    <n v="0"/>
    <n v="0"/>
    <n v="0"/>
    <n v="0"/>
    <n v="0"/>
    <n v="0"/>
  </r>
  <r>
    <d v="2024-07-14T00:00:00"/>
    <n v="2024"/>
    <x v="22"/>
    <s v="R"/>
    <s v="RS"/>
    <x v="10"/>
    <s v="SEA"/>
    <s v="A"/>
    <n v="1"/>
    <n v="1"/>
    <n v="0"/>
    <n v="0"/>
    <n v="0"/>
    <n v="0"/>
    <n v="1378.2628146686013"/>
    <n v="1562.4939657104426"/>
    <n v="0.17594546459986432"/>
    <n v="70"/>
    <n v="81"/>
    <n v="0"/>
    <n v="-11"/>
    <n v="0"/>
    <n v="0.38129698490884761"/>
    <n v="1"/>
    <n v="72.55"/>
    <n v="72.55"/>
    <n v="-4.8671963228808277"/>
    <n v="1373.3956183457205"/>
    <n v="0"/>
    <n v="1"/>
    <n v="0"/>
    <n v="0"/>
    <n v="0"/>
    <n v="0"/>
    <n v="0"/>
    <n v="0"/>
    <n v="0"/>
    <n v="0"/>
  </r>
  <r>
    <d v="2024-07-14T00:00:00"/>
    <n v="2024"/>
    <x v="23"/>
    <s v="R"/>
    <s v="RS"/>
    <x v="5"/>
    <s v="ATL"/>
    <s v="H"/>
    <n v="1"/>
    <n v="1"/>
    <n v="0"/>
    <n v="0"/>
    <n v="0"/>
    <n v="0"/>
    <n v="1562.4939657104426"/>
    <n v="1378.2628146686013"/>
    <n v="0.82405453540013573"/>
    <n v="81"/>
    <n v="70"/>
    <n v="0"/>
    <n v="11"/>
    <n v="1"/>
    <n v="0.38129698490884761"/>
    <n v="1"/>
    <n v="72.400000000000006"/>
    <n v="72.400000000000006"/>
    <n v="4.8571332016067794"/>
    <n v="1567.3510989120493"/>
    <n v="1"/>
    <n v="0"/>
    <n v="0"/>
    <n v="0"/>
    <n v="0"/>
    <n v="0"/>
    <n v="0"/>
    <n v="0"/>
    <n v="0"/>
    <n v="0"/>
  </r>
  <r>
    <d v="2024-07-14T00:00:00"/>
    <n v="2024"/>
    <x v="22"/>
    <s v="R"/>
    <s v="RS"/>
    <x v="3"/>
    <s v="WAS"/>
    <s v="A"/>
    <n v="1"/>
    <n v="3"/>
    <n v="-2"/>
    <n v="2"/>
    <n v="-16"/>
    <n v="16"/>
    <n v="1646.9389286502696"/>
    <n v="1422.4065566957959"/>
    <n v="0.65130094080770995"/>
    <n v="89"/>
    <n v="77"/>
    <n v="0"/>
    <n v="12"/>
    <n v="1"/>
    <n v="0.38423509529718264"/>
    <n v="1"/>
    <n v="72.55"/>
    <n v="72.55"/>
    <n v="9.7204242981240316"/>
    <n v="1656.6593529483937"/>
    <n v="1"/>
    <n v="0"/>
    <n v="0"/>
    <n v="0"/>
    <n v="0"/>
    <n v="0"/>
    <n v="0"/>
    <n v="0"/>
    <n v="0"/>
    <n v="0"/>
  </r>
  <r>
    <d v="2024-07-14T00:00:00"/>
    <n v="2024"/>
    <x v="23"/>
    <s v="R"/>
    <s v="RS"/>
    <x v="7"/>
    <s v="LVA"/>
    <s v="H"/>
    <n v="3"/>
    <n v="1"/>
    <n v="2"/>
    <n v="-2"/>
    <n v="16"/>
    <n v="-16"/>
    <n v="1422.4065566957959"/>
    <n v="1646.9389286502696"/>
    <n v="0.34869905919229005"/>
    <n v="77"/>
    <n v="89"/>
    <n v="0"/>
    <n v="-12"/>
    <n v="0"/>
    <n v="0.38423509529718264"/>
    <n v="1"/>
    <n v="72.400000000000006"/>
    <n v="72.400000000000006"/>
    <n v="-9.7003269356882154"/>
    <n v="1412.7062297601076"/>
    <n v="0"/>
    <n v="1"/>
    <n v="0"/>
    <n v="0"/>
    <n v="0"/>
    <n v="0"/>
    <n v="0"/>
    <n v="0"/>
    <n v="0"/>
    <n v="0"/>
  </r>
  <r>
    <d v="2024-07-16T00:00:00"/>
    <n v="2024"/>
    <x v="24"/>
    <s v="R"/>
    <s v="RS"/>
    <x v="5"/>
    <s v="LAS"/>
    <s v="A"/>
    <n v="1"/>
    <n v="2"/>
    <n v="-1"/>
    <n v="1"/>
    <n v="-8"/>
    <n v="8"/>
    <n v="1567.3510989120493"/>
    <n v="1377.1681621217886"/>
    <n v="0.62694541142902871"/>
    <n v="89"/>
    <n v="83"/>
    <n v="0"/>
    <n v="6"/>
    <n v="1"/>
    <n v="0.30322405933312646"/>
    <n v="1"/>
    <n v="72.25"/>
    <n v="72.25"/>
    <n v="8.1728569040272632"/>
    <n v="1575.5239558160765"/>
    <n v="1"/>
    <n v="0"/>
    <n v="0"/>
    <n v="0"/>
    <n v="0"/>
    <n v="0"/>
    <n v="0"/>
    <n v="0"/>
    <n v="0"/>
    <n v="0"/>
  </r>
  <r>
    <d v="2024-07-16T00:00:00"/>
    <n v="2024"/>
    <x v="23"/>
    <s v="R"/>
    <s v="RS"/>
    <x v="11"/>
    <s v="SEA"/>
    <s v="H"/>
    <n v="2"/>
    <n v="1"/>
    <n v="1"/>
    <n v="-1"/>
    <n v="8"/>
    <n v="-8"/>
    <n v="1377.1681621217886"/>
    <n v="1567.3510989120493"/>
    <n v="0.37305458857097129"/>
    <n v="83"/>
    <n v="89"/>
    <n v="0"/>
    <n v="-6"/>
    <n v="0"/>
    <n v="0.30322405933312646"/>
    <n v="1"/>
    <n v="72.400000000000006"/>
    <n v="72.400000000000006"/>
    <n v="-8.1898247730321643"/>
    <n v="1368.9783373487564"/>
    <n v="0"/>
    <n v="1"/>
    <n v="0"/>
    <n v="0"/>
    <n v="0"/>
    <n v="0"/>
    <n v="0"/>
    <n v="0"/>
    <n v="0"/>
    <n v="0"/>
  </r>
  <r>
    <d v="2024-07-16T00:00:00"/>
    <n v="2024"/>
    <x v="23"/>
    <s v="R"/>
    <s v="RS"/>
    <x v="8"/>
    <s v="LVA"/>
    <s v="A"/>
    <n v="2"/>
    <n v="1"/>
    <n v="1"/>
    <n v="-1"/>
    <n v="8"/>
    <n v="-8"/>
    <n v="1456.1591315545136"/>
    <n v="1656.6593529483937"/>
    <n v="0.17572100532326992"/>
    <n v="93"/>
    <n v="85"/>
    <n v="0"/>
    <n v="8"/>
    <n v="1"/>
    <n v="0.33272300488451945"/>
    <n v="1"/>
    <n v="72.400000000000006"/>
    <n v="72.400000000000006"/>
    <n v="19.85617667957515"/>
    <n v="1476.0153082340887"/>
    <n v="1"/>
    <n v="0"/>
    <n v="0"/>
    <n v="0"/>
    <n v="0"/>
    <n v="0"/>
    <n v="0"/>
    <n v="0"/>
    <n v="0"/>
    <n v="0"/>
  </r>
  <r>
    <d v="2024-07-16T00:00:00"/>
    <n v="2024"/>
    <x v="23"/>
    <s v="R"/>
    <s v="RS"/>
    <x v="3"/>
    <s v="CHI"/>
    <s v="H"/>
    <n v="1"/>
    <n v="2"/>
    <n v="-1"/>
    <n v="1"/>
    <n v="-8"/>
    <n v="8"/>
    <n v="1656.6593529483937"/>
    <n v="1456.1591315545136"/>
    <n v="0.82427899467673005"/>
    <n v="85"/>
    <n v="93"/>
    <n v="0"/>
    <n v="-8"/>
    <n v="0"/>
    <n v="0.33272300488451945"/>
    <n v="1"/>
    <n v="72.400000000000006"/>
    <n v="72.400000000000006"/>
    <n v="-19.85617667957515"/>
    <n v="1636.8031762688186"/>
    <n v="0"/>
    <n v="1"/>
    <n v="0"/>
    <n v="0"/>
    <n v="0"/>
    <n v="0"/>
    <n v="0"/>
    <n v="0"/>
    <n v="0"/>
    <n v="0"/>
  </r>
  <r>
    <d v="2024-07-16T00:00:00"/>
    <n v="2024"/>
    <x v="23"/>
    <s v="R"/>
    <s v="RS"/>
    <x v="1"/>
    <s v="NYL"/>
    <s v="A"/>
    <n v="1"/>
    <n v="2"/>
    <n v="-1"/>
    <n v="1"/>
    <n v="-8"/>
    <n v="8"/>
    <n v="1628.6515289058623"/>
    <n v="1688.6487656040513"/>
    <n v="0.28475048864918956"/>
    <n v="74"/>
    <n v="82"/>
    <n v="0"/>
    <n v="-8"/>
    <n v="0"/>
    <n v="0.36982513011274476"/>
    <n v="1"/>
    <n v="72.400000000000006"/>
    <n v="72.400000000000006"/>
    <n v="-7.6242909836392432"/>
    <n v="1621.0272379222231"/>
    <n v="0"/>
    <n v="1"/>
    <n v="0"/>
    <n v="0"/>
    <n v="0"/>
    <n v="0"/>
    <n v="0"/>
    <n v="0"/>
    <n v="0"/>
    <n v="0"/>
  </r>
  <r>
    <d v="2024-07-16T00:00:00"/>
    <n v="2024"/>
    <x v="25"/>
    <s v="R"/>
    <s v="RS"/>
    <x v="6"/>
    <s v="CON"/>
    <s v="H"/>
    <n v="2"/>
    <n v="1"/>
    <n v="1"/>
    <n v="-1"/>
    <n v="8"/>
    <n v="-8"/>
    <n v="1688.6487656040513"/>
    <n v="1628.6515289058623"/>
    <n v="0.7152495113508105"/>
    <n v="82"/>
    <n v="74"/>
    <n v="0"/>
    <n v="8"/>
    <n v="1"/>
    <n v="0.36982513011274476"/>
    <n v="1"/>
    <n v="72.099999999999994"/>
    <n v="72.099999999999994"/>
    <n v="7.5926986176849347"/>
    <n v="1696.2414642217361"/>
    <n v="1"/>
    <n v="0"/>
    <n v="0"/>
    <n v="0"/>
    <n v="0"/>
    <n v="0"/>
    <n v="0"/>
    <n v="0"/>
    <n v="0"/>
    <n v="0"/>
  </r>
  <r>
    <d v="2024-07-16T00:00:00"/>
    <n v="2024"/>
    <x v="24"/>
    <s v="R"/>
    <s v="RS"/>
    <x v="2"/>
    <s v="WAS"/>
    <s v="A"/>
    <n v="1"/>
    <n v="1"/>
    <n v="0"/>
    <n v="0"/>
    <n v="0"/>
    <n v="0"/>
    <n v="1451.5680070671112"/>
    <n v="1412.7062297601076"/>
    <n v="0.43540390134382184"/>
    <n v="96"/>
    <n v="87"/>
    <n v="0"/>
    <n v="9"/>
    <n v="1"/>
    <n v="0.39323663180219848"/>
    <n v="1"/>
    <n v="72.25"/>
    <n v="72.25"/>
    <n v="16.0409354748647"/>
    <n v="1467.6089425419759"/>
    <n v="1"/>
    <n v="0"/>
    <n v="0"/>
    <n v="0"/>
    <n v="0"/>
    <n v="0"/>
    <n v="0"/>
    <n v="0"/>
    <n v="0"/>
    <n v="0"/>
  </r>
  <r>
    <d v="2024-07-16T00:00:00"/>
    <n v="2024"/>
    <x v="24"/>
    <s v="R"/>
    <s v="RS"/>
    <x v="7"/>
    <s v="PHX"/>
    <s v="H"/>
    <n v="1"/>
    <n v="1"/>
    <n v="0"/>
    <n v="0"/>
    <n v="0"/>
    <n v="0"/>
    <n v="1412.7062297601076"/>
    <n v="1451.5680070671112"/>
    <n v="0.5645960986561781"/>
    <n v="87"/>
    <n v="96"/>
    <n v="0"/>
    <n v="-9"/>
    <n v="0"/>
    <n v="0.39323663180219848"/>
    <n v="1"/>
    <n v="72.25"/>
    <n v="72.25"/>
    <n v="-16.040935474864696"/>
    <n v="1396.6652942852429"/>
    <n v="0"/>
    <n v="1"/>
    <n v="0"/>
    <n v="0"/>
    <n v="0"/>
    <n v="0"/>
    <n v="0"/>
    <n v="0"/>
    <n v="0"/>
    <n v="0"/>
  </r>
  <r>
    <d v="2024-07-17T00:00:00"/>
    <n v="2024"/>
    <x v="25"/>
    <s v="R"/>
    <s v="RS"/>
    <x v="0"/>
    <s v="DAL"/>
    <s v="A"/>
    <n v="2"/>
    <n v="3"/>
    <n v="-1"/>
    <n v="1"/>
    <n v="-8"/>
    <n v="8"/>
    <n v="1459.8857048238244"/>
    <n v="1355.8250361184087"/>
    <n v="0.50584350594860261"/>
    <n v="93"/>
    <n v="101"/>
    <n v="0"/>
    <n v="-8"/>
    <n v="0"/>
    <n v="0.35732895959986205"/>
    <n v="1"/>
    <n v="72.099999999999994"/>
    <n v="72.099999999999994"/>
    <n v="-13.032257679839272"/>
    <n v="1446.8534471439852"/>
    <n v="0"/>
    <n v="1"/>
    <n v="0"/>
    <n v="0"/>
    <n v="0"/>
    <n v="0"/>
    <n v="0"/>
    <n v="0"/>
    <n v="0"/>
    <n v="0"/>
  </r>
  <r>
    <d v="2024-07-17T00:00:00"/>
    <n v="2024"/>
    <x v="24"/>
    <s v="R"/>
    <s v="RS"/>
    <x v="9"/>
    <s v="IND"/>
    <s v="H"/>
    <n v="3"/>
    <n v="2"/>
    <n v="1"/>
    <n v="-1"/>
    <n v="8"/>
    <n v="-8"/>
    <n v="1355.8250361184087"/>
    <n v="1459.8857048238244"/>
    <n v="0.49415649405139744"/>
    <n v="101"/>
    <n v="93"/>
    <n v="0"/>
    <n v="8"/>
    <n v="1"/>
    <n v="0.35732895959986205"/>
    <n v="1"/>
    <n v="72.25"/>
    <n v="72.25"/>
    <n v="13.059370559894417"/>
    <n v="1368.8844066783031"/>
    <n v="1"/>
    <n v="0"/>
    <n v="0"/>
    <n v="0"/>
    <n v="0"/>
    <n v="0"/>
    <n v="0"/>
    <n v="0"/>
    <n v="0"/>
    <n v="0"/>
  </r>
  <r>
    <d v="2024-07-17T00:00:00"/>
    <n v="2024"/>
    <x v="23"/>
    <s v="R"/>
    <s v="RS"/>
    <x v="10"/>
    <s v="MIN"/>
    <s v="A"/>
    <n v="2"/>
    <n v="2"/>
    <n v="0"/>
    <n v="0"/>
    <n v="0"/>
    <n v="0"/>
    <n v="1373.3956183457205"/>
    <n v="1571.4915932121562"/>
    <n v="0.16467115804447593"/>
    <n v="79"/>
    <n v="86"/>
    <n v="0"/>
    <n v="-7"/>
    <n v="0"/>
    <n v="0.31766675176002346"/>
    <n v="1"/>
    <n v="72.400000000000006"/>
    <n v="72.400000000000006"/>
    <n v="-3.7872839564414296"/>
    <n v="1369.6083343892792"/>
    <n v="0"/>
    <n v="1"/>
    <n v="0"/>
    <n v="0"/>
    <n v="0"/>
    <n v="0"/>
    <n v="0"/>
    <n v="0"/>
    <n v="0"/>
    <n v="0"/>
  </r>
  <r>
    <d v="2024-07-17T00:00:00"/>
    <n v="2024"/>
    <x v="25"/>
    <s v="R"/>
    <s v="RS"/>
    <x v="4"/>
    <s v="ATL"/>
    <s v="H"/>
    <n v="2"/>
    <n v="2"/>
    <n v="0"/>
    <n v="0"/>
    <n v="0"/>
    <n v="0"/>
    <n v="1571.4915932121562"/>
    <n v="1373.3956183457205"/>
    <n v="0.83532884195552393"/>
    <n v="86"/>
    <n v="79"/>
    <n v="0"/>
    <n v="7"/>
    <n v="1"/>
    <n v="0.31766675176002346"/>
    <n v="1"/>
    <n v="72.099999999999994"/>
    <n v="72.099999999999994"/>
    <n v="3.7715907908760666"/>
    <n v="1575.2631840030322"/>
    <n v="1"/>
    <n v="0"/>
    <n v="0"/>
    <n v="0"/>
    <n v="0"/>
    <n v="0"/>
    <n v="0"/>
    <n v="0"/>
    <n v="0"/>
    <n v="0"/>
  </r>
  <r>
    <d v="2024-08-15T00:00:00"/>
    <n v="2024"/>
    <x v="25"/>
    <s v="R"/>
    <s v="RS"/>
    <x v="2"/>
    <s v="CHI"/>
    <s v="A"/>
    <n v="29"/>
    <n v="29"/>
    <n v="0"/>
    <n v="0"/>
    <n v="0"/>
    <n v="0"/>
    <n v="1467.6089425419759"/>
    <n v="1476.0153082340887"/>
    <n v="0.37006597284948622"/>
    <n v="85"/>
    <n v="65"/>
    <n v="0"/>
    <n v="20"/>
    <n v="1"/>
    <n v="0.57088811373108606"/>
    <n v="1"/>
    <n v="72.099999999999994"/>
    <n v="72.099999999999994"/>
    <n v="25.928735279372315"/>
    <n v="1493.5376778213483"/>
    <n v="1"/>
    <n v="0"/>
    <n v="0"/>
    <n v="0"/>
    <n v="0"/>
    <n v="0"/>
    <n v="0"/>
    <n v="0"/>
    <n v="0"/>
    <n v="0"/>
  </r>
  <r>
    <d v="2024-08-15T00:00:00"/>
    <n v="2024"/>
    <x v="24"/>
    <s v="R"/>
    <s v="RS"/>
    <x v="8"/>
    <s v="PHX"/>
    <s v="H"/>
    <n v="29"/>
    <n v="29"/>
    <n v="0"/>
    <n v="0"/>
    <n v="0"/>
    <n v="0"/>
    <n v="1476.0153082340887"/>
    <n v="1467.6089425419759"/>
    <n v="0.62993402715051383"/>
    <n v="65"/>
    <n v="85"/>
    <n v="0"/>
    <n v="-20"/>
    <n v="0"/>
    <n v="0.57088811373108606"/>
    <n v="1"/>
    <n v="72.25"/>
    <n v="72.25"/>
    <n v="-25.982678556652566"/>
    <n v="1450.032629677436"/>
    <n v="0"/>
    <n v="1"/>
    <n v="0"/>
    <n v="0"/>
    <n v="0"/>
    <n v="0"/>
    <n v="0"/>
    <n v="0"/>
    <n v="0"/>
    <n v="0"/>
  </r>
  <r>
    <d v="2024-08-15T00:00:00"/>
    <n v="2024"/>
    <x v="26"/>
    <s v="R"/>
    <s v="RS"/>
    <x v="6"/>
    <s v="LAS"/>
    <s v="A"/>
    <n v="29"/>
    <n v="29"/>
    <n v="0"/>
    <n v="0"/>
    <n v="0"/>
    <n v="0"/>
    <n v="1696.2414642217361"/>
    <n v="1368.9783373487564"/>
    <n v="0.80223706229591152"/>
    <n v="103"/>
    <n v="68"/>
    <n v="0"/>
    <n v="35"/>
    <n v="1"/>
    <n v="0.59885561810641375"/>
    <n v="1"/>
    <n v="71.95"/>
    <n v="71.95"/>
    <n v="8.5211425610923257"/>
    <n v="1704.7626067828285"/>
    <n v="1"/>
    <n v="0"/>
    <n v="0"/>
    <n v="0"/>
    <n v="0"/>
    <n v="0"/>
    <n v="0"/>
    <n v="0"/>
    <n v="0"/>
    <n v="0"/>
  </r>
  <r>
    <d v="2024-08-15T00:00:00"/>
    <n v="2024"/>
    <x v="24"/>
    <s v="R"/>
    <s v="RS"/>
    <x v="11"/>
    <s v="NYL"/>
    <s v="H"/>
    <n v="29"/>
    <n v="29"/>
    <n v="0"/>
    <n v="0"/>
    <n v="0"/>
    <n v="0"/>
    <n v="1368.9783373487564"/>
    <n v="1696.2414642217361"/>
    <n v="0.19776293770408851"/>
    <n v="68"/>
    <n v="103"/>
    <n v="0"/>
    <n v="-35"/>
    <n v="0"/>
    <n v="0.59885561810641375"/>
    <n v="1"/>
    <n v="72.25"/>
    <n v="72.25"/>
    <n v="-8.5566719949815226"/>
    <n v="1360.4216653537749"/>
    <n v="0"/>
    <n v="1"/>
    <n v="0"/>
    <n v="0"/>
    <n v="0"/>
    <n v="0"/>
    <n v="0"/>
    <n v="0"/>
    <n v="0"/>
    <n v="0"/>
  </r>
  <r>
    <d v="2024-08-15T00:00:00"/>
    <n v="2024"/>
    <x v="25"/>
    <s v="R"/>
    <s v="RS"/>
    <x v="7"/>
    <s v="MIN"/>
    <s v="A"/>
    <n v="29"/>
    <n v="28"/>
    <n v="1"/>
    <n v="-1"/>
    <n v="8"/>
    <n v="-8"/>
    <n v="1396.6652942852429"/>
    <n v="1575.2631840030322"/>
    <n v="0.19473503038438847"/>
    <n v="68"/>
    <n v="79"/>
    <n v="0"/>
    <n v="-11"/>
    <n v="0"/>
    <n v="0.38285505022585192"/>
    <n v="1"/>
    <n v="72.099999999999994"/>
    <n v="72.099999999999994"/>
    <n v="-5.3754363973592998"/>
    <n v="1391.2898578878835"/>
    <n v="0"/>
    <n v="1"/>
    <n v="0"/>
    <n v="0"/>
    <n v="0"/>
    <n v="0"/>
    <n v="0"/>
    <n v="0"/>
    <n v="0"/>
    <n v="0"/>
  </r>
  <r>
    <d v="2024-08-15T00:00:00"/>
    <n v="2024"/>
    <x v="26"/>
    <s v="R"/>
    <s v="RS"/>
    <x v="4"/>
    <s v="WAS"/>
    <s v="H"/>
    <n v="28"/>
    <n v="29"/>
    <n v="-1"/>
    <n v="1"/>
    <n v="-8"/>
    <n v="8"/>
    <n v="1575.2631840030322"/>
    <n v="1396.6652942852429"/>
    <n v="0.80526496961561156"/>
    <n v="79"/>
    <n v="68"/>
    <n v="0"/>
    <n v="11"/>
    <n v="1"/>
    <n v="0.38285505022585192"/>
    <n v="1"/>
    <n v="71.95"/>
    <n v="71.95"/>
    <n v="5.3642531038835175"/>
    <n v="1580.6274371069157"/>
    <n v="1"/>
    <n v="0"/>
    <n v="0"/>
    <n v="0"/>
    <n v="0"/>
    <n v="0"/>
    <n v="0"/>
    <n v="0"/>
    <n v="0"/>
    <n v="0"/>
  </r>
  <r>
    <d v="2024-08-16T00:00:00"/>
    <n v="2024"/>
    <x v="25"/>
    <s v="R"/>
    <s v="RS"/>
    <x v="5"/>
    <s v="ATL"/>
    <s v="A"/>
    <n v="30"/>
    <n v="29"/>
    <n v="1"/>
    <n v="-1"/>
    <n v="8"/>
    <n v="-8"/>
    <n v="1575.5239558160765"/>
    <n v="1369.6083343892792"/>
    <n v="0.68866943752581089"/>
    <n v="81"/>
    <n v="83"/>
    <n v="0"/>
    <n v="-2"/>
    <n v="0"/>
    <n v="0.22861228659328817"/>
    <n v="1"/>
    <n v="72.099999999999994"/>
    <n v="72.099999999999994"/>
    <n v="-11.351301056499594"/>
    <n v="1564.172654759577"/>
    <n v="0"/>
    <n v="1"/>
    <n v="0"/>
    <n v="0"/>
    <n v="0"/>
    <n v="0"/>
    <n v="0"/>
    <n v="0"/>
    <n v="0"/>
    <n v="0"/>
  </r>
  <r>
    <d v="2024-08-16T00:00:00"/>
    <n v="2024"/>
    <x v="24"/>
    <s v="R"/>
    <s v="RS"/>
    <x v="10"/>
    <s v="SEA"/>
    <s v="H"/>
    <n v="29"/>
    <n v="30"/>
    <n v="-1"/>
    <n v="1"/>
    <n v="-8"/>
    <n v="8"/>
    <n v="1369.6083343892792"/>
    <n v="1575.5239558160765"/>
    <n v="0.31133056247418905"/>
    <n v="83"/>
    <n v="81"/>
    <n v="0"/>
    <n v="2"/>
    <n v="1"/>
    <n v="0.22861228659328817"/>
    <n v="1"/>
    <n v="72.25"/>
    <n v="72.25"/>
    <n v="11.374916800722547"/>
    <n v="1380.9832511900017"/>
    <n v="1"/>
    <n v="0"/>
    <n v="0"/>
    <n v="0"/>
    <n v="0"/>
    <n v="0"/>
    <n v="0"/>
    <n v="0"/>
    <n v="0"/>
    <n v="0"/>
  </r>
  <r>
    <d v="2024-08-16T00:00:00"/>
    <n v="2024"/>
    <x v="24"/>
    <s v="R"/>
    <s v="RS"/>
    <x v="1"/>
    <s v="DAL"/>
    <s v="A"/>
    <n v="30"/>
    <n v="29"/>
    <n v="1"/>
    <n v="-1"/>
    <n v="8"/>
    <n v="-8"/>
    <n v="1621.0272379222231"/>
    <n v="1368.8844066783031"/>
    <n v="0.74269271343840204"/>
    <n v="109"/>
    <n v="91"/>
    <n v="0"/>
    <n v="18"/>
    <n v="1"/>
    <n v="0.45188441827686976"/>
    <n v="1"/>
    <n v="72.25"/>
    <n v="72.25"/>
    <n v="8.4007353408292733"/>
    <n v="1629.4279732630523"/>
    <n v="1"/>
    <n v="0"/>
    <n v="0"/>
    <n v="0"/>
    <n v="0"/>
    <n v="0"/>
    <n v="0"/>
    <n v="0"/>
    <n v="0"/>
    <n v="0"/>
  </r>
  <r>
    <d v="2024-08-16T00:00:00"/>
    <n v="2024"/>
    <x v="25"/>
    <s v="R"/>
    <s v="RS"/>
    <x v="9"/>
    <s v="CON"/>
    <s v="H"/>
    <n v="29"/>
    <n v="30"/>
    <n v="-1"/>
    <n v="1"/>
    <n v="-8"/>
    <n v="8"/>
    <n v="1368.8844066783031"/>
    <n v="1621.0272379222231"/>
    <n v="0.2573072865615979"/>
    <n v="91"/>
    <n v="109"/>
    <n v="0"/>
    <n v="-18"/>
    <n v="0"/>
    <n v="0.45188441827686976"/>
    <n v="1"/>
    <n v="72.099999999999994"/>
    <n v="72.099999999999994"/>
    <n v="-8.3832943678033267"/>
    <n v="1360.5011123104998"/>
    <n v="0"/>
    <n v="1"/>
    <n v="0"/>
    <n v="0"/>
    <n v="0"/>
    <n v="0"/>
    <n v="0"/>
    <n v="0"/>
    <n v="0"/>
    <n v="0"/>
  </r>
  <r>
    <d v="2024-08-16T00:00:00"/>
    <n v="2024"/>
    <x v="26"/>
    <s v="R"/>
    <s v="RS"/>
    <x v="2"/>
    <s v="IND"/>
    <s v="A"/>
    <n v="0"/>
    <n v="29"/>
    <n v="-29"/>
    <n v="29"/>
    <n v="-16"/>
    <n v="16"/>
    <n v="1493.5376778213483"/>
    <n v="1446.8534471439852"/>
    <n v="0.40154934583618246"/>
    <n v="89"/>
    <n v="98"/>
    <n v="0"/>
    <n v="-9"/>
    <n v="0"/>
    <n v="0.39076922655225915"/>
    <n v="1"/>
    <n v="71.95"/>
    <n v="71.95"/>
    <n v="-11.289899508873138"/>
    <n v="1482.2477783124752"/>
    <n v="0"/>
    <n v="1"/>
    <n v="0"/>
    <n v="0"/>
    <n v="0"/>
    <n v="0"/>
    <n v="0"/>
    <n v="0"/>
    <n v="0"/>
    <n v="0"/>
  </r>
  <r>
    <d v="2024-08-16T00:00:00"/>
    <n v="2024"/>
    <x v="26"/>
    <s v="R"/>
    <s v="RS"/>
    <x v="0"/>
    <s v="PHX"/>
    <s v="H"/>
    <n v="29"/>
    <n v="0"/>
    <n v="29"/>
    <n v="-29"/>
    <n v="16"/>
    <n v="-16"/>
    <n v="1446.8534471439852"/>
    <n v="1493.5376778213483"/>
    <n v="0.59845065416381749"/>
    <n v="98"/>
    <n v="89"/>
    <n v="0"/>
    <n v="9"/>
    <n v="1"/>
    <n v="0.39076922655225915"/>
    <n v="1"/>
    <n v="71.95"/>
    <n v="71.95"/>
    <n v="11.289899508873139"/>
    <n v="1458.1433466528583"/>
    <n v="1"/>
    <n v="0"/>
    <n v="0"/>
    <n v="0"/>
    <n v="0"/>
    <n v="0"/>
    <n v="0"/>
    <n v="0"/>
    <n v="0"/>
    <n v="0"/>
  </r>
  <r>
    <d v="2024-08-17T00:00:00"/>
    <n v="2024"/>
    <x v="25"/>
    <s v="R"/>
    <s v="RS"/>
    <x v="8"/>
    <s v="LAS"/>
    <s v="A"/>
    <n v="1"/>
    <n v="1"/>
    <n v="0"/>
    <n v="0"/>
    <n v="0"/>
    <n v="0"/>
    <n v="1450.032629677436"/>
    <n v="1360.4216653537749"/>
    <n v="0.50807412482679892"/>
    <n v="90"/>
    <n v="86"/>
    <n v="0"/>
    <n v="4"/>
    <n v="1"/>
    <n v="0.28979226466227587"/>
    <n v="1"/>
    <n v="72.099999999999994"/>
    <n v="72.099999999999994"/>
    <n v="10.278310197035047"/>
    <n v="1460.3109398744712"/>
    <n v="1"/>
    <n v="0"/>
    <n v="0"/>
    <n v="0"/>
    <n v="0"/>
    <n v="0"/>
    <n v="0"/>
    <n v="0"/>
    <n v="0"/>
    <n v="0"/>
  </r>
  <r>
    <d v="2024-08-17T00:00:00"/>
    <n v="2024"/>
    <x v="25"/>
    <s v="R"/>
    <s v="RS"/>
    <x v="11"/>
    <s v="CHI"/>
    <s v="H"/>
    <n v="1"/>
    <n v="1"/>
    <n v="0"/>
    <n v="0"/>
    <n v="0"/>
    <n v="0"/>
    <n v="1360.4216653537749"/>
    <n v="1450.032629677436"/>
    <n v="0.49192587517320113"/>
    <n v="86"/>
    <n v="90"/>
    <n v="0"/>
    <n v="-4"/>
    <n v="0"/>
    <n v="0.28979226466227587"/>
    <n v="1"/>
    <n v="72.099999999999994"/>
    <n v="72.099999999999994"/>
    <n v="-10.278310197035047"/>
    <n v="1350.1433551567397"/>
    <n v="0"/>
    <n v="1"/>
    <n v="0"/>
    <n v="0"/>
    <n v="0"/>
    <n v="0"/>
    <n v="0"/>
    <n v="0"/>
    <n v="0"/>
    <n v="0"/>
  </r>
  <r>
    <d v="2024-08-17T00:00:00"/>
    <n v="2024"/>
    <x v="27"/>
    <s v="R"/>
    <s v="RS"/>
    <x v="6"/>
    <s v="LVA"/>
    <s v="A"/>
    <n v="1"/>
    <n v="31"/>
    <n v="-30"/>
    <n v="30"/>
    <n v="-16"/>
    <n v="16"/>
    <n v="1704.7626067828285"/>
    <n v="1636.8031762688186"/>
    <n v="0.43130132519248687"/>
    <n v="79"/>
    <n v="67"/>
    <n v="0"/>
    <n v="12"/>
    <n v="1"/>
    <n v="0.43168205426727257"/>
    <n v="1"/>
    <n v="71.8"/>
    <n v="71.8"/>
    <n v="17.626685475958769"/>
    <n v="1722.3892922587872"/>
    <n v="1"/>
    <n v="0"/>
    <n v="0"/>
    <n v="0"/>
    <n v="0"/>
    <n v="0"/>
    <n v="0"/>
    <n v="0"/>
    <n v="0"/>
    <n v="0"/>
  </r>
  <r>
    <d v="2024-08-17T00:00:00"/>
    <n v="2024"/>
    <x v="24"/>
    <s v="R"/>
    <s v="RS"/>
    <x v="3"/>
    <s v="NYL"/>
    <s v="H"/>
    <n v="31"/>
    <n v="1"/>
    <n v="30"/>
    <n v="-30"/>
    <n v="16"/>
    <n v="-16"/>
    <n v="1636.8031762688186"/>
    <n v="1704.7626067828285"/>
    <n v="0.56869867480751313"/>
    <n v="67"/>
    <n v="79"/>
    <n v="0"/>
    <n v="-12"/>
    <n v="0"/>
    <n v="0.43168205426727257"/>
    <n v="1"/>
    <n v="72.25"/>
    <n v="72.25"/>
    <n v="-17.737159131448763"/>
    <n v="1619.0660171373697"/>
    <n v="0"/>
    <n v="1"/>
    <n v="0"/>
    <n v="0"/>
    <n v="0"/>
    <n v="0"/>
    <n v="0"/>
    <n v="0"/>
    <n v="0"/>
    <n v="0"/>
  </r>
  <r>
    <d v="2024-08-17T00:00:00"/>
    <n v="2024"/>
    <x v="27"/>
    <s v="R"/>
    <s v="RS"/>
    <x v="4"/>
    <s v="WAS"/>
    <s v="A"/>
    <n v="1"/>
    <n v="1"/>
    <n v="0"/>
    <n v="0"/>
    <n v="0"/>
    <n v="0"/>
    <n v="1580.6274371069157"/>
    <n v="1391.2898578878835"/>
    <n v="0.64711272825058475"/>
    <n v="99"/>
    <n v="83"/>
    <n v="0"/>
    <n v="16"/>
    <n v="1"/>
    <n v="0.44722265346435147"/>
    <n v="1"/>
    <n v="71.8"/>
    <n v="71.8"/>
    <n v="11.331417270871865"/>
    <n v="1591.9588543777877"/>
    <n v="1"/>
    <n v="0"/>
    <n v="0"/>
    <n v="0"/>
    <n v="0"/>
    <n v="0"/>
    <n v="0"/>
    <n v="0"/>
    <n v="0"/>
    <n v="0"/>
  </r>
  <r>
    <d v="2024-08-17T00:00:00"/>
    <n v="2024"/>
    <x v="26"/>
    <s v="R"/>
    <s v="RS"/>
    <x v="7"/>
    <s v="MIN"/>
    <s v="H"/>
    <n v="1"/>
    <n v="1"/>
    <n v="0"/>
    <n v="0"/>
    <n v="0"/>
    <n v="0"/>
    <n v="1391.2898578878835"/>
    <n v="1580.6274371069157"/>
    <n v="0.35288727174941531"/>
    <n v="83"/>
    <n v="99"/>
    <n v="0"/>
    <n v="-16"/>
    <n v="0"/>
    <n v="0.44722265346435147"/>
    <n v="1"/>
    <n v="71.95"/>
    <n v="71.95"/>
    <n v="-11.355090148178704"/>
    <n v="1379.9347677397047"/>
    <n v="0"/>
    <n v="1"/>
    <n v="0"/>
    <n v="0"/>
    <n v="0"/>
    <n v="0"/>
    <n v="0"/>
    <n v="0"/>
    <n v="0"/>
    <n v="0"/>
  </r>
  <r>
    <d v="2024-08-18T00:00:00"/>
    <n v="2024"/>
    <x v="25"/>
    <s v="R"/>
    <s v="RS"/>
    <x v="1"/>
    <s v="ATL"/>
    <s v="A"/>
    <n v="1"/>
    <n v="1"/>
    <n v="0"/>
    <n v="0"/>
    <n v="0"/>
    <n v="0"/>
    <n v="1629.4279732630523"/>
    <n v="1380.9832511900017"/>
    <n v="0.72043490767901974"/>
    <n v="70"/>
    <n v="82"/>
    <n v="0"/>
    <n v="-12"/>
    <n v="0"/>
    <n v="0.37789176442195194"/>
    <n v="1"/>
    <n v="72.099999999999994"/>
    <n v="72.099999999999994"/>
    <n v="-19.628966767648738"/>
    <n v="1609.7990064954035"/>
    <n v="0"/>
    <n v="1"/>
    <n v="0"/>
    <n v="0"/>
    <n v="0"/>
    <n v="0"/>
    <n v="0"/>
    <n v="0"/>
    <n v="0"/>
    <n v="0"/>
  </r>
  <r>
    <d v="2024-08-18T00:00:00"/>
    <n v="2024"/>
    <x v="25"/>
    <s v="R"/>
    <s v="RS"/>
    <x v="10"/>
    <s v="CON"/>
    <s v="H"/>
    <n v="1"/>
    <n v="1"/>
    <n v="0"/>
    <n v="0"/>
    <n v="0"/>
    <n v="0"/>
    <n v="1380.9832511900017"/>
    <n v="1629.4279732630523"/>
    <n v="0.27956509232098037"/>
    <n v="82"/>
    <n v="70"/>
    <n v="0"/>
    <n v="12"/>
    <n v="1"/>
    <n v="0.37789176442195194"/>
    <n v="1"/>
    <n v="72.099999999999994"/>
    <n v="72.099999999999994"/>
    <n v="19.628966767648734"/>
    <n v="1400.6122179576505"/>
    <n v="1"/>
    <n v="0"/>
    <n v="0"/>
    <n v="0"/>
    <n v="0"/>
    <n v="0"/>
    <n v="0"/>
    <n v="0"/>
    <n v="0"/>
    <n v="0"/>
  </r>
  <r>
    <d v="2024-08-18T00:00:00"/>
    <n v="2024"/>
    <x v="26"/>
    <s v="R"/>
    <s v="RS"/>
    <x v="5"/>
    <s v="IND"/>
    <s v="A"/>
    <n v="1"/>
    <n v="1"/>
    <n v="0"/>
    <n v="0"/>
    <n v="0"/>
    <n v="0"/>
    <n v="1564.172654759577"/>
    <n v="1458.1433466528583"/>
    <n v="0.53166030669670084"/>
    <n v="75"/>
    <n v="92"/>
    <n v="0"/>
    <n v="-17"/>
    <n v="0"/>
    <n v="0.48921603744453512"/>
    <n v="1"/>
    <n v="71.95"/>
    <n v="71.95"/>
    <n v="-18.713961055201413"/>
    <n v="1545.4586937043755"/>
    <n v="0"/>
    <n v="1"/>
    <n v="0"/>
    <n v="0"/>
    <n v="0"/>
    <n v="0"/>
    <n v="0"/>
    <n v="0"/>
    <n v="0"/>
    <n v="0"/>
  </r>
  <r>
    <d v="2024-08-18T00:00:00"/>
    <n v="2024"/>
    <x v="27"/>
    <s v="R"/>
    <s v="RS"/>
    <x v="0"/>
    <s v="SEA"/>
    <s v="H"/>
    <n v="1"/>
    <n v="1"/>
    <n v="0"/>
    <n v="0"/>
    <n v="0"/>
    <n v="0"/>
    <n v="1458.1433466528583"/>
    <n v="1564.172654759577"/>
    <n v="0.46833969330329916"/>
    <n v="92"/>
    <n v="75"/>
    <n v="0"/>
    <n v="17"/>
    <n v="1"/>
    <n v="0.48921603744453512"/>
    <n v="1"/>
    <n v="71.8"/>
    <n v="71.8"/>
    <n v="18.674946542925106"/>
    <n v="1476.8182931957833"/>
    <n v="1"/>
    <n v="0"/>
    <n v="0"/>
    <n v="0"/>
    <n v="0"/>
    <n v="0"/>
    <n v="0"/>
    <n v="0"/>
    <n v="0"/>
    <n v="0"/>
  </r>
  <r>
    <d v="2024-08-18T00:00:00"/>
    <n v="2024"/>
    <x v="26"/>
    <s v="R"/>
    <s v="RS"/>
    <x v="11"/>
    <s v="LVA"/>
    <s v="A"/>
    <n v="0"/>
    <n v="0"/>
    <n v="0"/>
    <n v="0"/>
    <n v="0"/>
    <n v="0"/>
    <n v="1350.1433551567397"/>
    <n v="1619.0660171373697"/>
    <n v="0.11592626256141525"/>
    <n v="71"/>
    <n v="87"/>
    <n v="0"/>
    <n v="-16"/>
    <n v="0"/>
    <n v="0.4229924793305882"/>
    <n v="1"/>
    <n v="71.95"/>
    <n v="71.95"/>
    <n v="-3.5281356830064694"/>
    <n v="1346.6152194737333"/>
    <n v="0"/>
    <n v="1"/>
    <n v="0"/>
    <n v="0"/>
    <n v="0"/>
    <n v="0"/>
    <n v="0"/>
    <n v="0"/>
    <n v="0"/>
    <n v="0"/>
  </r>
  <r>
    <d v="2024-08-18T00:00:00"/>
    <n v="2024"/>
    <x v="25"/>
    <s v="R"/>
    <s v="RS"/>
    <x v="3"/>
    <s v="LAS"/>
    <s v="H"/>
    <n v="0"/>
    <n v="0"/>
    <n v="0"/>
    <n v="0"/>
    <n v="0"/>
    <n v="0"/>
    <n v="1619.0660171373697"/>
    <n v="1350.1433551567397"/>
    <n v="0.88407373743858464"/>
    <n v="87"/>
    <n v="71"/>
    <n v="0"/>
    <n v="16"/>
    <n v="1"/>
    <n v="0.4229924793305882"/>
    <n v="1"/>
    <n v="72.099999999999994"/>
    <n v="72.099999999999994"/>
    <n v="3.5354910735895295"/>
    <n v="1622.6015082109593"/>
    <n v="1"/>
    <n v="0"/>
    <n v="0"/>
    <n v="0"/>
    <n v="0"/>
    <n v="0"/>
    <n v="0"/>
    <n v="0"/>
    <n v="0"/>
    <n v="0"/>
  </r>
  <r>
    <d v="2024-08-18T00:00:00"/>
    <n v="2024"/>
    <x v="26"/>
    <s v="R"/>
    <s v="RS"/>
    <x v="8"/>
    <s v="PHX"/>
    <s v="A"/>
    <n v="0"/>
    <n v="1"/>
    <n v="-1"/>
    <n v="1"/>
    <n v="-8"/>
    <n v="8"/>
    <n v="1460.3109398744712"/>
    <n v="1482.2477783124752"/>
    <n v="0.33138559846742816"/>
    <n v="68"/>
    <n v="86"/>
    <n v="0"/>
    <n v="-18"/>
    <n v="0"/>
    <n v="0.53701688819726856"/>
    <n v="1"/>
    <n v="71.95"/>
    <n v="71.95"/>
    <n v="-12.804197744386364"/>
    <n v="1447.5067421300848"/>
    <n v="0"/>
    <n v="1"/>
    <n v="0"/>
    <n v="0"/>
    <n v="0"/>
    <n v="0"/>
    <n v="0"/>
    <n v="0"/>
    <n v="0"/>
    <n v="0"/>
  </r>
  <r>
    <d v="2024-08-18T00:00:00"/>
    <n v="2024"/>
    <x v="27"/>
    <s v="R"/>
    <s v="RS"/>
    <x v="2"/>
    <s v="CHI"/>
    <s v="H"/>
    <n v="1"/>
    <n v="0"/>
    <n v="1"/>
    <n v="-1"/>
    <n v="8"/>
    <n v="-8"/>
    <n v="1482.2477783124752"/>
    <n v="1460.3109398744712"/>
    <n v="0.66861440153257179"/>
    <n v="86"/>
    <n v="68"/>
    <n v="0"/>
    <n v="18"/>
    <n v="1"/>
    <n v="0.53701688819726856"/>
    <n v="1"/>
    <n v="71.8"/>
    <n v="71.8"/>
    <n v="12.77750379495401"/>
    <n v="1495.0252821074293"/>
    <n v="1"/>
    <n v="0"/>
    <n v="0"/>
    <n v="0"/>
    <n v="0"/>
    <n v="0"/>
    <n v="0"/>
    <n v="0"/>
    <n v="0"/>
    <n v="0"/>
  </r>
  <r>
    <d v="2024-08-20T00:00:00"/>
    <n v="2024"/>
    <x v="27"/>
    <s v="R"/>
    <s v="RS"/>
    <x v="11"/>
    <s v="CON"/>
    <s v="A"/>
    <n v="1"/>
    <n v="1"/>
    <n v="0"/>
    <n v="0"/>
    <n v="0"/>
    <n v="0"/>
    <n v="1346.6152194737333"/>
    <n v="1609.7990064954035"/>
    <n v="0.11935519095516718"/>
    <n v="61"/>
    <n v="69"/>
    <n v="0"/>
    <n v="-8"/>
    <n v="0"/>
    <n v="0.31846897576148803"/>
    <n v="1"/>
    <n v="71.8"/>
    <n v="71.8"/>
    <n v="-2.7291844448191798"/>
    <n v="1343.8860350289142"/>
    <n v="0"/>
    <n v="1"/>
    <n v="0"/>
    <n v="0"/>
    <n v="0"/>
    <n v="0"/>
    <n v="0"/>
    <n v="0"/>
    <n v="0"/>
    <n v="0"/>
  </r>
  <r>
    <d v="2024-08-20T00:00:00"/>
    <n v="2024"/>
    <x v="26"/>
    <s v="R"/>
    <s v="RS"/>
    <x v="1"/>
    <s v="LAS"/>
    <s v="H"/>
    <n v="1"/>
    <n v="1"/>
    <n v="0"/>
    <n v="0"/>
    <n v="0"/>
    <n v="0"/>
    <n v="1609.7990064954035"/>
    <n v="1346.6152194737333"/>
    <n v="0.88064480904483289"/>
    <n v="69"/>
    <n v="61"/>
    <n v="0"/>
    <n v="8"/>
    <n v="1"/>
    <n v="0.31846897576148803"/>
    <n v="1"/>
    <n v="71.95"/>
    <n v="71.95"/>
    <n v="2.7348860836314746"/>
    <n v="1612.533892579035"/>
    <n v="1"/>
    <n v="0"/>
    <n v="0"/>
    <n v="0"/>
    <n v="0"/>
    <n v="0"/>
    <n v="0"/>
    <n v="0"/>
    <n v="0"/>
    <n v="0"/>
  </r>
  <r>
    <d v="2024-08-20T00:00:00"/>
    <n v="2024"/>
    <x v="26"/>
    <s v="R"/>
    <s v="RS"/>
    <x v="9"/>
    <s v="NYL"/>
    <s v="A"/>
    <n v="3"/>
    <n v="2"/>
    <n v="1"/>
    <n v="-1"/>
    <n v="8"/>
    <n v="-8"/>
    <n v="1360.5011123104998"/>
    <n v="1722.3892922587872"/>
    <n v="7.7655581171053548E-2"/>
    <n v="74"/>
    <n v="94"/>
    <n v="0"/>
    <n v="-20"/>
    <n v="0"/>
    <n v="0.44168644054496142"/>
    <n v="1"/>
    <n v="71.95"/>
    <n v="71.95"/>
    <n v="-2.4678430701224991"/>
    <n v="1358.0332692403774"/>
    <n v="0"/>
    <n v="1"/>
    <n v="0"/>
    <n v="0"/>
    <n v="0"/>
    <n v="0"/>
    <n v="0"/>
    <n v="0"/>
    <n v="0"/>
    <n v="0"/>
  </r>
  <r>
    <d v="2024-08-20T00:00:00"/>
    <n v="2024"/>
    <x v="28"/>
    <s v="R"/>
    <s v="RS"/>
    <x v="6"/>
    <s v="DAL"/>
    <s v="H"/>
    <n v="2"/>
    <n v="3"/>
    <n v="-1"/>
    <n v="1"/>
    <n v="-8"/>
    <n v="8"/>
    <n v="1722.3892922587872"/>
    <n v="1360.5011123104998"/>
    <n v="0.92234441882894658"/>
    <n v="94"/>
    <n v="74"/>
    <n v="0"/>
    <n v="20"/>
    <n v="1"/>
    <n v="0.44168644054496142"/>
    <n v="1"/>
    <n v="71.650000000000006"/>
    <n v="71.650000000000006"/>
    <n v="2.4575532449517272"/>
    <n v="1724.8468455037389"/>
    <n v="1"/>
    <n v="0"/>
    <n v="0"/>
    <n v="0"/>
    <n v="0"/>
    <n v="0"/>
    <n v="0"/>
    <n v="0"/>
    <n v="0"/>
    <n v="0"/>
  </r>
  <r>
    <d v="2024-08-20T00:00:00"/>
    <n v="2024"/>
    <x v="27"/>
    <s v="R"/>
    <s v="RS"/>
    <x v="5"/>
    <s v="WAS"/>
    <s v="A"/>
    <n v="1"/>
    <n v="2"/>
    <n v="-1"/>
    <n v="1"/>
    <n v="-8"/>
    <n v="8"/>
    <n v="1545.4586937043755"/>
    <n v="1379.9347677397047"/>
    <n v="0.59319423061249266"/>
    <n v="83"/>
    <n v="77"/>
    <n v="0"/>
    <n v="6"/>
    <n v="1"/>
    <n v="0.30869976372724217"/>
    <n v="1"/>
    <n v="71.8"/>
    <n v="71.8"/>
    <n v="9.0167046633032193"/>
    <n v="1554.4753983676787"/>
    <n v="1"/>
    <n v="0"/>
    <n v="0"/>
    <n v="0"/>
    <n v="0"/>
    <n v="0"/>
    <n v="0"/>
    <n v="0"/>
    <n v="0"/>
    <n v="0"/>
  </r>
  <r>
    <d v="2024-08-20T00:00:00"/>
    <n v="2024"/>
    <x v="27"/>
    <s v="R"/>
    <s v="RS"/>
    <x v="7"/>
    <s v="SEA"/>
    <s v="H"/>
    <n v="2"/>
    <n v="1"/>
    <n v="1"/>
    <n v="-1"/>
    <n v="8"/>
    <n v="-8"/>
    <n v="1379.9347677397047"/>
    <n v="1545.4586937043755"/>
    <n v="0.40680576938750745"/>
    <n v="77"/>
    <n v="83"/>
    <n v="0"/>
    <n v="-6"/>
    <n v="0"/>
    <n v="0.30869976372724217"/>
    <n v="1"/>
    <n v="71.8"/>
    <n v="71.8"/>
    <n v="-9.0167046633032211"/>
    <n v="1370.9180630764015"/>
    <n v="0"/>
    <n v="1"/>
    <n v="0"/>
    <n v="0"/>
    <n v="0"/>
    <n v="0"/>
    <n v="0"/>
    <n v="0"/>
    <n v="0"/>
    <n v="0"/>
  </r>
  <r>
    <d v="2024-08-21T00:00:00"/>
    <n v="2024"/>
    <x v="28"/>
    <s v="R"/>
    <s v="RS"/>
    <x v="2"/>
    <s v="ATL"/>
    <s v="A"/>
    <n v="2"/>
    <n v="2"/>
    <n v="0"/>
    <n v="0"/>
    <n v="0"/>
    <n v="0"/>
    <n v="1495.0252821074293"/>
    <n v="1400.6122179576505"/>
    <n v="0.51498111848298433"/>
    <n v="63"/>
    <n v="72"/>
    <n v="0"/>
    <n v="-9"/>
    <n v="0"/>
    <n v="0.37636041080648469"/>
    <n v="1"/>
    <n v="71.650000000000006"/>
    <n v="71.650000000000006"/>
    <n v="-13.887095905449961"/>
    <n v="1481.1381862019794"/>
    <n v="0"/>
    <n v="1"/>
    <n v="0"/>
    <n v="0"/>
    <n v="0"/>
    <n v="0"/>
    <n v="0"/>
    <n v="0"/>
    <n v="0"/>
    <n v="0"/>
  </r>
  <r>
    <d v="2024-08-21T00:00:00"/>
    <n v="2024"/>
    <x v="26"/>
    <s v="R"/>
    <s v="RS"/>
    <x v="10"/>
    <s v="PHX"/>
    <s v="H"/>
    <n v="2"/>
    <n v="2"/>
    <n v="0"/>
    <n v="0"/>
    <n v="0"/>
    <n v="0"/>
    <n v="1400.6122179576505"/>
    <n v="1495.0252821074293"/>
    <n v="0.48501888151701561"/>
    <n v="72"/>
    <n v="63"/>
    <n v="0"/>
    <n v="9"/>
    <n v="1"/>
    <n v="0.37636041080648469"/>
    <n v="1"/>
    <n v="71.95"/>
    <n v="71.95"/>
    <n v="13.945241457042917"/>
    <n v="1414.5574594146933"/>
    <n v="1"/>
    <n v="0"/>
    <n v="0"/>
    <n v="0"/>
    <n v="0"/>
    <n v="0"/>
    <n v="0"/>
    <n v="0"/>
    <n v="0"/>
    <n v="0"/>
  </r>
  <r>
    <d v="2024-08-21T00:00:00"/>
    <n v="2024"/>
    <x v="28"/>
    <s v="R"/>
    <s v="RS"/>
    <x v="4"/>
    <s v="LVA"/>
    <s v="A"/>
    <n v="3"/>
    <n v="2"/>
    <n v="1"/>
    <n v="-1"/>
    <n v="8"/>
    <n v="-8"/>
    <n v="1591.9588543777877"/>
    <n v="1622.6015082109593"/>
    <n v="0.36173705426651748"/>
    <n v="98"/>
    <n v="87"/>
    <n v="0"/>
    <n v="11"/>
    <n v="1"/>
    <n v="0.42888417906300508"/>
    <n v="1"/>
    <n v="71.650000000000006"/>
    <n v="71.650000000000006"/>
    <n v="19.613534016693748"/>
    <n v="1611.5723883944815"/>
    <n v="1"/>
    <n v="0"/>
    <n v="0"/>
    <n v="0"/>
    <n v="0"/>
    <n v="0"/>
    <n v="0"/>
    <n v="0"/>
    <n v="0"/>
    <n v="0"/>
  </r>
  <r>
    <d v="2024-08-21T00:00:00"/>
    <n v="2024"/>
    <x v="26"/>
    <s v="R"/>
    <s v="RS"/>
    <x v="3"/>
    <s v="MIN"/>
    <s v="H"/>
    <n v="2"/>
    <n v="3"/>
    <n v="-1"/>
    <n v="1"/>
    <n v="-8"/>
    <n v="8"/>
    <n v="1622.6015082109593"/>
    <n v="1591.9588543777877"/>
    <n v="0.63826294573348252"/>
    <n v="87"/>
    <n v="98"/>
    <n v="0"/>
    <n v="-11"/>
    <n v="0"/>
    <n v="0.42888417906300508"/>
    <n v="1"/>
    <n v="71.95"/>
    <n v="71.95"/>
    <n v="-19.695656280545919"/>
    <n v="1602.9058519304133"/>
    <n v="0"/>
    <n v="1"/>
    <n v="0"/>
    <n v="0"/>
    <n v="0"/>
    <n v="0"/>
    <n v="0"/>
    <n v="0"/>
    <n v="0"/>
    <n v="0"/>
  </r>
  <r>
    <d v="2024-08-22T00:00:00"/>
    <n v="2024"/>
    <x v="27"/>
    <s v="R"/>
    <s v="RS"/>
    <x v="9"/>
    <s v="NYL"/>
    <s v="A"/>
    <n v="1"/>
    <n v="1"/>
    <n v="0"/>
    <n v="0"/>
    <n v="0"/>
    <n v="0"/>
    <n v="1358.0332692403774"/>
    <n v="1724.8468455037389"/>
    <n v="6.9454988631497974E-2"/>
    <n v="71"/>
    <n v="79"/>
    <n v="0"/>
    <n v="-8"/>
    <n v="0"/>
    <n v="0.29740528743368605"/>
    <n v="1"/>
    <n v="71.8"/>
    <n v="71.8"/>
    <n v="-1.4831209655795607"/>
    <n v="1356.5501482747979"/>
    <n v="0"/>
    <n v="1"/>
    <n v="0"/>
    <n v="0"/>
    <n v="0"/>
    <n v="0"/>
    <n v="0"/>
    <n v="0"/>
    <n v="0"/>
    <n v="0"/>
  </r>
  <r>
    <d v="2024-08-22T00:00:00"/>
    <n v="2024"/>
    <x v="29"/>
    <s v="R"/>
    <s v="RS"/>
    <x v="6"/>
    <s v="DAL"/>
    <s v="H"/>
    <n v="1"/>
    <n v="1"/>
    <n v="0"/>
    <n v="0"/>
    <n v="0"/>
    <n v="0"/>
    <n v="1724.8468455037389"/>
    <n v="1358.0332692403774"/>
    <n v="0.9305450113685021"/>
    <n v="79"/>
    <n v="71"/>
    <n v="0"/>
    <n v="8"/>
    <n v="1"/>
    <n v="0.29740528743368605"/>
    <n v="1"/>
    <n v="71.5"/>
    <n v="71.5"/>
    <n v="1.4769240813222633"/>
    <n v="1726.3237695850612"/>
    <n v="1"/>
    <n v="0"/>
    <n v="0"/>
    <n v="0"/>
    <n v="0"/>
    <n v="0"/>
    <n v="0"/>
    <n v="0"/>
    <n v="0"/>
    <n v="0"/>
  </r>
  <r>
    <d v="2024-08-23T00:00:00"/>
    <n v="2024"/>
    <x v="29"/>
    <s v="R"/>
    <s v="RS"/>
    <x v="2"/>
    <s v="ATL"/>
    <s v="A"/>
    <n v="1"/>
    <n v="1"/>
    <n v="0"/>
    <n v="0"/>
    <n v="0"/>
    <n v="0"/>
    <n v="1481.1381862019794"/>
    <n v="1414.5574594146933"/>
    <n v="0.47495263430688561"/>
    <n v="82"/>
    <n v="80"/>
    <n v="0"/>
    <n v="2"/>
    <n v="1"/>
    <n v="0.25376162622248905"/>
    <n v="1"/>
    <n v="71.5"/>
    <n v="71.5"/>
    <n v="9.5264364453914805"/>
    <n v="1490.6646226473708"/>
    <n v="1"/>
    <n v="0"/>
    <n v="0"/>
    <n v="0"/>
    <n v="0"/>
    <n v="0"/>
    <n v="0"/>
    <n v="0"/>
    <n v="0"/>
    <n v="0"/>
  </r>
  <r>
    <d v="2024-08-23T00:00:00"/>
    <n v="2024"/>
    <x v="27"/>
    <s v="R"/>
    <s v="RS"/>
    <x v="10"/>
    <s v="PHX"/>
    <s v="H"/>
    <n v="1"/>
    <n v="1"/>
    <n v="0"/>
    <n v="0"/>
    <n v="0"/>
    <n v="0"/>
    <n v="1414.5574594146933"/>
    <n v="1481.1381862019794"/>
    <n v="0.5250473656931145"/>
    <n v="80"/>
    <n v="82"/>
    <n v="0"/>
    <n v="-2"/>
    <n v="0"/>
    <n v="0.25376162622248905"/>
    <n v="1"/>
    <n v="71.8"/>
    <n v="71.8"/>
    <n v="-9.5664075074001182"/>
    <n v="1404.9910519072932"/>
    <n v="0"/>
    <n v="1"/>
    <n v="0"/>
    <n v="0"/>
    <n v="0"/>
    <n v="0"/>
    <n v="0"/>
    <n v="0"/>
    <n v="0"/>
    <n v="0"/>
  </r>
  <r>
    <d v="2024-08-23T00:00:00"/>
    <n v="2024"/>
    <x v="27"/>
    <s v="R"/>
    <s v="RS"/>
    <x v="8"/>
    <s v="CON"/>
    <s v="A"/>
    <n v="4"/>
    <n v="2"/>
    <n v="2"/>
    <n v="-2"/>
    <n v="16"/>
    <n v="-16"/>
    <n v="1447.5067421300848"/>
    <n v="1612.533892579035"/>
    <n v="0.22281982849855606"/>
    <n v="80"/>
    <n v="82"/>
    <n v="0"/>
    <n v="-2"/>
    <n v="0"/>
    <n v="0.23546021400811987"/>
    <n v="1"/>
    <n v="71.8"/>
    <n v="71.8"/>
    <n v="-3.767001683352921"/>
    <n v="1443.739740446732"/>
    <n v="0"/>
    <n v="1"/>
    <n v="0"/>
    <n v="0"/>
    <n v="0"/>
    <n v="0"/>
    <n v="0"/>
    <n v="0"/>
    <n v="0"/>
    <n v="0"/>
  </r>
  <r>
    <d v="2024-08-23T00:00:00"/>
    <n v="2024"/>
    <x v="27"/>
    <s v="R"/>
    <s v="RS"/>
    <x v="1"/>
    <s v="CHI"/>
    <s v="H"/>
    <n v="2"/>
    <n v="4"/>
    <n v="-2"/>
    <n v="2"/>
    <n v="-16"/>
    <n v="16"/>
    <n v="1612.533892579035"/>
    <n v="1447.5067421300848"/>
    <n v="0.77718017150144403"/>
    <n v="82"/>
    <n v="80"/>
    <n v="0"/>
    <n v="2"/>
    <n v="1"/>
    <n v="0.23546021400811987"/>
    <n v="1"/>
    <n v="71.8"/>
    <n v="71.8"/>
    <n v="3.7670016833529192"/>
    <n v="1616.3008942623878"/>
    <n v="1"/>
    <n v="0"/>
    <n v="0"/>
    <n v="0"/>
    <n v="0"/>
    <n v="0"/>
    <n v="0"/>
    <n v="0"/>
    <n v="0"/>
    <n v="0"/>
  </r>
  <r>
    <d v="2024-08-23T00:00:00"/>
    <n v="2024"/>
    <x v="27"/>
    <s v="R"/>
    <s v="RS"/>
    <x v="3"/>
    <s v="MIN"/>
    <s v="A"/>
    <n v="1"/>
    <n v="1"/>
    <n v="0"/>
    <n v="0"/>
    <n v="0"/>
    <n v="0"/>
    <n v="1602.9058519304133"/>
    <n v="1611.5723883944815"/>
    <n v="0.36971690983113797"/>
    <n v="74"/>
    <n v="87"/>
    <n v="0"/>
    <n v="-13"/>
    <n v="0"/>
    <n v="0.46865904671613356"/>
    <n v="1"/>
    <n v="71.8"/>
    <n v="71.8"/>
    <n v="-12.440870330270039"/>
    <n v="1590.4649816001433"/>
    <n v="0"/>
    <n v="1"/>
    <n v="0"/>
    <n v="0"/>
    <n v="0"/>
    <n v="0"/>
    <n v="0"/>
    <n v="0"/>
    <n v="0"/>
    <n v="0"/>
  </r>
  <r>
    <d v="2024-08-23T00:00:00"/>
    <n v="2024"/>
    <x v="29"/>
    <s v="R"/>
    <s v="RS"/>
    <x v="4"/>
    <s v="LVA"/>
    <s v="H"/>
    <n v="1"/>
    <n v="1"/>
    <n v="0"/>
    <n v="0"/>
    <n v="0"/>
    <n v="0"/>
    <n v="1611.5723883944815"/>
    <n v="1602.9058519304133"/>
    <n v="0.63028309016886208"/>
    <n v="87"/>
    <n v="74"/>
    <n v="0"/>
    <n v="13"/>
    <n v="1"/>
    <n v="0.46865904671613356"/>
    <n v="1"/>
    <n v="71.5"/>
    <n v="71.5"/>
    <n v="12.388888977915149"/>
    <n v="1623.9612773723968"/>
    <n v="1"/>
    <n v="0"/>
    <n v="0"/>
    <n v="0"/>
    <n v="0"/>
    <n v="0"/>
    <n v="0"/>
    <n v="0"/>
    <n v="0"/>
    <n v="0"/>
  </r>
  <r>
    <d v="2024-08-23T00:00:00"/>
    <n v="2024"/>
    <x v="28"/>
    <s v="R"/>
    <s v="RS"/>
    <x v="11"/>
    <s v="WAS"/>
    <s v="A"/>
    <n v="2"/>
    <n v="2"/>
    <n v="0"/>
    <n v="0"/>
    <n v="0"/>
    <n v="0"/>
    <n v="1343.8860350289142"/>
    <n v="1370.9180630764015"/>
    <n v="0.34543831679551856"/>
    <n v="74"/>
    <n v="80"/>
    <n v="0"/>
    <n v="-6"/>
    <n v="0"/>
    <n v="0.34354189921184042"/>
    <n v="1"/>
    <n v="71.650000000000006"/>
    <n v="71.650000000000006"/>
    <n v="-8.5028871623037503"/>
    <n v="1335.3831478666104"/>
    <n v="0"/>
    <n v="1"/>
    <n v="0"/>
    <n v="0"/>
    <n v="0"/>
    <n v="0"/>
    <n v="0"/>
    <n v="0"/>
    <n v="0"/>
    <n v="0"/>
  </r>
  <r>
    <d v="2024-08-23T00:00:00"/>
    <n v="2024"/>
    <x v="28"/>
    <s v="R"/>
    <s v="RS"/>
    <x v="7"/>
    <s v="LAS"/>
    <s v="H"/>
    <n v="2"/>
    <n v="2"/>
    <n v="0"/>
    <n v="0"/>
    <n v="0"/>
    <n v="0"/>
    <n v="1370.9180630764015"/>
    <n v="1343.8860350289142"/>
    <n v="0.65456168320448138"/>
    <n v="80"/>
    <n v="74"/>
    <n v="0"/>
    <n v="6"/>
    <n v="1"/>
    <n v="0.34354189921184042"/>
    <n v="1"/>
    <n v="71.650000000000006"/>
    <n v="71.650000000000006"/>
    <n v="8.5028871623037521"/>
    <n v="1379.4209502387052"/>
    <n v="1"/>
    <n v="0"/>
    <n v="0"/>
    <n v="0"/>
    <n v="0"/>
    <n v="0"/>
    <n v="0"/>
    <n v="0"/>
    <n v="0"/>
    <n v="0"/>
  </r>
  <r>
    <d v="2024-08-24T00:00:00"/>
    <n v="2024"/>
    <x v="28"/>
    <s v="R"/>
    <s v="RS"/>
    <x v="0"/>
    <s v="MIN"/>
    <s v="A"/>
    <n v="5"/>
    <n v="0"/>
    <n v="5"/>
    <n v="-5"/>
    <n v="16"/>
    <n v="-16"/>
    <n v="1476.8182931957833"/>
    <n v="1623.9612773723968"/>
    <n v="0.24115472428157803"/>
    <n v="80"/>
    <n v="90"/>
    <n v="0"/>
    <n v="-10"/>
    <n v="0"/>
    <n v="0.37691295219793303"/>
    <n v="1"/>
    <n v="71.650000000000006"/>
    <n v="71.650000000000006"/>
    <n v="-6.5125793940393599"/>
    <n v="1470.3057138017439"/>
    <n v="0"/>
    <n v="1"/>
    <n v="0"/>
    <n v="0"/>
    <n v="0"/>
    <n v="0"/>
    <n v="0"/>
    <n v="0"/>
    <n v="0"/>
    <n v="0"/>
  </r>
  <r>
    <d v="2024-08-24T00:00:00"/>
    <n v="2024"/>
    <x v="30"/>
    <s v="R"/>
    <s v="RS"/>
    <x v="4"/>
    <s v="IND"/>
    <s v="H"/>
    <n v="0"/>
    <n v="5"/>
    <n v="-5"/>
    <n v="5"/>
    <n v="-16"/>
    <n v="16"/>
    <n v="1623.9612773723968"/>
    <n v="1476.8182931957833"/>
    <n v="0.75884527571842197"/>
    <n v="90"/>
    <n v="80"/>
    <n v="0"/>
    <n v="10"/>
    <n v="1"/>
    <n v="0.37691295219793303"/>
    <n v="1"/>
    <n v="71.349999999999994"/>
    <n v="71.349999999999994"/>
    <n v="6.4853110923197237"/>
    <n v="1630.4465884647166"/>
    <n v="1"/>
    <n v="0"/>
    <n v="0"/>
    <n v="0"/>
    <n v="0"/>
    <n v="0"/>
    <n v="0"/>
    <n v="0"/>
    <n v="0"/>
    <n v="0"/>
  </r>
  <r>
    <d v="2024-08-24T00:00:00"/>
    <n v="2024"/>
    <x v="28"/>
    <s v="R"/>
    <s v="RS"/>
    <x v="1"/>
    <s v="NYL"/>
    <s v="A"/>
    <n v="0"/>
    <n v="1"/>
    <n v="-1"/>
    <n v="1"/>
    <n v="-8"/>
    <n v="8"/>
    <n v="1616.3008942623878"/>
    <n v="1726.3237695850612"/>
    <n v="0.2298800103489915"/>
    <n v="72"/>
    <n v="64"/>
    <n v="0"/>
    <n v="8"/>
    <n v="1"/>
    <n v="0.35570267571765174"/>
    <n v="1"/>
    <n v="71.650000000000006"/>
    <n v="71.650000000000006"/>
    <n v="19.627352538531131"/>
    <n v="1635.9282468009189"/>
    <n v="1"/>
    <n v="0"/>
    <n v="0"/>
    <n v="0"/>
    <n v="0"/>
    <n v="0"/>
    <n v="0"/>
    <n v="0"/>
    <n v="0"/>
    <n v="0"/>
  </r>
  <r>
    <d v="2024-08-24T00:00:00"/>
    <n v="2024"/>
    <x v="30"/>
    <s v="R"/>
    <s v="RS"/>
    <x v="6"/>
    <s v="CON"/>
    <s v="H"/>
    <n v="1"/>
    <n v="0"/>
    <n v="1"/>
    <n v="-1"/>
    <n v="8"/>
    <n v="-8"/>
    <n v="1726.3237695850612"/>
    <n v="1616.3008942623878"/>
    <n v="0.77011998965100847"/>
    <n v="64"/>
    <n v="72"/>
    <n v="0"/>
    <n v="-8"/>
    <n v="0"/>
    <n v="0.35570267571765174"/>
    <n v="1"/>
    <n v="71.349999999999994"/>
    <n v="71.349999999999994"/>
    <n v="-19.54517241624837"/>
    <n v="1706.7785971688129"/>
    <n v="0"/>
    <n v="1"/>
    <n v="0"/>
    <n v="0"/>
    <n v="0"/>
    <n v="0"/>
    <n v="0"/>
    <n v="0"/>
    <n v="0"/>
    <n v="0"/>
  </r>
  <r>
    <d v="2024-08-25T00:00:00"/>
    <n v="2024"/>
    <x v="28"/>
    <s v="R"/>
    <s v="RS"/>
    <x v="3"/>
    <s v="CHI"/>
    <s v="A"/>
    <n v="1"/>
    <n v="1"/>
    <n v="0"/>
    <n v="0"/>
    <n v="0"/>
    <n v="0"/>
    <n v="1590.4649816001433"/>
    <n v="1443.739740446732"/>
    <n v="0.58930076049340885"/>
    <n v="77"/>
    <n v="75"/>
    <n v="0"/>
    <n v="2"/>
    <n v="1"/>
    <n v="0.2386601031523925"/>
    <n v="1"/>
    <n v="71.650000000000006"/>
    <n v="71.650000000000006"/>
    <n v="7.0229555132953205"/>
    <n v="1597.4879371134386"/>
    <n v="1"/>
    <n v="0"/>
    <n v="0"/>
    <n v="0"/>
    <n v="0"/>
    <n v="0"/>
    <n v="0"/>
    <n v="0"/>
    <n v="0"/>
    <n v="0"/>
  </r>
  <r>
    <d v="2024-08-25T00:00:00"/>
    <n v="2024"/>
    <x v="28"/>
    <s v="R"/>
    <s v="RS"/>
    <x v="8"/>
    <s v="LVA"/>
    <s v="H"/>
    <n v="1"/>
    <n v="1"/>
    <n v="0"/>
    <n v="0"/>
    <n v="0"/>
    <n v="0"/>
    <n v="1443.739740446732"/>
    <n v="1590.4649816001433"/>
    <n v="0.41069923950659115"/>
    <n v="75"/>
    <n v="77"/>
    <n v="0"/>
    <n v="-2"/>
    <n v="0"/>
    <n v="0.2386601031523925"/>
    <n v="1"/>
    <n v="71.650000000000006"/>
    <n v="71.650000000000006"/>
    <n v="-7.0229555132953205"/>
    <n v="1436.7167849334367"/>
    <n v="0"/>
    <n v="1"/>
    <n v="0"/>
    <n v="0"/>
    <n v="0"/>
    <n v="0"/>
    <n v="0"/>
    <n v="0"/>
    <n v="0"/>
    <n v="0"/>
  </r>
  <r>
    <d v="2024-08-25T00:00:00"/>
    <n v="2024"/>
    <x v="29"/>
    <s v="R"/>
    <s v="RS"/>
    <x v="11"/>
    <s v="DAL"/>
    <s v="A"/>
    <n v="1"/>
    <n v="2"/>
    <n v="-1"/>
    <n v="1"/>
    <n v="-8"/>
    <n v="8"/>
    <n v="1335.3831478666104"/>
    <n v="1356.5501482747979"/>
    <n v="0.33236822466970323"/>
    <n v="110"/>
    <n v="113"/>
    <n v="0"/>
    <n v="-3"/>
    <n v="0"/>
    <n v="0.2851536482741947"/>
    <n v="1"/>
    <n v="71.5"/>
    <n v="71.5"/>
    <n v="-6.7764848462012903"/>
    <n v="1328.6066630204091"/>
    <n v="0"/>
    <n v="1"/>
    <n v="0"/>
    <n v="0"/>
    <n v="0"/>
    <n v="0"/>
    <n v="0"/>
    <n v="0"/>
    <n v="0"/>
    <n v="0"/>
  </r>
  <r>
    <d v="2024-08-25T00:00:00"/>
    <n v="2024"/>
    <x v="28"/>
    <s v="R"/>
    <s v="RS"/>
    <x v="9"/>
    <s v="LAS"/>
    <s v="H"/>
    <n v="2"/>
    <n v="1"/>
    <n v="1"/>
    <n v="-1"/>
    <n v="8"/>
    <n v="-8"/>
    <n v="1356.5501482747979"/>
    <n v="1335.3831478666104"/>
    <n v="0.66763177533029683"/>
    <n v="113"/>
    <n v="110"/>
    <n v="0"/>
    <n v="3"/>
    <n v="1"/>
    <n v="0.2851536482741947"/>
    <n v="1"/>
    <n v="71.650000000000006"/>
    <n v="71.650000000000006"/>
    <n v="6.7907012479765374"/>
    <n v="1363.3408495227745"/>
    <n v="1"/>
    <n v="0"/>
    <n v="0"/>
    <n v="0"/>
    <n v="0"/>
    <n v="0"/>
    <n v="0"/>
    <n v="0"/>
    <n v="0"/>
    <n v="0"/>
  </r>
  <r>
    <d v="2024-08-26T00:00:00"/>
    <n v="2024"/>
    <x v="29"/>
    <s v="R"/>
    <s v="RS"/>
    <x v="0"/>
    <s v="ATL"/>
    <s v="A"/>
    <n v="1"/>
    <n v="2"/>
    <n v="-1"/>
    <n v="1"/>
    <n v="-8"/>
    <n v="8"/>
    <n v="1470.3057138017439"/>
    <n v="1404.9910519072932"/>
    <n v="0.45024895772482648"/>
    <n v="84"/>
    <n v="79"/>
    <n v="0"/>
    <n v="5"/>
    <n v="1"/>
    <n v="0.31463096298706006"/>
    <n v="1"/>
    <n v="71.5"/>
    <n v="71.5"/>
    <n v="12.367262038143712"/>
    <n v="1482.6729758398876"/>
    <n v="1"/>
    <n v="0"/>
    <n v="0"/>
    <n v="0"/>
    <n v="0"/>
    <n v="0"/>
    <n v="0"/>
    <n v="0"/>
    <n v="0"/>
    <n v="0"/>
  </r>
  <r>
    <d v="2024-08-26T00:00:00"/>
    <n v="2024"/>
    <x v="28"/>
    <s v="R"/>
    <s v="RS"/>
    <x v="10"/>
    <s v="IND"/>
    <s v="H"/>
    <n v="2"/>
    <n v="1"/>
    <n v="1"/>
    <n v="-1"/>
    <n v="8"/>
    <n v="-8"/>
    <n v="1404.9910519072932"/>
    <n v="1470.3057138017439"/>
    <n v="0.54975104227517357"/>
    <n v="79"/>
    <n v="84"/>
    <n v="0"/>
    <n v="-5"/>
    <n v="0"/>
    <n v="0.31463096298706006"/>
    <n v="1"/>
    <n v="71.650000000000006"/>
    <n v="71.650000000000006"/>
    <n v="-12.393207343118844"/>
    <n v="1392.5978445641745"/>
    <n v="0"/>
    <n v="1"/>
    <n v="0"/>
    <n v="0"/>
    <n v="0"/>
    <n v="0"/>
    <n v="0"/>
    <n v="0"/>
    <n v="0"/>
    <n v="0"/>
  </r>
  <r>
    <d v="2024-08-26T00:00:00"/>
    <n v="2024"/>
    <x v="31"/>
    <s v="R"/>
    <s v="RS"/>
    <x v="6"/>
    <s v="PHX"/>
    <s v="A"/>
    <n v="1"/>
    <n v="2"/>
    <n v="-1"/>
    <n v="1"/>
    <n v="-8"/>
    <n v="8"/>
    <n v="1706.7785971688129"/>
    <n v="1490.6646226473708"/>
    <n v="0.66114609191558849"/>
    <n v="84"/>
    <n v="70"/>
    <n v="0"/>
    <n v="14"/>
    <n v="1"/>
    <n v="0.41319394820509331"/>
    <n v="1"/>
    <n v="71.2"/>
    <n v="71.2"/>
    <n v="9.9688817512040124"/>
    <n v="1716.7474789200169"/>
    <n v="1"/>
    <n v="0"/>
    <n v="0"/>
    <n v="0"/>
    <n v="0"/>
    <n v="0"/>
    <n v="0"/>
    <n v="0"/>
    <n v="0"/>
    <n v="0"/>
  </r>
  <r>
    <d v="2024-08-26T00:00:00"/>
    <n v="2024"/>
    <x v="30"/>
    <s v="R"/>
    <s v="RS"/>
    <x v="2"/>
    <s v="NYL"/>
    <s v="H"/>
    <n v="2"/>
    <n v="1"/>
    <n v="1"/>
    <n v="-1"/>
    <n v="8"/>
    <n v="-8"/>
    <n v="1490.6646226473708"/>
    <n v="1706.7785971688129"/>
    <n v="0.33885390808441151"/>
    <n v="70"/>
    <n v="84"/>
    <n v="0"/>
    <n v="-14"/>
    <n v="0"/>
    <n v="0.41319394820509331"/>
    <n v="1"/>
    <n v="71.349999999999994"/>
    <n v="71.349999999999994"/>
    <n v="-9.9898836088259308"/>
    <n v="1480.6747390385449"/>
    <n v="0"/>
    <n v="1"/>
    <n v="0"/>
    <n v="0"/>
    <n v="0"/>
    <n v="0"/>
    <n v="0"/>
    <n v="0"/>
    <n v="0"/>
    <n v="0"/>
  </r>
  <r>
    <d v="2024-08-26T00:00:00"/>
    <n v="2024"/>
    <x v="29"/>
    <s v="R"/>
    <s v="RS"/>
    <x v="7"/>
    <s v="SEA"/>
    <s v="A"/>
    <n v="2"/>
    <n v="5"/>
    <n v="-3"/>
    <n v="3"/>
    <n v="-16"/>
    <n v="16"/>
    <n v="1379.4209502387052"/>
    <n v="1554.4753983676787"/>
    <n v="0.15769969018242816"/>
    <n v="74"/>
    <n v="72"/>
    <n v="0"/>
    <n v="2"/>
    <n v="1"/>
    <n v="0.23374316952244581"/>
    <n v="1"/>
    <n v="71.5"/>
    <n v="71.5"/>
    <n v="14.07705900361456"/>
    <n v="1393.4980092423198"/>
    <n v="1"/>
    <n v="0"/>
    <n v="0"/>
    <n v="0"/>
    <n v="0"/>
    <n v="0"/>
    <n v="0"/>
    <n v="0"/>
    <n v="0"/>
    <n v="0"/>
  </r>
  <r>
    <d v="2024-08-26T00:00:00"/>
    <n v="2024"/>
    <x v="28"/>
    <s v="R"/>
    <s v="RS"/>
    <x v="5"/>
    <s v="WAS"/>
    <s v="H"/>
    <n v="5"/>
    <n v="2"/>
    <n v="3"/>
    <n v="-3"/>
    <n v="16"/>
    <n v="-16"/>
    <n v="1554.4753983676787"/>
    <n v="1379.4209502387052"/>
    <n v="0.84230030981757187"/>
    <n v="72"/>
    <n v="74"/>
    <n v="0"/>
    <n v="-2"/>
    <n v="0"/>
    <n v="0.23374316952244581"/>
    <n v="1"/>
    <n v="71.650000000000006"/>
    <n v="71.650000000000006"/>
    <n v="-14.106591295230535"/>
    <n v="1540.3688070724481"/>
    <n v="0"/>
    <n v="1"/>
    <n v="0"/>
    <n v="0"/>
    <n v="0"/>
    <n v="0"/>
    <n v="0"/>
    <n v="0"/>
    <n v="0"/>
    <n v="0"/>
  </r>
  <r>
    <d v="2024-08-27T00:00:00"/>
    <n v="2024"/>
    <x v="29"/>
    <s v="R"/>
    <s v="RS"/>
    <x v="3"/>
    <s v="DAL"/>
    <s v="A"/>
    <n v="1"/>
    <n v="1"/>
    <n v="0"/>
    <n v="0"/>
    <n v="0"/>
    <n v="0"/>
    <n v="1597.4879371134386"/>
    <n v="1363.3408495227745"/>
    <n v="0.70356162479455686"/>
    <n v="90"/>
    <n v="93"/>
    <n v="0"/>
    <n v="-3"/>
    <n v="0"/>
    <n v="0.24280649337262333"/>
    <n v="1"/>
    <n v="71.5"/>
    <n v="71.5"/>
    <n v="-12.214297165635685"/>
    <n v="1585.2736399478031"/>
    <n v="0"/>
    <n v="1"/>
    <n v="0"/>
    <n v="0"/>
    <n v="0"/>
    <n v="0"/>
    <n v="0"/>
    <n v="0"/>
    <n v="0"/>
    <n v="0"/>
  </r>
  <r>
    <d v="2024-08-27T00:00:00"/>
    <n v="2024"/>
    <x v="29"/>
    <s v="R"/>
    <s v="RS"/>
    <x v="9"/>
    <s v="LVA"/>
    <s v="H"/>
    <n v="1"/>
    <n v="1"/>
    <n v="0"/>
    <n v="0"/>
    <n v="0"/>
    <n v="0"/>
    <n v="1363.3408495227745"/>
    <n v="1597.4879371134386"/>
    <n v="0.29643837520544308"/>
    <n v="93"/>
    <n v="90"/>
    <n v="0"/>
    <n v="3"/>
    <n v="1"/>
    <n v="0.24280649337262333"/>
    <n v="1"/>
    <n v="71.5"/>
    <n v="71.5"/>
    <n v="12.214297165635685"/>
    <n v="1375.5551466884103"/>
    <n v="1"/>
    <n v="0"/>
    <n v="0"/>
    <n v="0"/>
    <n v="0"/>
    <n v="0"/>
    <n v="0"/>
    <n v="0"/>
    <n v="0"/>
    <n v="0"/>
  </r>
  <r>
    <d v="2024-08-28T00:00:00"/>
    <n v="2024"/>
    <x v="30"/>
    <s v="R"/>
    <s v="RS"/>
    <x v="7"/>
    <s v="CHI"/>
    <s v="A"/>
    <n v="1"/>
    <n v="2"/>
    <n v="-1"/>
    <n v="1"/>
    <n v="-8"/>
    <n v="8"/>
    <n v="1393.4980092423198"/>
    <n v="1436.7167849334367"/>
    <n v="0.30482335266628235"/>
    <n v="74"/>
    <n v="70"/>
    <n v="0"/>
    <n v="4"/>
    <n v="1"/>
    <n v="0.30060620800783933"/>
    <n v="1"/>
    <n v="71.349999999999994"/>
    <n v="71.349999999999994"/>
    <n v="14.91032457093973"/>
    <n v="1408.4083338132596"/>
    <n v="1"/>
    <n v="0"/>
    <n v="0"/>
    <n v="0"/>
    <n v="0"/>
    <n v="0"/>
    <n v="0"/>
    <n v="0"/>
    <n v="0"/>
    <n v="0"/>
  </r>
  <r>
    <d v="2024-08-28T00:00:00"/>
    <n v="2024"/>
    <x v="29"/>
    <s v="R"/>
    <s v="RS"/>
    <x v="8"/>
    <s v="WAS"/>
    <s v="H"/>
    <n v="2"/>
    <n v="1"/>
    <n v="1"/>
    <n v="-1"/>
    <n v="8"/>
    <n v="-8"/>
    <n v="1436.7167849334367"/>
    <n v="1393.4980092423198"/>
    <n v="0.69517664733371765"/>
    <n v="70"/>
    <n v="74"/>
    <n v="0"/>
    <n v="-4"/>
    <n v="0"/>
    <n v="0.30060620800783933"/>
    <n v="1"/>
    <n v="71.5"/>
    <n v="71.5"/>
    <n v="-14.94167073331732"/>
    <n v="1421.7751142001193"/>
    <n v="0"/>
    <n v="1"/>
    <n v="0"/>
    <n v="0"/>
    <n v="0"/>
    <n v="0"/>
    <n v="0"/>
    <n v="0"/>
    <n v="0"/>
    <n v="0"/>
  </r>
  <r>
    <d v="2024-08-28T00:00:00"/>
    <n v="2024"/>
    <x v="29"/>
    <s v="R"/>
    <s v="RS"/>
    <x v="1"/>
    <s v="IND"/>
    <s v="A"/>
    <n v="3"/>
    <n v="1"/>
    <n v="2"/>
    <n v="-2"/>
    <n v="16"/>
    <n v="-16"/>
    <n v="1635.9282468009189"/>
    <n v="1482.6729758398876"/>
    <n v="0.64172802995914191"/>
    <n v="80"/>
    <n v="84"/>
    <n v="0"/>
    <n v="-4"/>
    <n v="0"/>
    <n v="0.27616318214615471"/>
    <n v="1"/>
    <n v="71.5"/>
    <n v="71.5"/>
    <n v="-12.671348320051818"/>
    <n v="1623.2568984808672"/>
    <n v="0"/>
    <n v="1"/>
    <n v="0"/>
    <n v="0"/>
    <n v="0"/>
    <n v="0"/>
    <n v="0"/>
    <n v="0"/>
    <n v="0"/>
    <n v="0"/>
  </r>
  <r>
    <d v="2024-08-28T00:00:00"/>
    <n v="2024"/>
    <x v="30"/>
    <s v="R"/>
    <s v="RS"/>
    <x v="0"/>
    <s v="CON"/>
    <s v="H"/>
    <n v="1"/>
    <n v="3"/>
    <n v="-2"/>
    <n v="2"/>
    <n v="-16"/>
    <n v="16"/>
    <n v="1482.6729758398876"/>
    <n v="1635.9282468009189"/>
    <n v="0.35827197004085798"/>
    <n v="84"/>
    <n v="80"/>
    <n v="0"/>
    <n v="4"/>
    <n v="1"/>
    <n v="0.27616318214615471"/>
    <n v="1"/>
    <n v="71.349999999999994"/>
    <n v="71.349999999999994"/>
    <n v="12.644765071827933"/>
    <n v="1495.3177409117156"/>
    <n v="1"/>
    <n v="0"/>
    <n v="0"/>
    <n v="0"/>
    <n v="0"/>
    <n v="0"/>
    <n v="0"/>
    <n v="0"/>
    <n v="0"/>
    <n v="0"/>
  </r>
  <r>
    <d v="2024-08-28T00:00:00"/>
    <n v="2024"/>
    <x v="32"/>
    <s v="R"/>
    <s v="RS"/>
    <x v="6"/>
    <s v="LAS"/>
    <s v="A"/>
    <n v="1"/>
    <n v="2"/>
    <n v="-1"/>
    <n v="1"/>
    <n v="-8"/>
    <n v="8"/>
    <n v="1716.7474789200169"/>
    <n v="1328.6066630204091"/>
    <n v="0.84005963662250538"/>
    <n v="88"/>
    <n v="94"/>
    <n v="0"/>
    <n v="-6"/>
    <n v="0"/>
    <n v="0.26542791992308884"/>
    <n v="1"/>
    <n v="71.05"/>
    <n v="71.05"/>
    <n v="-15.842393783262082"/>
    <n v="1700.9050851367547"/>
    <n v="0"/>
    <n v="1"/>
    <n v="0"/>
    <n v="0"/>
    <n v="0"/>
    <n v="0"/>
    <n v="0"/>
    <n v="0"/>
    <n v="0"/>
    <n v="0"/>
  </r>
  <r>
    <d v="2024-08-28T00:00:00"/>
    <n v="2024"/>
    <x v="30"/>
    <s v="R"/>
    <s v="RS"/>
    <x v="11"/>
    <s v="NYL"/>
    <s v="H"/>
    <n v="2"/>
    <n v="1"/>
    <n v="1"/>
    <n v="-1"/>
    <n v="8"/>
    <n v="-8"/>
    <n v="1328.6066630204091"/>
    <n v="1716.7474789200169"/>
    <n v="0.15994036337749468"/>
    <n v="94"/>
    <n v="88"/>
    <n v="0"/>
    <n v="6"/>
    <n v="1"/>
    <n v="0.26542791992308884"/>
    <n v="1"/>
    <n v="71.349999999999994"/>
    <n v="71.349999999999994"/>
    <n v="15.909286367850097"/>
    <n v="1344.5159493882593"/>
    <n v="1"/>
    <n v="0"/>
    <n v="0"/>
    <n v="0"/>
    <n v="0"/>
    <n v="0"/>
    <n v="0"/>
    <n v="0"/>
    <n v="0"/>
    <n v="0"/>
  </r>
  <r>
    <d v="2024-08-28T00:00:00"/>
    <n v="2024"/>
    <x v="31"/>
    <s v="R"/>
    <s v="RS"/>
    <x v="4"/>
    <s v="PHX"/>
    <s v="A"/>
    <n v="3"/>
    <n v="1"/>
    <n v="2"/>
    <n v="-2"/>
    <n v="16"/>
    <n v="-16"/>
    <n v="1630.4465884647166"/>
    <n v="1480.6747390385449"/>
    <n v="0.6371047841908708"/>
    <n v="89"/>
    <n v="76"/>
    <n v="0"/>
    <n v="13"/>
    <n v="1"/>
    <n v="0.41966537309083529"/>
    <n v="1"/>
    <n v="71.2"/>
    <n v="71.2"/>
    <n v="10.843372396841719"/>
    <n v="1641.2899608615583"/>
    <n v="1"/>
    <n v="0"/>
    <n v="0"/>
    <n v="0"/>
    <n v="0"/>
    <n v="0"/>
    <n v="0"/>
    <n v="0"/>
    <n v="0"/>
    <n v="0"/>
  </r>
  <r>
    <d v="2024-08-28T00:00:00"/>
    <n v="2024"/>
    <x v="31"/>
    <s v="R"/>
    <s v="RS"/>
    <x v="2"/>
    <s v="MIN"/>
    <s v="H"/>
    <n v="1"/>
    <n v="3"/>
    <n v="-2"/>
    <n v="2"/>
    <n v="-16"/>
    <n v="16"/>
    <n v="1480.6747390385449"/>
    <n v="1630.4465884647166"/>
    <n v="0.36289521580912915"/>
    <n v="76"/>
    <n v="89"/>
    <n v="0"/>
    <n v="-13"/>
    <n v="0"/>
    <n v="0.41966537309083529"/>
    <n v="1"/>
    <n v="71.2"/>
    <n v="71.2"/>
    <n v="-10.843372396841717"/>
    <n v="1469.8313666417032"/>
    <n v="0"/>
    <n v="1"/>
    <n v="0"/>
    <n v="0"/>
    <n v="0"/>
    <n v="0"/>
    <n v="0"/>
    <n v="0"/>
    <n v="0"/>
    <n v="0"/>
  </r>
  <r>
    <d v="2024-08-28T00:00:00"/>
    <n v="2024"/>
    <x v="29"/>
    <s v="R"/>
    <s v="RS"/>
    <x v="10"/>
    <s v="SEA"/>
    <s v="A"/>
    <n v="1"/>
    <n v="1"/>
    <n v="0"/>
    <n v="0"/>
    <n v="0"/>
    <n v="0"/>
    <n v="1392.5978445641745"/>
    <n v="1540.3688070724481"/>
    <n v="0.20846863490208284"/>
    <n v="81"/>
    <n v="85"/>
    <n v="0"/>
    <n v="-4"/>
    <n v="0"/>
    <n v="0.27728693693559303"/>
    <n v="1"/>
    <n v="71.5"/>
    <n v="71.5"/>
    <n v="-4.1331024891687251"/>
    <n v="1388.4647420750057"/>
    <n v="0"/>
    <n v="1"/>
    <n v="0"/>
    <n v="0"/>
    <n v="0"/>
    <n v="0"/>
    <n v="0"/>
    <n v="0"/>
    <n v="0"/>
    <n v="0"/>
  </r>
  <r>
    <d v="2024-08-28T00:00:00"/>
    <n v="2024"/>
    <x v="29"/>
    <s v="R"/>
    <s v="RS"/>
    <x v="5"/>
    <s v="ATL"/>
    <s v="H"/>
    <n v="1"/>
    <n v="1"/>
    <n v="0"/>
    <n v="0"/>
    <n v="0"/>
    <n v="0"/>
    <n v="1540.3688070724481"/>
    <n v="1392.5978445641745"/>
    <n v="0.79153136509791722"/>
    <n v="85"/>
    <n v="81"/>
    <n v="0"/>
    <n v="4"/>
    <n v="1"/>
    <n v="0.27728693693559303"/>
    <n v="1"/>
    <n v="71.5"/>
    <n v="71.5"/>
    <n v="4.1331024891687242"/>
    <n v="1544.5019095616169"/>
    <n v="1"/>
    <n v="0"/>
    <n v="0"/>
    <n v="0"/>
    <n v="0"/>
    <n v="0"/>
    <n v="0"/>
    <n v="0"/>
    <n v="0"/>
    <n v="0"/>
  </r>
  <r>
    <d v="2024-08-30T00:00:00"/>
    <n v="2024"/>
    <x v="31"/>
    <s v="R"/>
    <s v="RS"/>
    <x v="0"/>
    <s v="CHI"/>
    <s v="A"/>
    <n v="1"/>
    <n v="1"/>
    <n v="0"/>
    <n v="0"/>
    <n v="0"/>
    <n v="0"/>
    <n v="1495.3177409117156"/>
    <n v="1421.7751142001193"/>
    <n v="0.48495517302948954"/>
    <n v="100"/>
    <n v="81"/>
    <n v="0"/>
    <n v="19"/>
    <n v="1"/>
    <n v="0.52858308245709396"/>
    <n v="1"/>
    <n v="71.2"/>
    <n v="71.2"/>
    <n v="19.383771535748096"/>
    <n v="1514.7015124474638"/>
    <n v="1"/>
    <n v="0"/>
    <n v="0"/>
    <n v="0"/>
    <n v="0"/>
    <n v="0"/>
    <n v="0"/>
    <n v="0"/>
    <n v="0"/>
    <n v="0"/>
  </r>
  <r>
    <d v="2024-08-30T00:00:00"/>
    <n v="2024"/>
    <x v="30"/>
    <s v="R"/>
    <s v="RS"/>
    <x v="8"/>
    <s v="IND"/>
    <s v="H"/>
    <n v="1"/>
    <n v="1"/>
    <n v="0"/>
    <n v="0"/>
    <n v="0"/>
    <n v="0"/>
    <n v="1421.7751142001193"/>
    <n v="1495.3177409117156"/>
    <n v="0.51504482697051046"/>
    <n v="81"/>
    <n v="100"/>
    <n v="0"/>
    <n v="-19"/>
    <n v="0"/>
    <n v="0.52858308245709396"/>
    <n v="1"/>
    <n v="71.349999999999994"/>
    <n v="71.349999999999994"/>
    <n v="-19.424608133084639"/>
    <n v="1402.3505060670348"/>
    <n v="0"/>
    <n v="1"/>
    <n v="0"/>
    <n v="0"/>
    <n v="0"/>
    <n v="0"/>
    <n v="0"/>
    <n v="0"/>
    <n v="0"/>
    <n v="0"/>
  </r>
  <r>
    <d v="2024-08-30T00:00:00"/>
    <n v="2024"/>
    <x v="32"/>
    <s v="R"/>
    <s v="RS"/>
    <x v="4"/>
    <s v="DAL"/>
    <s v="A"/>
    <n v="1"/>
    <n v="2"/>
    <n v="-1"/>
    <n v="1"/>
    <n v="-8"/>
    <n v="8"/>
    <n v="1641.2899608615583"/>
    <n v="1375.5551466884103"/>
    <n v="0.72192818936514203"/>
    <n v="76"/>
    <n v="94"/>
    <n v="0"/>
    <n v="-18"/>
    <n v="0"/>
    <n v="0.44769402500803818"/>
    <n v="1"/>
    <n v="71.05"/>
    <n v="71.05"/>
    <n v="-22.963568664162018"/>
    <n v="1618.3263921973962"/>
    <n v="0"/>
    <n v="1"/>
    <n v="0"/>
    <n v="0"/>
    <n v="0"/>
    <n v="0"/>
    <n v="0"/>
    <n v="0"/>
    <n v="0"/>
    <n v="0"/>
  </r>
  <r>
    <d v="2024-08-30T00:00:00"/>
    <n v="2024"/>
    <x v="30"/>
    <s v="R"/>
    <s v="RS"/>
    <x v="9"/>
    <s v="MIN"/>
    <s v="H"/>
    <n v="2"/>
    <n v="1"/>
    <n v="1"/>
    <n v="-1"/>
    <n v="8"/>
    <n v="-8"/>
    <n v="1375.5551466884103"/>
    <n v="1641.2899608615583"/>
    <n v="0.27807181063485792"/>
    <n v="94"/>
    <n v="76"/>
    <n v="0"/>
    <n v="18"/>
    <n v="1"/>
    <n v="0.44769402500803818"/>
    <n v="1"/>
    <n v="71.349999999999994"/>
    <n v="71.349999999999994"/>
    <n v="23.060529545221115"/>
    <n v="1398.6156762336313"/>
    <n v="1"/>
    <n v="0"/>
    <n v="0"/>
    <n v="0"/>
    <n v="0"/>
    <n v="0"/>
    <n v="0"/>
    <n v="0"/>
    <n v="0"/>
    <n v="0"/>
  </r>
  <r>
    <d v="2024-08-30T00:00:00"/>
    <n v="2024"/>
    <x v="30"/>
    <s v="R"/>
    <s v="RS"/>
    <x v="10"/>
    <s v="LVA"/>
    <s v="A"/>
    <n v="1"/>
    <n v="2"/>
    <n v="-1"/>
    <n v="1"/>
    <n v="-8"/>
    <n v="8"/>
    <n v="1388.4647420750057"/>
    <n v="1585.2736399478031"/>
    <n v="0.15334936852545053"/>
    <n v="72"/>
    <n v="83"/>
    <n v="0"/>
    <n v="-11"/>
    <n v="0"/>
    <n v="0.37786354676931827"/>
    <n v="1"/>
    <n v="71.349999999999994"/>
    <n v="71.349999999999994"/>
    <n v="-4.1343854739962529"/>
    <n v="1384.3303566010095"/>
    <n v="0"/>
    <n v="1"/>
    <n v="0"/>
    <n v="0"/>
    <n v="0"/>
    <n v="0"/>
    <n v="0"/>
    <n v="0"/>
    <n v="0"/>
    <n v="0"/>
  </r>
  <r>
    <d v="2024-08-30T00:00:00"/>
    <n v="2024"/>
    <x v="30"/>
    <s v="R"/>
    <s v="RS"/>
    <x v="3"/>
    <s v="ATL"/>
    <s v="H"/>
    <n v="2"/>
    <n v="1"/>
    <n v="1"/>
    <n v="-1"/>
    <n v="8"/>
    <n v="-8"/>
    <n v="1585.2736399478031"/>
    <n v="1388.4647420750057"/>
    <n v="0.84665063147454955"/>
    <n v="83"/>
    <n v="72"/>
    <n v="0"/>
    <n v="11"/>
    <n v="1"/>
    <n v="0.37786354676931827"/>
    <n v="1"/>
    <n v="71.349999999999994"/>
    <n v="71.349999999999994"/>
    <n v="4.1343854739962511"/>
    <n v="1589.4080254217993"/>
    <n v="1"/>
    <n v="0"/>
    <n v="0"/>
    <n v="0"/>
    <n v="0"/>
    <n v="0"/>
    <n v="0"/>
    <n v="0"/>
    <n v="0"/>
    <n v="0"/>
  </r>
  <r>
    <d v="2024-08-30T00:00:00"/>
    <n v="2024"/>
    <x v="33"/>
    <s v="R"/>
    <s v="RS"/>
    <x v="6"/>
    <s v="SEA"/>
    <s v="A"/>
    <n v="1"/>
    <n v="1"/>
    <n v="0"/>
    <n v="0"/>
    <n v="0"/>
    <n v="0"/>
    <n v="1700.9050851367547"/>
    <n v="1544.5019095616169"/>
    <n v="0.60271395623649227"/>
    <n v="98"/>
    <n v="85"/>
    <n v="0"/>
    <n v="13"/>
    <n v="1"/>
    <n v="0.41761366898655017"/>
    <n v="1"/>
    <n v="70.900000000000006"/>
    <n v="70.900000000000006"/>
    <n v="11.763166640261979"/>
    <n v="1712.6682517770166"/>
    <n v="1"/>
    <n v="0"/>
    <n v="0"/>
    <n v="0"/>
    <n v="0"/>
    <n v="0"/>
    <n v="0"/>
    <n v="0"/>
    <n v="0"/>
    <n v="0"/>
  </r>
  <r>
    <d v="2024-08-30T00:00:00"/>
    <n v="2024"/>
    <x v="30"/>
    <s v="R"/>
    <s v="RS"/>
    <x v="5"/>
    <s v="NYL"/>
    <s v="H"/>
    <n v="1"/>
    <n v="1"/>
    <n v="0"/>
    <n v="0"/>
    <n v="0"/>
    <n v="0"/>
    <n v="1544.5019095616169"/>
    <n v="1700.9050851367547"/>
    <n v="0.39728604376350779"/>
    <n v="85"/>
    <n v="98"/>
    <n v="0"/>
    <n v="-13"/>
    <n v="0"/>
    <n v="0.41761366898655017"/>
    <n v="1"/>
    <n v="71.349999999999994"/>
    <n v="71.349999999999994"/>
    <n v="-11.837827077329932"/>
    <n v="1532.6640824842871"/>
    <n v="0"/>
    <n v="1"/>
    <n v="0"/>
    <n v="0"/>
    <n v="0"/>
    <n v="0"/>
    <n v="0"/>
    <n v="0"/>
    <n v="0"/>
    <n v="0"/>
  </r>
  <r>
    <d v="2024-08-31T00:00:00"/>
    <n v="2024"/>
    <x v="30"/>
    <s v="R"/>
    <s v="RS"/>
    <x v="1"/>
    <s v="WAS"/>
    <s v="A"/>
    <n v="2"/>
    <n v="2"/>
    <n v="0"/>
    <n v="0"/>
    <n v="0"/>
    <n v="0"/>
    <n v="1623.2568984808672"/>
    <n v="1408.4083338132596"/>
    <n v="0.67988097930603852"/>
    <n v="96"/>
    <n v="85"/>
    <n v="0"/>
    <n v="11"/>
    <n v="1"/>
    <n v="0.37304569371574775"/>
    <n v="1"/>
    <n v="71.349999999999994"/>
    <n v="71.349999999999994"/>
    <n v="8.5205472301445457"/>
    <n v="1631.7774457110118"/>
    <n v="1"/>
    <n v="0"/>
    <n v="0"/>
    <n v="0"/>
    <n v="0"/>
    <n v="0"/>
    <n v="0"/>
    <n v="0"/>
    <n v="0"/>
    <n v="0"/>
  </r>
  <r>
    <d v="2024-08-31T00:00:00"/>
    <n v="2024"/>
    <x v="31"/>
    <s v="R"/>
    <s v="RS"/>
    <x v="7"/>
    <s v="CON"/>
    <s v="H"/>
    <n v="2"/>
    <n v="2"/>
    <n v="0"/>
    <n v="0"/>
    <n v="0"/>
    <n v="0"/>
    <n v="1408.4083338132596"/>
    <n v="1623.2568984808672"/>
    <n v="0.32011902069396159"/>
    <n v="85"/>
    <n v="96"/>
    <n v="0"/>
    <n v="-11"/>
    <n v="0"/>
    <n v="0.37304569371574775"/>
    <n v="1"/>
    <n v="71.2"/>
    <n v="71.2"/>
    <n v="-8.5026343768225914"/>
    <n v="1399.9056994364369"/>
    <n v="0"/>
    <n v="1"/>
    <n v="0"/>
    <n v="0"/>
    <n v="0"/>
    <n v="0"/>
    <n v="0"/>
    <n v="0"/>
    <n v="0"/>
    <n v="0"/>
  </r>
  <r>
    <d v="2024-09-01T00:00:00"/>
    <n v="2024"/>
    <x v="31"/>
    <s v="R"/>
    <s v="RS"/>
    <x v="5"/>
    <s v="CON"/>
    <s v="A"/>
    <n v="1"/>
    <n v="0"/>
    <n v="1"/>
    <n v="-1"/>
    <n v="8"/>
    <n v="-8"/>
    <n v="1532.6640824842871"/>
    <n v="1631.7774457110118"/>
    <n v="0.27648157149945113"/>
    <n v="86"/>
    <n v="93"/>
    <n v="0"/>
    <n v="-7"/>
    <n v="0"/>
    <n v="0.34187055537744748"/>
    <n v="1"/>
    <n v="71.2"/>
    <n v="71.2"/>
    <n v="-6.729888678090453"/>
    <n v="1525.9341938061966"/>
    <n v="0"/>
    <n v="1"/>
    <n v="0"/>
    <n v="0"/>
    <n v="0"/>
    <n v="0"/>
    <n v="0"/>
    <n v="0"/>
    <n v="0"/>
    <n v="0"/>
  </r>
  <r>
    <d v="2024-09-01T00:00:00"/>
    <n v="2024"/>
    <x v="31"/>
    <s v="R"/>
    <s v="RS"/>
    <x v="1"/>
    <s v="SEA"/>
    <s v="H"/>
    <n v="0"/>
    <n v="1"/>
    <n v="-1"/>
    <n v="1"/>
    <n v="-8"/>
    <n v="8"/>
    <n v="1631.7774457110118"/>
    <n v="1532.6640824842871"/>
    <n v="0.72351842850054882"/>
    <n v="93"/>
    <n v="86"/>
    <n v="0"/>
    <n v="7"/>
    <n v="1"/>
    <n v="0.34187055537744748"/>
    <n v="1"/>
    <n v="71.2"/>
    <n v="71.2"/>
    <n v="6.7298886780904548"/>
    <n v="1638.5073343891022"/>
    <n v="1"/>
    <n v="0"/>
    <n v="0"/>
    <n v="0"/>
    <n v="0"/>
    <n v="0"/>
    <n v="0"/>
    <n v="0"/>
    <n v="0"/>
    <n v="0"/>
  </r>
  <r>
    <d v="2024-09-01T00:00:00"/>
    <n v="2024"/>
    <x v="32"/>
    <s v="R"/>
    <s v="RS"/>
    <x v="0"/>
    <s v="DAL"/>
    <s v="A"/>
    <n v="1"/>
    <n v="1"/>
    <n v="0"/>
    <n v="0"/>
    <n v="0"/>
    <n v="0"/>
    <n v="1514.7015124474638"/>
    <n v="1398.6156762336313"/>
    <n v="0.54604440624348893"/>
    <n v="100"/>
    <n v="93"/>
    <n v="0"/>
    <n v="7"/>
    <n v="1"/>
    <n v="0.33746173293853743"/>
    <n v="1"/>
    <n v="71.05"/>
    <n v="71.05"/>
    <n v="10.884337167648569"/>
    <n v="1525.5858496151122"/>
    <n v="1"/>
    <n v="0"/>
    <n v="0"/>
    <n v="0"/>
    <n v="0"/>
    <n v="0"/>
    <n v="0"/>
    <n v="0"/>
    <n v="0"/>
    <n v="0"/>
  </r>
  <r>
    <d v="2024-09-01T00:00:00"/>
    <n v="2024"/>
    <x v="31"/>
    <s v="R"/>
    <s v="RS"/>
    <x v="9"/>
    <s v="IND"/>
    <s v="H"/>
    <n v="1"/>
    <n v="1"/>
    <n v="0"/>
    <n v="0"/>
    <n v="0"/>
    <n v="0"/>
    <n v="1398.6156762336313"/>
    <n v="1514.7015124474638"/>
    <n v="0.45395559375651107"/>
    <n v="93"/>
    <n v="100"/>
    <n v="0"/>
    <n v="-7"/>
    <n v="0"/>
    <n v="0.33746173293853743"/>
    <n v="1"/>
    <n v="71.2"/>
    <n v="71.2"/>
    <n v="-10.907316063850503"/>
    <n v="1387.7083601697809"/>
    <n v="0"/>
    <n v="1"/>
    <n v="0"/>
    <n v="0"/>
    <n v="0"/>
    <n v="0"/>
    <n v="0"/>
    <n v="0"/>
    <n v="0"/>
    <n v="0"/>
  </r>
  <r>
    <d v="2024-09-01T00:00:00"/>
    <n v="2024"/>
    <x v="31"/>
    <s v="R"/>
    <s v="RS"/>
    <x v="10"/>
    <s v="LAS"/>
    <s v="A"/>
    <n v="1"/>
    <n v="3"/>
    <n v="-2"/>
    <n v="2"/>
    <n v="-16"/>
    <n v="16"/>
    <n v="1384.3303566010095"/>
    <n v="1344.5159493882593"/>
    <n v="0.3920842589350495"/>
    <n v="80"/>
    <n v="62"/>
    <n v="0"/>
    <n v="18"/>
    <n v="1"/>
    <n v="0.52927334505396051"/>
    <n v="1"/>
    <n v="71.2"/>
    <n v="71.2"/>
    <n v="22.908856162249542"/>
    <n v="1407.239212763259"/>
    <n v="1"/>
    <n v="0"/>
    <n v="0"/>
    <n v="0"/>
    <n v="0"/>
    <n v="0"/>
    <n v="0"/>
    <n v="0"/>
    <n v="0"/>
    <n v="0"/>
  </r>
  <r>
    <d v="2024-09-01T00:00:00"/>
    <n v="2024"/>
    <x v="31"/>
    <s v="R"/>
    <s v="RS"/>
    <x v="11"/>
    <s v="ATL"/>
    <s v="H"/>
    <n v="3"/>
    <n v="1"/>
    <n v="2"/>
    <n v="-2"/>
    <n v="16"/>
    <n v="-16"/>
    <n v="1344.5159493882593"/>
    <n v="1384.3303566010095"/>
    <n v="0.60791574106495039"/>
    <n v="62"/>
    <n v="80"/>
    <n v="0"/>
    <n v="-18"/>
    <n v="0"/>
    <n v="0.52927334505396051"/>
    <n v="1"/>
    <n v="71.2"/>
    <n v="71.2"/>
    <n v="-22.908856162249538"/>
    <n v="1321.6070932260097"/>
    <n v="0"/>
    <n v="1"/>
    <n v="0"/>
    <n v="0"/>
    <n v="0"/>
    <n v="0"/>
    <n v="0"/>
    <n v="0"/>
    <n v="0"/>
    <n v="0"/>
  </r>
  <r>
    <d v="2024-09-01T00:00:00"/>
    <n v="2024"/>
    <x v="31"/>
    <s v="R"/>
    <s v="RS"/>
    <x v="8"/>
    <s v="MIN"/>
    <s v="A"/>
    <n v="1"/>
    <n v="1"/>
    <n v="0"/>
    <n v="0"/>
    <n v="0"/>
    <n v="0"/>
    <n v="1402.3505060670348"/>
    <n v="1618.3263921973962"/>
    <n v="0.15099735147170304"/>
    <n v="74"/>
    <n v="79"/>
    <n v="0"/>
    <n v="-5"/>
    <n v="0"/>
    <n v="0.28115391967688186"/>
    <n v="1"/>
    <n v="71.2"/>
    <n v="71.2"/>
    <n v="-3.0226890025693134"/>
    <n v="1399.3278170644655"/>
    <n v="0"/>
    <n v="1"/>
    <n v="0"/>
    <n v="0"/>
    <n v="0"/>
    <n v="0"/>
    <n v="0"/>
    <n v="0"/>
    <n v="0"/>
    <n v="0"/>
  </r>
  <r>
    <d v="2024-09-01T00:00:00"/>
    <n v="2024"/>
    <x v="33"/>
    <s v="R"/>
    <s v="RS"/>
    <x v="4"/>
    <s v="CHI"/>
    <s v="H"/>
    <n v="1"/>
    <n v="1"/>
    <n v="0"/>
    <n v="0"/>
    <n v="0"/>
    <n v="0"/>
    <n v="1618.3263921973962"/>
    <n v="1402.3505060670348"/>
    <n v="0.84900264852829699"/>
    <n v="79"/>
    <n v="74"/>
    <n v="0"/>
    <n v="5"/>
    <n v="1"/>
    <n v="0.28115391967688186"/>
    <n v="1"/>
    <n v="70.900000000000006"/>
    <n v="70.900000000000006"/>
    <n v="3.0099529534011835"/>
    <n v="1621.3363451507973"/>
    <n v="1"/>
    <n v="0"/>
    <n v="0"/>
    <n v="0"/>
    <n v="0"/>
    <n v="0"/>
    <n v="0"/>
    <n v="0"/>
    <n v="0"/>
    <n v="0"/>
  </r>
  <r>
    <d v="2024-09-01T00:00:00"/>
    <n v="2024"/>
    <x v="31"/>
    <s v="R"/>
    <s v="RS"/>
    <x v="3"/>
    <s v="PHX"/>
    <s v="A"/>
    <n v="1"/>
    <n v="3"/>
    <n v="-2"/>
    <n v="2"/>
    <n v="-16"/>
    <n v="16"/>
    <n v="1589.4080254217993"/>
    <n v="1469.8313666417032"/>
    <n v="0.50514704392431276"/>
    <n v="97"/>
    <n v="79"/>
    <n v="0"/>
    <n v="18"/>
    <n v="1"/>
    <n v="0.49728124105970534"/>
    <n v="1"/>
    <n v="71.2"/>
    <n v="71.2"/>
    <n v="17.520973760323972"/>
    <n v="1606.9289991821233"/>
    <n v="1"/>
    <n v="0"/>
    <n v="0"/>
    <n v="0"/>
    <n v="0"/>
    <n v="0"/>
    <n v="0"/>
    <n v="0"/>
    <n v="0"/>
    <n v="0"/>
  </r>
  <r>
    <d v="2024-09-01T00:00:00"/>
    <n v="2024"/>
    <x v="32"/>
    <s v="R"/>
    <s v="RS"/>
    <x v="2"/>
    <s v="LVA"/>
    <s v="H"/>
    <n v="3"/>
    <n v="1"/>
    <n v="2"/>
    <n v="-2"/>
    <n v="16"/>
    <n v="-16"/>
    <n v="1469.8313666417032"/>
    <n v="1589.4080254217993"/>
    <n v="0.49485295607568724"/>
    <n v="79"/>
    <n v="97"/>
    <n v="0"/>
    <n v="-18"/>
    <n v="0"/>
    <n v="0.49728124105970534"/>
    <n v="1"/>
    <n v="71.05"/>
    <n v="71.05"/>
    <n v="-17.484061596503064"/>
    <n v="1452.3473050452001"/>
    <n v="0"/>
    <n v="1"/>
    <n v="0"/>
    <n v="0"/>
    <n v="0"/>
    <n v="0"/>
    <n v="0"/>
    <n v="0"/>
    <n v="0"/>
    <n v="0"/>
  </r>
  <r>
    <d v="2024-09-03T00:00:00"/>
    <n v="2024"/>
    <x v="32"/>
    <s v="R"/>
    <s v="RS"/>
    <x v="5"/>
    <s v="CON"/>
    <s v="A"/>
    <n v="1"/>
    <n v="1"/>
    <n v="0"/>
    <n v="0"/>
    <n v="0"/>
    <n v="0"/>
    <n v="1525.9341938061966"/>
    <n v="1638.5073343891022"/>
    <n v="0.24387222470071568"/>
    <n v="71"/>
    <n v="64"/>
    <n v="0"/>
    <n v="7"/>
    <n v="1"/>
    <n v="0.33836484478674406"/>
    <n v="1"/>
    <n v="71.05"/>
    <n v="71.05"/>
    <n v="18.177933423160681"/>
    <n v="1544.1121272293574"/>
    <n v="1"/>
    <n v="0"/>
    <n v="0"/>
    <n v="0"/>
    <n v="0"/>
    <n v="0"/>
    <n v="0"/>
    <n v="0"/>
    <n v="0"/>
    <n v="0"/>
  </r>
  <r>
    <d v="2024-09-03T00:00:00"/>
    <n v="2024"/>
    <x v="32"/>
    <s v="R"/>
    <s v="RS"/>
    <x v="1"/>
    <s v="SEA"/>
    <s v="H"/>
    <n v="1"/>
    <n v="1"/>
    <n v="0"/>
    <n v="0"/>
    <n v="0"/>
    <n v="0"/>
    <n v="1638.5073343891022"/>
    <n v="1525.9341938061966"/>
    <n v="0.75612777529928432"/>
    <n v="64"/>
    <n v="71"/>
    <n v="0"/>
    <n v="-7"/>
    <n v="0"/>
    <n v="0.33836484478674406"/>
    <n v="1"/>
    <n v="71.05"/>
    <n v="71.05"/>
    <n v="-18.177933423160681"/>
    <n v="1620.3294009659414"/>
    <n v="0"/>
    <n v="1"/>
    <n v="0"/>
    <n v="0"/>
    <n v="0"/>
    <n v="0"/>
    <n v="0"/>
    <n v="0"/>
    <n v="0"/>
    <n v="0"/>
  </r>
  <r>
    <d v="2024-09-03T00:00:00"/>
    <n v="2024"/>
    <x v="32"/>
    <s v="R"/>
    <s v="RS"/>
    <x v="7"/>
    <s v="DAL"/>
    <s v="A"/>
    <n v="2"/>
    <n v="1"/>
    <n v="1"/>
    <n v="-1"/>
    <n v="8"/>
    <n v="-8"/>
    <n v="1399.9056994364369"/>
    <n v="1387.7083601697809"/>
    <n v="0.42037700672694661"/>
    <n v="90"/>
    <n v="86"/>
    <n v="0"/>
    <n v="4"/>
    <n v="1"/>
    <n v="0.30829904486570192"/>
    <n v="1"/>
    <n v="71.05"/>
    <n v="71.05"/>
    <n v="12.696437140548404"/>
    <n v="1412.6021365769852"/>
    <n v="1"/>
    <n v="0"/>
    <n v="0"/>
    <n v="0"/>
    <n v="0"/>
    <n v="0"/>
    <n v="0"/>
    <n v="0"/>
    <n v="0"/>
    <n v="0"/>
  </r>
  <r>
    <d v="2024-09-03T00:00:00"/>
    <n v="2024"/>
    <x v="32"/>
    <s v="R"/>
    <s v="RS"/>
    <x v="9"/>
    <s v="WAS"/>
    <s v="H"/>
    <n v="1"/>
    <n v="2"/>
    <n v="-1"/>
    <n v="1"/>
    <n v="-8"/>
    <n v="8"/>
    <n v="1387.7083601697809"/>
    <n v="1399.9056994364369"/>
    <n v="0.57962299327305333"/>
    <n v="86"/>
    <n v="90"/>
    <n v="0"/>
    <n v="-4"/>
    <n v="0"/>
    <n v="0.30829904486570192"/>
    <n v="1"/>
    <n v="71.05"/>
    <n v="71.05"/>
    <n v="-12.696437140548401"/>
    <n v="1375.0119230292325"/>
    <n v="0"/>
    <n v="1"/>
    <n v="0"/>
    <n v="0"/>
    <n v="0"/>
    <n v="0"/>
    <n v="0"/>
    <n v="0"/>
    <n v="0"/>
    <n v="0"/>
  </r>
  <r>
    <d v="2024-09-03T00:00:00"/>
    <n v="2024"/>
    <x v="32"/>
    <s v="R"/>
    <s v="RS"/>
    <x v="8"/>
    <s v="LVA"/>
    <s v="A"/>
    <n v="1"/>
    <n v="1"/>
    <n v="0"/>
    <n v="0"/>
    <n v="0"/>
    <n v="0"/>
    <n v="1399.3278170644655"/>
    <n v="1606.9289991821233"/>
    <n v="0.15728208911793459"/>
    <n v="71"/>
    <n v="90"/>
    <n v="0"/>
    <n v="-19"/>
    <n v="0"/>
    <n v="0.47824134834482601"/>
    <n v="1"/>
    <n v="71.05"/>
    <n v="71.05"/>
    <n v="-5.3442956242064135"/>
    <n v="1393.9835214402592"/>
    <n v="0"/>
    <n v="1"/>
    <n v="0"/>
    <n v="0"/>
    <n v="0"/>
    <n v="0"/>
    <n v="0"/>
    <n v="0"/>
    <n v="0"/>
    <n v="0"/>
  </r>
  <r>
    <d v="2024-09-03T00:00:00"/>
    <n v="2024"/>
    <x v="32"/>
    <s v="R"/>
    <s v="RS"/>
    <x v="3"/>
    <s v="CHI"/>
    <s v="H"/>
    <n v="1"/>
    <n v="1"/>
    <n v="0"/>
    <n v="0"/>
    <n v="0"/>
    <n v="0"/>
    <n v="1606.9289991821233"/>
    <n v="1399.3278170644655"/>
    <n v="0.84271791088206538"/>
    <n v="90"/>
    <n v="71"/>
    <n v="0"/>
    <n v="19"/>
    <n v="1"/>
    <n v="0.47824134834482601"/>
    <n v="1"/>
    <n v="71.05"/>
    <n v="71.05"/>
    <n v="5.3442956242064144"/>
    <n v="1612.2732948063297"/>
    <n v="1"/>
    <n v="0"/>
    <n v="0"/>
    <n v="0"/>
    <n v="0"/>
    <n v="0"/>
    <n v="0"/>
    <n v="0"/>
    <n v="0"/>
    <n v="0"/>
  </r>
  <r>
    <d v="2024-09-03T00:00:00"/>
    <n v="2024"/>
    <x v="32"/>
    <s v="R"/>
    <s v="RS"/>
    <x v="10"/>
    <s v="PHX"/>
    <s v="A"/>
    <n v="1"/>
    <n v="1"/>
    <n v="0"/>
    <n v="0"/>
    <n v="0"/>
    <n v="0"/>
    <n v="1407.239212763259"/>
    <n v="1452.3473050452001"/>
    <n v="0.32230349513095075"/>
    <n v="66"/>
    <n v="74"/>
    <n v="0"/>
    <n v="-8"/>
    <n v="0"/>
    <n v="0.37424754115090186"/>
    <n v="1"/>
    <n v="71.05"/>
    <n v="71.05"/>
    <n v="-8.5701426940819534"/>
    <n v="1398.669070069177"/>
    <n v="0"/>
    <n v="1"/>
    <n v="0"/>
    <n v="0"/>
    <n v="0"/>
    <n v="0"/>
    <n v="0"/>
    <n v="0"/>
    <n v="0"/>
    <n v="0"/>
  </r>
  <r>
    <d v="2024-09-03T00:00:00"/>
    <n v="2024"/>
    <x v="33"/>
    <s v="R"/>
    <s v="RS"/>
    <x v="2"/>
    <s v="ATL"/>
    <s v="H"/>
    <n v="1"/>
    <n v="1"/>
    <n v="0"/>
    <n v="0"/>
    <n v="0"/>
    <n v="0"/>
    <n v="1452.3473050452001"/>
    <n v="1407.239212763259"/>
    <n v="0.67769650486904931"/>
    <n v="74"/>
    <n v="66"/>
    <n v="0"/>
    <n v="8"/>
    <n v="1"/>
    <n v="0.37424754115090186"/>
    <n v="1"/>
    <n v="70.900000000000006"/>
    <n v="70.900000000000006"/>
    <n v="8.5520495004983879"/>
    <n v="1460.8993545456985"/>
    <n v="1"/>
    <n v="0"/>
    <n v="0"/>
    <n v="0"/>
    <n v="0"/>
    <n v="0"/>
    <n v="0"/>
    <n v="0"/>
    <n v="0"/>
    <n v="0"/>
  </r>
  <r>
    <d v="2024-09-04T00:00:00"/>
    <n v="2024"/>
    <x v="32"/>
    <s v="R"/>
    <s v="RS"/>
    <x v="11"/>
    <s v="IND"/>
    <s v="A"/>
    <n v="2"/>
    <n v="2"/>
    <n v="0"/>
    <n v="0"/>
    <n v="0"/>
    <n v="0"/>
    <n v="1321.6070932260097"/>
    <n v="1525.5858496151122"/>
    <n v="0.16006574566293025"/>
    <n v="86"/>
    <n v="93"/>
    <n v="0"/>
    <n v="-7"/>
    <n v="0"/>
    <n v="0.31633570306066439"/>
    <n v="1"/>
    <n v="71.05"/>
    <n v="71.05"/>
    <n v="-3.5975819490146002"/>
    <n v="1318.0095112769952"/>
    <n v="0"/>
    <n v="1"/>
    <n v="0"/>
    <n v="0"/>
    <n v="0"/>
    <n v="0"/>
    <n v="0"/>
    <n v="0"/>
    <n v="0"/>
    <n v="0"/>
  </r>
  <r>
    <d v="2024-09-04T00:00:00"/>
    <n v="2024"/>
    <x v="33"/>
    <s v="R"/>
    <s v="RS"/>
    <x v="0"/>
    <s v="LAS"/>
    <s v="H"/>
    <n v="2"/>
    <n v="2"/>
    <n v="0"/>
    <n v="0"/>
    <n v="0"/>
    <n v="0"/>
    <n v="1525.5858496151122"/>
    <n v="1321.6070932260097"/>
    <n v="0.83993425433706981"/>
    <n v="93"/>
    <n v="86"/>
    <n v="0"/>
    <n v="7"/>
    <n v="1"/>
    <n v="0.31633570306066439"/>
    <n v="1"/>
    <n v="70.900000000000006"/>
    <n v="70.900000000000006"/>
    <n v="3.5899867724860677"/>
    <n v="1529.1758363875983"/>
    <n v="1"/>
    <n v="0"/>
    <n v="0"/>
    <n v="0"/>
    <n v="0"/>
    <n v="0"/>
    <n v="0"/>
    <n v="0"/>
    <n v="0"/>
    <n v="0"/>
  </r>
  <r>
    <d v="2024-09-05T00:00:00"/>
    <n v="2024"/>
    <x v="33"/>
    <s v="R"/>
    <s v="RS"/>
    <x v="5"/>
    <s v="NYL"/>
    <s v="A"/>
    <n v="1"/>
    <n v="5"/>
    <n v="-4"/>
    <n v="4"/>
    <n v="-16"/>
    <n v="16"/>
    <n v="1544.1121272293574"/>
    <n v="1712.6682517770166"/>
    <n v="0.16273238262461964"/>
    <n v="70"/>
    <n v="77"/>
    <n v="0"/>
    <n v="-7"/>
    <n v="0"/>
    <n v="0.32452348794345515"/>
    <n v="1"/>
    <n v="70.900000000000006"/>
    <n v="70.900000000000006"/>
    <n v="-3.7442630611179553"/>
    <n v="1540.3678641682395"/>
    <n v="0"/>
    <n v="1"/>
    <n v="0"/>
    <n v="0"/>
    <n v="0"/>
    <n v="0"/>
    <n v="0"/>
    <n v="0"/>
    <n v="0"/>
    <n v="0"/>
  </r>
  <r>
    <d v="2024-09-05T00:00:00"/>
    <n v="2024"/>
    <x v="34"/>
    <s v="R"/>
    <s v="RS"/>
    <x v="6"/>
    <s v="SEA"/>
    <s v="H"/>
    <n v="5"/>
    <n v="1"/>
    <n v="4"/>
    <n v="-4"/>
    <n v="16"/>
    <n v="-16"/>
    <n v="1712.6682517770166"/>
    <n v="1544.1121272293574"/>
    <n v="0.83726761737538036"/>
    <n v="77"/>
    <n v="70"/>
    <n v="0"/>
    <n v="7"/>
    <n v="1"/>
    <n v="0.32452348794345515"/>
    <n v="1"/>
    <n v="70.75"/>
    <n v="70.75"/>
    <n v="3.7363414890563518"/>
    <n v="1716.4045932660729"/>
    <n v="1"/>
    <n v="0"/>
    <n v="0"/>
    <n v="0"/>
    <n v="0"/>
    <n v="0"/>
    <n v="0"/>
    <n v="0"/>
    <n v="0"/>
    <n v="0"/>
  </r>
  <r>
    <d v="2024-09-05T00:00:00"/>
    <n v="2024"/>
    <x v="33"/>
    <s v="R"/>
    <s v="RS"/>
    <x v="7"/>
    <s v="PHX"/>
    <s v="A"/>
    <n v="1"/>
    <n v="1"/>
    <n v="0"/>
    <n v="0"/>
    <n v="0"/>
    <n v="0"/>
    <n v="1412.6021365769852"/>
    <n v="1460.8993545456985"/>
    <n v="0.31830680018549734"/>
    <n v="90"/>
    <n v="77"/>
    <n v="0"/>
    <n v="13"/>
    <n v="1"/>
    <n v="0.45378015637870178"/>
    <n v="1"/>
    <n v="70.900000000000006"/>
    <n v="70.900000000000006"/>
    <n v="21.93212423912129"/>
    <n v="1434.5342608161066"/>
    <n v="1"/>
    <n v="0"/>
    <n v="0"/>
    <n v="0"/>
    <n v="0"/>
    <n v="0"/>
    <n v="0"/>
    <n v="0"/>
    <n v="0"/>
    <n v="0"/>
  </r>
  <r>
    <d v="2024-09-05T00:00:00"/>
    <n v="2024"/>
    <x v="34"/>
    <s v="R"/>
    <s v="RS"/>
    <x v="2"/>
    <s v="WAS"/>
    <s v="H"/>
    <n v="1"/>
    <n v="1"/>
    <n v="0"/>
    <n v="0"/>
    <n v="0"/>
    <n v="0"/>
    <n v="1460.8993545456985"/>
    <n v="1412.6021365769852"/>
    <n v="0.6816931998145026"/>
    <n v="77"/>
    <n v="90"/>
    <n v="0"/>
    <n v="-13"/>
    <n v="0"/>
    <n v="0.45378015637870178"/>
    <n v="1"/>
    <n v="70.75"/>
    <n v="70.75"/>
    <n v="-21.885723412099171"/>
    <n v="1439.0136311335993"/>
    <n v="0"/>
    <n v="1"/>
    <n v="0"/>
    <n v="0"/>
    <n v="0"/>
    <n v="0"/>
    <n v="0"/>
    <n v="0"/>
    <n v="0"/>
    <n v="0"/>
  </r>
  <r>
    <d v="2024-09-06T00:00:00"/>
    <n v="2024"/>
    <x v="33"/>
    <s v="R"/>
    <s v="RS"/>
    <x v="9"/>
    <s v="ATL"/>
    <s v="A"/>
    <n v="2"/>
    <n v="2"/>
    <n v="0"/>
    <n v="0"/>
    <n v="0"/>
    <n v="0"/>
    <n v="1375.0119230292325"/>
    <n v="1398.669070069177"/>
    <n v="0.34984414521421225"/>
    <n v="96"/>
    <n v="107"/>
    <n v="1"/>
    <n v="-11"/>
    <n v="0"/>
    <n v="0.38819929996513597"/>
    <n v="1"/>
    <n v="70.900000000000006"/>
    <n v="70.900000000000006"/>
    <n v="-9.6288759858762543"/>
    <n v="1365.3830470433563"/>
    <n v="0"/>
    <n v="1"/>
    <n v="0"/>
    <n v="0"/>
    <n v="0"/>
    <n v="0"/>
    <n v="0"/>
    <n v="0"/>
    <n v="0"/>
    <n v="0"/>
  </r>
  <r>
    <d v="2024-09-06T00:00:00"/>
    <n v="2024"/>
    <x v="33"/>
    <s v="R"/>
    <s v="RS"/>
    <x v="10"/>
    <s v="DAL"/>
    <s v="H"/>
    <n v="2"/>
    <n v="2"/>
    <n v="0"/>
    <n v="0"/>
    <n v="0"/>
    <n v="0"/>
    <n v="1398.669070069177"/>
    <n v="1375.0119230292325"/>
    <n v="0.65015585478578775"/>
    <n v="107"/>
    <n v="96"/>
    <n v="1"/>
    <n v="11"/>
    <n v="1"/>
    <n v="0.38819929996513597"/>
    <n v="1"/>
    <n v="70.900000000000006"/>
    <n v="70.900000000000006"/>
    <n v="9.6288759858762543"/>
    <n v="1408.2979460550532"/>
    <n v="1"/>
    <n v="0"/>
    <n v="0"/>
    <n v="0"/>
    <n v="0"/>
    <n v="0"/>
    <n v="0"/>
    <n v="0"/>
    <n v="0"/>
    <n v="0"/>
  </r>
  <r>
    <d v="2024-09-06T00:00:00"/>
    <n v="2024"/>
    <x v="33"/>
    <s v="R"/>
    <s v="RS"/>
    <x v="11"/>
    <s v="CHI"/>
    <s v="A"/>
    <n v="1"/>
    <n v="2"/>
    <n v="-1"/>
    <n v="1"/>
    <n v="-8"/>
    <n v="8"/>
    <n v="1318.0095112769952"/>
    <n v="1393.9835214402592"/>
    <n v="0.26639553459757292"/>
    <n v="78"/>
    <n v="92"/>
    <n v="0"/>
    <n v="-14"/>
    <n v="0"/>
    <n v="0.45857495496013495"/>
    <n v="1"/>
    <n v="70.900000000000006"/>
    <n v="70.900000000000006"/>
    <n v="-8.6613085078281138"/>
    <n v="1309.3482027691671"/>
    <n v="0"/>
    <n v="1"/>
    <n v="0"/>
    <n v="0"/>
    <n v="0"/>
    <n v="0"/>
    <n v="0"/>
    <n v="0"/>
    <n v="0"/>
    <n v="0"/>
  </r>
  <r>
    <d v="2024-09-06T00:00:00"/>
    <n v="2024"/>
    <x v="33"/>
    <s v="R"/>
    <s v="RS"/>
    <x v="8"/>
    <s v="LAS"/>
    <s v="H"/>
    <n v="2"/>
    <n v="1"/>
    <n v="1"/>
    <n v="-1"/>
    <n v="8"/>
    <n v="-8"/>
    <n v="1393.9835214402592"/>
    <n v="1318.0095112769952"/>
    <n v="0.73360446540242708"/>
    <n v="92"/>
    <n v="78"/>
    <n v="0"/>
    <n v="14"/>
    <n v="1"/>
    <n v="0.45857495496013495"/>
    <n v="1"/>
    <n v="70.900000000000006"/>
    <n v="70.900000000000006"/>
    <n v="8.6613085078281138"/>
    <n v="1402.6448299480874"/>
    <n v="1"/>
    <n v="0"/>
    <n v="0"/>
    <n v="0"/>
    <n v="0"/>
    <n v="0"/>
    <n v="0"/>
    <n v="0"/>
    <n v="0"/>
    <n v="0"/>
  </r>
  <r>
    <d v="2024-09-06T00:00:00"/>
    <n v="2024"/>
    <x v="33"/>
    <s v="R"/>
    <s v="RS"/>
    <x v="3"/>
    <s v="CON"/>
    <s v="A"/>
    <n v="2"/>
    <n v="2"/>
    <n v="0"/>
    <n v="0"/>
    <n v="0"/>
    <n v="0"/>
    <n v="1612.2732948063297"/>
    <n v="1620.3294009659414"/>
    <n v="0.37053611969625216"/>
    <n v="72"/>
    <n v="67"/>
    <n v="0"/>
    <n v="5"/>
    <n v="1"/>
    <n v="0.32954361020455636"/>
    <n v="1"/>
    <n v="70.900000000000006"/>
    <n v="70.900000000000006"/>
    <n v="14.707198192254404"/>
    <n v="1626.9804929985842"/>
    <n v="1"/>
    <n v="0"/>
    <n v="0"/>
    <n v="0"/>
    <n v="0"/>
    <n v="0"/>
    <n v="0"/>
    <n v="0"/>
    <n v="0"/>
    <n v="0"/>
  </r>
  <r>
    <d v="2024-09-06T00:00:00"/>
    <n v="2024"/>
    <x v="33"/>
    <s v="R"/>
    <s v="RS"/>
    <x v="1"/>
    <s v="LVA"/>
    <s v="H"/>
    <n v="2"/>
    <n v="2"/>
    <n v="0"/>
    <n v="0"/>
    <n v="0"/>
    <n v="0"/>
    <n v="1620.3294009659414"/>
    <n v="1612.2732948063297"/>
    <n v="0.62946388030374789"/>
    <n v="67"/>
    <n v="72"/>
    <n v="0"/>
    <n v="-5"/>
    <n v="0"/>
    <n v="0.32954361020455636"/>
    <n v="1"/>
    <n v="70.900000000000006"/>
    <n v="70.900000000000006"/>
    <n v="-14.707198192254406"/>
    <n v="1605.6222027736869"/>
    <n v="0"/>
    <n v="1"/>
    <n v="0"/>
    <n v="0"/>
    <n v="0"/>
    <n v="0"/>
    <n v="0"/>
    <n v="0"/>
    <n v="0"/>
    <n v="0"/>
  </r>
  <r>
    <d v="2024-09-06T00:00:00"/>
    <n v="2024"/>
    <x v="34"/>
    <s v="R"/>
    <s v="RS"/>
    <x v="4"/>
    <s v="IND"/>
    <s v="A"/>
    <n v="4"/>
    <n v="1"/>
    <n v="3"/>
    <n v="-3"/>
    <n v="16"/>
    <n v="-16"/>
    <n v="1621.3363451507973"/>
    <n v="1529.1758363875983"/>
    <n v="0.55753957748446825"/>
    <n v="99"/>
    <n v="88"/>
    <n v="0"/>
    <n v="11"/>
    <n v="1"/>
    <n v="0.40846563621910126"/>
    <n v="1"/>
    <n v="70.75"/>
    <n v="70.75"/>
    <n v="12.786638867408966"/>
    <n v="1634.1229840182064"/>
    <n v="1"/>
    <n v="0"/>
    <n v="0"/>
    <n v="0"/>
    <n v="0"/>
    <n v="0"/>
    <n v="0"/>
    <n v="0"/>
    <n v="0"/>
    <n v="0"/>
  </r>
  <r>
    <d v="2024-09-06T00:00:00"/>
    <n v="2024"/>
    <x v="34"/>
    <s v="R"/>
    <s v="RS"/>
    <x v="0"/>
    <s v="MIN"/>
    <s v="H"/>
    <n v="1"/>
    <n v="4"/>
    <n v="-3"/>
    <n v="3"/>
    <n v="-16"/>
    <n v="16"/>
    <n v="1529.1758363875983"/>
    <n v="1621.3363451507973"/>
    <n v="0.44246042251553175"/>
    <n v="88"/>
    <n v="99"/>
    <n v="0"/>
    <n v="-11"/>
    <n v="0"/>
    <n v="0.40846563621910126"/>
    <n v="1"/>
    <n v="70.75"/>
    <n v="70.75"/>
    <n v="-12.786638867408966"/>
    <n v="1516.3891975201893"/>
    <n v="0"/>
    <n v="1"/>
    <n v="0"/>
    <n v="0"/>
    <n v="0"/>
    <n v="0"/>
    <n v="0"/>
    <n v="0"/>
    <n v="0"/>
    <n v="0"/>
  </r>
  <r>
    <d v="2024-09-07T00:00:00"/>
    <n v="2024"/>
    <x v="35"/>
    <s v="R"/>
    <s v="RS"/>
    <x v="2"/>
    <s v="SEA"/>
    <s v="A"/>
    <n v="1"/>
    <n v="1"/>
    <n v="0"/>
    <n v="0"/>
    <n v="0"/>
    <n v="0"/>
    <n v="1439.0136311335993"/>
    <n v="1540.3678641682395"/>
    <n v="0.25597692703147706"/>
    <n v="66"/>
    <n v="90"/>
    <n v="0"/>
    <n v="-24"/>
    <n v="0"/>
    <n v="0.57948642897885783"/>
    <n v="1"/>
    <n v="70.599999999999994"/>
    <n v="70.599999999999994"/>
    <n v="-10.472461967459532"/>
    <n v="1428.5411691661398"/>
    <n v="0"/>
    <n v="1"/>
    <n v="0"/>
    <n v="0"/>
    <n v="0"/>
    <n v="0"/>
    <n v="0"/>
    <n v="0"/>
    <n v="0"/>
    <n v="0"/>
  </r>
  <r>
    <d v="2024-09-07T00:00:00"/>
    <n v="2024"/>
    <x v="34"/>
    <s v="R"/>
    <s v="RS"/>
    <x v="5"/>
    <s v="PHX"/>
    <s v="H"/>
    <n v="1"/>
    <n v="1"/>
    <n v="0"/>
    <n v="0"/>
    <n v="0"/>
    <n v="0"/>
    <n v="1540.3678641682395"/>
    <n v="1439.0136311335993"/>
    <n v="0.74402307296852288"/>
    <n v="90"/>
    <n v="66"/>
    <n v="0"/>
    <n v="24"/>
    <n v="1"/>
    <n v="0.57948642897885783"/>
    <n v="1"/>
    <n v="70.75"/>
    <n v="70.75"/>
    <n v="10.494712240761503"/>
    <n v="1550.8625764090011"/>
    <n v="1"/>
    <n v="0"/>
    <n v="0"/>
    <n v="0"/>
    <n v="0"/>
    <n v="0"/>
    <n v="0"/>
    <n v="0"/>
    <n v="0"/>
    <n v="0"/>
  </r>
  <r>
    <d v="2024-09-08T00:00:00"/>
    <n v="2024"/>
    <x v="34"/>
    <s v="R"/>
    <s v="RS"/>
    <x v="9"/>
    <s v="CHI"/>
    <s v="A"/>
    <n v="1"/>
    <n v="1"/>
    <n v="0"/>
    <n v="0"/>
    <n v="0"/>
    <n v="0"/>
    <n v="1365.3830470433563"/>
    <n v="1402.6448299480874"/>
    <n v="0.33224716468731147"/>
    <n v="77"/>
    <n v="92"/>
    <n v="0"/>
    <n v="-15"/>
    <n v="0"/>
    <n v="0.48770409139920817"/>
    <n v="1"/>
    <n v="70.75"/>
    <n v="70.75"/>
    <n v="-11.464209836345523"/>
    <n v="1353.9188372070107"/>
    <n v="0"/>
    <n v="1"/>
    <n v="0"/>
    <n v="0"/>
    <n v="0"/>
    <n v="0"/>
    <n v="0"/>
    <n v="0"/>
    <n v="0"/>
    <n v="0"/>
  </r>
  <r>
    <d v="2024-09-08T00:00:00"/>
    <n v="2024"/>
    <x v="34"/>
    <s v="R"/>
    <s v="RS"/>
    <x v="8"/>
    <s v="DAL"/>
    <s v="H"/>
    <n v="1"/>
    <n v="1"/>
    <n v="0"/>
    <n v="0"/>
    <n v="0"/>
    <n v="0"/>
    <n v="1402.6448299480874"/>
    <n v="1365.3830470433563"/>
    <n v="0.66775283531268859"/>
    <n v="92"/>
    <n v="77"/>
    <n v="0"/>
    <n v="15"/>
    <n v="1"/>
    <n v="0.48770409139920817"/>
    <n v="1"/>
    <n v="70.75"/>
    <n v="70.75"/>
    <n v="11.464209836345521"/>
    <n v="1414.109039784433"/>
    <n v="1"/>
    <n v="0"/>
    <n v="0"/>
    <n v="0"/>
    <n v="0"/>
    <n v="0"/>
    <n v="0"/>
    <n v="0"/>
    <n v="0"/>
    <n v="0"/>
  </r>
  <r>
    <d v="2024-09-08T00:00:00"/>
    <n v="2024"/>
    <x v="34"/>
    <s v="R"/>
    <s v="RS"/>
    <x v="10"/>
    <s v="IND"/>
    <s v="A"/>
    <n v="1"/>
    <n v="1"/>
    <n v="0"/>
    <n v="0"/>
    <n v="0"/>
    <n v="0"/>
    <n v="1408.2979460550532"/>
    <n v="1516.3891975201893"/>
    <n v="0.24866105505519909"/>
    <n v="100"/>
    <n v="104"/>
    <n v="1"/>
    <n v="-4"/>
    <n v="0"/>
    <n v="0.25712835654199329"/>
    <n v="1"/>
    <n v="70.75"/>
    <n v="70.75"/>
    <n v="-4.5235999458806582"/>
    <n v="1403.7743461091725"/>
    <n v="0"/>
    <n v="1"/>
    <n v="0"/>
    <n v="0"/>
    <n v="0"/>
    <n v="0"/>
    <n v="0"/>
    <n v="0"/>
    <n v="0"/>
    <n v="0"/>
  </r>
  <r>
    <d v="2024-09-08T00:00:00"/>
    <n v="2024"/>
    <x v="35"/>
    <s v="R"/>
    <s v="RS"/>
    <x v="0"/>
    <s v="ATL"/>
    <s v="H"/>
    <n v="1"/>
    <n v="1"/>
    <n v="0"/>
    <n v="0"/>
    <n v="0"/>
    <n v="0"/>
    <n v="1516.3891975201893"/>
    <n v="1408.2979460550532"/>
    <n v="0.75133894494480091"/>
    <n v="104"/>
    <n v="100"/>
    <n v="1"/>
    <n v="4"/>
    <n v="1"/>
    <n v="0.25712835654199329"/>
    <n v="1"/>
    <n v="70.599999999999994"/>
    <n v="70.599999999999994"/>
    <n v="4.5140092746173064"/>
    <n v="1520.9032067948067"/>
    <n v="1"/>
    <n v="0"/>
    <n v="0"/>
    <n v="0"/>
    <n v="0"/>
    <n v="0"/>
    <n v="0"/>
    <n v="0"/>
    <n v="0"/>
    <n v="0"/>
  </r>
  <r>
    <d v="2024-09-08T00:00:00"/>
    <n v="2024"/>
    <x v="34"/>
    <s v="R"/>
    <s v="RS"/>
    <x v="1"/>
    <s v="LAS"/>
    <s v="A"/>
    <n v="1"/>
    <n v="1"/>
    <n v="0"/>
    <n v="0"/>
    <n v="0"/>
    <n v="0"/>
    <n v="1605.6222027736869"/>
    <n v="1309.3482027691671"/>
    <n v="0.77240606881450247"/>
    <n v="79"/>
    <n v="67"/>
    <n v="0"/>
    <n v="12"/>
    <n v="1"/>
    <n v="0.36581223204452895"/>
    <n v="1"/>
    <n v="70.75"/>
    <n v="70.75"/>
    <n v="5.8904075606479713"/>
    <n v="1611.5126103343348"/>
    <n v="1"/>
    <n v="0"/>
    <n v="0"/>
    <n v="0"/>
    <n v="0"/>
    <n v="0"/>
    <n v="0"/>
    <n v="0"/>
    <n v="0"/>
    <n v="0"/>
  </r>
  <r>
    <d v="2024-09-08T00:00:00"/>
    <n v="2024"/>
    <x v="34"/>
    <s v="R"/>
    <s v="RS"/>
    <x v="11"/>
    <s v="CON"/>
    <s v="H"/>
    <n v="1"/>
    <n v="1"/>
    <n v="0"/>
    <n v="0"/>
    <n v="0"/>
    <n v="0"/>
    <n v="1309.3482027691671"/>
    <n v="1605.6222027736869"/>
    <n v="0.22759393118549753"/>
    <n v="67"/>
    <n v="79"/>
    <n v="0"/>
    <n v="-12"/>
    <n v="0"/>
    <n v="0.36581223204452895"/>
    <n v="1"/>
    <n v="70.75"/>
    <n v="70.75"/>
    <n v="-5.8904075606479713"/>
    <n v="1303.4577952085192"/>
    <n v="0"/>
    <n v="1"/>
    <n v="0"/>
    <n v="0"/>
    <n v="0"/>
    <n v="0"/>
    <n v="0"/>
    <n v="0"/>
    <n v="0"/>
    <n v="0"/>
  </r>
  <r>
    <d v="2024-09-08T00:00:00"/>
    <n v="2024"/>
    <x v="34"/>
    <s v="R"/>
    <s v="RS"/>
    <x v="3"/>
    <s v="NYL"/>
    <s v="A"/>
    <n v="1"/>
    <n v="2"/>
    <n v="-1"/>
    <n v="1"/>
    <n v="-8"/>
    <n v="8"/>
    <n v="1626.9804929985842"/>
    <n v="1716.4045932660729"/>
    <n v="0.25154055835976386"/>
    <n v="71"/>
    <n v="75"/>
    <n v="0"/>
    <n v="-4"/>
    <n v="0"/>
    <n v="0.28983426151809"/>
    <n v="1"/>
    <n v="70.75"/>
    <n v="70.75"/>
    <n v="-5.1580338421640501"/>
    <n v="1621.8224591564201"/>
    <n v="0"/>
    <n v="1"/>
    <n v="0"/>
    <n v="0"/>
    <n v="0"/>
    <n v="0"/>
    <n v="0"/>
    <n v="0"/>
    <n v="0"/>
    <n v="0"/>
  </r>
  <r>
    <d v="2024-09-08T00:00:00"/>
    <n v="2024"/>
    <x v="35"/>
    <s v="R"/>
    <s v="RS"/>
    <x v="6"/>
    <s v="LVA"/>
    <s v="H"/>
    <n v="2"/>
    <n v="1"/>
    <n v="1"/>
    <n v="-1"/>
    <n v="8"/>
    <n v="-8"/>
    <n v="1716.4045932660729"/>
    <n v="1626.9804929985842"/>
    <n v="0.74845944164023603"/>
    <n v="75"/>
    <n v="71"/>
    <n v="0"/>
    <n v="4"/>
    <n v="1"/>
    <n v="0.28983426151809"/>
    <n v="1"/>
    <n v="70.599999999999994"/>
    <n v="70.599999999999994"/>
    <n v="5.147098081367945"/>
    <n v="1721.5516913474407"/>
    <n v="1"/>
    <n v="0"/>
    <n v="0"/>
    <n v="0"/>
    <n v="0"/>
    <n v="0"/>
    <n v="0"/>
    <n v="0"/>
    <n v="0"/>
    <n v="0"/>
  </r>
  <r>
    <d v="2024-09-08T00:00:00"/>
    <n v="2024"/>
    <x v="35"/>
    <s v="R"/>
    <s v="RS"/>
    <x v="4"/>
    <s v="WAS"/>
    <s v="A"/>
    <n v="1"/>
    <n v="2"/>
    <n v="-1"/>
    <n v="1"/>
    <n v="-8"/>
    <n v="8"/>
    <n v="1634.1229840182064"/>
    <n v="1434.5342608161066"/>
    <n v="0.63951939033131966"/>
    <n v="78"/>
    <n v="71"/>
    <n v="0"/>
    <n v="7"/>
    <n v="1"/>
    <n v="0.31732794043129203"/>
    <n v="1"/>
    <n v="70.599999999999994"/>
    <n v="70.599999999999994"/>
    <n v="8.0759742018694656"/>
    <n v="1642.1989582200758"/>
    <n v="1"/>
    <n v="0"/>
    <n v="0"/>
    <n v="0"/>
    <n v="0"/>
    <n v="0"/>
    <n v="0"/>
    <n v="0"/>
    <n v="0"/>
    <n v="0"/>
  </r>
  <r>
    <d v="2024-09-08T00:00:00"/>
    <n v="2024"/>
    <x v="34"/>
    <s v="R"/>
    <s v="RS"/>
    <x v="7"/>
    <s v="MIN"/>
    <s v="H"/>
    <n v="2"/>
    <n v="1"/>
    <n v="1"/>
    <n v="-1"/>
    <n v="8"/>
    <n v="-8"/>
    <n v="1434.5342608161066"/>
    <n v="1634.1229840182064"/>
    <n v="0.36048060966868045"/>
    <n v="71"/>
    <n v="78"/>
    <n v="0"/>
    <n v="-7"/>
    <n v="0"/>
    <n v="0.31732794043129203"/>
    <n v="1"/>
    <n v="70.75"/>
    <n v="70.75"/>
    <n v="-8.0931327872842047"/>
    <n v="1426.4411280288223"/>
    <n v="0"/>
    <n v="1"/>
    <n v="0"/>
    <n v="0"/>
    <n v="0"/>
    <n v="0"/>
    <n v="0"/>
    <n v="0"/>
    <n v="0"/>
    <n v="0"/>
  </r>
  <r>
    <d v="2024-09-10T00:00:00"/>
    <n v="2024"/>
    <x v="36"/>
    <s v="R"/>
    <s v="RS"/>
    <x v="4"/>
    <s v="ATL"/>
    <s v="A"/>
    <n v="1"/>
    <n v="1"/>
    <n v="0"/>
    <n v="0"/>
    <n v="0"/>
    <n v="0"/>
    <n v="1642.1989582200758"/>
    <n v="1403.7743461091725"/>
    <n v="0.70867127920026218"/>
    <n v="76"/>
    <n v="64"/>
    <n v="0"/>
    <n v="12"/>
    <n v="1"/>
    <n v="0.38052417004225136"/>
    <n v="1"/>
    <n v="70.45"/>
    <n v="70.45"/>
    <n v="7.8099193072866768"/>
    <n v="1650.0088775273625"/>
    <n v="1"/>
    <n v="0"/>
    <n v="0"/>
    <n v="0"/>
    <n v="0"/>
    <n v="0"/>
    <n v="0"/>
    <n v="0"/>
    <n v="0"/>
    <n v="0"/>
  </r>
  <r>
    <d v="2024-09-10T00:00:00"/>
    <n v="2024"/>
    <x v="35"/>
    <s v="R"/>
    <s v="RS"/>
    <x v="10"/>
    <s v="MIN"/>
    <s v="H"/>
    <n v="1"/>
    <n v="1"/>
    <n v="0"/>
    <n v="0"/>
    <n v="0"/>
    <n v="0"/>
    <n v="1403.7743461091725"/>
    <n v="1642.1989582200758"/>
    <n v="0.29132872079973776"/>
    <n v="64"/>
    <n v="76"/>
    <n v="0"/>
    <n v="-12"/>
    <n v="0"/>
    <n v="0.38052417004225136"/>
    <n v="1"/>
    <n v="70.599999999999994"/>
    <n v="70.599999999999994"/>
    <n v="-7.8265479502404425"/>
    <n v="1395.9477981589321"/>
    <n v="0"/>
    <n v="1"/>
    <n v="0"/>
    <n v="0"/>
    <n v="0"/>
    <n v="0"/>
    <n v="0"/>
    <n v="0"/>
    <n v="0"/>
    <n v="0"/>
  </r>
  <r>
    <d v="2024-09-10T00:00:00"/>
    <n v="2024"/>
    <x v="36"/>
    <s v="R"/>
    <s v="RS"/>
    <x v="6"/>
    <s v="DAL"/>
    <s v="A"/>
    <n v="1"/>
    <n v="1"/>
    <n v="0"/>
    <n v="0"/>
    <n v="0"/>
    <n v="0"/>
    <n v="1721.5516913474407"/>
    <n v="1353.9188372070107"/>
    <n v="0.83654217814414233"/>
    <n v="105"/>
    <n v="91"/>
    <n v="0"/>
    <n v="14"/>
    <n v="1"/>
    <n v="0.37325686476618397"/>
    <n v="1"/>
    <n v="70.45"/>
    <n v="70.45"/>
    <n v="4.2982780768682218"/>
    <n v="1725.8499694243089"/>
    <n v="1"/>
    <n v="0"/>
    <n v="0"/>
    <n v="0"/>
    <n v="0"/>
    <n v="0"/>
    <n v="0"/>
    <n v="0"/>
    <n v="0"/>
    <n v="0"/>
  </r>
  <r>
    <d v="2024-09-10T00:00:00"/>
    <n v="2024"/>
    <x v="35"/>
    <s v="R"/>
    <s v="RS"/>
    <x v="9"/>
    <s v="NYL"/>
    <s v="H"/>
    <n v="1"/>
    <n v="1"/>
    <n v="0"/>
    <n v="0"/>
    <n v="0"/>
    <n v="0"/>
    <n v="1353.9188372070107"/>
    <n v="1721.5516913474407"/>
    <n v="0.16345782185585764"/>
    <n v="91"/>
    <n v="105"/>
    <n v="0"/>
    <n v="-14"/>
    <n v="0"/>
    <n v="0.37325686476618397"/>
    <n v="1"/>
    <n v="70.599999999999994"/>
    <n v="70.599999999999994"/>
    <n v="-4.3074298399843354"/>
    <n v="1349.6114073670265"/>
    <n v="0"/>
    <n v="1"/>
    <n v="0"/>
    <n v="0"/>
    <n v="0"/>
    <n v="0"/>
    <n v="0"/>
    <n v="0"/>
    <n v="0"/>
    <n v="0"/>
  </r>
  <r>
    <d v="2024-09-10T00:00:00"/>
    <n v="2024"/>
    <x v="35"/>
    <s v="R"/>
    <s v="RS"/>
    <x v="1"/>
    <s v="LAS"/>
    <s v="A"/>
    <n v="1"/>
    <n v="1"/>
    <n v="0"/>
    <n v="0"/>
    <n v="0"/>
    <n v="0"/>
    <n v="1611.5126103343348"/>
    <n v="1303.4577952085192"/>
    <n v="0.78410710449058718"/>
    <n v="86"/>
    <n v="66"/>
    <n v="0"/>
    <n v="20"/>
    <n v="1"/>
    <n v="0.45745341867633138"/>
    <n v="1"/>
    <n v="70.599999999999994"/>
    <n v="70.599999999999994"/>
    <n v="6.9725225841811298"/>
    <n v="1618.485132918516"/>
    <n v="1"/>
    <n v="0"/>
    <n v="0"/>
    <n v="0"/>
    <n v="0"/>
    <n v="0"/>
    <n v="0"/>
    <n v="0"/>
    <n v="0"/>
    <n v="0"/>
  </r>
  <r>
    <d v="2024-09-10T00:00:00"/>
    <n v="2024"/>
    <x v="35"/>
    <s v="R"/>
    <s v="RS"/>
    <x v="11"/>
    <s v="CON"/>
    <s v="H"/>
    <n v="1"/>
    <n v="1"/>
    <n v="0"/>
    <n v="0"/>
    <n v="0"/>
    <n v="0"/>
    <n v="1303.4577952085192"/>
    <n v="1611.5126103343348"/>
    <n v="0.21589289550941285"/>
    <n v="66"/>
    <n v="86"/>
    <n v="0"/>
    <n v="-20"/>
    <n v="0"/>
    <n v="0.45745341867633138"/>
    <n v="1"/>
    <n v="70.599999999999994"/>
    <n v="70.599999999999994"/>
    <n v="-6.9725225841811307"/>
    <n v="1296.485272624338"/>
    <n v="0"/>
    <n v="1"/>
    <n v="0"/>
    <n v="0"/>
    <n v="0"/>
    <n v="0"/>
    <n v="0"/>
    <n v="0"/>
    <n v="0"/>
    <n v="0"/>
  </r>
  <r>
    <d v="2024-09-11T00:00:00"/>
    <n v="2024"/>
    <x v="35"/>
    <s v="R"/>
    <s v="RS"/>
    <x v="7"/>
    <s v="CHI"/>
    <s v="A"/>
    <n v="2"/>
    <n v="2"/>
    <n v="0"/>
    <n v="0"/>
    <n v="0"/>
    <n v="0"/>
    <n v="1426.4411280288223"/>
    <n v="1414.109039784433"/>
    <n v="0.39829995899526899"/>
    <n v="89"/>
    <n v="58"/>
    <n v="0"/>
    <n v="31"/>
    <n v="1"/>
    <n v="0.70820648648052198"/>
    <n v="1"/>
    <n v="70.599999999999994"/>
    <n v="70.599999999999994"/>
    <n v="30.084627760033349"/>
    <n v="1456.5257557888556"/>
    <n v="1"/>
    <n v="0"/>
    <n v="0"/>
    <n v="0"/>
    <n v="0"/>
    <n v="0"/>
    <n v="0"/>
    <n v="0"/>
    <n v="0"/>
    <n v="0"/>
  </r>
  <r>
    <d v="2024-09-11T00:00:00"/>
    <n v="2024"/>
    <x v="35"/>
    <s v="R"/>
    <s v="RS"/>
    <x v="8"/>
    <s v="WAS"/>
    <s v="H"/>
    <n v="2"/>
    <n v="2"/>
    <n v="0"/>
    <n v="0"/>
    <n v="0"/>
    <n v="0"/>
    <n v="1414.109039784433"/>
    <n v="1426.4411280288223"/>
    <n v="0.60170004100473096"/>
    <n v="58"/>
    <n v="89"/>
    <n v="0"/>
    <n v="-31"/>
    <n v="0"/>
    <n v="0.70820648648052198"/>
    <n v="1"/>
    <n v="70.599999999999994"/>
    <n v="70.599999999999994"/>
    <n v="-30.084627760033342"/>
    <n v="1384.0244120243997"/>
    <n v="0"/>
    <n v="1"/>
    <n v="0"/>
    <n v="0"/>
    <n v="0"/>
    <n v="0"/>
    <n v="0"/>
    <n v="0"/>
    <n v="0"/>
    <n v="0"/>
  </r>
  <r>
    <d v="2024-09-11T00:00:00"/>
    <n v="2024"/>
    <x v="35"/>
    <s v="R"/>
    <s v="RS"/>
    <x v="3"/>
    <s v="IND"/>
    <s v="A"/>
    <n v="2"/>
    <n v="2"/>
    <n v="0"/>
    <n v="0"/>
    <n v="0"/>
    <n v="0"/>
    <n v="1621.8224591564201"/>
    <n v="1520.9032067948067"/>
    <n v="0.52432953238056246"/>
    <n v="86"/>
    <n v="75"/>
    <n v="0"/>
    <n v="11"/>
    <n v="1"/>
    <n v="0.40571554564283246"/>
    <n v="1"/>
    <n v="70.599999999999994"/>
    <n v="70.599999999999994"/>
    <n v="13.624875374137936"/>
    <n v="1635.447334530558"/>
    <n v="1"/>
    <n v="0"/>
    <n v="0"/>
    <n v="0"/>
    <n v="0"/>
    <n v="0"/>
    <n v="0"/>
    <n v="0"/>
    <n v="0"/>
    <n v="0"/>
  </r>
  <r>
    <d v="2024-09-11T00:00:00"/>
    <n v="2024"/>
    <x v="36"/>
    <s v="R"/>
    <s v="RS"/>
    <x v="0"/>
    <s v="LVA"/>
    <s v="H"/>
    <n v="2"/>
    <n v="2"/>
    <n v="0"/>
    <n v="0"/>
    <n v="0"/>
    <n v="0"/>
    <n v="1520.9032067948067"/>
    <n v="1621.8224591564201"/>
    <n v="0.4756704676194376"/>
    <n v="75"/>
    <n v="86"/>
    <n v="0"/>
    <n v="-11"/>
    <n v="0"/>
    <n v="0.40571554564283246"/>
    <n v="1"/>
    <n v="70.45"/>
    <n v="70.45"/>
    <n v="-13.595927338640479"/>
    <n v="1507.3072794561663"/>
    <n v="0"/>
    <n v="1"/>
    <n v="0"/>
    <n v="0"/>
    <n v="0"/>
    <n v="0"/>
    <n v="0"/>
    <n v="0"/>
    <n v="0"/>
    <n v="0"/>
  </r>
  <r>
    <d v="2024-09-11T00:00:00"/>
    <n v="2024"/>
    <x v="35"/>
    <s v="R"/>
    <s v="RS"/>
    <x v="5"/>
    <s v="LAS"/>
    <s v="A"/>
    <n v="3"/>
    <n v="0"/>
    <n v="3"/>
    <n v="-3"/>
    <n v="16"/>
    <n v="-16"/>
    <n v="1550.8625764090011"/>
    <n v="1296.485272624338"/>
    <n v="0.76223595889484308"/>
    <n v="90"/>
    <n v="82"/>
    <n v="0"/>
    <n v="8"/>
    <n v="1"/>
    <n v="0.32039735548059678"/>
    <n v="1"/>
    <n v="70.599999999999994"/>
    <n v="70.599999999999994"/>
    <n v="5.3782352818921355"/>
    <n v="1556.2408116908932"/>
    <n v="1"/>
    <n v="0"/>
    <n v="0"/>
    <n v="0"/>
    <n v="0"/>
    <n v="0"/>
    <n v="0"/>
    <n v="0"/>
    <n v="0"/>
    <n v="0"/>
  </r>
  <r>
    <d v="2024-09-11T00:00:00"/>
    <n v="2024"/>
    <x v="36"/>
    <s v="R"/>
    <s v="RS"/>
    <x v="11"/>
    <s v="SEA"/>
    <s v="H"/>
    <n v="0"/>
    <n v="3"/>
    <n v="-3"/>
    <n v="3"/>
    <n v="-16"/>
    <n v="16"/>
    <n v="1296.485272624338"/>
    <n v="1550.8625764090011"/>
    <n v="0.23776404110515698"/>
    <n v="82"/>
    <n v="90"/>
    <n v="0"/>
    <n v="-8"/>
    <n v="0"/>
    <n v="0.32039735548059678"/>
    <n v="1"/>
    <n v="70.45"/>
    <n v="70.45"/>
    <n v="-5.3668084363923665"/>
    <n v="1291.1184641879456"/>
    <n v="0"/>
    <n v="1"/>
    <n v="0"/>
    <n v="0"/>
    <n v="0"/>
    <n v="0"/>
    <n v="0"/>
    <n v="0"/>
    <n v="0"/>
    <n v="0"/>
  </r>
  <r>
    <d v="2024-09-12T00:00:00"/>
    <n v="2024"/>
    <x v="37"/>
    <s v="R"/>
    <s v="RS"/>
    <x v="6"/>
    <s v="DAL"/>
    <s v="A"/>
    <n v="1"/>
    <n v="1"/>
    <n v="0"/>
    <n v="0"/>
    <n v="0"/>
    <n v="0"/>
    <n v="1725.8499694243089"/>
    <n v="1349.6114073670265"/>
    <n v="0.84320361225851848"/>
    <n v="99"/>
    <n v="67"/>
    <n v="0"/>
    <n v="32"/>
    <n v="1"/>
    <n v="0.5537313169958431"/>
    <n v="1"/>
    <n v="70.3"/>
    <n v="70.3"/>
    <n v="6.1036618409849845"/>
    <n v="1731.953631265294"/>
    <n v="1"/>
    <n v="0"/>
    <n v="0"/>
    <n v="0"/>
    <n v="0"/>
    <n v="0"/>
    <n v="0"/>
    <n v="0"/>
    <n v="0"/>
    <n v="0"/>
  </r>
  <r>
    <d v="2024-09-12T00:00:00"/>
    <n v="2024"/>
    <x v="36"/>
    <s v="R"/>
    <s v="RS"/>
    <x v="9"/>
    <s v="NYL"/>
    <s v="H"/>
    <n v="1"/>
    <n v="1"/>
    <n v="0"/>
    <n v="0"/>
    <n v="0"/>
    <n v="0"/>
    <n v="1349.6114073670265"/>
    <n v="1725.8499694243089"/>
    <n v="0.15679638774148155"/>
    <n v="67"/>
    <n v="99"/>
    <n v="0"/>
    <n v="-32"/>
    <n v="0"/>
    <n v="0.5537313169958431"/>
    <n v="1"/>
    <n v="70.45"/>
    <n v="70.45"/>
    <n v="-6.1166853015276281"/>
    <n v="1343.4947220654988"/>
    <n v="0"/>
    <n v="1"/>
    <n v="0"/>
    <n v="0"/>
    <n v="0"/>
    <n v="0"/>
    <n v="0"/>
    <n v="0"/>
    <n v="0"/>
    <n v="0"/>
  </r>
  <r>
    <d v="2024-09-13T00:00:00"/>
    <n v="2024"/>
    <x v="36"/>
    <s v="R"/>
    <s v="RS"/>
    <x v="7"/>
    <s v="ATL"/>
    <s v="A"/>
    <n v="1"/>
    <n v="2"/>
    <n v="-1"/>
    <n v="1"/>
    <n v="-8"/>
    <n v="8"/>
    <n v="1456.5257557888556"/>
    <n v="1395.9477981589321"/>
    <n v="0.44350934199545"/>
    <n v="72"/>
    <n v="69"/>
    <n v="0"/>
    <n v="3"/>
    <n v="1"/>
    <n v="0.27623854852511953"/>
    <n v="1"/>
    <n v="70.45"/>
    <n v="70.45"/>
    <n v="10.829867891683326"/>
    <n v="1467.3556236805389"/>
    <n v="1"/>
    <n v="0"/>
    <n v="0"/>
    <n v="0"/>
    <n v="0"/>
    <n v="0"/>
    <n v="0"/>
    <n v="0"/>
    <n v="0"/>
    <n v="0"/>
  </r>
  <r>
    <d v="2024-09-13T00:00:00"/>
    <n v="2024"/>
    <x v="36"/>
    <s v="R"/>
    <s v="RS"/>
    <x v="10"/>
    <s v="WAS"/>
    <s v="H"/>
    <n v="2"/>
    <n v="1"/>
    <n v="1"/>
    <n v="-1"/>
    <n v="8"/>
    <n v="-8"/>
    <n v="1395.9477981589321"/>
    <n v="1456.5257557888556"/>
    <n v="0.55649065800455"/>
    <n v="69"/>
    <n v="72"/>
    <n v="0"/>
    <n v="-3"/>
    <n v="0"/>
    <n v="0.27623854852511953"/>
    <n v="1"/>
    <n v="70.45"/>
    <n v="70.45"/>
    <n v="-10.829867891683326"/>
    <n v="1385.1179302672488"/>
    <n v="0"/>
    <n v="1"/>
    <n v="0"/>
    <n v="0"/>
    <n v="0"/>
    <n v="0"/>
    <n v="0"/>
    <n v="0"/>
    <n v="0"/>
    <n v="0"/>
  </r>
  <r>
    <d v="2024-09-13T00:00:00"/>
    <n v="2024"/>
    <x v="36"/>
    <s v="R"/>
    <s v="RS"/>
    <x v="5"/>
    <s v="DAL"/>
    <s v="A"/>
    <n v="1"/>
    <n v="0"/>
    <n v="1"/>
    <n v="-1"/>
    <n v="8"/>
    <n v="-8"/>
    <n v="1556.2408116908932"/>
    <n v="1343.4947220654988"/>
    <n v="0.69703650636291592"/>
    <n v="83"/>
    <n v="81"/>
    <n v="0"/>
    <n v="2"/>
    <n v="1"/>
    <n v="0.22750697194060485"/>
    <n v="1"/>
    <n v="70.45"/>
    <n v="70.45"/>
    <n v="4.8558583313850434"/>
    <n v="1561.0966700222782"/>
    <n v="1"/>
    <n v="0"/>
    <n v="0"/>
    <n v="0"/>
    <n v="0"/>
    <n v="0"/>
    <n v="0"/>
    <n v="0"/>
    <n v="0"/>
    <n v="0"/>
  </r>
  <r>
    <d v="2024-09-13T00:00:00"/>
    <n v="2024"/>
    <x v="37"/>
    <s v="R"/>
    <s v="RS"/>
    <x v="9"/>
    <s v="SEA"/>
    <s v="H"/>
    <n v="0"/>
    <n v="1"/>
    <n v="-1"/>
    <n v="1"/>
    <n v="-8"/>
    <n v="8"/>
    <n v="1343.4947220654988"/>
    <n v="1556.2408116908932"/>
    <n v="0.30296349363708408"/>
    <n v="81"/>
    <n v="83"/>
    <n v="0"/>
    <n v="-2"/>
    <n v="0"/>
    <n v="0.22750697194060485"/>
    <n v="1"/>
    <n v="70.3"/>
    <n v="70.3"/>
    <n v="-4.8455193853281546"/>
    <n v="1338.6492026801707"/>
    <n v="0"/>
    <n v="1"/>
    <n v="0"/>
    <n v="0"/>
    <n v="0"/>
    <n v="0"/>
    <n v="0"/>
    <n v="0"/>
    <n v="0"/>
    <n v="0"/>
  </r>
  <r>
    <d v="2024-09-13T00:00:00"/>
    <n v="2024"/>
    <x v="36"/>
    <s v="R"/>
    <s v="RS"/>
    <x v="3"/>
    <s v="IND"/>
    <s v="A"/>
    <n v="1"/>
    <n v="1"/>
    <n v="0"/>
    <n v="0"/>
    <n v="0"/>
    <n v="0"/>
    <n v="1635.447334530558"/>
    <n v="1507.3072794561663"/>
    <n v="0.56318307513171784"/>
    <n v="78"/>
    <n v="74"/>
    <n v="0"/>
    <n v="4"/>
    <n v="1"/>
    <n v="0.2813854461032142"/>
    <n v="1"/>
    <n v="70.45"/>
    <n v="70.45"/>
    <n v="8.6592860352359775"/>
    <n v="1644.1066205657939"/>
    <n v="1"/>
    <n v="0"/>
    <n v="0"/>
    <n v="0"/>
    <n v="0"/>
    <n v="0"/>
    <n v="0"/>
    <n v="0"/>
    <n v="0"/>
    <n v="0"/>
  </r>
  <r>
    <d v="2024-09-13T00:00:00"/>
    <n v="2024"/>
    <x v="37"/>
    <s v="R"/>
    <s v="RS"/>
    <x v="0"/>
    <s v="LVA"/>
    <s v="H"/>
    <n v="1"/>
    <n v="1"/>
    <n v="0"/>
    <n v="0"/>
    <n v="0"/>
    <n v="0"/>
    <n v="1507.3072794561663"/>
    <n v="1635.447334530558"/>
    <n v="0.43681692486828222"/>
    <n v="74"/>
    <n v="78"/>
    <n v="0"/>
    <n v="-4"/>
    <n v="0"/>
    <n v="0.2813854461032142"/>
    <n v="1"/>
    <n v="70.3"/>
    <n v="70.3"/>
    <n v="-8.6408489464455531"/>
    <n v="1498.6664305097206"/>
    <n v="0"/>
    <n v="1"/>
    <n v="0"/>
    <n v="0"/>
    <n v="0"/>
    <n v="0"/>
    <n v="0"/>
    <n v="0"/>
    <n v="0"/>
    <n v="0"/>
  </r>
  <r>
    <d v="2024-09-13T00:00:00"/>
    <n v="2024"/>
    <x v="36"/>
    <s v="R"/>
    <s v="RS"/>
    <x v="8"/>
    <s v="MIN"/>
    <s v="A"/>
    <n v="1"/>
    <n v="2"/>
    <n v="-1"/>
    <n v="1"/>
    <n v="-8"/>
    <n v="8"/>
    <n v="1384.0244120243997"/>
    <n v="1650.0088775273625"/>
    <n v="0.10843997837940177"/>
    <n v="66"/>
    <n v="83"/>
    <n v="0"/>
    <n v="-17"/>
    <n v="0"/>
    <n v="0.43583714420820063"/>
    <n v="1"/>
    <n v="70.45"/>
    <n v="70.45"/>
    <n v="-3.3296199113641189"/>
    <n v="1380.6947921130356"/>
    <n v="0"/>
    <n v="1"/>
    <n v="0"/>
    <n v="0"/>
    <n v="0"/>
    <n v="0"/>
    <n v="0"/>
    <n v="0"/>
    <n v="0"/>
    <n v="0"/>
  </r>
  <r>
    <d v="2024-09-13T00:00:00"/>
    <n v="2024"/>
    <x v="37"/>
    <s v="R"/>
    <s v="RS"/>
    <x v="4"/>
    <s v="CHI"/>
    <s v="H"/>
    <n v="2"/>
    <n v="1"/>
    <n v="1"/>
    <n v="-1"/>
    <n v="8"/>
    <n v="-8"/>
    <n v="1650.0088775273625"/>
    <n v="1384.0244120243997"/>
    <n v="0.89156002162059811"/>
    <n v="83"/>
    <n v="66"/>
    <n v="0"/>
    <n v="17"/>
    <n v="1"/>
    <n v="0.43583714420820063"/>
    <n v="1"/>
    <n v="70.3"/>
    <n v="70.3"/>
    <n v="3.3225305857898912"/>
    <n v="1653.3314081131525"/>
    <n v="1"/>
    <n v="0"/>
    <n v="0"/>
    <n v="0"/>
    <n v="0"/>
    <n v="0"/>
    <n v="0"/>
    <n v="0"/>
    <n v="0"/>
    <n v="0"/>
  </r>
  <r>
    <d v="2024-09-13T00:00:00"/>
    <n v="2024"/>
    <x v="36"/>
    <s v="R"/>
    <s v="RS"/>
    <x v="1"/>
    <s v="PHX"/>
    <s v="A"/>
    <n v="2"/>
    <n v="5"/>
    <n v="-3"/>
    <n v="3"/>
    <n v="-16"/>
    <n v="16"/>
    <n v="1618.485132918516"/>
    <n v="1428.5411691661398"/>
    <n v="0.60483580719980978"/>
    <n v="88"/>
    <n v="69"/>
    <n v="0"/>
    <n v="19"/>
    <n v="1"/>
    <n v="0.48431670975452934"/>
    <n v="1"/>
    <n v="70.45"/>
    <n v="70.45"/>
    <n v="13.483046596636889"/>
    <n v="1631.968179515153"/>
    <n v="1"/>
    <n v="0"/>
    <n v="0"/>
    <n v="0"/>
    <n v="0"/>
    <n v="0"/>
    <n v="0"/>
    <n v="0"/>
    <n v="0"/>
    <n v="0"/>
  </r>
  <r>
    <d v="2024-09-13T00:00:00"/>
    <n v="2024"/>
    <x v="36"/>
    <s v="R"/>
    <s v="RS"/>
    <x v="2"/>
    <s v="CON"/>
    <s v="H"/>
    <n v="5"/>
    <n v="2"/>
    <n v="3"/>
    <n v="-3"/>
    <n v="16"/>
    <n v="-16"/>
    <n v="1428.5411691661398"/>
    <n v="1618.485132918516"/>
    <n v="0.39516419280019016"/>
    <n v="69"/>
    <n v="88"/>
    <n v="0"/>
    <n v="-19"/>
    <n v="0"/>
    <n v="0.48431670975452934"/>
    <n v="1"/>
    <n v="70.45"/>
    <n v="70.45"/>
    <n v="-13.483046596636887"/>
    <n v="1415.0581225695028"/>
    <n v="0"/>
    <n v="1"/>
    <n v="0"/>
    <n v="0"/>
    <n v="0"/>
    <n v="0"/>
    <n v="0"/>
    <n v="0"/>
    <n v="0"/>
    <n v="0"/>
  </r>
  <r>
    <d v="2024-09-15T00:00:00"/>
    <n v="2024"/>
    <x v="37"/>
    <s v="R"/>
    <s v="RS"/>
    <x v="2"/>
    <s v="CHI"/>
    <s v="A"/>
    <n v="1"/>
    <n v="1"/>
    <n v="0"/>
    <n v="0"/>
    <n v="0"/>
    <n v="0"/>
    <n v="1415.0581225695028"/>
    <n v="1380.6947921130356"/>
    <n v="0.42904915229564045"/>
    <n v="93"/>
    <n v="88"/>
    <n v="0"/>
    <n v="5"/>
    <n v="1"/>
    <n v="0.32252025050539812"/>
    <n v="1"/>
    <n v="70.3"/>
    <n v="70.3"/>
    <n v="12.945267693079925"/>
    <n v="1428.0033902625826"/>
    <n v="1"/>
    <n v="0"/>
    <n v="0"/>
    <n v="0"/>
    <n v="0"/>
    <n v="0"/>
    <n v="0"/>
    <n v="0"/>
    <n v="0"/>
    <n v="0"/>
  </r>
  <r>
    <d v="2024-09-15T00:00:00"/>
    <n v="2024"/>
    <x v="37"/>
    <s v="R"/>
    <s v="RS"/>
    <x v="8"/>
    <s v="PHX"/>
    <s v="H"/>
    <n v="1"/>
    <n v="1"/>
    <n v="0"/>
    <n v="0"/>
    <n v="0"/>
    <n v="0"/>
    <n v="1380.6947921130356"/>
    <n v="1415.0581225695028"/>
    <n v="0.57095084770435955"/>
    <n v="88"/>
    <n v="93"/>
    <n v="0"/>
    <n v="-5"/>
    <n v="0"/>
    <n v="0.32252025050539812"/>
    <n v="1"/>
    <n v="70.3"/>
    <n v="70.3"/>
    <n v="-12.945267693079925"/>
    <n v="1367.7495244199558"/>
    <n v="0"/>
    <n v="1"/>
    <n v="0"/>
    <n v="0"/>
    <n v="0"/>
    <n v="0"/>
    <n v="0"/>
    <n v="0"/>
    <n v="0"/>
    <n v="0"/>
  </r>
  <r>
    <d v="2024-09-15T00:00:00"/>
    <n v="2024"/>
    <x v="38"/>
    <s v="R"/>
    <s v="RS"/>
    <x v="9"/>
    <s v="IND"/>
    <s v="A"/>
    <n v="1"/>
    <n v="1"/>
    <n v="0"/>
    <n v="0"/>
    <n v="0"/>
    <n v="0"/>
    <n v="1338.6492026801707"/>
    <n v="1498.6664305097206"/>
    <n v="0.19707513684333913"/>
    <n v="109"/>
    <n v="110"/>
    <n v="0"/>
    <n v="-1"/>
    <n v="0"/>
    <n v="0.21544992163516591"/>
    <n v="1"/>
    <n v="70.150000000000006"/>
    <n v="70.150000000000006"/>
    <n v="-2.9785565686579618"/>
    <n v="1335.6706461115127"/>
    <n v="0"/>
    <n v="1"/>
    <n v="0"/>
    <n v="0"/>
    <n v="0"/>
    <n v="0"/>
    <n v="0"/>
    <n v="0"/>
    <n v="0"/>
    <n v="0"/>
  </r>
  <r>
    <d v="2024-09-15T00:00:00"/>
    <n v="2024"/>
    <x v="38"/>
    <s v="R"/>
    <s v="RS"/>
    <x v="0"/>
    <s v="DAL"/>
    <s v="H"/>
    <n v="1"/>
    <n v="1"/>
    <n v="0"/>
    <n v="0"/>
    <n v="0"/>
    <n v="0"/>
    <n v="1498.6664305097206"/>
    <n v="1338.6492026801707"/>
    <n v="0.8029248631566609"/>
    <n v="110"/>
    <n v="109"/>
    <n v="0"/>
    <n v="1"/>
    <n v="1"/>
    <n v="0.21544992163516591"/>
    <n v="1"/>
    <n v="70.150000000000006"/>
    <n v="70.150000000000006"/>
    <n v="2.9785565686579614"/>
    <n v="1501.6449870783786"/>
    <n v="1"/>
    <n v="0"/>
    <n v="0"/>
    <n v="0"/>
    <n v="0"/>
    <n v="0"/>
    <n v="0"/>
    <n v="0"/>
    <n v="0"/>
    <n v="0"/>
  </r>
  <r>
    <d v="2024-09-15T00:00:00"/>
    <n v="2024"/>
    <x v="37"/>
    <s v="R"/>
    <s v="RS"/>
    <x v="1"/>
    <s v="LVA"/>
    <s v="A"/>
    <n v="1"/>
    <n v="1"/>
    <n v="0"/>
    <n v="0"/>
    <n v="0"/>
    <n v="0"/>
    <n v="1631.968179515153"/>
    <n v="1644.1066205657939"/>
    <n v="0.36507192099676811"/>
    <n v="71"/>
    <n v="84"/>
    <n v="0"/>
    <n v="-13"/>
    <n v="0"/>
    <n v="0.46731667571400426"/>
    <n v="1"/>
    <n v="70.3"/>
    <n v="70.3"/>
    <n v="-11.993475015126487"/>
    <n v="1619.9747045000265"/>
    <n v="0"/>
    <n v="1"/>
    <n v="0"/>
    <n v="0"/>
    <n v="0"/>
    <n v="0"/>
    <n v="0"/>
    <n v="0"/>
    <n v="0"/>
    <n v="0"/>
  </r>
  <r>
    <d v="2024-09-15T00:00:00"/>
    <n v="2024"/>
    <x v="37"/>
    <s v="R"/>
    <s v="RS"/>
    <x v="3"/>
    <s v="CON"/>
    <s v="H"/>
    <n v="1"/>
    <n v="1"/>
    <n v="0"/>
    <n v="0"/>
    <n v="0"/>
    <n v="0"/>
    <n v="1644.1066205657939"/>
    <n v="1631.968179515153"/>
    <n v="0.63492807900323178"/>
    <n v="84"/>
    <n v="71"/>
    <n v="0"/>
    <n v="13"/>
    <n v="1"/>
    <n v="0.46731667571400426"/>
    <n v="1"/>
    <n v="70.3"/>
    <n v="70.3"/>
    <n v="11.99347501512649"/>
    <n v="1656.1000955809204"/>
    <n v="1"/>
    <n v="0"/>
    <n v="0"/>
    <n v="0"/>
    <n v="0"/>
    <n v="0"/>
    <n v="0"/>
    <n v="0"/>
    <n v="0"/>
    <n v="0"/>
  </r>
  <r>
    <d v="2024-09-15T00:00:00"/>
    <n v="2024"/>
    <x v="38"/>
    <s v="R"/>
    <s v="RS"/>
    <x v="4"/>
    <s v="NYL"/>
    <s v="A"/>
    <n v="1"/>
    <n v="2"/>
    <n v="-1"/>
    <n v="1"/>
    <n v="-8"/>
    <n v="8"/>
    <n v="1653.3314081131525"/>
    <n v="1731.953631265294"/>
    <n v="0.26342697825251082"/>
    <n v="88"/>
    <n v="79"/>
    <n v="0"/>
    <n v="9"/>
    <n v="1"/>
    <n v="0.38100841965322563"/>
    <n v="1"/>
    <n v="70.150000000000006"/>
    <n v="70.150000000000006"/>
    <n v="19.686932686711113"/>
    <n v="1673.0183407998636"/>
    <n v="1"/>
    <n v="0"/>
    <n v="0"/>
    <n v="0"/>
    <n v="0"/>
    <n v="0"/>
    <n v="0"/>
    <n v="0"/>
    <n v="0"/>
    <n v="0"/>
  </r>
  <r>
    <d v="2024-09-15T00:00:00"/>
    <n v="2024"/>
    <x v="38"/>
    <s v="R"/>
    <s v="RS"/>
    <x v="6"/>
    <s v="MIN"/>
    <s v="H"/>
    <n v="2"/>
    <n v="1"/>
    <n v="1"/>
    <n v="-1"/>
    <n v="8"/>
    <n v="-8"/>
    <n v="1731.953631265294"/>
    <n v="1653.3314081131525"/>
    <n v="0.73657302174748907"/>
    <n v="79"/>
    <n v="88"/>
    <n v="0"/>
    <n v="-9"/>
    <n v="0"/>
    <n v="0.38100841965322563"/>
    <n v="1"/>
    <n v="70.150000000000006"/>
    <n v="70.150000000000006"/>
    <n v="-19.68693268671111"/>
    <n v="1712.2666985785829"/>
    <n v="0"/>
    <n v="1"/>
    <n v="0"/>
    <n v="0"/>
    <n v="0"/>
    <n v="0"/>
    <n v="0"/>
    <n v="0"/>
    <n v="0"/>
    <n v="0"/>
  </r>
  <r>
    <d v="2024-09-15T00:00:00"/>
    <n v="2024"/>
    <x v="37"/>
    <s v="R"/>
    <s v="RS"/>
    <x v="11"/>
    <s v="SEA"/>
    <s v="A"/>
    <n v="3"/>
    <n v="1"/>
    <n v="2"/>
    <n v="-2"/>
    <n v="16"/>
    <n v="-16"/>
    <n v="1291.1184641879456"/>
    <n v="1561.0966700222782"/>
    <n v="0.13546768699836401"/>
    <n v="87"/>
    <n v="90"/>
    <n v="0"/>
    <n v="-3"/>
    <n v="0"/>
    <n v="0.23688801911236926"/>
    <n v="1"/>
    <n v="70.3"/>
    <n v="70.3"/>
    <n v="-2.2559742434824166"/>
    <n v="1288.8624899444633"/>
    <n v="0"/>
    <n v="1"/>
    <n v="0"/>
    <n v="0"/>
    <n v="0"/>
    <n v="0"/>
    <n v="0"/>
    <n v="0"/>
    <n v="0"/>
    <n v="0"/>
  </r>
  <r>
    <d v="2024-09-15T00:00:00"/>
    <n v="2024"/>
    <x v="37"/>
    <s v="R"/>
    <s v="RS"/>
    <x v="5"/>
    <s v="LAS"/>
    <s v="H"/>
    <n v="1"/>
    <n v="3"/>
    <n v="-2"/>
    <n v="2"/>
    <n v="-16"/>
    <n v="16"/>
    <n v="1561.0966700222782"/>
    <n v="1291.1184641879456"/>
    <n v="0.86453231300163602"/>
    <n v="90"/>
    <n v="87"/>
    <n v="0"/>
    <n v="3"/>
    <n v="1"/>
    <n v="0.23688801911236926"/>
    <n v="1"/>
    <n v="70.3"/>
    <n v="70.3"/>
    <n v="2.2559742434824162"/>
    <n v="1563.3526442657605"/>
    <n v="1"/>
    <n v="0"/>
    <n v="0"/>
    <n v="0"/>
    <n v="0"/>
    <n v="0"/>
    <n v="0"/>
    <n v="0"/>
    <n v="0"/>
    <n v="0"/>
  </r>
  <r>
    <d v="2024-09-15T00:00:00"/>
    <n v="2024"/>
    <x v="37"/>
    <s v="R"/>
    <s v="RS"/>
    <x v="10"/>
    <s v="WAS"/>
    <s v="A"/>
    <n v="1"/>
    <n v="1"/>
    <n v="0"/>
    <n v="0"/>
    <n v="0"/>
    <n v="0"/>
    <n v="1385.1179302672488"/>
    <n v="1467.3556236805389"/>
    <n v="0.27749105805389501"/>
    <n v="76"/>
    <n v="73"/>
    <n v="1"/>
    <n v="3"/>
    <n v="1"/>
    <n v="0.24441506001305047"/>
    <n v="1"/>
    <n v="70.3"/>
    <n v="70.3"/>
    <n v="12.414422268322317"/>
    <n v="1397.5323525355711"/>
    <n v="1"/>
    <n v="0"/>
    <n v="0"/>
    <n v="0"/>
    <n v="0"/>
    <n v="0"/>
    <n v="0"/>
    <n v="0"/>
    <n v="0"/>
    <n v="0"/>
  </r>
  <r>
    <d v="2024-09-15T00:00:00"/>
    <n v="2024"/>
    <x v="37"/>
    <s v="R"/>
    <s v="RS"/>
    <x v="7"/>
    <s v="ATL"/>
    <s v="H"/>
    <n v="1"/>
    <n v="1"/>
    <n v="0"/>
    <n v="0"/>
    <n v="0"/>
    <n v="0"/>
    <n v="1467.3556236805389"/>
    <n v="1385.1179302672488"/>
    <n v="0.72250894194610493"/>
    <n v="73"/>
    <n v="76"/>
    <n v="1"/>
    <n v="-3"/>
    <n v="0"/>
    <n v="0.24441506001305047"/>
    <n v="1"/>
    <n v="70.3"/>
    <n v="70.3"/>
    <n v="-12.414422268322316"/>
    <n v="1454.9412014122165"/>
    <n v="0"/>
    <n v="1"/>
    <n v="0"/>
    <n v="0"/>
    <n v="0"/>
    <n v="0"/>
    <n v="0"/>
    <n v="0"/>
    <n v="0"/>
    <n v="0"/>
  </r>
  <r>
    <d v="2024-09-17T00:00:00"/>
    <n v="2024"/>
    <x v="38"/>
    <s v="R"/>
    <s v="RS"/>
    <x v="8"/>
    <s v="ATL"/>
    <s v="A"/>
    <n v="1"/>
    <n v="1"/>
    <n v="0"/>
    <n v="0"/>
    <n v="0"/>
    <n v="0"/>
    <n v="1367.7495244199558"/>
    <n v="1397.5323525355711"/>
    <n v="0.341866697693401"/>
    <n v="70"/>
    <n v="86"/>
    <n v="0"/>
    <n v="-16"/>
    <n v="0"/>
    <n v="0.50524631221933114"/>
    <n v="1"/>
    <n v="70.150000000000006"/>
    <n v="70.150000000000006"/>
    <n v="-12.116791212855455"/>
    <n v="1355.6327332071003"/>
    <n v="0"/>
    <n v="1"/>
    <n v="0"/>
    <n v="0"/>
    <n v="0"/>
    <n v="0"/>
    <n v="0"/>
    <n v="0"/>
    <n v="0"/>
    <n v="0"/>
  </r>
  <r>
    <d v="2024-09-17T00:00:00"/>
    <n v="2024"/>
    <x v="38"/>
    <s v="R"/>
    <s v="RS"/>
    <x v="10"/>
    <s v="CHI"/>
    <s v="H"/>
    <n v="1"/>
    <n v="1"/>
    <n v="0"/>
    <n v="0"/>
    <n v="0"/>
    <n v="0"/>
    <n v="1397.5323525355711"/>
    <n v="1367.7495244199558"/>
    <n v="0.65813330230659894"/>
    <n v="86"/>
    <n v="70"/>
    <n v="0"/>
    <n v="16"/>
    <n v="1"/>
    <n v="0.50524631221933114"/>
    <n v="1"/>
    <n v="70.150000000000006"/>
    <n v="70.150000000000006"/>
    <n v="12.116791212855457"/>
    <n v="1409.6491437484267"/>
    <n v="1"/>
    <n v="0"/>
    <n v="0"/>
    <n v="0"/>
    <n v="0"/>
    <n v="0"/>
    <n v="0"/>
    <n v="0"/>
    <n v="0"/>
    <n v="0"/>
  </r>
  <r>
    <d v="2024-09-17T00:00:00"/>
    <n v="2024"/>
    <x v="39"/>
    <s v="R"/>
    <s v="RS"/>
    <x v="4"/>
    <s v="CON"/>
    <s v="A"/>
    <n v="1"/>
    <n v="1"/>
    <n v="0"/>
    <n v="0"/>
    <n v="0"/>
    <n v="0"/>
    <n v="1673.0183407998636"/>
    <n v="1619.9747045000265"/>
    <n v="0.45556772799729522"/>
    <n v="78"/>
    <n v="76"/>
    <n v="0"/>
    <n v="2"/>
    <n v="1"/>
    <n v="0.25650310624513217"/>
    <n v="1"/>
    <n v="70"/>
    <n v="70"/>
    <n v="9.775399823615194"/>
    <n v="1682.7937406234787"/>
    <n v="1"/>
    <n v="0"/>
    <n v="0"/>
    <n v="0"/>
    <n v="0"/>
    <n v="0"/>
    <n v="0"/>
    <n v="0"/>
    <n v="0"/>
    <n v="0"/>
  </r>
  <r>
    <d v="2024-09-17T00:00:00"/>
    <n v="2024"/>
    <x v="38"/>
    <s v="R"/>
    <s v="RS"/>
    <x v="1"/>
    <s v="MIN"/>
    <s v="H"/>
    <n v="1"/>
    <n v="1"/>
    <n v="0"/>
    <n v="0"/>
    <n v="0"/>
    <n v="0"/>
    <n v="1619.9747045000265"/>
    <n v="1673.0183407998636"/>
    <n v="0.54443227200270483"/>
    <n v="76"/>
    <n v="78"/>
    <n v="0"/>
    <n v="-2"/>
    <n v="0"/>
    <n v="0.25650310624513217"/>
    <n v="1"/>
    <n v="70.150000000000006"/>
    <n v="70.150000000000006"/>
    <n v="-9.7963471089515135"/>
    <n v="1610.178357391075"/>
    <n v="0"/>
    <n v="1"/>
    <n v="0"/>
    <n v="0"/>
    <n v="0"/>
    <n v="0"/>
    <n v="0"/>
    <n v="0"/>
    <n v="0"/>
    <n v="0"/>
  </r>
  <r>
    <d v="2024-09-17T00:00:00"/>
    <n v="2024"/>
    <x v="38"/>
    <s v="R"/>
    <s v="RS"/>
    <x v="2"/>
    <s v="LAS"/>
    <s v="A"/>
    <n v="1"/>
    <n v="1"/>
    <n v="0"/>
    <n v="0"/>
    <n v="0"/>
    <n v="0"/>
    <n v="1428.0033902625826"/>
    <n v="1288.8624899444633"/>
    <n v="0.578694513890468"/>
    <n v="85"/>
    <n v="81"/>
    <n v="0"/>
    <n v="4"/>
    <n v="1"/>
    <n v="0.27907390611090765"/>
    <n v="1"/>
    <n v="70.150000000000006"/>
    <n v="70.150000000000006"/>
    <n v="8.2479120423691121"/>
    <n v="1436.2513023049517"/>
    <n v="1"/>
    <n v="0"/>
    <n v="0"/>
    <n v="0"/>
    <n v="0"/>
    <n v="0"/>
    <n v="0"/>
    <n v="0"/>
    <n v="0"/>
    <n v="0"/>
  </r>
  <r>
    <d v="2024-09-17T00:00:00"/>
    <n v="2024"/>
    <x v="38"/>
    <s v="R"/>
    <s v="RS"/>
    <x v="11"/>
    <s v="PHX"/>
    <s v="H"/>
    <n v="1"/>
    <n v="1"/>
    <n v="0"/>
    <n v="0"/>
    <n v="0"/>
    <n v="0"/>
    <n v="1288.8624899444633"/>
    <n v="1428.0033902625826"/>
    <n v="0.421305486109532"/>
    <n v="81"/>
    <n v="85"/>
    <n v="0"/>
    <n v="-4"/>
    <n v="0"/>
    <n v="0.27907390611090765"/>
    <n v="1"/>
    <n v="70.150000000000006"/>
    <n v="70.150000000000006"/>
    <n v="-8.2479120423691121"/>
    <n v="1280.6145779020942"/>
    <n v="0"/>
    <n v="1"/>
    <n v="0"/>
    <n v="0"/>
    <n v="0"/>
    <n v="0"/>
    <n v="0"/>
    <n v="0"/>
    <n v="0"/>
    <n v="0"/>
  </r>
  <r>
    <d v="2024-09-17T00:00:00"/>
    <n v="2024"/>
    <x v="38"/>
    <s v="R"/>
    <s v="RS"/>
    <x v="3"/>
    <s v="SEA"/>
    <s v="A"/>
    <n v="1"/>
    <n v="1"/>
    <n v="0"/>
    <n v="0"/>
    <n v="0"/>
    <n v="0"/>
    <n v="1656.1000955809204"/>
    <n v="1563.3526442657605"/>
    <n v="0.51258593511772965"/>
    <n v="85"/>
    <n v="72"/>
    <n v="0"/>
    <n v="13"/>
    <n v="1"/>
    <n v="0.43817723732556418"/>
    <n v="1"/>
    <n v="70.150000000000006"/>
    <n v="70.150000000000006"/>
    <n v="14.982198449119117"/>
    <n v="1671.0822940300395"/>
    <n v="1"/>
    <n v="0"/>
    <n v="0"/>
    <n v="0"/>
    <n v="0"/>
    <n v="0"/>
    <n v="0"/>
    <n v="0"/>
    <n v="0"/>
    <n v="0"/>
  </r>
  <r>
    <d v="2024-09-17T00:00:00"/>
    <n v="2024"/>
    <x v="38"/>
    <s v="R"/>
    <s v="RS"/>
    <x v="5"/>
    <s v="LVA"/>
    <s v="H"/>
    <n v="1"/>
    <n v="1"/>
    <n v="0"/>
    <n v="0"/>
    <n v="0"/>
    <n v="0"/>
    <n v="1563.3526442657605"/>
    <n v="1656.1000955809204"/>
    <n v="0.48741406488227046"/>
    <n v="72"/>
    <n v="85"/>
    <n v="0"/>
    <n v="-13"/>
    <n v="0"/>
    <n v="0.43817723732556418"/>
    <n v="1"/>
    <n v="70.150000000000006"/>
    <n v="70.150000000000006"/>
    <n v="-14.982198449119121"/>
    <n v="1548.3704458166414"/>
    <n v="0"/>
    <n v="1"/>
    <n v="0"/>
    <n v="0"/>
    <n v="0"/>
    <n v="0"/>
    <n v="0"/>
    <n v="0"/>
    <n v="0"/>
    <n v="0"/>
  </r>
  <r>
    <d v="2024-09-17T00:00:00"/>
    <n v="2024"/>
    <x v="39"/>
    <s v="R"/>
    <s v="RS"/>
    <x v="6"/>
    <s v="WAS"/>
    <s v="A"/>
    <n v="1"/>
    <n v="1"/>
    <n v="0"/>
    <n v="0"/>
    <n v="0"/>
    <n v="0"/>
    <n v="1712.2666985785829"/>
    <n v="1454.9412014122165"/>
    <n v="0.73061435108408312"/>
    <n v="87"/>
    <n v="71"/>
    <n v="0"/>
    <n v="16"/>
    <n v="1"/>
    <n v="0.4263585862898977"/>
    <n v="1"/>
    <n v="70"/>
    <n v="70"/>
    <n v="8.0398419107003924"/>
    <n v="1720.3065404892834"/>
    <n v="1"/>
    <n v="0"/>
    <n v="0"/>
    <n v="0"/>
    <n v="0"/>
    <n v="0"/>
    <n v="0"/>
    <n v="0"/>
    <n v="0"/>
    <n v="0"/>
  </r>
  <r>
    <d v="2024-09-17T00:00:00"/>
    <n v="2024"/>
    <x v="38"/>
    <s v="R"/>
    <s v="RS"/>
    <x v="7"/>
    <s v="NYL"/>
    <s v="H"/>
    <n v="1"/>
    <n v="1"/>
    <n v="0"/>
    <n v="0"/>
    <n v="0"/>
    <n v="0"/>
    <n v="1454.9412014122165"/>
    <n v="1712.2666985785829"/>
    <n v="0.26938564891591688"/>
    <n v="71"/>
    <n v="87"/>
    <n v="0"/>
    <n v="-16"/>
    <n v="0"/>
    <n v="0.4263585862898977"/>
    <n v="1"/>
    <n v="70.150000000000006"/>
    <n v="70.150000000000006"/>
    <n v="-8.0570701433661789"/>
    <n v="1446.8841312688503"/>
    <n v="0"/>
    <n v="1"/>
    <n v="0"/>
    <n v="0"/>
    <n v="0"/>
    <n v="0"/>
    <n v="0"/>
    <n v="0"/>
    <n v="0"/>
    <n v="0"/>
  </r>
  <r>
    <d v="2024-09-19T00:00:00"/>
    <n v="2024"/>
    <x v="39"/>
    <s v="R"/>
    <s v="RS"/>
    <x v="8"/>
    <s v="CON"/>
    <s v="A"/>
    <n v="1"/>
    <n v="1"/>
    <n v="0"/>
    <n v="0"/>
    <n v="0"/>
    <n v="0"/>
    <n v="1355.6327332071003"/>
    <n v="1610.178357391075"/>
    <n v="0.1246815071635919"/>
    <n v="54"/>
    <n v="87"/>
    <n v="0"/>
    <n v="-33"/>
    <n v="0"/>
    <n v="0.60973736529384348"/>
    <n v="1"/>
    <n v="70"/>
    <n v="70"/>
    <n v="-5.3216081575155796"/>
    <n v="1350.3111250495847"/>
    <n v="0"/>
    <n v="1"/>
    <n v="0"/>
    <n v="0"/>
    <n v="0"/>
    <n v="0"/>
    <n v="0"/>
    <n v="0"/>
    <n v="0"/>
    <n v="0"/>
  </r>
  <r>
    <d v="2024-09-19T00:00:00"/>
    <n v="2024"/>
    <x v="39"/>
    <s v="R"/>
    <s v="RS"/>
    <x v="1"/>
    <s v="CHI"/>
    <s v="H"/>
    <n v="1"/>
    <n v="1"/>
    <n v="0"/>
    <n v="0"/>
    <n v="0"/>
    <n v="0"/>
    <n v="1610.178357391075"/>
    <n v="1355.6327332071003"/>
    <n v="0.87531849283640806"/>
    <n v="87"/>
    <n v="54"/>
    <n v="0"/>
    <n v="33"/>
    <n v="1"/>
    <n v="0.60973736529384348"/>
    <n v="1"/>
    <n v="70"/>
    <n v="70"/>
    <n v="5.3216081575155814"/>
    <n v="1615.4999655485906"/>
    <n v="1"/>
    <n v="0"/>
    <n v="0"/>
    <n v="0"/>
    <n v="0"/>
    <n v="0"/>
    <n v="0"/>
    <n v="0"/>
    <n v="0"/>
    <n v="0"/>
  </r>
  <r>
    <d v="2024-09-19T00:00:00"/>
    <n v="2024"/>
    <x v="39"/>
    <s v="R"/>
    <s v="RS"/>
    <x v="9"/>
    <s v="LVA"/>
    <s v="A"/>
    <n v="3"/>
    <n v="1"/>
    <n v="2"/>
    <n v="-2"/>
    <n v="16"/>
    <n v="-16"/>
    <n v="1335.6706461115127"/>
    <n v="1671.0822940300395"/>
    <n v="9.7078059472677308E-2"/>
    <n v="84"/>
    <n v="98"/>
    <n v="0"/>
    <n v="-14"/>
    <n v="0"/>
    <n v="0.38108980417997329"/>
    <n v="1"/>
    <n v="70"/>
    <n v="70"/>
    <n v="-2.5896821072230081"/>
    <n v="1333.0809640042896"/>
    <n v="0"/>
    <n v="1"/>
    <n v="0"/>
    <n v="0"/>
    <n v="0"/>
    <n v="0"/>
    <n v="0"/>
    <n v="0"/>
    <n v="0"/>
    <n v="0"/>
  </r>
  <r>
    <d v="2024-09-19T00:00:00"/>
    <n v="2024"/>
    <x v="39"/>
    <s v="R"/>
    <s v="RS"/>
    <x v="3"/>
    <s v="DAL"/>
    <s v="H"/>
    <n v="1"/>
    <n v="3"/>
    <n v="-2"/>
    <n v="2"/>
    <n v="-16"/>
    <n v="16"/>
    <n v="1671.0822940300395"/>
    <n v="1335.6706461115127"/>
    <n v="0.90292194052732266"/>
    <n v="98"/>
    <n v="84"/>
    <n v="0"/>
    <n v="14"/>
    <n v="1"/>
    <n v="0.38108980417997329"/>
    <n v="1"/>
    <n v="70"/>
    <n v="70"/>
    <n v="2.5896821072230085"/>
    <n v="1673.6719761372626"/>
    <n v="1"/>
    <n v="0"/>
    <n v="0"/>
    <n v="0"/>
    <n v="0"/>
    <n v="0"/>
    <n v="0"/>
    <n v="0"/>
    <n v="0"/>
    <n v="0"/>
  </r>
  <r>
    <d v="2024-09-19T00:00:00"/>
    <n v="2024"/>
    <x v="39"/>
    <s v="R"/>
    <s v="RS"/>
    <x v="11"/>
    <s v="MIN"/>
    <s v="A"/>
    <n v="1"/>
    <n v="1"/>
    <n v="0"/>
    <n v="0"/>
    <n v="0"/>
    <n v="0"/>
    <n v="1280.6145779020942"/>
    <n v="1682.7937406234787"/>
    <n v="5.7395968191432722E-2"/>
    <n v="68"/>
    <n v="51"/>
    <n v="0"/>
    <n v="17"/>
    <n v="1"/>
    <n v="0.39878841128675035"/>
    <n v="1"/>
    <n v="70"/>
    <n v="70"/>
    <n v="26.312969502219683"/>
    <n v="1306.9275474043138"/>
    <n v="1"/>
    <n v="0"/>
    <n v="0"/>
    <n v="0"/>
    <n v="0"/>
    <n v="0"/>
    <n v="0"/>
    <n v="0"/>
    <n v="0"/>
    <n v="0"/>
  </r>
  <r>
    <d v="2024-09-19T00:00:00"/>
    <n v="2024"/>
    <x v="40"/>
    <s v="R"/>
    <s v="RS"/>
    <x v="4"/>
    <s v="LAS"/>
    <s v="H"/>
    <n v="1"/>
    <n v="1"/>
    <n v="0"/>
    <n v="0"/>
    <n v="0"/>
    <n v="0"/>
    <n v="1682.7937406234787"/>
    <n v="1280.6145779020942"/>
    <n v="0.94260403180856733"/>
    <n v="51"/>
    <n v="68"/>
    <n v="0"/>
    <n v="-17"/>
    <n v="0"/>
    <n v="0.39878841128675035"/>
    <n v="1"/>
    <n v="69.849999999999994"/>
    <n v="69.849999999999994"/>
    <n v="-26.256584567572069"/>
    <n v="1656.5371560559067"/>
    <n v="0"/>
    <n v="1"/>
    <n v="0"/>
    <n v="0"/>
    <n v="0"/>
    <n v="0"/>
    <n v="0"/>
    <n v="0"/>
    <n v="0"/>
    <n v="0"/>
  </r>
  <r>
    <d v="2024-09-19T00:00:00"/>
    <n v="2024"/>
    <x v="39"/>
    <s v="R"/>
    <s v="RS"/>
    <x v="10"/>
    <s v="NYL"/>
    <s v="A"/>
    <n v="1"/>
    <n v="1"/>
    <n v="0"/>
    <n v="0"/>
    <n v="0"/>
    <n v="0"/>
    <n v="1409.6491437484267"/>
    <n v="1720.3065404892834"/>
    <n v="9.3482964869084792E-2"/>
    <n v="78"/>
    <n v="67"/>
    <n v="0"/>
    <n v="11"/>
    <n v="1"/>
    <n v="0.34938640981592389"/>
    <n v="1"/>
    <n v="70"/>
    <n v="70"/>
    <n v="22.170731263895632"/>
    <n v="1431.8198750123224"/>
    <n v="1"/>
    <n v="0"/>
    <n v="0"/>
    <n v="0"/>
    <n v="0"/>
    <n v="0"/>
    <n v="0"/>
    <n v="0"/>
    <n v="0"/>
    <n v="0"/>
  </r>
  <r>
    <d v="2024-09-19T00:00:00"/>
    <n v="2024"/>
    <x v="40"/>
    <s v="R"/>
    <s v="RS"/>
    <x v="6"/>
    <s v="ATL"/>
    <s v="H"/>
    <n v="1"/>
    <n v="1"/>
    <n v="0"/>
    <n v="0"/>
    <n v="0"/>
    <n v="0"/>
    <n v="1720.3065404892834"/>
    <n v="1409.6491437484267"/>
    <n v="0.90651703513091519"/>
    <n v="67"/>
    <n v="78"/>
    <n v="0"/>
    <n v="-11"/>
    <n v="0"/>
    <n v="0.34938640981592389"/>
    <n v="1"/>
    <n v="69.849999999999994"/>
    <n v="69.849999999999994"/>
    <n v="-22.123222554044428"/>
    <n v="1698.1833179352391"/>
    <n v="0"/>
    <n v="1"/>
    <n v="0"/>
    <n v="0"/>
    <n v="0"/>
    <n v="0"/>
    <n v="0"/>
    <n v="0"/>
    <n v="0"/>
    <n v="0"/>
  </r>
  <r>
    <d v="2024-09-19T00:00:00"/>
    <n v="2024"/>
    <x v="39"/>
    <s v="R"/>
    <s v="RS"/>
    <x v="5"/>
    <s v="PHX"/>
    <s v="A"/>
    <n v="1"/>
    <n v="1"/>
    <n v="0"/>
    <n v="0"/>
    <n v="0"/>
    <n v="0"/>
    <n v="1548.3704458166414"/>
    <n v="1436.2513023049517"/>
    <n v="0.54037857610864226"/>
    <n v="89"/>
    <n v="70"/>
    <n v="0"/>
    <n v="19"/>
    <n v="1"/>
    <n v="0.51304265363134094"/>
    <n v="1"/>
    <n v="70"/>
    <n v="70"/>
    <n v="16.506377648532631"/>
    <n v="1564.8768234651741"/>
    <n v="1"/>
    <n v="0"/>
    <n v="0"/>
    <n v="0"/>
    <n v="0"/>
    <n v="0"/>
    <n v="0"/>
    <n v="0"/>
    <n v="0"/>
    <n v="0"/>
  </r>
  <r>
    <d v="2024-09-19T00:00:00"/>
    <n v="2024"/>
    <x v="39"/>
    <s v="R"/>
    <s v="RS"/>
    <x v="2"/>
    <s v="SEA"/>
    <s v="H"/>
    <n v="1"/>
    <n v="1"/>
    <n v="0"/>
    <n v="0"/>
    <n v="0"/>
    <n v="0"/>
    <n v="1436.2513023049517"/>
    <n v="1548.3704458166414"/>
    <n v="0.45962142389135768"/>
    <n v="70"/>
    <n v="89"/>
    <n v="0"/>
    <n v="-19"/>
    <n v="0"/>
    <n v="0.51304265363134094"/>
    <n v="1"/>
    <n v="70"/>
    <n v="70"/>
    <n v="-16.506377648532631"/>
    <n v="1419.744924656419"/>
    <n v="0"/>
    <n v="1"/>
    <n v="0"/>
    <n v="0"/>
    <n v="0"/>
    <n v="0"/>
    <n v="0"/>
    <n v="0"/>
    <n v="0"/>
    <n v="0"/>
  </r>
  <r>
    <d v="2024-09-19T00:00:00"/>
    <n v="2024"/>
    <x v="39"/>
    <s v="R"/>
    <s v="RS"/>
    <x v="0"/>
    <s v="WAS"/>
    <s v="A"/>
    <n v="3"/>
    <n v="1"/>
    <n v="2"/>
    <n v="-2"/>
    <n v="16"/>
    <n v="-16"/>
    <n v="1501.6449870783786"/>
    <n v="1446.8841312688503"/>
    <n v="0.5039731072674164"/>
    <n v="91"/>
    <n v="92"/>
    <n v="0"/>
    <n v="-1"/>
    <n v="0"/>
    <n v="0.23352306840119635"/>
    <n v="1"/>
    <n v="70"/>
    <n v="70"/>
    <n v="-8.2382542480540639"/>
    <n v="1493.4067328303245"/>
    <n v="0"/>
    <n v="1"/>
    <n v="0"/>
    <n v="0"/>
    <n v="0"/>
    <n v="0"/>
    <n v="0"/>
    <n v="0"/>
    <n v="0"/>
    <n v="0"/>
  </r>
  <r>
    <d v="2024-09-19T00:00:00"/>
    <n v="2024"/>
    <x v="39"/>
    <s v="R"/>
    <s v="RS"/>
    <x v="7"/>
    <s v="IND"/>
    <s v="H"/>
    <n v="1"/>
    <n v="3"/>
    <n v="-2"/>
    <n v="2"/>
    <n v="-16"/>
    <n v="16"/>
    <n v="1446.8841312688503"/>
    <n v="1501.6449870783786"/>
    <n v="0.49602689273258371"/>
    <n v="92"/>
    <n v="91"/>
    <n v="0"/>
    <n v="1"/>
    <n v="1"/>
    <n v="0.23352306840119635"/>
    <n v="1"/>
    <n v="70"/>
    <n v="70"/>
    <n v="8.2382542480540621"/>
    <n v="1455.1223855169044"/>
    <n v="1"/>
    <n v="0"/>
    <n v="0"/>
    <n v="0"/>
    <n v="0"/>
    <n v="0"/>
    <n v="0"/>
    <n v="0"/>
    <n v="0"/>
    <n v="0"/>
  </r>
  <r>
    <d v="2024-09-22T00:00:00"/>
    <n v="2024"/>
    <x v="40"/>
    <s v="P"/>
    <n v="1"/>
    <x v="0"/>
    <s v="CON"/>
    <s v="A"/>
    <n v="2"/>
    <n v="2"/>
    <n v="0"/>
    <n v="0"/>
    <n v="0"/>
    <n v="0"/>
    <n v="1493.4067328303245"/>
    <n v="1615.4999655485906"/>
    <n v="0.23390914286337802"/>
    <n v="69"/>
    <n v="93"/>
    <n v="0"/>
    <n v="-24"/>
    <n v="0"/>
    <n v="0.57039632204097668"/>
    <n v="1.1000000000000001"/>
    <n v="69.849999999999994"/>
    <n v="76.834999999999994"/>
    <n v="-10.251395987200301"/>
    <n v="1483.1553368431241"/>
    <n v="0"/>
    <n v="0"/>
    <n v="0"/>
    <n v="1"/>
    <n v="0"/>
    <n v="0"/>
    <n v="0"/>
    <n v="0"/>
    <n v="0"/>
    <n v="0"/>
  </r>
  <r>
    <d v="2024-09-22T00:00:00"/>
    <n v="2024"/>
    <x v="40"/>
    <s v="P"/>
    <n v="1"/>
    <x v="1"/>
    <s v="IND"/>
    <s v="H"/>
    <n v="2"/>
    <n v="2"/>
    <n v="0"/>
    <n v="0"/>
    <n v="0"/>
    <n v="0"/>
    <n v="1615.4999655485906"/>
    <n v="1493.4067328303245"/>
    <n v="0.76609085713662206"/>
    <n v="93"/>
    <n v="69"/>
    <n v="0"/>
    <n v="24"/>
    <n v="1"/>
    <n v="0.57039632204097668"/>
    <n v="1.1000000000000001"/>
    <n v="69.849999999999994"/>
    <n v="76.834999999999994"/>
    <n v="10.251395987200297"/>
    <n v="1625.7513615357909"/>
    <n v="0"/>
    <n v="0"/>
    <n v="1"/>
    <n v="0"/>
    <n v="0"/>
    <n v="0"/>
    <n v="0"/>
    <n v="0"/>
    <n v="0"/>
    <n v="0"/>
  </r>
  <r>
    <d v="2024-09-22T00:00:00"/>
    <n v="2024"/>
    <x v="40"/>
    <s v="P"/>
    <n v="1"/>
    <x v="5"/>
    <s v="LVA"/>
    <s v="A"/>
    <n v="2"/>
    <n v="2"/>
    <n v="0"/>
    <n v="0"/>
    <n v="0"/>
    <n v="0"/>
    <n v="1564.8768234651741"/>
    <n v="1673.6719761372626"/>
    <n v="0.24790479978024871"/>
    <n v="67"/>
    <n v="78"/>
    <n v="0"/>
    <n v="-11"/>
    <n v="0"/>
    <n v="0.40327408245023955"/>
    <n v="1.1000000000000001"/>
    <n v="69.849999999999994"/>
    <n v="76.834999999999994"/>
    <n v="-7.6814700705020869"/>
    <n v="1557.1953533946721"/>
    <n v="0"/>
    <n v="0"/>
    <n v="0"/>
    <n v="1"/>
    <n v="0"/>
    <n v="0"/>
    <n v="0"/>
    <n v="0"/>
    <n v="0"/>
    <n v="0"/>
  </r>
  <r>
    <d v="2024-09-22T00:00:00"/>
    <n v="2024"/>
    <x v="40"/>
    <s v="P"/>
    <n v="1"/>
    <x v="3"/>
    <s v="SEA"/>
    <s v="H"/>
    <n v="2"/>
    <n v="2"/>
    <n v="0"/>
    <n v="0"/>
    <n v="0"/>
    <n v="0"/>
    <n v="1673.6719761372626"/>
    <n v="1564.8768234651741"/>
    <n v="0.75209520021975118"/>
    <n v="78"/>
    <n v="67"/>
    <n v="0"/>
    <n v="11"/>
    <n v="1"/>
    <n v="0.40327408245023955"/>
    <n v="1.1000000000000001"/>
    <n v="69.849999999999994"/>
    <n v="76.834999999999994"/>
    <n v="7.6814700705020895"/>
    <n v="1681.3534462077648"/>
    <n v="0"/>
    <n v="0"/>
    <n v="1"/>
    <n v="0"/>
    <n v="0"/>
    <n v="0"/>
    <n v="0"/>
    <n v="0"/>
    <n v="0"/>
    <n v="0"/>
  </r>
  <r>
    <d v="2024-09-22T00:00:00"/>
    <n v="2024"/>
    <x v="40"/>
    <s v="P"/>
    <n v="1"/>
    <x v="2"/>
    <s v="MIN"/>
    <s v="A"/>
    <n v="2"/>
    <n v="2"/>
    <n v="0"/>
    <n v="0"/>
    <n v="0"/>
    <n v="0"/>
    <n v="1419.744924656419"/>
    <n v="1656.5371560559067"/>
    <n v="0.13626923298095098"/>
    <n v="95"/>
    <n v="102"/>
    <n v="0"/>
    <n v="-7"/>
    <n v="0"/>
    <n v="0.30911122518527723"/>
    <n v="1.1000000000000001"/>
    <n v="69.849999999999994"/>
    <n v="76.834999999999994"/>
    <n v="-3.2364707285808829"/>
    <n v="1416.5084539278382"/>
    <n v="0"/>
    <n v="0"/>
    <n v="0"/>
    <n v="1"/>
    <n v="0"/>
    <n v="0"/>
    <n v="0"/>
    <n v="0"/>
    <n v="0"/>
    <n v="0"/>
  </r>
  <r>
    <d v="2024-09-22T00:00:00"/>
    <n v="2024"/>
    <x v="41"/>
    <s v="P"/>
    <n v="1"/>
    <x v="4"/>
    <s v="PHX"/>
    <s v="H"/>
    <n v="2"/>
    <n v="2"/>
    <n v="0"/>
    <n v="0"/>
    <n v="0"/>
    <n v="0"/>
    <n v="1656.5371560559067"/>
    <n v="1419.744924656419"/>
    <n v="0.86373076701904894"/>
    <n v="102"/>
    <n v="95"/>
    <n v="0"/>
    <n v="7"/>
    <n v="1"/>
    <n v="0.30911122518527723"/>
    <n v="1.1000000000000001"/>
    <n v="69.7"/>
    <n v="76.670000000000016"/>
    <n v="3.2295205409031889"/>
    <n v="1659.7666765968099"/>
    <n v="0"/>
    <n v="0"/>
    <n v="1"/>
    <n v="0"/>
    <n v="0"/>
    <n v="0"/>
    <n v="0"/>
    <n v="0"/>
    <n v="0"/>
    <n v="0"/>
  </r>
  <r>
    <d v="2024-09-22T00:00:00"/>
    <n v="2024"/>
    <x v="40"/>
    <s v="P"/>
    <n v="1"/>
    <x v="10"/>
    <s v="NYL"/>
    <s v="A"/>
    <n v="2"/>
    <n v="2"/>
    <n v="0"/>
    <n v="0"/>
    <n v="0"/>
    <n v="0"/>
    <n v="1431.8198750123224"/>
    <n v="1698.1833179352391"/>
    <n v="0.11744467545756"/>
    <n v="69"/>
    <n v="83"/>
    <n v="0"/>
    <n v="-14"/>
    <n v="0"/>
    <n v="0.39903458250062257"/>
    <n v="1.1000000000000001"/>
    <n v="69.849999999999994"/>
    <n v="76.834999999999994"/>
    <n v="-3.6008328615746081"/>
    <n v="1428.2190421507478"/>
    <n v="0"/>
    <n v="0"/>
    <n v="0"/>
    <n v="1"/>
    <n v="0"/>
    <n v="0"/>
    <n v="0"/>
    <n v="0"/>
    <n v="0"/>
    <n v="0"/>
  </r>
  <r>
    <d v="2024-09-22T00:00:00"/>
    <n v="2024"/>
    <x v="41"/>
    <s v="P"/>
    <n v="1"/>
    <x v="6"/>
    <s v="ATL"/>
    <s v="H"/>
    <n v="2"/>
    <n v="2"/>
    <n v="0"/>
    <n v="0"/>
    <n v="0"/>
    <n v="0"/>
    <n v="1698.1833179352391"/>
    <n v="1431.8198750123224"/>
    <n v="0.88255532454244001"/>
    <n v="83"/>
    <n v="69"/>
    <n v="0"/>
    <n v="14"/>
    <n v="1"/>
    <n v="0.39903458250062257"/>
    <n v="1.1000000000000001"/>
    <n v="69.7"/>
    <n v="76.670000000000016"/>
    <n v="3.5931002212133176"/>
    <n v="1701.7764181564523"/>
    <n v="0"/>
    <n v="0"/>
    <n v="1"/>
    <n v="0"/>
    <n v="0"/>
    <n v="0"/>
    <n v="0"/>
    <n v="0"/>
    <n v="0"/>
    <n v="0"/>
  </r>
  <r>
    <d v="2024-09-24T00:00:00"/>
    <n v="2024"/>
    <x v="41"/>
    <s v="P"/>
    <n v="1"/>
    <x v="5"/>
    <s v="LVA"/>
    <s v="A"/>
    <n v="1"/>
    <n v="1"/>
    <n v="0"/>
    <n v="0"/>
    <n v="0"/>
    <n v="0"/>
    <n v="1557.1953533946721"/>
    <n v="1681.3534462077648"/>
    <n v="0.23178591172345975"/>
    <n v="76"/>
    <n v="83"/>
    <n v="0"/>
    <n v="-7"/>
    <n v="0"/>
    <n v="0.33540451808217248"/>
    <n v="1.1000000000000001"/>
    <n v="69.7"/>
    <n v="76.670000000000016"/>
    <n v="-5.9604823616614402"/>
    <n v="1551.2348710330107"/>
    <n v="0"/>
    <n v="0"/>
    <n v="0"/>
    <n v="1"/>
    <n v="0"/>
    <n v="0"/>
    <n v="0"/>
    <n v="0"/>
    <n v="0"/>
    <n v="0"/>
  </r>
  <r>
    <d v="2024-09-24T00:00:00"/>
    <n v="2024"/>
    <x v="41"/>
    <s v="P"/>
    <n v="1"/>
    <x v="3"/>
    <s v="SEA"/>
    <s v="H"/>
    <n v="1"/>
    <n v="1"/>
    <n v="0"/>
    <n v="0"/>
    <n v="0"/>
    <n v="0"/>
    <n v="1681.3534462077648"/>
    <n v="1557.1953533946721"/>
    <n v="0.76821408827654025"/>
    <n v="83"/>
    <n v="76"/>
    <n v="0"/>
    <n v="7"/>
    <n v="1"/>
    <n v="0.33540451808217248"/>
    <n v="1.1000000000000001"/>
    <n v="69.7"/>
    <n v="76.670000000000016"/>
    <n v="5.9604823616614402"/>
    <n v="1687.3139285694263"/>
    <n v="0"/>
    <n v="0"/>
    <n v="1"/>
    <n v="0"/>
    <n v="0"/>
    <n v="0"/>
    <n v="0"/>
    <n v="0"/>
    <n v="0"/>
    <n v="0"/>
  </r>
  <r>
    <d v="2024-09-24T00:00:00"/>
    <n v="2024"/>
    <x v="41"/>
    <s v="P"/>
    <n v="1"/>
    <x v="10"/>
    <s v="NYL"/>
    <s v="A"/>
    <n v="1"/>
    <n v="1"/>
    <n v="0"/>
    <n v="0"/>
    <n v="0"/>
    <n v="0"/>
    <n v="1428.2190421507478"/>
    <n v="1701.7764181564523"/>
    <n v="0.11321983797036118"/>
    <n v="82"/>
    <n v="91"/>
    <n v="0"/>
    <n v="-9"/>
    <n v="0"/>
    <n v="0.33060526892900943"/>
    <n v="1.1000000000000001"/>
    <n v="69.7"/>
    <n v="76.670000000000016"/>
    <n v="-2.8698405187388447"/>
    <n v="1425.349201632009"/>
    <n v="0"/>
    <n v="0"/>
    <n v="0"/>
    <n v="1"/>
    <n v="0"/>
    <n v="0"/>
    <n v="0"/>
    <n v="0"/>
    <n v="0"/>
    <n v="0"/>
  </r>
  <r>
    <d v="2024-09-24T00:00:00"/>
    <n v="2024"/>
    <x v="42"/>
    <s v="P"/>
    <n v="1"/>
    <x v="6"/>
    <s v="ATL"/>
    <s v="H"/>
    <n v="1"/>
    <n v="1"/>
    <n v="0"/>
    <n v="0"/>
    <n v="0"/>
    <n v="0"/>
    <n v="1701.7764181564523"/>
    <n v="1428.2190421507478"/>
    <n v="0.88678016202963883"/>
    <n v="91"/>
    <n v="82"/>
    <n v="0"/>
    <n v="9"/>
    <n v="1"/>
    <n v="0.33060526892900943"/>
    <n v="1.1000000000000001"/>
    <n v="69.55"/>
    <n v="76.50500000000001"/>
    <n v="2.8636643913670969"/>
    <n v="1704.6400825478195"/>
    <n v="0"/>
    <n v="0"/>
    <n v="1"/>
    <n v="0"/>
    <n v="0"/>
    <n v="0"/>
    <n v="0"/>
    <n v="0"/>
    <n v="0"/>
    <n v="0"/>
  </r>
  <r>
    <d v="2024-09-25T00:00:00"/>
    <n v="2024"/>
    <x v="41"/>
    <s v="P"/>
    <n v="1"/>
    <x v="0"/>
    <s v="CON"/>
    <s v="A"/>
    <n v="2"/>
    <n v="2"/>
    <n v="0"/>
    <n v="0"/>
    <n v="0"/>
    <n v="0"/>
    <n v="1483.1553368431241"/>
    <n v="1625.7513615357909"/>
    <n v="0.21342685045068588"/>
    <n v="81"/>
    <n v="87"/>
    <n v="0"/>
    <n v="-6"/>
    <n v="0"/>
    <n v="0.31397151902463283"/>
    <n v="1.1000000000000001"/>
    <n v="69.7"/>
    <n v="76.670000000000016"/>
    <n v="-5.1376530533175728"/>
    <n v="1478.0176837898066"/>
    <n v="0"/>
    <n v="0"/>
    <n v="0"/>
    <n v="1"/>
    <n v="0"/>
    <n v="0"/>
    <n v="0"/>
    <n v="0"/>
    <n v="0"/>
    <n v="0"/>
  </r>
  <r>
    <d v="2024-09-25T00:00:00"/>
    <n v="2024"/>
    <x v="41"/>
    <s v="P"/>
    <n v="1"/>
    <x v="1"/>
    <s v="IND"/>
    <s v="H"/>
    <n v="2"/>
    <n v="2"/>
    <n v="0"/>
    <n v="0"/>
    <n v="0"/>
    <n v="0"/>
    <n v="1625.7513615357909"/>
    <n v="1483.1553368431241"/>
    <n v="0.78657314954931412"/>
    <n v="87"/>
    <n v="81"/>
    <n v="0"/>
    <n v="6"/>
    <n v="1"/>
    <n v="0.31397151902463283"/>
    <n v="1.1000000000000001"/>
    <n v="69.7"/>
    <n v="76.670000000000016"/>
    <n v="5.1376530533175728"/>
    <n v="1630.8890145891085"/>
    <n v="0"/>
    <n v="0"/>
    <n v="1"/>
    <n v="0"/>
    <n v="0"/>
    <n v="0"/>
    <n v="0"/>
    <n v="0"/>
    <n v="0"/>
    <n v="0"/>
  </r>
  <r>
    <d v="2024-09-25T00:00:00"/>
    <n v="2024"/>
    <x v="41"/>
    <s v="P"/>
    <n v="1"/>
    <x v="2"/>
    <s v="MIN"/>
    <s v="A"/>
    <n v="2"/>
    <n v="2"/>
    <n v="0"/>
    <n v="0"/>
    <n v="0"/>
    <n v="0"/>
    <n v="1416.5084539278382"/>
    <n v="1659.7666765968099"/>
    <n v="0.1319473073265014"/>
    <n v="88"/>
    <n v="101"/>
    <n v="0"/>
    <n v="-13"/>
    <n v="0"/>
    <n v="0.39248174573321909"/>
    <n v="1.1000000000000001"/>
    <n v="69.7"/>
    <n v="76.670000000000016"/>
    <n v="-3.9705023532282997"/>
    <n v="1412.5379515746099"/>
    <n v="0"/>
    <n v="0"/>
    <n v="0"/>
    <n v="1"/>
    <n v="0"/>
    <n v="0"/>
    <n v="0"/>
    <n v="0"/>
    <n v="0"/>
    <n v="0"/>
  </r>
  <r>
    <d v="2024-09-25T00:00:00"/>
    <n v="2024"/>
    <x v="42"/>
    <s v="P"/>
    <n v="1"/>
    <x v="4"/>
    <s v="PHX"/>
    <s v="H"/>
    <n v="2"/>
    <n v="2"/>
    <n v="0"/>
    <n v="0"/>
    <n v="0"/>
    <n v="0"/>
    <n v="1659.7666765968099"/>
    <n v="1416.5084539278382"/>
    <n v="0.86805269267349849"/>
    <n v="101"/>
    <n v="88"/>
    <n v="0"/>
    <n v="13"/>
    <n v="1"/>
    <n v="0.39248174573321909"/>
    <n v="1.1000000000000001"/>
    <n v="69.55"/>
    <n v="76.50500000000001"/>
    <n v="3.9619575131567921"/>
    <n v="1663.7286341099668"/>
    <n v="0"/>
    <n v="0"/>
    <n v="1"/>
    <n v="0"/>
    <n v="0"/>
    <n v="0"/>
    <n v="0"/>
    <n v="0"/>
    <n v="0"/>
    <n v="0"/>
  </r>
  <r>
    <d v="2024-09-29T00:00:00"/>
    <n v="2024"/>
    <x v="42"/>
    <s v="P"/>
    <n v="2"/>
    <x v="1"/>
    <s v="MIN"/>
    <s v="A"/>
    <n v="3"/>
    <n v="3"/>
    <n v="0"/>
    <n v="0"/>
    <n v="0"/>
    <n v="0"/>
    <n v="1630.8890145891085"/>
    <n v="1663.7286341099668"/>
    <n v="0.3379187242989608"/>
    <n v="73"/>
    <n v="70"/>
    <n v="0"/>
    <n v="3"/>
    <n v="1"/>
    <n v="0.2824537918839638"/>
    <n v="1.2"/>
    <n v="69.55"/>
    <n v="83.46"/>
    <n v="15.60763483789612"/>
    <n v="1646.4966494270045"/>
    <n v="0"/>
    <n v="0"/>
    <n v="0"/>
    <n v="0"/>
    <n v="1"/>
    <n v="0"/>
    <n v="0"/>
    <n v="0"/>
    <n v="0"/>
    <n v="0"/>
  </r>
  <r>
    <d v="2024-09-29T00:00:00"/>
    <n v="2024"/>
    <x v="43"/>
    <s v="P"/>
    <n v="2"/>
    <x v="4"/>
    <s v="CON"/>
    <s v="H"/>
    <n v="3"/>
    <n v="3"/>
    <n v="0"/>
    <n v="0"/>
    <n v="0"/>
    <n v="0"/>
    <n v="1663.7286341099668"/>
    <n v="1630.8890145891085"/>
    <n v="0.66208127570103925"/>
    <n v="70"/>
    <n v="73"/>
    <n v="0"/>
    <n v="-3"/>
    <n v="0"/>
    <n v="0.2824537918839638"/>
    <n v="1.2"/>
    <n v="69.400000000000006"/>
    <n v="83.28"/>
    <n v="-15.573973511861837"/>
    <n v="1648.154660598105"/>
    <n v="0"/>
    <n v="0"/>
    <n v="0"/>
    <n v="0"/>
    <n v="0"/>
    <n v="1"/>
    <n v="0"/>
    <n v="0"/>
    <n v="0"/>
    <n v="0"/>
  </r>
  <r>
    <d v="2024-09-29T00:00:00"/>
    <n v="2024"/>
    <x v="42"/>
    <s v="P"/>
    <n v="2"/>
    <x v="3"/>
    <s v="NYL"/>
    <s v="A"/>
    <n v="4"/>
    <n v="4"/>
    <n v="0"/>
    <n v="0"/>
    <n v="0"/>
    <n v="0"/>
    <n v="1687.3139285694263"/>
    <n v="1704.6400825478195"/>
    <n v="0.35817816274558917"/>
    <n v="77"/>
    <n v="87"/>
    <n v="0"/>
    <n v="-10"/>
    <n v="0"/>
    <n v="0.41710731141307023"/>
    <n v="1.2"/>
    <n v="69.55"/>
    <n v="83.46"/>
    <n v="-12.468818044999976"/>
    <n v="1674.8451105244262"/>
    <n v="0"/>
    <n v="0"/>
    <n v="0"/>
    <n v="0"/>
    <n v="0"/>
    <n v="1"/>
    <n v="0"/>
    <n v="0"/>
    <n v="0"/>
    <n v="0"/>
  </r>
  <r>
    <d v="2024-09-29T00:00:00"/>
    <n v="2024"/>
    <x v="43"/>
    <s v="P"/>
    <n v="2"/>
    <x v="6"/>
    <s v="LVA"/>
    <s v="H"/>
    <n v="4"/>
    <n v="4"/>
    <n v="0"/>
    <n v="0"/>
    <n v="0"/>
    <n v="0"/>
    <n v="1704.6400825478195"/>
    <n v="1687.3139285694263"/>
    <n v="0.64182183725441078"/>
    <n v="87"/>
    <n v="77"/>
    <n v="0"/>
    <n v="10"/>
    <n v="1"/>
    <n v="0.41710731141307023"/>
    <n v="1.2"/>
    <n v="69.400000000000006"/>
    <n v="83.28"/>
    <n v="12.441926273515437"/>
    <n v="1717.082008821335"/>
    <n v="0"/>
    <n v="0"/>
    <n v="0"/>
    <n v="0"/>
    <n v="1"/>
    <n v="0"/>
    <n v="0"/>
    <n v="0"/>
    <n v="0"/>
    <n v="0"/>
  </r>
  <r>
    <d v="2024-10-01T00:00:00"/>
    <n v="2024"/>
    <x v="43"/>
    <s v="P"/>
    <n v="2"/>
    <x v="1"/>
    <s v="MIN"/>
    <s v="A"/>
    <n v="1"/>
    <n v="1"/>
    <n v="0"/>
    <n v="0"/>
    <n v="0"/>
    <n v="0"/>
    <n v="1646.4966494270045"/>
    <n v="1648.154660598105"/>
    <n v="0.3791665843671595"/>
    <n v="70"/>
    <n v="77"/>
    <n v="0"/>
    <n v="-7"/>
    <n v="0"/>
    <n v="0.36959650986868497"/>
    <n v="1.2"/>
    <n v="69.400000000000006"/>
    <n v="83.28"/>
    <n v="-11.670746458944853"/>
    <n v="1634.8259029680596"/>
    <n v="0"/>
    <n v="0"/>
    <n v="0"/>
    <n v="0"/>
    <n v="0"/>
    <n v="1"/>
    <n v="0"/>
    <n v="0"/>
    <n v="0"/>
    <n v="0"/>
  </r>
  <r>
    <d v="2024-10-01T00:00:00"/>
    <n v="2024"/>
    <x v="44"/>
    <s v="P"/>
    <n v="2"/>
    <x v="4"/>
    <s v="CON"/>
    <s v="H"/>
    <n v="1"/>
    <n v="1"/>
    <n v="0"/>
    <n v="0"/>
    <n v="0"/>
    <n v="0"/>
    <n v="1648.154660598105"/>
    <n v="1646.4966494270045"/>
    <n v="0.62083341563284056"/>
    <n v="77"/>
    <n v="70"/>
    <n v="0"/>
    <n v="7"/>
    <n v="1"/>
    <n v="0.36959650986868497"/>
    <n v="1.2"/>
    <n v="69.25"/>
    <n v="83.1"/>
    <n v="11.645521502621483"/>
    <n v="1659.8001821007265"/>
    <n v="0"/>
    <n v="0"/>
    <n v="0"/>
    <n v="0"/>
    <n v="1"/>
    <n v="0"/>
    <n v="0"/>
    <n v="0"/>
    <n v="0"/>
    <n v="0"/>
  </r>
  <r>
    <d v="2024-10-01T00:00:00"/>
    <n v="2024"/>
    <x v="43"/>
    <s v="P"/>
    <n v="2"/>
    <x v="3"/>
    <s v="NYL"/>
    <s v="A"/>
    <n v="1"/>
    <n v="1"/>
    <n v="0"/>
    <n v="0"/>
    <n v="0"/>
    <n v="0"/>
    <n v="1674.8451105244262"/>
    <n v="1717.082008821335"/>
    <n v="0.32592414024066269"/>
    <n v="84"/>
    <n v="88"/>
    <n v="0"/>
    <n v="-4"/>
    <n v="0"/>
    <n v="0.30084381038513641"/>
    <n v="1.2"/>
    <n v="69.400000000000006"/>
    <n v="83.28"/>
    <n v="-8.1657922333285651"/>
    <n v="1666.6793182910976"/>
    <n v="0"/>
    <n v="0"/>
    <n v="0"/>
    <n v="0"/>
    <n v="0"/>
    <n v="1"/>
    <n v="0"/>
    <n v="0"/>
    <n v="0"/>
    <n v="0"/>
  </r>
  <r>
    <d v="2024-10-01T00:00:00"/>
    <n v="2024"/>
    <x v="44"/>
    <s v="P"/>
    <n v="2"/>
    <x v="6"/>
    <s v="LVA"/>
    <s v="H"/>
    <n v="1"/>
    <n v="1"/>
    <n v="0"/>
    <n v="0"/>
    <n v="0"/>
    <n v="0"/>
    <n v="1717.082008821335"/>
    <n v="1674.8451105244262"/>
    <n v="0.67407585975933726"/>
    <n v="88"/>
    <n v="84"/>
    <n v="0"/>
    <n v="4"/>
    <n v="1"/>
    <n v="0.30084381038513641"/>
    <n v="1.2"/>
    <n v="69.25"/>
    <n v="83.1"/>
    <n v="8.1481428264841949"/>
    <n v="1725.2301516478192"/>
    <n v="0"/>
    <n v="0"/>
    <n v="0"/>
    <n v="0"/>
    <n v="1"/>
    <n v="0"/>
    <n v="0"/>
    <n v="0"/>
    <n v="0"/>
    <n v="0"/>
  </r>
  <r>
    <d v="2024-10-04T00:00:00"/>
    <n v="2024"/>
    <x v="45"/>
    <s v="P"/>
    <n v="2"/>
    <x v="4"/>
    <s v="CON"/>
    <s v="A"/>
    <n v="2"/>
    <n v="2"/>
    <n v="0"/>
    <n v="0"/>
    <n v="0"/>
    <n v="0"/>
    <n v="1659.8001821007265"/>
    <n v="1634.8259029680596"/>
    <n v="0.41586307356341234"/>
    <n v="90"/>
    <n v="81"/>
    <n v="0"/>
    <n v="9"/>
    <n v="1"/>
    <n v="0.39769474418811895"/>
    <n v="1.2"/>
    <n v="69.099999999999994"/>
    <n v="82.919999999999987"/>
    <n v="19.262994744150316"/>
    <n v="1679.0631768448768"/>
    <n v="0"/>
    <n v="0"/>
    <n v="0"/>
    <n v="0"/>
    <n v="1"/>
    <n v="0"/>
    <n v="0"/>
    <n v="0"/>
    <n v="0"/>
    <n v="0"/>
  </r>
  <r>
    <d v="2024-10-04T00:00:00"/>
    <n v="2024"/>
    <x v="44"/>
    <s v="P"/>
    <n v="2"/>
    <x v="1"/>
    <s v="MIN"/>
    <s v="H"/>
    <n v="2"/>
    <n v="2"/>
    <n v="0"/>
    <n v="0"/>
    <n v="0"/>
    <n v="0"/>
    <n v="1634.8259029680596"/>
    <n v="1659.8001821007265"/>
    <n v="0.58413692643658766"/>
    <n v="81"/>
    <n v="90"/>
    <n v="0"/>
    <n v="-9"/>
    <n v="0"/>
    <n v="0.39769474418811895"/>
    <n v="1.2"/>
    <n v="69.25"/>
    <n v="83.1"/>
    <n v="-19.304810217545722"/>
    <n v="1615.5210927505138"/>
    <n v="0"/>
    <n v="0"/>
    <n v="0"/>
    <n v="0"/>
    <n v="0"/>
    <n v="1"/>
    <n v="0"/>
    <n v="0"/>
    <n v="0"/>
    <n v="0"/>
  </r>
  <r>
    <d v="2024-10-04T00:00:00"/>
    <n v="2024"/>
    <x v="45"/>
    <s v="P"/>
    <n v="2"/>
    <x v="6"/>
    <s v="LVA"/>
    <s v="A"/>
    <n v="2"/>
    <n v="2"/>
    <n v="0"/>
    <n v="0"/>
    <n v="0"/>
    <n v="0"/>
    <n v="1725.2301516478192"/>
    <n v="1666.6793182910976"/>
    <n v="0.46344106568389487"/>
    <n v="81"/>
    <n v="95"/>
    <n v="0"/>
    <n v="-14"/>
    <n v="0"/>
    <n v="0.4649233934240885"/>
    <n v="1.2"/>
    <n v="69.099999999999994"/>
    <n v="82.919999999999987"/>
    <n v="-17.866324044083292"/>
    <n v="1707.3638276037359"/>
    <n v="0"/>
    <n v="0"/>
    <n v="0"/>
    <n v="0"/>
    <n v="0"/>
    <n v="1"/>
    <n v="0"/>
    <n v="0"/>
    <n v="0"/>
    <n v="0"/>
  </r>
  <r>
    <d v="2024-10-04T00:00:00"/>
    <n v="2024"/>
    <x v="44"/>
    <s v="P"/>
    <n v="2"/>
    <x v="3"/>
    <s v="NYL"/>
    <s v="H"/>
    <n v="2"/>
    <n v="2"/>
    <n v="0"/>
    <n v="0"/>
    <n v="0"/>
    <n v="0"/>
    <n v="1666.6793182910976"/>
    <n v="1725.2301516478192"/>
    <n v="0.53655893431610513"/>
    <n v="95"/>
    <n v="81"/>
    <n v="0"/>
    <n v="14"/>
    <n v="1"/>
    <n v="0.4649233934240885"/>
    <n v="1.2"/>
    <n v="69.25"/>
    <n v="83.1"/>
    <n v="17.905107670807062"/>
    <n v="1684.5844259619046"/>
    <n v="0"/>
    <n v="0"/>
    <n v="0"/>
    <n v="0"/>
    <n v="1"/>
    <n v="0"/>
    <n v="0"/>
    <n v="0"/>
    <n v="0"/>
    <n v="0"/>
  </r>
  <r>
    <d v="2024-10-06T00:00:00"/>
    <n v="2024"/>
    <x v="46"/>
    <s v="P"/>
    <n v="2"/>
    <x v="4"/>
    <s v="CON"/>
    <s v="A"/>
    <n v="1"/>
    <n v="1"/>
    <n v="0"/>
    <n v="0"/>
    <n v="0"/>
    <n v="0"/>
    <n v="1679.0631768448768"/>
    <n v="1615.5210927505138"/>
    <n v="0.47059267118436926"/>
    <n v="82"/>
    <n v="92"/>
    <n v="0"/>
    <n v="-10"/>
    <n v="0"/>
    <n v="0.40185099142358355"/>
    <n v="1.2"/>
    <n v="68.95"/>
    <n v="82.74"/>
    <n v="-15.646806798002485"/>
    <n v="1663.4163700468744"/>
    <n v="0"/>
    <n v="0"/>
    <n v="0"/>
    <n v="0"/>
    <n v="0"/>
    <n v="1"/>
    <n v="0"/>
    <n v="0"/>
    <n v="0"/>
    <n v="0"/>
  </r>
  <r>
    <d v="2024-10-06T00:00:00"/>
    <n v="2024"/>
    <x v="45"/>
    <s v="P"/>
    <n v="2"/>
    <x v="1"/>
    <s v="MIN"/>
    <s v="H"/>
    <n v="1"/>
    <n v="1"/>
    <n v="0"/>
    <n v="0"/>
    <n v="0"/>
    <n v="0"/>
    <n v="1615.5210927505138"/>
    <n v="1679.0631768448768"/>
    <n v="0.5294073288156308"/>
    <n v="92"/>
    <n v="82"/>
    <n v="0"/>
    <n v="10"/>
    <n v="1"/>
    <n v="0.40185099142358355"/>
    <n v="1.2"/>
    <n v="69.099999999999994"/>
    <n v="82.919999999999987"/>
    <n v="15.68084626166746"/>
    <n v="1631.2019390121814"/>
    <n v="0"/>
    <n v="0"/>
    <n v="0"/>
    <n v="0"/>
    <n v="1"/>
    <n v="0"/>
    <n v="0"/>
    <n v="0"/>
    <n v="0"/>
    <n v="0"/>
  </r>
  <r>
    <d v="2024-10-06T00:00:00"/>
    <n v="2024"/>
    <x v="46"/>
    <s v="P"/>
    <n v="2"/>
    <x v="6"/>
    <s v="LVA"/>
    <s v="A"/>
    <n v="1"/>
    <n v="1"/>
    <n v="0"/>
    <n v="0"/>
    <n v="0"/>
    <n v="0"/>
    <n v="1707.3638276037359"/>
    <n v="1684.5844259619046"/>
    <n v="0.41279713251061301"/>
    <n v="76"/>
    <n v="62"/>
    <n v="0"/>
    <n v="14"/>
    <n v="1"/>
    <n v="0.47852435480616146"/>
    <n v="1.2"/>
    <n v="68.95"/>
    <n v="82.74"/>
    <n v="23.249184857312528"/>
    <n v="1730.6130124610484"/>
    <n v="0"/>
    <n v="0"/>
    <n v="0"/>
    <n v="0"/>
    <n v="1"/>
    <n v="0"/>
    <n v="0"/>
    <n v="0"/>
    <n v="0"/>
    <n v="0"/>
  </r>
  <r>
    <d v="2024-10-06T00:00:00"/>
    <n v="2024"/>
    <x v="45"/>
    <s v="P"/>
    <n v="2"/>
    <x v="3"/>
    <s v="NYL"/>
    <s v="H"/>
    <n v="1"/>
    <n v="1"/>
    <n v="0"/>
    <n v="0"/>
    <n v="0"/>
    <n v="0"/>
    <n v="1684.5844259619046"/>
    <n v="1707.3638276037359"/>
    <n v="0.58720286748938699"/>
    <n v="62"/>
    <n v="76"/>
    <n v="0"/>
    <n v="-14"/>
    <n v="0"/>
    <n v="0.47852435480616146"/>
    <n v="1.2"/>
    <n v="69.099999999999994"/>
    <n v="82.919999999999987"/>
    <n v="-23.29976321450755"/>
    <n v="1661.2846627473971"/>
    <n v="0"/>
    <n v="0"/>
    <n v="0"/>
    <n v="0"/>
    <n v="0"/>
    <n v="1"/>
    <n v="0"/>
    <n v="0"/>
    <n v="0"/>
    <n v="0"/>
  </r>
  <r>
    <d v="2024-10-08T00:00:00"/>
    <n v="2024"/>
    <x v="46"/>
    <s v="P"/>
    <n v="2"/>
    <x v="1"/>
    <s v="MIN"/>
    <s v="A"/>
    <n v="1"/>
    <n v="1"/>
    <n v="0"/>
    <n v="0"/>
    <n v="0"/>
    <n v="0"/>
    <n v="1631.2019390121814"/>
    <n v="1663.4163700468744"/>
    <n v="0.33872436827587427"/>
    <n v="77"/>
    <n v="88"/>
    <n v="0"/>
    <n v="-11"/>
    <n v="0"/>
    <n v="0.42833710676960685"/>
    <n v="1.2"/>
    <n v="68.95"/>
    <n v="82.74"/>
    <n v="-12.004598983537104"/>
    <n v="1619.1973400286442"/>
    <n v="0"/>
    <n v="0"/>
    <n v="0"/>
    <n v="0"/>
    <n v="0"/>
    <n v="1"/>
    <n v="0"/>
    <n v="0"/>
    <n v="0"/>
    <n v="0"/>
  </r>
  <r>
    <d v="2024-10-08T00:00:00"/>
    <n v="2024"/>
    <x v="47"/>
    <s v="P"/>
    <n v="2"/>
    <x v="4"/>
    <s v="CON"/>
    <s v="H"/>
    <n v="1"/>
    <n v="1"/>
    <n v="0"/>
    <n v="0"/>
    <n v="0"/>
    <n v="0"/>
    <n v="1663.4163700468744"/>
    <n v="1631.2019390121814"/>
    <n v="0.66127563172412585"/>
    <n v="88"/>
    <n v="77"/>
    <n v="0"/>
    <n v="11"/>
    <n v="1"/>
    <n v="0.42833710676960685"/>
    <n v="1.2"/>
    <n v="68.8"/>
    <n v="82.559999999999988"/>
    <n v="11.978483104675162"/>
    <n v="1675.3948531515496"/>
    <n v="0"/>
    <n v="0"/>
    <n v="0"/>
    <n v="0"/>
    <n v="1"/>
    <n v="0"/>
    <n v="0"/>
    <n v="0"/>
    <n v="0"/>
    <n v="0"/>
  </r>
  <r>
    <d v="2024-10-10T00:00:00"/>
    <n v="2024"/>
    <x v="48"/>
    <s v="P"/>
    <n v="3"/>
    <x v="4"/>
    <s v="NYL"/>
    <s v="A"/>
    <n v="1"/>
    <n v="3"/>
    <n v="-2"/>
    <n v="2"/>
    <n v="-16"/>
    <n v="16"/>
    <n v="1675.3948531515496"/>
    <n v="1730.6130124610484"/>
    <n v="0.27177986772590723"/>
    <n v="95"/>
    <n v="93"/>
    <n v="1"/>
    <n v="2"/>
    <n v="1"/>
    <n v="0.23045286935107079"/>
    <n v="1.35"/>
    <n v="68.650000000000006"/>
    <n v="92.677500000000009"/>
    <n v="15.553176882037558"/>
    <n v="1690.9480300335872"/>
    <n v="0"/>
    <n v="0"/>
    <n v="0"/>
    <n v="0"/>
    <n v="0"/>
    <n v="0"/>
    <n v="1"/>
    <n v="0"/>
    <n v="0"/>
    <n v="0"/>
  </r>
  <r>
    <d v="2024-10-10T00:00:00"/>
    <n v="2024"/>
    <x v="47"/>
    <s v="P"/>
    <n v="3"/>
    <x v="6"/>
    <s v="MIN"/>
    <s v="H"/>
    <n v="3"/>
    <n v="1"/>
    <n v="2"/>
    <n v="-2"/>
    <n v="16"/>
    <n v="-16"/>
    <n v="1730.6130124610484"/>
    <n v="1675.3948531515496"/>
    <n v="0.72822013227409277"/>
    <n v="93"/>
    <n v="95"/>
    <n v="1"/>
    <n v="-2"/>
    <n v="0"/>
    <n v="0.23045286935107079"/>
    <n v="1.35"/>
    <n v="68.8"/>
    <n v="92.88"/>
    <n v="-15.587160516885419"/>
    <n v="1715.0258519441629"/>
    <n v="0"/>
    <n v="0"/>
    <n v="0"/>
    <n v="0"/>
    <n v="0"/>
    <n v="0"/>
    <n v="0"/>
    <n v="1"/>
    <n v="0"/>
    <n v="0"/>
  </r>
  <r>
    <d v="2024-10-13T00:00:00"/>
    <n v="2024"/>
    <x v="49"/>
    <s v="P"/>
    <n v="3"/>
    <x v="4"/>
    <s v="NYL"/>
    <s v="A"/>
    <n v="2"/>
    <n v="2"/>
    <n v="0"/>
    <n v="0"/>
    <n v="0"/>
    <n v="0"/>
    <n v="1690.9480300335872"/>
    <n v="1715.0258519441629"/>
    <n v="0.34929354515367994"/>
    <n v="66"/>
    <n v="80"/>
    <n v="0"/>
    <n v="-14"/>
    <n v="0"/>
    <n v="0.47801676802511978"/>
    <n v="1.35"/>
    <n v="68.5"/>
    <n v="92.475000000000009"/>
    <n v="-15.440381663753186"/>
    <n v="1675.507648369834"/>
    <n v="0"/>
    <n v="0"/>
    <n v="0"/>
    <n v="0"/>
    <n v="0"/>
    <n v="0"/>
    <n v="0"/>
    <n v="1"/>
    <n v="0"/>
    <n v="0"/>
  </r>
  <r>
    <d v="2024-10-13T00:00:00"/>
    <n v="2024"/>
    <x v="48"/>
    <s v="P"/>
    <n v="3"/>
    <x v="6"/>
    <s v="MIN"/>
    <s v="H"/>
    <n v="2"/>
    <n v="2"/>
    <n v="0"/>
    <n v="0"/>
    <n v="0"/>
    <n v="0"/>
    <n v="1715.0258519441629"/>
    <n v="1690.9480300335872"/>
    <n v="0.65070645484631995"/>
    <n v="80"/>
    <n v="66"/>
    <n v="0"/>
    <n v="14"/>
    <n v="1"/>
    <n v="0.47801676802511978"/>
    <n v="1.35"/>
    <n v="68.650000000000006"/>
    <n v="92.677500000000009"/>
    <n v="15.474192718491336"/>
    <n v="1730.5000446626543"/>
    <n v="0"/>
    <n v="0"/>
    <n v="0"/>
    <n v="0"/>
    <n v="0"/>
    <n v="0"/>
    <n v="1"/>
    <n v="0"/>
    <n v="0"/>
    <n v="0"/>
  </r>
  <r>
    <d v="2024-10-16T00:00:00"/>
    <n v="2024"/>
    <x v="49"/>
    <s v="P"/>
    <n v="3"/>
    <x v="6"/>
    <s v="MIN"/>
    <s v="A"/>
    <n v="2"/>
    <n v="2"/>
    <n v="0"/>
    <n v="0"/>
    <n v="0"/>
    <n v="0"/>
    <n v="1730.5000446626543"/>
    <n v="1675.507648369834"/>
    <n v="0.45835143057555716"/>
    <n v="80"/>
    <n v="77"/>
    <n v="0"/>
    <n v="3"/>
    <n v="1"/>
    <n v="0.27746799609868028"/>
    <n v="1.35"/>
    <n v="68.5"/>
    <n v="92.475000000000009"/>
    <n v="13.898080987603631"/>
    <n v="1744.398125650258"/>
    <n v="0"/>
    <n v="0"/>
    <n v="0"/>
    <n v="0"/>
    <n v="0"/>
    <n v="0"/>
    <n v="1"/>
    <n v="0"/>
    <n v="0"/>
    <n v="0"/>
  </r>
  <r>
    <d v="2024-10-16T00:00:00"/>
    <n v="2024"/>
    <x v="50"/>
    <s v="P"/>
    <n v="3"/>
    <x v="4"/>
    <s v="NYL"/>
    <s v="H"/>
    <n v="2"/>
    <n v="2"/>
    <n v="0"/>
    <n v="0"/>
    <n v="0"/>
    <n v="0"/>
    <n v="1675.507648369834"/>
    <n v="1730.5000446626543"/>
    <n v="0.54164856942444284"/>
    <n v="77"/>
    <n v="80"/>
    <n v="0"/>
    <n v="-3"/>
    <n v="0"/>
    <n v="0.27746799609868028"/>
    <n v="1.35"/>
    <n v="68.349999999999994"/>
    <n v="92.272499999999994"/>
    <n v="-13.867647233616177"/>
    <n v="1661.6400011362177"/>
    <n v="0"/>
    <n v="0"/>
    <n v="0"/>
    <n v="0"/>
    <n v="0"/>
    <n v="0"/>
    <n v="0"/>
    <n v="1"/>
    <n v="0"/>
    <n v="0"/>
  </r>
  <r>
    <d v="2024-10-18T00:00:00"/>
    <n v="2024"/>
    <x v="50"/>
    <s v="P"/>
    <n v="3"/>
    <x v="6"/>
    <s v="MIN"/>
    <s v="A"/>
    <n v="1"/>
    <n v="1"/>
    <n v="0"/>
    <n v="0"/>
    <n v="0"/>
    <n v="0"/>
    <n v="1744.398125650258"/>
    <n v="1661.6400011362177"/>
    <n v="0.49821280512295313"/>
    <n v="80"/>
    <n v="82"/>
    <n v="0"/>
    <n v="-2"/>
    <n v="0"/>
    <n v="0.25056133251416091"/>
    <n v="1.35"/>
    <n v="68.349999999999994"/>
    <n v="92.272499999999994"/>
    <n v="-11.518640473633878"/>
    <n v="1732.879485176624"/>
    <n v="0"/>
    <n v="0"/>
    <n v="0"/>
    <n v="0"/>
    <n v="0"/>
    <n v="0"/>
    <n v="0"/>
    <n v="1"/>
    <n v="0"/>
    <n v="0"/>
  </r>
  <r>
    <d v="2024-10-18T00:00:00"/>
    <n v="2024"/>
    <x v="51"/>
    <s v="P"/>
    <n v="3"/>
    <x v="4"/>
    <s v="NYL"/>
    <s v="H"/>
    <n v="1"/>
    <n v="1"/>
    <n v="0"/>
    <n v="0"/>
    <n v="0"/>
    <n v="0"/>
    <n v="1661.6400011362177"/>
    <n v="1744.398125650258"/>
    <n v="0.50178719487704682"/>
    <n v="82"/>
    <n v="80"/>
    <n v="0"/>
    <n v="2"/>
    <n v="1"/>
    <n v="0.25056133251416091"/>
    <n v="1.35"/>
    <n v="68.2"/>
    <n v="92.070000000000007"/>
    <n v="11.493361818607617"/>
    <n v="1673.1333629548253"/>
    <n v="0"/>
    <n v="0"/>
    <n v="0"/>
    <n v="0"/>
    <n v="0"/>
    <n v="0"/>
    <n v="1"/>
    <n v="0"/>
    <n v="0"/>
    <n v="0"/>
  </r>
  <r>
    <d v="2024-10-20T00:00:00"/>
    <n v="2024"/>
    <x v="52"/>
    <s v="P"/>
    <n v="3"/>
    <x v="4"/>
    <s v="NYL"/>
    <s v="A"/>
    <n v="1"/>
    <n v="1"/>
    <n v="0"/>
    <n v="0"/>
    <n v="0"/>
    <n v="0"/>
    <n v="1673.1333629548253"/>
    <n v="1732.879485176624"/>
    <n v="0.30418046124693116"/>
    <n v="62"/>
    <n v="67"/>
    <n v="1"/>
    <n v="-5"/>
    <n v="0"/>
    <n v="0.284419572466097"/>
    <n v="1.35"/>
    <n v="68.05"/>
    <n v="91.867500000000007"/>
    <n v="-7.947905438947994"/>
    <n v="1665.1854575158773"/>
    <n v="0"/>
    <n v="0"/>
    <n v="0"/>
    <n v="0"/>
    <n v="0"/>
    <n v="0"/>
    <n v="0"/>
    <n v="1"/>
    <n v="0"/>
    <n v="0"/>
  </r>
  <r>
    <d v="2024-10-20T00:00:00"/>
    <n v="2024"/>
    <x v="51"/>
    <s v="P"/>
    <n v="3"/>
    <x v="6"/>
    <s v="MIN"/>
    <s v="H"/>
    <n v="1"/>
    <n v="1"/>
    <n v="0"/>
    <n v="0"/>
    <n v="0"/>
    <n v="0"/>
    <n v="1732.879485176624"/>
    <n v="1673.1333629548253"/>
    <n v="0.69581953875306879"/>
    <n v="67"/>
    <n v="62"/>
    <n v="1"/>
    <n v="5"/>
    <n v="1"/>
    <n v="0.284419572466097"/>
    <n v="1.35"/>
    <n v="68.2"/>
    <n v="92.070000000000007"/>
    <n v="7.9654247014879251"/>
    <n v="1740.844909878112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60">
        <item m="1" x="40"/>
        <item x="10"/>
        <item m="1" x="51"/>
        <item m="1" x="29"/>
        <item m="1" x="27"/>
        <item m="1" x="39"/>
        <item m="1" x="55"/>
        <item m="1" x="17"/>
        <item x="8"/>
        <item m="1" x="41"/>
        <item m="1" x="18"/>
        <item x="1"/>
        <item x="9"/>
        <item m="1" x="34"/>
        <item m="1" x="14"/>
        <item m="1" x="56"/>
        <item m="1" x="36"/>
        <item m="1" x="16"/>
        <item x="0"/>
        <item m="1" x="50"/>
        <item m="1" x="49"/>
        <item m="1" x="26"/>
        <item m="1" x="25"/>
        <item m="1" x="58"/>
        <item x="11"/>
        <item m="1" x="57"/>
        <item x="3"/>
        <item m="1" x="28"/>
        <item m="1" x="20"/>
        <item m="1" x="35"/>
        <item x="4"/>
        <item m="1" x="43"/>
        <item m="1" x="23"/>
        <item m="1" x="31"/>
        <item m="1" x="44"/>
        <item m="1" x="52"/>
        <item x="6"/>
        <item m="1" x="45"/>
        <item m="1" x="33"/>
        <item m="1" x="22"/>
        <item m="1" x="30"/>
        <item x="2"/>
        <item m="1" x="47"/>
        <item m="1" x="21"/>
        <item m="1" x="32"/>
        <item m="1" x="15"/>
        <item m="1" x="12"/>
        <item m="1" x="42"/>
        <item x="5"/>
        <item m="1" x="53"/>
        <item m="1" x="48"/>
        <item m="1" x="54"/>
        <item m="1" x="46"/>
        <item m="1" x="24"/>
        <item m="1" x="13"/>
        <item m="1" x="19"/>
        <item m="1" x="38"/>
        <item x="7"/>
        <item m="1" x="37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2"/>
    </i>
    <i>
      <x v="18"/>
    </i>
    <i>
      <x v="24"/>
    </i>
    <i>
      <x v="26"/>
    </i>
    <i>
      <x v="30"/>
    </i>
    <i>
      <x v="36"/>
    </i>
    <i>
      <x v="41"/>
    </i>
    <i>
      <x v="48"/>
    </i>
    <i>
      <x v="5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1">
      <pivotArea outline="0" collapsedLevelsAreSubtotals="1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57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m="1" x="202"/>
        <item x="49"/>
        <item x="50"/>
        <item x="51"/>
        <item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2:C13"/>
  </sortState>
  <tableColumns count="4">
    <tableColumn id="1" xr3:uid="{8C17ECDF-4459-4994-A3F5-8E8FEDF92B6F}" name="TeamID"/>
    <tableColumn id="4" xr3:uid="{789F069E-DAF9-4B19-A6DB-107BA6995CE5}" name="Logo" dataDxfId="44"/>
    <tableColumn id="5" xr3:uid="{A9DA91BA-5529-4913-978B-19C8EF225B29}" name="TeamName" dataDxfId="43"/>
    <tableColumn id="2" xr3:uid="{AA4C8157-DB69-4779-8EEE-6F419B992D71}" name="PreSeasonElo" dataDxfId="4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527" totalsRowShown="0" headerRowDxfId="39" dataDxfId="38">
  <autoFilter ref="A1:AL527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37"/>
    <tableColumn id="21" xr3:uid="{D754AB95-C77C-4DD5-B1B9-A24A4FEE7279}" name="Season" dataDxfId="36"/>
    <tableColumn id="19" xr3:uid="{4C42B78B-6AFC-42C3-A5F4-3266E247C458}" name="GamesPlayed" dataDxfId="35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4"/>
    <tableColumn id="14" xr3:uid="{EFA83923-8CCA-4DC9-BC85-5D86949A45D9}" name="Round" dataDxfId="33"/>
    <tableColumn id="2" xr3:uid="{6E102E51-A49B-416B-8CD2-B93B2A4EA389}" name="Team" dataDxfId="32"/>
    <tableColumn id="3" xr3:uid="{19101345-1C34-4AF3-88E6-76A7F19B7FE6}" name="Opponent" dataDxfId="31"/>
    <tableColumn id="16" xr3:uid="{4CBCDF29-B095-48DF-8EF6-06DC7D78C844}" name="HomeAway" dataDxfId="30"/>
    <tableColumn id="32" xr3:uid="{E3FA53E3-DAD6-4BC2-969A-C53F4798E86D}" name="DaysOff" dataDxfId="29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28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27">
      <calculatedColumnFormula>Games[[#This Row],[DaysOff]]-Games[[#This Row],[OppDaysOff]]</calculatedColumnFormula>
    </tableColumn>
    <tableColumn id="35" xr3:uid="{3F2DB366-7372-41BA-8B0C-09F9BA7EA850}" name="OppRestDiff" dataDxfId="26">
      <calculatedColumnFormula>Games[[#This Row],[OppDaysOff]]-Games[[#This Row],[DaysOff]]</calculatedColumnFormula>
    </tableColumn>
    <tableColumn id="36" xr3:uid="{BDD0FD2C-608F-4CCC-867B-4481F0F4B802}" name="RestAdj" dataDxfId="25">
      <calculatedColumnFormula>MAX(-16, MIN(16, Games[[#This Row],[RestDiff]]*8))</calculatedColumnFormula>
    </tableColumn>
    <tableColumn id="37" xr3:uid="{5F89213A-4C28-428C-B766-3B05D4F530A5}" name="OppRestAdj" dataDxfId="24">
      <calculatedColumnFormula>MAX(-16, MIN(16, Games[[#This Row],[OppRestDiff]]*8))</calculatedColumnFormula>
    </tableColumn>
    <tableColumn id="4" xr3:uid="{68053CFA-948B-4F2C-A114-7C46ABD9EA33}" name="PreGmRate" dataDxfId="23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2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1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0"/>
    <tableColumn id="8" xr3:uid="{0CDDF0F9-2F1E-487C-96DD-90F70CE7DAFC}" name="PointsAgainst" dataDxfId="19"/>
    <tableColumn id="22" xr3:uid="{AB7B5B5C-5BAD-4213-990E-8EB9B177497C}" name="OT" dataDxfId="18"/>
    <tableColumn id="9" xr3:uid="{CE171F1D-5E5D-4800-A6DC-8F6DBD74C939}" name="MOV" dataDxfId="17">
      <calculatedColumnFormula>Games[[#This Row],[PointsFor]]-Games[[#This Row],[PointsAgainst]]</calculatedColumnFormula>
    </tableColumn>
    <tableColumn id="10" xr3:uid="{883A3911-25F6-4C39-9637-F1C42D6A1FC2}" name="Result" dataDxfId="16">
      <calculatedColumnFormula>IF(Games[[#This Row],[MOV]]&gt;0,1,IF(Games[[#This Row],[MOV]]=0,0.5,0))</calculatedColumnFormula>
    </tableColumn>
    <tableColumn id="15" xr3:uid="{00048431-5FD6-47EE-807E-5B63FD521193}" name="MOVMult" dataDxfId="15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0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calculatedColumnFormula>
    </tableColumn>
    <tableColumn id="30" xr3:uid="{F56B2662-6D39-4B84-BEBE-39C9D43603BC}" name="K" dataDxfId="14">
      <calculatedColumnFormula>MAX(kmin, kmax - 0.15 * MIN(Games[[#This Row],[GamesPlayed]], 82))</calculatedColumnFormula>
    </tableColumn>
    <tableColumn id="29" xr3:uid="{FBA5D644-15ED-4725-9E52-1D37FD0FAC64}" name="Keff" dataDxfId="13">
      <calculatedColumnFormula>Games[[#This Row],[K]]*Games[[#This Row],[POMult]]</calculatedColumnFormula>
    </tableColumn>
    <tableColumn id="11" xr3:uid="{309DAEBD-E62C-4090-89E9-A58FD32AB89B}" name="RatingChange" dataDxfId="12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1">
      <calculatedColumnFormula>Games[[#This Row],[PreGmRate]]+Games[[#This Row],[RatingChange]]</calculatedColumnFormula>
    </tableColumn>
    <tableColumn id="17" xr3:uid="{90B7BF87-E472-4474-A10D-555BD3BF8F04}" name="W" dataDxfId="10">
      <calculatedColumnFormula>IF(Games[[#This Row],[Type]]="R",IF(Games[[#This Row],[Result]]&gt;0.5,1,0),0)</calculatedColumnFormula>
    </tableColumn>
    <tableColumn id="18" xr3:uid="{29756EA1-783D-4C76-A7B8-F906AF0EC7E7}" name="L" dataDxfId="9">
      <calculatedColumnFormula>IF(Games[[#This Row],[Type]]="R",IF(Games[[#This Row],[Result]]&lt;0.5,1,0),0)</calculatedColumnFormula>
    </tableColumn>
    <tableColumn id="23" xr3:uid="{C253CFA7-28A4-4AE5-B131-DC1E8F2B73F8}" name="R1W" dataDxfId="8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7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6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5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4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3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2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/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77</v>
      </c>
      <c r="B2" s="8"/>
      <c r="C2" s="15" t="s">
        <v>78</v>
      </c>
      <c r="D2" s="13">
        <v>1436.0283235752049</v>
      </c>
    </row>
    <row r="3" spans="1:4" x14ac:dyDescent="0.35">
      <c r="A3" t="s">
        <v>75</v>
      </c>
      <c r="B3" s="8"/>
      <c r="C3" s="15" t="s">
        <v>76</v>
      </c>
      <c r="D3" s="13">
        <v>1498.2242710377225</v>
      </c>
    </row>
    <row r="4" spans="1:4" x14ac:dyDescent="0.35">
      <c r="A4" t="s">
        <v>74</v>
      </c>
      <c r="B4" s="8"/>
      <c r="C4" s="15" t="s">
        <v>73</v>
      </c>
      <c r="D4" s="13">
        <v>1601.5618340231363</v>
      </c>
    </row>
    <row r="5" spans="1:4" x14ac:dyDescent="0.35">
      <c r="A5" t="s">
        <v>85</v>
      </c>
      <c r="B5" s="8"/>
      <c r="C5" s="15" t="s">
        <v>84</v>
      </c>
      <c r="D5" s="13">
        <v>1560.7308330190106</v>
      </c>
    </row>
    <row r="6" spans="1:4" x14ac:dyDescent="0.35">
      <c r="A6" t="s">
        <v>69</v>
      </c>
      <c r="B6" s="8"/>
      <c r="C6" s="15" t="s">
        <v>70</v>
      </c>
      <c r="D6" s="13">
        <v>1357.4103953446488</v>
      </c>
    </row>
    <row r="7" spans="1:4" x14ac:dyDescent="0.35">
      <c r="A7" t="s">
        <v>86</v>
      </c>
      <c r="B7" s="8"/>
      <c r="C7" s="15" t="s">
        <v>87</v>
      </c>
      <c r="D7" s="13">
        <v>1775.10192294024</v>
      </c>
    </row>
    <row r="8" spans="1:4" x14ac:dyDescent="0.35">
      <c r="A8" t="s">
        <v>63</v>
      </c>
      <c r="B8" s="8"/>
      <c r="C8" s="15" t="s">
        <v>64</v>
      </c>
      <c r="D8" s="13">
        <v>1442.4919316423486</v>
      </c>
    </row>
    <row r="9" spans="1:4" x14ac:dyDescent="0.35">
      <c r="A9" t="s">
        <v>67</v>
      </c>
      <c r="B9" s="8"/>
      <c r="C9" s="15" t="s">
        <v>68</v>
      </c>
      <c r="D9" s="13">
        <v>1443.0592087742166</v>
      </c>
    </row>
    <row r="10" spans="1:4" x14ac:dyDescent="0.35">
      <c r="A10" t="s">
        <v>60</v>
      </c>
      <c r="B10" s="8"/>
      <c r="C10" s="15" t="s">
        <v>61</v>
      </c>
      <c r="D10" s="13">
        <v>1719.578222944016</v>
      </c>
    </row>
    <row r="11" spans="1:4" x14ac:dyDescent="0.35">
      <c r="A11" t="s">
        <v>40</v>
      </c>
      <c r="B11" s="8"/>
      <c r="C11" s="15" t="s">
        <v>62</v>
      </c>
      <c r="D11" s="13">
        <v>1302.1710875059471</v>
      </c>
    </row>
    <row r="12" spans="1:4" x14ac:dyDescent="0.35">
      <c r="A12" t="s">
        <v>71</v>
      </c>
      <c r="B12" s="8"/>
      <c r="C12" s="15" t="s">
        <v>72</v>
      </c>
      <c r="D12" s="13">
        <v>1391.8167505096326</v>
      </c>
    </row>
    <row r="13" spans="1:4" x14ac:dyDescent="0.35">
      <c r="A13" t="s">
        <v>65</v>
      </c>
      <c r="B13" s="8"/>
      <c r="C13" s="15" t="s">
        <v>66</v>
      </c>
      <c r="D13" s="13">
        <v>1472.3504244730839</v>
      </c>
    </row>
    <row r="14" spans="1:4" x14ac:dyDescent="0.35">
      <c r="B14" s="8"/>
      <c r="C14" s="15"/>
      <c r="D14" s="13"/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tabSelected="1" workbookViewId="0">
      <selection activeCell="G2" sqref="G2:G13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NYL</v>
      </c>
      <c r="B2">
        <v>0</v>
      </c>
      <c r="C2" t="str">
        <v>New York Liberty</v>
      </c>
      <c r="D2" s="1">
        <v>32</v>
      </c>
      <c r="E2" s="1">
        <v>8</v>
      </c>
      <c r="F2" s="3">
        <v>0.8</v>
      </c>
      <c r="G2" s="9">
        <v>1740.7595949123422</v>
      </c>
      <c r="H2" s="1">
        <v>45585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MIN</v>
      </c>
      <c r="B3">
        <v>0</v>
      </c>
      <c r="C3" t="str">
        <v>Minnesota Lynx</v>
      </c>
      <c r="D3" s="1">
        <v>30</v>
      </c>
      <c r="E3" s="1">
        <v>10</v>
      </c>
      <c r="F3" s="3">
        <v>0.75</v>
      </c>
      <c r="G3" s="9">
        <v>1665.2519245134156</v>
      </c>
      <c r="H3" s="1">
        <v>45585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2</v>
      </c>
      <c r="AO3" s="1">
        <f>_xlfn.XLOOKUP($AK3,StandingsPivot!$A$4:$A$33,StandingsPivot!E$4:E$33)</f>
        <v>0</v>
      </c>
      <c r="AP3" s="1">
        <f>_xlfn.XLOOKUP($AK3,StandingsPivot!$A$4:$A$33,StandingsPivot!F$4:F$33)</f>
        <v>3</v>
      </c>
      <c r="AQ3" s="1">
        <f>_xlfn.XLOOKUP($AK3,StandingsPivot!$A$4:$A$33,StandingsPivot!G$4:G$33)</f>
        <v>1</v>
      </c>
      <c r="AR3" s="1">
        <f>_xlfn.XLOOKUP($AK3,StandingsPivot!$A$4:$A$33,StandingsPivot!H$4:H$33)</f>
        <v>3</v>
      </c>
      <c r="AS3" s="1">
        <f>_xlfn.XLOOKUP($AK3,StandingsPivot!$A$4:$A$33,StandingsPivot!I$4:I$33)</f>
        <v>2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8</v>
      </c>
      <c r="AW3" s="1">
        <f t="shared" si="1"/>
        <v>3</v>
      </c>
      <c r="AX3" s="4" cm="1">
        <f t="array" ref="AX3">_xlfn.IFNA(INDEX(Games[PostGmRate], MATCH(1, (Games[Team]=AK3)*(Games[Date]=AY3), 0)),0)</f>
        <v>1740.7595949123422</v>
      </c>
      <c r="AY3" s="1">
        <f>_xlfn.MAXIFS(Games[Date], Games[Team], AK3)</f>
        <v>45585</v>
      </c>
      <c r="AZ3">
        <f t="shared" si="2"/>
        <v>11</v>
      </c>
    </row>
    <row r="4" spans="1:68" x14ac:dyDescent="0.35">
      <c r="A4" t="str">
        <v>LVA</v>
      </c>
      <c r="B4">
        <v>0</v>
      </c>
      <c r="C4" t="str">
        <v>Las Vegas Aces</v>
      </c>
      <c r="D4" s="1">
        <v>27</v>
      </c>
      <c r="E4" s="1">
        <v>13</v>
      </c>
      <c r="F4" s="3">
        <v>0.67500000000000004</v>
      </c>
      <c r="G4" s="9">
        <v>1661.253866376461</v>
      </c>
      <c r="H4" s="1">
        <v>45571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CON</v>
      </c>
      <c r="B5">
        <v>0</v>
      </c>
      <c r="C5" t="str">
        <v>Connecticut Sun</v>
      </c>
      <c r="D5" s="1">
        <v>28</v>
      </c>
      <c r="E5" s="1">
        <v>12</v>
      </c>
      <c r="F5" s="3">
        <v>0.7</v>
      </c>
      <c r="G5" s="9">
        <v>1619.2181732839883</v>
      </c>
      <c r="H5" s="1">
        <v>45573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SEA</v>
      </c>
      <c r="B6">
        <v>0</v>
      </c>
      <c r="C6" t="str">
        <v>Seattle Storm</v>
      </c>
      <c r="D6" s="1">
        <v>25</v>
      </c>
      <c r="E6" s="1">
        <v>15</v>
      </c>
      <c r="F6" s="3">
        <v>0.625</v>
      </c>
      <c r="G6" s="9">
        <v>1551.2272666363078</v>
      </c>
      <c r="H6" s="1">
        <v>45559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2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2</v>
      </c>
      <c r="AX6" s="4" cm="1">
        <f t="array" ref="AX6">_xlfn.IFNA(INDEX(Games[PostGmRate], MATCH(1, (Games[Team]=AK6)*(Games[Date]=AY6), 0)),0)</f>
        <v>1412.5383179206331</v>
      </c>
      <c r="AY6" s="1">
        <f>_xlfn.MAXIFS(Games[Date], Games[Team], AK6)</f>
        <v>45560</v>
      </c>
      <c r="AZ6">
        <f>SUM(AV6:AW6)</f>
        <v>2</v>
      </c>
      <c r="BO6" s="4"/>
      <c r="BP6" s="1"/>
    </row>
    <row r="7" spans="1:68" x14ac:dyDescent="0.35">
      <c r="A7" t="str">
        <v>IND</v>
      </c>
      <c r="B7">
        <v>0</v>
      </c>
      <c r="C7" t="str">
        <v>Indiana Fever</v>
      </c>
      <c r="D7" s="1">
        <v>20</v>
      </c>
      <c r="E7" s="1">
        <v>20</v>
      </c>
      <c r="F7" s="3">
        <v>0.5</v>
      </c>
      <c r="G7" s="9">
        <v>1478.0260695190914</v>
      </c>
      <c r="H7" s="1">
        <v>45560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0</v>
      </c>
      <c r="AX7" s="4" cm="1">
        <f t="array" ref="AX7">_xlfn.IFNA(INDEX(Games[PostGmRate], MATCH(1, (Games[Team]=AK7)*(Games[Date]=AY7), 0)),0)</f>
        <v>1306.9245133020324</v>
      </c>
      <c r="AY7" s="1">
        <f>_xlfn.MAXIFS(Games[Date], Games[Team], AK7)</f>
        <v>45554</v>
      </c>
      <c r="AZ7">
        <f>SUM(AV7:AW7)</f>
        <v>0</v>
      </c>
      <c r="BO7" s="4"/>
      <c r="BP7" s="1"/>
    </row>
    <row r="8" spans="1:68" x14ac:dyDescent="0.35">
      <c r="A8" t="str">
        <v>WAS</v>
      </c>
      <c r="B8">
        <v>0</v>
      </c>
      <c r="C8" t="str">
        <v>Washington Mystics</v>
      </c>
      <c r="D8" s="1">
        <v>14</v>
      </c>
      <c r="E8" s="1">
        <v>26</v>
      </c>
      <c r="F8" s="3">
        <v>0.35</v>
      </c>
      <c r="G8" s="9">
        <v>1455.1387986445923</v>
      </c>
      <c r="H8" s="1">
        <v>45554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ATL</v>
      </c>
      <c r="B9">
        <v>0</v>
      </c>
      <c r="C9" t="str">
        <v>Atlanta Dream</v>
      </c>
      <c r="D9" s="1">
        <v>15</v>
      </c>
      <c r="E9" s="1">
        <v>25</v>
      </c>
      <c r="F9" s="3">
        <v>0.375</v>
      </c>
      <c r="G9" s="9">
        <v>1425.3542450537543</v>
      </c>
      <c r="H9" s="1">
        <v>45559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PHX</v>
      </c>
      <c r="B10">
        <v>0</v>
      </c>
      <c r="C10" t="str">
        <v>Phoenix Mercury</v>
      </c>
      <c r="D10" s="1">
        <v>19</v>
      </c>
      <c r="E10" s="1">
        <v>21</v>
      </c>
      <c r="F10" s="3">
        <v>0.47499999999999998</v>
      </c>
      <c r="G10" s="9">
        <v>1412.5383179206331</v>
      </c>
      <c r="H10" s="1">
        <v>45560</v>
      </c>
      <c r="O10" s="3"/>
      <c r="P10" s="4"/>
      <c r="Q10" s="1"/>
      <c r="AX10" s="4"/>
      <c r="BO10" s="4"/>
      <c r="BP10" s="1"/>
    </row>
    <row r="11" spans="1:68" x14ac:dyDescent="0.35">
      <c r="A11" t="str">
        <v>CHI</v>
      </c>
      <c r="B11">
        <v>0</v>
      </c>
      <c r="C11" t="str">
        <v>Chicago Sky</v>
      </c>
      <c r="D11" s="1">
        <v>13</v>
      </c>
      <c r="E11" s="1">
        <v>27</v>
      </c>
      <c r="F11" s="3">
        <v>0.32500000000000001</v>
      </c>
      <c r="G11" s="9">
        <v>1350.3289629058668</v>
      </c>
      <c r="H11" s="1">
        <v>45554</v>
      </c>
      <c r="O11" s="3"/>
      <c r="P11" s="4"/>
      <c r="Q11" s="1"/>
      <c r="AX11" s="4"/>
      <c r="BO11" s="4"/>
      <c r="BP11" s="1"/>
    </row>
    <row r="12" spans="1:68" x14ac:dyDescent="0.35">
      <c r="A12" t="str">
        <v>DAL</v>
      </c>
      <c r="B12">
        <v>0</v>
      </c>
      <c r="C12" t="str">
        <v>Dallas Wings</v>
      </c>
      <c r="D12" s="1">
        <v>9</v>
      </c>
      <c r="E12" s="1">
        <v>31</v>
      </c>
      <c r="F12" s="3">
        <v>0.22500000000000001</v>
      </c>
      <c r="G12" s="9">
        <v>1333.0705207017966</v>
      </c>
      <c r="H12" s="1">
        <v>45554</v>
      </c>
      <c r="O12" s="3"/>
      <c r="P12" s="4"/>
      <c r="Q12" s="1"/>
      <c r="AX12" s="4"/>
      <c r="BO12" s="4"/>
      <c r="BP12" s="1"/>
    </row>
    <row r="13" spans="1:68" x14ac:dyDescent="0.35">
      <c r="A13" t="str">
        <v>LAS</v>
      </c>
      <c r="B13">
        <v>0</v>
      </c>
      <c r="C13" t="str">
        <v>Los Angeles Sparks</v>
      </c>
      <c r="D13" s="1">
        <v>8</v>
      </c>
      <c r="E13" s="1">
        <v>32</v>
      </c>
      <c r="F13" s="3">
        <v>0.2</v>
      </c>
      <c r="G13" s="9">
        <v>1306.9245133020324</v>
      </c>
      <c r="H13" s="1">
        <v>45554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77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15</v>
      </c>
      <c r="E25" s="1">
        <f>_xlfn.XLOOKUP($A25,StandingsPivot!$A$4:$A$35,StandingsPivot!C$4:C$35)</f>
        <v>25</v>
      </c>
      <c r="F25" s="3">
        <f t="shared" ref="F25:F36" si="4">(D25)/(D25+E25)</f>
        <v>0.375</v>
      </c>
      <c r="G25" s="9" cm="1">
        <f t="array" ref="G25">INDEX(Games[PostGmRate], MATCH(1, (Games[Team]=A25)*(Games[Date]=H25), 0))</f>
        <v>1425.3542450537543</v>
      </c>
      <c r="H25" s="1">
        <f>_xlfn.MAXIFS(Games[Date], Games[Team], A25)</f>
        <v>45559</v>
      </c>
      <c r="AR25" s="3"/>
      <c r="AS25" s="4"/>
      <c r="BD25" s="1"/>
      <c r="BG25" s="3"/>
      <c r="BH25" s="4"/>
    </row>
    <row r="26" spans="1:60" x14ac:dyDescent="0.35">
      <c r="A26" t="s">
        <v>75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13</v>
      </c>
      <c r="E26" s="1">
        <f>_xlfn.XLOOKUP($A26,StandingsPivot!$A$4:$A$35,StandingsPivot!C$4:C$35)</f>
        <v>27</v>
      </c>
      <c r="F26" s="3">
        <f t="shared" si="4"/>
        <v>0.32500000000000001</v>
      </c>
      <c r="G26" s="9" cm="1">
        <f t="array" ref="G26">INDEX(Games[PostGmRate], MATCH(1, (Games[Team]=A26)*(Games[Date]=H26), 0))</f>
        <v>1350.3289629058668</v>
      </c>
      <c r="H26" s="1">
        <f>_xlfn.MAXIFS(Games[Date], Games[Team], A26)</f>
        <v>45554</v>
      </c>
      <c r="AR26" s="3"/>
      <c r="AS26" s="4"/>
      <c r="BD26" s="1"/>
      <c r="BG26" s="3"/>
      <c r="BH26" s="4"/>
    </row>
    <row r="27" spans="1:60" x14ac:dyDescent="0.35">
      <c r="A27" t="s">
        <v>74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28</v>
      </c>
      <c r="E27" s="1">
        <f>_xlfn.XLOOKUP($A27,StandingsPivot!$A$4:$A$35,StandingsPivot!C$4:C$35)</f>
        <v>12</v>
      </c>
      <c r="F27" s="3">
        <f t="shared" si="4"/>
        <v>0.7</v>
      </c>
      <c r="G27" s="9" cm="1">
        <f t="array" ref="G27">INDEX(Games[PostGmRate], MATCH(1, (Games[Team]=A27)*(Games[Date]=H27), 0))</f>
        <v>1619.2181732839883</v>
      </c>
      <c r="H27" s="1">
        <f>_xlfn.MAXIFS(Games[Date], Games[Team], A27)</f>
        <v>45573</v>
      </c>
      <c r="AR27" s="3"/>
      <c r="AS27" s="4"/>
      <c r="BD27" s="1"/>
      <c r="BG27" s="3"/>
      <c r="BH27" s="4"/>
    </row>
    <row r="28" spans="1:60" x14ac:dyDescent="0.35">
      <c r="A28" t="s">
        <v>85</v>
      </c>
      <c r="B28">
        <f>_xlfn.XLOOKUP(A28,ConfDiv[TeamID],ConfDiv[Logo])</f>
        <v>0</v>
      </c>
      <c r="C28" t="str">
        <f>_xlfn.XLOOKUP(A28,ConfDiv[TeamID],ConfDiv[TeamName])</f>
        <v>Dallas Wings</v>
      </c>
      <c r="D28" s="1">
        <f>_xlfn.XLOOKUP($A28,StandingsPivot!$A$4:$A$35,StandingsPivot!B$4:B$35)</f>
        <v>9</v>
      </c>
      <c r="E28" s="1">
        <f>_xlfn.XLOOKUP($A28,StandingsPivot!$A$4:$A$35,StandingsPivot!C$4:C$35)</f>
        <v>31</v>
      </c>
      <c r="F28" s="3">
        <f t="shared" si="4"/>
        <v>0.22500000000000001</v>
      </c>
      <c r="G28" s="9" cm="1">
        <f t="array" ref="G28">INDEX(Games[PostGmRate], MATCH(1, (Games[Team]=A28)*(Games[Date]=H28), 0))</f>
        <v>1333.0705207017966</v>
      </c>
      <c r="H28" s="1">
        <f>_xlfn.MAXIFS(Games[Date], Games[Team], A28)</f>
        <v>45554</v>
      </c>
      <c r="AR28" s="3"/>
      <c r="AS28" s="4"/>
      <c r="BD28" s="1"/>
      <c r="BG28" s="3"/>
      <c r="BH28" s="4"/>
    </row>
    <row r="29" spans="1:60" x14ac:dyDescent="0.35">
      <c r="A29" t="s">
        <v>69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20</v>
      </c>
      <c r="E29" s="1">
        <f>_xlfn.XLOOKUP($A29,StandingsPivot!$A$4:$A$35,StandingsPivot!C$4:C$35)</f>
        <v>20</v>
      </c>
      <c r="F29" s="3">
        <f t="shared" si="4"/>
        <v>0.5</v>
      </c>
      <c r="G29" s="9" cm="1">
        <f t="array" ref="G29">INDEX(Games[PostGmRate], MATCH(1, (Games[Team]=A29)*(Games[Date]=H29), 0))</f>
        <v>1478.0260695190914</v>
      </c>
      <c r="H29" s="1">
        <f>_xlfn.MAXIFS(Games[Date], Games[Team], A29)</f>
        <v>45560</v>
      </c>
      <c r="AR29" s="3"/>
      <c r="AS29" s="4"/>
      <c r="BD29" s="1"/>
      <c r="BG29" s="3"/>
      <c r="BH29" s="4"/>
    </row>
    <row r="30" spans="1:60" x14ac:dyDescent="0.35">
      <c r="A30" t="s">
        <v>63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8</v>
      </c>
      <c r="E30" s="1">
        <f>_xlfn.XLOOKUP($A30,StandingsPivot!$A$4:$A$35,StandingsPivot!C$4:C$35)</f>
        <v>32</v>
      </c>
      <c r="F30" s="3">
        <f t="shared" si="4"/>
        <v>0.2</v>
      </c>
      <c r="G30" s="9" cm="1">
        <f t="array" ref="G30">INDEX(Games[PostGmRate], MATCH(1, (Games[Team]=A30)*(Games[Date]=H30), 0))</f>
        <v>1306.9245133020324</v>
      </c>
      <c r="H30" s="1">
        <f>_xlfn.MAXIFS(Games[Date], Games[Team], A30)</f>
        <v>45554</v>
      </c>
      <c r="AR30" s="3"/>
      <c r="AS30" s="4"/>
      <c r="BD30" s="1"/>
      <c r="BG30" s="3"/>
      <c r="BH30" s="4"/>
    </row>
    <row r="31" spans="1:60" x14ac:dyDescent="0.35">
      <c r="A31" t="s">
        <v>86</v>
      </c>
      <c r="B31">
        <f>_xlfn.XLOOKUP(A31,ConfDiv[TeamID],ConfDiv[Logo])</f>
        <v>0</v>
      </c>
      <c r="C31" t="str">
        <f>_xlfn.XLOOKUP(A31,ConfDiv[TeamID],ConfDiv[TeamName])</f>
        <v>Las Vegas Aces</v>
      </c>
      <c r="D31" s="1">
        <f>_xlfn.XLOOKUP($A31,StandingsPivot!$A$4:$A$35,StandingsPivot!B$4:B$35)</f>
        <v>27</v>
      </c>
      <c r="E31" s="1">
        <f>_xlfn.XLOOKUP($A31,StandingsPivot!$A$4:$A$35,StandingsPivot!C$4:C$35)</f>
        <v>13</v>
      </c>
      <c r="F31" s="3">
        <f t="shared" si="4"/>
        <v>0.67500000000000004</v>
      </c>
      <c r="G31" s="9" cm="1">
        <f t="array" ref="G31">INDEX(Games[PostGmRate], MATCH(1, (Games[Team]=A31)*(Games[Date]=H31), 0))</f>
        <v>1661.253866376461</v>
      </c>
      <c r="H31" s="1">
        <f>_xlfn.MAXIFS(Games[Date], Games[Team], A31)</f>
        <v>45571</v>
      </c>
      <c r="AR31" s="3"/>
      <c r="AS31" s="4"/>
      <c r="BD31" s="1"/>
      <c r="BG31" s="3"/>
      <c r="BH31" s="4"/>
    </row>
    <row r="32" spans="1:60" x14ac:dyDescent="0.35">
      <c r="A32" t="s">
        <v>67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30</v>
      </c>
      <c r="E32" s="1">
        <f>_xlfn.XLOOKUP($A32,StandingsPivot!$A$4:$A$35,StandingsPivot!C$4:C$35)</f>
        <v>10</v>
      </c>
      <c r="F32" s="3">
        <f t="shared" si="4"/>
        <v>0.75</v>
      </c>
      <c r="G32" s="9" cm="1">
        <f t="array" ref="G32">INDEX(Games[PostGmRate], MATCH(1, (Games[Team]=A32)*(Games[Date]=H32), 0))</f>
        <v>1665.2519245134156</v>
      </c>
      <c r="H32" s="1">
        <f>_xlfn.MAXIFS(Games[Date], Games[Team], A32)</f>
        <v>45585</v>
      </c>
    </row>
    <row r="33" spans="1:8" x14ac:dyDescent="0.35">
      <c r="A33" t="s">
        <v>60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32</v>
      </c>
      <c r="E33" s="1">
        <f>_xlfn.XLOOKUP($A33,StandingsPivot!$A$4:$A$35,StandingsPivot!C$4:C$35)</f>
        <v>8</v>
      </c>
      <c r="F33" s="3">
        <f t="shared" si="4"/>
        <v>0.8</v>
      </c>
      <c r="G33" s="9" cm="1">
        <f t="array" ref="G33">INDEX(Games[PostGmRate], MATCH(1, (Games[Team]=A33)*(Games[Date]=H33), 0))</f>
        <v>1740.7595949123422</v>
      </c>
      <c r="H33" s="1">
        <f>_xlfn.MAXIFS(Games[Date], Games[Team], A33)</f>
        <v>45585</v>
      </c>
    </row>
    <row r="34" spans="1:8" x14ac:dyDescent="0.35">
      <c r="A34" t="s">
        <v>40</v>
      </c>
      <c r="B34">
        <f>_xlfn.XLOOKUP(A34,ConfDiv[TeamID],ConfDiv[Logo])</f>
        <v>0</v>
      </c>
      <c r="C34" t="str">
        <f>_xlfn.XLOOKUP(A34,ConfDiv[TeamID],ConfDiv[TeamName])</f>
        <v>Phoenix Mercury</v>
      </c>
      <c r="D34" s="1">
        <f>_xlfn.XLOOKUP($A34,StandingsPivot!$A$4:$A$35,StandingsPivot!B$4:B$35)</f>
        <v>19</v>
      </c>
      <c r="E34" s="1">
        <f>_xlfn.XLOOKUP($A34,StandingsPivot!$A$4:$A$35,StandingsPivot!C$4:C$35)</f>
        <v>21</v>
      </c>
      <c r="F34" s="3">
        <f t="shared" si="4"/>
        <v>0.47499999999999998</v>
      </c>
      <c r="G34" s="9" cm="1">
        <f t="array" ref="G34">INDEX(Games[PostGmRate], MATCH(1, (Games[Team]=A34)*(Games[Date]=H34), 0))</f>
        <v>1412.5383179206331</v>
      </c>
      <c r="H34" s="1">
        <f>_xlfn.MAXIFS(Games[Date], Games[Team], A34)</f>
        <v>45560</v>
      </c>
    </row>
    <row r="35" spans="1:8" x14ac:dyDescent="0.35">
      <c r="A35" t="s">
        <v>71</v>
      </c>
      <c r="B35">
        <f>_xlfn.XLOOKUP(A35,ConfDiv[TeamID],ConfDiv[Logo])</f>
        <v>0</v>
      </c>
      <c r="C35" t="str">
        <f>_xlfn.XLOOKUP(A35,ConfDiv[TeamID],ConfDiv[TeamName])</f>
        <v>Seattle Storm</v>
      </c>
      <c r="D35" s="1">
        <f>_xlfn.XLOOKUP($A35,StandingsPivot!$A$4:$A$35,StandingsPivot!B$4:B$35)</f>
        <v>25</v>
      </c>
      <c r="E35" s="1">
        <f>_xlfn.XLOOKUP($A35,StandingsPivot!$A$4:$A$35,StandingsPivot!C$4:C$35)</f>
        <v>15</v>
      </c>
      <c r="F35" s="3">
        <f t="shared" si="4"/>
        <v>0.625</v>
      </c>
      <c r="G35" s="9" cm="1">
        <f t="array" ref="G35">INDEX(Games[PostGmRate], MATCH(1, (Games[Team]=A35)*(Games[Date]=H35), 0))</f>
        <v>1551.2272666363078</v>
      </c>
      <c r="H35" s="1">
        <f>_xlfn.MAXIFS(Games[Date], Games[Team], A35)</f>
        <v>45559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14</v>
      </c>
      <c r="E36" s="1">
        <f>_xlfn.XLOOKUP($A36,StandingsPivot!$A$4:$A$35,StandingsPivot!C$4:C$35)</f>
        <v>26</v>
      </c>
      <c r="F36" s="3">
        <f t="shared" si="4"/>
        <v>0.35</v>
      </c>
      <c r="G36" s="9" cm="1">
        <f t="array" ref="G36">INDEX(Games[PostGmRate], MATCH(1, (Games[Team]=A36)*(Games[Date]=H36), 0))</f>
        <v>1455.1387986445923</v>
      </c>
      <c r="H36" s="1">
        <f>_xlfn.MAXIFS(Games[Date], Games[Team], A36)</f>
        <v>45554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77</v>
      </c>
      <c r="B4" s="2">
        <v>15</v>
      </c>
      <c r="C4" s="2">
        <v>25</v>
      </c>
      <c r="D4" s="2">
        <v>0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75</v>
      </c>
      <c r="B5" s="2">
        <v>13</v>
      </c>
      <c r="C5" s="2">
        <v>27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74</v>
      </c>
      <c r="B6" s="2">
        <v>28</v>
      </c>
      <c r="C6" s="2">
        <v>12</v>
      </c>
      <c r="D6" s="2">
        <v>2</v>
      </c>
      <c r="E6" s="2">
        <v>0</v>
      </c>
      <c r="F6" s="2">
        <v>2</v>
      </c>
      <c r="G6" s="2">
        <v>3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85</v>
      </c>
      <c r="B7" s="2">
        <v>9</v>
      </c>
      <c r="C7" s="2">
        <v>31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69</v>
      </c>
      <c r="B8" s="2">
        <v>20</v>
      </c>
      <c r="C8" s="2">
        <v>20</v>
      </c>
      <c r="D8" s="2">
        <v>0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63</v>
      </c>
      <c r="B9" s="2">
        <v>8</v>
      </c>
      <c r="C9" s="2">
        <v>32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86</v>
      </c>
      <c r="B10" s="2">
        <v>27</v>
      </c>
      <c r="C10" s="2">
        <v>13</v>
      </c>
      <c r="D10" s="2">
        <v>2</v>
      </c>
      <c r="E10" s="2">
        <v>0</v>
      </c>
      <c r="F10" s="2">
        <v>1</v>
      </c>
      <c r="G10" s="2">
        <v>3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67</v>
      </c>
      <c r="B11" s="2">
        <v>30</v>
      </c>
      <c r="C11" s="2">
        <v>10</v>
      </c>
      <c r="D11" s="2">
        <v>2</v>
      </c>
      <c r="E11" s="2">
        <v>0</v>
      </c>
      <c r="F11" s="2">
        <v>3</v>
      </c>
      <c r="G11" s="2">
        <v>2</v>
      </c>
      <c r="H11" s="2">
        <v>2</v>
      </c>
      <c r="I11" s="2">
        <v>3</v>
      </c>
      <c r="J11" s="2">
        <v>0</v>
      </c>
      <c r="K11" s="2">
        <v>0</v>
      </c>
    </row>
    <row r="12" spans="1:11" x14ac:dyDescent="0.35">
      <c r="A12" s="6" t="s">
        <v>60</v>
      </c>
      <c r="B12" s="2">
        <v>32</v>
      </c>
      <c r="C12" s="2">
        <v>8</v>
      </c>
      <c r="D12" s="2">
        <v>2</v>
      </c>
      <c r="E12" s="2">
        <v>0</v>
      </c>
      <c r="F12" s="2">
        <v>3</v>
      </c>
      <c r="G12" s="2">
        <v>1</v>
      </c>
      <c r="H12" s="2">
        <v>3</v>
      </c>
      <c r="I12" s="2">
        <v>2</v>
      </c>
      <c r="J12" s="2">
        <v>0</v>
      </c>
      <c r="K12" s="2">
        <v>0</v>
      </c>
    </row>
    <row r="13" spans="1:11" x14ac:dyDescent="0.35">
      <c r="A13" s="6" t="s">
        <v>40</v>
      </c>
      <c r="B13" s="2">
        <v>19</v>
      </c>
      <c r="C13" s="2">
        <v>21</v>
      </c>
      <c r="D13" s="2">
        <v>0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71</v>
      </c>
      <c r="B14" s="2">
        <v>25</v>
      </c>
      <c r="C14" s="2">
        <v>15</v>
      </c>
      <c r="D14" s="2">
        <v>0</v>
      </c>
      <c r="E14" s="2">
        <v>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14</v>
      </c>
      <c r="C15" s="2">
        <v>26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18</v>
      </c>
      <c r="B16" s="2">
        <v>240</v>
      </c>
      <c r="C16" s="2">
        <v>240</v>
      </c>
      <c r="D16" s="2">
        <v>8</v>
      </c>
      <c r="E16" s="2">
        <v>8</v>
      </c>
      <c r="F16" s="2">
        <v>9</v>
      </c>
      <c r="G16" s="2">
        <v>9</v>
      </c>
      <c r="H16" s="2">
        <v>5</v>
      </c>
      <c r="I16" s="2">
        <v>5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5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>
        <v>44</v>
      </c>
    </row>
    <row r="48" spans="1:1" x14ac:dyDescent="0.35">
      <c r="A48" s="11">
        <v>45</v>
      </c>
    </row>
    <row r="49" spans="1:1" x14ac:dyDescent="0.35">
      <c r="A49" s="11">
        <v>46</v>
      </c>
    </row>
    <row r="50" spans="1:1" x14ac:dyDescent="0.35">
      <c r="A50" s="11">
        <v>47</v>
      </c>
    </row>
    <row r="51" spans="1:1" x14ac:dyDescent="0.35">
      <c r="A51" s="11">
        <v>48</v>
      </c>
    </row>
    <row r="52" spans="1:1" x14ac:dyDescent="0.35">
      <c r="A52" s="11">
        <v>49</v>
      </c>
    </row>
    <row r="53" spans="1:1" x14ac:dyDescent="0.35">
      <c r="A53" s="11">
        <v>50</v>
      </c>
    </row>
    <row r="54" spans="1:1" x14ac:dyDescent="0.35">
      <c r="A54" s="11">
        <v>51</v>
      </c>
    </row>
    <row r="55" spans="1:1" x14ac:dyDescent="0.35">
      <c r="A55" s="11">
        <v>52</v>
      </c>
    </row>
    <row r="56" spans="1:1" x14ac:dyDescent="0.35">
      <c r="A56" s="11">
        <v>53</v>
      </c>
    </row>
    <row r="57" spans="1:1" x14ac:dyDescent="0.35">
      <c r="A57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527"/>
  <sheetViews>
    <sheetView topLeftCell="A505" workbookViewId="0">
      <selection activeCell="A527" sqref="A527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45426</v>
      </c>
      <c r="B2" s="2">
        <v>2024</v>
      </c>
      <c r="C2" s="2">
        <f>COUNTIFS(Games[Team],Games[[#This Row],[Team]],Games[Season],Games[[#This Row],[Season]],Games[Date],"&lt;=" &amp; Games[[#This Row],[Date]])</f>
        <v>1</v>
      </c>
      <c r="D2" s="2" t="s">
        <v>79</v>
      </c>
      <c r="E2" s="2" t="s">
        <v>80</v>
      </c>
      <c r="F2" s="1" t="s">
        <v>69</v>
      </c>
      <c r="G2" s="1" t="s">
        <v>74</v>
      </c>
      <c r="H2" s="1" t="s">
        <v>81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1428.7051976723244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1550.7809170115681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0.23392720897840599</v>
      </c>
      <c r="R2" s="1">
        <v>71</v>
      </c>
      <c r="S2" s="1">
        <v>92</v>
      </c>
      <c r="T2" s="1">
        <v>0</v>
      </c>
      <c r="U2" s="1">
        <f>Games[[#This Row],[PointsFor]]-Games[[#This Row],[PointsAgainst]]</f>
        <v>-21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0.53422927067889869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-9.4790323162441226</v>
      </c>
      <c r="AB2" s="4">
        <f>Games[[#This Row],[PreGmRate]]+Games[[#This Row],[RatingChange]]</f>
        <v>1419.2261653560802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45426</v>
      </c>
      <c r="B3" s="2">
        <v>2024</v>
      </c>
      <c r="C3" s="2">
        <f>COUNTIFS(Games[Team],Games[[#This Row],[Team]],Games[Season],Games[[#This Row],[Season]],Games[Date],"&lt;=" &amp; Games[[#This Row],[Date]])</f>
        <v>1</v>
      </c>
      <c r="D3" s="2" t="s">
        <v>79</v>
      </c>
      <c r="E3" s="2" t="s">
        <v>80</v>
      </c>
      <c r="F3" s="1" t="s">
        <v>74</v>
      </c>
      <c r="G3" s="1" t="s">
        <v>69</v>
      </c>
      <c r="H3" s="1" t="s">
        <v>82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1550.7809170115681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1428.7051976723244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0.76607279102159398</v>
      </c>
      <c r="R3" s="1">
        <v>92</v>
      </c>
      <c r="S3" s="1">
        <v>71</v>
      </c>
      <c r="T3" s="1">
        <v>0</v>
      </c>
      <c r="U3" s="1">
        <f>Games[[#This Row],[PointsFor]]-Games[[#This Row],[PointsAgainst]]</f>
        <v>21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0.53422927067889869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9.4790323162441243</v>
      </c>
      <c r="AB3" s="4">
        <f>Games[[#This Row],[PreGmRate]]+Games[[#This Row],[RatingChange]]</f>
        <v>1560.2599493278124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45426</v>
      </c>
      <c r="B4" s="2">
        <v>2024</v>
      </c>
      <c r="C4" s="2">
        <f>COUNTIFS(Games[Team],Games[[#This Row],[Team]],Games[Season],Games[[#This Row],[Season]],Games[Date],"&lt;=" &amp; Games[[#This Row],[Date]])</f>
        <v>1</v>
      </c>
      <c r="D4" s="2" t="s">
        <v>79</v>
      </c>
      <c r="E4" s="2" t="s">
        <v>80</v>
      </c>
      <c r="F4" s="1" t="s">
        <v>40</v>
      </c>
      <c r="G4" s="1" t="s">
        <v>86</v>
      </c>
      <c r="H4" s="1" t="s">
        <v>81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1401.0855437529735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1637.55096147012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0.13649081233046023</v>
      </c>
      <c r="R4" s="1">
        <v>80</v>
      </c>
      <c r="S4" s="1">
        <v>89</v>
      </c>
      <c r="T4" s="1">
        <v>0</v>
      </c>
      <c r="U4" s="1">
        <f>Games[[#This Row],[PointsFor]]-Games[[#This Row],[PointsAgainst]]</f>
        <v>-9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0.33914205421729055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-3.5110793939696308</v>
      </c>
      <c r="AB4" s="4">
        <f>Games[[#This Row],[PreGmRate]]+Games[[#This Row],[RatingChange]]</f>
        <v>1397.574464359004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45426</v>
      </c>
      <c r="B5" s="2">
        <v>2024</v>
      </c>
      <c r="C5" s="2">
        <f>COUNTIFS(Games[Team],Games[[#This Row],[Team]],Games[Season],Games[[#This Row],[Season]],Games[Date],"&lt;=" &amp; Games[[#This Row],[Date]])</f>
        <v>1</v>
      </c>
      <c r="D5" s="2" t="s">
        <v>79</v>
      </c>
      <c r="E5" s="2" t="s">
        <v>80</v>
      </c>
      <c r="F5" s="1" t="s">
        <v>86</v>
      </c>
      <c r="G5" s="1" t="s">
        <v>40</v>
      </c>
      <c r="H5" s="1" t="s">
        <v>82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1637.55096147012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1401.0855437529735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0.86350918766953988</v>
      </c>
      <c r="R5" s="1">
        <v>89</v>
      </c>
      <c r="S5" s="1">
        <v>80</v>
      </c>
      <c r="T5" s="1">
        <v>0</v>
      </c>
      <c r="U5" s="1">
        <f>Games[[#This Row],[PointsFor]]-Games[[#This Row],[PointsAgainst]]</f>
        <v>9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0.33914205421729055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3.5110793939696281</v>
      </c>
      <c r="AB5" s="4">
        <f>Games[[#This Row],[PreGmRate]]+Games[[#This Row],[RatingChange]]</f>
        <v>1641.0620408640896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45426</v>
      </c>
      <c r="B6" s="2">
        <v>2024</v>
      </c>
      <c r="C6" s="2">
        <f>COUNTIFS(Games[Team],Games[[#This Row],[Team]],Games[Season],Games[[#This Row],[Season]],Games[Date],"&lt;=" &amp; Games[[#This Row],[Date]])</f>
        <v>1</v>
      </c>
      <c r="D6" s="2" t="s">
        <v>79</v>
      </c>
      <c r="E6" s="2" t="s">
        <v>80</v>
      </c>
      <c r="F6" s="1" t="s">
        <v>67</v>
      </c>
      <c r="G6" s="1" t="s">
        <v>71</v>
      </c>
      <c r="H6" s="1" t="s">
        <v>81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1471.5296043871083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1445.9083752548163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0.41676802866930052</v>
      </c>
      <c r="R6" s="1">
        <v>83</v>
      </c>
      <c r="S6" s="1">
        <v>70</v>
      </c>
      <c r="T6" s="1">
        <v>0</v>
      </c>
      <c r="U6" s="1">
        <f>Games[[#This Row],[PointsFor]]-Games[[#This Row],[PointsAgainst]]</f>
        <v>13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0.46217582831685672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20.445801320330986</v>
      </c>
      <c r="AB6" s="4">
        <f>Games[[#This Row],[PreGmRate]]+Games[[#This Row],[RatingChange]]</f>
        <v>1491.9754057074392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45426</v>
      </c>
      <c r="B7" s="2">
        <v>2024</v>
      </c>
      <c r="C7" s="2">
        <f>COUNTIFS(Games[Team],Games[[#This Row],[Team]],Games[Season],Games[[#This Row],[Season]],Games[Date],"&lt;=" &amp; Games[[#This Row],[Date]])</f>
        <v>1</v>
      </c>
      <c r="D7" s="2" t="s">
        <v>79</v>
      </c>
      <c r="E7" s="2" t="s">
        <v>80</v>
      </c>
      <c r="F7" s="1" t="s">
        <v>71</v>
      </c>
      <c r="G7" s="1" t="s">
        <v>67</v>
      </c>
      <c r="H7" s="1" t="s">
        <v>82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1445.9083752548163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1471.5296043871083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0.58323197133069948</v>
      </c>
      <c r="R7" s="1">
        <v>70</v>
      </c>
      <c r="S7" s="1">
        <v>83</v>
      </c>
      <c r="T7" s="1">
        <v>0</v>
      </c>
      <c r="U7" s="1">
        <f>Games[[#This Row],[PointsFor]]-Games[[#This Row],[PointsAgainst]]</f>
        <v>-13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0.46217582831685672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-20.445801320330986</v>
      </c>
      <c r="AB7" s="4">
        <f>Games[[#This Row],[PreGmRate]]+Games[[#This Row],[RatingChange]]</f>
        <v>1425.4625739344854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45426</v>
      </c>
      <c r="B8" s="2">
        <v>2024</v>
      </c>
      <c r="C8" s="2">
        <f>COUNTIFS(Games[Team],Games[[#This Row],[Team]],Games[Season],Games[[#This Row],[Season]],Games[Date],"&lt;=" &amp; Games[[#This Row],[Date]])</f>
        <v>1</v>
      </c>
      <c r="D8" s="2" t="s">
        <v>79</v>
      </c>
      <c r="E8" s="2" t="s">
        <v>80</v>
      </c>
      <c r="F8" s="1" t="s">
        <v>60</v>
      </c>
      <c r="G8" s="1" t="s">
        <v>65</v>
      </c>
      <c r="H8" s="1" t="s">
        <v>81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1609.789111472008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1486.1752122365419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0.55676322078669949</v>
      </c>
      <c r="R8" s="1">
        <v>85</v>
      </c>
      <c r="S8" s="1">
        <v>80</v>
      </c>
      <c r="T8" s="1">
        <v>0</v>
      </c>
      <c r="U8" s="1">
        <f>Games[[#This Row],[PointsFor]]-Games[[#This Row],[PointsAgainst]]</f>
        <v>5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0.30077288458775503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10.111836911896235</v>
      </c>
      <c r="AB8" s="4">
        <f>Games[[#This Row],[PreGmRate]]+Games[[#This Row],[RatingChange]]</f>
        <v>1619.9009483839043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45426</v>
      </c>
      <c r="B9" s="2">
        <v>2024</v>
      </c>
      <c r="C9" s="2">
        <f>COUNTIFS(Games[Team],Games[[#This Row],[Team]],Games[Season],Games[[#This Row],[Season]],Games[Date],"&lt;=" &amp; Games[[#This Row],[Date]])</f>
        <v>1</v>
      </c>
      <c r="D9" s="2" t="s">
        <v>79</v>
      </c>
      <c r="E9" s="2" t="s">
        <v>80</v>
      </c>
      <c r="F9" s="1" t="s">
        <v>65</v>
      </c>
      <c r="G9" s="1" t="s">
        <v>60</v>
      </c>
      <c r="H9" s="1" t="s">
        <v>82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1486.1752122365419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1609.789111472008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0.44323677921330062</v>
      </c>
      <c r="R9" s="1">
        <v>80</v>
      </c>
      <c r="S9" s="1">
        <v>85</v>
      </c>
      <c r="T9" s="1">
        <v>0</v>
      </c>
      <c r="U9" s="1">
        <f>Games[[#This Row],[PointsFor]]-Games[[#This Row],[PointsAgainst]]</f>
        <v>-5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0.30077288458775503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-10.111836911896239</v>
      </c>
      <c r="AB9" s="4">
        <f>Games[[#This Row],[PreGmRate]]+Games[[#This Row],[RatingChange]]</f>
        <v>1476.0633753246457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45427</v>
      </c>
      <c r="B10" s="2">
        <v>2024</v>
      </c>
      <c r="C10" s="2">
        <f>COUNTIFS(Games[Team],Games[[#This Row],[Team]],Games[Season],Games[[#This Row],[Season]],Games[Date],"&lt;=" &amp; Games[[#This Row],[Date]])</f>
        <v>1</v>
      </c>
      <c r="D10" s="2" t="s">
        <v>79</v>
      </c>
      <c r="E10" s="2" t="s">
        <v>80</v>
      </c>
      <c r="F10" s="1" t="s">
        <v>75</v>
      </c>
      <c r="G10" s="1" t="s">
        <v>85</v>
      </c>
      <c r="H10" s="1" t="s">
        <v>81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1499.1121355188611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1530.3654165095054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0.33996477021765825</v>
      </c>
      <c r="R10" s="1">
        <v>79</v>
      </c>
      <c r="S10" s="1">
        <v>87</v>
      </c>
      <c r="T10" s="1">
        <v>0</v>
      </c>
      <c r="U10" s="1">
        <f>Games[[#This Row],[PointsFor]]-Games[[#This Row],[PointsAgainst]]</f>
        <v>-8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0.37845880226096823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-9.7590627418478917</v>
      </c>
      <c r="AB10" s="4">
        <f>Games[[#This Row],[PreGmRate]]+Games[[#This Row],[RatingChange]]</f>
        <v>1489.3530727770133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45427</v>
      </c>
      <c r="B11" s="2">
        <v>2024</v>
      </c>
      <c r="C11" s="2">
        <f>COUNTIFS(Games[Team],Games[[#This Row],[Team]],Games[Season],Games[[#This Row],[Season]],Games[Date],"&lt;=" &amp; Games[[#This Row],[Date]])</f>
        <v>1</v>
      </c>
      <c r="D11" s="2" t="s">
        <v>79</v>
      </c>
      <c r="E11" s="2" t="s">
        <v>80</v>
      </c>
      <c r="F11" s="1" t="s">
        <v>85</v>
      </c>
      <c r="G11" s="1" t="s">
        <v>75</v>
      </c>
      <c r="H11" s="1" t="s">
        <v>82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1530.3654165095054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1499.1121355188611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0.66003522978234175</v>
      </c>
      <c r="R11" s="1">
        <v>87</v>
      </c>
      <c r="S11" s="1">
        <v>79</v>
      </c>
      <c r="T11" s="1">
        <v>0</v>
      </c>
      <c r="U11" s="1">
        <f>Games[[#This Row],[PointsFor]]-Games[[#This Row],[PointsAgainst]]</f>
        <v>8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0.37845880226096823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9.7590627418478917</v>
      </c>
      <c r="AB11" s="4">
        <f>Games[[#This Row],[PreGmRate]]+Games[[#This Row],[RatingChange]]</f>
        <v>1540.1244792513533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45427</v>
      </c>
      <c r="B12" s="2">
        <v>2024</v>
      </c>
      <c r="C12" s="2">
        <f>COUNTIFS(Games[Team],Games[[#This Row],[Team]],Games[Season],Games[[#This Row],[Season]],Games[Date],"&lt;=" &amp; Games[[#This Row],[Date]])</f>
        <v>1</v>
      </c>
      <c r="D12" s="2" t="s">
        <v>79</v>
      </c>
      <c r="E12" s="2" t="s">
        <v>80</v>
      </c>
      <c r="F12" s="1" t="s">
        <v>77</v>
      </c>
      <c r="G12" s="1" t="s">
        <v>63</v>
      </c>
      <c r="H12" s="1" t="s">
        <v>81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1468.0141617876025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1471.2459658211742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0.37703633578293233</v>
      </c>
      <c r="R12" s="1">
        <v>92</v>
      </c>
      <c r="S12" s="1">
        <v>81</v>
      </c>
      <c r="T12" s="1">
        <v>0</v>
      </c>
      <c r="U12" s="1">
        <f>Games[[#This Row],[PointsFor]]-Games[[#This Row],[PointsAgainst]]</f>
        <v>11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0.43865459883940311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20.727216711185545</v>
      </c>
      <c r="AB12" s="4">
        <f>Games[[#This Row],[PreGmRate]]+Games[[#This Row],[RatingChange]]</f>
        <v>1488.741378498788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45427</v>
      </c>
      <c r="B13" s="2">
        <v>2024</v>
      </c>
      <c r="C13" s="2">
        <f>COUNTIFS(Games[Team],Games[[#This Row],[Team]],Games[Season],Games[[#This Row],[Season]],Games[Date],"&lt;=" &amp; Games[[#This Row],[Date]])</f>
        <v>1</v>
      </c>
      <c r="D13" s="2" t="s">
        <v>79</v>
      </c>
      <c r="E13" s="2" t="s">
        <v>80</v>
      </c>
      <c r="F13" s="1" t="s">
        <v>63</v>
      </c>
      <c r="G13" s="1" t="s">
        <v>77</v>
      </c>
      <c r="H13" s="1" t="s">
        <v>82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1471.2459658211742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1468.0141617876025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0.62296366421706773</v>
      </c>
      <c r="R13" s="1">
        <v>81</v>
      </c>
      <c r="S13" s="1">
        <v>92</v>
      </c>
      <c r="T13" s="1">
        <v>0</v>
      </c>
      <c r="U13" s="1">
        <f>Games[[#This Row],[PointsFor]]-Games[[#This Row],[PointsAgainst]]</f>
        <v>-11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0.43865459883940311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-20.727216711185545</v>
      </c>
      <c r="AB13" s="4">
        <f>Games[[#This Row],[PreGmRate]]+Games[[#This Row],[RatingChange]]</f>
        <v>1450.5187491099887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45428</v>
      </c>
      <c r="B14" s="2">
        <v>2024</v>
      </c>
      <c r="C14" s="2">
        <f>COUNTIFS(Games[Team],Games[[#This Row],[Team]],Games[Season],Games[[#This Row],[Season]],Games[Date],"&lt;=" &amp; Games[[#This Row],[Date]])</f>
        <v>2</v>
      </c>
      <c r="D14" s="2" t="s">
        <v>79</v>
      </c>
      <c r="E14" s="2" t="s">
        <v>80</v>
      </c>
      <c r="F14" s="1" t="s">
        <v>60</v>
      </c>
      <c r="G14" s="1" t="s">
        <v>69</v>
      </c>
      <c r="H14" s="1" t="s">
        <v>81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1619.9009483839043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1419.2261653560802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0.66186895155251968</v>
      </c>
      <c r="R14" s="1">
        <v>102</v>
      </c>
      <c r="S14" s="1">
        <v>66</v>
      </c>
      <c r="T14" s="1">
        <v>0</v>
      </c>
      <c r="U14" s="1">
        <f>Games[[#This Row],[PointsFor]]-Games[[#This Row],[PointsAgainst]]</f>
        <v>36</v>
      </c>
      <c r="V14" s="1">
        <f>IF(Games[[#This Row],[MOV]]&gt;0,1,IF(Games[[#This Row],[MOV]]=0,0.5,0))</f>
        <v>1</v>
      </c>
      <c r="W14" s="4">
        <f>((ABS(Games[[#This Row],[MOV]])+5)^0.6)/(12+0.01*(ABS(Games[[#This Row],[PreGmRate]]-Games[[#This Row],[OppPreGmRate]])))*IF(Games[[#This Row],[OT]]=1,0.9,1)</f>
        <v>0.66272446636617188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16.963440301365228</v>
      </c>
      <c r="AB14" s="4">
        <f>Games[[#This Row],[PreGmRate]]+Games[[#This Row],[RatingChange]]</f>
        <v>1636.8643886852694</v>
      </c>
      <c r="AC14" s="2">
        <f>IF(Games[[#This Row],[Type]]="R",IF(Games[[#This Row],[Result]]&gt;0.5,1,0),0)</f>
        <v>1</v>
      </c>
      <c r="AD14" s="2">
        <f>IF(Games[[#This Row],[Type]]="R",IF(Games[[#This Row],[Result]]&lt;0.5,1,0),0)</f>
        <v>0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45428</v>
      </c>
      <c r="B15" s="2">
        <v>2024</v>
      </c>
      <c r="C15" s="2">
        <f>COUNTIFS(Games[Team],Games[[#This Row],[Team]],Games[Season],Games[[#This Row],[Season]],Games[Date],"&lt;=" &amp; Games[[#This Row],[Date]])</f>
        <v>2</v>
      </c>
      <c r="D15" s="2" t="s">
        <v>79</v>
      </c>
      <c r="E15" s="2" t="s">
        <v>80</v>
      </c>
      <c r="F15" s="1" t="s">
        <v>69</v>
      </c>
      <c r="G15" s="1" t="s">
        <v>60</v>
      </c>
      <c r="H15" s="1" t="s">
        <v>82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1419.2261653560802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1619.9009483839043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0.33813104844748026</v>
      </c>
      <c r="R15" s="1">
        <v>66</v>
      </c>
      <c r="S15" s="1">
        <v>102</v>
      </c>
      <c r="T15" s="1">
        <v>0</v>
      </c>
      <c r="U15" s="1">
        <f>Games[[#This Row],[PointsFor]]-Games[[#This Row],[PointsAgainst]]</f>
        <v>-36</v>
      </c>
      <c r="V15" s="1">
        <f>IF(Games[[#This Row],[MOV]]&gt;0,1,IF(Games[[#This Row],[MOV]]=0,0.5,0))</f>
        <v>0</v>
      </c>
      <c r="W15" s="4">
        <f>((ABS(Games[[#This Row],[MOV]])+5)^0.6)/(12+0.01*(ABS(Games[[#This Row],[PreGmRate]]-Games[[#This Row],[OppPreGmRate]])))*IF(Games[[#This Row],[OT]]=1,0.9,1)</f>
        <v>0.66272446636617188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-16.963440301365225</v>
      </c>
      <c r="AB15" s="4">
        <f>Games[[#This Row],[PreGmRate]]+Games[[#This Row],[RatingChange]]</f>
        <v>1402.262725054715</v>
      </c>
      <c r="AC15" s="2">
        <f>IF(Games[[#This Row],[Type]]="R",IF(Games[[#This Row],[Result]]&gt;0.5,1,0),0)</f>
        <v>0</v>
      </c>
      <c r="AD15" s="2">
        <f>IF(Games[[#This Row],[Type]]="R",IF(Games[[#This Row],[Result]]&lt;0.5,1,0),0)</f>
        <v>1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45429</v>
      </c>
      <c r="B16" s="2">
        <v>2024</v>
      </c>
      <c r="C16" s="2">
        <f>COUNTIFS(Games[Team],Games[[#This Row],[Team]],Games[Season],Games[[#This Row],[Season]],Games[Date],"&lt;=" &amp; Games[[#This Row],[Date]])</f>
        <v>2</v>
      </c>
      <c r="D16" s="2" t="s">
        <v>79</v>
      </c>
      <c r="E16" s="2" t="s">
        <v>80</v>
      </c>
      <c r="F16" s="1" t="s">
        <v>65</v>
      </c>
      <c r="G16" s="1" t="s">
        <v>74</v>
      </c>
      <c r="H16" s="1" t="s">
        <v>81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1476.0633753246457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1560.2599493278124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0.27523597270756445</v>
      </c>
      <c r="R16" s="1">
        <v>77</v>
      </c>
      <c r="S16" s="1">
        <v>84</v>
      </c>
      <c r="T16" s="1">
        <v>0</v>
      </c>
      <c r="U16" s="1">
        <f>Games[[#This Row],[PointsFor]]-Games[[#This Row],[PointsAgainst]]</f>
        <v>-7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0.34584160709923284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-7.2057354707457435</v>
      </c>
      <c r="AB16" s="4">
        <f>Games[[#This Row],[PreGmRate]]+Games[[#This Row],[RatingChange]]</f>
        <v>1468.8576398538999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45429</v>
      </c>
      <c r="B17" s="2">
        <v>2024</v>
      </c>
      <c r="C17" s="2">
        <f>COUNTIFS(Games[Team],Games[[#This Row],[Team]],Games[Season],Games[[#This Row],[Season]],Games[Date],"&lt;=" &amp; Games[[#This Row],[Date]])</f>
        <v>2</v>
      </c>
      <c r="D17" s="2" t="s">
        <v>79</v>
      </c>
      <c r="E17" s="2" t="s">
        <v>80</v>
      </c>
      <c r="F17" s="1" t="s">
        <v>74</v>
      </c>
      <c r="G17" s="1" t="s">
        <v>65</v>
      </c>
      <c r="H17" s="1" t="s">
        <v>82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1560.2599493278124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1476.0633753246457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0.7247640272924355</v>
      </c>
      <c r="R17" s="1">
        <v>84</v>
      </c>
      <c r="S17" s="1">
        <v>77</v>
      </c>
      <c r="T17" s="1">
        <v>0</v>
      </c>
      <c r="U17" s="1">
        <f>Games[[#This Row],[PointsFor]]-Games[[#This Row],[PointsAgainst]]</f>
        <v>7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0.34584160709923284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7.2057354707457453</v>
      </c>
      <c r="AB17" s="4">
        <f>Games[[#This Row],[PreGmRate]]+Games[[#This Row],[RatingChange]]</f>
        <v>1567.4656847985582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45429</v>
      </c>
      <c r="B18" s="2">
        <v>2024</v>
      </c>
      <c r="C18" s="2">
        <f>COUNTIFS(Games[Team],Games[[#This Row],[Team]],Games[Season],Games[[#This Row],[Season]],Games[Date],"&lt;=" &amp; Games[[#This Row],[Date]])</f>
        <v>2</v>
      </c>
      <c r="D18" s="2" t="s">
        <v>79</v>
      </c>
      <c r="E18" s="2" t="s">
        <v>80</v>
      </c>
      <c r="F18" s="1" t="s">
        <v>71</v>
      </c>
      <c r="G18" s="1" t="s">
        <v>67</v>
      </c>
      <c r="H18" s="1" t="s">
        <v>81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" s="2">
        <f>Games[[#This Row],[DaysOff]]-Games[[#This Row],[OppDaysOff]]</f>
        <v>0</v>
      </c>
      <c r="L18" s="2">
        <f>Games[[#This Row],[OppDaysOff]]-Games[[#This Row],[DaysOff]]</f>
        <v>0</v>
      </c>
      <c r="M18" s="1">
        <f>MAX(-16, MIN(16, Games[[#This Row],[RestDiff]]*8))</f>
        <v>0</v>
      </c>
      <c r="N18" s="1">
        <f>MAX(-16, MIN(16, Games[[#This Row],[OppRestDiff]]*8))</f>
        <v>0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1425.4625739344854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1491.9754057074392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0.29599945715416948</v>
      </c>
      <c r="R18" s="1">
        <v>93</v>
      </c>
      <c r="S18" s="1">
        <v>102</v>
      </c>
      <c r="T18" s="1">
        <v>1</v>
      </c>
      <c r="U18" s="1">
        <f>Games[[#This Row],[PointsFor]]-Games[[#This Row],[PointsAgainst]]</f>
        <v>-9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0.34618618802720708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-7.7570489263855675</v>
      </c>
      <c r="AB18" s="4">
        <f>Games[[#This Row],[PreGmRate]]+Games[[#This Row],[RatingChange]]</f>
        <v>1417.7055250080998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45429</v>
      </c>
      <c r="B19" s="2">
        <v>2024</v>
      </c>
      <c r="C19" s="2">
        <f>COUNTIFS(Games[Team],Games[[#This Row],[Team]],Games[Season],Games[[#This Row],[Season]],Games[Date],"&lt;=" &amp; Games[[#This Row],[Date]])</f>
        <v>2</v>
      </c>
      <c r="D19" s="2" t="s">
        <v>79</v>
      </c>
      <c r="E19" s="2" t="s">
        <v>80</v>
      </c>
      <c r="F19" s="1" t="s">
        <v>67</v>
      </c>
      <c r="G19" s="1" t="s">
        <v>71</v>
      </c>
      <c r="H19" s="1" t="s">
        <v>82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" s="2">
        <f>Games[[#This Row],[DaysOff]]-Games[[#This Row],[OppDaysOff]]</f>
        <v>0</v>
      </c>
      <c r="L19" s="2">
        <f>Games[[#This Row],[OppDaysOff]]-Games[[#This Row],[DaysOff]]</f>
        <v>0</v>
      </c>
      <c r="M19" s="1">
        <f>MAX(-16, MIN(16, Games[[#This Row],[RestDiff]]*8))</f>
        <v>0</v>
      </c>
      <c r="N19" s="1">
        <f>MAX(-16, MIN(16, Games[[#This Row],[OppRestDiff]]*8))</f>
        <v>0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1491.9754057074392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1425.4625739344854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0.70400054284583047</v>
      </c>
      <c r="R19" s="1">
        <v>102</v>
      </c>
      <c r="S19" s="1">
        <v>93</v>
      </c>
      <c r="T19" s="1">
        <v>1</v>
      </c>
      <c r="U19" s="1">
        <f>Games[[#This Row],[PointsFor]]-Games[[#This Row],[PointsAgainst]]</f>
        <v>9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0.34618618802720708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7.7570489263855693</v>
      </c>
      <c r="AB19" s="4">
        <f>Games[[#This Row],[PreGmRate]]+Games[[#This Row],[RatingChange]]</f>
        <v>1499.7324546338248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45430</v>
      </c>
      <c r="B20" s="2">
        <v>2024</v>
      </c>
      <c r="C20" s="2">
        <f>COUNTIFS(Games[Team],Games[[#This Row],[Team]],Games[Season],Games[[#This Row],[Season]],Games[Date],"&lt;=" &amp; Games[[#This Row],[Date]])</f>
        <v>2</v>
      </c>
      <c r="D20" s="2" t="s">
        <v>79</v>
      </c>
      <c r="E20" s="2" t="s">
        <v>80</v>
      </c>
      <c r="F20" s="1" t="s">
        <v>75</v>
      </c>
      <c r="G20" s="1" t="s">
        <v>85</v>
      </c>
      <c r="H20" s="1" t="s">
        <v>81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" s="2">
        <f>Games[[#This Row],[DaysOff]]-Games[[#This Row],[OppDaysOff]]</f>
        <v>0</v>
      </c>
      <c r="L20" s="2">
        <f>Games[[#This Row],[OppDaysOff]]-Games[[#This Row],[DaysOff]]</f>
        <v>0</v>
      </c>
      <c r="M20" s="1">
        <f>MAX(-16, MIN(16, Games[[#This Row],[RestDiff]]*8))</f>
        <v>0</v>
      </c>
      <c r="N20" s="1">
        <f>MAX(-16, MIN(16, Games[[#This Row],[OppRestDiff]]*8))</f>
        <v>0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1489.3530727770133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1540.1244792513533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0.31522436728075143</v>
      </c>
      <c r="R20" s="1">
        <v>83</v>
      </c>
      <c r="S20" s="1">
        <v>74</v>
      </c>
      <c r="T20" s="1">
        <v>0</v>
      </c>
      <c r="U20" s="1">
        <f>Games[[#This Row],[PointsFor]]-Games[[#This Row],[PointsAgainst]]</f>
        <v>9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0.38949230055546985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20.190313126997577</v>
      </c>
      <c r="AB20" s="4">
        <f>Games[[#This Row],[PreGmRate]]+Games[[#This Row],[RatingChange]]</f>
        <v>1509.5433859040108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45430</v>
      </c>
      <c r="B21" s="2">
        <v>2024</v>
      </c>
      <c r="C21" s="2">
        <f>COUNTIFS(Games[Team],Games[[#This Row],[Team]],Games[Season],Games[[#This Row],[Season]],Games[Date],"&lt;=" &amp; Games[[#This Row],[Date]])</f>
        <v>2</v>
      </c>
      <c r="D21" s="2" t="s">
        <v>79</v>
      </c>
      <c r="E21" s="2" t="s">
        <v>80</v>
      </c>
      <c r="F21" s="1" t="s">
        <v>85</v>
      </c>
      <c r="G21" s="1" t="s">
        <v>75</v>
      </c>
      <c r="H21" s="1" t="s">
        <v>82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" s="2">
        <f>Games[[#This Row],[DaysOff]]-Games[[#This Row],[OppDaysOff]]</f>
        <v>0</v>
      </c>
      <c r="L21" s="2">
        <f>Games[[#This Row],[OppDaysOff]]-Games[[#This Row],[DaysOff]]</f>
        <v>0</v>
      </c>
      <c r="M21" s="1">
        <f>MAX(-16, MIN(16, Games[[#This Row],[RestDiff]]*8))</f>
        <v>0</v>
      </c>
      <c r="N21" s="1">
        <f>MAX(-16, MIN(16, Games[[#This Row],[OppRestDiff]]*8))</f>
        <v>0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1540.1244792513533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1489.3530727770133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0.68477563271924857</v>
      </c>
      <c r="R21" s="1">
        <v>74</v>
      </c>
      <c r="S21" s="1">
        <v>83</v>
      </c>
      <c r="T21" s="1">
        <v>0</v>
      </c>
      <c r="U21" s="1">
        <f>Games[[#This Row],[PointsFor]]-Games[[#This Row],[PointsAgainst]]</f>
        <v>-9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0.38949230055546985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-20.190313126997577</v>
      </c>
      <c r="AB21" s="4">
        <f>Games[[#This Row],[PreGmRate]]+Games[[#This Row],[RatingChange]]</f>
        <v>1519.9341661243557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45430</v>
      </c>
      <c r="B22" s="2">
        <v>2024</v>
      </c>
      <c r="C22" s="2">
        <f>COUNTIFS(Games[Team],Games[[#This Row],[Team]],Games[Season],Games[[#This Row],[Season]],Games[Date],"&lt;=" &amp; Games[[#This Row],[Date]])</f>
        <v>2</v>
      </c>
      <c r="D22" s="2" t="s">
        <v>79</v>
      </c>
      <c r="E22" s="2" t="s">
        <v>80</v>
      </c>
      <c r="F22" s="1" t="s">
        <v>63</v>
      </c>
      <c r="G22" s="1" t="s">
        <v>86</v>
      </c>
      <c r="H22" s="1" t="s">
        <v>81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" s="2">
        <f>Games[[#This Row],[DaysOff]]-Games[[#This Row],[OppDaysOff]]</f>
        <v>-1</v>
      </c>
      <c r="L22" s="2">
        <f>Games[[#This Row],[OppDaysOff]]-Games[[#This Row],[DaysOff]]</f>
        <v>1</v>
      </c>
      <c r="M22" s="1">
        <f>MAX(-16, MIN(16, Games[[#This Row],[RestDiff]]*8))</f>
        <v>-8</v>
      </c>
      <c r="N22" s="1">
        <f>MAX(-16, MIN(16, Games[[#This Row],[OppRestDiff]]*8))</f>
        <v>8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1450.5187491099887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1641.0620408640896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0.15809093140614408</v>
      </c>
      <c r="R22" s="1">
        <v>82</v>
      </c>
      <c r="S22" s="1">
        <v>89</v>
      </c>
      <c r="T22" s="1">
        <v>0</v>
      </c>
      <c r="U22" s="1">
        <f>Games[[#This Row],[PointsFor]]-Games[[#This Row],[PointsAgainst]]</f>
        <v>-7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0.3193921466654504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-3.8223202476262665</v>
      </c>
      <c r="AB22" s="4">
        <f>Games[[#This Row],[PreGmRate]]+Games[[#This Row],[RatingChange]]</f>
        <v>1446.6964288623624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45430</v>
      </c>
      <c r="B23" s="2">
        <v>2024</v>
      </c>
      <c r="C23" s="2">
        <f>COUNTIFS(Games[Team],Games[[#This Row],[Team]],Games[Season],Games[[#This Row],[Season]],Games[Date],"&lt;=" &amp; Games[[#This Row],[Date]])</f>
        <v>2</v>
      </c>
      <c r="D23" s="2" t="s">
        <v>79</v>
      </c>
      <c r="E23" s="2" t="s">
        <v>80</v>
      </c>
      <c r="F23" s="1" t="s">
        <v>86</v>
      </c>
      <c r="G23" s="1" t="s">
        <v>63</v>
      </c>
      <c r="H23" s="1" t="s">
        <v>82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" s="2">
        <f>Games[[#This Row],[DaysOff]]-Games[[#This Row],[OppDaysOff]]</f>
        <v>1</v>
      </c>
      <c r="L23" s="2">
        <f>Games[[#This Row],[OppDaysOff]]-Games[[#This Row],[DaysOff]]</f>
        <v>-1</v>
      </c>
      <c r="M23" s="1">
        <f>MAX(-16, MIN(16, Games[[#This Row],[RestDiff]]*8))</f>
        <v>8</v>
      </c>
      <c r="N23" s="1">
        <f>MAX(-16, MIN(16, Games[[#This Row],[OppRestDiff]]*8))</f>
        <v>-8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1641.0620408640896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1450.5187491099887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0.84190906859385584</v>
      </c>
      <c r="R23" s="1">
        <v>89</v>
      </c>
      <c r="S23" s="1">
        <v>82</v>
      </c>
      <c r="T23" s="1">
        <v>0</v>
      </c>
      <c r="U23" s="1">
        <f>Games[[#This Row],[PointsFor]]-Games[[#This Row],[PointsAgainst]]</f>
        <v>7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0.3193921466654504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3.8223202476262688</v>
      </c>
      <c r="AB23" s="4">
        <f>Games[[#This Row],[PreGmRate]]+Games[[#This Row],[RatingChange]]</f>
        <v>1644.8843611117159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45430</v>
      </c>
      <c r="B24" s="2">
        <v>2024</v>
      </c>
      <c r="C24" s="2">
        <f>COUNTIFS(Games[Team],Games[[#This Row],[Team]],Games[Season],Games[[#This Row],[Season]],Games[Date],"&lt;=" &amp; Games[[#This Row],[Date]])</f>
        <v>3</v>
      </c>
      <c r="D24" s="2" t="s">
        <v>79</v>
      </c>
      <c r="E24" s="2" t="s">
        <v>80</v>
      </c>
      <c r="F24" s="1" t="s">
        <v>69</v>
      </c>
      <c r="G24" s="1" t="s">
        <v>60</v>
      </c>
      <c r="H24" s="1" t="s">
        <v>81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1402.262725054715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1636.8643886852694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0.1377602387890311</v>
      </c>
      <c r="R24" s="1">
        <v>80</v>
      </c>
      <c r="S24" s="1">
        <v>91</v>
      </c>
      <c r="T24" s="1">
        <v>0</v>
      </c>
      <c r="U24" s="1">
        <f>Games[[#This Row],[PointsFor]]-Games[[#This Row],[PointsAgainst]]</f>
        <v>-11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0.36790920970594954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" s="9">
        <f>MAX(kmin, kmax - 0.15 * MIN(Games[[#This Row],[GamesPlayed]], 82))</f>
        <v>75.55</v>
      </c>
      <c r="Z24" s="4">
        <f>Games[[#This Row],[K]]*Games[[#This Row],[POMult]]</f>
        <v>75.55</v>
      </c>
      <c r="AA24" s="4">
        <f>(Games[[#This Row],[Keff]]*Games[[#This Row],[MOVMult]])*(Games[[#This Row],[Result]]-Games[[#This Row],[ExpectedWin%]])</f>
        <v>-3.8291203369531259</v>
      </c>
      <c r="AB24" s="4">
        <f>Games[[#This Row],[PreGmRate]]+Games[[#This Row],[RatingChange]]</f>
        <v>1398.4336047177619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45430</v>
      </c>
      <c r="B25" s="2">
        <v>2024</v>
      </c>
      <c r="C25" s="2">
        <f>COUNTIFS(Games[Team],Games[[#This Row],[Team]],Games[Season],Games[[#This Row],[Season]],Games[Date],"&lt;=" &amp; Games[[#This Row],[Date]])</f>
        <v>3</v>
      </c>
      <c r="D25" s="2" t="s">
        <v>79</v>
      </c>
      <c r="E25" s="2" t="s">
        <v>80</v>
      </c>
      <c r="F25" s="1" t="s">
        <v>60</v>
      </c>
      <c r="G25" s="1" t="s">
        <v>69</v>
      </c>
      <c r="H25" s="1" t="s">
        <v>82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1636.8643886852694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1402.262725054715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0.8622397612109689</v>
      </c>
      <c r="R25" s="1">
        <v>91</v>
      </c>
      <c r="S25" s="1">
        <v>80</v>
      </c>
      <c r="T25" s="1">
        <v>0</v>
      </c>
      <c r="U25" s="1">
        <f>Games[[#This Row],[PointsFor]]-Games[[#This Row],[PointsAgainst]]</f>
        <v>11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0.36790920970594954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" s="9">
        <f>MAX(kmin, kmax - 0.15 * MIN(Games[[#This Row],[GamesPlayed]], 82))</f>
        <v>75.55</v>
      </c>
      <c r="Z25" s="4">
        <f>Games[[#This Row],[K]]*Games[[#This Row],[POMult]]</f>
        <v>75.55</v>
      </c>
      <c r="AA25" s="4">
        <f>(Games[[#This Row],[Keff]]*Games[[#This Row],[MOVMult]])*(Games[[#This Row],[Result]]-Games[[#This Row],[ExpectedWin%]])</f>
        <v>3.8291203369531259</v>
      </c>
      <c r="AB25" s="4">
        <f>Games[[#This Row],[PreGmRate]]+Games[[#This Row],[RatingChange]]</f>
        <v>1640.6935090222225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45430</v>
      </c>
      <c r="B26" s="2">
        <v>2024</v>
      </c>
      <c r="C26" s="2">
        <f>COUNTIFS(Games[Team],Games[[#This Row],[Team]],Games[Season],Games[[#This Row],[Season]],Games[Date],"&lt;=" &amp; Games[[#This Row],[Date]])</f>
        <v>2</v>
      </c>
      <c r="D26" s="2" t="s">
        <v>79</v>
      </c>
      <c r="E26" s="2" t="s">
        <v>80</v>
      </c>
      <c r="F26" s="1" t="s">
        <v>77</v>
      </c>
      <c r="G26" s="1" t="s">
        <v>40</v>
      </c>
      <c r="H26" s="1" t="s">
        <v>81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" s="2">
        <f>Games[[#This Row],[DaysOff]]-Games[[#This Row],[OppDaysOff]]</f>
        <v>-1</v>
      </c>
      <c r="L26" s="2">
        <f>Games[[#This Row],[OppDaysOff]]-Games[[#This Row],[DaysOff]]</f>
        <v>1</v>
      </c>
      <c r="M26" s="1">
        <f>MAX(-16, MIN(16, Games[[#This Row],[RestDiff]]*8))</f>
        <v>-8</v>
      </c>
      <c r="N26" s="1">
        <f>MAX(-16, MIN(16, Games[[#This Row],[OppRestDiff]]*8))</f>
        <v>8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1488.741378498788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1397.574464359004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0.4872909057185173</v>
      </c>
      <c r="R26" s="1">
        <v>85</v>
      </c>
      <c r="S26" s="1">
        <v>88</v>
      </c>
      <c r="T26" s="1">
        <v>0</v>
      </c>
      <c r="U26" s="1">
        <f>Games[[#This Row],[PointsFor]]-Games[[#This Row],[PointsAgainst]]</f>
        <v>-3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0.26969419794221172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-9.9484584196593104</v>
      </c>
      <c r="AB26" s="4">
        <f>Games[[#This Row],[PreGmRate]]+Games[[#This Row],[RatingChange]]</f>
        <v>1478.7929200791286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45430</v>
      </c>
      <c r="B27" s="2">
        <v>2024</v>
      </c>
      <c r="C27" s="2">
        <f>COUNTIFS(Games[Team],Games[[#This Row],[Team]],Games[Season],Games[[#This Row],[Season]],Games[Date],"&lt;=" &amp; Games[[#This Row],[Date]])</f>
        <v>2</v>
      </c>
      <c r="D27" s="2" t="s">
        <v>79</v>
      </c>
      <c r="E27" s="2" t="s">
        <v>80</v>
      </c>
      <c r="F27" s="1" t="s">
        <v>40</v>
      </c>
      <c r="G27" s="1" t="s">
        <v>77</v>
      </c>
      <c r="H27" s="1" t="s">
        <v>82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" s="2">
        <f>Games[[#This Row],[DaysOff]]-Games[[#This Row],[OppDaysOff]]</f>
        <v>1</v>
      </c>
      <c r="L27" s="2">
        <f>Games[[#This Row],[OppDaysOff]]-Games[[#This Row],[DaysOff]]</f>
        <v>-1</v>
      </c>
      <c r="M27" s="1">
        <f>MAX(-16, MIN(16, Games[[#This Row],[RestDiff]]*8))</f>
        <v>8</v>
      </c>
      <c r="N27" s="1">
        <f>MAX(-16, MIN(16, Games[[#This Row],[OppRestDiff]]*8))</f>
        <v>-8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1397.574464359004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1488.741378498788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0.5127090942814827</v>
      </c>
      <c r="R27" s="1">
        <v>88</v>
      </c>
      <c r="S27" s="1">
        <v>85</v>
      </c>
      <c r="T27" s="1">
        <v>0</v>
      </c>
      <c r="U27" s="1">
        <f>Games[[#This Row],[PointsFor]]-Games[[#This Row],[PointsAgainst]]</f>
        <v>3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0.26969419794221172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9.9484584196593104</v>
      </c>
      <c r="AB27" s="4">
        <f>Games[[#This Row],[PreGmRate]]+Games[[#This Row],[RatingChange]]</f>
        <v>1407.5229227786633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45431</v>
      </c>
      <c r="B28" s="2">
        <v>2024</v>
      </c>
      <c r="C28" s="2">
        <f>COUNTIFS(Games[Team],Games[[#This Row],[Team]],Games[Season],Games[[#This Row],[Season]],Games[Date],"&lt;=" &amp; Games[[#This Row],[Date]])</f>
        <v>3</v>
      </c>
      <c r="D28" s="2" t="s">
        <v>79</v>
      </c>
      <c r="E28" s="2" t="s">
        <v>80</v>
      </c>
      <c r="F28" s="1" t="s">
        <v>71</v>
      </c>
      <c r="G28" s="1" t="s">
        <v>65</v>
      </c>
      <c r="H28" s="1" t="s">
        <v>81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" s="2">
        <f>Games[[#This Row],[DaysOff]]-Games[[#This Row],[OppDaysOff]]</f>
        <v>0</v>
      </c>
      <c r="L28" s="2">
        <f>Games[[#This Row],[OppDaysOff]]-Games[[#This Row],[DaysOff]]</f>
        <v>0</v>
      </c>
      <c r="M28" s="1">
        <f>MAX(-16, MIN(16, Games[[#This Row],[RestDiff]]*8))</f>
        <v>0</v>
      </c>
      <c r="N28" s="1">
        <f>MAX(-16, MIN(16, Games[[#This Row],[OppRestDiff]]*8))</f>
        <v>0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1417.7055250080998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1468.8576398538999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0.31475149898021326</v>
      </c>
      <c r="R28" s="1">
        <v>84</v>
      </c>
      <c r="S28" s="1">
        <v>75</v>
      </c>
      <c r="T28" s="1">
        <v>0</v>
      </c>
      <c r="U28" s="1">
        <f>Games[[#This Row],[PointsFor]]-Games[[#This Row],[PointsAgainst]]</f>
        <v>9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0.38937378340820922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20.158084897045168</v>
      </c>
      <c r="AB28" s="4">
        <f>Games[[#This Row],[PreGmRate]]+Games[[#This Row],[RatingChange]]</f>
        <v>1437.863609905145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45431</v>
      </c>
      <c r="B29" s="2">
        <v>2024</v>
      </c>
      <c r="C29" s="2">
        <f>COUNTIFS(Games[Team],Games[[#This Row],[Team]],Games[Season],Games[[#This Row],[Season]],Games[Date],"&lt;=" &amp; Games[[#This Row],[Date]])</f>
        <v>3</v>
      </c>
      <c r="D29" s="2" t="s">
        <v>79</v>
      </c>
      <c r="E29" s="2" t="s">
        <v>80</v>
      </c>
      <c r="F29" s="1" t="s">
        <v>65</v>
      </c>
      <c r="G29" s="1" t="s">
        <v>71</v>
      </c>
      <c r="H29" s="1" t="s">
        <v>82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0</v>
      </c>
      <c r="L29" s="2">
        <f>Games[[#This Row],[OppDaysOff]]-Games[[#This Row],[DaysOff]]</f>
        <v>0</v>
      </c>
      <c r="M29" s="1">
        <f>MAX(-16, MIN(16, Games[[#This Row],[RestDiff]]*8))</f>
        <v>0</v>
      </c>
      <c r="N29" s="1">
        <f>MAX(-16, MIN(16, Games[[#This Row],[OppRestDiff]]*8))</f>
        <v>0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1468.8576398538999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1417.7055250080998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0.68524850101978674</v>
      </c>
      <c r="R29" s="1">
        <v>75</v>
      </c>
      <c r="S29" s="1">
        <v>84</v>
      </c>
      <c r="T29" s="1">
        <v>0</v>
      </c>
      <c r="U29" s="1">
        <f>Games[[#This Row],[PointsFor]]-Games[[#This Row],[PointsAgainst]]</f>
        <v>-9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0.38937378340820922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-20.158084897045168</v>
      </c>
      <c r="AB29" s="4">
        <f>Games[[#This Row],[PreGmRate]]+Games[[#This Row],[RatingChange]]</f>
        <v>1448.6995549568546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45432</v>
      </c>
      <c r="B30" s="2">
        <v>2024</v>
      </c>
      <c r="C30" s="2">
        <f>COUNTIFS(Games[Team],Games[[#This Row],[Team]],Games[Season],Games[[#This Row],[Season]],Games[Date],"&lt;=" &amp; Games[[#This Row],[Date]])</f>
        <v>3</v>
      </c>
      <c r="D30" s="2" t="s">
        <v>79</v>
      </c>
      <c r="E30" s="2" t="s">
        <v>80</v>
      </c>
      <c r="F30" s="1" t="s">
        <v>74</v>
      </c>
      <c r="G30" s="1" t="s">
        <v>69</v>
      </c>
      <c r="H30" s="1" t="s">
        <v>81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" s="2">
        <f>Games[[#This Row],[DaysOff]]-Games[[#This Row],[OppDaysOff]]</f>
        <v>1</v>
      </c>
      <c r="L30" s="2">
        <f>Games[[#This Row],[OppDaysOff]]-Games[[#This Row],[DaysOff]]</f>
        <v>-1</v>
      </c>
      <c r="M30" s="1">
        <f>MAX(-16, MIN(16, Games[[#This Row],[RestDiff]]*8))</f>
        <v>8</v>
      </c>
      <c r="N30" s="1">
        <f>MAX(-16, MIN(16, Games[[#This Row],[OppRestDiff]]*8))</f>
        <v>-8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1567.4656847985582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1398.4336047177619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0.64143258606985742</v>
      </c>
      <c r="R30" s="1">
        <v>88</v>
      </c>
      <c r="S30" s="1">
        <v>84</v>
      </c>
      <c r="T30" s="1">
        <v>0</v>
      </c>
      <c r="U30" s="1">
        <f>Games[[#This Row],[PointsFor]]-Games[[#This Row],[PointsAgainst]]</f>
        <v>4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0.27298066080569811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7.3949828031319678</v>
      </c>
      <c r="AB30" s="4">
        <f>Games[[#This Row],[PreGmRate]]+Games[[#This Row],[RatingChange]]</f>
        <v>1574.8606676016902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45432</v>
      </c>
      <c r="B31" s="2">
        <v>2024</v>
      </c>
      <c r="C31" s="2">
        <f>COUNTIFS(Games[Team],Games[[#This Row],[Team]],Games[Season],Games[[#This Row],[Season]],Games[Date],"&lt;=" &amp; Games[[#This Row],[Date]])</f>
        <v>4</v>
      </c>
      <c r="D31" s="2" t="s">
        <v>79</v>
      </c>
      <c r="E31" s="2" t="s">
        <v>80</v>
      </c>
      <c r="F31" s="1" t="s">
        <v>69</v>
      </c>
      <c r="G31" s="1" t="s">
        <v>74</v>
      </c>
      <c r="H31" s="1" t="s">
        <v>82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" s="2">
        <f>Games[[#This Row],[DaysOff]]-Games[[#This Row],[OppDaysOff]]</f>
        <v>-1</v>
      </c>
      <c r="L31" s="2">
        <f>Games[[#This Row],[OppDaysOff]]-Games[[#This Row],[DaysOff]]</f>
        <v>1</v>
      </c>
      <c r="M31" s="1">
        <f>MAX(-16, MIN(16, Games[[#This Row],[RestDiff]]*8))</f>
        <v>-8</v>
      </c>
      <c r="N31" s="1">
        <f>MAX(-16, MIN(16, Games[[#This Row],[OppRestDiff]]*8))</f>
        <v>8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1398.4336047177619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1567.4656847985582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0.35856741393014263</v>
      </c>
      <c r="R31" s="1">
        <v>84</v>
      </c>
      <c r="S31" s="1">
        <v>88</v>
      </c>
      <c r="T31" s="1">
        <v>0</v>
      </c>
      <c r="U31" s="1">
        <f>Games[[#This Row],[PointsFor]]-Games[[#This Row],[PointsAgainst]]</f>
        <v>-4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0.27298066080569811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" s="9">
        <f>MAX(kmin, kmax - 0.15 * MIN(Games[[#This Row],[GamesPlayed]], 82))</f>
        <v>75.400000000000006</v>
      </c>
      <c r="Z31" s="4">
        <f>Games[[#This Row],[K]]*Games[[#This Row],[POMult]]</f>
        <v>75.400000000000006</v>
      </c>
      <c r="AA31" s="4">
        <f>(Games[[#This Row],[Keff]]*Games[[#This Row],[MOVMult]])*(Games[[#This Row],[Result]]-Games[[#This Row],[ExpectedWin%]])</f>
        <v>-7.3803005076922634</v>
      </c>
      <c r="AB31" s="4">
        <f>Games[[#This Row],[PreGmRate]]+Games[[#This Row],[RatingChange]]</f>
        <v>1391.0533042100697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45432</v>
      </c>
      <c r="B32" s="2">
        <v>2024</v>
      </c>
      <c r="C32" s="2">
        <f>COUNTIFS(Games[Team],Games[[#This Row],[Team]],Games[Season],Games[[#This Row],[Season]],Games[Date],"&lt;=" &amp; Games[[#This Row],[Date]])</f>
        <v>4</v>
      </c>
      <c r="D32" s="2" t="s">
        <v>79</v>
      </c>
      <c r="E32" s="2" t="s">
        <v>80</v>
      </c>
      <c r="F32" s="1" t="s">
        <v>71</v>
      </c>
      <c r="G32" s="1" t="s">
        <v>60</v>
      </c>
      <c r="H32" s="1" t="s">
        <v>81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-1</v>
      </c>
      <c r="L32" s="2">
        <f>Games[[#This Row],[OppDaysOff]]-Games[[#This Row],[DaysOff]]</f>
        <v>1</v>
      </c>
      <c r="M32" s="1">
        <f>MAX(-16, MIN(16, Games[[#This Row],[RestDiff]]*8))</f>
        <v>-8</v>
      </c>
      <c r="N32" s="1">
        <f>MAX(-16, MIN(16, Games[[#This Row],[OppRestDiff]]*8))</f>
        <v>8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1437.863609905145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1640.6935090222225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0.14890325217434006</v>
      </c>
      <c r="R32" s="1">
        <v>63</v>
      </c>
      <c r="S32" s="1">
        <v>74</v>
      </c>
      <c r="T32" s="1">
        <v>0</v>
      </c>
      <c r="U32" s="1">
        <f>Games[[#This Row],[PointsFor]]-Games[[#This Row],[PointsAgainst]]</f>
        <v>-11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0.37624174152643164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" s="9">
        <f>MAX(kmin, kmax - 0.15 * MIN(Games[[#This Row],[GamesPlayed]], 82))</f>
        <v>75.400000000000006</v>
      </c>
      <c r="Z32" s="4">
        <f>Games[[#This Row],[K]]*Games[[#This Row],[POMult]]</f>
        <v>75.400000000000006</v>
      </c>
      <c r="AA32" s="4">
        <f>(Games[[#This Row],[Keff]]*Games[[#This Row],[MOVMult]])*(Games[[#This Row],[Result]]-Games[[#This Row],[ExpectedWin%]])</f>
        <v>-4.2241808663435432</v>
      </c>
      <c r="AB32" s="4">
        <f>Games[[#This Row],[PreGmRate]]+Games[[#This Row],[RatingChange]]</f>
        <v>1433.6394290388016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45432</v>
      </c>
      <c r="B33" s="2">
        <v>2024</v>
      </c>
      <c r="C33" s="2">
        <f>COUNTIFS(Games[Team],Games[[#This Row],[Team]],Games[Season],Games[[#This Row],[Season]],Games[Date],"&lt;=" &amp; Games[[#This Row],[Date]])</f>
        <v>4</v>
      </c>
      <c r="D33" s="2" t="s">
        <v>79</v>
      </c>
      <c r="E33" s="2" t="s">
        <v>80</v>
      </c>
      <c r="F33" s="1" t="s">
        <v>60</v>
      </c>
      <c r="G33" s="1" t="s">
        <v>71</v>
      </c>
      <c r="H33" s="1" t="s">
        <v>82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" s="2">
        <f>Games[[#This Row],[DaysOff]]-Games[[#This Row],[OppDaysOff]]</f>
        <v>1</v>
      </c>
      <c r="L33" s="2">
        <f>Games[[#This Row],[OppDaysOff]]-Games[[#This Row],[DaysOff]]</f>
        <v>-1</v>
      </c>
      <c r="M33" s="1">
        <f>MAX(-16, MIN(16, Games[[#This Row],[RestDiff]]*8))</f>
        <v>8</v>
      </c>
      <c r="N33" s="1">
        <f>MAX(-16, MIN(16, Games[[#This Row],[OppRestDiff]]*8))</f>
        <v>-8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1640.6935090222225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1437.863609905145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0.85109674782565992</v>
      </c>
      <c r="R33" s="1">
        <v>74</v>
      </c>
      <c r="S33" s="1">
        <v>63</v>
      </c>
      <c r="T33" s="1">
        <v>0</v>
      </c>
      <c r="U33" s="1">
        <f>Games[[#This Row],[PointsFor]]-Games[[#This Row],[PointsAgainst]]</f>
        <v>11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0.37624174152643164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" s="9">
        <f>MAX(kmin, kmax - 0.15 * MIN(Games[[#This Row],[GamesPlayed]], 82))</f>
        <v>75.400000000000006</v>
      </c>
      <c r="Z33" s="4">
        <f>Games[[#This Row],[K]]*Games[[#This Row],[POMult]]</f>
        <v>75.400000000000006</v>
      </c>
      <c r="AA33" s="4">
        <f>(Games[[#This Row],[Keff]]*Games[[#This Row],[MOVMult]])*(Games[[#This Row],[Result]]-Games[[#This Row],[ExpectedWin%]])</f>
        <v>4.2241808663435441</v>
      </c>
      <c r="AB33" s="4">
        <f>Games[[#This Row],[PreGmRate]]+Games[[#This Row],[RatingChange]]</f>
        <v>1644.917689888566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45433</v>
      </c>
      <c r="B34" s="2">
        <v>2024</v>
      </c>
      <c r="C34" s="2">
        <f>COUNTIFS(Games[Team],Games[[#This Row],[Team]],Games[Season],Games[[#This Row],[Season]],Games[Date],"&lt;=" &amp; Games[[#This Row],[Date]])</f>
        <v>3</v>
      </c>
      <c r="D34" s="2" t="s">
        <v>79</v>
      </c>
      <c r="E34" s="2" t="s">
        <v>80</v>
      </c>
      <c r="F34" s="1" t="s">
        <v>85</v>
      </c>
      <c r="G34" s="1" t="s">
        <v>77</v>
      </c>
      <c r="H34" s="1" t="s">
        <v>81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1519.9341661243557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1478.7929200791286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0.43863225837500519</v>
      </c>
      <c r="R34" s="1">
        <v>78</v>
      </c>
      <c r="S34" s="1">
        <v>83</v>
      </c>
      <c r="T34" s="1">
        <v>0</v>
      </c>
      <c r="U34" s="1">
        <f>Games[[#This Row],[PointsFor]]-Games[[#This Row],[PointsAgainst]]</f>
        <v>-5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0.32075895618006905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-10.629524274684275</v>
      </c>
      <c r="AB34" s="4">
        <f>Games[[#This Row],[PreGmRate]]+Games[[#This Row],[RatingChange]]</f>
        <v>1509.3046418496715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45433</v>
      </c>
      <c r="B35" s="2">
        <v>2024</v>
      </c>
      <c r="C35" s="2">
        <f>COUNTIFS(Games[Team],Games[[#This Row],[Team]],Games[Season],Games[[#This Row],[Season]],Games[Date],"&lt;=" &amp; Games[[#This Row],[Date]])</f>
        <v>3</v>
      </c>
      <c r="D35" s="2" t="s">
        <v>79</v>
      </c>
      <c r="E35" s="2" t="s">
        <v>80</v>
      </c>
      <c r="F35" s="1" t="s">
        <v>77</v>
      </c>
      <c r="G35" s="1" t="s">
        <v>85</v>
      </c>
      <c r="H35" s="1" t="s">
        <v>82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1478.7929200791286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1519.9341661243557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0.56136774162499481</v>
      </c>
      <c r="R35" s="1">
        <v>83</v>
      </c>
      <c r="S35" s="1">
        <v>78</v>
      </c>
      <c r="T35" s="1">
        <v>0</v>
      </c>
      <c r="U35" s="1">
        <f>Games[[#This Row],[PointsFor]]-Games[[#This Row],[PointsAgainst]]</f>
        <v>5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0.32075895618006905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10.629524274684275</v>
      </c>
      <c r="AB35" s="4">
        <f>Games[[#This Row],[PreGmRate]]+Games[[#This Row],[RatingChange]]</f>
        <v>1489.4224443538128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45433</v>
      </c>
      <c r="B36" s="2">
        <v>2024</v>
      </c>
      <c r="C36" s="2">
        <f>COUNTIFS(Games[Team],Games[[#This Row],[Team]],Games[Season],Games[[#This Row],[Season]],Games[Date],"&lt;=" &amp; Games[[#This Row],[Date]])</f>
        <v>4</v>
      </c>
      <c r="D36" s="2" t="s">
        <v>79</v>
      </c>
      <c r="E36" s="2" t="s">
        <v>80</v>
      </c>
      <c r="F36" s="1" t="s">
        <v>65</v>
      </c>
      <c r="G36" s="1" t="s">
        <v>63</v>
      </c>
      <c r="H36" s="1" t="s">
        <v>81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-1</v>
      </c>
      <c r="L36" s="2">
        <f>Games[[#This Row],[OppDaysOff]]-Games[[#This Row],[DaysOff]]</f>
        <v>1</v>
      </c>
      <c r="M36" s="1">
        <f>MAX(-16, MIN(16, Games[[#This Row],[RestDiff]]*8))</f>
        <v>-8</v>
      </c>
      <c r="N36" s="1">
        <f>MAX(-16, MIN(16, Games[[#This Row],[OppRestDiff]]*8))</f>
        <v>8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1448.6995549568546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1446.6964288623624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0.36259578230804634</v>
      </c>
      <c r="R36" s="1">
        <v>68</v>
      </c>
      <c r="S36" s="1">
        <v>70</v>
      </c>
      <c r="T36" s="1">
        <v>0</v>
      </c>
      <c r="U36" s="1">
        <f>Games[[#This Row],[PointsFor]]-Games[[#This Row],[PointsAgainst]]</f>
        <v>-2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0.26739496594814771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-7.3105040294854335</v>
      </c>
      <c r="AB36" s="4">
        <f>Games[[#This Row],[PreGmRate]]+Games[[#This Row],[RatingChange]]</f>
        <v>1441.3890509273692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45433</v>
      </c>
      <c r="B37" s="2">
        <v>2024</v>
      </c>
      <c r="C37" s="2">
        <f>COUNTIFS(Games[Team],Games[[#This Row],[Team]],Games[Season],Games[[#This Row],[Season]],Games[Date],"&lt;=" &amp; Games[[#This Row],[Date]])</f>
        <v>3</v>
      </c>
      <c r="D37" s="2" t="s">
        <v>79</v>
      </c>
      <c r="E37" s="2" t="s">
        <v>80</v>
      </c>
      <c r="F37" s="1" t="s">
        <v>63</v>
      </c>
      <c r="G37" s="1" t="s">
        <v>65</v>
      </c>
      <c r="H37" s="1" t="s">
        <v>82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" s="2">
        <f>Games[[#This Row],[DaysOff]]-Games[[#This Row],[OppDaysOff]]</f>
        <v>1</v>
      </c>
      <c r="L37" s="2">
        <f>Games[[#This Row],[OppDaysOff]]-Games[[#This Row],[DaysOff]]</f>
        <v>-1</v>
      </c>
      <c r="M37" s="1">
        <f>MAX(-16, MIN(16, Games[[#This Row],[RestDiff]]*8))</f>
        <v>8</v>
      </c>
      <c r="N37" s="1">
        <f>MAX(-16, MIN(16, Games[[#This Row],[OppRestDiff]]*8))</f>
        <v>-8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1446.6964288623624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1448.6995549568546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0.63740421769195355</v>
      </c>
      <c r="R37" s="1">
        <v>70</v>
      </c>
      <c r="S37" s="1">
        <v>68</v>
      </c>
      <c r="T37" s="1">
        <v>0</v>
      </c>
      <c r="U37" s="1">
        <f>Games[[#This Row],[PointsFor]]-Games[[#This Row],[PointsAgainst]]</f>
        <v>2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0.26739496594814771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7.3250474725149148</v>
      </c>
      <c r="AB37" s="4">
        <f>Games[[#This Row],[PreGmRate]]+Games[[#This Row],[RatingChange]]</f>
        <v>1454.0214763348772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45433</v>
      </c>
      <c r="B38" s="2">
        <v>2024</v>
      </c>
      <c r="C38" s="2">
        <f>COUNTIFS(Games[Team],Games[[#This Row],[Team]],Games[Season],Games[[#This Row],[Season]],Games[Date],"&lt;=" &amp; Games[[#This Row],[Date]])</f>
        <v>3</v>
      </c>
      <c r="D38" s="2" t="s">
        <v>79</v>
      </c>
      <c r="E38" s="2" t="s">
        <v>80</v>
      </c>
      <c r="F38" s="1" t="s">
        <v>40</v>
      </c>
      <c r="G38" s="1" t="s">
        <v>86</v>
      </c>
      <c r="H38" s="1" t="s">
        <v>81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1407.5229227786633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1644.8843611117159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0.13588403464241158</v>
      </c>
      <c r="R38" s="1">
        <v>98</v>
      </c>
      <c r="S38" s="1">
        <v>88</v>
      </c>
      <c r="T38" s="1">
        <v>0</v>
      </c>
      <c r="U38" s="1">
        <f>Games[[#This Row],[PointsFor]]-Games[[#This Row],[PointsAgainst]]</f>
        <v>10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0.35325536476587188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" s="9">
        <f>MAX(kmin, kmax - 0.15 * MIN(Games[[#This Row],[GamesPlayed]], 82))</f>
        <v>75.55</v>
      </c>
      <c r="Z38" s="4">
        <f>Games[[#This Row],[K]]*Games[[#This Row],[POMult]]</f>
        <v>75.55</v>
      </c>
      <c r="AA38" s="4">
        <f>(Games[[#This Row],[Keff]]*Games[[#This Row],[MOVMult]])*(Games[[#This Row],[Result]]-Games[[#This Row],[ExpectedWin%]])</f>
        <v>23.061909520978954</v>
      </c>
      <c r="AB38" s="4">
        <f>Games[[#This Row],[PreGmRate]]+Games[[#This Row],[RatingChange]]</f>
        <v>1430.5848322996424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45433</v>
      </c>
      <c r="B39" s="2">
        <v>2024</v>
      </c>
      <c r="C39" s="2">
        <f>COUNTIFS(Games[Team],Games[[#This Row],[Team]],Games[Season],Games[[#This Row],[Season]],Games[Date],"&lt;=" &amp; Games[[#This Row],[Date]])</f>
        <v>3</v>
      </c>
      <c r="D39" s="2" t="s">
        <v>79</v>
      </c>
      <c r="E39" s="2" t="s">
        <v>80</v>
      </c>
      <c r="F39" s="1" t="s">
        <v>86</v>
      </c>
      <c r="G39" s="1" t="s">
        <v>40</v>
      </c>
      <c r="H39" s="1" t="s">
        <v>82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1644.8843611117159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1407.5229227786633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0.8641159653575885</v>
      </c>
      <c r="R39" s="1">
        <v>88</v>
      </c>
      <c r="S39" s="1">
        <v>98</v>
      </c>
      <c r="T39" s="1">
        <v>0</v>
      </c>
      <c r="U39" s="1">
        <f>Games[[#This Row],[PointsFor]]-Games[[#This Row],[PointsAgainst]]</f>
        <v>-10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0.35325536476587188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-23.061909520978958</v>
      </c>
      <c r="AB39" s="4">
        <f>Games[[#This Row],[PreGmRate]]+Games[[#This Row],[RatingChange]]</f>
        <v>1621.8224515907368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45434</v>
      </c>
      <c r="B40" s="2">
        <v>2024</v>
      </c>
      <c r="C40" s="2">
        <f>COUNTIFS(Games[Team],Games[[#This Row],[Team]],Games[Season],Games[[#This Row],[Season]],Games[Date],"&lt;=" &amp; Games[[#This Row],[Date]])</f>
        <v>5</v>
      </c>
      <c r="D40" s="2" t="s">
        <v>79</v>
      </c>
      <c r="E40" s="2" t="s">
        <v>80</v>
      </c>
      <c r="F40" s="1" t="s">
        <v>69</v>
      </c>
      <c r="G40" s="1" t="s">
        <v>71</v>
      </c>
      <c r="H40" s="1" t="s">
        <v>81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1391.0533042100697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1433.6394290388016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0.32548263472670935</v>
      </c>
      <c r="R40" s="1">
        <v>83</v>
      </c>
      <c r="S40" s="1">
        <v>85</v>
      </c>
      <c r="T40" s="1">
        <v>0</v>
      </c>
      <c r="U40" s="1">
        <f>Games[[#This Row],[PointsFor]]-Games[[#This Row],[PointsAgainst]]</f>
        <v>-2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0.25866181711622149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" s="9">
        <f>MAX(kmin, kmax - 0.15 * MIN(Games[[#This Row],[GamesPlayed]], 82))</f>
        <v>75.25</v>
      </c>
      <c r="Z40" s="4">
        <f>Games[[#This Row],[K]]*Games[[#This Row],[POMult]]</f>
        <v>75.25</v>
      </c>
      <c r="AA40" s="4">
        <f>(Games[[#This Row],[Keff]]*Games[[#This Row],[MOVMult]])*(Games[[#This Row],[Result]]-Games[[#This Row],[ExpectedWin%]])</f>
        <v>-6.3352922127984979</v>
      </c>
      <c r="AB40" s="4">
        <f>Games[[#This Row],[PreGmRate]]+Games[[#This Row],[RatingChange]]</f>
        <v>1384.7180119972711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45434</v>
      </c>
      <c r="B41" s="2">
        <v>2024</v>
      </c>
      <c r="C41" s="2">
        <f>COUNTIFS(Games[Team],Games[[#This Row],[Team]],Games[Season],Games[[#This Row],[Season]],Games[Date],"&lt;=" &amp; Games[[#This Row],[Date]])</f>
        <v>5</v>
      </c>
      <c r="D41" s="2" t="s">
        <v>79</v>
      </c>
      <c r="E41" s="2" t="s">
        <v>80</v>
      </c>
      <c r="F41" s="1" t="s">
        <v>71</v>
      </c>
      <c r="G41" s="1" t="s">
        <v>69</v>
      </c>
      <c r="H41" s="1" t="s">
        <v>82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1433.6394290388016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1391.0533042100697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0.67451736527329065</v>
      </c>
      <c r="R41" s="1">
        <v>85</v>
      </c>
      <c r="S41" s="1">
        <v>83</v>
      </c>
      <c r="T41" s="1">
        <v>0</v>
      </c>
      <c r="U41" s="1">
        <f>Games[[#This Row],[PointsFor]]-Games[[#This Row],[PointsAgainst]]</f>
        <v>2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0.25866181711622149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" s="9">
        <f>MAX(kmin, kmax - 0.15 * MIN(Games[[#This Row],[GamesPlayed]], 82))</f>
        <v>75.25</v>
      </c>
      <c r="Z41" s="4">
        <f>Games[[#This Row],[K]]*Games[[#This Row],[POMult]]</f>
        <v>75.25</v>
      </c>
      <c r="AA41" s="4">
        <f>(Games[[#This Row],[Keff]]*Games[[#This Row],[MOVMult]])*(Games[[#This Row],[Result]]-Games[[#This Row],[ExpectedWin%]])</f>
        <v>6.3352922127984979</v>
      </c>
      <c r="AB41" s="4">
        <f>Games[[#This Row],[PreGmRate]]+Games[[#This Row],[RatingChange]]</f>
        <v>1439.9747212516002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45435</v>
      </c>
      <c r="B42" s="2">
        <v>2024</v>
      </c>
      <c r="C42" s="2">
        <f>COUNTIFS(Games[Team],Games[[#This Row],[Team]],Games[Season],Games[[#This Row],[Season]],Games[Date],"&lt;=" &amp; Games[[#This Row],[Date]])</f>
        <v>3</v>
      </c>
      <c r="D42" s="2" t="s">
        <v>79</v>
      </c>
      <c r="E42" s="2" t="s">
        <v>80</v>
      </c>
      <c r="F42" s="1" t="s">
        <v>67</v>
      </c>
      <c r="G42" s="1" t="s">
        <v>74</v>
      </c>
      <c r="H42" s="1" t="s">
        <v>81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5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" s="2">
        <f>Games[[#This Row],[DaysOff]]-Games[[#This Row],[OppDaysOff]]</f>
        <v>3</v>
      </c>
      <c r="L42" s="2">
        <f>Games[[#This Row],[OppDaysOff]]-Games[[#This Row],[DaysOff]]</f>
        <v>-3</v>
      </c>
      <c r="M42" s="1">
        <f>MAX(-16, MIN(16, Games[[#This Row],[RestDiff]]*8))</f>
        <v>16</v>
      </c>
      <c r="N42" s="1">
        <f>MAX(-16, MIN(16, Games[[#This Row],[OppRestDiff]]*8))</f>
        <v>-16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1499.7324546338248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1574.8606676016902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0.32479791985145284</v>
      </c>
      <c r="R42" s="1">
        <v>82</v>
      </c>
      <c r="S42" s="1">
        <v>83</v>
      </c>
      <c r="T42" s="1">
        <v>1</v>
      </c>
      <c r="U42" s="1">
        <f>Games[[#This Row],[PointsFor]]-Games[[#This Row],[PointsAgainst]]</f>
        <v>-1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0.2068137477946014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" s="9">
        <f>MAX(kmin, kmax - 0.15 * MIN(Games[[#This Row],[GamesPlayed]], 82))</f>
        <v>75.55</v>
      </c>
      <c r="Z42" s="4">
        <f>Games[[#This Row],[K]]*Games[[#This Row],[POMult]]</f>
        <v>75.55</v>
      </c>
      <c r="AA42" s="4">
        <f>(Games[[#This Row],[Keff]]*Games[[#This Row],[MOVMult]])*(Games[[#This Row],[Result]]-Games[[#This Row],[ExpectedWin%]])</f>
        <v>-5.0748956023219183</v>
      </c>
      <c r="AB42" s="4">
        <f>Games[[#This Row],[PreGmRate]]+Games[[#This Row],[RatingChange]]</f>
        <v>1494.6575590315028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45435</v>
      </c>
      <c r="B43" s="2">
        <v>2024</v>
      </c>
      <c r="C43" s="2">
        <f>COUNTIFS(Games[Team],Games[[#This Row],[Team]],Games[Season],Games[[#This Row],[Season]],Games[Date],"&lt;=" &amp; Games[[#This Row],[Date]])</f>
        <v>4</v>
      </c>
      <c r="D43" s="2" t="s">
        <v>79</v>
      </c>
      <c r="E43" s="2" t="s">
        <v>80</v>
      </c>
      <c r="F43" s="1" t="s">
        <v>74</v>
      </c>
      <c r="G43" s="1" t="s">
        <v>67</v>
      </c>
      <c r="H43" s="1" t="s">
        <v>82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3" s="2">
        <f>Games[[#This Row],[DaysOff]]-Games[[#This Row],[OppDaysOff]]</f>
        <v>-3</v>
      </c>
      <c r="L43" s="2">
        <f>Games[[#This Row],[OppDaysOff]]-Games[[#This Row],[DaysOff]]</f>
        <v>3</v>
      </c>
      <c r="M43" s="1">
        <f>MAX(-16, MIN(16, Games[[#This Row],[RestDiff]]*8))</f>
        <v>-16</v>
      </c>
      <c r="N43" s="1">
        <f>MAX(-16, MIN(16, Games[[#This Row],[OppRestDiff]]*8))</f>
        <v>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1574.8606676016902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1499.7324546338248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0.67520208014854721</v>
      </c>
      <c r="R43" s="1">
        <v>83</v>
      </c>
      <c r="S43" s="1">
        <v>82</v>
      </c>
      <c r="T43" s="1">
        <v>1</v>
      </c>
      <c r="U43" s="1">
        <f>Games[[#This Row],[PointsFor]]-Games[[#This Row],[PointsAgainst]]</f>
        <v>1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0.2068137477946014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5.0648197010598617</v>
      </c>
      <c r="AB43" s="4">
        <f>Games[[#This Row],[PreGmRate]]+Games[[#This Row],[RatingChange]]</f>
        <v>1579.9254873027501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45435</v>
      </c>
      <c r="B44" s="2">
        <v>2024</v>
      </c>
      <c r="C44" s="2">
        <f>COUNTIFS(Games[Team],Games[[#This Row],[Team]],Games[Season],Games[[#This Row],[Season]],Games[Date],"&lt;=" &amp; Games[[#This Row],[Date]])</f>
        <v>3</v>
      </c>
      <c r="D44" s="2" t="s">
        <v>79</v>
      </c>
      <c r="E44" s="2" t="s">
        <v>80</v>
      </c>
      <c r="F44" s="1" t="s">
        <v>75</v>
      </c>
      <c r="G44" s="1" t="s">
        <v>60</v>
      </c>
      <c r="H44" s="1" t="s">
        <v>81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" s="2">
        <f>Games[[#This Row],[DaysOff]]-Games[[#This Row],[OppDaysOff]]</f>
        <v>2</v>
      </c>
      <c r="L44" s="2">
        <f>Games[[#This Row],[OppDaysOff]]-Games[[#This Row],[DaysOff]]</f>
        <v>-2</v>
      </c>
      <c r="M44" s="1">
        <f>MAX(-16, MIN(16, Games[[#This Row],[RestDiff]]*8))</f>
        <v>16</v>
      </c>
      <c r="N44" s="1">
        <f>MAX(-16, MIN(16, Games[[#This Row],[OppRestDiff]]*8))</f>
        <v>-16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1509.5433859040108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1644.917689888566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0.2537685457830392</v>
      </c>
      <c r="R44" s="1">
        <v>90</v>
      </c>
      <c r="S44" s="1">
        <v>81</v>
      </c>
      <c r="T44" s="1">
        <v>0</v>
      </c>
      <c r="U44" s="1">
        <f>Games[[#This Row],[PointsFor]]-Games[[#This Row],[PointsAgainst]]</f>
        <v>9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0.36481594046183319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" s="9">
        <f>MAX(kmin, kmax - 0.15 * MIN(Games[[#This Row],[GamesPlayed]], 82))</f>
        <v>75.55</v>
      </c>
      <c r="Z44" s="4">
        <f>Games[[#This Row],[K]]*Games[[#This Row],[POMult]]</f>
        <v>75.55</v>
      </c>
      <c r="AA44" s="4">
        <f>(Games[[#This Row],[Keff]]*Games[[#This Row],[MOVMult]])*(Games[[#This Row],[Result]]-Games[[#This Row],[ExpectedWin%]])</f>
        <v>20.567515154301947</v>
      </c>
      <c r="AB44" s="4">
        <f>Games[[#This Row],[PreGmRate]]+Games[[#This Row],[RatingChange]]</f>
        <v>1530.1109010583127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45435</v>
      </c>
      <c r="B45" s="2">
        <v>2024</v>
      </c>
      <c r="C45" s="2">
        <f>COUNTIFS(Games[Team],Games[[#This Row],[Team]],Games[Season],Games[[#This Row],[Season]],Games[Date],"&lt;=" &amp; Games[[#This Row],[Date]])</f>
        <v>5</v>
      </c>
      <c r="D45" s="2" t="s">
        <v>79</v>
      </c>
      <c r="E45" s="2" t="s">
        <v>80</v>
      </c>
      <c r="F45" s="1" t="s">
        <v>60</v>
      </c>
      <c r="G45" s="1" t="s">
        <v>75</v>
      </c>
      <c r="H45" s="1" t="s">
        <v>82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5" s="2">
        <f>Games[[#This Row],[DaysOff]]-Games[[#This Row],[OppDaysOff]]</f>
        <v>-2</v>
      </c>
      <c r="L45" s="2">
        <f>Games[[#This Row],[OppDaysOff]]-Games[[#This Row],[DaysOff]]</f>
        <v>2</v>
      </c>
      <c r="M45" s="1">
        <f>MAX(-16, MIN(16, Games[[#This Row],[RestDiff]]*8))</f>
        <v>-16</v>
      </c>
      <c r="N45" s="1">
        <f>MAX(-16, MIN(16, Games[[#This Row],[OppRestDiff]]*8))</f>
        <v>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1644.917689888566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1509.5433859040108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0.74623145421696091</v>
      </c>
      <c r="R45" s="1">
        <v>81</v>
      </c>
      <c r="S45" s="1">
        <v>90</v>
      </c>
      <c r="T45" s="1">
        <v>0</v>
      </c>
      <c r="U45" s="1">
        <f>Games[[#This Row],[PointsFor]]-Games[[#This Row],[PointsAgainst]]</f>
        <v>-9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0.36481594046183319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" s="9">
        <f>MAX(kmin, kmax - 0.15 * MIN(Games[[#This Row],[GamesPlayed]], 82))</f>
        <v>75.25</v>
      </c>
      <c r="Z45" s="4">
        <f>Games[[#This Row],[K]]*Games[[#This Row],[POMult]]</f>
        <v>75.25</v>
      </c>
      <c r="AA45" s="4">
        <f>(Games[[#This Row],[Keff]]*Games[[#This Row],[MOVMult]])*(Games[[#This Row],[Result]]-Games[[#This Row],[ExpectedWin%]])</f>
        <v>-20.48584401537024</v>
      </c>
      <c r="AB45" s="4">
        <f>Games[[#This Row],[PreGmRate]]+Games[[#This Row],[RatingChange]]</f>
        <v>1624.4318458731957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45435</v>
      </c>
      <c r="B46" s="2">
        <v>2024</v>
      </c>
      <c r="C46" s="2">
        <f>COUNTIFS(Games[Team],Games[[#This Row],[Team]],Games[Season],Games[[#This Row],[Season]],Games[Date],"&lt;=" &amp; Games[[#This Row],[Date]])</f>
        <v>5</v>
      </c>
      <c r="D46" s="2" t="s">
        <v>79</v>
      </c>
      <c r="E46" s="2" t="s">
        <v>80</v>
      </c>
      <c r="F46" s="1" t="s">
        <v>65</v>
      </c>
      <c r="G46" s="1" t="s">
        <v>40</v>
      </c>
      <c r="H46" s="1" t="s">
        <v>81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" s="2">
        <f>Games[[#This Row],[DaysOff]]-Games[[#This Row],[OppDaysOff]]</f>
        <v>0</v>
      </c>
      <c r="L46" s="2">
        <f>Games[[#This Row],[OppDaysOff]]-Games[[#This Row],[DaysOff]]</f>
        <v>0</v>
      </c>
      <c r="M46" s="1">
        <f>MAX(-16, MIN(16, Games[[#This Row],[RestDiff]]*8))</f>
        <v>0</v>
      </c>
      <c r="N46" s="1">
        <f>MAX(-16, MIN(16, Games[[#This Row],[OppRestDiff]]*8))</f>
        <v>0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1441.3890509273692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1430.5848322996424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0.39619404218982912</v>
      </c>
      <c r="R46" s="1">
        <v>80</v>
      </c>
      <c r="S46" s="1">
        <v>83</v>
      </c>
      <c r="T46" s="1">
        <v>0</v>
      </c>
      <c r="U46" s="1">
        <f>Games[[#This Row],[PointsFor]]-Games[[#This Row],[PointsAgainst]]</f>
        <v>-3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0.28759416259146126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-8.5742178074950761</v>
      </c>
      <c r="AB46" s="4">
        <f>Games[[#This Row],[PreGmRate]]+Games[[#This Row],[RatingChange]]</f>
        <v>1432.814833119874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45435</v>
      </c>
      <c r="B47" s="2">
        <v>2024</v>
      </c>
      <c r="C47" s="2">
        <f>COUNTIFS(Games[Team],Games[[#This Row],[Team]],Games[Season],Games[[#This Row],[Season]],Games[Date],"&lt;=" &amp; Games[[#This Row],[Date]])</f>
        <v>4</v>
      </c>
      <c r="D47" s="2" t="s">
        <v>79</v>
      </c>
      <c r="E47" s="2" t="s">
        <v>80</v>
      </c>
      <c r="F47" s="1" t="s">
        <v>40</v>
      </c>
      <c r="G47" s="1" t="s">
        <v>65</v>
      </c>
      <c r="H47" s="1" t="s">
        <v>82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0</v>
      </c>
      <c r="L47" s="2">
        <f>Games[[#This Row],[OppDaysOff]]-Games[[#This Row],[DaysOff]]</f>
        <v>0</v>
      </c>
      <c r="M47" s="1">
        <f>MAX(-16, MIN(16, Games[[#This Row],[RestDiff]]*8))</f>
        <v>0</v>
      </c>
      <c r="N47" s="1">
        <f>MAX(-16, MIN(16, Games[[#This Row],[OppRestDiff]]*8))</f>
        <v>0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1430.5848322996424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1441.3890509273692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0.60380595781017088</v>
      </c>
      <c r="R47" s="1">
        <v>83</v>
      </c>
      <c r="S47" s="1">
        <v>80</v>
      </c>
      <c r="T47" s="1">
        <v>0</v>
      </c>
      <c r="U47" s="1">
        <f>Games[[#This Row],[PointsFor]]-Games[[#This Row],[PointsAgainst]]</f>
        <v>3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0.28759416259146126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8.5913092715631727</v>
      </c>
      <c r="AB47" s="4">
        <f>Games[[#This Row],[PreGmRate]]+Games[[#This Row],[RatingChange]]</f>
        <v>1439.1761415712056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45436</v>
      </c>
      <c r="B48" s="2">
        <v>2024</v>
      </c>
      <c r="C48" s="2">
        <f>COUNTIFS(Games[Team],Games[[#This Row],[Team]],Games[Season],Games[[#This Row],[Season]],Games[Date],"&lt;=" &amp; Games[[#This Row],[Date]])</f>
        <v>6</v>
      </c>
      <c r="D48" s="2" t="s">
        <v>79</v>
      </c>
      <c r="E48" s="2" t="s">
        <v>80</v>
      </c>
      <c r="F48" s="1" t="s">
        <v>69</v>
      </c>
      <c r="G48" s="1" t="s">
        <v>63</v>
      </c>
      <c r="H48" s="1" t="s">
        <v>81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" s="2">
        <f>Games[[#This Row],[DaysOff]]-Games[[#This Row],[OppDaysOff]]</f>
        <v>-1</v>
      </c>
      <c r="L48" s="2">
        <f>Games[[#This Row],[OppDaysOff]]-Games[[#This Row],[DaysOff]]</f>
        <v>1</v>
      </c>
      <c r="M48" s="1">
        <f>MAX(-16, MIN(16, Games[[#This Row],[RestDiff]]*8))</f>
        <v>-8</v>
      </c>
      <c r="N48" s="1">
        <f>MAX(-16, MIN(16, Games[[#This Row],[OppRestDiff]]*8))</f>
        <v>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1384.7180119972711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1454.0214763348772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0.27396674623555278</v>
      </c>
      <c r="R48" s="1">
        <v>78</v>
      </c>
      <c r="S48" s="1">
        <v>73</v>
      </c>
      <c r="T48" s="1">
        <v>0</v>
      </c>
      <c r="U48" s="1">
        <f>Games[[#This Row],[PointsFor]]-Games[[#This Row],[PointsAgainst]]</f>
        <v>5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0.31364223114387541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" s="9">
        <f>MAX(kmin, kmax - 0.15 * MIN(Games[[#This Row],[GamesPlayed]], 82))</f>
        <v>75.099999999999994</v>
      </c>
      <c r="Z48" s="4">
        <f>Games[[#This Row],[K]]*Games[[#This Row],[POMult]]</f>
        <v>75.099999999999994</v>
      </c>
      <c r="AA48" s="4">
        <f>(Games[[#This Row],[Keff]]*Games[[#This Row],[MOVMult]])*(Games[[#This Row],[Result]]-Games[[#This Row],[ExpectedWin%]])</f>
        <v>17.101373188609184</v>
      </c>
      <c r="AB48" s="4">
        <f>Games[[#This Row],[PreGmRate]]+Games[[#This Row],[RatingChange]]</f>
        <v>1401.8193851858803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45436</v>
      </c>
      <c r="B49" s="2">
        <v>2024</v>
      </c>
      <c r="C49" s="2">
        <f>COUNTIFS(Games[Team],Games[[#This Row],[Team]],Games[Season],Games[[#This Row],[Season]],Games[Date],"&lt;=" &amp; Games[[#This Row],[Date]])</f>
        <v>4</v>
      </c>
      <c r="D49" s="2" t="s">
        <v>79</v>
      </c>
      <c r="E49" s="2" t="s">
        <v>80</v>
      </c>
      <c r="F49" s="1" t="s">
        <v>63</v>
      </c>
      <c r="G49" s="1" t="s">
        <v>69</v>
      </c>
      <c r="H49" s="1" t="s">
        <v>82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1</v>
      </c>
      <c r="L49" s="2">
        <f>Games[[#This Row],[OppDaysOff]]-Games[[#This Row],[DaysOff]]</f>
        <v>-1</v>
      </c>
      <c r="M49" s="1">
        <f>MAX(-16, MIN(16, Games[[#This Row],[RestDiff]]*8))</f>
        <v>8</v>
      </c>
      <c r="N49" s="1">
        <f>MAX(-16, MIN(16, Games[[#This Row],[OppRestDiff]]*8))</f>
        <v>-8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1454.0214763348772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1384.7180119972711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0.72603325376444716</v>
      </c>
      <c r="R49" s="1">
        <v>73</v>
      </c>
      <c r="S49" s="1">
        <v>78</v>
      </c>
      <c r="T49" s="1">
        <v>0</v>
      </c>
      <c r="U49" s="1">
        <f>Games[[#This Row],[PointsFor]]-Games[[#This Row],[PointsAgainst]]</f>
        <v>-5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0.31364223114387541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-17.169687595487783</v>
      </c>
      <c r="AB49" s="4">
        <f>Games[[#This Row],[PreGmRate]]+Games[[#This Row],[RatingChange]]</f>
        <v>1436.8517887393893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45437</v>
      </c>
      <c r="B50" s="2">
        <v>2024</v>
      </c>
      <c r="C50" s="2">
        <f>COUNTIFS(Games[Team],Games[[#This Row],[Team]],Games[Season],Games[[#This Row],[Season]],Games[Date],"&lt;=" &amp; Games[[#This Row],[Date]])</f>
        <v>5</v>
      </c>
      <c r="D50" s="2" t="s">
        <v>79</v>
      </c>
      <c r="E50" s="2" t="s">
        <v>80</v>
      </c>
      <c r="F50" s="1" t="s">
        <v>74</v>
      </c>
      <c r="G50" s="1" t="s">
        <v>75</v>
      </c>
      <c r="H50" s="1" t="s">
        <v>81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1579.9254873027501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1530.1109010583127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0.4509613851830741</v>
      </c>
      <c r="R50" s="1">
        <v>86</v>
      </c>
      <c r="S50" s="1">
        <v>82</v>
      </c>
      <c r="T50" s="1">
        <v>0</v>
      </c>
      <c r="U50" s="1">
        <f>Games[[#This Row],[PointsFor]]-Games[[#This Row],[PointsAgainst]]</f>
        <v>4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0.29901977941195484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12.354048763212985</v>
      </c>
      <c r="AB50" s="4">
        <f>Games[[#This Row],[PreGmRate]]+Games[[#This Row],[RatingChange]]</f>
        <v>1592.2795360659632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45437</v>
      </c>
      <c r="B51" s="2">
        <v>2024</v>
      </c>
      <c r="C51" s="2">
        <f>COUNTIFS(Games[Team],Games[[#This Row],[Team]],Games[Season],Games[[#This Row],[Season]],Games[Date],"&lt;=" &amp; Games[[#This Row],[Date]])</f>
        <v>4</v>
      </c>
      <c r="D51" s="2" t="s">
        <v>79</v>
      </c>
      <c r="E51" s="2" t="s">
        <v>80</v>
      </c>
      <c r="F51" s="1" t="s">
        <v>75</v>
      </c>
      <c r="G51" s="1" t="s">
        <v>74</v>
      </c>
      <c r="H51" s="1" t="s">
        <v>82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1530.1109010583127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1579.9254873027501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0.54903861481692584</v>
      </c>
      <c r="R51" s="1">
        <v>82</v>
      </c>
      <c r="S51" s="1">
        <v>86</v>
      </c>
      <c r="T51" s="1">
        <v>0</v>
      </c>
      <c r="U51" s="1">
        <f>Games[[#This Row],[PointsFor]]-Games[[#This Row],[PointsAgainst]]</f>
        <v>-4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0.29901977941195484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" s="9">
        <f>MAX(kmin, kmax - 0.15 * MIN(Games[[#This Row],[GamesPlayed]], 82))</f>
        <v>75.400000000000006</v>
      </c>
      <c r="Z51" s="4">
        <f>Games[[#This Row],[K]]*Games[[#This Row],[POMult]]</f>
        <v>75.400000000000006</v>
      </c>
      <c r="AA51" s="4">
        <f>(Games[[#This Row],[Keff]]*Games[[#This Row],[MOVMult]])*(Games[[#This Row],[Result]]-Games[[#This Row],[ExpectedWin%]])</f>
        <v>-12.378674774036662</v>
      </c>
      <c r="AB51" s="4">
        <f>Games[[#This Row],[PreGmRate]]+Games[[#This Row],[RatingChange]]</f>
        <v>1517.7322262842761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45437</v>
      </c>
      <c r="B52" s="2">
        <v>2024</v>
      </c>
      <c r="C52" s="2">
        <f>COUNTIFS(Games[Team],Games[[#This Row],[Team]],Games[Season],Games[[#This Row],[Season]],Games[Date],"&lt;=" &amp; Games[[#This Row],[Date]])</f>
        <v>7</v>
      </c>
      <c r="D52" s="2" t="s">
        <v>79</v>
      </c>
      <c r="E52" s="2" t="s">
        <v>80</v>
      </c>
      <c r="F52" s="1" t="s">
        <v>69</v>
      </c>
      <c r="G52" s="1" t="s">
        <v>86</v>
      </c>
      <c r="H52" s="1" t="s">
        <v>81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2" s="2">
        <f>Games[[#This Row],[DaysOff]]-Games[[#This Row],[OppDaysOff]]</f>
        <v>-3</v>
      </c>
      <c r="L52" s="2">
        <f>Games[[#This Row],[OppDaysOff]]-Games[[#This Row],[DaysOff]]</f>
        <v>3</v>
      </c>
      <c r="M52" s="1">
        <f>MAX(-16, MIN(16, Games[[#This Row],[RestDiff]]*8))</f>
        <v>-16</v>
      </c>
      <c r="N52" s="1">
        <f>MAX(-16, MIN(16, Games[[#This Row],[OppRestDiff]]*8))</f>
        <v>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1401.8193851858803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1621.8224515907368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0.12628763137602519</v>
      </c>
      <c r="R52" s="1">
        <v>80</v>
      </c>
      <c r="S52" s="1">
        <v>99</v>
      </c>
      <c r="T52" s="1">
        <v>0</v>
      </c>
      <c r="U52" s="1">
        <f>Games[[#This Row],[PointsFor]]-Games[[#This Row],[PointsAgainst]]</f>
        <v>-19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0.47406453069995808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" s="9">
        <f>MAX(kmin, kmax - 0.15 * MIN(Games[[#This Row],[GamesPlayed]], 82))</f>
        <v>74.95</v>
      </c>
      <c r="Z52" s="4">
        <f>Games[[#This Row],[K]]*Games[[#This Row],[POMult]]</f>
        <v>74.95</v>
      </c>
      <c r="AA52" s="4">
        <f>(Games[[#This Row],[Keff]]*Games[[#This Row],[MOVMult]])*(Games[[#This Row],[Result]]-Games[[#This Row],[ExpectedWin%]])</f>
        <v>-4.4871430782762776</v>
      </c>
      <c r="AB52" s="4">
        <f>Games[[#This Row],[PreGmRate]]+Games[[#This Row],[RatingChange]]</f>
        <v>1397.3322421076041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45437</v>
      </c>
      <c r="B53" s="2">
        <v>2024</v>
      </c>
      <c r="C53" s="2">
        <f>COUNTIFS(Games[Team],Games[[#This Row],[Team]],Games[Season],Games[[#This Row],[Season]],Games[Date],"&lt;=" &amp; Games[[#This Row],[Date]])</f>
        <v>4</v>
      </c>
      <c r="D53" s="2" t="s">
        <v>79</v>
      </c>
      <c r="E53" s="2" t="s">
        <v>80</v>
      </c>
      <c r="F53" s="1" t="s">
        <v>86</v>
      </c>
      <c r="G53" s="1" t="s">
        <v>69</v>
      </c>
      <c r="H53" s="1" t="s">
        <v>82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3" s="2">
        <f>Games[[#This Row],[DaysOff]]-Games[[#This Row],[OppDaysOff]]</f>
        <v>3</v>
      </c>
      <c r="L53" s="2">
        <f>Games[[#This Row],[OppDaysOff]]-Games[[#This Row],[DaysOff]]</f>
        <v>-3</v>
      </c>
      <c r="M53" s="1">
        <f>MAX(-16, MIN(16, Games[[#This Row],[RestDiff]]*8))</f>
        <v>16</v>
      </c>
      <c r="N53" s="1">
        <f>MAX(-16, MIN(16, Games[[#This Row],[OppRestDiff]]*8))</f>
        <v>-16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1621.8224515907368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1401.8193851858803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0.87371236862397483</v>
      </c>
      <c r="R53" s="1">
        <v>99</v>
      </c>
      <c r="S53" s="1">
        <v>80</v>
      </c>
      <c r="T53" s="1">
        <v>0</v>
      </c>
      <c r="U53" s="1">
        <f>Games[[#This Row],[PointsFor]]-Games[[#This Row],[PointsAgainst]]</f>
        <v>19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0.47406453069995808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" s="9">
        <f>MAX(kmin, kmax - 0.15 * MIN(Games[[#This Row],[GamesPlayed]], 82))</f>
        <v>75.400000000000006</v>
      </c>
      <c r="Z53" s="4">
        <f>Games[[#This Row],[K]]*Games[[#This Row],[POMult]]</f>
        <v>75.400000000000006</v>
      </c>
      <c r="AA53" s="4">
        <f>(Games[[#This Row],[Keff]]*Games[[#This Row],[MOVMult]])*(Games[[#This Row],[Result]]-Games[[#This Row],[ExpectedWin%]])</f>
        <v>4.514083897291945</v>
      </c>
      <c r="AB53" s="4">
        <f>Games[[#This Row],[PreGmRate]]+Games[[#This Row],[RatingChange]]</f>
        <v>1626.3365354880289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45437</v>
      </c>
      <c r="B54" s="2">
        <v>2024</v>
      </c>
      <c r="C54" s="2">
        <f>COUNTIFS(Games[Team],Games[[#This Row],[Team]],Games[Season],Games[[#This Row],[Season]],Games[Date],"&lt;=" &amp; Games[[#This Row],[Date]])</f>
        <v>6</v>
      </c>
      <c r="D54" s="2" t="s">
        <v>79</v>
      </c>
      <c r="E54" s="2" t="s">
        <v>80</v>
      </c>
      <c r="F54" s="1" t="s">
        <v>60</v>
      </c>
      <c r="G54" s="1" t="s">
        <v>67</v>
      </c>
      <c r="H54" s="1" t="s">
        <v>81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1624.4318458731957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1494.6575590315028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0.56549597661144713</v>
      </c>
      <c r="R54" s="1">
        <v>67</v>
      </c>
      <c r="S54" s="1">
        <v>84</v>
      </c>
      <c r="T54" s="1">
        <v>0</v>
      </c>
      <c r="U54" s="1">
        <f>Games[[#This Row],[PointsFor]]-Games[[#This Row],[PointsAgainst]]</f>
        <v>-17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0.48048040123854513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" s="9">
        <f>MAX(kmin, kmax - 0.15 * MIN(Games[[#This Row],[GamesPlayed]], 82))</f>
        <v>75.099999999999994</v>
      </c>
      <c r="Z54" s="4">
        <f>Games[[#This Row],[K]]*Games[[#This Row],[POMult]]</f>
        <v>75.099999999999994</v>
      </c>
      <c r="AA54" s="4">
        <f>(Games[[#This Row],[Keff]]*Games[[#This Row],[MOVMult]])*(Games[[#This Row],[Result]]-Games[[#This Row],[ExpectedWin%]])</f>
        <v>-20.405401003952932</v>
      </c>
      <c r="AB54" s="4">
        <f>Games[[#This Row],[PreGmRate]]+Games[[#This Row],[RatingChange]]</f>
        <v>1604.0264448692428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45437</v>
      </c>
      <c r="B55" s="2">
        <v>2024</v>
      </c>
      <c r="C55" s="2">
        <f>COUNTIFS(Games[Team],Games[[#This Row],[Team]],Games[Season],Games[[#This Row],[Season]],Games[Date],"&lt;=" &amp; Games[[#This Row],[Date]])</f>
        <v>4</v>
      </c>
      <c r="D55" s="2" t="s">
        <v>79</v>
      </c>
      <c r="E55" s="2" t="s">
        <v>80</v>
      </c>
      <c r="F55" s="1" t="s">
        <v>67</v>
      </c>
      <c r="G55" s="1" t="s">
        <v>60</v>
      </c>
      <c r="H55" s="1" t="s">
        <v>82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1494.6575590315028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1624.4318458731957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0.43450402338855287</v>
      </c>
      <c r="R55" s="1">
        <v>84</v>
      </c>
      <c r="S55" s="1">
        <v>67</v>
      </c>
      <c r="T55" s="1">
        <v>0</v>
      </c>
      <c r="U55" s="1">
        <f>Games[[#This Row],[PointsFor]]-Games[[#This Row],[PointsAgainst]]</f>
        <v>17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0.48048040123854513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" s="9">
        <f>MAX(kmin, kmax - 0.15 * MIN(Games[[#This Row],[GamesPlayed]], 82))</f>
        <v>75.400000000000006</v>
      </c>
      <c r="Z55" s="4">
        <f>Games[[#This Row],[K]]*Games[[#This Row],[POMult]]</f>
        <v>75.400000000000006</v>
      </c>
      <c r="AA55" s="4">
        <f>(Games[[#This Row],[Keff]]*Games[[#This Row],[MOVMult]])*(Games[[#This Row],[Result]]-Games[[#This Row],[ExpectedWin%]])</f>
        <v>20.48691392407525</v>
      </c>
      <c r="AB55" s="4">
        <f>Games[[#This Row],[PreGmRate]]+Games[[#This Row],[RatingChange]]</f>
        <v>1515.1444729555781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45437</v>
      </c>
      <c r="B56" s="2">
        <v>2024</v>
      </c>
      <c r="C56" s="2">
        <f>COUNTIFS(Games[Team],Games[[#This Row],[Team]],Games[Season],Games[[#This Row],[Season]],Games[Date],"&lt;=" &amp; Games[[#This Row],[Date]])</f>
        <v>4</v>
      </c>
      <c r="D56" s="2" t="s">
        <v>79</v>
      </c>
      <c r="E56" s="2" t="s">
        <v>80</v>
      </c>
      <c r="F56" s="1" t="s">
        <v>85</v>
      </c>
      <c r="G56" s="1" t="s">
        <v>40</v>
      </c>
      <c r="H56" s="1" t="s">
        <v>81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3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" s="2">
        <f>Games[[#This Row],[DaysOff]]-Games[[#This Row],[OppDaysOff]]</f>
        <v>2</v>
      </c>
      <c r="L56" s="2">
        <f>Games[[#This Row],[OppDaysOff]]-Games[[#This Row],[DaysOff]]</f>
        <v>-2</v>
      </c>
      <c r="M56" s="1">
        <f>MAX(-16, MIN(16, Games[[#This Row],[RestDiff]]*8))</f>
        <v>16</v>
      </c>
      <c r="N56" s="1">
        <f>MAX(-16, MIN(16, Games[[#This Row],[OppRestDiff]]*8))</f>
        <v>-16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1509.3046418496715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1439.1761415712056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0.52606535864554693</v>
      </c>
      <c r="R56" s="1">
        <v>107</v>
      </c>
      <c r="S56" s="1">
        <v>92</v>
      </c>
      <c r="T56" s="1">
        <v>0</v>
      </c>
      <c r="U56" s="1">
        <f>Games[[#This Row],[PointsFor]]-Games[[#This Row],[PointsAgainst]]</f>
        <v>15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0.47508392538410205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16.976968226179583</v>
      </c>
      <c r="AB56" s="4">
        <f>Games[[#This Row],[PreGmRate]]+Games[[#This Row],[RatingChange]]</f>
        <v>1526.2816100758512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45437</v>
      </c>
      <c r="B57" s="2">
        <v>2024</v>
      </c>
      <c r="C57" s="2">
        <f>COUNTIFS(Games[Team],Games[[#This Row],[Team]],Games[Season],Games[[#This Row],[Season]],Games[Date],"&lt;=" &amp; Games[[#This Row],[Date]])</f>
        <v>5</v>
      </c>
      <c r="D57" s="2" t="s">
        <v>79</v>
      </c>
      <c r="E57" s="2" t="s">
        <v>80</v>
      </c>
      <c r="F57" s="1" t="s">
        <v>40</v>
      </c>
      <c r="G57" s="1" t="s">
        <v>85</v>
      </c>
      <c r="H57" s="1" t="s">
        <v>82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7" s="2">
        <f>Games[[#This Row],[DaysOff]]-Games[[#This Row],[OppDaysOff]]</f>
        <v>-2</v>
      </c>
      <c r="L57" s="2">
        <f>Games[[#This Row],[OppDaysOff]]-Games[[#This Row],[DaysOff]]</f>
        <v>2</v>
      </c>
      <c r="M57" s="1">
        <f>MAX(-16, MIN(16, Games[[#This Row],[RestDiff]]*8))</f>
        <v>-16</v>
      </c>
      <c r="N57" s="1">
        <f>MAX(-16, MIN(16, Games[[#This Row],[OppRestDiff]]*8))</f>
        <v>16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1439.1761415712056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1509.3046418496715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0.47393464135445312</v>
      </c>
      <c r="R57" s="1">
        <v>92</v>
      </c>
      <c r="S57" s="1">
        <v>107</v>
      </c>
      <c r="T57" s="1">
        <v>0</v>
      </c>
      <c r="U57" s="1">
        <f>Games[[#This Row],[PointsFor]]-Games[[#This Row],[PointsAgainst]]</f>
        <v>-15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0.47508392538410205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-16.943194416711059</v>
      </c>
      <c r="AB57" s="4">
        <f>Games[[#This Row],[PreGmRate]]+Games[[#This Row],[RatingChange]]</f>
        <v>1422.2329471544945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45437</v>
      </c>
      <c r="B58" s="2">
        <v>2024</v>
      </c>
      <c r="C58" s="2">
        <f>COUNTIFS(Games[Team],Games[[#This Row],[Team]],Games[Season],Games[[#This Row],[Season]],Games[Date],"&lt;=" &amp; Games[[#This Row],[Date]])</f>
        <v>6</v>
      </c>
      <c r="D58" s="2" t="s">
        <v>79</v>
      </c>
      <c r="E58" s="2" t="s">
        <v>80</v>
      </c>
      <c r="F58" s="1" t="s">
        <v>65</v>
      </c>
      <c r="G58" s="1" t="s">
        <v>71</v>
      </c>
      <c r="H58" s="1" t="s">
        <v>81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" s="2">
        <f>Games[[#This Row],[DaysOff]]-Games[[#This Row],[OppDaysOff]]</f>
        <v>-1</v>
      </c>
      <c r="L58" s="2">
        <f>Games[[#This Row],[OppDaysOff]]-Games[[#This Row],[DaysOff]]</f>
        <v>1</v>
      </c>
      <c r="M58" s="1">
        <f>MAX(-16, MIN(16, Games[[#This Row],[RestDiff]]*8))</f>
        <v>-8</v>
      </c>
      <c r="N58" s="1">
        <f>MAX(-16, MIN(16, Games[[#This Row],[OppRestDiff]]*8))</f>
        <v>8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1432.814833119874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1439.9747212516002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0.35049549873770081</v>
      </c>
      <c r="R58" s="1">
        <v>69</v>
      </c>
      <c r="S58" s="1">
        <v>101</v>
      </c>
      <c r="T58" s="1">
        <v>0</v>
      </c>
      <c r="U58" s="1">
        <f>Games[[#This Row],[PointsFor]]-Games[[#This Row],[PointsAgainst]]</f>
        <v>-32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0.72302986824589643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8" s="9">
        <f>MAX(kmin, kmax - 0.15 * MIN(Games[[#This Row],[GamesPlayed]], 82))</f>
        <v>75.099999999999994</v>
      </c>
      <c r="Z58" s="4">
        <f>Games[[#This Row],[K]]*Games[[#This Row],[POMult]]</f>
        <v>75.099999999999994</v>
      </c>
      <c r="AA58" s="4">
        <f>(Games[[#This Row],[Keff]]*Games[[#This Row],[MOVMult]])*(Games[[#This Row],[Result]]-Games[[#This Row],[ExpectedWin%]])</f>
        <v>-19.031745441909777</v>
      </c>
      <c r="AB58" s="4">
        <f>Games[[#This Row],[PreGmRate]]+Games[[#This Row],[RatingChange]]</f>
        <v>1413.7830876779642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45437</v>
      </c>
      <c r="B59" s="2">
        <v>2024</v>
      </c>
      <c r="C59" s="2">
        <f>COUNTIFS(Games[Team],Games[[#This Row],[Team]],Games[Season],Games[[#This Row],[Season]],Games[Date],"&lt;=" &amp; Games[[#This Row],[Date]])</f>
        <v>6</v>
      </c>
      <c r="D59" s="2" t="s">
        <v>79</v>
      </c>
      <c r="E59" s="2" t="s">
        <v>80</v>
      </c>
      <c r="F59" s="1" t="s">
        <v>71</v>
      </c>
      <c r="G59" s="1" t="s">
        <v>65</v>
      </c>
      <c r="H59" s="1" t="s">
        <v>82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" s="2">
        <f>Games[[#This Row],[DaysOff]]-Games[[#This Row],[OppDaysOff]]</f>
        <v>1</v>
      </c>
      <c r="L59" s="2">
        <f>Games[[#This Row],[OppDaysOff]]-Games[[#This Row],[DaysOff]]</f>
        <v>-1</v>
      </c>
      <c r="M59" s="1">
        <f>MAX(-16, MIN(16, Games[[#This Row],[RestDiff]]*8))</f>
        <v>8</v>
      </c>
      <c r="N59" s="1">
        <f>MAX(-16, MIN(16, Games[[#This Row],[OppRestDiff]]*8))</f>
        <v>-8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1439.9747212516002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1432.814833119874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0.64950450126229919</v>
      </c>
      <c r="R59" s="1">
        <v>101</v>
      </c>
      <c r="S59" s="1">
        <v>69</v>
      </c>
      <c r="T59" s="1">
        <v>0</v>
      </c>
      <c r="U59" s="1">
        <f>Games[[#This Row],[PointsFor]]-Games[[#This Row],[PointsAgainst]]</f>
        <v>32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0.72302986824589643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9" s="9">
        <f>MAX(kmin, kmax - 0.15 * MIN(Games[[#This Row],[GamesPlayed]], 82))</f>
        <v>75.099999999999994</v>
      </c>
      <c r="Z59" s="4">
        <f>Games[[#This Row],[K]]*Games[[#This Row],[POMult]]</f>
        <v>75.099999999999994</v>
      </c>
      <c r="AA59" s="4">
        <f>(Games[[#This Row],[Keff]]*Games[[#This Row],[MOVMult]])*(Games[[#This Row],[Result]]-Games[[#This Row],[ExpectedWin%]])</f>
        <v>19.031745441909777</v>
      </c>
      <c r="AB59" s="4">
        <f>Games[[#This Row],[PreGmRate]]+Games[[#This Row],[RatingChange]]</f>
        <v>1459.00646669351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45438</v>
      </c>
      <c r="B60" s="2">
        <v>2024</v>
      </c>
      <c r="C60" s="2">
        <f>COUNTIFS(Games[Team],Games[[#This Row],[Team]],Games[Season],Games[[#This Row],[Season]],Games[Date],"&lt;=" &amp; Games[[#This Row],[Date]])</f>
        <v>5</v>
      </c>
      <c r="D60" s="2" t="s">
        <v>79</v>
      </c>
      <c r="E60" s="2" t="s">
        <v>80</v>
      </c>
      <c r="F60" s="1" t="s">
        <v>67</v>
      </c>
      <c r="G60" s="1" t="s">
        <v>77</v>
      </c>
      <c r="H60" s="1" t="s">
        <v>81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0" s="2">
        <f>Games[[#This Row],[DaysOff]]-Games[[#This Row],[OppDaysOff]]</f>
        <v>-4</v>
      </c>
      <c r="L60" s="2">
        <f>Games[[#This Row],[OppDaysOff]]-Games[[#This Row],[DaysOff]]</f>
        <v>4</v>
      </c>
      <c r="M60" s="1">
        <f>MAX(-16, MIN(16, Games[[#This Row],[RestDiff]]*8))</f>
        <v>-16</v>
      </c>
      <c r="N60" s="1">
        <f>MAX(-16, MIN(16, Games[[#This Row],[OppRestDiff]]*8))</f>
        <v>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1515.1444729555781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1489.4224443538128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0.37292664766286326</v>
      </c>
      <c r="R60" s="1">
        <v>92</v>
      </c>
      <c r="S60" s="1">
        <v>79</v>
      </c>
      <c r="T60" s="1">
        <v>0</v>
      </c>
      <c r="U60" s="1">
        <f>Games[[#This Row],[PointsFor]]-Games[[#This Row],[PointsAgainst]]</f>
        <v>13</v>
      </c>
      <c r="V60" s="1">
        <f>IF(Games[[#This Row],[MOV]]&gt;0,1,IF(Games[[#This Row],[MOV]]=0,0.5,0))</f>
        <v>1</v>
      </c>
      <c r="W60" s="4">
        <f>((ABS(Games[[#This Row],[MOV]])+5)^0.6)/(12+0.01*(ABS(Games[[#This Row],[PreGmRate]]-Games[[#This Row],[OppPreGmRate]])))*IF(Games[[#This Row],[OT]]=1,0.9,1)</f>
        <v>0.46213782045111668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0" s="9">
        <f>MAX(kmin, kmax - 0.15 * MIN(Games[[#This Row],[GamesPlayed]], 82))</f>
        <v>75.25</v>
      </c>
      <c r="Z60" s="4">
        <f>Games[[#This Row],[K]]*Games[[#This Row],[POMult]]</f>
        <v>75.25</v>
      </c>
      <c r="AA60" s="4">
        <f>(Games[[#This Row],[Keff]]*Games[[#This Row],[MOVMult]])*(Games[[#This Row],[Result]]-Games[[#This Row],[ExpectedWin%]])</f>
        <v>21.80702200148248</v>
      </c>
      <c r="AB60" s="4">
        <f>Games[[#This Row],[PreGmRate]]+Games[[#This Row],[RatingChange]]</f>
        <v>1536.9514949570605</v>
      </c>
      <c r="AC60" s="2">
        <f>IF(Games[[#This Row],[Type]]="R",IF(Games[[#This Row],[Result]]&gt;0.5,1,0),0)</f>
        <v>1</v>
      </c>
      <c r="AD60" s="2">
        <f>IF(Games[[#This Row],[Type]]="R",IF(Games[[#This Row],[Result]]&lt;0.5,1,0),0)</f>
        <v>0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45438</v>
      </c>
      <c r="B61" s="2">
        <v>2024</v>
      </c>
      <c r="C61" s="2">
        <f>COUNTIFS(Games[Team],Games[[#This Row],[Team]],Games[Season],Games[[#This Row],[Season]],Games[Date],"&lt;=" &amp; Games[[#This Row],[Date]])</f>
        <v>4</v>
      </c>
      <c r="D61" s="2" t="s">
        <v>79</v>
      </c>
      <c r="E61" s="2" t="s">
        <v>80</v>
      </c>
      <c r="F61" s="1" t="s">
        <v>77</v>
      </c>
      <c r="G61" s="1" t="s">
        <v>67</v>
      </c>
      <c r="H61" s="1" t="s">
        <v>82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4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1" s="2">
        <f>Games[[#This Row],[DaysOff]]-Games[[#This Row],[OppDaysOff]]</f>
        <v>4</v>
      </c>
      <c r="L61" s="2">
        <f>Games[[#This Row],[OppDaysOff]]-Games[[#This Row],[DaysOff]]</f>
        <v>-4</v>
      </c>
      <c r="M61" s="1">
        <f>MAX(-16, MIN(16, Games[[#This Row],[RestDiff]]*8))</f>
        <v>16</v>
      </c>
      <c r="N61" s="1">
        <f>MAX(-16, MIN(16, Games[[#This Row],[OppRestDiff]]*8))</f>
        <v>-16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1489.4224443538128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1515.1444729555781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0.62707335233713668</v>
      </c>
      <c r="R61" s="1">
        <v>79</v>
      </c>
      <c r="S61" s="1">
        <v>92</v>
      </c>
      <c r="T61" s="1">
        <v>0</v>
      </c>
      <c r="U61" s="1">
        <f>Games[[#This Row],[PointsFor]]-Games[[#This Row],[PointsAgainst]]</f>
        <v>-13</v>
      </c>
      <c r="V61" s="1">
        <f>IF(Games[[#This Row],[MOV]]&gt;0,1,IF(Games[[#This Row],[MOV]]=0,0.5,0))</f>
        <v>0</v>
      </c>
      <c r="W61" s="4">
        <f>((ABS(Games[[#This Row],[MOV]])+5)^0.6)/(12+0.01*(ABS(Games[[#This Row],[PreGmRate]]-Games[[#This Row],[OppPreGmRate]])))*IF(Games[[#This Row],[OT]]=1,0.9,1)</f>
        <v>0.46213782045111668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-21.85049114832929</v>
      </c>
      <c r="AB61" s="4">
        <f>Games[[#This Row],[PreGmRate]]+Games[[#This Row],[RatingChange]]</f>
        <v>1467.5719532054836</v>
      </c>
      <c r="AC61" s="2">
        <f>IF(Games[[#This Row],[Type]]="R",IF(Games[[#This Row],[Result]]&gt;0.5,1,0),0)</f>
        <v>0</v>
      </c>
      <c r="AD61" s="2">
        <f>IF(Games[[#This Row],[Type]]="R",IF(Games[[#This Row],[Result]]&lt;0.5,1,0),0)</f>
        <v>1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45438</v>
      </c>
      <c r="B62" s="2">
        <v>2024</v>
      </c>
      <c r="C62" s="2">
        <f>COUNTIFS(Games[Team],Games[[#This Row],[Team]],Games[Season],Games[[#This Row],[Season]],Games[Date],"&lt;=" &amp; Games[[#This Row],[Date]])</f>
        <v>5</v>
      </c>
      <c r="D62" s="2" t="s">
        <v>79</v>
      </c>
      <c r="E62" s="2" t="s">
        <v>80</v>
      </c>
      <c r="F62" s="1" t="s">
        <v>85</v>
      </c>
      <c r="G62" s="1" t="s">
        <v>63</v>
      </c>
      <c r="H62" s="1" t="s">
        <v>81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-1</v>
      </c>
      <c r="L62" s="2">
        <f>Games[[#This Row],[OppDaysOff]]-Games[[#This Row],[DaysOff]]</f>
        <v>1</v>
      </c>
      <c r="M62" s="1">
        <f>MAX(-16, MIN(16, Games[[#This Row],[RestDiff]]*8))</f>
        <v>-8</v>
      </c>
      <c r="N62" s="1">
        <f>MAX(-16, MIN(16, Games[[#This Row],[OppRestDiff]]*8))</f>
        <v>8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1526.2816100758512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1436.8517887393893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0.48479298161577866</v>
      </c>
      <c r="R62" s="1">
        <v>84</v>
      </c>
      <c r="S62" s="1">
        <v>83</v>
      </c>
      <c r="T62" s="1">
        <v>0</v>
      </c>
      <c r="U62" s="1">
        <f>Games[[#This Row],[PointsFor]]-Games[[#This Row],[PointsAgainst]]</f>
        <v>1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0.22724432172248721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2" s="9">
        <f>MAX(kmin, kmax - 0.15 * MIN(Games[[#This Row],[GamesPlayed]], 82))</f>
        <v>75.25</v>
      </c>
      <c r="Z62" s="4">
        <f>Games[[#This Row],[K]]*Games[[#This Row],[POMult]]</f>
        <v>75.25</v>
      </c>
      <c r="AA62" s="4">
        <f>(Games[[#This Row],[Keff]]*Games[[#This Row],[MOVMult]])*(Games[[#This Row],[Result]]-Games[[#This Row],[ExpectedWin%]])</f>
        <v>8.8101096753138997</v>
      </c>
      <c r="AB62" s="4">
        <f>Games[[#This Row],[PreGmRate]]+Games[[#This Row],[RatingChange]]</f>
        <v>1535.0917197511651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45438</v>
      </c>
      <c r="B63" s="2">
        <v>2024</v>
      </c>
      <c r="C63" s="2">
        <f>COUNTIFS(Games[Team],Games[[#This Row],[Team]],Games[Season],Games[[#This Row],[Season]],Games[Date],"&lt;=" &amp; Games[[#This Row],[Date]])</f>
        <v>5</v>
      </c>
      <c r="D63" s="2" t="s">
        <v>79</v>
      </c>
      <c r="E63" s="2" t="s">
        <v>80</v>
      </c>
      <c r="F63" s="1" t="s">
        <v>63</v>
      </c>
      <c r="G63" s="1" t="s">
        <v>85</v>
      </c>
      <c r="H63" s="1" t="s">
        <v>82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3" s="2">
        <f>Games[[#This Row],[DaysOff]]-Games[[#This Row],[OppDaysOff]]</f>
        <v>1</v>
      </c>
      <c r="L63" s="2">
        <f>Games[[#This Row],[OppDaysOff]]-Games[[#This Row],[DaysOff]]</f>
        <v>-1</v>
      </c>
      <c r="M63" s="1">
        <f>MAX(-16, MIN(16, Games[[#This Row],[RestDiff]]*8))</f>
        <v>8</v>
      </c>
      <c r="N63" s="1">
        <f>MAX(-16, MIN(16, Games[[#This Row],[OppRestDiff]]*8))</f>
        <v>-8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1436.8517887393893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1526.2816100758512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0.51520701838422123</v>
      </c>
      <c r="R63" s="1">
        <v>83</v>
      </c>
      <c r="S63" s="1">
        <v>84</v>
      </c>
      <c r="T63" s="1">
        <v>0</v>
      </c>
      <c r="U63" s="1">
        <f>Games[[#This Row],[PointsFor]]-Games[[#This Row],[PointsAgainst]]</f>
        <v>-1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0.22724432172248721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3" s="9">
        <f>MAX(kmin, kmax - 0.15 * MIN(Games[[#This Row],[GamesPlayed]], 82))</f>
        <v>75.25</v>
      </c>
      <c r="Z63" s="4">
        <f>Games[[#This Row],[K]]*Games[[#This Row],[POMult]]</f>
        <v>75.25</v>
      </c>
      <c r="AA63" s="4">
        <f>(Games[[#This Row],[Keff]]*Games[[#This Row],[MOVMult]])*(Games[[#This Row],[Result]]-Games[[#This Row],[ExpectedWin%]])</f>
        <v>-8.8101096753138979</v>
      </c>
      <c r="AB63" s="4">
        <f>Games[[#This Row],[PreGmRate]]+Games[[#This Row],[RatingChange]]</f>
        <v>1428.0416790640754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45440</v>
      </c>
      <c r="B64" s="2">
        <v>2024</v>
      </c>
      <c r="C64" s="2">
        <f>COUNTIFS(Games[Team],Games[[#This Row],[Team]],Games[Season],Games[[#This Row],[Season]],Games[Date],"&lt;=" &amp; Games[[#This Row],[Date]])</f>
        <v>7</v>
      </c>
      <c r="D64" s="2" t="s">
        <v>79</v>
      </c>
      <c r="E64" s="2" t="s">
        <v>80</v>
      </c>
      <c r="F64" s="1" t="s">
        <v>71</v>
      </c>
      <c r="G64" s="1" t="s">
        <v>75</v>
      </c>
      <c r="H64" s="1" t="s">
        <v>81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0</v>
      </c>
      <c r="L64" s="2">
        <f>Games[[#This Row],[OppDaysOff]]-Games[[#This Row],[DaysOff]]</f>
        <v>0</v>
      </c>
      <c r="M64" s="1">
        <f>MAX(-16, MIN(16, Games[[#This Row],[RestDiff]]*8))</f>
        <v>0</v>
      </c>
      <c r="N64" s="1">
        <f>MAX(-16, MIN(16, Games[[#This Row],[OppRestDiff]]*8))</f>
        <v>0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1459.00646669351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1517.7322262842761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0.3054250811192597</v>
      </c>
      <c r="R64" s="1">
        <v>77</v>
      </c>
      <c r="S64" s="1">
        <v>68</v>
      </c>
      <c r="T64" s="1">
        <v>0</v>
      </c>
      <c r="U64" s="1">
        <f>Games[[#This Row],[PointsFor]]-Games[[#This Row],[PointsAgainst]]</f>
        <v>9</v>
      </c>
      <c r="V64" s="1">
        <f>IF(Games[[#This Row],[MOV]]&gt;0,1,IF(Games[[#This Row],[MOV]]=0,0.5,0))</f>
        <v>1</v>
      </c>
      <c r="W64" s="4">
        <f>((ABS(Games[[#This Row],[MOV]])+5)^0.6)/(12+0.01*(ABS(Games[[#This Row],[PreGmRate]]-Games[[#This Row],[OppPreGmRate]])))*IF(Games[[#This Row],[OT]]=1,0.9,1)</f>
        <v>0.387030954808677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4" s="9">
        <f>MAX(kmin, kmax - 0.15 * MIN(Games[[#This Row],[GamesPlayed]], 82))</f>
        <v>74.95</v>
      </c>
      <c r="Z64" s="4">
        <f>Games[[#This Row],[K]]*Games[[#This Row],[POMult]]</f>
        <v>74.95</v>
      </c>
      <c r="AA64" s="4">
        <f>(Games[[#This Row],[Keff]]*Games[[#This Row],[MOVMult]])*(Games[[#This Row],[Result]]-Games[[#This Row],[ExpectedWin%]])</f>
        <v>20.148208453340892</v>
      </c>
      <c r="AB64" s="4">
        <f>Games[[#This Row],[PreGmRate]]+Games[[#This Row],[RatingChange]]</f>
        <v>1479.1546751468509</v>
      </c>
      <c r="AC64" s="2">
        <f>IF(Games[[#This Row],[Type]]="R",IF(Games[[#This Row],[Result]]&gt;0.5,1,0),0)</f>
        <v>1</v>
      </c>
      <c r="AD64" s="2">
        <f>IF(Games[[#This Row],[Type]]="R",IF(Games[[#This Row],[Result]]&lt;0.5,1,0),0)</f>
        <v>0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45440</v>
      </c>
      <c r="B65" s="2">
        <v>2024</v>
      </c>
      <c r="C65" s="2">
        <f>COUNTIFS(Games[Team],Games[[#This Row],[Team]],Games[Season],Games[[#This Row],[Season]],Games[Date],"&lt;=" &amp; Games[[#This Row],[Date]])</f>
        <v>5</v>
      </c>
      <c r="D65" s="2" t="s">
        <v>79</v>
      </c>
      <c r="E65" s="2" t="s">
        <v>80</v>
      </c>
      <c r="F65" s="1" t="s">
        <v>75</v>
      </c>
      <c r="G65" s="1" t="s">
        <v>71</v>
      </c>
      <c r="H65" s="1" t="s">
        <v>82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5" s="2">
        <f>Games[[#This Row],[DaysOff]]-Games[[#This Row],[OppDaysOff]]</f>
        <v>0</v>
      </c>
      <c r="L65" s="2">
        <f>Games[[#This Row],[OppDaysOff]]-Games[[#This Row],[DaysOff]]</f>
        <v>0</v>
      </c>
      <c r="M65" s="1">
        <f>MAX(-16, MIN(16, Games[[#This Row],[RestDiff]]*8))</f>
        <v>0</v>
      </c>
      <c r="N65" s="1">
        <f>MAX(-16, MIN(16, Games[[#This Row],[OppRestDiff]]*8))</f>
        <v>0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1517.7322262842761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1459.00646669351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0.6945749188807403</v>
      </c>
      <c r="R65" s="1">
        <v>68</v>
      </c>
      <c r="S65" s="1">
        <v>77</v>
      </c>
      <c r="T65" s="1">
        <v>0</v>
      </c>
      <c r="U65" s="1">
        <f>Games[[#This Row],[PointsFor]]-Games[[#This Row],[PointsAgainst]]</f>
        <v>-9</v>
      </c>
      <c r="V65" s="1">
        <f>IF(Games[[#This Row],[MOV]]&gt;0,1,IF(Games[[#This Row],[MOV]]=0,0.5,0))</f>
        <v>0</v>
      </c>
      <c r="W65" s="4">
        <f>((ABS(Games[[#This Row],[MOV]])+5)^0.6)/(12+0.01*(ABS(Games[[#This Row],[PreGmRate]]-Games[[#This Row],[OppPreGmRate]])))*IF(Games[[#This Row],[OT]]=1,0.9,1)</f>
        <v>0.387030954808677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5" s="9">
        <f>MAX(kmin, kmax - 0.15 * MIN(Games[[#This Row],[GamesPlayed]], 82))</f>
        <v>75.25</v>
      </c>
      <c r="Z65" s="4">
        <f>Games[[#This Row],[K]]*Games[[#This Row],[POMult]]</f>
        <v>75.25</v>
      </c>
      <c r="AA65" s="4">
        <f>(Games[[#This Row],[Keff]]*Games[[#This Row],[MOVMult]])*(Games[[#This Row],[Result]]-Games[[#This Row],[ExpectedWin%]])</f>
        <v>-20.228855051553065</v>
      </c>
      <c r="AB65" s="4">
        <f>Games[[#This Row],[PreGmRate]]+Games[[#This Row],[RatingChange]]</f>
        <v>1497.5033712327231</v>
      </c>
      <c r="AC65" s="2">
        <f>IF(Games[[#This Row],[Type]]="R",IF(Games[[#This Row],[Result]]&gt;0.5,1,0),0)</f>
        <v>0</v>
      </c>
      <c r="AD65" s="2">
        <f>IF(Games[[#This Row],[Type]]="R",IF(Games[[#This Row],[Result]]&lt;0.5,1,0),0)</f>
        <v>1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45440</v>
      </c>
      <c r="B66" s="2">
        <v>2024</v>
      </c>
      <c r="C66" s="2">
        <f>COUNTIFS(Games[Team],Games[[#This Row],[Team]],Games[Season],Games[[#This Row],[Season]],Games[Date],"&lt;=" &amp; Games[[#This Row],[Date]])</f>
        <v>6</v>
      </c>
      <c r="D66" s="2" t="s">
        <v>79</v>
      </c>
      <c r="E66" s="2" t="s">
        <v>80</v>
      </c>
      <c r="F66" s="1" t="s">
        <v>40</v>
      </c>
      <c r="G66" s="1" t="s">
        <v>74</v>
      </c>
      <c r="H66" s="1" t="s">
        <v>81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1422.2329471544945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1592.2795360659632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0.18809904126294461</v>
      </c>
      <c r="R66" s="1">
        <v>47</v>
      </c>
      <c r="S66" s="1">
        <v>70</v>
      </c>
      <c r="T66" s="1">
        <v>0</v>
      </c>
      <c r="U66" s="1">
        <f>Games[[#This Row],[PointsFor]]-Games[[#This Row],[PointsAgainst]]</f>
        <v>-23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0.53896365937526325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-7.6135289250645499</v>
      </c>
      <c r="AB66" s="4">
        <f>Games[[#This Row],[PreGmRate]]+Games[[#This Row],[RatingChange]]</f>
        <v>1414.6194182294298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45440</v>
      </c>
      <c r="B67" s="2">
        <v>2024</v>
      </c>
      <c r="C67" s="2">
        <f>COUNTIFS(Games[Team],Games[[#This Row],[Team]],Games[Season],Games[[#This Row],[Season]],Games[Date],"&lt;=" &amp; Games[[#This Row],[Date]])</f>
        <v>6</v>
      </c>
      <c r="D67" s="2" t="s">
        <v>79</v>
      </c>
      <c r="E67" s="2" t="s">
        <v>80</v>
      </c>
      <c r="F67" s="1" t="s">
        <v>74</v>
      </c>
      <c r="G67" s="1" t="s">
        <v>40</v>
      </c>
      <c r="H67" s="1" t="s">
        <v>82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1592.2795360659632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1422.2329471544945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0.81190095873705548</v>
      </c>
      <c r="R67" s="1">
        <v>70</v>
      </c>
      <c r="S67" s="1">
        <v>47</v>
      </c>
      <c r="T67" s="1">
        <v>0</v>
      </c>
      <c r="U67" s="1">
        <f>Games[[#This Row],[PointsFor]]-Games[[#This Row],[PointsAgainst]]</f>
        <v>23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0.53896365937526325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7" s="9">
        <f>MAX(kmin, kmax - 0.15 * MIN(Games[[#This Row],[GamesPlayed]], 82))</f>
        <v>75.099999999999994</v>
      </c>
      <c r="Z67" s="4">
        <f>Games[[#This Row],[K]]*Games[[#This Row],[POMult]]</f>
        <v>75.099999999999994</v>
      </c>
      <c r="AA67" s="4">
        <f>(Games[[#This Row],[Keff]]*Games[[#This Row],[MOVMult]])*(Games[[#This Row],[Result]]-Games[[#This Row],[ExpectedWin%]])</f>
        <v>7.6135289250645473</v>
      </c>
      <c r="AB67" s="4">
        <f>Games[[#This Row],[PreGmRate]]+Games[[#This Row],[RatingChange]]</f>
        <v>1599.8930649910278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45440</v>
      </c>
      <c r="B68" s="2">
        <v>2024</v>
      </c>
      <c r="C68" s="2">
        <f>COUNTIFS(Games[Team],Games[[#This Row],[Team]],Games[Season],Games[[#This Row],[Season]],Games[Date],"&lt;=" &amp; Games[[#This Row],[Date]])</f>
        <v>6</v>
      </c>
      <c r="D68" s="2" t="s">
        <v>79</v>
      </c>
      <c r="E68" s="2" t="s">
        <v>80</v>
      </c>
      <c r="F68" s="1" t="s">
        <v>63</v>
      </c>
      <c r="G68" s="1" t="s">
        <v>69</v>
      </c>
      <c r="H68" s="1" t="s">
        <v>81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8" s="2">
        <f>Games[[#This Row],[DaysOff]]-Games[[#This Row],[OppDaysOff]]</f>
        <v>-1</v>
      </c>
      <c r="L68" s="2">
        <f>Games[[#This Row],[OppDaysOff]]-Games[[#This Row],[DaysOff]]</f>
        <v>1</v>
      </c>
      <c r="M68" s="1">
        <f>MAX(-16, MIN(16, Games[[#This Row],[RestDiff]]*8))</f>
        <v>-8</v>
      </c>
      <c r="N68" s="1">
        <f>MAX(-16, MIN(16, Games[[#This Row],[OppRestDiff]]*8))</f>
        <v>8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1428.0416790640754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1397.3322421076041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0.40158421470914313</v>
      </c>
      <c r="R68" s="1">
        <v>88</v>
      </c>
      <c r="S68" s="1">
        <v>82</v>
      </c>
      <c r="T68" s="1">
        <v>0</v>
      </c>
      <c r="U68" s="1">
        <f>Games[[#This Row],[PointsFor]]-Games[[#This Row],[PointsAgainst]]</f>
        <v>6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0.3425153823079844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15.392992522000094</v>
      </c>
      <c r="AB68" s="4">
        <f>Games[[#This Row],[PreGmRate]]+Games[[#This Row],[RatingChange]]</f>
        <v>1443.4346715860754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45440</v>
      </c>
      <c r="B69" s="2">
        <v>2024</v>
      </c>
      <c r="C69" s="2">
        <f>COUNTIFS(Games[Team],Games[[#This Row],[Team]],Games[Season],Games[[#This Row],[Season]],Games[Date],"&lt;=" &amp; Games[[#This Row],[Date]])</f>
        <v>8</v>
      </c>
      <c r="D69" s="2" t="s">
        <v>79</v>
      </c>
      <c r="E69" s="2" t="s">
        <v>80</v>
      </c>
      <c r="F69" s="1" t="s">
        <v>69</v>
      </c>
      <c r="G69" s="1" t="s">
        <v>63</v>
      </c>
      <c r="H69" s="1" t="s">
        <v>82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1</v>
      </c>
      <c r="L69" s="2">
        <f>Games[[#This Row],[OppDaysOff]]-Games[[#This Row],[DaysOff]]</f>
        <v>-1</v>
      </c>
      <c r="M69" s="1">
        <f>MAX(-16, MIN(16, Games[[#This Row],[RestDiff]]*8))</f>
        <v>8</v>
      </c>
      <c r="N69" s="1">
        <f>MAX(-16, MIN(16, Games[[#This Row],[OppRestDiff]]*8))</f>
        <v>-8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1397.3322421076041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1428.0416790640754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0.59841578529085693</v>
      </c>
      <c r="R69" s="1">
        <v>82</v>
      </c>
      <c r="S69" s="1">
        <v>88</v>
      </c>
      <c r="T69" s="1">
        <v>0</v>
      </c>
      <c r="U69" s="1">
        <f>Games[[#This Row],[PointsFor]]-Games[[#This Row],[PointsAgainst]]</f>
        <v>-6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0.3425153823079844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9" s="9">
        <f>MAX(kmin, kmax - 0.15 * MIN(Games[[#This Row],[GamesPlayed]], 82))</f>
        <v>74.8</v>
      </c>
      <c r="Z69" s="4">
        <f>Games[[#This Row],[K]]*Games[[#This Row],[POMult]]</f>
        <v>74.8</v>
      </c>
      <c r="AA69" s="4">
        <f>(Games[[#This Row],[Keff]]*Games[[#This Row],[MOVMult]])*(Games[[#This Row],[Result]]-Games[[#This Row],[ExpectedWin%]])</f>
        <v>-15.331502538556686</v>
      </c>
      <c r="AB69" s="4">
        <f>Games[[#This Row],[PreGmRate]]+Games[[#This Row],[RatingChange]]</f>
        <v>1382.0007395690475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45441</v>
      </c>
      <c r="B70" s="2">
        <v>2024</v>
      </c>
      <c r="C70" s="2">
        <f>COUNTIFS(Games[Team],Games[[#This Row],[Team]],Games[Season],Games[[#This Row],[Season]],Games[Date],"&lt;=" &amp; Games[[#This Row],[Date]])</f>
        <v>5</v>
      </c>
      <c r="D70" s="2" t="s">
        <v>79</v>
      </c>
      <c r="E70" s="2" t="s">
        <v>80</v>
      </c>
      <c r="F70" s="1" t="s">
        <v>86</v>
      </c>
      <c r="G70" s="1" t="s">
        <v>67</v>
      </c>
      <c r="H70" s="1" t="s">
        <v>81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3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0" s="2">
        <f>Games[[#This Row],[DaysOff]]-Games[[#This Row],[OppDaysOff]]</f>
        <v>1</v>
      </c>
      <c r="L70" s="2">
        <f>Games[[#This Row],[OppDaysOff]]-Games[[#This Row],[DaysOff]]</f>
        <v>-1</v>
      </c>
      <c r="M70" s="1">
        <f>MAX(-16, MIN(16, Games[[#This Row],[RestDiff]]*8))</f>
        <v>8</v>
      </c>
      <c r="N70" s="1">
        <f>MAX(-16, MIN(16, Games[[#This Row],[OppRestDiff]]*8))</f>
        <v>-8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1626.3365354880289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1536.9514949570605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0.53073674124963055</v>
      </c>
      <c r="R70" s="1">
        <v>80</v>
      </c>
      <c r="S70" s="1">
        <v>66</v>
      </c>
      <c r="T70" s="1">
        <v>0</v>
      </c>
      <c r="U70" s="1">
        <f>Games[[#This Row],[PointsFor]]-Games[[#This Row],[PointsAgainst]]</f>
        <v>14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0.45380526828507745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0" s="9">
        <f>MAX(kmin, kmax - 0.15 * MIN(Games[[#This Row],[GamesPlayed]], 82))</f>
        <v>75.25</v>
      </c>
      <c r="Z70" s="4">
        <f>Games[[#This Row],[K]]*Games[[#This Row],[POMult]]</f>
        <v>75.25</v>
      </c>
      <c r="AA70" s="4">
        <f>(Games[[#This Row],[Keff]]*Games[[#This Row],[MOVMult]])*(Games[[#This Row],[Result]]-Games[[#This Row],[ExpectedWin%]])</f>
        <v>16.024798962273969</v>
      </c>
      <c r="AB70" s="4">
        <f>Games[[#This Row],[PreGmRate]]+Games[[#This Row],[RatingChange]]</f>
        <v>1642.3613344503028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45441</v>
      </c>
      <c r="B71" s="2">
        <v>2024</v>
      </c>
      <c r="C71" s="2">
        <f>COUNTIFS(Games[Team],Games[[#This Row],[Team]],Games[Season],Games[[#This Row],[Season]],Games[Date],"&lt;=" &amp; Games[[#This Row],[Date]])</f>
        <v>6</v>
      </c>
      <c r="D71" s="2" t="s">
        <v>79</v>
      </c>
      <c r="E71" s="2" t="s">
        <v>80</v>
      </c>
      <c r="F71" s="1" t="s">
        <v>67</v>
      </c>
      <c r="G71" s="1" t="s">
        <v>86</v>
      </c>
      <c r="H71" s="1" t="s">
        <v>82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1" s="2">
        <f>Games[[#This Row],[DaysOff]]-Games[[#This Row],[OppDaysOff]]</f>
        <v>-1</v>
      </c>
      <c r="L71" s="2">
        <f>Games[[#This Row],[OppDaysOff]]-Games[[#This Row],[DaysOff]]</f>
        <v>1</v>
      </c>
      <c r="M71" s="1">
        <f>MAX(-16, MIN(16, Games[[#This Row],[RestDiff]]*8))</f>
        <v>-8</v>
      </c>
      <c r="N71" s="1">
        <f>MAX(-16, MIN(16, Games[[#This Row],[OppRestDiff]]*8))</f>
        <v>8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1536.9514949570605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1626.3365354880289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0.46926325875036951</v>
      </c>
      <c r="R71" s="1">
        <v>66</v>
      </c>
      <c r="S71" s="1">
        <v>80</v>
      </c>
      <c r="T71" s="1">
        <v>0</v>
      </c>
      <c r="U71" s="1">
        <f>Games[[#This Row],[PointsFor]]-Games[[#This Row],[PointsAgainst]]</f>
        <v>-14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0.45380526828507745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1" s="9">
        <f>MAX(kmin, kmax - 0.15 * MIN(Games[[#This Row],[GamesPlayed]], 82))</f>
        <v>75.099999999999994</v>
      </c>
      <c r="Z71" s="4">
        <f>Games[[#This Row],[K]]*Games[[#This Row],[POMult]]</f>
        <v>75.099999999999994</v>
      </c>
      <c r="AA71" s="4">
        <f>(Games[[#This Row],[Keff]]*Games[[#This Row],[MOVMult]])*(Games[[#This Row],[Result]]-Games[[#This Row],[ExpectedWin%]])</f>
        <v>-15.992855841418939</v>
      </c>
      <c r="AB71" s="4">
        <f>Games[[#This Row],[PreGmRate]]+Games[[#This Row],[RatingChange]]</f>
        <v>1520.9586391156415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45441</v>
      </c>
      <c r="B72" s="2">
        <v>2024</v>
      </c>
      <c r="C72" s="2">
        <f>COUNTIFS(Games[Team],Games[[#This Row],[Team]],Games[Season],Games[[#This Row],[Season]],Games[Date],"&lt;=" &amp; Games[[#This Row],[Date]])</f>
        <v>7</v>
      </c>
      <c r="D72" s="2" t="s">
        <v>79</v>
      </c>
      <c r="E72" s="2" t="s">
        <v>80</v>
      </c>
      <c r="F72" s="1" t="s">
        <v>40</v>
      </c>
      <c r="G72" s="1" t="s">
        <v>60</v>
      </c>
      <c r="H72" s="1" t="s">
        <v>81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2" s="2">
        <f>Games[[#This Row],[DaysOff]]-Games[[#This Row],[OppDaysOff]]</f>
        <v>-3</v>
      </c>
      <c r="L72" s="2">
        <f>Games[[#This Row],[OppDaysOff]]-Games[[#This Row],[DaysOff]]</f>
        <v>3</v>
      </c>
      <c r="M72" s="1">
        <f>MAX(-16, MIN(16, Games[[#This Row],[RestDiff]]*8))</f>
        <v>-16</v>
      </c>
      <c r="N72" s="1">
        <f>MAX(-16, MIN(16, Games[[#This Row],[OppRestDiff]]*8))</f>
        <v>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1414.6194182294298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1604.0264448692428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0.1470329550119473</v>
      </c>
      <c r="R72" s="1">
        <v>78</v>
      </c>
      <c r="S72" s="1">
        <v>81</v>
      </c>
      <c r="T72" s="1">
        <v>0</v>
      </c>
      <c r="U72" s="1">
        <f>Games[[#This Row],[PointsFor]]-Games[[#This Row],[PointsAgainst]]</f>
        <v>-3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0.25062506424816111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-2.7619182775451474</v>
      </c>
      <c r="AB72" s="4">
        <f>Games[[#This Row],[PreGmRate]]+Games[[#This Row],[RatingChange]]</f>
        <v>1411.8574999518846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45441</v>
      </c>
      <c r="B73" s="2">
        <v>2024</v>
      </c>
      <c r="C73" s="2">
        <f>COUNTIFS(Games[Team],Games[[#This Row],[Team]],Games[Season],Games[[#This Row],[Season]],Games[Date],"&lt;=" &amp; Games[[#This Row],[Date]])</f>
        <v>7</v>
      </c>
      <c r="D73" s="2" t="s">
        <v>79</v>
      </c>
      <c r="E73" s="2" t="s">
        <v>80</v>
      </c>
      <c r="F73" s="1" t="s">
        <v>60</v>
      </c>
      <c r="G73" s="1" t="s">
        <v>40</v>
      </c>
      <c r="H73" s="1" t="s">
        <v>82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3" s="2">
        <f>Games[[#This Row],[DaysOff]]-Games[[#This Row],[OppDaysOff]]</f>
        <v>3</v>
      </c>
      <c r="L73" s="2">
        <f>Games[[#This Row],[OppDaysOff]]-Games[[#This Row],[DaysOff]]</f>
        <v>-3</v>
      </c>
      <c r="M73" s="1">
        <f>MAX(-16, MIN(16, Games[[#This Row],[RestDiff]]*8))</f>
        <v>16</v>
      </c>
      <c r="N73" s="1">
        <f>MAX(-16, MIN(16, Games[[#This Row],[OppRestDiff]]*8))</f>
        <v>-16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1604.0264448692428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1414.6194182294298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0.85296704498805276</v>
      </c>
      <c r="R73" s="1">
        <v>81</v>
      </c>
      <c r="S73" s="1">
        <v>78</v>
      </c>
      <c r="T73" s="1">
        <v>0</v>
      </c>
      <c r="U73" s="1">
        <f>Games[[#This Row],[PointsFor]]-Games[[#This Row],[PointsAgainst]]</f>
        <v>3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0.25062506424816111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3" s="9">
        <f>MAX(kmin, kmax - 0.15 * MIN(Games[[#This Row],[GamesPlayed]], 82))</f>
        <v>74.95</v>
      </c>
      <c r="Z73" s="4">
        <f>Games[[#This Row],[K]]*Games[[#This Row],[POMult]]</f>
        <v>74.95</v>
      </c>
      <c r="AA73" s="4">
        <f>(Games[[#This Row],[Keff]]*Games[[#This Row],[MOVMult]])*(Games[[#This Row],[Result]]-Games[[#This Row],[ExpectedWin%]])</f>
        <v>2.7619182775451461</v>
      </c>
      <c r="AB73" s="4">
        <f>Games[[#This Row],[PreGmRate]]+Games[[#This Row],[RatingChange]]</f>
        <v>1606.788363146788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45441</v>
      </c>
      <c r="B74" s="2">
        <v>2024</v>
      </c>
      <c r="C74" s="2">
        <f>COUNTIFS(Games[Team],Games[[#This Row],[Team]],Games[Season],Games[[#This Row],[Season]],Games[Date],"&lt;=" &amp; Games[[#This Row],[Date]])</f>
        <v>5</v>
      </c>
      <c r="D74" s="2" t="s">
        <v>79</v>
      </c>
      <c r="E74" s="2" t="s">
        <v>80</v>
      </c>
      <c r="F74" s="1" t="s">
        <v>77</v>
      </c>
      <c r="G74" s="1" t="s">
        <v>65</v>
      </c>
      <c r="H74" s="1" t="s">
        <v>81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4" s="2">
        <f>Games[[#This Row],[DaysOff]]-Games[[#This Row],[OppDaysOff]]</f>
        <v>-1</v>
      </c>
      <c r="L74" s="2">
        <f>Games[[#This Row],[OppDaysOff]]-Games[[#This Row],[DaysOff]]</f>
        <v>1</v>
      </c>
      <c r="M74" s="1">
        <f>MAX(-16, MIN(16, Games[[#This Row],[RestDiff]]*8))</f>
        <v>-8</v>
      </c>
      <c r="N74" s="1">
        <f>MAX(-16, MIN(16, Games[[#This Row],[OppRestDiff]]*8))</f>
        <v>8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1467.5719532054836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1413.7830876779642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0.4338862385421397</v>
      </c>
      <c r="R74" s="1">
        <v>73</v>
      </c>
      <c r="S74" s="1">
        <v>67</v>
      </c>
      <c r="T74" s="1">
        <v>0</v>
      </c>
      <c r="U74" s="1">
        <f>Games[[#This Row],[PointsFor]]-Games[[#This Row],[PointsAgainst]]</f>
        <v>6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0.3362104457131484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4" s="9">
        <f>MAX(kmin, kmax - 0.15 * MIN(Games[[#This Row],[GamesPlayed]], 82))</f>
        <v>75.25</v>
      </c>
      <c r="Z74" s="4">
        <f>Games[[#This Row],[K]]*Games[[#This Row],[POMult]]</f>
        <v>75.25</v>
      </c>
      <c r="AA74" s="4">
        <f>(Games[[#This Row],[Keff]]*Games[[#This Row],[MOVMult]])*(Games[[#This Row],[Result]]-Games[[#This Row],[ExpectedWin%]])</f>
        <v>14.322585344823088</v>
      </c>
      <c r="AB74" s="4">
        <f>Games[[#This Row],[PreGmRate]]+Games[[#This Row],[RatingChange]]</f>
        <v>1481.8945385503066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45441</v>
      </c>
      <c r="B75" s="2">
        <v>2024</v>
      </c>
      <c r="C75" s="2">
        <f>COUNTIFS(Games[Team],Games[[#This Row],[Team]],Games[Season],Games[[#This Row],[Season]],Games[Date],"&lt;=" &amp; Games[[#This Row],[Date]])</f>
        <v>7</v>
      </c>
      <c r="D75" s="2" t="s">
        <v>79</v>
      </c>
      <c r="E75" s="2" t="s">
        <v>80</v>
      </c>
      <c r="F75" s="1" t="s">
        <v>65</v>
      </c>
      <c r="G75" s="1" t="s">
        <v>77</v>
      </c>
      <c r="H75" s="1" t="s">
        <v>82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5" s="2">
        <f>Games[[#This Row],[DaysOff]]-Games[[#This Row],[OppDaysOff]]</f>
        <v>1</v>
      </c>
      <c r="L75" s="2">
        <f>Games[[#This Row],[OppDaysOff]]-Games[[#This Row],[DaysOff]]</f>
        <v>-1</v>
      </c>
      <c r="M75" s="1">
        <f>MAX(-16, MIN(16, Games[[#This Row],[RestDiff]]*8))</f>
        <v>8</v>
      </c>
      <c r="N75" s="1">
        <f>MAX(-16, MIN(16, Games[[#This Row],[OppRestDiff]]*8))</f>
        <v>-8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1413.7830876779642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1467.5719532054836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0.56611376145786041</v>
      </c>
      <c r="R75" s="1">
        <v>67</v>
      </c>
      <c r="S75" s="1">
        <v>73</v>
      </c>
      <c r="T75" s="1">
        <v>0</v>
      </c>
      <c r="U75" s="1">
        <f>Games[[#This Row],[PointsFor]]-Games[[#This Row],[PointsAgainst]]</f>
        <v>-6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0.3362104457131484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5" s="9">
        <f>MAX(kmin, kmax - 0.15 * MIN(Games[[#This Row],[GamesPlayed]], 82))</f>
        <v>74.95</v>
      </c>
      <c r="Z75" s="4">
        <f>Games[[#This Row],[K]]*Games[[#This Row],[POMult]]</f>
        <v>74.95</v>
      </c>
      <c r="AA75" s="4">
        <f>(Games[[#This Row],[Keff]]*Games[[#This Row],[MOVMult]])*(Games[[#This Row],[Result]]-Games[[#This Row],[ExpectedWin%]])</f>
        <v>-14.265485336803863</v>
      </c>
      <c r="AB75" s="4">
        <f>Games[[#This Row],[PreGmRate]]+Games[[#This Row],[RatingChange]]</f>
        <v>1399.5176023411605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45442</v>
      </c>
      <c r="B76" s="2">
        <v>2024</v>
      </c>
      <c r="C76" s="2">
        <f>COUNTIFS(Games[Team],Games[[#This Row],[Team]],Games[Season],Games[[#This Row],[Season]],Games[Date],"&lt;=" &amp; Games[[#This Row],[Date]])</f>
        <v>7</v>
      </c>
      <c r="D76" s="2" t="s">
        <v>79</v>
      </c>
      <c r="E76" s="2" t="s">
        <v>80</v>
      </c>
      <c r="F76" s="1" t="s">
        <v>63</v>
      </c>
      <c r="G76" s="1" t="s">
        <v>75</v>
      </c>
      <c r="H76" s="1" t="s">
        <v>81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1443.4346715860754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1497.5033712327231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0.31114166356867379</v>
      </c>
      <c r="R76" s="1">
        <v>73</v>
      </c>
      <c r="S76" s="1">
        <v>83</v>
      </c>
      <c r="T76" s="1">
        <v>0</v>
      </c>
      <c r="U76" s="1">
        <f>Games[[#This Row],[PointsFor]]-Games[[#This Row],[PointsAgainst]]</f>
        <v>-10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0.40488662171522849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-9.4419834229363797</v>
      </c>
      <c r="AB76" s="4">
        <f>Games[[#This Row],[PreGmRate]]+Games[[#This Row],[RatingChange]]</f>
        <v>1433.9926881631391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45442</v>
      </c>
      <c r="B77" s="2">
        <v>2024</v>
      </c>
      <c r="C77" s="2">
        <f>COUNTIFS(Games[Team],Games[[#This Row],[Team]],Games[Season],Games[[#This Row],[Season]],Games[Date],"&lt;=" &amp; Games[[#This Row],[Date]])</f>
        <v>6</v>
      </c>
      <c r="D77" s="2" t="s">
        <v>79</v>
      </c>
      <c r="E77" s="2" t="s">
        <v>80</v>
      </c>
      <c r="F77" s="1" t="s">
        <v>75</v>
      </c>
      <c r="G77" s="1" t="s">
        <v>63</v>
      </c>
      <c r="H77" s="1" t="s">
        <v>82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1497.5033712327231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1443.4346715860754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0.6888583364313261</v>
      </c>
      <c r="R77" s="1">
        <v>83</v>
      </c>
      <c r="S77" s="1">
        <v>73</v>
      </c>
      <c r="T77" s="1">
        <v>0</v>
      </c>
      <c r="U77" s="1">
        <f>Games[[#This Row],[PointsFor]]-Games[[#This Row],[PointsAgainst]]</f>
        <v>10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0.40488662171522849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7" s="9">
        <f>MAX(kmin, kmax - 0.15 * MIN(Games[[#This Row],[GamesPlayed]], 82))</f>
        <v>75.099999999999994</v>
      </c>
      <c r="Z77" s="4">
        <f>Games[[#This Row],[K]]*Games[[#This Row],[POMult]]</f>
        <v>75.099999999999994</v>
      </c>
      <c r="AA77" s="4">
        <f>(Games[[#This Row],[Keff]]*Games[[#This Row],[MOVMult]])*(Games[[#This Row],[Result]]-Games[[#This Row],[ExpectedWin%]])</f>
        <v>9.4608799874919587</v>
      </c>
      <c r="AB77" s="4">
        <f>Games[[#This Row],[PreGmRate]]+Games[[#This Row],[RatingChange]]</f>
        <v>1506.9642512202151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45442</v>
      </c>
      <c r="B78" s="2">
        <v>2024</v>
      </c>
      <c r="C78" s="2">
        <f>COUNTIFS(Games[Team],Games[[#This Row],[Team]],Games[Season],Games[[#This Row],[Season]],Games[Date],"&lt;=" &amp; Games[[#This Row],[Date]])</f>
        <v>8</v>
      </c>
      <c r="D78" s="2" t="s">
        <v>79</v>
      </c>
      <c r="E78" s="2" t="s">
        <v>80</v>
      </c>
      <c r="F78" s="1" t="s">
        <v>71</v>
      </c>
      <c r="G78" s="1" t="s">
        <v>69</v>
      </c>
      <c r="H78" s="1" t="s">
        <v>81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1479.1546751468509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1382.0007395690475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0.51892099549215476</v>
      </c>
      <c r="R78" s="1">
        <v>103</v>
      </c>
      <c r="S78" s="1">
        <v>88</v>
      </c>
      <c r="T78" s="1">
        <v>0</v>
      </c>
      <c r="U78" s="1">
        <f>Games[[#This Row],[PointsFor]]-Games[[#This Row],[PointsAgainst]]</f>
        <v>15</v>
      </c>
      <c r="V78" s="1">
        <f>IF(Games[[#This Row],[MOV]]&gt;0,1,IF(Games[[#This Row],[MOV]]=0,0.5,0))</f>
        <v>1</v>
      </c>
      <c r="W78" s="4">
        <f>((ABS(Games[[#This Row],[MOV]])+5)^0.6)/(12+0.01*(ABS(Games[[#This Row],[PreGmRate]]-Games[[#This Row],[OppPreGmRate]])))*IF(Games[[#This Row],[OT]]=1,0.9,1)</f>
        <v>0.46518583269435188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8" s="9">
        <f>MAX(kmin, kmax - 0.15 * MIN(Games[[#This Row],[GamesPlayed]], 82))</f>
        <v>74.8</v>
      </c>
      <c r="Z78" s="4">
        <f>Games[[#This Row],[K]]*Games[[#This Row],[POMult]]</f>
        <v>74.8</v>
      </c>
      <c r="AA78" s="4">
        <f>(Games[[#This Row],[Keff]]*Games[[#This Row],[MOVMult]])*(Games[[#This Row],[Result]]-Games[[#This Row],[ExpectedWin%]])</f>
        <v>16.739577070320639</v>
      </c>
      <c r="AB78" s="4">
        <f>Games[[#This Row],[PreGmRate]]+Games[[#This Row],[RatingChange]]</f>
        <v>1495.8942522171715</v>
      </c>
      <c r="AC78" s="2">
        <f>IF(Games[[#This Row],[Type]]="R",IF(Games[[#This Row],[Result]]&gt;0.5,1,0),0)</f>
        <v>1</v>
      </c>
      <c r="AD78" s="2">
        <f>IF(Games[[#This Row],[Type]]="R",IF(Games[[#This Row],[Result]]&lt;0.5,1,0),0)</f>
        <v>0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45442</v>
      </c>
      <c r="B79" s="2">
        <v>2024</v>
      </c>
      <c r="C79" s="2">
        <f>COUNTIFS(Games[Team],Games[[#This Row],[Team]],Games[Season],Games[[#This Row],[Season]],Games[Date],"&lt;=" &amp; Games[[#This Row],[Date]])</f>
        <v>9</v>
      </c>
      <c r="D79" s="2" t="s">
        <v>79</v>
      </c>
      <c r="E79" s="2" t="s">
        <v>80</v>
      </c>
      <c r="F79" s="1" t="s">
        <v>69</v>
      </c>
      <c r="G79" s="1" t="s">
        <v>71</v>
      </c>
      <c r="H79" s="1" t="s">
        <v>82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1382.0007395690475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1479.1546751468509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0.4810790045078453</v>
      </c>
      <c r="R79" s="1">
        <v>88</v>
      </c>
      <c r="S79" s="1">
        <v>103</v>
      </c>
      <c r="T79" s="1">
        <v>0</v>
      </c>
      <c r="U79" s="1">
        <f>Games[[#This Row],[PointsFor]]-Games[[#This Row],[PointsAgainst]]</f>
        <v>-15</v>
      </c>
      <c r="V79" s="1">
        <f>IF(Games[[#This Row],[MOV]]&gt;0,1,IF(Games[[#This Row],[MOV]]=0,0.5,0))</f>
        <v>0</v>
      </c>
      <c r="W79" s="4">
        <f>((ABS(Games[[#This Row],[MOV]])+5)^0.6)/(12+0.01*(ABS(Games[[#This Row],[PreGmRate]]-Games[[#This Row],[OppPreGmRate]])))*IF(Games[[#This Row],[OT]]=1,0.9,1)</f>
        <v>0.46518583269435188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9" s="9">
        <f>MAX(kmin, kmax - 0.15 * MIN(Games[[#This Row],[GamesPlayed]], 82))</f>
        <v>74.650000000000006</v>
      </c>
      <c r="Z79" s="4">
        <f>Games[[#This Row],[K]]*Games[[#This Row],[POMult]]</f>
        <v>74.650000000000006</v>
      </c>
      <c r="AA79" s="4">
        <f>(Games[[#This Row],[Keff]]*Games[[#This Row],[MOVMult]])*(Games[[#This Row],[Result]]-Games[[#This Row],[ExpectedWin%]])</f>
        <v>-16.706008399725079</v>
      </c>
      <c r="AB79" s="4">
        <f>Games[[#This Row],[PreGmRate]]+Games[[#This Row],[RatingChange]]</f>
        <v>1365.2947311693224</v>
      </c>
      <c r="AC79" s="2">
        <f>IF(Games[[#This Row],[Type]]="R",IF(Games[[#This Row],[Result]]&gt;0.5,1,0),0)</f>
        <v>0</v>
      </c>
      <c r="AD79" s="2">
        <f>IF(Games[[#This Row],[Type]]="R",IF(Games[[#This Row],[Result]]&lt;0.5,1,0),0)</f>
        <v>1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45443</v>
      </c>
      <c r="B80" s="2">
        <v>2024</v>
      </c>
      <c r="C80" s="2">
        <f>COUNTIFS(Games[Team],Games[[#This Row],[Team]],Games[Season],Games[[#This Row],[Season]],Games[Date],"&lt;=" &amp; Games[[#This Row],[Date]])</f>
        <v>6</v>
      </c>
      <c r="D80" s="2" t="s">
        <v>79</v>
      </c>
      <c r="E80" s="2" t="s">
        <v>80</v>
      </c>
      <c r="F80" s="1" t="s">
        <v>86</v>
      </c>
      <c r="G80" s="1" t="s">
        <v>77</v>
      </c>
      <c r="H80" s="1" t="s">
        <v>81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1642.3613344503028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1481.8945385503066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0.6083015059238509</v>
      </c>
      <c r="R80" s="1">
        <v>74</v>
      </c>
      <c r="S80" s="1">
        <v>78</v>
      </c>
      <c r="T80" s="1">
        <v>0</v>
      </c>
      <c r="U80" s="1">
        <f>Games[[#This Row],[PointsFor]]-Games[[#This Row],[PointsAgainst]]</f>
        <v>-4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0.27469930395282222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0" s="9">
        <f>MAX(kmin, kmax - 0.15 * MIN(Games[[#This Row],[GamesPlayed]], 82))</f>
        <v>75.099999999999994</v>
      </c>
      <c r="Z80" s="4">
        <f>Games[[#This Row],[K]]*Games[[#This Row],[POMult]]</f>
        <v>75.099999999999994</v>
      </c>
      <c r="AA80" s="4">
        <f>(Games[[#This Row],[Keff]]*Games[[#This Row],[MOVMult]])*(Games[[#This Row],[Result]]-Games[[#This Row],[ExpectedWin%]])</f>
        <v>-12.549210020332227</v>
      </c>
      <c r="AB80" s="4">
        <f>Games[[#This Row],[PreGmRate]]+Games[[#This Row],[RatingChange]]</f>
        <v>1629.8121244299705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45443</v>
      </c>
      <c r="B81" s="2">
        <v>2024</v>
      </c>
      <c r="C81" s="2">
        <f>COUNTIFS(Games[Team],Games[[#This Row],[Team]],Games[Season],Games[[#This Row],[Season]],Games[Date],"&lt;=" &amp; Games[[#This Row],[Date]])</f>
        <v>6</v>
      </c>
      <c r="D81" s="2" t="s">
        <v>79</v>
      </c>
      <c r="E81" s="2" t="s">
        <v>80</v>
      </c>
      <c r="F81" s="1" t="s">
        <v>77</v>
      </c>
      <c r="G81" s="1" t="s">
        <v>86</v>
      </c>
      <c r="H81" s="1" t="s">
        <v>82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1481.8945385503066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1642.3613344503028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0.3916984940761491</v>
      </c>
      <c r="R81" s="1">
        <v>78</v>
      </c>
      <c r="S81" s="1">
        <v>74</v>
      </c>
      <c r="T81" s="1">
        <v>0</v>
      </c>
      <c r="U81" s="1">
        <f>Games[[#This Row],[PointsFor]]-Games[[#This Row],[PointsAgainst]]</f>
        <v>4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0.27469930395282222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12.549210020332227</v>
      </c>
      <c r="AB81" s="4">
        <f>Games[[#This Row],[PreGmRate]]+Games[[#This Row],[RatingChange]]</f>
        <v>1494.4437485706389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45443</v>
      </c>
      <c r="B82" s="2">
        <v>2024</v>
      </c>
      <c r="C82" s="2">
        <f>COUNTIFS(Games[Team],Games[[#This Row],[Team]],Games[Season],Games[[#This Row],[Season]],Games[Date],"&lt;=" &amp; Games[[#This Row],[Date]])</f>
        <v>6</v>
      </c>
      <c r="D82" s="2" t="s">
        <v>79</v>
      </c>
      <c r="E82" s="2" t="s">
        <v>80</v>
      </c>
      <c r="F82" s="1" t="s">
        <v>85</v>
      </c>
      <c r="G82" s="1" t="s">
        <v>74</v>
      </c>
      <c r="H82" s="1" t="s">
        <v>81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4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2" s="2">
        <f>Games[[#This Row],[DaysOff]]-Games[[#This Row],[OppDaysOff]]</f>
        <v>2</v>
      </c>
      <c r="L82" s="2">
        <f>Games[[#This Row],[OppDaysOff]]-Games[[#This Row],[DaysOff]]</f>
        <v>-2</v>
      </c>
      <c r="M82" s="1">
        <f>MAX(-16, MIN(16, Games[[#This Row],[RestDiff]]*8))</f>
        <v>16</v>
      </c>
      <c r="N82" s="1">
        <f>MAX(-16, MIN(16, Games[[#This Row],[OppRestDiff]]*8))</f>
        <v>-16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1535.0917197511651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1599.8930649910278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0.33796801917836655</v>
      </c>
      <c r="R82" s="1">
        <v>72</v>
      </c>
      <c r="S82" s="1">
        <v>74</v>
      </c>
      <c r="T82" s="1">
        <v>0</v>
      </c>
      <c r="U82" s="1">
        <f>Games[[#This Row],[PointsFor]]-Games[[#This Row],[PointsAgainst]]</f>
        <v>-2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0.25411862991863771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2" s="9">
        <f>MAX(kmin, kmax - 0.15 * MIN(Games[[#This Row],[GamesPlayed]], 82))</f>
        <v>75.099999999999994</v>
      </c>
      <c r="Z82" s="4">
        <f>Games[[#This Row],[K]]*Games[[#This Row],[POMult]]</f>
        <v>75.099999999999994</v>
      </c>
      <c r="AA82" s="4">
        <f>(Games[[#This Row],[Keff]]*Games[[#This Row],[MOVMult]])*(Games[[#This Row],[Result]]-Games[[#This Row],[ExpectedWin%]])</f>
        <v>-6.4498861462431707</v>
      </c>
      <c r="AB82" s="4">
        <f>Games[[#This Row],[PreGmRate]]+Games[[#This Row],[RatingChange]]</f>
        <v>1528.6418336049219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45443</v>
      </c>
      <c r="B83" s="2">
        <v>2024</v>
      </c>
      <c r="C83" s="2">
        <f>COUNTIFS(Games[Team],Games[[#This Row],[Team]],Games[Season],Games[[#This Row],[Season]],Games[Date],"&lt;=" &amp; Games[[#This Row],[Date]])</f>
        <v>7</v>
      </c>
      <c r="D83" s="2" t="s">
        <v>79</v>
      </c>
      <c r="E83" s="2" t="s">
        <v>80</v>
      </c>
      <c r="F83" s="1" t="s">
        <v>74</v>
      </c>
      <c r="G83" s="1" t="s">
        <v>85</v>
      </c>
      <c r="H83" s="1" t="s">
        <v>82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3" s="2">
        <f>Games[[#This Row],[DaysOff]]-Games[[#This Row],[OppDaysOff]]</f>
        <v>-2</v>
      </c>
      <c r="L83" s="2">
        <f>Games[[#This Row],[OppDaysOff]]-Games[[#This Row],[DaysOff]]</f>
        <v>2</v>
      </c>
      <c r="M83" s="1">
        <f>MAX(-16, MIN(16, Games[[#This Row],[RestDiff]]*8))</f>
        <v>-16</v>
      </c>
      <c r="N83" s="1">
        <f>MAX(-16, MIN(16, Games[[#This Row],[OppRestDiff]]*8))</f>
        <v>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1599.8930649910278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1535.0917197511651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0.6620319808216335</v>
      </c>
      <c r="R83" s="1">
        <v>74</v>
      </c>
      <c r="S83" s="1">
        <v>72</v>
      </c>
      <c r="T83" s="1">
        <v>0</v>
      </c>
      <c r="U83" s="1">
        <f>Games[[#This Row],[PointsFor]]-Games[[#This Row],[PointsAgainst]]</f>
        <v>2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0.25411862991863771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3" s="9">
        <f>MAX(kmin, kmax - 0.15 * MIN(Games[[#This Row],[GamesPlayed]], 82))</f>
        <v>74.95</v>
      </c>
      <c r="Z83" s="4">
        <f>Games[[#This Row],[K]]*Games[[#This Row],[POMult]]</f>
        <v>74.95</v>
      </c>
      <c r="AA83" s="4">
        <f>(Games[[#This Row],[Keff]]*Games[[#This Row],[MOVMult]])*(Games[[#This Row],[Result]]-Games[[#This Row],[ExpectedWin%]])</f>
        <v>6.4370035507446826</v>
      </c>
      <c r="AB83" s="4">
        <f>Games[[#This Row],[PreGmRate]]+Games[[#This Row],[RatingChange]]</f>
        <v>1606.3300685417726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45443</v>
      </c>
      <c r="B84" s="2">
        <v>2024</v>
      </c>
      <c r="C84" s="2">
        <f>COUNTIFS(Games[Team],Games[[#This Row],[Team]],Games[Season],Games[[#This Row],[Season]],Games[Date],"&lt;=" &amp; Games[[#This Row],[Date]])</f>
        <v>8</v>
      </c>
      <c r="D84" s="2" t="s">
        <v>79</v>
      </c>
      <c r="E84" s="2" t="s">
        <v>80</v>
      </c>
      <c r="F84" s="1" t="s">
        <v>40</v>
      </c>
      <c r="G84" s="1" t="s">
        <v>67</v>
      </c>
      <c r="H84" s="1" t="s">
        <v>81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1411.8574999518846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1520.9586391156415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0.247576536133185</v>
      </c>
      <c r="R84" s="1">
        <v>71</v>
      </c>
      <c r="S84" s="1">
        <v>95</v>
      </c>
      <c r="T84" s="1">
        <v>0</v>
      </c>
      <c r="U84" s="1">
        <f>Games[[#This Row],[PointsFor]]-Games[[#This Row],[PointsAgainst]]</f>
        <v>-24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0.57605718517630189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4" s="9">
        <f>MAX(kmin, kmax - 0.15 * MIN(Games[[#This Row],[GamesPlayed]], 82))</f>
        <v>74.8</v>
      </c>
      <c r="Z84" s="4">
        <f>Games[[#This Row],[K]]*Games[[#This Row],[POMult]]</f>
        <v>74.8</v>
      </c>
      <c r="AA84" s="4">
        <f>(Games[[#This Row],[Keff]]*Games[[#This Row],[MOVMult]])*(Games[[#This Row],[Result]]-Games[[#This Row],[ExpectedWin%]])</f>
        <v>-10.6678445405395</v>
      </c>
      <c r="AB84" s="4">
        <f>Games[[#This Row],[PreGmRate]]+Games[[#This Row],[RatingChange]]</f>
        <v>1401.189655411345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45443</v>
      </c>
      <c r="B85" s="2">
        <v>2024</v>
      </c>
      <c r="C85" s="2">
        <f>COUNTIFS(Games[Team],Games[[#This Row],[Team]],Games[Season],Games[[#This Row],[Season]],Games[Date],"&lt;=" &amp; Games[[#This Row],[Date]])</f>
        <v>7</v>
      </c>
      <c r="D85" s="2" t="s">
        <v>79</v>
      </c>
      <c r="E85" s="2" t="s">
        <v>80</v>
      </c>
      <c r="F85" s="1" t="s">
        <v>67</v>
      </c>
      <c r="G85" s="1" t="s">
        <v>40</v>
      </c>
      <c r="H85" s="1" t="s">
        <v>82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1520.9586391156415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1411.8574999518846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0.75242346386681502</v>
      </c>
      <c r="R85" s="1">
        <v>95</v>
      </c>
      <c r="S85" s="1">
        <v>71</v>
      </c>
      <c r="T85" s="1">
        <v>0</v>
      </c>
      <c r="U85" s="1">
        <f>Games[[#This Row],[PointsFor]]-Games[[#This Row],[PointsAgainst]]</f>
        <v>24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0.57605718517630189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5" s="9">
        <f>MAX(kmin, kmax - 0.15 * MIN(Games[[#This Row],[GamesPlayed]], 82))</f>
        <v>74.95</v>
      </c>
      <c r="Z85" s="4">
        <f>Games[[#This Row],[K]]*Games[[#This Row],[POMult]]</f>
        <v>74.95</v>
      </c>
      <c r="AA85" s="4">
        <f>(Games[[#This Row],[Keff]]*Games[[#This Row],[MOVMult]])*(Games[[#This Row],[Result]]-Games[[#This Row],[ExpectedWin%]])</f>
        <v>10.689237276917588</v>
      </c>
      <c r="AB85" s="4">
        <f>Games[[#This Row],[PreGmRate]]+Games[[#This Row],[RatingChange]]</f>
        <v>1531.6478763925591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45443</v>
      </c>
      <c r="B86" s="2">
        <v>2024</v>
      </c>
      <c r="C86" s="2">
        <f>COUNTIFS(Games[Team],Games[[#This Row],[Team]],Games[Season],Games[[#This Row],[Season]],Games[Date],"&lt;=" &amp; Games[[#This Row],[Date]])</f>
        <v>8</v>
      </c>
      <c r="D86" s="2" t="s">
        <v>79</v>
      </c>
      <c r="E86" s="2" t="s">
        <v>80</v>
      </c>
      <c r="F86" s="1" t="s">
        <v>65</v>
      </c>
      <c r="G86" s="1" t="s">
        <v>60</v>
      </c>
      <c r="H86" s="1" t="s">
        <v>81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1399.5176023411605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1606.788363146788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0.15753436068604093</v>
      </c>
      <c r="R86" s="1">
        <v>79</v>
      </c>
      <c r="S86" s="1">
        <v>90</v>
      </c>
      <c r="T86" s="1">
        <v>0</v>
      </c>
      <c r="U86" s="1">
        <f>Games[[#This Row],[PointsFor]]-Games[[#This Row],[PointsAgainst]]</f>
        <v>-11</v>
      </c>
      <c r="V86" s="1">
        <f>IF(Games[[#This Row],[MOV]]&gt;0,1,IF(Games[[#This Row],[MOV]]=0,0.5,0))</f>
        <v>0</v>
      </c>
      <c r="W86" s="4">
        <f>((ABS(Games[[#This Row],[MOV]])+5)^0.6)/(12+0.01*(ABS(Games[[#This Row],[PreGmRate]]-Games[[#This Row],[OppPreGmRate]])))*IF(Games[[#This Row],[OT]]=1,0.9,1)</f>
        <v>0.37505445221288009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6" s="9">
        <f>MAX(kmin, kmax - 0.15 * MIN(Games[[#This Row],[GamesPlayed]], 82))</f>
        <v>74.8</v>
      </c>
      <c r="Z86" s="4">
        <f>Games[[#This Row],[K]]*Games[[#This Row],[POMult]]</f>
        <v>74.8</v>
      </c>
      <c r="AA86" s="4">
        <f>(Games[[#This Row],[Keff]]*Games[[#This Row],[MOVMult]])*(Games[[#This Row],[Result]]-Games[[#This Row],[ExpectedWin%]])</f>
        <v>-4.4194804587153396</v>
      </c>
      <c r="AB86" s="4">
        <f>Games[[#This Row],[PreGmRate]]+Games[[#This Row],[RatingChange]]</f>
        <v>1395.0981218824452</v>
      </c>
      <c r="AC86" s="2">
        <f>IF(Games[[#This Row],[Type]]="R",IF(Games[[#This Row],[Result]]&gt;0.5,1,0),0)</f>
        <v>0</v>
      </c>
      <c r="AD86" s="2">
        <f>IF(Games[[#This Row],[Type]]="R",IF(Games[[#This Row],[Result]]&lt;0.5,1,0),0)</f>
        <v>1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45443</v>
      </c>
      <c r="B87" s="2">
        <v>2024</v>
      </c>
      <c r="C87" s="2">
        <f>COUNTIFS(Games[Team],Games[[#This Row],[Team]],Games[Season],Games[[#This Row],[Season]],Games[Date],"&lt;=" &amp; Games[[#This Row],[Date]])</f>
        <v>8</v>
      </c>
      <c r="D87" s="2" t="s">
        <v>79</v>
      </c>
      <c r="E87" s="2" t="s">
        <v>80</v>
      </c>
      <c r="F87" s="1" t="s">
        <v>60</v>
      </c>
      <c r="G87" s="1" t="s">
        <v>65</v>
      </c>
      <c r="H87" s="1" t="s">
        <v>82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1606.788363146788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1399.5176023411605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0.84246563931395901</v>
      </c>
      <c r="R87" s="1">
        <v>90</v>
      </c>
      <c r="S87" s="1">
        <v>79</v>
      </c>
      <c r="T87" s="1">
        <v>0</v>
      </c>
      <c r="U87" s="1">
        <f>Games[[#This Row],[PointsFor]]-Games[[#This Row],[PointsAgainst]]</f>
        <v>11</v>
      </c>
      <c r="V87" s="1">
        <f>IF(Games[[#This Row],[MOV]]&gt;0,1,IF(Games[[#This Row],[MOV]]=0,0.5,0))</f>
        <v>1</v>
      </c>
      <c r="W87" s="4">
        <f>((ABS(Games[[#This Row],[MOV]])+5)^0.6)/(12+0.01*(ABS(Games[[#This Row],[PreGmRate]]-Games[[#This Row],[OppPreGmRate]])))*IF(Games[[#This Row],[OT]]=1,0.9,1)</f>
        <v>0.37505445221288009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7" s="9">
        <f>MAX(kmin, kmax - 0.15 * MIN(Games[[#This Row],[GamesPlayed]], 82))</f>
        <v>74.8</v>
      </c>
      <c r="Z87" s="4">
        <f>Games[[#This Row],[K]]*Games[[#This Row],[POMult]]</f>
        <v>74.8</v>
      </c>
      <c r="AA87" s="4">
        <f>(Games[[#This Row],[Keff]]*Games[[#This Row],[MOVMult]])*(Games[[#This Row],[Result]]-Games[[#This Row],[ExpectedWin%]])</f>
        <v>4.4194804587153413</v>
      </c>
      <c r="AB87" s="4">
        <f>Games[[#This Row],[PreGmRate]]+Games[[#This Row],[RatingChange]]</f>
        <v>1611.2078436055033</v>
      </c>
      <c r="AC87" s="2">
        <f>IF(Games[[#This Row],[Type]]="R",IF(Games[[#This Row],[Result]]&gt;0.5,1,0),0)</f>
        <v>1</v>
      </c>
      <c r="AD87" s="2">
        <f>IF(Games[[#This Row],[Type]]="R",IF(Games[[#This Row],[Result]]&lt;0.5,1,0),0)</f>
        <v>0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45444</v>
      </c>
      <c r="B88" s="2">
        <v>2024</v>
      </c>
      <c r="C88" s="2">
        <f>COUNTIFS(Games[Team],Games[[#This Row],[Team]],Games[Season],Games[[#This Row],[Season]],Games[Date],"&lt;=" &amp; Games[[#This Row],[Date]])</f>
        <v>7</v>
      </c>
      <c r="D88" s="2" t="s">
        <v>79</v>
      </c>
      <c r="E88" s="2" t="s">
        <v>80</v>
      </c>
      <c r="F88" s="1" t="s">
        <v>75</v>
      </c>
      <c r="G88" s="1" t="s">
        <v>69</v>
      </c>
      <c r="H88" s="1" t="s">
        <v>81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1506.9642512202151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1365.2947311693224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0.5822392250626971</v>
      </c>
      <c r="R88" s="1">
        <v>70</v>
      </c>
      <c r="S88" s="1">
        <v>71</v>
      </c>
      <c r="T88" s="1">
        <v>0</v>
      </c>
      <c r="U88" s="1">
        <f>Games[[#This Row],[PointsFor]]-Games[[#This Row],[PointsAgainst]]</f>
        <v>-1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0.21839625986825528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8" s="9">
        <f>MAX(kmin, kmax - 0.15 * MIN(Games[[#This Row],[GamesPlayed]], 82))</f>
        <v>74.95</v>
      </c>
      <c r="Z88" s="4">
        <f>Games[[#This Row],[K]]*Games[[#This Row],[POMult]]</f>
        <v>74.95</v>
      </c>
      <c r="AA88" s="4">
        <f>(Games[[#This Row],[Keff]]*Games[[#This Row],[MOVMult]])*(Games[[#This Row],[Result]]-Games[[#This Row],[ExpectedWin%]])</f>
        <v>-9.530557239216213</v>
      </c>
      <c r="AB88" s="4">
        <f>Games[[#This Row],[PreGmRate]]+Games[[#This Row],[RatingChange]]</f>
        <v>1497.4336939809989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45444</v>
      </c>
      <c r="B89" s="2">
        <v>2024</v>
      </c>
      <c r="C89" s="2">
        <f>COUNTIFS(Games[Team],Games[[#This Row],[Team]],Games[Season],Games[[#This Row],[Season]],Games[Date],"&lt;=" &amp; Games[[#This Row],[Date]])</f>
        <v>10</v>
      </c>
      <c r="D89" s="2" t="s">
        <v>79</v>
      </c>
      <c r="E89" s="2" t="s">
        <v>80</v>
      </c>
      <c r="F89" s="1" t="s">
        <v>69</v>
      </c>
      <c r="G89" s="1" t="s">
        <v>75</v>
      </c>
      <c r="H89" s="1" t="s">
        <v>82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1365.2947311693224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1506.9642512202151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0.41776077493730296</v>
      </c>
      <c r="R89" s="1">
        <v>71</v>
      </c>
      <c r="S89" s="1">
        <v>70</v>
      </c>
      <c r="T89" s="1">
        <v>0</v>
      </c>
      <c r="U89" s="1">
        <f>Games[[#This Row],[PointsFor]]-Games[[#This Row],[PointsAgainst]]</f>
        <v>1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0.21839625986825528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9" s="9">
        <f>MAX(kmin, kmax - 0.15 * MIN(Games[[#This Row],[GamesPlayed]], 82))</f>
        <v>74.5</v>
      </c>
      <c r="Z89" s="4">
        <f>Games[[#This Row],[K]]*Games[[#This Row],[POMult]]</f>
        <v>74.5</v>
      </c>
      <c r="AA89" s="4">
        <f>(Games[[#This Row],[Keff]]*Games[[#This Row],[MOVMult]])*(Games[[#This Row],[Result]]-Games[[#This Row],[ExpectedWin%]])</f>
        <v>9.473335748120185</v>
      </c>
      <c r="AB89" s="4">
        <f>Games[[#This Row],[PreGmRate]]+Games[[#This Row],[RatingChange]]</f>
        <v>1374.7680669174426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45445</v>
      </c>
      <c r="B90" s="2">
        <v>2024</v>
      </c>
      <c r="C90" s="2">
        <f>COUNTIFS(Games[Team],Games[[#This Row],[Team]],Games[Season],Games[[#This Row],[Season]],Games[Date],"&lt;=" &amp; Games[[#This Row],[Date]])</f>
        <v>8</v>
      </c>
      <c r="D90" s="2" t="s">
        <v>79</v>
      </c>
      <c r="E90" s="2" t="s">
        <v>80</v>
      </c>
      <c r="F90" s="1" t="s">
        <v>74</v>
      </c>
      <c r="G90" s="1" t="s">
        <v>77</v>
      </c>
      <c r="H90" s="1" t="s">
        <v>81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0" s="2">
        <f>Games[[#This Row],[DaysOff]]-Games[[#This Row],[OppDaysOff]]</f>
        <v>0</v>
      </c>
      <c r="L90" s="2">
        <f>Games[[#This Row],[OppDaysOff]]-Games[[#This Row],[DaysOff]]</f>
        <v>0</v>
      </c>
      <c r="M90" s="1">
        <f>MAX(-16, MIN(16, Games[[#This Row],[RestDiff]]*8))</f>
        <v>0</v>
      </c>
      <c r="N90" s="1">
        <f>MAX(-16, MIN(16, Games[[#This Row],[OppRestDiff]]*8))</f>
        <v>0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1606.3300685417726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1494.4437485706389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0.54004568330146974</v>
      </c>
      <c r="R90" s="1">
        <v>69</v>
      </c>
      <c r="S90" s="1">
        <v>50</v>
      </c>
      <c r="T90" s="1">
        <v>0</v>
      </c>
      <c r="U90" s="1">
        <f>Games[[#This Row],[PointsFor]]-Games[[#This Row],[PointsAgainst]]</f>
        <v>19</v>
      </c>
      <c r="V90" s="1">
        <f>IF(Games[[#This Row],[MOV]]&gt;0,1,IF(Games[[#This Row],[MOV]]=0,0.5,0))</f>
        <v>1</v>
      </c>
      <c r="W90" s="4">
        <f>((ABS(Games[[#This Row],[MOV]])+5)^0.6)/(12+0.01*(ABS(Games[[#This Row],[PreGmRate]]-Games[[#This Row],[OppPreGmRate]])))*IF(Games[[#This Row],[OT]]=1,0.9,1)</f>
        <v>0.51313370451376605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0" s="9">
        <f>MAX(kmin, kmax - 0.15 * MIN(Games[[#This Row],[GamesPlayed]], 82))</f>
        <v>74.8</v>
      </c>
      <c r="Z90" s="4">
        <f>Games[[#This Row],[K]]*Games[[#This Row],[POMult]]</f>
        <v>74.8</v>
      </c>
      <c r="AA90" s="4">
        <f>(Games[[#This Row],[Keff]]*Games[[#This Row],[MOVMult]])*(Games[[#This Row],[Result]]-Games[[#This Row],[ExpectedWin%]])</f>
        <v>17.654151070109187</v>
      </c>
      <c r="AB90" s="4">
        <f>Games[[#This Row],[PreGmRate]]+Games[[#This Row],[RatingChange]]</f>
        <v>1623.9842196118818</v>
      </c>
      <c r="AC90" s="2">
        <f>IF(Games[[#This Row],[Type]]="R",IF(Games[[#This Row],[Result]]&gt;0.5,1,0),0)</f>
        <v>1</v>
      </c>
      <c r="AD90" s="2">
        <f>IF(Games[[#This Row],[Type]]="R",IF(Games[[#This Row],[Result]]&lt;0.5,1,0),0)</f>
        <v>0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45445</v>
      </c>
      <c r="B91" s="2">
        <v>2024</v>
      </c>
      <c r="C91" s="2">
        <f>COUNTIFS(Games[Team],Games[[#This Row],[Team]],Games[Season],Games[[#This Row],[Season]],Games[Date],"&lt;=" &amp; Games[[#This Row],[Date]])</f>
        <v>7</v>
      </c>
      <c r="D91" s="2" t="s">
        <v>79</v>
      </c>
      <c r="E91" s="2" t="s">
        <v>80</v>
      </c>
      <c r="F91" s="1" t="s">
        <v>77</v>
      </c>
      <c r="G91" s="1" t="s">
        <v>74</v>
      </c>
      <c r="H91" s="1" t="s">
        <v>82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0</v>
      </c>
      <c r="L91" s="2">
        <f>Games[[#This Row],[OppDaysOff]]-Games[[#This Row],[DaysOff]]</f>
        <v>0</v>
      </c>
      <c r="M91" s="1">
        <f>MAX(-16, MIN(16, Games[[#This Row],[RestDiff]]*8))</f>
        <v>0</v>
      </c>
      <c r="N91" s="1">
        <f>MAX(-16, MIN(16, Games[[#This Row],[OppRestDiff]]*8))</f>
        <v>0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1494.4437485706389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1606.3300685417726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0.45995431669853037</v>
      </c>
      <c r="R91" s="1">
        <v>50</v>
      </c>
      <c r="S91" s="1">
        <v>69</v>
      </c>
      <c r="T91" s="1">
        <v>0</v>
      </c>
      <c r="U91" s="1">
        <f>Games[[#This Row],[PointsFor]]-Games[[#This Row],[PointsAgainst]]</f>
        <v>-19</v>
      </c>
      <c r="V91" s="1">
        <f>IF(Games[[#This Row],[MOV]]&gt;0,1,IF(Games[[#This Row],[MOV]]=0,0.5,0))</f>
        <v>0</v>
      </c>
      <c r="W91" s="4">
        <f>((ABS(Games[[#This Row],[MOV]])+5)^0.6)/(12+0.01*(ABS(Games[[#This Row],[PreGmRate]]-Games[[#This Row],[OppPreGmRate]])))*IF(Games[[#This Row],[OT]]=1,0.9,1)</f>
        <v>0.51313370451376605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1" s="9">
        <f>MAX(kmin, kmax - 0.15 * MIN(Games[[#This Row],[GamesPlayed]], 82))</f>
        <v>74.95</v>
      </c>
      <c r="Z91" s="4">
        <f>Games[[#This Row],[K]]*Games[[#This Row],[POMult]]</f>
        <v>74.95</v>
      </c>
      <c r="AA91" s="4">
        <f>(Games[[#This Row],[Keff]]*Games[[#This Row],[MOVMult]])*(Games[[#This Row],[Result]]-Games[[#This Row],[ExpectedWin%]])</f>
        <v>-17.689553779474384</v>
      </c>
      <c r="AB91" s="4">
        <f>Games[[#This Row],[PreGmRate]]+Games[[#This Row],[RatingChange]]</f>
        <v>1476.7541947911645</v>
      </c>
      <c r="AC91" s="2">
        <f>IF(Games[[#This Row],[Type]]="R",IF(Games[[#This Row],[Result]]&gt;0.5,1,0),0)</f>
        <v>0</v>
      </c>
      <c r="AD91" s="2">
        <f>IF(Games[[#This Row],[Type]]="R",IF(Games[[#This Row],[Result]]&lt;0.5,1,0),0)</f>
        <v>1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45445</v>
      </c>
      <c r="B92" s="2">
        <v>2024</v>
      </c>
      <c r="C92" s="2">
        <f>COUNTIFS(Games[Team],Games[[#This Row],[Team]],Games[Season],Games[[#This Row],[Season]],Games[Date],"&lt;=" &amp; Games[[#This Row],[Date]])</f>
        <v>7</v>
      </c>
      <c r="D92" s="2" t="s">
        <v>79</v>
      </c>
      <c r="E92" s="2" t="s">
        <v>80</v>
      </c>
      <c r="F92" s="1" t="s">
        <v>85</v>
      </c>
      <c r="G92" s="1" t="s">
        <v>67</v>
      </c>
      <c r="H92" s="1" t="s">
        <v>81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1528.6418336049219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1531.6478763925591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0.3773416312515887</v>
      </c>
      <c r="R92" s="1">
        <v>76</v>
      </c>
      <c r="S92" s="1">
        <v>87</v>
      </c>
      <c r="T92" s="1">
        <v>0</v>
      </c>
      <c r="U92" s="1">
        <f>Games[[#This Row],[PointsFor]]-Games[[#This Row],[PointsAgainst]]</f>
        <v>-11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0.4387369186326931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2" s="9">
        <f>MAX(kmin, kmax - 0.15 * MIN(Games[[#This Row],[GamesPlayed]], 82))</f>
        <v>74.95</v>
      </c>
      <c r="Z92" s="4">
        <f>Games[[#This Row],[K]]*Games[[#This Row],[POMult]]</f>
        <v>74.95</v>
      </c>
      <c r="AA92" s="4">
        <f>(Games[[#This Row],[Keff]]*Games[[#This Row],[MOVMult]])*(Games[[#This Row],[Result]]-Games[[#This Row],[ExpectedWin%]])</f>
        <v>-12.408250157308339</v>
      </c>
      <c r="AB92" s="4">
        <f>Games[[#This Row],[PreGmRate]]+Games[[#This Row],[RatingChange]]</f>
        <v>1516.2335834476135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45445</v>
      </c>
      <c r="B93" s="2">
        <v>2024</v>
      </c>
      <c r="C93" s="2">
        <f>COUNTIFS(Games[Team],Games[[#This Row],[Team]],Games[Season],Games[[#This Row],[Season]],Games[Date],"&lt;=" &amp; Games[[#This Row],[Date]])</f>
        <v>8</v>
      </c>
      <c r="D93" s="2" t="s">
        <v>79</v>
      </c>
      <c r="E93" s="2" t="s">
        <v>80</v>
      </c>
      <c r="F93" s="1" t="s">
        <v>67</v>
      </c>
      <c r="G93" s="1" t="s">
        <v>85</v>
      </c>
      <c r="H93" s="1" t="s">
        <v>82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1531.6478763925591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1528.6418336049219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0.62265836874841141</v>
      </c>
      <c r="R93" s="1">
        <v>87</v>
      </c>
      <c r="S93" s="1">
        <v>76</v>
      </c>
      <c r="T93" s="1">
        <v>0</v>
      </c>
      <c r="U93" s="1">
        <f>Games[[#This Row],[PointsFor]]-Games[[#This Row],[PointsAgainst]]</f>
        <v>11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0.4387369186326931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3" s="9">
        <f>MAX(kmin, kmax - 0.15 * MIN(Games[[#This Row],[GamesPlayed]], 82))</f>
        <v>74.8</v>
      </c>
      <c r="Z93" s="4">
        <f>Games[[#This Row],[K]]*Games[[#This Row],[POMult]]</f>
        <v>74.8</v>
      </c>
      <c r="AA93" s="4">
        <f>(Games[[#This Row],[Keff]]*Games[[#This Row],[MOVMult]])*(Games[[#This Row],[Result]]-Games[[#This Row],[ExpectedWin%]])</f>
        <v>12.383417101623262</v>
      </c>
      <c r="AB93" s="4">
        <f>Games[[#This Row],[PreGmRate]]+Games[[#This Row],[RatingChange]]</f>
        <v>1544.0312934941824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45445</v>
      </c>
      <c r="B94" s="2">
        <v>2024</v>
      </c>
      <c r="C94" s="2">
        <f>COUNTIFS(Games[Team],Games[[#This Row],[Team]],Games[Season],Games[[#This Row],[Season]],Games[Date],"&lt;=" &amp; Games[[#This Row],[Date]])</f>
        <v>11</v>
      </c>
      <c r="D94" s="2" t="s">
        <v>79</v>
      </c>
      <c r="E94" s="2" t="s">
        <v>80</v>
      </c>
      <c r="F94" s="1" t="s">
        <v>69</v>
      </c>
      <c r="G94" s="1" t="s">
        <v>60</v>
      </c>
      <c r="H94" s="1" t="s">
        <v>81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-1</v>
      </c>
      <c r="L94" s="2">
        <f>Games[[#This Row],[OppDaysOff]]-Games[[#This Row],[DaysOff]]</f>
        <v>1</v>
      </c>
      <c r="M94" s="1">
        <f>MAX(-16, MIN(16, Games[[#This Row],[RestDiff]]*8))</f>
        <v>-8</v>
      </c>
      <c r="N94" s="1">
        <f>MAX(-16, MIN(16, Games[[#This Row],[OppRestDiff]]*8))</f>
        <v>8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1374.7680669174426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1611.2078436055033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0.12601050978082962</v>
      </c>
      <c r="R94" s="1">
        <v>68</v>
      </c>
      <c r="S94" s="1">
        <v>104</v>
      </c>
      <c r="T94" s="1">
        <v>0</v>
      </c>
      <c r="U94" s="1">
        <f>Games[[#This Row],[PointsFor]]-Games[[#This Row],[PointsAgainst]]</f>
        <v>-36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0.64622371449147842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4" s="9">
        <f>MAX(kmin, kmax - 0.15 * MIN(Games[[#This Row],[GamesPlayed]], 82))</f>
        <v>74.349999999999994</v>
      </c>
      <c r="Z94" s="4">
        <f>Games[[#This Row],[K]]*Games[[#This Row],[POMult]]</f>
        <v>74.349999999999994</v>
      </c>
      <c r="AA94" s="4">
        <f>(Games[[#This Row],[Keff]]*Games[[#This Row],[MOVMult]])*(Games[[#This Row],[Result]]-Games[[#This Row],[ExpectedWin%]])</f>
        <v>-6.0543933403628394</v>
      </c>
      <c r="AB94" s="4">
        <f>Games[[#This Row],[PreGmRate]]+Games[[#This Row],[RatingChange]]</f>
        <v>1368.7136735770798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45445</v>
      </c>
      <c r="B95" s="2">
        <v>2024</v>
      </c>
      <c r="C95" s="2">
        <f>COUNTIFS(Games[Team],Games[[#This Row],[Team]],Games[Season],Games[[#This Row],[Season]],Games[Date],"&lt;=" &amp; Games[[#This Row],[Date]])</f>
        <v>9</v>
      </c>
      <c r="D95" s="2" t="s">
        <v>79</v>
      </c>
      <c r="E95" s="2" t="s">
        <v>80</v>
      </c>
      <c r="F95" s="1" t="s">
        <v>60</v>
      </c>
      <c r="G95" s="1" t="s">
        <v>69</v>
      </c>
      <c r="H95" s="1" t="s">
        <v>82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5" s="2">
        <f>Games[[#This Row],[DaysOff]]-Games[[#This Row],[OppDaysOff]]</f>
        <v>1</v>
      </c>
      <c r="L95" s="2">
        <f>Games[[#This Row],[OppDaysOff]]-Games[[#This Row],[DaysOff]]</f>
        <v>-1</v>
      </c>
      <c r="M95" s="1">
        <f>MAX(-16, MIN(16, Games[[#This Row],[RestDiff]]*8))</f>
        <v>8</v>
      </c>
      <c r="N95" s="1">
        <f>MAX(-16, MIN(16, Games[[#This Row],[OppRestDiff]]*8))</f>
        <v>-8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1611.2078436055033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1374.7680669174426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0.8739894902191705</v>
      </c>
      <c r="R95" s="1">
        <v>104</v>
      </c>
      <c r="S95" s="1">
        <v>68</v>
      </c>
      <c r="T95" s="1">
        <v>0</v>
      </c>
      <c r="U95" s="1">
        <f>Games[[#This Row],[PointsFor]]-Games[[#This Row],[PointsAgainst]]</f>
        <v>36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0.64622371449147842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5" s="9">
        <f>MAX(kmin, kmax - 0.15 * MIN(Games[[#This Row],[GamesPlayed]], 82))</f>
        <v>74.650000000000006</v>
      </c>
      <c r="Z95" s="4">
        <f>Games[[#This Row],[K]]*Games[[#This Row],[POMult]]</f>
        <v>74.650000000000006</v>
      </c>
      <c r="AA95" s="4">
        <f>(Games[[#This Row],[Keff]]*Games[[#This Row],[MOVMult]])*(Games[[#This Row],[Result]]-Games[[#This Row],[ExpectedWin%]])</f>
        <v>6.0788226342714955</v>
      </c>
      <c r="AB95" s="4">
        <f>Games[[#This Row],[PreGmRate]]+Games[[#This Row],[RatingChange]]</f>
        <v>1617.2866662397748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45445</v>
      </c>
      <c r="B96" s="2">
        <v>2024</v>
      </c>
      <c r="C96" s="2">
        <f>COUNTIFS(Games[Team],Games[[#This Row],[Team]],Games[Season],Games[[#This Row],[Season]],Games[Date],"&lt;=" &amp; Games[[#This Row],[Date]])</f>
        <v>8</v>
      </c>
      <c r="D96" s="2" t="s">
        <v>79</v>
      </c>
      <c r="E96" s="2" t="s">
        <v>80</v>
      </c>
      <c r="F96" s="1" t="s">
        <v>63</v>
      </c>
      <c r="G96" s="1" t="s">
        <v>40</v>
      </c>
      <c r="H96" s="1" t="s">
        <v>81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1</v>
      </c>
      <c r="L96" s="2">
        <f>Games[[#This Row],[OppDaysOff]]-Games[[#This Row],[DaysOff]]</f>
        <v>-1</v>
      </c>
      <c r="M96" s="1">
        <f>MAX(-16, MIN(16, Games[[#This Row],[RestDiff]]*8))</f>
        <v>8</v>
      </c>
      <c r="N96" s="1">
        <f>MAX(-16, MIN(16, Games[[#This Row],[OppRestDiff]]*8))</f>
        <v>-8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1433.9926881631391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1401.189655411345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0.44952006132584538</v>
      </c>
      <c r="R96" s="1">
        <v>68</v>
      </c>
      <c r="S96" s="1">
        <v>87</v>
      </c>
      <c r="T96" s="1">
        <v>0</v>
      </c>
      <c r="U96" s="1">
        <f>Games[[#This Row],[PointsFor]]-Games[[#This Row],[PointsAgainst]]</f>
        <v>-19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0.54605080404864059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-18.360467161038311</v>
      </c>
      <c r="AB96" s="4">
        <f>Games[[#This Row],[PreGmRate]]+Games[[#This Row],[RatingChange]]</f>
        <v>1415.6322210021008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45445</v>
      </c>
      <c r="B97" s="2">
        <v>2024</v>
      </c>
      <c r="C97" s="2">
        <f>COUNTIFS(Games[Team],Games[[#This Row],[Team]],Games[Season],Games[[#This Row],[Season]],Games[Date],"&lt;=" &amp; Games[[#This Row],[Date]])</f>
        <v>9</v>
      </c>
      <c r="D97" s="2" t="s">
        <v>79</v>
      </c>
      <c r="E97" s="2" t="s">
        <v>80</v>
      </c>
      <c r="F97" s="1" t="s">
        <v>40</v>
      </c>
      <c r="G97" s="1" t="s">
        <v>63</v>
      </c>
      <c r="H97" s="1" t="s">
        <v>82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7" s="2">
        <f>Games[[#This Row],[DaysOff]]-Games[[#This Row],[OppDaysOff]]</f>
        <v>-1</v>
      </c>
      <c r="L97" s="2">
        <f>Games[[#This Row],[OppDaysOff]]-Games[[#This Row],[DaysOff]]</f>
        <v>1</v>
      </c>
      <c r="M97" s="1">
        <f>MAX(-16, MIN(16, Games[[#This Row],[RestDiff]]*8))</f>
        <v>-8</v>
      </c>
      <c r="N97" s="1">
        <f>MAX(-16, MIN(16, Games[[#This Row],[OppRestDiff]]*8))</f>
        <v>8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1401.189655411345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1433.9926881631391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0.55047993867415468</v>
      </c>
      <c r="R97" s="1">
        <v>87</v>
      </c>
      <c r="S97" s="1">
        <v>68</v>
      </c>
      <c r="T97" s="1">
        <v>0</v>
      </c>
      <c r="U97" s="1">
        <f>Games[[#This Row],[PointsFor]]-Games[[#This Row],[PointsAgainst]]</f>
        <v>19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0.54605080404864059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7" s="9">
        <f>MAX(kmin, kmax - 0.15 * MIN(Games[[#This Row],[GamesPlayed]], 82))</f>
        <v>74.650000000000006</v>
      </c>
      <c r="Z97" s="4">
        <f>Games[[#This Row],[K]]*Games[[#This Row],[POMult]]</f>
        <v>74.650000000000006</v>
      </c>
      <c r="AA97" s="4">
        <f>(Games[[#This Row],[Keff]]*Games[[#This Row],[MOVMult]])*(Games[[#This Row],[Result]]-Games[[#This Row],[ExpectedWin%]])</f>
        <v>18.323648042399864</v>
      </c>
      <c r="AB97" s="4">
        <f>Games[[#This Row],[PreGmRate]]+Games[[#This Row],[RatingChange]]</f>
        <v>1419.5133034537448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45447</v>
      </c>
      <c r="B98" s="2">
        <v>2024</v>
      </c>
      <c r="C98" s="2">
        <f>COUNTIFS(Games[Team],Games[[#This Row],[Team]],Games[Season],Games[[#This Row],[Season]],Games[Date],"&lt;=" &amp; Games[[#This Row],[Date]])</f>
        <v>10</v>
      </c>
      <c r="D98" s="2" t="s">
        <v>79</v>
      </c>
      <c r="E98" s="2" t="s">
        <v>80</v>
      </c>
      <c r="F98" s="1" t="s">
        <v>60</v>
      </c>
      <c r="G98" s="1" t="s">
        <v>75</v>
      </c>
      <c r="H98" s="1" t="s">
        <v>81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8" s="2">
        <f>Games[[#This Row],[DaysOff]]-Games[[#This Row],[OppDaysOff]]</f>
        <v>-1</v>
      </c>
      <c r="L98" s="2">
        <f>Games[[#This Row],[OppDaysOff]]-Games[[#This Row],[DaysOff]]</f>
        <v>1</v>
      </c>
      <c r="M98" s="1">
        <f>MAX(-16, MIN(16, Games[[#This Row],[RestDiff]]*8))</f>
        <v>-8</v>
      </c>
      <c r="N98" s="1">
        <f>MAX(-16, MIN(16, Games[[#This Row],[OppRestDiff]]*8))</f>
        <v>8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1617.2866662397748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1497.4336939809989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0.52853966844146483</v>
      </c>
      <c r="R98" s="1">
        <v>88</v>
      </c>
      <c r="S98" s="1">
        <v>75</v>
      </c>
      <c r="T98" s="1">
        <v>0</v>
      </c>
      <c r="U98" s="1">
        <f>Games[[#This Row],[PointsFor]]-Games[[#This Row],[PointsAgainst]]</f>
        <v>13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0.42917849084926712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8" s="9">
        <f>MAX(kmin, kmax - 0.15 * MIN(Games[[#This Row],[GamesPlayed]], 82))</f>
        <v>74.5</v>
      </c>
      <c r="Z98" s="4">
        <f>Games[[#This Row],[K]]*Games[[#This Row],[POMult]]</f>
        <v>74.5</v>
      </c>
      <c r="AA98" s="4">
        <f>(Games[[#This Row],[Keff]]*Games[[#This Row],[MOVMult]])*(Games[[#This Row],[Result]]-Games[[#This Row],[ExpectedWin%]])</f>
        <v>15.07437720272225</v>
      </c>
      <c r="AB98" s="4">
        <f>Games[[#This Row],[PreGmRate]]+Games[[#This Row],[RatingChange]]</f>
        <v>1632.361043442497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45447</v>
      </c>
      <c r="B99" s="2">
        <v>2024</v>
      </c>
      <c r="C99" s="2">
        <f>COUNTIFS(Games[Team],Games[[#This Row],[Team]],Games[Season],Games[[#This Row],[Season]],Games[Date],"&lt;=" &amp; Games[[#This Row],[Date]])</f>
        <v>8</v>
      </c>
      <c r="D99" s="2" t="s">
        <v>79</v>
      </c>
      <c r="E99" s="2" t="s">
        <v>80</v>
      </c>
      <c r="F99" s="1" t="s">
        <v>75</v>
      </c>
      <c r="G99" s="1" t="s">
        <v>60</v>
      </c>
      <c r="H99" s="1" t="s">
        <v>82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1</v>
      </c>
      <c r="L99" s="2">
        <f>Games[[#This Row],[OppDaysOff]]-Games[[#This Row],[DaysOff]]</f>
        <v>-1</v>
      </c>
      <c r="M99" s="1">
        <f>MAX(-16, MIN(16, Games[[#This Row],[RestDiff]]*8))</f>
        <v>8</v>
      </c>
      <c r="N99" s="1">
        <f>MAX(-16, MIN(16, Games[[#This Row],[OppRestDiff]]*8))</f>
        <v>-8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1497.4336939809989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1617.2866662397748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0.47146033155853523</v>
      </c>
      <c r="R99" s="1">
        <v>75</v>
      </c>
      <c r="S99" s="1">
        <v>88</v>
      </c>
      <c r="T99" s="1">
        <v>0</v>
      </c>
      <c r="U99" s="1">
        <f>Games[[#This Row],[PointsFor]]-Games[[#This Row],[PointsAgainst]]</f>
        <v>-13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0.42917849084926712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-15.135079392800327</v>
      </c>
      <c r="AB99" s="4">
        <f>Games[[#This Row],[PreGmRate]]+Games[[#This Row],[RatingChange]]</f>
        <v>1482.2986145881985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45447</v>
      </c>
      <c r="B100" s="2">
        <v>2024</v>
      </c>
      <c r="C100" s="2">
        <f>COUNTIFS(Games[Team],Games[[#This Row],[Team]],Games[Season],Games[[#This Row],[Season]],Games[Date],"&lt;=" &amp; Games[[#This Row],[Date]])</f>
        <v>9</v>
      </c>
      <c r="D100" s="2" t="s">
        <v>79</v>
      </c>
      <c r="E100" s="2" t="s">
        <v>80</v>
      </c>
      <c r="F100" s="1" t="s">
        <v>65</v>
      </c>
      <c r="G100" s="1" t="s">
        <v>74</v>
      </c>
      <c r="H100" s="1" t="s">
        <v>81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2</v>
      </c>
      <c r="L100" s="2">
        <f>Games[[#This Row],[OppDaysOff]]-Games[[#This Row],[DaysOff]]</f>
        <v>-2</v>
      </c>
      <c r="M100" s="1">
        <f>MAX(-16, MIN(16, Games[[#This Row],[RestDiff]]*8))</f>
        <v>16</v>
      </c>
      <c r="N100" s="1">
        <f>MAX(-16, MIN(16, Games[[#This Row],[OppRestDiff]]*8))</f>
        <v>-16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1395.0981218824452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1623.9842196118818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0.16563141105459267</v>
      </c>
      <c r="R100" s="1">
        <v>59</v>
      </c>
      <c r="S100" s="1">
        <v>76</v>
      </c>
      <c r="T100" s="1">
        <v>0</v>
      </c>
      <c r="U100" s="1">
        <f>Games[[#This Row],[PointsFor]]-Games[[#This Row],[PointsAgainst]]</f>
        <v>-17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0.44715284438254782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0" s="9">
        <f>MAX(kmin, kmax - 0.15 * MIN(Games[[#This Row],[GamesPlayed]], 82))</f>
        <v>74.650000000000006</v>
      </c>
      <c r="Z100" s="4">
        <f>Games[[#This Row],[K]]*Games[[#This Row],[POMult]]</f>
        <v>74.650000000000006</v>
      </c>
      <c r="AA100" s="4">
        <f>(Games[[#This Row],[Keff]]*Games[[#This Row],[MOVMult]])*(Games[[#This Row],[Result]]-Games[[#This Row],[ExpectedWin%]])</f>
        <v>-5.5287698481114518</v>
      </c>
      <c r="AB100" s="4">
        <f>Games[[#This Row],[PreGmRate]]+Games[[#This Row],[RatingChange]]</f>
        <v>1389.5693520343336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45447</v>
      </c>
      <c r="B101" s="2">
        <v>2024</v>
      </c>
      <c r="C101" s="2">
        <f>COUNTIFS(Games[Team],Games[[#This Row],[Team]],Games[Season],Games[[#This Row],[Season]],Games[Date],"&lt;=" &amp; Games[[#This Row],[Date]])</f>
        <v>9</v>
      </c>
      <c r="D101" s="2" t="s">
        <v>79</v>
      </c>
      <c r="E101" s="2" t="s">
        <v>80</v>
      </c>
      <c r="F101" s="1" t="s">
        <v>74</v>
      </c>
      <c r="G101" s="1" t="s">
        <v>65</v>
      </c>
      <c r="H101" s="1" t="s">
        <v>82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1" s="2">
        <f>Games[[#This Row],[DaysOff]]-Games[[#This Row],[OppDaysOff]]</f>
        <v>-2</v>
      </c>
      <c r="L101" s="2">
        <f>Games[[#This Row],[OppDaysOff]]-Games[[#This Row],[DaysOff]]</f>
        <v>2</v>
      </c>
      <c r="M101" s="1">
        <f>MAX(-16, MIN(16, Games[[#This Row],[RestDiff]]*8))</f>
        <v>-16</v>
      </c>
      <c r="N101" s="1">
        <f>MAX(-16, MIN(16, Games[[#This Row],[OppRestDiff]]*8))</f>
        <v>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1623.9842196118818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1395.0981218824452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0.83436858894540733</v>
      </c>
      <c r="R101" s="1">
        <v>76</v>
      </c>
      <c r="S101" s="1">
        <v>59</v>
      </c>
      <c r="T101" s="1">
        <v>0</v>
      </c>
      <c r="U101" s="1">
        <f>Games[[#This Row],[PointsFor]]-Games[[#This Row],[PointsAgainst]]</f>
        <v>17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0.44715284438254782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1" s="9">
        <f>MAX(kmin, kmax - 0.15 * MIN(Games[[#This Row],[GamesPlayed]], 82))</f>
        <v>74.650000000000006</v>
      </c>
      <c r="Z101" s="4">
        <f>Games[[#This Row],[K]]*Games[[#This Row],[POMult]]</f>
        <v>74.650000000000006</v>
      </c>
      <c r="AA101" s="4">
        <f>(Games[[#This Row],[Keff]]*Games[[#This Row],[MOVMult]])*(Games[[#This Row],[Result]]-Games[[#This Row],[ExpectedWin%]])</f>
        <v>5.5287698481114518</v>
      </c>
      <c r="AB101" s="4">
        <f>Games[[#This Row],[PreGmRate]]+Games[[#This Row],[RatingChange]]</f>
        <v>1629.5129894599934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45447</v>
      </c>
      <c r="B102" s="2">
        <v>2024</v>
      </c>
      <c r="C102" s="2">
        <f>COUNTIFS(Games[Team],Games[[#This Row],[Team]],Games[Season],Games[[#This Row],[Season]],Games[Date],"&lt;=" &amp; Games[[#This Row],[Date]])</f>
        <v>10</v>
      </c>
      <c r="D102" s="2" t="s">
        <v>79</v>
      </c>
      <c r="E102" s="2" t="s">
        <v>80</v>
      </c>
      <c r="F102" s="1" t="s">
        <v>40</v>
      </c>
      <c r="G102" s="1" t="s">
        <v>71</v>
      </c>
      <c r="H102" s="1" t="s">
        <v>81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2" s="2">
        <f>Games[[#This Row],[DaysOff]]-Games[[#This Row],[OppDaysOff]]</f>
        <v>-3</v>
      </c>
      <c r="L102" s="2">
        <f>Games[[#This Row],[OppDaysOff]]-Games[[#This Row],[DaysOff]]</f>
        <v>3</v>
      </c>
      <c r="M102" s="1">
        <f>MAX(-16, MIN(16, Games[[#This Row],[RestDiff]]*8))</f>
        <v>-16</v>
      </c>
      <c r="N102" s="1">
        <f>MAX(-16, MIN(16, Games[[#This Row],[OppRestDiff]]*8))</f>
        <v>16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1419.5133034537448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1495.8942522171715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0.24834962413998193</v>
      </c>
      <c r="R102" s="1">
        <v>62</v>
      </c>
      <c r="S102" s="1">
        <v>80</v>
      </c>
      <c r="T102" s="1">
        <v>0</v>
      </c>
      <c r="U102" s="1">
        <f>Games[[#This Row],[PointsFor]]-Games[[#This Row],[PointsAgainst]]</f>
        <v>-18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0.51411039877030495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2" s="9">
        <f>MAX(kmin, kmax - 0.15 * MIN(Games[[#This Row],[GamesPlayed]], 82))</f>
        <v>74.5</v>
      </c>
      <c r="Z102" s="4">
        <f>Games[[#This Row],[K]]*Games[[#This Row],[POMult]]</f>
        <v>74.5</v>
      </c>
      <c r="AA102" s="4">
        <f>(Games[[#This Row],[Keff]]*Games[[#This Row],[MOVMult]])*(Games[[#This Row],[Result]]-Games[[#This Row],[ExpectedWin%]])</f>
        <v>-9.5120947604290791</v>
      </c>
      <c r="AB102" s="4">
        <f>Games[[#This Row],[PreGmRate]]+Games[[#This Row],[RatingChange]]</f>
        <v>1410.0012086933157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45447</v>
      </c>
      <c r="B103" s="2">
        <v>2024</v>
      </c>
      <c r="C103" s="2">
        <f>COUNTIFS(Games[Team],Games[[#This Row],[Team]],Games[Season],Games[[#This Row],[Season]],Games[Date],"&lt;=" &amp; Games[[#This Row],[Date]])</f>
        <v>9</v>
      </c>
      <c r="D103" s="2" t="s">
        <v>79</v>
      </c>
      <c r="E103" s="2" t="s">
        <v>80</v>
      </c>
      <c r="F103" s="1" t="s">
        <v>71</v>
      </c>
      <c r="G103" s="1" t="s">
        <v>40</v>
      </c>
      <c r="H103" s="1" t="s">
        <v>82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3</v>
      </c>
      <c r="L103" s="2">
        <f>Games[[#This Row],[OppDaysOff]]-Games[[#This Row],[DaysOff]]</f>
        <v>-3</v>
      </c>
      <c r="M103" s="1">
        <f>MAX(-16, MIN(16, Games[[#This Row],[RestDiff]]*8))</f>
        <v>16</v>
      </c>
      <c r="N103" s="1">
        <f>MAX(-16, MIN(16, Games[[#This Row],[OppRestDiff]]*8))</f>
        <v>-16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1495.8942522171715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1419.5133034537448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0.75165037586001815</v>
      </c>
      <c r="R103" s="1">
        <v>80</v>
      </c>
      <c r="S103" s="1">
        <v>62</v>
      </c>
      <c r="T103" s="1">
        <v>0</v>
      </c>
      <c r="U103" s="1">
        <f>Games[[#This Row],[PointsFor]]-Games[[#This Row],[PointsAgainst]]</f>
        <v>18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0.51411039877030495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3" s="9">
        <f>MAX(kmin, kmax - 0.15 * MIN(Games[[#This Row],[GamesPlayed]], 82))</f>
        <v>74.650000000000006</v>
      </c>
      <c r="Z103" s="4">
        <f>Games[[#This Row],[K]]*Games[[#This Row],[POMult]]</f>
        <v>74.650000000000006</v>
      </c>
      <c r="AA103" s="4">
        <f>(Games[[#This Row],[Keff]]*Games[[#This Row],[MOVMult]])*(Games[[#This Row],[Result]]-Games[[#This Row],[ExpectedWin%]])</f>
        <v>9.5312466290742357</v>
      </c>
      <c r="AB103" s="4">
        <f>Games[[#This Row],[PreGmRate]]+Games[[#This Row],[RatingChange]]</f>
        <v>1505.4254988462458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45448</v>
      </c>
      <c r="B104" s="2">
        <v>2024</v>
      </c>
      <c r="C104" s="2">
        <f>COUNTIFS(Games[Team],Games[[#This Row],[Team]],Games[Season],Games[[#This Row],[Season]],Games[Date],"&lt;=" &amp; Games[[#This Row],[Date]])</f>
        <v>7</v>
      </c>
      <c r="D104" s="2" t="s">
        <v>79</v>
      </c>
      <c r="E104" s="2" t="s">
        <v>80</v>
      </c>
      <c r="F104" s="1" t="s">
        <v>86</v>
      </c>
      <c r="G104" s="1" t="s">
        <v>85</v>
      </c>
      <c r="H104" s="1" t="s">
        <v>81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4" s="2">
        <f>Games[[#This Row],[DaysOff]]-Games[[#This Row],[OppDaysOff]]</f>
        <v>2</v>
      </c>
      <c r="L104" s="2">
        <f>Games[[#This Row],[OppDaysOff]]-Games[[#This Row],[DaysOff]]</f>
        <v>-2</v>
      </c>
      <c r="M104" s="1">
        <f>MAX(-16, MIN(16, Games[[#This Row],[RestDiff]]*8))</f>
        <v>16</v>
      </c>
      <c r="N104" s="1">
        <f>MAX(-16, MIN(16, Games[[#This Row],[OppRestDiff]]*8))</f>
        <v>-16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1629.8121244299705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1516.2335834476135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0.58770222981502596</v>
      </c>
      <c r="R104" s="1">
        <v>95</v>
      </c>
      <c r="S104" s="1">
        <v>81</v>
      </c>
      <c r="T104" s="1">
        <v>0</v>
      </c>
      <c r="U104" s="1">
        <f>Games[[#This Row],[PointsFor]]-Games[[#This Row],[PointsAgainst]]</f>
        <v>14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0.44544707909382669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4" s="9">
        <f>MAX(kmin, kmax - 0.15 * MIN(Games[[#This Row],[GamesPlayed]], 82))</f>
        <v>74.95</v>
      </c>
      <c r="Z104" s="4">
        <f>Games[[#This Row],[K]]*Games[[#This Row],[POMult]]</f>
        <v>74.95</v>
      </c>
      <c r="AA104" s="4">
        <f>(Games[[#This Row],[Keff]]*Games[[#This Row],[MOVMult]])*(Games[[#This Row],[Result]]-Games[[#This Row],[ExpectedWin%]])</f>
        <v>13.765079966562299</v>
      </c>
      <c r="AB104" s="4">
        <f>Games[[#This Row],[PreGmRate]]+Games[[#This Row],[RatingChange]]</f>
        <v>1643.5772043965328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45448</v>
      </c>
      <c r="B105" s="2">
        <v>2024</v>
      </c>
      <c r="C105" s="2">
        <f>COUNTIFS(Games[Team],Games[[#This Row],[Team]],Games[Season],Games[[#This Row],[Season]],Games[Date],"&lt;=" &amp; Games[[#This Row],[Date]])</f>
        <v>8</v>
      </c>
      <c r="D105" s="2" t="s">
        <v>79</v>
      </c>
      <c r="E105" s="2" t="s">
        <v>80</v>
      </c>
      <c r="F105" s="1" t="s">
        <v>85</v>
      </c>
      <c r="G105" s="1" t="s">
        <v>86</v>
      </c>
      <c r="H105" s="1" t="s">
        <v>82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5" s="2">
        <f>Games[[#This Row],[DaysOff]]-Games[[#This Row],[OppDaysOff]]</f>
        <v>-2</v>
      </c>
      <c r="L105" s="2">
        <f>Games[[#This Row],[OppDaysOff]]-Games[[#This Row],[DaysOff]]</f>
        <v>2</v>
      </c>
      <c r="M105" s="1">
        <f>MAX(-16, MIN(16, Games[[#This Row],[RestDiff]]*8))</f>
        <v>-16</v>
      </c>
      <c r="N105" s="1">
        <f>MAX(-16, MIN(16, Games[[#This Row],[OppRestDiff]]*8))</f>
        <v>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1516.2335834476135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1629.8121244299705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0.41229777018497404</v>
      </c>
      <c r="R105" s="1">
        <v>81</v>
      </c>
      <c r="S105" s="1">
        <v>95</v>
      </c>
      <c r="T105" s="1">
        <v>0</v>
      </c>
      <c r="U105" s="1">
        <f>Games[[#This Row],[PointsFor]]-Games[[#This Row],[PointsAgainst]]</f>
        <v>-14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0.44544707909382669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5" s="9">
        <f>MAX(kmin, kmax - 0.15 * MIN(Games[[#This Row],[GamesPlayed]], 82))</f>
        <v>74.8</v>
      </c>
      <c r="Z105" s="4">
        <f>Games[[#This Row],[K]]*Games[[#This Row],[POMult]]</f>
        <v>74.8</v>
      </c>
      <c r="AA105" s="4">
        <f>(Games[[#This Row],[Keff]]*Games[[#This Row],[MOVMult]])*(Games[[#This Row],[Result]]-Games[[#This Row],[ExpectedWin%]])</f>
        <v>-13.737531440945428</v>
      </c>
      <c r="AB105" s="4">
        <f>Games[[#This Row],[PreGmRate]]+Games[[#This Row],[RatingChange]]</f>
        <v>1502.4960520066679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45448</v>
      </c>
      <c r="B106" s="2">
        <v>2024</v>
      </c>
      <c r="C106" s="2">
        <f>COUNTIFS(Games[Team],Games[[#This Row],[Team]],Games[Season],Games[[#This Row],[Season]],Games[Date],"&lt;=" &amp; Games[[#This Row],[Date]])</f>
        <v>9</v>
      </c>
      <c r="D106" s="2" t="s">
        <v>79</v>
      </c>
      <c r="E106" s="2" t="s">
        <v>80</v>
      </c>
      <c r="F106" s="1" t="s">
        <v>67</v>
      </c>
      <c r="G106" s="1" t="s">
        <v>63</v>
      </c>
      <c r="H106" s="1" t="s">
        <v>81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1544.0312934941824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1415.6322210021008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0.56354984422055021</v>
      </c>
      <c r="R106" s="1">
        <v>86</v>
      </c>
      <c r="S106" s="1">
        <v>62</v>
      </c>
      <c r="T106" s="1">
        <v>0</v>
      </c>
      <c r="U106" s="1">
        <f>Games[[#This Row],[PointsFor]]-Games[[#This Row],[PointsAgainst]]</f>
        <v>24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0.56768868102492542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6" s="9">
        <f>MAX(kmin, kmax - 0.15 * MIN(Games[[#This Row],[GamesPlayed]], 82))</f>
        <v>74.650000000000006</v>
      </c>
      <c r="Z106" s="4">
        <f>Games[[#This Row],[K]]*Games[[#This Row],[POMult]]</f>
        <v>74.650000000000006</v>
      </c>
      <c r="AA106" s="4">
        <f>(Games[[#This Row],[Keff]]*Games[[#This Row],[MOVMult]])*(Games[[#This Row],[Result]]-Games[[#This Row],[ExpectedWin%]])</f>
        <v>18.495867260423285</v>
      </c>
      <c r="AB106" s="4">
        <f>Games[[#This Row],[PreGmRate]]+Games[[#This Row],[RatingChange]]</f>
        <v>1562.5271607546056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45448</v>
      </c>
      <c r="B107" s="2">
        <v>2024</v>
      </c>
      <c r="C107" s="2">
        <f>COUNTIFS(Games[Team],Games[[#This Row],[Team]],Games[Season],Games[[#This Row],[Season]],Games[Date],"&lt;=" &amp; Games[[#This Row],[Date]])</f>
        <v>9</v>
      </c>
      <c r="D107" s="2" t="s">
        <v>79</v>
      </c>
      <c r="E107" s="2" t="s">
        <v>80</v>
      </c>
      <c r="F107" s="1" t="s">
        <v>63</v>
      </c>
      <c r="G107" s="1" t="s">
        <v>67</v>
      </c>
      <c r="H107" s="1" t="s">
        <v>82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1415.6322210021008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1544.0312934941824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0.43645015577944984</v>
      </c>
      <c r="R107" s="1">
        <v>62</v>
      </c>
      <c r="S107" s="1">
        <v>86</v>
      </c>
      <c r="T107" s="1">
        <v>0</v>
      </c>
      <c r="U107" s="1">
        <f>Games[[#This Row],[PointsFor]]-Games[[#This Row],[PointsAgainst]]</f>
        <v>-24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0.56768868102492542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7" s="9">
        <f>MAX(kmin, kmax - 0.15 * MIN(Games[[#This Row],[GamesPlayed]], 82))</f>
        <v>74.650000000000006</v>
      </c>
      <c r="Z107" s="4">
        <f>Games[[#This Row],[K]]*Games[[#This Row],[POMult]]</f>
        <v>74.650000000000006</v>
      </c>
      <c r="AA107" s="4">
        <f>(Games[[#This Row],[Keff]]*Games[[#This Row],[MOVMult]])*(Games[[#This Row],[Result]]-Games[[#This Row],[ExpectedWin%]])</f>
        <v>-18.495867260423289</v>
      </c>
      <c r="AB107" s="4">
        <f>Games[[#This Row],[PreGmRate]]+Games[[#This Row],[RatingChange]]</f>
        <v>1397.1363537416776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45449</v>
      </c>
      <c r="B108" s="2">
        <v>2024</v>
      </c>
      <c r="C108" s="2">
        <f>COUNTIFS(Games[Team],Games[[#This Row],[Team]],Games[Season],Games[[#This Row],[Season]],Games[Date],"&lt;=" &amp; Games[[#This Row],[Date]])</f>
        <v>11</v>
      </c>
      <c r="D108" s="2" t="s">
        <v>79</v>
      </c>
      <c r="E108" s="2" t="s">
        <v>80</v>
      </c>
      <c r="F108" s="1" t="s">
        <v>60</v>
      </c>
      <c r="G108" s="1" t="s">
        <v>77</v>
      </c>
      <c r="H108" s="1" t="s">
        <v>81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8" s="2">
        <f>Games[[#This Row],[DaysOff]]-Games[[#This Row],[OppDaysOff]]</f>
        <v>-2</v>
      </c>
      <c r="L108" s="2">
        <f>Games[[#This Row],[OppDaysOff]]-Games[[#This Row],[DaysOff]]</f>
        <v>2</v>
      </c>
      <c r="M108" s="1">
        <f>MAX(-16, MIN(16, Games[[#This Row],[RestDiff]]*8))</f>
        <v>-16</v>
      </c>
      <c r="N108" s="1">
        <f>MAX(-16, MIN(16, Games[[#This Row],[OppRestDiff]]*8))</f>
        <v>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1632.361043442497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1476.7541947911645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0.55675320492945146</v>
      </c>
      <c r="R108" s="1">
        <v>78</v>
      </c>
      <c r="S108" s="1">
        <v>61</v>
      </c>
      <c r="T108" s="1">
        <v>0</v>
      </c>
      <c r="U108" s="1">
        <f>Games[[#This Row],[PointsFor]]-Games[[#This Row],[PointsAgainst]]</f>
        <v>17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0.47132432499441601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8" s="9">
        <f>MAX(kmin, kmax - 0.15 * MIN(Games[[#This Row],[GamesPlayed]], 82))</f>
        <v>74.349999999999994</v>
      </c>
      <c r="Z108" s="4">
        <f>Games[[#This Row],[K]]*Games[[#This Row],[POMult]]</f>
        <v>74.349999999999994</v>
      </c>
      <c r="AA108" s="4">
        <f>(Games[[#This Row],[Keff]]*Games[[#This Row],[MOVMult]])*(Games[[#This Row],[Result]]-Games[[#This Row],[ExpectedWin%]])</f>
        <v>15.532681289222174</v>
      </c>
      <c r="AB108" s="4">
        <f>Games[[#This Row],[PreGmRate]]+Games[[#This Row],[RatingChange]]</f>
        <v>1647.8937247317192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45449</v>
      </c>
      <c r="B109" s="2">
        <v>2024</v>
      </c>
      <c r="C109" s="2">
        <f>COUNTIFS(Games[Team],Games[[#This Row],[Team]],Games[Season],Games[[#This Row],[Season]],Games[Date],"&lt;=" &amp; Games[[#This Row],[Date]])</f>
        <v>8</v>
      </c>
      <c r="D109" s="2" t="s">
        <v>79</v>
      </c>
      <c r="E109" s="2" t="s">
        <v>80</v>
      </c>
      <c r="F109" s="1" t="s">
        <v>77</v>
      </c>
      <c r="G109" s="1" t="s">
        <v>60</v>
      </c>
      <c r="H109" s="1" t="s">
        <v>82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9" s="2">
        <f>Games[[#This Row],[DaysOff]]-Games[[#This Row],[OppDaysOff]]</f>
        <v>2</v>
      </c>
      <c r="L109" s="2">
        <f>Games[[#This Row],[OppDaysOff]]-Games[[#This Row],[DaysOff]]</f>
        <v>-2</v>
      </c>
      <c r="M109" s="1">
        <f>MAX(-16, MIN(16, Games[[#This Row],[RestDiff]]*8))</f>
        <v>16</v>
      </c>
      <c r="N109" s="1">
        <f>MAX(-16, MIN(16, Games[[#This Row],[OppRestDiff]]*8))</f>
        <v>-16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1476.7541947911645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1632.361043442497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0.44324679507054848</v>
      </c>
      <c r="R109" s="1">
        <v>61</v>
      </c>
      <c r="S109" s="1">
        <v>78</v>
      </c>
      <c r="T109" s="1">
        <v>0</v>
      </c>
      <c r="U109" s="1">
        <f>Games[[#This Row],[PointsFor]]-Games[[#This Row],[PointsAgainst]]</f>
        <v>-17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0.47132432499441601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9" s="9">
        <f>MAX(kmin, kmax - 0.15 * MIN(Games[[#This Row],[GamesPlayed]], 82))</f>
        <v>74.8</v>
      </c>
      <c r="Z109" s="4">
        <f>Games[[#This Row],[K]]*Games[[#This Row],[POMult]]</f>
        <v>74.8</v>
      </c>
      <c r="AA109" s="4">
        <f>(Games[[#This Row],[Keff]]*Games[[#This Row],[MOVMult]])*(Games[[#This Row],[Result]]-Games[[#This Row],[ExpectedWin%]])</f>
        <v>-15.626692137643825</v>
      </c>
      <c r="AB109" s="4">
        <f>Games[[#This Row],[PreGmRate]]+Games[[#This Row],[RatingChange]]</f>
        <v>1461.1275026535207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45449</v>
      </c>
      <c r="B110" s="2">
        <v>2024</v>
      </c>
      <c r="C110" s="2">
        <f>COUNTIFS(Games[Team],Games[[#This Row],[Team]],Games[Season],Games[[#This Row],[Season]],Games[Date],"&lt;=" &amp; Games[[#This Row],[Date]])</f>
        <v>9</v>
      </c>
      <c r="D110" s="2" t="s">
        <v>79</v>
      </c>
      <c r="E110" s="2" t="s">
        <v>80</v>
      </c>
      <c r="F110" s="1" t="s">
        <v>75</v>
      </c>
      <c r="G110" s="1" t="s">
        <v>65</v>
      </c>
      <c r="H110" s="1" t="s">
        <v>81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0" s="2">
        <f>Games[[#This Row],[DaysOff]]-Games[[#This Row],[OppDaysOff]]</f>
        <v>0</v>
      </c>
      <c r="L110" s="2">
        <f>Games[[#This Row],[OppDaysOff]]-Games[[#This Row],[DaysOff]]</f>
        <v>0</v>
      </c>
      <c r="M110" s="1">
        <f>MAX(-16, MIN(16, Games[[#This Row],[RestDiff]]*8))</f>
        <v>0</v>
      </c>
      <c r="N110" s="1">
        <f>MAX(-16, MIN(16, Games[[#This Row],[OppRestDiff]]*8))</f>
        <v>0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1482.2986145881985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1389.5693520343336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0.51255977593719193</v>
      </c>
      <c r="R110" s="1">
        <v>79</v>
      </c>
      <c r="S110" s="1">
        <v>71</v>
      </c>
      <c r="T110" s="1">
        <v>0</v>
      </c>
      <c r="U110" s="1">
        <f>Games[[#This Row],[PointsFor]]-Games[[#This Row],[PointsAgainst]]</f>
        <v>8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0.36046112322315471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0" s="9">
        <f>MAX(kmin, kmax - 0.15 * MIN(Games[[#This Row],[GamesPlayed]], 82))</f>
        <v>74.650000000000006</v>
      </c>
      <c r="Z110" s="4">
        <f>Games[[#This Row],[K]]*Games[[#This Row],[POMult]]</f>
        <v>74.650000000000006</v>
      </c>
      <c r="AA110" s="4">
        <f>(Games[[#This Row],[Keff]]*Games[[#This Row],[MOVMult]])*(Games[[#This Row],[Result]]-Games[[#This Row],[ExpectedWin%]])</f>
        <v>13.116247662502513</v>
      </c>
      <c r="AB110" s="4">
        <f>Games[[#This Row],[PreGmRate]]+Games[[#This Row],[RatingChange]]</f>
        <v>1495.4148622507009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45449</v>
      </c>
      <c r="B111" s="2">
        <v>2024</v>
      </c>
      <c r="C111" s="2">
        <f>COUNTIFS(Games[Team],Games[[#This Row],[Team]],Games[Season],Games[[#This Row],[Season]],Games[Date],"&lt;=" &amp; Games[[#This Row],[Date]])</f>
        <v>10</v>
      </c>
      <c r="D111" s="2" t="s">
        <v>79</v>
      </c>
      <c r="E111" s="2" t="s">
        <v>80</v>
      </c>
      <c r="F111" s="1" t="s">
        <v>65</v>
      </c>
      <c r="G111" s="1" t="s">
        <v>75</v>
      </c>
      <c r="H111" s="1" t="s">
        <v>82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1" s="2">
        <f>Games[[#This Row],[DaysOff]]-Games[[#This Row],[OppDaysOff]]</f>
        <v>0</v>
      </c>
      <c r="L111" s="2">
        <f>Games[[#This Row],[OppDaysOff]]-Games[[#This Row],[DaysOff]]</f>
        <v>0</v>
      </c>
      <c r="M111" s="1">
        <f>MAX(-16, MIN(16, Games[[#This Row],[RestDiff]]*8))</f>
        <v>0</v>
      </c>
      <c r="N111" s="1">
        <f>MAX(-16, MIN(16, Games[[#This Row],[OppRestDiff]]*8))</f>
        <v>0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1389.5693520343336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1482.2986145881985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0.48744022406280796</v>
      </c>
      <c r="R111" s="1">
        <v>71</v>
      </c>
      <c r="S111" s="1">
        <v>79</v>
      </c>
      <c r="T111" s="1">
        <v>0</v>
      </c>
      <c r="U111" s="1">
        <f>Games[[#This Row],[PointsFor]]-Games[[#This Row],[PointsAgainst]]</f>
        <v>-8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0.36046112322315471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1" s="9">
        <f>MAX(kmin, kmax - 0.15 * MIN(Games[[#This Row],[GamesPlayed]], 82))</f>
        <v>74.5</v>
      </c>
      <c r="Z111" s="4">
        <f>Games[[#This Row],[K]]*Games[[#This Row],[POMult]]</f>
        <v>74.5</v>
      </c>
      <c r="AA111" s="4">
        <f>(Games[[#This Row],[Keff]]*Games[[#This Row],[MOVMult]])*(Games[[#This Row],[Result]]-Games[[#This Row],[ExpectedWin%]])</f>
        <v>-13.089892174902035</v>
      </c>
      <c r="AB111" s="4">
        <f>Games[[#This Row],[PreGmRate]]+Games[[#This Row],[RatingChange]]</f>
        <v>1376.4794598594317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45450</v>
      </c>
      <c r="B112" s="2">
        <v>2024</v>
      </c>
      <c r="C112" s="2">
        <f>COUNTIFS(Games[Team],Games[[#This Row],[Team]],Games[Season],Games[[#This Row],[Season]],Games[Date],"&lt;=" &amp; Games[[#This Row],[Date]])</f>
        <v>9</v>
      </c>
      <c r="D112" s="2" t="s">
        <v>79</v>
      </c>
      <c r="E112" s="2" t="s">
        <v>80</v>
      </c>
      <c r="F112" s="1" t="s">
        <v>85</v>
      </c>
      <c r="G112" s="1" t="s">
        <v>63</v>
      </c>
      <c r="H112" s="1" t="s">
        <v>81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1502.4960520066679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1397.1363537416776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0.53070040845580679</v>
      </c>
      <c r="R112" s="1">
        <v>72</v>
      </c>
      <c r="S112" s="1">
        <v>81</v>
      </c>
      <c r="T112" s="1">
        <v>0</v>
      </c>
      <c r="U112" s="1">
        <f>Games[[#This Row],[PointsFor]]-Games[[#This Row],[PointsAgainst]]</f>
        <v>-9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0.37320428478388329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2" s="9">
        <f>MAX(kmin, kmax - 0.15 * MIN(Games[[#This Row],[GamesPlayed]], 82))</f>
        <v>74.650000000000006</v>
      </c>
      <c r="Z112" s="4">
        <f>Games[[#This Row],[K]]*Games[[#This Row],[POMult]]</f>
        <v>74.650000000000006</v>
      </c>
      <c r="AA112" s="4">
        <f>(Games[[#This Row],[Keff]]*Games[[#This Row],[MOVMult]])*(Games[[#This Row],[Result]]-Games[[#This Row],[ExpectedWin%]])</f>
        <v>-14.785154094689517</v>
      </c>
      <c r="AB112" s="4">
        <f>Games[[#This Row],[PreGmRate]]+Games[[#This Row],[RatingChange]]</f>
        <v>1487.7108979119785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45450</v>
      </c>
      <c r="B113" s="2">
        <v>2024</v>
      </c>
      <c r="C113" s="2">
        <f>COUNTIFS(Games[Team],Games[[#This Row],[Team]],Games[Season],Games[[#This Row],[Season]],Games[Date],"&lt;=" &amp; Games[[#This Row],[Date]])</f>
        <v>10</v>
      </c>
      <c r="D113" s="2" t="s">
        <v>79</v>
      </c>
      <c r="E113" s="2" t="s">
        <v>80</v>
      </c>
      <c r="F113" s="1" t="s">
        <v>63</v>
      </c>
      <c r="G113" s="1" t="s">
        <v>85</v>
      </c>
      <c r="H113" s="1" t="s">
        <v>82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1397.1363537416776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1502.4960520066679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0.46929959154419326</v>
      </c>
      <c r="R113" s="1">
        <v>81</v>
      </c>
      <c r="S113" s="1">
        <v>72</v>
      </c>
      <c r="T113" s="1">
        <v>0</v>
      </c>
      <c r="U113" s="1">
        <f>Games[[#This Row],[PointsFor]]-Games[[#This Row],[PointsAgainst]]</f>
        <v>9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0.37320428478388329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14.755445144733672</v>
      </c>
      <c r="AB113" s="4">
        <f>Games[[#This Row],[PreGmRate]]+Games[[#This Row],[RatingChange]]</f>
        <v>1411.8917988864112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45450</v>
      </c>
      <c r="B114" s="2">
        <v>2024</v>
      </c>
      <c r="C114" s="2">
        <f>COUNTIFS(Games[Team],Games[[#This Row],[Team]],Games[Season],Games[[#This Row],[Season]],Games[Date],"&lt;=" &amp; Games[[#This Row],[Date]])</f>
        <v>10</v>
      </c>
      <c r="D114" s="2" t="s">
        <v>79</v>
      </c>
      <c r="E114" s="2" t="s">
        <v>80</v>
      </c>
      <c r="F114" s="1" t="s">
        <v>71</v>
      </c>
      <c r="G114" s="1" t="s">
        <v>86</v>
      </c>
      <c r="H114" s="1" t="s">
        <v>81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1</v>
      </c>
      <c r="L114" s="2">
        <f>Games[[#This Row],[OppDaysOff]]-Games[[#This Row],[DaysOff]]</f>
        <v>-1</v>
      </c>
      <c r="M114" s="1">
        <f>MAX(-16, MIN(16, Games[[#This Row],[RestDiff]]*8))</f>
        <v>8</v>
      </c>
      <c r="N114" s="1">
        <f>MAX(-16, MIN(16, Games[[#This Row],[OppRestDiff]]*8))</f>
        <v>-8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1505.4254988462458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1643.5772043965328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0.23384883160323652</v>
      </c>
      <c r="R114" s="1">
        <v>78</v>
      </c>
      <c r="S114" s="1">
        <v>65</v>
      </c>
      <c r="T114" s="1">
        <v>0</v>
      </c>
      <c r="U114" s="1">
        <f>Games[[#This Row],[PointsFor]]-Games[[#This Row],[PointsAgainst]]</f>
        <v>13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0.42330963255320836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4" s="9">
        <f>MAX(kmin, kmax - 0.15 * MIN(Games[[#This Row],[GamesPlayed]], 82))</f>
        <v>74.5</v>
      </c>
      <c r="Z114" s="4">
        <f>Games[[#This Row],[K]]*Games[[#This Row],[POMult]]</f>
        <v>74.5</v>
      </c>
      <c r="AA114" s="4">
        <f>(Games[[#This Row],[Keff]]*Games[[#This Row],[MOVMult]])*(Games[[#This Row],[Result]]-Games[[#This Row],[ExpectedWin%]])</f>
        <v>24.161778133281267</v>
      </c>
      <c r="AB114" s="4">
        <f>Games[[#This Row],[PreGmRate]]+Games[[#This Row],[RatingChange]]</f>
        <v>1529.5872769795271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45450</v>
      </c>
      <c r="B115" s="2">
        <v>2024</v>
      </c>
      <c r="C115" s="2">
        <f>COUNTIFS(Games[Team],Games[[#This Row],[Team]],Games[Season],Games[[#This Row],[Season]],Games[Date],"&lt;=" &amp; Games[[#This Row],[Date]])</f>
        <v>8</v>
      </c>
      <c r="D115" s="2" t="s">
        <v>79</v>
      </c>
      <c r="E115" s="2" t="s">
        <v>80</v>
      </c>
      <c r="F115" s="1" t="s">
        <v>86</v>
      </c>
      <c r="G115" s="1" t="s">
        <v>71</v>
      </c>
      <c r="H115" s="1" t="s">
        <v>82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5" s="2">
        <f>Games[[#This Row],[DaysOff]]-Games[[#This Row],[OppDaysOff]]</f>
        <v>-1</v>
      </c>
      <c r="L115" s="2">
        <f>Games[[#This Row],[OppDaysOff]]-Games[[#This Row],[DaysOff]]</f>
        <v>1</v>
      </c>
      <c r="M115" s="1">
        <f>MAX(-16, MIN(16, Games[[#This Row],[RestDiff]]*8))</f>
        <v>-8</v>
      </c>
      <c r="N115" s="1">
        <f>MAX(-16, MIN(16, Games[[#This Row],[OppRestDiff]]*8))</f>
        <v>8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1643.5772043965328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1505.4254988462458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0.76615116839676345</v>
      </c>
      <c r="R115" s="1">
        <v>65</v>
      </c>
      <c r="S115" s="1">
        <v>78</v>
      </c>
      <c r="T115" s="1">
        <v>0</v>
      </c>
      <c r="U115" s="1">
        <f>Games[[#This Row],[PointsFor]]-Games[[#This Row],[PointsAgainst]]</f>
        <v>-13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0.42330963255320836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5" s="9">
        <f>MAX(kmin, kmax - 0.15 * MIN(Games[[#This Row],[GamesPlayed]], 82))</f>
        <v>74.8</v>
      </c>
      <c r="Z115" s="4">
        <f>Games[[#This Row],[K]]*Games[[#This Row],[POMult]]</f>
        <v>74.8</v>
      </c>
      <c r="AA115" s="4">
        <f>(Games[[#This Row],[Keff]]*Games[[#This Row],[MOVMult]])*(Games[[#This Row],[Result]]-Games[[#This Row],[ExpectedWin%]])</f>
        <v>-24.25907388415354</v>
      </c>
      <c r="AB115" s="4">
        <f>Games[[#This Row],[PreGmRate]]+Games[[#This Row],[RatingChange]]</f>
        <v>1619.3181305123792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45450</v>
      </c>
      <c r="B116" s="2">
        <v>2024</v>
      </c>
      <c r="C116" s="2">
        <f>COUNTIFS(Games[Team],Games[[#This Row],[Team]],Games[Season],Games[[#This Row],[Season]],Games[Date],"&lt;=" &amp; Games[[#This Row],[Date]])</f>
        <v>10</v>
      </c>
      <c r="D116" s="2" t="s">
        <v>79</v>
      </c>
      <c r="E116" s="2" t="s">
        <v>80</v>
      </c>
      <c r="F116" s="1" t="s">
        <v>67</v>
      </c>
      <c r="G116" s="1" t="s">
        <v>40</v>
      </c>
      <c r="H116" s="1" t="s">
        <v>81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6" s="2">
        <f>Games[[#This Row],[DaysOff]]-Games[[#This Row],[OppDaysOff]]</f>
        <v>-1</v>
      </c>
      <c r="L116" s="2">
        <f>Games[[#This Row],[OppDaysOff]]-Games[[#This Row],[DaysOff]]</f>
        <v>1</v>
      </c>
      <c r="M116" s="1">
        <f>MAX(-16, MIN(16, Games[[#This Row],[RestDiff]]*8))</f>
        <v>-8</v>
      </c>
      <c r="N116" s="1">
        <f>MAX(-16, MIN(16, Games[[#This Row],[OppRestDiff]]*8))</f>
        <v>8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1562.5271607546056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1410.0012086933157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0.57502023746152231</v>
      </c>
      <c r="R116" s="1">
        <v>80</v>
      </c>
      <c r="S116" s="1">
        <v>81</v>
      </c>
      <c r="T116" s="1">
        <v>0</v>
      </c>
      <c r="U116" s="1">
        <f>Games[[#This Row],[PointsFor]]-Games[[#This Row],[PointsAgainst]]</f>
        <v>-1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0.21664324053212258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-9.2807814473335046</v>
      </c>
      <c r="AB116" s="4">
        <f>Games[[#This Row],[PreGmRate]]+Games[[#This Row],[RatingChange]]</f>
        <v>1553.246379307272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45450</v>
      </c>
      <c r="B117" s="2">
        <v>2024</v>
      </c>
      <c r="C117" s="2">
        <f>COUNTIFS(Games[Team],Games[[#This Row],[Team]],Games[Season],Games[[#This Row],[Season]],Games[Date],"&lt;=" &amp; Games[[#This Row],[Date]])</f>
        <v>11</v>
      </c>
      <c r="D117" s="2" t="s">
        <v>79</v>
      </c>
      <c r="E117" s="2" t="s">
        <v>80</v>
      </c>
      <c r="F117" s="1" t="s">
        <v>40</v>
      </c>
      <c r="G117" s="1" t="s">
        <v>67</v>
      </c>
      <c r="H117" s="1" t="s">
        <v>82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1</v>
      </c>
      <c r="L117" s="2">
        <f>Games[[#This Row],[OppDaysOff]]-Games[[#This Row],[DaysOff]]</f>
        <v>-1</v>
      </c>
      <c r="M117" s="1">
        <f>MAX(-16, MIN(16, Games[[#This Row],[RestDiff]]*8))</f>
        <v>8</v>
      </c>
      <c r="N117" s="1">
        <f>MAX(-16, MIN(16, Games[[#This Row],[OppRestDiff]]*8))</f>
        <v>-8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1410.0012086933157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1562.5271607546056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0.42497976253847763</v>
      </c>
      <c r="R117" s="1">
        <v>81</v>
      </c>
      <c r="S117" s="1">
        <v>80</v>
      </c>
      <c r="T117" s="1">
        <v>0</v>
      </c>
      <c r="U117" s="1">
        <f>Games[[#This Row],[PointsFor]]-Games[[#This Row],[PointsAgainst]]</f>
        <v>1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0.21664324053212258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7" s="9">
        <f>MAX(kmin, kmax - 0.15 * MIN(Games[[#This Row],[GamesPlayed]], 82))</f>
        <v>74.349999999999994</v>
      </c>
      <c r="Z117" s="4">
        <f>Games[[#This Row],[K]]*Games[[#This Row],[POMult]]</f>
        <v>74.349999999999994</v>
      </c>
      <c r="AA117" s="4">
        <f>(Games[[#This Row],[Keff]]*Games[[#This Row],[MOVMult]])*(Games[[#This Row],[Result]]-Games[[#This Row],[ExpectedWin%]])</f>
        <v>9.2620953101912207</v>
      </c>
      <c r="AB117" s="4">
        <f>Games[[#This Row],[PreGmRate]]+Games[[#This Row],[RatingChange]]</f>
        <v>1419.2633040035068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45450</v>
      </c>
      <c r="B118" s="2">
        <v>2024</v>
      </c>
      <c r="C118" s="2">
        <f>COUNTIFS(Games[Team],Games[[#This Row],[Team]],Games[Season],Games[[#This Row],[Season]],Games[Date],"&lt;=" &amp; Games[[#This Row],[Date]])</f>
        <v>12</v>
      </c>
      <c r="D118" s="2" t="s">
        <v>79</v>
      </c>
      <c r="E118" s="2" t="s">
        <v>80</v>
      </c>
      <c r="F118" s="1" t="s">
        <v>69</v>
      </c>
      <c r="G118" s="1" t="s">
        <v>65</v>
      </c>
      <c r="H118" s="1" t="s">
        <v>81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8" s="2">
        <f>Games[[#This Row],[DaysOff]]-Games[[#This Row],[OppDaysOff]]</f>
        <v>4</v>
      </c>
      <c r="L118" s="2">
        <f>Games[[#This Row],[OppDaysOff]]-Games[[#This Row],[DaysOff]]</f>
        <v>-4</v>
      </c>
      <c r="M118" s="1">
        <f>MAX(-16, MIN(16, Games[[#This Row],[RestDiff]]*8))</f>
        <v>16</v>
      </c>
      <c r="N118" s="1">
        <f>MAX(-16, MIN(16, Games[[#This Row],[OppRestDiff]]*8))</f>
        <v>-16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1368.7136735770798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1376.4794598594317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0.41482856394973594</v>
      </c>
      <c r="R118" s="1">
        <v>85</v>
      </c>
      <c r="S118" s="1">
        <v>83</v>
      </c>
      <c r="T118" s="1">
        <v>0</v>
      </c>
      <c r="U118" s="1">
        <f>Games[[#This Row],[PointsFor]]-Games[[#This Row],[PointsAgainst]]</f>
        <v>2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0.26611913387689273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8" s="9">
        <f>MAX(kmin, kmax - 0.15 * MIN(Games[[#This Row],[GamesPlayed]], 82))</f>
        <v>74.2</v>
      </c>
      <c r="Z118" s="4">
        <f>Games[[#This Row],[K]]*Games[[#This Row],[POMult]]</f>
        <v>74.2</v>
      </c>
      <c r="AA118" s="4">
        <f>(Games[[#This Row],[Keff]]*Games[[#This Row],[MOVMult]])*(Games[[#This Row],[Result]]-Games[[#This Row],[ExpectedWin%]])</f>
        <v>11.554818427254579</v>
      </c>
      <c r="AB118" s="4">
        <f>Games[[#This Row],[PreGmRate]]+Games[[#This Row],[RatingChange]]</f>
        <v>1380.2684920043343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45450</v>
      </c>
      <c r="B119" s="2">
        <v>2024</v>
      </c>
      <c r="C119" s="2">
        <f>COUNTIFS(Games[Team],Games[[#This Row],[Team]],Games[Season],Games[[#This Row],[Season]],Games[Date],"&lt;=" &amp; Games[[#This Row],[Date]])</f>
        <v>11</v>
      </c>
      <c r="D119" s="2" t="s">
        <v>79</v>
      </c>
      <c r="E119" s="2" t="s">
        <v>80</v>
      </c>
      <c r="F119" s="1" t="s">
        <v>65</v>
      </c>
      <c r="G119" s="1" t="s">
        <v>69</v>
      </c>
      <c r="H119" s="1" t="s">
        <v>82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9" s="2">
        <f>Games[[#This Row],[DaysOff]]-Games[[#This Row],[OppDaysOff]]</f>
        <v>-4</v>
      </c>
      <c r="L119" s="2">
        <f>Games[[#This Row],[OppDaysOff]]-Games[[#This Row],[DaysOff]]</f>
        <v>4</v>
      </c>
      <c r="M119" s="1">
        <f>MAX(-16, MIN(16, Games[[#This Row],[RestDiff]]*8))</f>
        <v>-16</v>
      </c>
      <c r="N119" s="1">
        <f>MAX(-16, MIN(16, Games[[#This Row],[OppRestDiff]]*8))</f>
        <v>16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1376.4794598594317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1368.7136735770798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0.585171436050264</v>
      </c>
      <c r="R119" s="1">
        <v>83</v>
      </c>
      <c r="S119" s="1">
        <v>85</v>
      </c>
      <c r="T119" s="1">
        <v>0</v>
      </c>
      <c r="U119" s="1">
        <f>Games[[#This Row],[PointsFor]]-Games[[#This Row],[PointsAgainst]]</f>
        <v>-2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0.26611913387689273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9" s="9">
        <f>MAX(kmin, kmax - 0.15 * MIN(Games[[#This Row],[GamesPlayed]], 82))</f>
        <v>74.349999999999994</v>
      </c>
      <c r="Z119" s="4">
        <f>Games[[#This Row],[K]]*Games[[#This Row],[POMult]]</f>
        <v>74.349999999999994</v>
      </c>
      <c r="AA119" s="4">
        <f>(Games[[#This Row],[Keff]]*Games[[#This Row],[MOVMult]])*(Games[[#This Row],[Result]]-Games[[#This Row],[ExpectedWin%]])</f>
        <v>-11.578177224614256</v>
      </c>
      <c r="AB119" s="4">
        <f>Games[[#This Row],[PreGmRate]]+Games[[#This Row],[RatingChange]]</f>
        <v>1364.9012826348173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45451</v>
      </c>
      <c r="B120" s="2">
        <v>2024</v>
      </c>
      <c r="C120" s="2">
        <f>COUNTIFS(Games[Team],Games[[#This Row],[Team]],Games[Season],Games[[#This Row],[Season]],Games[Date],"&lt;=" &amp; Games[[#This Row],[Date]])</f>
        <v>9</v>
      </c>
      <c r="D120" s="2" t="s">
        <v>79</v>
      </c>
      <c r="E120" s="2" t="s">
        <v>80</v>
      </c>
      <c r="F120" s="1" t="s">
        <v>77</v>
      </c>
      <c r="G120" s="1" t="s">
        <v>75</v>
      </c>
      <c r="H120" s="1" t="s">
        <v>81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1461.1275026535207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1495.4148622507009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0.33605671813815868</v>
      </c>
      <c r="R120" s="1">
        <v>89</v>
      </c>
      <c r="S120" s="1">
        <v>80</v>
      </c>
      <c r="T120" s="1">
        <v>0</v>
      </c>
      <c r="U120" s="1">
        <f>Games[[#This Row],[PointsFor]]-Games[[#This Row],[PointsAgainst]]</f>
        <v>9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0.39469401415216787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0" s="9">
        <f>MAX(kmin, kmax - 0.15 * MIN(Games[[#This Row],[GamesPlayed]], 82))</f>
        <v>74.650000000000006</v>
      </c>
      <c r="Z120" s="4">
        <f>Games[[#This Row],[K]]*Games[[#This Row],[POMult]]</f>
        <v>74.650000000000006</v>
      </c>
      <c r="AA120" s="4">
        <f>(Games[[#This Row],[Keff]]*Games[[#This Row],[MOVMult]])*(Games[[#This Row],[Result]]-Games[[#This Row],[ExpectedWin%]])</f>
        <v>19.562363877875487</v>
      </c>
      <c r="AB120" s="4">
        <f>Games[[#This Row],[PreGmRate]]+Games[[#This Row],[RatingChange]]</f>
        <v>1480.6898665313961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45451</v>
      </c>
      <c r="B121" s="2">
        <v>2024</v>
      </c>
      <c r="C121" s="2">
        <f>COUNTIFS(Games[Team],Games[[#This Row],[Team]],Games[Season],Games[[#This Row],[Season]],Games[Date],"&lt;=" &amp; Games[[#This Row],[Date]])</f>
        <v>10</v>
      </c>
      <c r="D121" s="2" t="s">
        <v>79</v>
      </c>
      <c r="E121" s="2" t="s">
        <v>80</v>
      </c>
      <c r="F121" s="1" t="s">
        <v>75</v>
      </c>
      <c r="G121" s="1" t="s">
        <v>77</v>
      </c>
      <c r="H121" s="1" t="s">
        <v>82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1495.4148622507009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1461.1275026535207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0.66394328186184126</v>
      </c>
      <c r="R121" s="1">
        <v>80</v>
      </c>
      <c r="S121" s="1">
        <v>89</v>
      </c>
      <c r="T121" s="1">
        <v>0</v>
      </c>
      <c r="U121" s="1">
        <f>Games[[#This Row],[PointsFor]]-Games[[#This Row],[PointsAgainst]]</f>
        <v>-9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0.39469401415216787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1" s="9">
        <f>MAX(kmin, kmax - 0.15 * MIN(Games[[#This Row],[GamesPlayed]], 82))</f>
        <v>74.5</v>
      </c>
      <c r="Z121" s="4">
        <f>Games[[#This Row],[K]]*Games[[#This Row],[POMult]]</f>
        <v>74.5</v>
      </c>
      <c r="AA121" s="4">
        <f>(Games[[#This Row],[Keff]]*Games[[#This Row],[MOVMult]])*(Games[[#This Row],[Result]]-Games[[#This Row],[ExpectedWin%]])</f>
        <v>-19.523055712012368</v>
      </c>
      <c r="AB121" s="4">
        <f>Games[[#This Row],[PreGmRate]]+Games[[#This Row],[RatingChange]]</f>
        <v>1475.8918065386886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45451</v>
      </c>
      <c r="B122" s="2">
        <v>2024</v>
      </c>
      <c r="C122" s="2">
        <f>COUNTIFS(Games[Team],Games[[#This Row],[Team]],Games[Season],Games[[#This Row],[Season]],Games[Date],"&lt;=" &amp; Games[[#This Row],[Date]])</f>
        <v>12</v>
      </c>
      <c r="D122" s="2" t="s">
        <v>79</v>
      </c>
      <c r="E122" s="2" t="s">
        <v>80</v>
      </c>
      <c r="F122" s="1" t="s">
        <v>60</v>
      </c>
      <c r="G122" s="1" t="s">
        <v>74</v>
      </c>
      <c r="H122" s="1" t="s">
        <v>81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2" s="2">
        <f>Games[[#This Row],[DaysOff]]-Games[[#This Row],[OppDaysOff]]</f>
        <v>-2</v>
      </c>
      <c r="L122" s="2">
        <f>Games[[#This Row],[OppDaysOff]]-Games[[#This Row],[DaysOff]]</f>
        <v>2</v>
      </c>
      <c r="M122" s="1">
        <f>MAX(-16, MIN(16, Games[[#This Row],[RestDiff]]*8))</f>
        <v>-16</v>
      </c>
      <c r="N122" s="1">
        <f>MAX(-16, MIN(16, Games[[#This Row],[OppRestDiff]]*8))</f>
        <v>16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1647.8937247317192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1629.5129894599934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0.36309831634257334</v>
      </c>
      <c r="R122" s="1">
        <v>82</v>
      </c>
      <c r="S122" s="1">
        <v>75</v>
      </c>
      <c r="T122" s="1">
        <v>0</v>
      </c>
      <c r="U122" s="1">
        <f>Games[[#This Row],[PointsFor]]-Games[[#This Row],[PointsAgainst]]</f>
        <v>7</v>
      </c>
      <c r="V122" s="1">
        <f>IF(Games[[#This Row],[MOV]]&gt;0,1,IF(Games[[#This Row],[MOV]]=0,0.5,0))</f>
        <v>1</v>
      </c>
      <c r="W122" s="4">
        <f>((ABS(Games[[#This Row],[MOV]])+5)^0.6)/(12+0.01*(ABS(Games[[#This Row],[PreGmRate]]-Games[[#This Row],[OppPreGmRate]])))*IF(Games[[#This Row],[OT]]=1,0.9,1)</f>
        <v>0.36452366171526301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2" s="9">
        <f>MAX(kmin, kmax - 0.15 * MIN(Games[[#This Row],[GamesPlayed]], 82))</f>
        <v>74.2</v>
      </c>
      <c r="Z122" s="4">
        <f>Games[[#This Row],[K]]*Games[[#This Row],[POMult]]</f>
        <v>74.2</v>
      </c>
      <c r="AA122" s="4">
        <f>(Games[[#This Row],[Keff]]*Games[[#This Row],[MOVMult]])*(Games[[#This Row],[Result]]-Games[[#This Row],[ExpectedWin%]])</f>
        <v>17.226697453853056</v>
      </c>
      <c r="AB122" s="4">
        <f>Games[[#This Row],[PreGmRate]]+Games[[#This Row],[RatingChange]]</f>
        <v>1665.1204221855724</v>
      </c>
      <c r="AC122" s="2">
        <f>IF(Games[[#This Row],[Type]]="R",IF(Games[[#This Row],[Result]]&gt;0.5,1,0),0)</f>
        <v>1</v>
      </c>
      <c r="AD122" s="2">
        <f>IF(Games[[#This Row],[Type]]="R",IF(Games[[#This Row],[Result]]&lt;0.5,1,0),0)</f>
        <v>0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45451</v>
      </c>
      <c r="B123" s="2">
        <v>2024</v>
      </c>
      <c r="C123" s="2">
        <f>COUNTIFS(Games[Team],Games[[#This Row],[Team]],Games[Season],Games[[#This Row],[Season]],Games[Date],"&lt;=" &amp; Games[[#This Row],[Date]])</f>
        <v>10</v>
      </c>
      <c r="D123" s="2" t="s">
        <v>79</v>
      </c>
      <c r="E123" s="2" t="s">
        <v>80</v>
      </c>
      <c r="F123" s="1" t="s">
        <v>74</v>
      </c>
      <c r="G123" s="1" t="s">
        <v>60</v>
      </c>
      <c r="H123" s="1" t="s">
        <v>82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3" s="2">
        <f>Games[[#This Row],[DaysOff]]-Games[[#This Row],[OppDaysOff]]</f>
        <v>2</v>
      </c>
      <c r="L123" s="2">
        <f>Games[[#This Row],[OppDaysOff]]-Games[[#This Row],[DaysOff]]</f>
        <v>-2</v>
      </c>
      <c r="M123" s="1">
        <f>MAX(-16, MIN(16, Games[[#This Row],[RestDiff]]*8))</f>
        <v>16</v>
      </c>
      <c r="N123" s="1">
        <f>MAX(-16, MIN(16, Games[[#This Row],[OppRestDiff]]*8))</f>
        <v>-16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1629.5129894599934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1647.8937247317192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0.63690168365742672</v>
      </c>
      <c r="R123" s="1">
        <v>75</v>
      </c>
      <c r="S123" s="1">
        <v>82</v>
      </c>
      <c r="T123" s="1">
        <v>0</v>
      </c>
      <c r="U123" s="1">
        <f>Games[[#This Row],[PointsFor]]-Games[[#This Row],[PointsAgainst]]</f>
        <v>-7</v>
      </c>
      <c r="V123" s="1">
        <f>IF(Games[[#This Row],[MOV]]&gt;0,1,IF(Games[[#This Row],[MOV]]=0,0.5,0))</f>
        <v>0</v>
      </c>
      <c r="W123" s="4">
        <f>((ABS(Games[[#This Row],[MOV]])+5)^0.6)/(12+0.01*(ABS(Games[[#This Row],[PreGmRate]]-Games[[#This Row],[OppPreGmRate]])))*IF(Games[[#This Row],[OT]]=1,0.9,1)</f>
        <v>0.36452366171526301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3" s="9">
        <f>MAX(kmin, kmax - 0.15 * MIN(Games[[#This Row],[GamesPlayed]], 82))</f>
        <v>74.5</v>
      </c>
      <c r="Z123" s="4">
        <f>Games[[#This Row],[K]]*Games[[#This Row],[POMult]]</f>
        <v>74.5</v>
      </c>
      <c r="AA123" s="4">
        <f>(Games[[#This Row],[Keff]]*Games[[#This Row],[MOVMult]])*(Games[[#This Row],[Result]]-Games[[#This Row],[ExpectedWin%]])</f>
        <v>-17.296347174016883</v>
      </c>
      <c r="AB123" s="4">
        <f>Games[[#This Row],[PreGmRate]]+Games[[#This Row],[RatingChange]]</f>
        <v>1612.2166422859766</v>
      </c>
      <c r="AC123" s="2">
        <f>IF(Games[[#This Row],[Type]]="R",IF(Games[[#This Row],[Result]]&gt;0.5,1,0),0)</f>
        <v>0</v>
      </c>
      <c r="AD123" s="2">
        <f>IF(Games[[#This Row],[Type]]="R",IF(Games[[#This Row],[Result]]&lt;0.5,1,0),0)</f>
        <v>1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45452</v>
      </c>
      <c r="B124" s="2">
        <v>2024</v>
      </c>
      <c r="C124" s="2">
        <f>COUNTIFS(Games[Team],Games[[#This Row],[Team]],Games[Season],Games[[#This Row],[Season]],Games[Date],"&lt;=" &amp; Games[[#This Row],[Date]])</f>
        <v>12</v>
      </c>
      <c r="D124" s="2" t="s">
        <v>79</v>
      </c>
      <c r="E124" s="2" t="s">
        <v>80</v>
      </c>
      <c r="F124" s="1" t="s">
        <v>40</v>
      </c>
      <c r="G124" s="1" t="s">
        <v>85</v>
      </c>
      <c r="H124" s="1" t="s">
        <v>81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1419.2633040035068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1487.7108979119785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0.29368389152625846</v>
      </c>
      <c r="R124" s="1">
        <v>97</v>
      </c>
      <c r="S124" s="1">
        <v>90</v>
      </c>
      <c r="T124" s="1">
        <v>1</v>
      </c>
      <c r="U124" s="1">
        <f>Games[[#This Row],[PointsFor]]-Games[[#This Row],[PointsAgainst]]</f>
        <v>7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0.31512200283693254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4" s="9">
        <f>MAX(kmin, kmax - 0.15 * MIN(Games[[#This Row],[GamesPlayed]], 82))</f>
        <v>74.2</v>
      </c>
      <c r="Z124" s="4">
        <f>Games[[#This Row],[K]]*Games[[#This Row],[POMult]]</f>
        <v>74.2</v>
      </c>
      <c r="AA124" s="4">
        <f>(Games[[#This Row],[Keff]]*Games[[#This Row],[MOVMult]])*(Games[[#This Row],[Result]]-Games[[#This Row],[ExpectedWin%]])</f>
        <v>16.515120407976926</v>
      </c>
      <c r="AB124" s="4">
        <f>Games[[#This Row],[PreGmRate]]+Games[[#This Row],[RatingChange]]</f>
        <v>1435.7784244114837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45452</v>
      </c>
      <c r="B125" s="2">
        <v>2024</v>
      </c>
      <c r="C125" s="2">
        <f>COUNTIFS(Games[Team],Games[[#This Row],[Team]],Games[Season],Games[[#This Row],[Season]],Games[Date],"&lt;=" &amp; Games[[#This Row],[Date]])</f>
        <v>10</v>
      </c>
      <c r="D125" s="2" t="s">
        <v>79</v>
      </c>
      <c r="E125" s="2" t="s">
        <v>80</v>
      </c>
      <c r="F125" s="1" t="s">
        <v>85</v>
      </c>
      <c r="G125" s="1" t="s">
        <v>40</v>
      </c>
      <c r="H125" s="1" t="s">
        <v>82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1487.7108979119785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1419.2633040035068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0.7063161084737416</v>
      </c>
      <c r="R125" s="1">
        <v>90</v>
      </c>
      <c r="S125" s="1">
        <v>97</v>
      </c>
      <c r="T125" s="1">
        <v>1</v>
      </c>
      <c r="U125" s="1">
        <f>Games[[#This Row],[PointsFor]]-Games[[#This Row],[PointsAgainst]]</f>
        <v>-7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0.31512200283693254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5" s="9">
        <f>MAX(kmin, kmax - 0.15 * MIN(Games[[#This Row],[GamesPlayed]], 82))</f>
        <v>74.5</v>
      </c>
      <c r="Z125" s="4">
        <f>Games[[#This Row],[K]]*Games[[#This Row],[POMult]]</f>
        <v>74.5</v>
      </c>
      <c r="AA125" s="4">
        <f>(Games[[#This Row],[Keff]]*Games[[#This Row],[MOVMult]])*(Games[[#This Row],[Result]]-Games[[#This Row],[ExpectedWin%]])</f>
        <v>-16.581893131998399</v>
      </c>
      <c r="AB125" s="4">
        <f>Games[[#This Row],[PreGmRate]]+Games[[#This Row],[RatingChange]]</f>
        <v>1471.1290047799801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45452</v>
      </c>
      <c r="B126" s="2">
        <v>2024</v>
      </c>
      <c r="C126" s="2">
        <f>COUNTIFS(Games[Team],Games[[#This Row],[Team]],Games[Season],Games[[#This Row],[Season]],Games[Date],"&lt;=" &amp; Games[[#This Row],[Date]])</f>
        <v>9</v>
      </c>
      <c r="D126" s="2" t="s">
        <v>79</v>
      </c>
      <c r="E126" s="2" t="s">
        <v>80</v>
      </c>
      <c r="F126" s="1" t="s">
        <v>86</v>
      </c>
      <c r="G126" s="1" t="s">
        <v>63</v>
      </c>
      <c r="H126" s="1" t="s">
        <v>81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6" s="2">
        <f>Games[[#This Row],[DaysOff]]-Games[[#This Row],[OppDaysOff]]</f>
        <v>0</v>
      </c>
      <c r="L126" s="2">
        <f>Games[[#This Row],[OppDaysOff]]-Games[[#This Row],[DaysOff]]</f>
        <v>0</v>
      </c>
      <c r="M126" s="1">
        <f>MAX(-16, MIN(16, Games[[#This Row],[RestDiff]]*8))</f>
        <v>0</v>
      </c>
      <c r="N126" s="1">
        <f>MAX(-16, MIN(16, Games[[#This Row],[OppRestDiff]]*8))</f>
        <v>0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1619.3181305123792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1411.8917988864112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0.67051142846991396</v>
      </c>
      <c r="R126" s="1">
        <v>92</v>
      </c>
      <c r="S126" s="1">
        <v>96</v>
      </c>
      <c r="T126" s="1">
        <v>0</v>
      </c>
      <c r="U126" s="1">
        <f>Games[[#This Row],[PointsFor]]-Games[[#This Row],[PointsAgainst]]</f>
        <v>-4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0.26553381408809207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6" s="9">
        <f>MAX(kmin, kmax - 0.15 * MIN(Games[[#This Row],[GamesPlayed]], 82))</f>
        <v>74.650000000000006</v>
      </c>
      <c r="Z126" s="4">
        <f>Games[[#This Row],[K]]*Games[[#This Row],[POMult]]</f>
        <v>74.650000000000006</v>
      </c>
      <c r="AA126" s="4">
        <f>(Games[[#This Row],[Keff]]*Games[[#This Row],[MOVMult]])*(Games[[#This Row],[Result]]-Games[[#This Row],[ExpectedWin%]])</f>
        <v>-13.290944064398394</v>
      </c>
      <c r="AB126" s="4">
        <f>Games[[#This Row],[PreGmRate]]+Games[[#This Row],[RatingChange]]</f>
        <v>1606.0271864479807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45452</v>
      </c>
      <c r="B127" s="2">
        <v>2024</v>
      </c>
      <c r="C127" s="2">
        <f>COUNTIFS(Games[Team],Games[[#This Row],[Team]],Games[Season],Games[[#This Row],[Season]],Games[Date],"&lt;=" &amp; Games[[#This Row],[Date]])</f>
        <v>11</v>
      </c>
      <c r="D127" s="2" t="s">
        <v>79</v>
      </c>
      <c r="E127" s="2" t="s">
        <v>80</v>
      </c>
      <c r="F127" s="1" t="s">
        <v>63</v>
      </c>
      <c r="G127" s="1" t="s">
        <v>86</v>
      </c>
      <c r="H127" s="1" t="s">
        <v>82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0</v>
      </c>
      <c r="L127" s="2">
        <f>Games[[#This Row],[OppDaysOff]]-Games[[#This Row],[DaysOff]]</f>
        <v>0</v>
      </c>
      <c r="M127" s="1">
        <f>MAX(-16, MIN(16, Games[[#This Row],[RestDiff]]*8))</f>
        <v>0</v>
      </c>
      <c r="N127" s="1">
        <f>MAX(-16, MIN(16, Games[[#This Row],[OppRestDiff]]*8))</f>
        <v>0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1411.8917988864112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1619.3181305123792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0.32948857153008598</v>
      </c>
      <c r="R127" s="1">
        <v>96</v>
      </c>
      <c r="S127" s="1">
        <v>92</v>
      </c>
      <c r="T127" s="1">
        <v>0</v>
      </c>
      <c r="U127" s="1">
        <f>Games[[#This Row],[PointsFor]]-Games[[#This Row],[PointsAgainst]]</f>
        <v>4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0.26553381408809207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7" s="9">
        <f>MAX(kmin, kmax - 0.15 * MIN(Games[[#This Row],[GamesPlayed]], 82))</f>
        <v>74.349999999999994</v>
      </c>
      <c r="Z127" s="4">
        <f>Games[[#This Row],[K]]*Games[[#This Row],[POMult]]</f>
        <v>74.349999999999994</v>
      </c>
      <c r="AA127" s="4">
        <f>(Games[[#This Row],[Keff]]*Games[[#This Row],[MOVMult]])*(Games[[#This Row],[Result]]-Games[[#This Row],[ExpectedWin%]])</f>
        <v>13.237531027301012</v>
      </c>
      <c r="AB127" s="4">
        <f>Games[[#This Row],[PreGmRate]]+Games[[#This Row],[RatingChange]]</f>
        <v>1425.1293299137121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45452</v>
      </c>
      <c r="B128" s="2">
        <v>2024</v>
      </c>
      <c r="C128" s="2">
        <f>COUNTIFS(Games[Team],Games[[#This Row],[Team]],Games[Season],Games[[#This Row],[Season]],Games[Date],"&lt;=" &amp; Games[[#This Row],[Date]])</f>
        <v>11</v>
      </c>
      <c r="D128" s="2" t="s">
        <v>79</v>
      </c>
      <c r="E128" s="2" t="s">
        <v>80</v>
      </c>
      <c r="F128" s="1" t="s">
        <v>71</v>
      </c>
      <c r="G128" s="1" t="s">
        <v>67</v>
      </c>
      <c r="H128" s="1" t="s">
        <v>81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0</v>
      </c>
      <c r="L128" s="2">
        <f>Games[[#This Row],[OppDaysOff]]-Games[[#This Row],[DaysOff]]</f>
        <v>0</v>
      </c>
      <c r="M128" s="1">
        <f>MAX(-16, MIN(16, Games[[#This Row],[RestDiff]]*8))</f>
        <v>0</v>
      </c>
      <c r="N128" s="1">
        <f>MAX(-16, MIN(16, Games[[#This Row],[OppRestDiff]]*8))</f>
        <v>0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1529.5872769795271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1553.246379307272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0.34984158510942331</v>
      </c>
      <c r="R128" s="1">
        <v>64</v>
      </c>
      <c r="S128" s="1">
        <v>83</v>
      </c>
      <c r="T128" s="1">
        <v>0</v>
      </c>
      <c r="U128" s="1">
        <f>Games[[#This Row],[PointsFor]]-Games[[#This Row],[PointsAgainst]]</f>
        <v>-19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0.55013123016627308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8" s="9">
        <f>MAX(kmin, kmax - 0.15 * MIN(Games[[#This Row],[GamesPlayed]], 82))</f>
        <v>74.349999999999994</v>
      </c>
      <c r="Z128" s="4">
        <f>Games[[#This Row],[K]]*Games[[#This Row],[POMult]]</f>
        <v>74.349999999999994</v>
      </c>
      <c r="AA128" s="4">
        <f>(Games[[#This Row],[Keff]]*Games[[#This Row],[MOVMult]])*(Games[[#This Row],[Result]]-Games[[#This Row],[ExpectedWin%]])</f>
        <v>-14.30931041044073</v>
      </c>
      <c r="AB128" s="4">
        <f>Games[[#This Row],[PreGmRate]]+Games[[#This Row],[RatingChange]]</f>
        <v>1515.2779665690864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45452</v>
      </c>
      <c r="B129" s="2">
        <v>2024</v>
      </c>
      <c r="C129" s="2">
        <f>COUNTIFS(Games[Team],Games[[#This Row],[Team]],Games[Season],Games[[#This Row],[Season]],Games[Date],"&lt;=" &amp; Games[[#This Row],[Date]])</f>
        <v>11</v>
      </c>
      <c r="D129" s="2" t="s">
        <v>79</v>
      </c>
      <c r="E129" s="2" t="s">
        <v>80</v>
      </c>
      <c r="F129" s="1" t="s">
        <v>67</v>
      </c>
      <c r="G129" s="1" t="s">
        <v>71</v>
      </c>
      <c r="H129" s="1" t="s">
        <v>82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0</v>
      </c>
      <c r="L129" s="2">
        <f>Games[[#This Row],[OppDaysOff]]-Games[[#This Row],[DaysOff]]</f>
        <v>0</v>
      </c>
      <c r="M129" s="1">
        <f>MAX(-16, MIN(16, Games[[#This Row],[RestDiff]]*8))</f>
        <v>0</v>
      </c>
      <c r="N129" s="1">
        <f>MAX(-16, MIN(16, Games[[#This Row],[OppRestDiff]]*8))</f>
        <v>0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1553.246379307272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1529.5872769795271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0.65015841489057669</v>
      </c>
      <c r="R129" s="1">
        <v>83</v>
      </c>
      <c r="S129" s="1">
        <v>64</v>
      </c>
      <c r="T129" s="1">
        <v>0</v>
      </c>
      <c r="U129" s="1">
        <f>Games[[#This Row],[PointsFor]]-Games[[#This Row],[PointsAgainst]]</f>
        <v>19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0.55013123016627308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9" s="9">
        <f>MAX(kmin, kmax - 0.15 * MIN(Games[[#This Row],[GamesPlayed]], 82))</f>
        <v>74.349999999999994</v>
      </c>
      <c r="Z129" s="4">
        <f>Games[[#This Row],[K]]*Games[[#This Row],[POMult]]</f>
        <v>74.349999999999994</v>
      </c>
      <c r="AA129" s="4">
        <f>(Games[[#This Row],[Keff]]*Games[[#This Row],[MOVMult]])*(Games[[#This Row],[Result]]-Games[[#This Row],[ExpectedWin%]])</f>
        <v>14.30931041044073</v>
      </c>
      <c r="AB129" s="4">
        <f>Games[[#This Row],[PreGmRate]]+Games[[#This Row],[RatingChange]]</f>
        <v>1567.5556897177128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45452</v>
      </c>
      <c r="B130" s="2">
        <v>2024</v>
      </c>
      <c r="C130" s="2">
        <f>COUNTIFS(Games[Team],Games[[#This Row],[Team]],Games[Season],Games[[#This Row],[Season]],Games[Date],"&lt;=" &amp; Games[[#This Row],[Date]])</f>
        <v>12</v>
      </c>
      <c r="D130" s="2" t="s">
        <v>79</v>
      </c>
      <c r="E130" s="2" t="s">
        <v>80</v>
      </c>
      <c r="F130" s="1" t="s">
        <v>65</v>
      </c>
      <c r="G130" s="1" t="s">
        <v>60</v>
      </c>
      <c r="H130" s="1" t="s">
        <v>81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0" s="2">
        <f>Games[[#This Row],[DaysOff]]-Games[[#This Row],[OppDaysOff]]</f>
        <v>1</v>
      </c>
      <c r="L130" s="2">
        <f>Games[[#This Row],[OppDaysOff]]-Games[[#This Row],[DaysOff]]</f>
        <v>-1</v>
      </c>
      <c r="M130" s="1">
        <f>MAX(-16, MIN(16, Games[[#This Row],[RestDiff]]*8))</f>
        <v>8</v>
      </c>
      <c r="N130" s="1">
        <f>MAX(-16, MIN(16, Games[[#This Row],[OppRestDiff]]*8))</f>
        <v>-8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1364.9012826348173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1665.1204221855724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0.10720254478966268</v>
      </c>
      <c r="R130" s="1">
        <v>88</v>
      </c>
      <c r="S130" s="1">
        <v>93</v>
      </c>
      <c r="T130" s="1">
        <v>0</v>
      </c>
      <c r="U130" s="1">
        <f>Games[[#This Row],[PointsFor]]-Games[[#This Row],[PointsAgainst]]</f>
        <v>-5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0.26536601224319245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0" s="9">
        <f>MAX(kmin, kmax - 0.15 * MIN(Games[[#This Row],[GamesPlayed]], 82))</f>
        <v>74.2</v>
      </c>
      <c r="Z130" s="4">
        <f>Games[[#This Row],[K]]*Games[[#This Row],[POMult]]</f>
        <v>74.2</v>
      </c>
      <c r="AA130" s="4">
        <f>(Games[[#This Row],[Keff]]*Games[[#This Row],[MOVMult]])*(Games[[#This Row],[Result]]-Games[[#This Row],[ExpectedWin%]])</f>
        <v>-2.1108350565361018</v>
      </c>
      <c r="AB130" s="4">
        <f>Games[[#This Row],[PreGmRate]]+Games[[#This Row],[RatingChange]]</f>
        <v>1362.7904475782811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45452</v>
      </c>
      <c r="B131" s="2">
        <v>2024</v>
      </c>
      <c r="C131" s="2">
        <f>COUNTIFS(Games[Team],Games[[#This Row],[Team]],Games[Season],Games[[#This Row],[Season]],Games[Date],"&lt;=" &amp; Games[[#This Row],[Date]])</f>
        <v>13</v>
      </c>
      <c r="D131" s="2" t="s">
        <v>79</v>
      </c>
      <c r="E131" s="2" t="s">
        <v>80</v>
      </c>
      <c r="F131" s="1" t="s">
        <v>60</v>
      </c>
      <c r="G131" s="1" t="s">
        <v>65</v>
      </c>
      <c r="H131" s="1" t="s">
        <v>82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1" s="2">
        <f>Games[[#This Row],[DaysOff]]-Games[[#This Row],[OppDaysOff]]</f>
        <v>-1</v>
      </c>
      <c r="L131" s="2">
        <f>Games[[#This Row],[OppDaysOff]]-Games[[#This Row],[DaysOff]]</f>
        <v>1</v>
      </c>
      <c r="M131" s="1">
        <f>MAX(-16, MIN(16, Games[[#This Row],[RestDiff]]*8))</f>
        <v>-8</v>
      </c>
      <c r="N131" s="1">
        <f>MAX(-16, MIN(16, Games[[#This Row],[OppRestDiff]]*8))</f>
        <v>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1665.1204221855724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1364.9012826348173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0.89279745521033727</v>
      </c>
      <c r="R131" s="1">
        <v>93</v>
      </c>
      <c r="S131" s="1">
        <v>88</v>
      </c>
      <c r="T131" s="1">
        <v>0</v>
      </c>
      <c r="U131" s="1">
        <f>Games[[#This Row],[PointsFor]]-Games[[#This Row],[PointsAgainst]]</f>
        <v>5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0.26536601224319245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1" s="9">
        <f>MAX(kmin, kmax - 0.15 * MIN(Games[[#This Row],[GamesPlayed]], 82))</f>
        <v>74.05</v>
      </c>
      <c r="Z131" s="4">
        <f>Games[[#This Row],[K]]*Games[[#This Row],[POMult]]</f>
        <v>74.05</v>
      </c>
      <c r="AA131" s="4">
        <f>(Games[[#This Row],[Keff]]*Games[[#This Row],[MOVMult]])*(Games[[#This Row],[Result]]-Games[[#This Row],[ExpectedWin%]])</f>
        <v>2.1065678697641297</v>
      </c>
      <c r="AB131" s="4">
        <f>Games[[#This Row],[PreGmRate]]+Games[[#This Row],[RatingChange]]</f>
        <v>1667.2269900553365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45453</v>
      </c>
      <c r="B132" s="2">
        <v>2024</v>
      </c>
      <c r="C132" s="2">
        <f>COUNTIFS(Games[Team],Games[[#This Row],[Team]],Games[Season],Games[[#This Row],[Season]],Games[Date],"&lt;=" &amp; Games[[#This Row],[Date]])</f>
        <v>13</v>
      </c>
      <c r="D132" s="2" t="s">
        <v>79</v>
      </c>
      <c r="E132" s="2" t="s">
        <v>80</v>
      </c>
      <c r="F132" s="1" t="s">
        <v>69</v>
      </c>
      <c r="G132" s="1" t="s">
        <v>74</v>
      </c>
      <c r="H132" s="1" t="s">
        <v>81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2" s="2">
        <f>Games[[#This Row],[DaysOff]]-Games[[#This Row],[OppDaysOff]]</f>
        <v>1</v>
      </c>
      <c r="L132" s="2">
        <f>Games[[#This Row],[OppDaysOff]]-Games[[#This Row],[DaysOff]]</f>
        <v>-1</v>
      </c>
      <c r="M132" s="1">
        <f>MAX(-16, MIN(16, Games[[#This Row],[RestDiff]]*8))</f>
        <v>8</v>
      </c>
      <c r="N132" s="1">
        <f>MAX(-16, MIN(16, Games[[#This Row],[OppRestDiff]]*8))</f>
        <v>-8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1380.2684920043343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1612.2166422859766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0.15101782061807056</v>
      </c>
      <c r="R132" s="1">
        <v>72</v>
      </c>
      <c r="S132" s="1">
        <v>89</v>
      </c>
      <c r="T132" s="1">
        <v>0</v>
      </c>
      <c r="U132" s="1">
        <f>Games[[#This Row],[PointsFor]]-Games[[#This Row],[PointsAgainst]]</f>
        <v>-17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0.44619666066311753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2" s="9">
        <f>MAX(kmin, kmax - 0.15 * MIN(Games[[#This Row],[GamesPlayed]], 82))</f>
        <v>74.05</v>
      </c>
      <c r="Z132" s="4">
        <f>Games[[#This Row],[K]]*Games[[#This Row],[POMult]]</f>
        <v>74.05</v>
      </c>
      <c r="AA132" s="4">
        <f>(Games[[#This Row],[Keff]]*Games[[#This Row],[MOVMult]])*(Games[[#This Row],[Result]]-Games[[#This Row],[ExpectedWin%]])</f>
        <v>-4.9897590796329743</v>
      </c>
      <c r="AB132" s="4">
        <f>Games[[#This Row],[PreGmRate]]+Games[[#This Row],[RatingChange]]</f>
        <v>1375.2787329247014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45453</v>
      </c>
      <c r="B133" s="2">
        <v>2024</v>
      </c>
      <c r="C133" s="2">
        <f>COUNTIFS(Games[Team],Games[[#This Row],[Team]],Games[Season],Games[[#This Row],[Season]],Games[Date],"&lt;=" &amp; Games[[#This Row],[Date]])</f>
        <v>11</v>
      </c>
      <c r="D133" s="2" t="s">
        <v>79</v>
      </c>
      <c r="E133" s="2" t="s">
        <v>80</v>
      </c>
      <c r="F133" s="1" t="s">
        <v>74</v>
      </c>
      <c r="G133" s="1" t="s">
        <v>69</v>
      </c>
      <c r="H133" s="1" t="s">
        <v>82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3" s="2">
        <f>Games[[#This Row],[DaysOff]]-Games[[#This Row],[OppDaysOff]]</f>
        <v>-1</v>
      </c>
      <c r="L133" s="2">
        <f>Games[[#This Row],[OppDaysOff]]-Games[[#This Row],[DaysOff]]</f>
        <v>1</v>
      </c>
      <c r="M133" s="1">
        <f>MAX(-16, MIN(16, Games[[#This Row],[RestDiff]]*8))</f>
        <v>-8</v>
      </c>
      <c r="N133" s="1">
        <f>MAX(-16, MIN(16, Games[[#This Row],[OppRestDiff]]*8))</f>
        <v>8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1612.2166422859766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1380.2684920043343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0.84898217938192944</v>
      </c>
      <c r="R133" s="1">
        <v>89</v>
      </c>
      <c r="S133" s="1">
        <v>72</v>
      </c>
      <c r="T133" s="1">
        <v>0</v>
      </c>
      <c r="U133" s="1">
        <f>Games[[#This Row],[PointsFor]]-Games[[#This Row],[PointsAgainst]]</f>
        <v>17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0.44619666066311753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3" s="9">
        <f>MAX(kmin, kmax - 0.15 * MIN(Games[[#This Row],[GamesPlayed]], 82))</f>
        <v>74.349999999999994</v>
      </c>
      <c r="Z133" s="4">
        <f>Games[[#This Row],[K]]*Games[[#This Row],[POMult]]</f>
        <v>74.349999999999994</v>
      </c>
      <c r="AA133" s="4">
        <f>(Games[[#This Row],[Keff]]*Games[[#This Row],[MOVMult]])*(Games[[#This Row],[Result]]-Games[[#This Row],[ExpectedWin%]])</f>
        <v>5.009974173811095</v>
      </c>
      <c r="AB133" s="4">
        <f>Games[[#This Row],[PreGmRate]]+Games[[#This Row],[RatingChange]]</f>
        <v>1617.2266164597877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45454</v>
      </c>
      <c r="B134" s="2">
        <v>2024</v>
      </c>
      <c r="C134" s="2">
        <f>COUNTIFS(Games[Team],Games[[#This Row],[Team]],Games[Season],Games[[#This Row],[Season]],Games[Date],"&lt;=" &amp; Games[[#This Row],[Date]])</f>
        <v>13</v>
      </c>
      <c r="D134" s="2" t="s">
        <v>79</v>
      </c>
      <c r="E134" s="2" t="s">
        <v>80</v>
      </c>
      <c r="F134" s="1" t="s">
        <v>65</v>
      </c>
      <c r="G134" s="1" t="s">
        <v>77</v>
      </c>
      <c r="H134" s="1" t="s">
        <v>81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4" s="2">
        <f>Games[[#This Row],[DaysOff]]-Games[[#This Row],[OppDaysOff]]</f>
        <v>-1</v>
      </c>
      <c r="L134" s="2">
        <f>Games[[#This Row],[OppDaysOff]]-Games[[#This Row],[DaysOff]]</f>
        <v>1</v>
      </c>
      <c r="M134" s="1">
        <f>MAX(-16, MIN(16, Games[[#This Row],[RestDiff]]*8))</f>
        <v>-8</v>
      </c>
      <c r="N134" s="1">
        <f>MAX(-16, MIN(16, Games[[#This Row],[OppRestDiff]]*8))</f>
        <v>8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1362.7904475782811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1480.6898665313961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0.22195151509252614</v>
      </c>
      <c r="R134" s="1">
        <v>87</v>
      </c>
      <c r="S134" s="1">
        <v>68</v>
      </c>
      <c r="T134" s="1">
        <v>0</v>
      </c>
      <c r="U134" s="1">
        <f>Games[[#This Row],[PointsFor]]-Games[[#This Row],[PointsAgainst]]</f>
        <v>19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0.51079246078009555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4" s="9">
        <f>MAX(kmin, kmax - 0.15 * MIN(Games[[#This Row],[GamesPlayed]], 82))</f>
        <v>74.05</v>
      </c>
      <c r="Z134" s="4">
        <f>Games[[#This Row],[K]]*Games[[#This Row],[POMult]]</f>
        <v>74.05</v>
      </c>
      <c r="AA134" s="4">
        <f>(Games[[#This Row],[Keff]]*Games[[#This Row],[MOVMult]])*(Games[[#This Row],[Result]]-Games[[#This Row],[ExpectedWin%]])</f>
        <v>29.42904728070701</v>
      </c>
      <c r="AB134" s="4">
        <f>Games[[#This Row],[PreGmRate]]+Games[[#This Row],[RatingChange]]</f>
        <v>1392.2194948589881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45454</v>
      </c>
      <c r="B135" s="2">
        <v>2024</v>
      </c>
      <c r="C135" s="2">
        <f>COUNTIFS(Games[Team],Games[[#This Row],[Team]],Games[Season],Games[[#This Row],[Season]],Games[Date],"&lt;=" &amp; Games[[#This Row],[Date]])</f>
        <v>10</v>
      </c>
      <c r="D135" s="2" t="s">
        <v>79</v>
      </c>
      <c r="E135" s="2" t="s">
        <v>80</v>
      </c>
      <c r="F135" s="1" t="s">
        <v>77</v>
      </c>
      <c r="G135" s="1" t="s">
        <v>65</v>
      </c>
      <c r="H135" s="1" t="s">
        <v>82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5" s="2">
        <f>Games[[#This Row],[DaysOff]]-Games[[#This Row],[OppDaysOff]]</f>
        <v>1</v>
      </c>
      <c r="L135" s="2">
        <f>Games[[#This Row],[OppDaysOff]]-Games[[#This Row],[DaysOff]]</f>
        <v>-1</v>
      </c>
      <c r="M135" s="1">
        <f>MAX(-16, MIN(16, Games[[#This Row],[RestDiff]]*8))</f>
        <v>8</v>
      </c>
      <c r="N135" s="1">
        <f>MAX(-16, MIN(16, Games[[#This Row],[OppRestDiff]]*8))</f>
        <v>-8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1480.6898665313961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1362.7904475782811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0.7780484849074738</v>
      </c>
      <c r="R135" s="1">
        <v>68</v>
      </c>
      <c r="S135" s="1">
        <v>87</v>
      </c>
      <c r="T135" s="1">
        <v>0</v>
      </c>
      <c r="U135" s="1">
        <f>Games[[#This Row],[PointsFor]]-Games[[#This Row],[PointsAgainst]]</f>
        <v>-19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0.51079246078009555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5" s="9">
        <f>MAX(kmin, kmax - 0.15 * MIN(Games[[#This Row],[GamesPlayed]], 82))</f>
        <v>74.5</v>
      </c>
      <c r="Z135" s="4">
        <f>Games[[#This Row],[K]]*Games[[#This Row],[POMult]]</f>
        <v>74.5</v>
      </c>
      <c r="AA135" s="4">
        <f>(Games[[#This Row],[Keff]]*Games[[#This Row],[MOVMult]])*(Games[[#This Row],[Result]]-Games[[#This Row],[ExpectedWin%]])</f>
        <v>-29.60788686580246</v>
      </c>
      <c r="AB135" s="4">
        <f>Games[[#This Row],[PreGmRate]]+Games[[#This Row],[RatingChange]]</f>
        <v>1451.0819796655937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45454</v>
      </c>
      <c r="B136" s="2">
        <v>2024</v>
      </c>
      <c r="C136" s="2">
        <f>COUNTIFS(Games[Team],Games[[#This Row],[Team]],Games[Season],Games[[#This Row],[Season]],Games[Date],"&lt;=" &amp; Games[[#This Row],[Date]])</f>
        <v>12</v>
      </c>
      <c r="D136" s="2" t="s">
        <v>79</v>
      </c>
      <c r="E136" s="2" t="s">
        <v>80</v>
      </c>
      <c r="F136" s="1" t="s">
        <v>67</v>
      </c>
      <c r="G136" s="1" t="s">
        <v>86</v>
      </c>
      <c r="H136" s="1" t="s">
        <v>81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6" s="2">
        <f>Games[[#This Row],[DaysOff]]-Games[[#This Row],[OppDaysOff]]</f>
        <v>0</v>
      </c>
      <c r="L136" s="2">
        <f>Games[[#This Row],[OppDaysOff]]-Games[[#This Row],[DaysOff]]</f>
        <v>0</v>
      </c>
      <c r="M136" s="1">
        <f>MAX(-16, MIN(16, Games[[#This Row],[RestDiff]]*8))</f>
        <v>0</v>
      </c>
      <c r="N136" s="1">
        <f>MAX(-16, MIN(16, Games[[#This Row],[OppRestDiff]]*8))</f>
        <v>0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1567.5556897177128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1606.0271864479807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0.33070402025395634</v>
      </c>
      <c r="R136" s="1">
        <v>100</v>
      </c>
      <c r="S136" s="1">
        <v>86</v>
      </c>
      <c r="T136" s="1">
        <v>0</v>
      </c>
      <c r="U136" s="1">
        <f>Games[[#This Row],[PointsFor]]-Games[[#This Row],[PointsAgainst]]</f>
        <v>14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0.47246119574470874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6" s="9">
        <f>MAX(kmin, kmax - 0.15 * MIN(Games[[#This Row],[GamesPlayed]], 82))</f>
        <v>74.2</v>
      </c>
      <c r="Z136" s="4">
        <f>Games[[#This Row],[K]]*Games[[#This Row],[POMult]]</f>
        <v>74.2</v>
      </c>
      <c r="AA136" s="4">
        <f>(Games[[#This Row],[Keff]]*Games[[#This Row],[MOVMult]])*(Games[[#This Row],[Result]]-Games[[#This Row],[ExpectedWin%]])</f>
        <v>23.463255314227307</v>
      </c>
      <c r="AB136" s="4">
        <f>Games[[#This Row],[PreGmRate]]+Games[[#This Row],[RatingChange]]</f>
        <v>1591.0189450319401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45454</v>
      </c>
      <c r="B137" s="2">
        <v>2024</v>
      </c>
      <c r="C137" s="2">
        <f>COUNTIFS(Games[Team],Games[[#This Row],[Team]],Games[Season],Games[[#This Row],[Season]],Games[Date],"&lt;=" &amp; Games[[#This Row],[Date]])</f>
        <v>10</v>
      </c>
      <c r="D137" s="2" t="s">
        <v>79</v>
      </c>
      <c r="E137" s="2" t="s">
        <v>80</v>
      </c>
      <c r="F137" s="1" t="s">
        <v>86</v>
      </c>
      <c r="G137" s="1" t="s">
        <v>67</v>
      </c>
      <c r="H137" s="1" t="s">
        <v>82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0</v>
      </c>
      <c r="L137" s="2">
        <f>Games[[#This Row],[OppDaysOff]]-Games[[#This Row],[DaysOff]]</f>
        <v>0</v>
      </c>
      <c r="M137" s="1">
        <f>MAX(-16, MIN(16, Games[[#This Row],[RestDiff]]*8))</f>
        <v>0</v>
      </c>
      <c r="N137" s="1">
        <f>MAX(-16, MIN(16, Games[[#This Row],[OppRestDiff]]*8))</f>
        <v>0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1606.0271864479807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1567.5556897177128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0.66929597974604371</v>
      </c>
      <c r="R137" s="1">
        <v>86</v>
      </c>
      <c r="S137" s="1">
        <v>100</v>
      </c>
      <c r="T137" s="1">
        <v>0</v>
      </c>
      <c r="U137" s="1">
        <f>Games[[#This Row],[PointsFor]]-Games[[#This Row],[PointsAgainst]]</f>
        <v>-14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0.47246119574470874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7" s="9">
        <f>MAX(kmin, kmax - 0.15 * MIN(Games[[#This Row],[GamesPlayed]], 82))</f>
        <v>74.5</v>
      </c>
      <c r="Z137" s="4">
        <f>Games[[#This Row],[K]]*Games[[#This Row],[POMult]]</f>
        <v>74.5</v>
      </c>
      <c r="AA137" s="4">
        <f>(Games[[#This Row],[Keff]]*Games[[#This Row],[MOVMult]])*(Games[[#This Row],[Result]]-Games[[#This Row],[ExpectedWin%]])</f>
        <v>-23.558120227896691</v>
      </c>
      <c r="AB137" s="4">
        <f>Games[[#This Row],[PreGmRate]]+Games[[#This Row],[RatingChange]]</f>
        <v>1582.469066220084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45454</v>
      </c>
      <c r="B138" s="2">
        <v>2024</v>
      </c>
      <c r="C138" s="2">
        <f>COUNTIFS(Games[Team],Games[[#This Row],[Team]],Games[Season],Games[[#This Row],[Season]],Games[Date],"&lt;=" &amp; Games[[#This Row],[Date]])</f>
        <v>12</v>
      </c>
      <c r="D138" s="2" t="s">
        <v>79</v>
      </c>
      <c r="E138" s="2" t="s">
        <v>80</v>
      </c>
      <c r="F138" s="1" t="s">
        <v>63</v>
      </c>
      <c r="G138" s="1" t="s">
        <v>71</v>
      </c>
      <c r="H138" s="1" t="s">
        <v>81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8" s="2">
        <f>Games[[#This Row],[DaysOff]]-Games[[#This Row],[OppDaysOff]]</f>
        <v>0</v>
      </c>
      <c r="L138" s="2">
        <f>Games[[#This Row],[OppDaysOff]]-Games[[#This Row],[DaysOff]]</f>
        <v>0</v>
      </c>
      <c r="M138" s="1">
        <f>MAX(-16, MIN(16, Games[[#This Row],[RestDiff]]*8))</f>
        <v>0</v>
      </c>
      <c r="N138" s="1">
        <f>MAX(-16, MIN(16, Games[[#This Row],[OppRestDiff]]*8))</f>
        <v>0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1425.1293299137121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1515.2779665690864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0.26845407640135943</v>
      </c>
      <c r="R138" s="1">
        <v>79</v>
      </c>
      <c r="S138" s="1">
        <v>95</v>
      </c>
      <c r="T138" s="1">
        <v>0</v>
      </c>
      <c r="U138" s="1">
        <f>Games[[#This Row],[PointsFor]]-Games[[#This Row],[PointsAgainst]]</f>
        <v>-16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0.48160593367510418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-9.5932494476710026</v>
      </c>
      <c r="AB138" s="4">
        <f>Games[[#This Row],[PreGmRate]]+Games[[#This Row],[RatingChange]]</f>
        <v>1415.5360804660411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45454</v>
      </c>
      <c r="B139" s="2">
        <v>2024</v>
      </c>
      <c r="C139" s="2">
        <f>COUNTIFS(Games[Team],Games[[#This Row],[Team]],Games[Season],Games[[#This Row],[Season]],Games[Date],"&lt;=" &amp; Games[[#This Row],[Date]])</f>
        <v>12</v>
      </c>
      <c r="D139" s="2" t="s">
        <v>79</v>
      </c>
      <c r="E139" s="2" t="s">
        <v>80</v>
      </c>
      <c r="F139" s="1" t="s">
        <v>71</v>
      </c>
      <c r="G139" s="1" t="s">
        <v>63</v>
      </c>
      <c r="H139" s="1" t="s">
        <v>82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9" s="2">
        <f>Games[[#This Row],[DaysOff]]-Games[[#This Row],[OppDaysOff]]</f>
        <v>0</v>
      </c>
      <c r="L139" s="2">
        <f>Games[[#This Row],[OppDaysOff]]-Games[[#This Row],[DaysOff]]</f>
        <v>0</v>
      </c>
      <c r="M139" s="1">
        <f>MAX(-16, MIN(16, Games[[#This Row],[RestDiff]]*8))</f>
        <v>0</v>
      </c>
      <c r="N139" s="1">
        <f>MAX(-16, MIN(16, Games[[#This Row],[OppRestDiff]]*8))</f>
        <v>0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1515.2779665690864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1425.1293299137121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0.73154592359864068</v>
      </c>
      <c r="R139" s="1">
        <v>95</v>
      </c>
      <c r="S139" s="1">
        <v>79</v>
      </c>
      <c r="T139" s="1">
        <v>0</v>
      </c>
      <c r="U139" s="1">
        <f>Games[[#This Row],[PointsFor]]-Games[[#This Row],[PointsAgainst]]</f>
        <v>16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0.48160593367510418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9" s="9">
        <f>MAX(kmin, kmax - 0.15 * MIN(Games[[#This Row],[GamesPlayed]], 82))</f>
        <v>74.2</v>
      </c>
      <c r="Z139" s="4">
        <f>Games[[#This Row],[K]]*Games[[#This Row],[POMult]]</f>
        <v>74.2</v>
      </c>
      <c r="AA139" s="4">
        <f>(Games[[#This Row],[Keff]]*Games[[#This Row],[MOVMult]])*(Games[[#This Row],[Result]]-Games[[#This Row],[ExpectedWin%]])</f>
        <v>9.5932494476709991</v>
      </c>
      <c r="AB139" s="4">
        <f>Games[[#This Row],[PreGmRate]]+Games[[#This Row],[RatingChange]]</f>
        <v>1524.8712160167574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45455</v>
      </c>
      <c r="B140" s="2">
        <v>2024</v>
      </c>
      <c r="C140" s="2">
        <f>COUNTIFS(Games[Team],Games[[#This Row],[Team]],Games[Season],Games[[#This Row],[Season]],Games[Date],"&lt;=" &amp; Games[[#This Row],[Date]])</f>
        <v>12</v>
      </c>
      <c r="D140" s="2" t="s">
        <v>79</v>
      </c>
      <c r="E140" s="2" t="s">
        <v>80</v>
      </c>
      <c r="F140" s="1" t="s">
        <v>74</v>
      </c>
      <c r="G140" s="1" t="s">
        <v>75</v>
      </c>
      <c r="H140" s="1" t="s">
        <v>81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0" s="2">
        <f>Games[[#This Row],[DaysOff]]-Games[[#This Row],[OppDaysOff]]</f>
        <v>-2</v>
      </c>
      <c r="L140" s="2">
        <f>Games[[#This Row],[OppDaysOff]]-Games[[#This Row],[DaysOff]]</f>
        <v>2</v>
      </c>
      <c r="M140" s="1">
        <f>MAX(-16, MIN(16, Games[[#This Row],[RestDiff]]*8))</f>
        <v>-16</v>
      </c>
      <c r="N140" s="1">
        <f>MAX(-16, MIN(16, Games[[#This Row],[OppRestDiff]]*8))</f>
        <v>16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1617.2266164597877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1475.8918065386886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0.53639523767158825</v>
      </c>
      <c r="R140" s="1">
        <v>83</v>
      </c>
      <c r="S140" s="1">
        <v>75</v>
      </c>
      <c r="T140" s="1">
        <v>0</v>
      </c>
      <c r="U140" s="1">
        <f>Games[[#This Row],[PointsFor]]-Games[[#This Row],[PointsAgainst]]</f>
        <v>8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0.34739920156923143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0" s="9">
        <f>MAX(kmin, kmax - 0.15 * MIN(Games[[#This Row],[GamesPlayed]], 82))</f>
        <v>74.2</v>
      </c>
      <c r="Z140" s="4">
        <f>Games[[#This Row],[K]]*Games[[#This Row],[POMult]]</f>
        <v>74.2</v>
      </c>
      <c r="AA140" s="4">
        <f>(Games[[#This Row],[Keff]]*Games[[#This Row],[MOVMult]])*(Games[[#This Row],[Result]]-Games[[#This Row],[ExpectedWin%]])</f>
        <v>11.950349581322499</v>
      </c>
      <c r="AB140" s="4">
        <f>Games[[#This Row],[PreGmRate]]+Games[[#This Row],[RatingChange]]</f>
        <v>1629.1769660411103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45455</v>
      </c>
      <c r="B141" s="2">
        <v>2024</v>
      </c>
      <c r="C141" s="2">
        <f>COUNTIFS(Games[Team],Games[[#This Row],[Team]],Games[Season],Games[[#This Row],[Season]],Games[Date],"&lt;=" &amp; Games[[#This Row],[Date]])</f>
        <v>11</v>
      </c>
      <c r="D141" s="2" t="s">
        <v>79</v>
      </c>
      <c r="E141" s="2" t="s">
        <v>80</v>
      </c>
      <c r="F141" s="1" t="s">
        <v>75</v>
      </c>
      <c r="G141" s="1" t="s">
        <v>74</v>
      </c>
      <c r="H141" s="1" t="s">
        <v>82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2</v>
      </c>
      <c r="L141" s="2">
        <f>Games[[#This Row],[OppDaysOff]]-Games[[#This Row],[DaysOff]]</f>
        <v>-2</v>
      </c>
      <c r="M141" s="1">
        <f>MAX(-16, MIN(16, Games[[#This Row],[RestDiff]]*8))</f>
        <v>16</v>
      </c>
      <c r="N141" s="1">
        <f>MAX(-16, MIN(16, Games[[#This Row],[OppRestDiff]]*8))</f>
        <v>-16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1475.8918065386886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1617.2266164597877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0.46360476232841169</v>
      </c>
      <c r="R141" s="1">
        <v>75</v>
      </c>
      <c r="S141" s="1">
        <v>83</v>
      </c>
      <c r="T141" s="1">
        <v>0</v>
      </c>
      <c r="U141" s="1">
        <f>Games[[#This Row],[PointsFor]]-Games[[#This Row],[PointsAgainst]]</f>
        <v>-8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0.34739920156923143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1" s="9">
        <f>MAX(kmin, kmax - 0.15 * MIN(Games[[#This Row],[GamesPlayed]], 82))</f>
        <v>74.349999999999994</v>
      </c>
      <c r="Z141" s="4">
        <f>Games[[#This Row],[K]]*Games[[#This Row],[POMult]]</f>
        <v>74.349999999999994</v>
      </c>
      <c r="AA141" s="4">
        <f>(Games[[#This Row],[Keff]]*Games[[#This Row],[MOVMult]])*(Games[[#This Row],[Result]]-Games[[#This Row],[ExpectedWin%]])</f>
        <v>-11.974507969963984</v>
      </c>
      <c r="AB141" s="4">
        <f>Games[[#This Row],[PreGmRate]]+Games[[#This Row],[RatingChange]]</f>
        <v>1463.9172985687246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45456</v>
      </c>
      <c r="B142" s="2">
        <v>2024</v>
      </c>
      <c r="C142" s="2">
        <f>COUNTIFS(Games[Team],Games[[#This Row],[Team]],Games[Season],Games[[#This Row],[Season]],Games[Date],"&lt;=" &amp; Games[[#This Row],[Date]])</f>
        <v>13</v>
      </c>
      <c r="D142" s="2" t="s">
        <v>79</v>
      </c>
      <c r="E142" s="2" t="s">
        <v>80</v>
      </c>
      <c r="F142" s="1" t="s">
        <v>71</v>
      </c>
      <c r="G142" s="1" t="s">
        <v>85</v>
      </c>
      <c r="H142" s="1" t="s">
        <v>81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2" s="2">
        <f>Games[[#This Row],[DaysOff]]-Games[[#This Row],[OppDaysOff]]</f>
        <v>-2</v>
      </c>
      <c r="L142" s="2">
        <f>Games[[#This Row],[OppDaysOff]]-Games[[#This Row],[DaysOff]]</f>
        <v>2</v>
      </c>
      <c r="M142" s="1">
        <f>MAX(-16, MIN(16, Games[[#This Row],[RestDiff]]*8))</f>
        <v>-16</v>
      </c>
      <c r="N142" s="1">
        <f>MAX(-16, MIN(16, Games[[#This Row],[OppRestDiff]]*8))</f>
        <v>16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1524.8712160167574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1471.1290047799801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0.41135065501307094</v>
      </c>
      <c r="R142" s="1">
        <v>92</v>
      </c>
      <c r="S142" s="1">
        <v>84</v>
      </c>
      <c r="T142" s="1">
        <v>0</v>
      </c>
      <c r="U142" s="1">
        <f>Games[[#This Row],[PointsFor]]-Games[[#This Row],[PointsAgainst]]</f>
        <v>8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0.37167021882746798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2" s="9">
        <f>MAX(kmin, kmax - 0.15 * MIN(Games[[#This Row],[GamesPlayed]], 82))</f>
        <v>74.05</v>
      </c>
      <c r="Z142" s="4">
        <f>Games[[#This Row],[K]]*Games[[#This Row],[POMult]]</f>
        <v>74.05</v>
      </c>
      <c r="AA142" s="4">
        <f>(Games[[#This Row],[Keff]]*Games[[#This Row],[MOVMult]])*(Games[[#This Row],[Result]]-Games[[#This Row],[ExpectedWin%]])</f>
        <v>16.200913055474579</v>
      </c>
      <c r="AB142" s="4">
        <f>Games[[#This Row],[PreGmRate]]+Games[[#This Row],[RatingChange]]</f>
        <v>1541.072129072232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45456</v>
      </c>
      <c r="B143" s="2">
        <v>2024</v>
      </c>
      <c r="C143" s="2">
        <f>COUNTIFS(Games[Team],Games[[#This Row],[Team]],Games[Season],Games[[#This Row],[Season]],Games[Date],"&lt;=" &amp; Games[[#This Row],[Date]])</f>
        <v>11</v>
      </c>
      <c r="D143" s="2" t="s">
        <v>79</v>
      </c>
      <c r="E143" s="2" t="s">
        <v>80</v>
      </c>
      <c r="F143" s="1" t="s">
        <v>85</v>
      </c>
      <c r="G143" s="1" t="s">
        <v>71</v>
      </c>
      <c r="H143" s="1" t="s">
        <v>82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2</v>
      </c>
      <c r="L143" s="2">
        <f>Games[[#This Row],[OppDaysOff]]-Games[[#This Row],[DaysOff]]</f>
        <v>-2</v>
      </c>
      <c r="M143" s="1">
        <f>MAX(-16, MIN(16, Games[[#This Row],[RestDiff]]*8))</f>
        <v>16</v>
      </c>
      <c r="N143" s="1">
        <f>MAX(-16, MIN(16, Games[[#This Row],[OppRestDiff]]*8))</f>
        <v>-16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1471.1290047799801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1524.8712160167574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0.588649344986929</v>
      </c>
      <c r="R143" s="1">
        <v>84</v>
      </c>
      <c r="S143" s="1">
        <v>92</v>
      </c>
      <c r="T143" s="1">
        <v>0</v>
      </c>
      <c r="U143" s="1">
        <f>Games[[#This Row],[PointsFor]]-Games[[#This Row],[PointsAgainst]]</f>
        <v>-8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0.37167021882746798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3" s="9">
        <f>MAX(kmin, kmax - 0.15 * MIN(Games[[#This Row],[GamesPlayed]], 82))</f>
        <v>74.349999999999994</v>
      </c>
      <c r="Z143" s="4">
        <f>Games[[#This Row],[K]]*Games[[#This Row],[POMult]]</f>
        <v>74.349999999999994</v>
      </c>
      <c r="AA143" s="4">
        <f>(Games[[#This Row],[Keff]]*Games[[#This Row],[MOVMult]])*(Games[[#This Row],[Result]]-Games[[#This Row],[ExpectedWin%]])</f>
        <v>-16.26654808473376</v>
      </c>
      <c r="AB143" s="4">
        <f>Games[[#This Row],[PreGmRate]]+Games[[#This Row],[RatingChange]]</f>
        <v>1454.8624566952462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45456</v>
      </c>
      <c r="B144" s="2">
        <v>2024</v>
      </c>
      <c r="C144" s="2">
        <f>COUNTIFS(Games[Team],Games[[#This Row],[Team]],Games[Season],Games[[#This Row],[Season]],Games[Date],"&lt;=" &amp; Games[[#This Row],[Date]])</f>
        <v>11</v>
      </c>
      <c r="D144" s="2" t="s">
        <v>79</v>
      </c>
      <c r="E144" s="2" t="s">
        <v>80</v>
      </c>
      <c r="F144" s="1" t="s">
        <v>77</v>
      </c>
      <c r="G144" s="1" t="s">
        <v>69</v>
      </c>
      <c r="H144" s="1" t="s">
        <v>81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4" s="2">
        <f>Games[[#This Row],[DaysOff]]-Games[[#This Row],[OppDaysOff]]</f>
        <v>-1</v>
      </c>
      <c r="L144" s="2">
        <f>Games[[#This Row],[OppDaysOff]]-Games[[#This Row],[DaysOff]]</f>
        <v>1</v>
      </c>
      <c r="M144" s="1">
        <f>MAX(-16, MIN(16, Games[[#This Row],[RestDiff]]*8))</f>
        <v>-8</v>
      </c>
      <c r="N144" s="1">
        <f>MAX(-16, MIN(16, Games[[#This Row],[OppRestDiff]]*8))</f>
        <v>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1451.0819796655937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1375.2787329247014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0.46523426243434429</v>
      </c>
      <c r="R144" s="1">
        <v>84</v>
      </c>
      <c r="S144" s="1">
        <v>91</v>
      </c>
      <c r="T144" s="1">
        <v>0</v>
      </c>
      <c r="U144" s="1">
        <f>Games[[#This Row],[PointsFor]]-Games[[#This Row],[PointsAgainst]]</f>
        <v>-7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0.34811684961543587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4" s="9">
        <f>MAX(kmin, kmax - 0.15 * MIN(Games[[#This Row],[GamesPlayed]], 82))</f>
        <v>74.349999999999994</v>
      </c>
      <c r="Z144" s="4">
        <f>Games[[#This Row],[K]]*Games[[#This Row],[POMult]]</f>
        <v>74.349999999999994</v>
      </c>
      <c r="AA144" s="4">
        <f>(Games[[#This Row],[Keff]]*Games[[#This Row],[MOVMult]])*(Games[[#This Row],[Result]]-Games[[#This Row],[ExpectedWin%]])</f>
        <v>-12.041420107133691</v>
      </c>
      <c r="AB144" s="4">
        <f>Games[[#This Row],[PreGmRate]]+Games[[#This Row],[RatingChange]]</f>
        <v>1439.04055955846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45456</v>
      </c>
      <c r="B145" s="2">
        <v>2024</v>
      </c>
      <c r="C145" s="2">
        <f>COUNTIFS(Games[Team],Games[[#This Row],[Team]],Games[Season],Games[[#This Row],[Season]],Games[Date],"&lt;=" &amp; Games[[#This Row],[Date]])</f>
        <v>14</v>
      </c>
      <c r="D145" s="2" t="s">
        <v>79</v>
      </c>
      <c r="E145" s="2" t="s">
        <v>80</v>
      </c>
      <c r="F145" s="1" t="s">
        <v>69</v>
      </c>
      <c r="G145" s="1" t="s">
        <v>77</v>
      </c>
      <c r="H145" s="1" t="s">
        <v>82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1</v>
      </c>
      <c r="L145" s="2">
        <f>Games[[#This Row],[OppDaysOff]]-Games[[#This Row],[DaysOff]]</f>
        <v>-1</v>
      </c>
      <c r="M145" s="1">
        <f>MAX(-16, MIN(16, Games[[#This Row],[RestDiff]]*8))</f>
        <v>8</v>
      </c>
      <c r="N145" s="1">
        <f>MAX(-16, MIN(16, Games[[#This Row],[OppRestDiff]]*8))</f>
        <v>-8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1375.2787329247014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1451.0819796655937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0.53476573756565571</v>
      </c>
      <c r="R145" s="1">
        <v>91</v>
      </c>
      <c r="S145" s="1">
        <v>84</v>
      </c>
      <c r="T145" s="1">
        <v>0</v>
      </c>
      <c r="U145" s="1">
        <f>Games[[#This Row],[PointsFor]]-Games[[#This Row],[PointsAgainst]]</f>
        <v>7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0.34811684961543587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5" s="9">
        <f>MAX(kmin, kmax - 0.15 * MIN(Games[[#This Row],[GamesPlayed]], 82))</f>
        <v>73.900000000000006</v>
      </c>
      <c r="Z145" s="4">
        <f>Games[[#This Row],[K]]*Games[[#This Row],[POMult]]</f>
        <v>73.900000000000006</v>
      </c>
      <c r="AA145" s="4">
        <f>(Games[[#This Row],[Keff]]*Games[[#This Row],[MOVMult]])*(Games[[#This Row],[Result]]-Games[[#This Row],[ExpectedWin%]])</f>
        <v>11.968539958536381</v>
      </c>
      <c r="AB145" s="4">
        <f>Games[[#This Row],[PreGmRate]]+Games[[#This Row],[RatingChange]]</f>
        <v>1387.2472728832379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45456</v>
      </c>
      <c r="B146" s="2">
        <v>2024</v>
      </c>
      <c r="C146" s="2">
        <f>COUNTIFS(Games[Team],Games[[#This Row],[Team]],Games[Season],Games[[#This Row],[Season]],Games[Date],"&lt;=" &amp; Games[[#This Row],[Date]])</f>
        <v>11</v>
      </c>
      <c r="D146" s="2" t="s">
        <v>79</v>
      </c>
      <c r="E146" s="2" t="s">
        <v>80</v>
      </c>
      <c r="F146" s="1" t="s">
        <v>86</v>
      </c>
      <c r="G146" s="1" t="s">
        <v>40</v>
      </c>
      <c r="H146" s="1" t="s">
        <v>81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6" s="2">
        <f>Games[[#This Row],[DaysOff]]-Games[[#This Row],[OppDaysOff]]</f>
        <v>-2</v>
      </c>
      <c r="L146" s="2">
        <f>Games[[#This Row],[OppDaysOff]]-Games[[#This Row],[DaysOff]]</f>
        <v>2</v>
      </c>
      <c r="M146" s="1">
        <f>MAX(-16, MIN(16, Games[[#This Row],[RestDiff]]*8))</f>
        <v>-16</v>
      </c>
      <c r="N146" s="1">
        <f>MAX(-16, MIN(16, Games[[#This Row],[OppRestDiff]]*8))</f>
        <v>16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1582.469066220084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1435.7784244114837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0.54405286156194788</v>
      </c>
      <c r="R146" s="1">
        <v>103</v>
      </c>
      <c r="S146" s="1">
        <v>99</v>
      </c>
      <c r="T146" s="1">
        <v>0</v>
      </c>
      <c r="U146" s="1">
        <f>Games[[#This Row],[PointsFor]]-Games[[#This Row],[PointsAgainst]]</f>
        <v>4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0.27750937764203343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6" s="9">
        <f>MAX(kmin, kmax - 0.15 * MIN(Games[[#This Row],[GamesPlayed]], 82))</f>
        <v>74.349999999999994</v>
      </c>
      <c r="Z146" s="4">
        <f>Games[[#This Row],[K]]*Games[[#This Row],[POMult]]</f>
        <v>74.349999999999994</v>
      </c>
      <c r="AA146" s="4">
        <f>(Games[[#This Row],[Keff]]*Games[[#This Row],[MOVMult]])*(Games[[#This Row],[Result]]-Games[[#This Row],[ExpectedWin%]])</f>
        <v>9.4074762526140958</v>
      </c>
      <c r="AB146" s="4">
        <f>Games[[#This Row],[PreGmRate]]+Games[[#This Row],[RatingChange]]</f>
        <v>1591.876542472698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45456</v>
      </c>
      <c r="B147" s="2">
        <v>2024</v>
      </c>
      <c r="C147" s="2">
        <f>COUNTIFS(Games[Team],Games[[#This Row],[Team]],Games[Season],Games[[#This Row],[Season]],Games[Date],"&lt;=" &amp; Games[[#This Row],[Date]])</f>
        <v>13</v>
      </c>
      <c r="D147" s="2" t="s">
        <v>79</v>
      </c>
      <c r="E147" s="2" t="s">
        <v>80</v>
      </c>
      <c r="F147" s="1" t="s">
        <v>40</v>
      </c>
      <c r="G147" s="1" t="s">
        <v>86</v>
      </c>
      <c r="H147" s="1" t="s">
        <v>82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2</v>
      </c>
      <c r="L147" s="2">
        <f>Games[[#This Row],[OppDaysOff]]-Games[[#This Row],[DaysOff]]</f>
        <v>-2</v>
      </c>
      <c r="M147" s="1">
        <f>MAX(-16, MIN(16, Games[[#This Row],[RestDiff]]*8))</f>
        <v>16</v>
      </c>
      <c r="N147" s="1">
        <f>MAX(-16, MIN(16, Games[[#This Row],[OppRestDiff]]*8))</f>
        <v>-16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1435.7784244114837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1582.469066220084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0.45594713843805212</v>
      </c>
      <c r="R147" s="1">
        <v>99</v>
      </c>
      <c r="S147" s="1">
        <v>103</v>
      </c>
      <c r="T147" s="1">
        <v>0</v>
      </c>
      <c r="U147" s="1">
        <f>Games[[#This Row],[PointsFor]]-Games[[#This Row],[PointsAgainst]]</f>
        <v>-4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0.27750937764203343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7" s="9">
        <f>MAX(kmin, kmax - 0.15 * MIN(Games[[#This Row],[GamesPlayed]], 82))</f>
        <v>74.05</v>
      </c>
      <c r="Z147" s="4">
        <f>Games[[#This Row],[K]]*Games[[#This Row],[POMult]]</f>
        <v>74.05</v>
      </c>
      <c r="AA147" s="4">
        <f>(Games[[#This Row],[Keff]]*Games[[#This Row],[MOVMult]])*(Games[[#This Row],[Result]]-Games[[#This Row],[ExpectedWin%]])</f>
        <v>-9.3695173706264132</v>
      </c>
      <c r="AB147" s="4">
        <f>Games[[#This Row],[PreGmRate]]+Games[[#This Row],[RatingChange]]</f>
        <v>1426.4089070408572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45457</v>
      </c>
      <c r="B148" s="2">
        <v>2024</v>
      </c>
      <c r="C148" s="2">
        <f>COUNTIFS(Games[Team],Games[[#This Row],[Team]],Games[Season],Games[[#This Row],[Season]],Games[Date],"&lt;=" &amp; Games[[#This Row],[Date]])</f>
        <v>13</v>
      </c>
      <c r="D148" s="2" t="s">
        <v>79</v>
      </c>
      <c r="E148" s="2" t="s">
        <v>80</v>
      </c>
      <c r="F148" s="1" t="s">
        <v>63</v>
      </c>
      <c r="G148" s="1" t="s">
        <v>67</v>
      </c>
      <c r="H148" s="1" t="s">
        <v>81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1415.5360804660411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1591.0189450319401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0.18336651196774037</v>
      </c>
      <c r="R148" s="1">
        <v>76</v>
      </c>
      <c r="S148" s="1">
        <v>81</v>
      </c>
      <c r="T148" s="1">
        <v>0</v>
      </c>
      <c r="U148" s="1">
        <f>Games[[#This Row],[PointsFor]]-Games[[#This Row],[PointsAgainst]]</f>
        <v>-5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0.28943084702050392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8" s="9">
        <f>MAX(kmin, kmax - 0.15 * MIN(Games[[#This Row],[GamesPlayed]], 82))</f>
        <v>74.05</v>
      </c>
      <c r="Z148" s="4">
        <f>Games[[#This Row],[K]]*Games[[#This Row],[POMult]]</f>
        <v>74.05</v>
      </c>
      <c r="AA148" s="4">
        <f>(Games[[#This Row],[Keff]]*Games[[#This Row],[MOVMult]])*(Games[[#This Row],[Result]]-Games[[#This Row],[ExpectedWin%]])</f>
        <v>-3.9299760369210675</v>
      </c>
      <c r="AB148" s="4">
        <f>Games[[#This Row],[PreGmRate]]+Games[[#This Row],[RatingChange]]</f>
        <v>1411.60610442912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45457</v>
      </c>
      <c r="B149" s="2">
        <v>2024</v>
      </c>
      <c r="C149" s="2">
        <f>COUNTIFS(Games[Team],Games[[#This Row],[Team]],Games[Season],Games[[#This Row],[Season]],Games[Date],"&lt;=" &amp; Games[[#This Row],[Date]])</f>
        <v>13</v>
      </c>
      <c r="D149" s="2" t="s">
        <v>79</v>
      </c>
      <c r="E149" s="2" t="s">
        <v>80</v>
      </c>
      <c r="F149" s="1" t="s">
        <v>67</v>
      </c>
      <c r="G149" s="1" t="s">
        <v>63</v>
      </c>
      <c r="H149" s="1" t="s">
        <v>82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1591.0189450319401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1415.5360804660411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0.81663348803225966</v>
      </c>
      <c r="R149" s="1">
        <v>81</v>
      </c>
      <c r="S149" s="1">
        <v>76</v>
      </c>
      <c r="T149" s="1">
        <v>0</v>
      </c>
      <c r="U149" s="1">
        <f>Games[[#This Row],[PointsFor]]-Games[[#This Row],[PointsAgainst]]</f>
        <v>5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0.28943084702050392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9" s="9">
        <f>MAX(kmin, kmax - 0.15 * MIN(Games[[#This Row],[GamesPlayed]], 82))</f>
        <v>74.05</v>
      </c>
      <c r="Z149" s="4">
        <f>Games[[#This Row],[K]]*Games[[#This Row],[POMult]]</f>
        <v>74.05</v>
      </c>
      <c r="AA149" s="4">
        <f>(Games[[#This Row],[Keff]]*Games[[#This Row],[MOVMult]])*(Games[[#This Row],[Result]]-Games[[#This Row],[ExpectedWin%]])</f>
        <v>3.929976036921067</v>
      </c>
      <c r="AB149" s="4">
        <f>Games[[#This Row],[PreGmRate]]+Games[[#This Row],[RatingChange]]</f>
        <v>1594.9489210688612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45457</v>
      </c>
      <c r="B150" s="2">
        <v>2024</v>
      </c>
      <c r="C150" s="2">
        <f>COUNTIFS(Games[Team],Games[[#This Row],[Team]],Games[Season],Games[[#This Row],[Season]],Games[Date],"&lt;=" &amp; Games[[#This Row],[Date]])</f>
        <v>12</v>
      </c>
      <c r="D150" s="2" t="s">
        <v>79</v>
      </c>
      <c r="E150" s="2" t="s">
        <v>80</v>
      </c>
      <c r="F150" s="1" t="s">
        <v>75</v>
      </c>
      <c r="G150" s="1" t="s">
        <v>65</v>
      </c>
      <c r="H150" s="1" t="s">
        <v>81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-1</v>
      </c>
      <c r="L150" s="2">
        <f>Games[[#This Row],[OppDaysOff]]-Games[[#This Row],[DaysOff]]</f>
        <v>1</v>
      </c>
      <c r="M150" s="1">
        <f>MAX(-16, MIN(16, Games[[#This Row],[RestDiff]]*8))</f>
        <v>-8</v>
      </c>
      <c r="N150" s="1">
        <f>MAX(-16, MIN(16, Games[[#This Row],[OppRestDiff]]*8))</f>
        <v>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1463.9172985687246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1392.2194948589881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0.45935971896918437</v>
      </c>
      <c r="R150" s="1">
        <v>81</v>
      </c>
      <c r="S150" s="1">
        <v>83</v>
      </c>
      <c r="T150" s="1">
        <v>0</v>
      </c>
      <c r="U150" s="1">
        <f>Games[[#This Row],[PointsFor]]-Games[[#This Row],[PointsAgainst]]</f>
        <v>-2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0.2527405363396894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0" s="9">
        <f>MAX(kmin, kmax - 0.15 * MIN(Games[[#This Row],[GamesPlayed]], 82))</f>
        <v>74.2</v>
      </c>
      <c r="Z150" s="4">
        <f>Games[[#This Row],[K]]*Games[[#This Row],[POMult]]</f>
        <v>74.2</v>
      </c>
      <c r="AA150" s="4">
        <f>(Games[[#This Row],[Keff]]*Games[[#This Row],[MOVMult]])*(Games[[#This Row],[Result]]-Games[[#This Row],[ExpectedWin%]])</f>
        <v>-8.6145325734879528</v>
      </c>
      <c r="AB150" s="4">
        <f>Games[[#This Row],[PreGmRate]]+Games[[#This Row],[RatingChange]]</f>
        <v>1455.3027659952368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45457</v>
      </c>
      <c r="B151" s="2">
        <v>2024</v>
      </c>
      <c r="C151" s="2">
        <f>COUNTIFS(Games[Team],Games[[#This Row],[Team]],Games[Season],Games[[#This Row],[Season]],Games[Date],"&lt;=" &amp; Games[[#This Row],[Date]])</f>
        <v>14</v>
      </c>
      <c r="D151" s="2" t="s">
        <v>79</v>
      </c>
      <c r="E151" s="2" t="s">
        <v>80</v>
      </c>
      <c r="F151" s="1" t="s">
        <v>65</v>
      </c>
      <c r="G151" s="1" t="s">
        <v>75</v>
      </c>
      <c r="H151" s="1" t="s">
        <v>82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1</v>
      </c>
      <c r="L151" s="2">
        <f>Games[[#This Row],[OppDaysOff]]-Games[[#This Row],[DaysOff]]</f>
        <v>-1</v>
      </c>
      <c r="M151" s="1">
        <f>MAX(-16, MIN(16, Games[[#This Row],[RestDiff]]*8))</f>
        <v>8</v>
      </c>
      <c r="N151" s="1">
        <f>MAX(-16, MIN(16, Games[[#This Row],[OppRestDiff]]*8))</f>
        <v>-8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1392.2194948589881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1463.9172985687246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0.54064028103081563</v>
      </c>
      <c r="R151" s="1">
        <v>83</v>
      </c>
      <c r="S151" s="1">
        <v>81</v>
      </c>
      <c r="T151" s="1">
        <v>0</v>
      </c>
      <c r="U151" s="1">
        <f>Games[[#This Row],[PointsFor]]-Games[[#This Row],[PointsAgainst]]</f>
        <v>2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0.2527405363396894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1" s="9">
        <f>MAX(kmin, kmax - 0.15 * MIN(Games[[#This Row],[GamesPlayed]], 82))</f>
        <v>73.900000000000006</v>
      </c>
      <c r="Z151" s="4">
        <f>Games[[#This Row],[K]]*Games[[#This Row],[POMult]]</f>
        <v>73.900000000000006</v>
      </c>
      <c r="AA151" s="4">
        <f>(Games[[#This Row],[Keff]]*Games[[#This Row],[MOVMult]])*(Games[[#This Row],[Result]]-Games[[#This Row],[ExpectedWin%]])</f>
        <v>8.5797029269644174</v>
      </c>
      <c r="AB151" s="4">
        <f>Games[[#This Row],[PreGmRate]]+Games[[#This Row],[RatingChange]]</f>
        <v>1400.7991977859526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45458</v>
      </c>
      <c r="B152" s="2">
        <v>2024</v>
      </c>
      <c r="C152" s="2">
        <f>COUNTIFS(Games[Team],Games[[#This Row],[Team]],Games[Season],Games[[#This Row],[Season]],Games[Date],"&lt;=" &amp; Games[[#This Row],[Date]])</f>
        <v>13</v>
      </c>
      <c r="D152" s="2" t="s">
        <v>79</v>
      </c>
      <c r="E152" s="2" t="s">
        <v>80</v>
      </c>
      <c r="F152" s="1" t="s">
        <v>74</v>
      </c>
      <c r="G152" s="1" t="s">
        <v>85</v>
      </c>
      <c r="H152" s="1" t="s">
        <v>81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1</v>
      </c>
      <c r="L152" s="2">
        <f>Games[[#This Row],[OppDaysOff]]-Games[[#This Row],[DaysOff]]</f>
        <v>-1</v>
      </c>
      <c r="M152" s="1">
        <f>MAX(-16, MIN(16, Games[[#This Row],[RestDiff]]*8))</f>
        <v>8</v>
      </c>
      <c r="N152" s="1">
        <f>MAX(-16, MIN(16, Games[[#This Row],[OppRestDiff]]*8))</f>
        <v>-8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1629.1769660411103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1454.8624566952462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0.64839587061561244</v>
      </c>
      <c r="R152" s="1">
        <v>85</v>
      </c>
      <c r="S152" s="1">
        <v>67</v>
      </c>
      <c r="T152" s="1">
        <v>0</v>
      </c>
      <c r="U152" s="1">
        <f>Games[[#This Row],[PointsFor]]-Games[[#This Row],[PointsAgainst]]</f>
        <v>18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0.4774749259279224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2" s="9">
        <f>MAX(kmin, kmax - 0.15 * MIN(Games[[#This Row],[GamesPlayed]], 82))</f>
        <v>74.05</v>
      </c>
      <c r="Z152" s="4">
        <f>Games[[#This Row],[K]]*Games[[#This Row],[POMult]]</f>
        <v>74.05</v>
      </c>
      <c r="AA152" s="4">
        <f>(Games[[#This Row],[Keff]]*Games[[#This Row],[MOVMult]])*(Games[[#This Row],[Result]]-Games[[#This Row],[ExpectedWin%]])</f>
        <v>12.431673624680084</v>
      </c>
      <c r="AB152" s="4">
        <f>Games[[#This Row],[PreGmRate]]+Games[[#This Row],[RatingChange]]</f>
        <v>1641.6086396657904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45458</v>
      </c>
      <c r="B153" s="2">
        <v>2024</v>
      </c>
      <c r="C153" s="2">
        <f>COUNTIFS(Games[Team],Games[[#This Row],[Team]],Games[Season],Games[[#This Row],[Season]],Games[Date],"&lt;=" &amp; Games[[#This Row],[Date]])</f>
        <v>12</v>
      </c>
      <c r="D153" s="2" t="s">
        <v>79</v>
      </c>
      <c r="E153" s="2" t="s">
        <v>80</v>
      </c>
      <c r="F153" s="1" t="s">
        <v>85</v>
      </c>
      <c r="G153" s="1" t="s">
        <v>74</v>
      </c>
      <c r="H153" s="1" t="s">
        <v>82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3" s="2">
        <f>Games[[#This Row],[DaysOff]]-Games[[#This Row],[OppDaysOff]]</f>
        <v>-1</v>
      </c>
      <c r="L153" s="2">
        <f>Games[[#This Row],[OppDaysOff]]-Games[[#This Row],[DaysOff]]</f>
        <v>1</v>
      </c>
      <c r="M153" s="1">
        <f>MAX(-16, MIN(16, Games[[#This Row],[RestDiff]]*8))</f>
        <v>-8</v>
      </c>
      <c r="N153" s="1">
        <f>MAX(-16, MIN(16, Games[[#This Row],[OppRestDiff]]*8))</f>
        <v>8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1454.8624566952462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1629.1769660411103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0.35160412938438751</v>
      </c>
      <c r="R153" s="1">
        <v>67</v>
      </c>
      <c r="S153" s="1">
        <v>85</v>
      </c>
      <c r="T153" s="1">
        <v>0</v>
      </c>
      <c r="U153" s="1">
        <f>Games[[#This Row],[PointsFor]]-Games[[#This Row],[PointsAgainst]]</f>
        <v>-18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0.4774749259279224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3" s="9">
        <f>MAX(kmin, kmax - 0.15 * MIN(Games[[#This Row],[GamesPlayed]], 82))</f>
        <v>74.2</v>
      </c>
      <c r="Z153" s="4">
        <f>Games[[#This Row],[K]]*Games[[#This Row],[POMult]]</f>
        <v>74.2</v>
      </c>
      <c r="AA153" s="4">
        <f>(Games[[#This Row],[Keff]]*Games[[#This Row],[MOVMult]])*(Games[[#This Row],[Result]]-Games[[#This Row],[ExpectedWin%]])</f>
        <v>-12.456855948025146</v>
      </c>
      <c r="AB153" s="4">
        <f>Games[[#This Row],[PreGmRate]]+Games[[#This Row],[RatingChange]]</f>
        <v>1442.4056007472211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45458</v>
      </c>
      <c r="B154" s="2">
        <v>2024</v>
      </c>
      <c r="C154" s="2">
        <f>COUNTIFS(Games[Team],Games[[#This Row],[Team]],Games[Season],Games[[#This Row],[Season]],Games[Date],"&lt;=" &amp; Games[[#This Row],[Date]])</f>
        <v>14</v>
      </c>
      <c r="D154" s="2" t="s">
        <v>79</v>
      </c>
      <c r="E154" s="2" t="s">
        <v>80</v>
      </c>
      <c r="F154" s="1" t="s">
        <v>60</v>
      </c>
      <c r="G154" s="1" t="s">
        <v>86</v>
      </c>
      <c r="H154" s="1" t="s">
        <v>81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5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4</v>
      </c>
      <c r="L154" s="2">
        <f>Games[[#This Row],[OppDaysOff]]-Games[[#This Row],[DaysOff]]</f>
        <v>-4</v>
      </c>
      <c r="M154" s="1">
        <f>MAX(-16, MIN(16, Games[[#This Row],[RestDiff]]*8))</f>
        <v>16</v>
      </c>
      <c r="N154" s="1">
        <f>MAX(-16, MIN(16, Games[[#This Row],[OppRestDiff]]*8))</f>
        <v>-16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1667.2269900553365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1591.876542472698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0.53355349111898487</v>
      </c>
      <c r="R154" s="1">
        <v>90</v>
      </c>
      <c r="S154" s="1">
        <v>82</v>
      </c>
      <c r="T154" s="1">
        <v>0</v>
      </c>
      <c r="U154" s="1">
        <f>Games[[#This Row],[PointsFor]]-Games[[#This Row],[PointsAgainst]]</f>
        <v>8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0.36537301797074312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4" s="9">
        <f>MAX(kmin, kmax - 0.15 * MIN(Games[[#This Row],[GamesPlayed]], 82))</f>
        <v>73.900000000000006</v>
      </c>
      <c r="Z154" s="4">
        <f>Games[[#This Row],[K]]*Games[[#This Row],[POMult]]</f>
        <v>73.900000000000006</v>
      </c>
      <c r="AA154" s="4">
        <f>(Games[[#This Row],[Keff]]*Games[[#This Row],[MOVMult]])*(Games[[#This Row],[Result]]-Games[[#This Row],[ExpectedWin%]])</f>
        <v>12.594552984844064</v>
      </c>
      <c r="AB154" s="4">
        <f>Games[[#This Row],[PreGmRate]]+Games[[#This Row],[RatingChange]]</f>
        <v>1679.8215430401806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45458</v>
      </c>
      <c r="B155" s="2">
        <v>2024</v>
      </c>
      <c r="C155" s="2">
        <f>COUNTIFS(Games[Team],Games[[#This Row],[Team]],Games[Season],Games[[#This Row],[Season]],Games[Date],"&lt;=" &amp; Games[[#This Row],[Date]])</f>
        <v>12</v>
      </c>
      <c r="D155" s="2" t="s">
        <v>79</v>
      </c>
      <c r="E155" s="2" t="s">
        <v>80</v>
      </c>
      <c r="F155" s="1" t="s">
        <v>86</v>
      </c>
      <c r="G155" s="1" t="s">
        <v>60</v>
      </c>
      <c r="H155" s="1" t="s">
        <v>82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5" s="2">
        <f>Games[[#This Row],[DaysOff]]-Games[[#This Row],[OppDaysOff]]</f>
        <v>-4</v>
      </c>
      <c r="L155" s="2">
        <f>Games[[#This Row],[OppDaysOff]]-Games[[#This Row],[DaysOff]]</f>
        <v>4</v>
      </c>
      <c r="M155" s="1">
        <f>MAX(-16, MIN(16, Games[[#This Row],[RestDiff]]*8))</f>
        <v>-16</v>
      </c>
      <c r="N155" s="1">
        <f>MAX(-16, MIN(16, Games[[#This Row],[OppRestDiff]]*8))</f>
        <v>16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1591.876542472698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1667.2269900553365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0.46644650888101513</v>
      </c>
      <c r="R155" s="1">
        <v>82</v>
      </c>
      <c r="S155" s="1">
        <v>90</v>
      </c>
      <c r="T155" s="1">
        <v>0</v>
      </c>
      <c r="U155" s="1">
        <f>Games[[#This Row],[PointsFor]]-Games[[#This Row],[PointsAgainst]]</f>
        <v>-8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0.36537301797074312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5" s="9">
        <f>MAX(kmin, kmax - 0.15 * MIN(Games[[#This Row],[GamesPlayed]], 82))</f>
        <v>74.2</v>
      </c>
      <c r="Z155" s="4">
        <f>Games[[#This Row],[K]]*Games[[#This Row],[POMult]]</f>
        <v>74.2</v>
      </c>
      <c r="AA155" s="4">
        <f>(Games[[#This Row],[Keff]]*Games[[#This Row],[MOVMult]])*(Games[[#This Row],[Result]]-Games[[#This Row],[ExpectedWin%]])</f>
        <v>-12.645681075445596</v>
      </c>
      <c r="AB155" s="4">
        <f>Games[[#This Row],[PreGmRate]]+Games[[#This Row],[RatingChange]]</f>
        <v>1579.2308613972525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45459</v>
      </c>
      <c r="B156" s="2">
        <v>2024</v>
      </c>
      <c r="C156" s="2">
        <f>COUNTIFS(Games[Team],Games[[#This Row],[Team]],Games[Season],Games[[#This Row],[Season]],Games[Date],"&lt;=" &amp; Games[[#This Row],[Date]])</f>
        <v>14</v>
      </c>
      <c r="D156" s="2" t="s">
        <v>79</v>
      </c>
      <c r="E156" s="2" t="s">
        <v>80</v>
      </c>
      <c r="F156" s="1" t="s">
        <v>63</v>
      </c>
      <c r="G156" s="1" t="s">
        <v>77</v>
      </c>
      <c r="H156" s="1" t="s">
        <v>81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6" s="2">
        <f>Games[[#This Row],[DaysOff]]-Games[[#This Row],[OppDaysOff]]</f>
        <v>-1</v>
      </c>
      <c r="L156" s="2">
        <f>Games[[#This Row],[OppDaysOff]]-Games[[#This Row],[DaysOff]]</f>
        <v>1</v>
      </c>
      <c r="M156" s="1">
        <f>MAX(-16, MIN(16, Games[[#This Row],[RestDiff]]*8))</f>
        <v>-8</v>
      </c>
      <c r="N156" s="1">
        <f>MAX(-16, MIN(16, Games[[#This Row],[OppRestDiff]]*8))</f>
        <v>8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1411.60610442912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1439.04055955846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0.32441143412253481</v>
      </c>
      <c r="R156" s="1">
        <v>74</v>
      </c>
      <c r="S156" s="1">
        <v>87</v>
      </c>
      <c r="T156" s="1">
        <v>0</v>
      </c>
      <c r="U156" s="1">
        <f>Games[[#This Row],[PointsFor]]-Games[[#This Row],[PointsAgainst]]</f>
        <v>-13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0.46149307965878439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6" s="9">
        <f>MAX(kmin, kmax - 0.15 * MIN(Games[[#This Row],[GamesPlayed]], 82))</f>
        <v>73.900000000000006</v>
      </c>
      <c r="Z156" s="4">
        <f>Games[[#This Row],[K]]*Games[[#This Row],[POMult]]</f>
        <v>73.900000000000006</v>
      </c>
      <c r="AA156" s="4">
        <f>(Games[[#This Row],[Keff]]*Games[[#This Row],[MOVMult]])*(Games[[#This Row],[Result]]-Games[[#This Row],[ExpectedWin%]])</f>
        <v>-11.063837390739154</v>
      </c>
      <c r="AB156" s="4">
        <f>Games[[#This Row],[PreGmRate]]+Games[[#This Row],[RatingChange]]</f>
        <v>1400.5422670383809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45459</v>
      </c>
      <c r="B157" s="2">
        <v>2024</v>
      </c>
      <c r="C157" s="2">
        <f>COUNTIFS(Games[Team],Games[[#This Row],[Team]],Games[Season],Games[[#This Row],[Season]],Games[Date],"&lt;=" &amp; Games[[#This Row],[Date]])</f>
        <v>12</v>
      </c>
      <c r="D157" s="2" t="s">
        <v>79</v>
      </c>
      <c r="E157" s="2" t="s">
        <v>80</v>
      </c>
      <c r="F157" s="1" t="s">
        <v>77</v>
      </c>
      <c r="G157" s="1" t="s">
        <v>63</v>
      </c>
      <c r="H157" s="1" t="s">
        <v>82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1</v>
      </c>
      <c r="L157" s="2">
        <f>Games[[#This Row],[OppDaysOff]]-Games[[#This Row],[DaysOff]]</f>
        <v>-1</v>
      </c>
      <c r="M157" s="1">
        <f>MAX(-16, MIN(16, Games[[#This Row],[RestDiff]]*8))</f>
        <v>8</v>
      </c>
      <c r="N157" s="1">
        <f>MAX(-16, MIN(16, Games[[#This Row],[OppRestDiff]]*8))</f>
        <v>-8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1439.04055955846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1411.60610442912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0.67558856587746519</v>
      </c>
      <c r="R157" s="1">
        <v>87</v>
      </c>
      <c r="S157" s="1">
        <v>74</v>
      </c>
      <c r="T157" s="1">
        <v>0</v>
      </c>
      <c r="U157" s="1">
        <f>Games[[#This Row],[PointsFor]]-Games[[#This Row],[PointsAgainst]]</f>
        <v>13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0.46149307965878439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7" s="9">
        <f>MAX(kmin, kmax - 0.15 * MIN(Games[[#This Row],[GamesPlayed]], 82))</f>
        <v>74.2</v>
      </c>
      <c r="Z157" s="4">
        <f>Games[[#This Row],[K]]*Games[[#This Row],[POMult]]</f>
        <v>74.2</v>
      </c>
      <c r="AA157" s="4">
        <f>(Games[[#This Row],[Keff]]*Games[[#This Row],[MOVMult]])*(Games[[#This Row],[Result]]-Games[[#This Row],[ExpectedWin%]])</f>
        <v>11.108751480282073</v>
      </c>
      <c r="AB157" s="4">
        <f>Games[[#This Row],[PreGmRate]]+Games[[#This Row],[RatingChange]]</f>
        <v>1450.1493110387421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45459</v>
      </c>
      <c r="B158" s="2">
        <v>2024</v>
      </c>
      <c r="C158" s="2">
        <f>COUNTIFS(Games[Team],Games[[#This Row],[Team]],Games[Season],Games[[#This Row],[Season]],Games[Date],"&lt;=" &amp; Games[[#This Row],[Date]])</f>
        <v>13</v>
      </c>
      <c r="D158" s="2" t="s">
        <v>79</v>
      </c>
      <c r="E158" s="2" t="s">
        <v>80</v>
      </c>
      <c r="F158" s="1" t="s">
        <v>75</v>
      </c>
      <c r="G158" s="1" t="s">
        <v>69</v>
      </c>
      <c r="H158" s="1" t="s">
        <v>81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8" s="2">
        <f>Games[[#This Row],[DaysOff]]-Games[[#This Row],[OppDaysOff]]</f>
        <v>-1</v>
      </c>
      <c r="L158" s="2">
        <f>Games[[#This Row],[OppDaysOff]]-Games[[#This Row],[DaysOff]]</f>
        <v>1</v>
      </c>
      <c r="M158" s="1">
        <f>MAX(-16, MIN(16, Games[[#This Row],[RestDiff]]*8))</f>
        <v>-8</v>
      </c>
      <c r="N158" s="1">
        <f>MAX(-16, MIN(16, Games[[#This Row],[OppRestDiff]]*8))</f>
        <v>8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1455.3027659952368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1387.2472728832379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0.45415726573736287</v>
      </c>
      <c r="R158" s="1">
        <v>83</v>
      </c>
      <c r="S158" s="1">
        <v>91</v>
      </c>
      <c r="T158" s="1">
        <v>0</v>
      </c>
      <c r="U158" s="1">
        <f>Games[[#This Row],[PointsFor]]-Games[[#This Row],[PointsAgainst]]</f>
        <v>-8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0.36747496031110194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8" s="9">
        <f>MAX(kmin, kmax - 0.15 * MIN(Games[[#This Row],[GamesPlayed]], 82))</f>
        <v>74.05</v>
      </c>
      <c r="Z158" s="4">
        <f>Games[[#This Row],[K]]*Games[[#This Row],[POMult]]</f>
        <v>74.05</v>
      </c>
      <c r="AA158" s="4">
        <f>(Games[[#This Row],[Keff]]*Games[[#This Row],[MOVMult]])*(Games[[#This Row],[Result]]-Games[[#This Row],[ExpectedWin%]])</f>
        <v>-12.358309888095954</v>
      </c>
      <c r="AB158" s="4">
        <f>Games[[#This Row],[PreGmRate]]+Games[[#This Row],[RatingChange]]</f>
        <v>1442.9444561071409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45459</v>
      </c>
      <c r="B159" s="2">
        <v>2024</v>
      </c>
      <c r="C159" s="2">
        <f>COUNTIFS(Games[Team],Games[[#This Row],[Team]],Games[Season],Games[[#This Row],[Season]],Games[Date],"&lt;=" &amp; Games[[#This Row],[Date]])</f>
        <v>15</v>
      </c>
      <c r="D159" s="2" t="s">
        <v>79</v>
      </c>
      <c r="E159" s="2" t="s">
        <v>80</v>
      </c>
      <c r="F159" s="1" t="s">
        <v>69</v>
      </c>
      <c r="G159" s="1" t="s">
        <v>75</v>
      </c>
      <c r="H159" s="1" t="s">
        <v>82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1</v>
      </c>
      <c r="L159" s="2">
        <f>Games[[#This Row],[OppDaysOff]]-Games[[#This Row],[DaysOff]]</f>
        <v>-1</v>
      </c>
      <c r="M159" s="1">
        <f>MAX(-16, MIN(16, Games[[#This Row],[RestDiff]]*8))</f>
        <v>8</v>
      </c>
      <c r="N159" s="1">
        <f>MAX(-16, MIN(16, Games[[#This Row],[OppRestDiff]]*8))</f>
        <v>-8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1387.2472728832379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1455.3027659952368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0.54584273426263707</v>
      </c>
      <c r="R159" s="1">
        <v>91</v>
      </c>
      <c r="S159" s="1">
        <v>83</v>
      </c>
      <c r="T159" s="1">
        <v>0</v>
      </c>
      <c r="U159" s="1">
        <f>Games[[#This Row],[PointsFor]]-Games[[#This Row],[PointsAgainst]]</f>
        <v>8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0.36747496031110194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9" s="9">
        <f>MAX(kmin, kmax - 0.15 * MIN(Games[[#This Row],[GamesPlayed]], 82))</f>
        <v>73.75</v>
      </c>
      <c r="Z159" s="4">
        <f>Games[[#This Row],[K]]*Games[[#This Row],[POMult]]</f>
        <v>73.75</v>
      </c>
      <c r="AA159" s="4">
        <f>(Games[[#This Row],[Keff]]*Games[[#This Row],[MOVMult]])*(Games[[#This Row],[Result]]-Games[[#This Row],[ExpectedWin%]])</f>
        <v>12.308242461135405</v>
      </c>
      <c r="AB159" s="4">
        <f>Games[[#This Row],[PreGmRate]]+Games[[#This Row],[RatingChange]]</f>
        <v>1399.5555153443734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45459</v>
      </c>
      <c r="B160" s="2">
        <v>2024</v>
      </c>
      <c r="C160" s="2">
        <f>COUNTIFS(Games[Team],Games[[#This Row],[Team]],Games[Season],Games[[#This Row],[Season]],Games[Date],"&lt;=" &amp; Games[[#This Row],[Date]])</f>
        <v>14</v>
      </c>
      <c r="D160" s="2" t="s">
        <v>79</v>
      </c>
      <c r="E160" s="2" t="s">
        <v>80</v>
      </c>
      <c r="F160" s="1" t="s">
        <v>71</v>
      </c>
      <c r="G160" s="1" t="s">
        <v>40</v>
      </c>
      <c r="H160" s="1" t="s">
        <v>81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1541.072129072232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1426.4089070408572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0.54401370737306409</v>
      </c>
      <c r="R160" s="1">
        <v>78</v>
      </c>
      <c r="S160" s="1">
        <v>87</v>
      </c>
      <c r="T160" s="1">
        <v>0</v>
      </c>
      <c r="U160" s="1">
        <f>Games[[#This Row],[PointsFor]]-Games[[#This Row],[PointsAgainst]]</f>
        <v>-9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0.37056321680919818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0" s="9">
        <f>MAX(kmin, kmax - 0.15 * MIN(Games[[#This Row],[GamesPlayed]], 82))</f>
        <v>73.900000000000006</v>
      </c>
      <c r="Z160" s="4">
        <f>Games[[#This Row],[K]]*Games[[#This Row],[POMult]]</f>
        <v>73.900000000000006</v>
      </c>
      <c r="AA160" s="4">
        <f>(Games[[#This Row],[Keff]]*Games[[#This Row],[MOVMult]])*(Games[[#This Row],[Result]]-Games[[#This Row],[ExpectedWin%]])</f>
        <v>-14.897609588102828</v>
      </c>
      <c r="AB160" s="4">
        <f>Games[[#This Row],[PreGmRate]]+Games[[#This Row],[RatingChange]]</f>
        <v>1526.1745194841292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45459</v>
      </c>
      <c r="B161" s="2">
        <v>2024</v>
      </c>
      <c r="C161" s="2">
        <f>COUNTIFS(Games[Team],Games[[#This Row],[Team]],Games[Season],Games[[#This Row],[Season]],Games[Date],"&lt;=" &amp; Games[[#This Row],[Date]])</f>
        <v>14</v>
      </c>
      <c r="D161" s="2" t="s">
        <v>79</v>
      </c>
      <c r="E161" s="2" t="s">
        <v>80</v>
      </c>
      <c r="F161" s="1" t="s">
        <v>40</v>
      </c>
      <c r="G161" s="1" t="s">
        <v>71</v>
      </c>
      <c r="H161" s="1" t="s">
        <v>82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1426.4089070408572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1541.072129072232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0.45598629262693591</v>
      </c>
      <c r="R161" s="1">
        <v>87</v>
      </c>
      <c r="S161" s="1">
        <v>78</v>
      </c>
      <c r="T161" s="1">
        <v>0</v>
      </c>
      <c r="U161" s="1">
        <f>Games[[#This Row],[PointsFor]]-Games[[#This Row],[PointsAgainst]]</f>
        <v>9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0.37056321680919818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1" s="9">
        <f>MAX(kmin, kmax - 0.15 * MIN(Games[[#This Row],[GamesPlayed]], 82))</f>
        <v>73.900000000000006</v>
      </c>
      <c r="Z161" s="4">
        <f>Games[[#This Row],[K]]*Games[[#This Row],[POMult]]</f>
        <v>73.900000000000006</v>
      </c>
      <c r="AA161" s="4">
        <f>(Games[[#This Row],[Keff]]*Games[[#This Row],[MOVMult]])*(Games[[#This Row],[Result]]-Games[[#This Row],[ExpectedWin%]])</f>
        <v>14.897609588102828</v>
      </c>
      <c r="AB161" s="4">
        <f>Games[[#This Row],[PreGmRate]]+Games[[#This Row],[RatingChange]]</f>
        <v>1441.30651662896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45460</v>
      </c>
      <c r="B162" s="2">
        <v>2024</v>
      </c>
      <c r="C162" s="2">
        <f>COUNTIFS(Games[Team],Games[[#This Row],[Team]],Games[Season],Games[[#This Row],[Season]],Games[Date],"&lt;=" &amp; Games[[#This Row],[Date]])</f>
        <v>13</v>
      </c>
      <c r="D162" s="2" t="s">
        <v>79</v>
      </c>
      <c r="E162" s="2" t="s">
        <v>80</v>
      </c>
      <c r="F162" s="1" t="s">
        <v>85</v>
      </c>
      <c r="G162" s="1" t="s">
        <v>67</v>
      </c>
      <c r="H162" s="1" t="s">
        <v>81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2" s="2">
        <f>Games[[#This Row],[DaysOff]]-Games[[#This Row],[OppDaysOff]]</f>
        <v>-1</v>
      </c>
      <c r="L162" s="2">
        <f>Games[[#This Row],[OppDaysOff]]-Games[[#This Row],[DaysOff]]</f>
        <v>1</v>
      </c>
      <c r="M162" s="1">
        <f>MAX(-16, MIN(16, Games[[#This Row],[RestDiff]]*8))</f>
        <v>-8</v>
      </c>
      <c r="N162" s="1">
        <f>MAX(-16, MIN(16, Games[[#This Row],[OppRestDiff]]*8))</f>
        <v>8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1442.4056007472211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1594.9489210688612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0.18942415440535787</v>
      </c>
      <c r="R162" s="1">
        <v>78</v>
      </c>
      <c r="S162" s="1">
        <v>90</v>
      </c>
      <c r="T162" s="1">
        <v>0</v>
      </c>
      <c r="U162" s="1">
        <f>Games[[#This Row],[PointsFor]]-Games[[#This Row],[PointsAgainst]]</f>
        <v>-12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0.40468598932689681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-5.6764731633341867</v>
      </c>
      <c r="AB162" s="4">
        <f>Games[[#This Row],[PreGmRate]]+Games[[#This Row],[RatingChange]]</f>
        <v>1436.729127583887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45460</v>
      </c>
      <c r="B163" s="2">
        <v>2024</v>
      </c>
      <c r="C163" s="2">
        <f>COUNTIFS(Games[Team],Games[[#This Row],[Team]],Games[Season],Games[[#This Row],[Season]],Games[Date],"&lt;=" &amp; Games[[#This Row],[Date]])</f>
        <v>14</v>
      </c>
      <c r="D163" s="2" t="s">
        <v>79</v>
      </c>
      <c r="E163" s="2" t="s">
        <v>80</v>
      </c>
      <c r="F163" s="1" t="s">
        <v>67</v>
      </c>
      <c r="G163" s="1" t="s">
        <v>85</v>
      </c>
      <c r="H163" s="1" t="s">
        <v>82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1</v>
      </c>
      <c r="L163" s="2">
        <f>Games[[#This Row],[OppDaysOff]]-Games[[#This Row],[DaysOff]]</f>
        <v>-1</v>
      </c>
      <c r="M163" s="1">
        <f>MAX(-16, MIN(16, Games[[#This Row],[RestDiff]]*8))</f>
        <v>8</v>
      </c>
      <c r="N163" s="1">
        <f>MAX(-16, MIN(16, Games[[#This Row],[OppRestDiff]]*8))</f>
        <v>-8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1594.9489210688612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1442.4056007472211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0.81057584559464202</v>
      </c>
      <c r="R163" s="1">
        <v>90</v>
      </c>
      <c r="S163" s="1">
        <v>78</v>
      </c>
      <c r="T163" s="1">
        <v>0</v>
      </c>
      <c r="U163" s="1">
        <f>Games[[#This Row],[PointsFor]]-Games[[#This Row],[PointsAgainst]]</f>
        <v>12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0.40468598932689681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3" s="9">
        <f>MAX(kmin, kmax - 0.15 * MIN(Games[[#This Row],[GamesPlayed]], 82))</f>
        <v>73.900000000000006</v>
      </c>
      <c r="Z163" s="4">
        <f>Games[[#This Row],[K]]*Games[[#This Row],[POMult]]</f>
        <v>73.900000000000006</v>
      </c>
      <c r="AA163" s="4">
        <f>(Games[[#This Row],[Keff]]*Games[[#This Row],[MOVMult]])*(Games[[#This Row],[Result]]-Games[[#This Row],[ExpectedWin%]])</f>
        <v>5.6649745681349994</v>
      </c>
      <c r="AB163" s="4">
        <f>Games[[#This Row],[PreGmRate]]+Games[[#This Row],[RatingChange]]</f>
        <v>1600.6138956369962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45461</v>
      </c>
      <c r="B164" s="2">
        <v>2024</v>
      </c>
      <c r="C164" s="2">
        <f>COUNTIFS(Games[Team],Games[[#This Row],[Team]],Games[Season],Games[[#This Row],[Season]],Games[Date],"&lt;=" &amp; Games[[#This Row],[Date]])</f>
        <v>15</v>
      </c>
      <c r="D164" s="2" t="s">
        <v>79</v>
      </c>
      <c r="E164" s="2" t="s">
        <v>80</v>
      </c>
      <c r="F164" s="1" t="s">
        <v>63</v>
      </c>
      <c r="G164" s="1" t="s">
        <v>74</v>
      </c>
      <c r="H164" s="1" t="s">
        <v>81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4" s="2">
        <f>Games[[#This Row],[DaysOff]]-Games[[#This Row],[OppDaysOff]]</f>
        <v>-1</v>
      </c>
      <c r="L164" s="2">
        <f>Games[[#This Row],[OppDaysOff]]-Games[[#This Row],[DaysOff]]</f>
        <v>1</v>
      </c>
      <c r="M164" s="1">
        <f>MAX(-16, MIN(16, Games[[#This Row],[RestDiff]]*8))</f>
        <v>-8</v>
      </c>
      <c r="N164" s="1">
        <f>MAX(-16, MIN(16, Games[[#This Row],[OppRestDiff]]*8))</f>
        <v>8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1400.5422670383809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1641.6086396657904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0.12310648386696076</v>
      </c>
      <c r="R164" s="1">
        <v>70</v>
      </c>
      <c r="S164" s="1">
        <v>79</v>
      </c>
      <c r="T164" s="1">
        <v>0</v>
      </c>
      <c r="U164" s="1">
        <f>Games[[#This Row],[PointsFor]]-Games[[#This Row],[PointsAgainst]]</f>
        <v>-9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0.33805926071848535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4" s="9">
        <f>MAX(kmin, kmax - 0.15 * MIN(Games[[#This Row],[GamesPlayed]], 82))</f>
        <v>73.75</v>
      </c>
      <c r="Z164" s="4">
        <f>Games[[#This Row],[K]]*Games[[#This Row],[POMult]]</f>
        <v>73.75</v>
      </c>
      <c r="AA164" s="4">
        <f>(Games[[#This Row],[Keff]]*Games[[#This Row],[MOVMult]])*(Games[[#This Row],[Result]]-Games[[#This Row],[ExpectedWin%]])</f>
        <v>-3.0692749107716213</v>
      </c>
      <c r="AB164" s="4">
        <f>Games[[#This Row],[PreGmRate]]+Games[[#This Row],[RatingChange]]</f>
        <v>1397.4729921276094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45461</v>
      </c>
      <c r="B165" s="2">
        <v>2024</v>
      </c>
      <c r="C165" s="2">
        <f>COUNTIFS(Games[Team],Games[[#This Row],[Team]],Games[Season],Games[[#This Row],[Season]],Games[Date],"&lt;=" &amp; Games[[#This Row],[Date]])</f>
        <v>14</v>
      </c>
      <c r="D165" s="2" t="s">
        <v>79</v>
      </c>
      <c r="E165" s="2" t="s">
        <v>80</v>
      </c>
      <c r="F165" s="1" t="s">
        <v>74</v>
      </c>
      <c r="G165" s="1" t="s">
        <v>63</v>
      </c>
      <c r="H165" s="1" t="s">
        <v>82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1</v>
      </c>
      <c r="L165" s="2">
        <f>Games[[#This Row],[OppDaysOff]]-Games[[#This Row],[DaysOff]]</f>
        <v>-1</v>
      </c>
      <c r="M165" s="1">
        <f>MAX(-16, MIN(16, Games[[#This Row],[RestDiff]]*8))</f>
        <v>8</v>
      </c>
      <c r="N165" s="1">
        <f>MAX(-16, MIN(16, Games[[#This Row],[OppRestDiff]]*8))</f>
        <v>-8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1641.6086396657904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1400.5422670383809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0.87689351613303923</v>
      </c>
      <c r="R165" s="1">
        <v>79</v>
      </c>
      <c r="S165" s="1">
        <v>70</v>
      </c>
      <c r="T165" s="1">
        <v>0</v>
      </c>
      <c r="U165" s="1">
        <f>Games[[#This Row],[PointsFor]]-Games[[#This Row],[PointsAgainst]]</f>
        <v>9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0.33805926071848535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5" s="9">
        <f>MAX(kmin, kmax - 0.15 * MIN(Games[[#This Row],[GamesPlayed]], 82))</f>
        <v>73.900000000000006</v>
      </c>
      <c r="Z165" s="4">
        <f>Games[[#This Row],[K]]*Games[[#This Row],[POMult]]</f>
        <v>73.900000000000006</v>
      </c>
      <c r="AA165" s="4">
        <f>(Games[[#This Row],[Keff]]*Games[[#This Row],[MOVMult]])*(Games[[#This Row],[Result]]-Games[[#This Row],[ExpectedWin%]])</f>
        <v>3.0755175038104792</v>
      </c>
      <c r="AB165" s="4">
        <f>Games[[#This Row],[PreGmRate]]+Games[[#This Row],[RatingChange]]</f>
        <v>1644.6841571696009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45461</v>
      </c>
      <c r="B166" s="2">
        <v>2024</v>
      </c>
      <c r="C166" s="2">
        <f>COUNTIFS(Games[Team],Games[[#This Row],[Team]],Games[Season],Games[[#This Row],[Season]],Games[Date],"&lt;=" &amp; Games[[#This Row],[Date]])</f>
        <v>15</v>
      </c>
      <c r="D166" s="2" t="s">
        <v>79</v>
      </c>
      <c r="E166" s="2" t="s">
        <v>80</v>
      </c>
      <c r="F166" s="1" t="s">
        <v>60</v>
      </c>
      <c r="G166" s="1" t="s">
        <v>40</v>
      </c>
      <c r="H166" s="1" t="s">
        <v>81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1</v>
      </c>
      <c r="L166" s="2">
        <f>Games[[#This Row],[OppDaysOff]]-Games[[#This Row],[DaysOff]]</f>
        <v>-1</v>
      </c>
      <c r="M166" s="1">
        <f>MAX(-16, MIN(16, Games[[#This Row],[RestDiff]]*8))</f>
        <v>8</v>
      </c>
      <c r="N166" s="1">
        <f>MAX(-16, MIN(16, Games[[#This Row],[OppRestDiff]]*8))</f>
        <v>-8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1679.8215430401806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1441.30651662896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0.72741831788736033</v>
      </c>
      <c r="R166" s="1">
        <v>93</v>
      </c>
      <c r="S166" s="1">
        <v>99</v>
      </c>
      <c r="T166" s="1">
        <v>0</v>
      </c>
      <c r="U166" s="1">
        <f>Games[[#This Row],[PointsFor]]-Games[[#This Row],[PointsAgainst]]</f>
        <v>-6</v>
      </c>
      <c r="V166" s="1">
        <f>IF(Games[[#This Row],[MOV]]&gt;0,1,IF(Games[[#This Row],[MOV]]=0,0.5,0))</f>
        <v>0</v>
      </c>
      <c r="W166" s="4">
        <f>((ABS(Games[[#This Row],[MOV]])+5)^0.6)/(12+0.01*(ABS(Games[[#This Row],[PreGmRate]]-Games[[#This Row],[OppPreGmRate]])))*IF(Games[[#This Row],[OT]]=1,0.9,1)</f>
        <v>0.29303615573681713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6" s="9">
        <f>MAX(kmin, kmax - 0.15 * MIN(Games[[#This Row],[GamesPlayed]], 82))</f>
        <v>73.75</v>
      </c>
      <c r="Z166" s="4">
        <f>Games[[#This Row],[K]]*Games[[#This Row],[POMult]]</f>
        <v>73.75</v>
      </c>
      <c r="AA166" s="4">
        <f>(Games[[#This Row],[Keff]]*Games[[#This Row],[MOVMult]])*(Games[[#This Row],[Result]]-Games[[#This Row],[ExpectedWin%]])</f>
        <v>-15.720540227111236</v>
      </c>
      <c r="AB166" s="4">
        <f>Games[[#This Row],[PreGmRate]]+Games[[#This Row],[RatingChange]]</f>
        <v>1664.1010028130693</v>
      </c>
      <c r="AC166" s="2">
        <f>IF(Games[[#This Row],[Type]]="R",IF(Games[[#This Row],[Result]]&gt;0.5,1,0),0)</f>
        <v>0</v>
      </c>
      <c r="AD166" s="2">
        <f>IF(Games[[#This Row],[Type]]="R",IF(Games[[#This Row],[Result]]&lt;0.5,1,0),0)</f>
        <v>1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45461</v>
      </c>
      <c r="B167" s="2">
        <v>2024</v>
      </c>
      <c r="C167" s="2">
        <f>COUNTIFS(Games[Team],Games[[#This Row],[Team]],Games[Season],Games[[#This Row],[Season]],Games[Date],"&lt;=" &amp; Games[[#This Row],[Date]])</f>
        <v>15</v>
      </c>
      <c r="D167" s="2" t="s">
        <v>79</v>
      </c>
      <c r="E167" s="2" t="s">
        <v>80</v>
      </c>
      <c r="F167" s="1" t="s">
        <v>40</v>
      </c>
      <c r="G167" s="1" t="s">
        <v>60</v>
      </c>
      <c r="H167" s="1" t="s">
        <v>82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7" s="2">
        <f>Games[[#This Row],[DaysOff]]-Games[[#This Row],[OppDaysOff]]</f>
        <v>-1</v>
      </c>
      <c r="L167" s="2">
        <f>Games[[#This Row],[OppDaysOff]]-Games[[#This Row],[DaysOff]]</f>
        <v>1</v>
      </c>
      <c r="M167" s="1">
        <f>MAX(-16, MIN(16, Games[[#This Row],[RestDiff]]*8))</f>
        <v>-8</v>
      </c>
      <c r="N167" s="1">
        <f>MAX(-16, MIN(16, Games[[#This Row],[OppRestDiff]]*8))</f>
        <v>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1441.30651662896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1679.8215430401806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0.27258168211263967</v>
      </c>
      <c r="R167" s="1">
        <v>99</v>
      </c>
      <c r="S167" s="1">
        <v>93</v>
      </c>
      <c r="T167" s="1">
        <v>0</v>
      </c>
      <c r="U167" s="1">
        <f>Games[[#This Row],[PointsFor]]-Games[[#This Row],[PointsAgainst]]</f>
        <v>6</v>
      </c>
      <c r="V167" s="1">
        <f>IF(Games[[#This Row],[MOV]]&gt;0,1,IF(Games[[#This Row],[MOV]]=0,0.5,0))</f>
        <v>1</v>
      </c>
      <c r="W167" s="4">
        <f>((ABS(Games[[#This Row],[MOV]])+5)^0.6)/(12+0.01*(ABS(Games[[#This Row],[PreGmRate]]-Games[[#This Row],[OppPreGmRate]])))*IF(Games[[#This Row],[OT]]=1,0.9,1)</f>
        <v>0.29303615573681713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7" s="9">
        <f>MAX(kmin, kmax - 0.15 * MIN(Games[[#This Row],[GamesPlayed]], 82))</f>
        <v>73.75</v>
      </c>
      <c r="Z167" s="4">
        <f>Games[[#This Row],[K]]*Games[[#This Row],[POMult]]</f>
        <v>73.75</v>
      </c>
      <c r="AA167" s="4">
        <f>(Games[[#This Row],[Keff]]*Games[[#This Row],[MOVMult]])*(Games[[#This Row],[Result]]-Games[[#This Row],[ExpectedWin%]])</f>
        <v>15.720540227111236</v>
      </c>
      <c r="AB167" s="4">
        <f>Games[[#This Row],[PreGmRate]]+Games[[#This Row],[RatingChange]]</f>
        <v>1457.0270568560713</v>
      </c>
      <c r="AC167" s="2">
        <f>IF(Games[[#This Row],[Type]]="R",IF(Games[[#This Row],[Result]]&gt;0.5,1,0),0)</f>
        <v>1</v>
      </c>
      <c r="AD167" s="2">
        <f>IF(Games[[#This Row],[Type]]="R",IF(Games[[#This Row],[Result]]&lt;0.5,1,0),0)</f>
        <v>0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45462</v>
      </c>
      <c r="B168" s="2">
        <v>2024</v>
      </c>
      <c r="C168" s="2">
        <f>COUNTIFS(Games[Team],Games[[#This Row],[Team]],Games[Season],Games[[#This Row],[Season]],Games[Date],"&lt;=" &amp; Games[[#This Row],[Date]])</f>
        <v>15</v>
      </c>
      <c r="D168" s="2" t="s">
        <v>79</v>
      </c>
      <c r="E168" s="2" t="s">
        <v>80</v>
      </c>
      <c r="F168" s="1" t="s">
        <v>65</v>
      </c>
      <c r="G168" s="1" t="s">
        <v>69</v>
      </c>
      <c r="H168" s="1" t="s">
        <v>81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8" s="2">
        <f>Games[[#This Row],[DaysOff]]-Games[[#This Row],[OppDaysOff]]</f>
        <v>2</v>
      </c>
      <c r="L168" s="2">
        <f>Games[[#This Row],[OppDaysOff]]-Games[[#This Row],[DaysOff]]</f>
        <v>-2</v>
      </c>
      <c r="M168" s="1">
        <f>MAX(-16, MIN(16, Games[[#This Row],[RestDiff]]*8))</f>
        <v>16</v>
      </c>
      <c r="N168" s="1">
        <f>MAX(-16, MIN(16, Games[[#This Row],[OppRestDiff]]*8))</f>
        <v>-16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1400.7991977859526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1399.5555153443734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0.42747102175381047</v>
      </c>
      <c r="R168" s="1">
        <v>81</v>
      </c>
      <c r="S168" s="1">
        <v>88</v>
      </c>
      <c r="T168" s="1">
        <v>0</v>
      </c>
      <c r="U168" s="1">
        <f>Games[[#This Row],[PointsFor]]-Games[[#This Row],[PointsAgainst]]</f>
        <v>-7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0.36972398979187432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8" s="9">
        <f>MAX(kmin, kmax - 0.15 * MIN(Games[[#This Row],[GamesPlayed]], 82))</f>
        <v>73.75</v>
      </c>
      <c r="Z168" s="4">
        <f>Games[[#This Row],[K]]*Games[[#This Row],[POMult]]</f>
        <v>73.75</v>
      </c>
      <c r="AA168" s="4">
        <f>(Games[[#This Row],[Keff]]*Games[[#This Row],[MOVMult]])*(Games[[#This Row],[Result]]-Games[[#This Row],[ExpectedWin%]])</f>
        <v>-11.655914011638059</v>
      </c>
      <c r="AB168" s="4">
        <f>Games[[#This Row],[PreGmRate]]+Games[[#This Row],[RatingChange]]</f>
        <v>1389.1432837743146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45462</v>
      </c>
      <c r="B169" s="2">
        <v>2024</v>
      </c>
      <c r="C169" s="2">
        <f>COUNTIFS(Games[Team],Games[[#This Row],[Team]],Games[Season],Games[[#This Row],[Season]],Games[Date],"&lt;=" &amp; Games[[#This Row],[Date]])</f>
        <v>16</v>
      </c>
      <c r="D169" s="2" t="s">
        <v>79</v>
      </c>
      <c r="E169" s="2" t="s">
        <v>80</v>
      </c>
      <c r="F169" s="1" t="s">
        <v>69</v>
      </c>
      <c r="G169" s="1" t="s">
        <v>65</v>
      </c>
      <c r="H169" s="1" t="s">
        <v>82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9" s="2">
        <f>Games[[#This Row],[DaysOff]]-Games[[#This Row],[OppDaysOff]]</f>
        <v>-2</v>
      </c>
      <c r="L169" s="2">
        <f>Games[[#This Row],[OppDaysOff]]-Games[[#This Row],[DaysOff]]</f>
        <v>2</v>
      </c>
      <c r="M169" s="1">
        <f>MAX(-16, MIN(16, Games[[#This Row],[RestDiff]]*8))</f>
        <v>-16</v>
      </c>
      <c r="N169" s="1">
        <f>MAX(-16, MIN(16, Games[[#This Row],[OppRestDiff]]*8))</f>
        <v>16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1399.5555153443734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1400.7991977859526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0.57252897824618953</v>
      </c>
      <c r="R169" s="1">
        <v>88</v>
      </c>
      <c r="S169" s="1">
        <v>81</v>
      </c>
      <c r="T169" s="1">
        <v>0</v>
      </c>
      <c r="U169" s="1">
        <f>Games[[#This Row],[PointsFor]]-Games[[#This Row],[PointsAgainst]]</f>
        <v>7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0.36972398979187432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9" s="9">
        <f>MAX(kmin, kmax - 0.15 * MIN(Games[[#This Row],[GamesPlayed]], 82))</f>
        <v>73.599999999999994</v>
      </c>
      <c r="Z169" s="4">
        <f>Games[[#This Row],[K]]*Games[[#This Row],[POMult]]</f>
        <v>73.599999999999994</v>
      </c>
      <c r="AA169" s="4">
        <f>(Games[[#This Row],[Keff]]*Games[[#This Row],[MOVMult]])*(Games[[#This Row],[Result]]-Games[[#This Row],[ExpectedWin%]])</f>
        <v>11.632207067885572</v>
      </c>
      <c r="AB169" s="4">
        <f>Games[[#This Row],[PreGmRate]]+Games[[#This Row],[RatingChange]]</f>
        <v>1411.1877224122588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45462</v>
      </c>
      <c r="B170" s="2">
        <v>2024</v>
      </c>
      <c r="C170" s="2">
        <f>COUNTIFS(Games[Team],Games[[#This Row],[Team]],Games[Season],Games[[#This Row],[Season]],Games[Date],"&lt;=" &amp; Games[[#This Row],[Date]])</f>
        <v>15</v>
      </c>
      <c r="D170" s="2" t="s">
        <v>79</v>
      </c>
      <c r="E170" s="2" t="s">
        <v>80</v>
      </c>
      <c r="F170" s="1" t="s">
        <v>71</v>
      </c>
      <c r="G170" s="1" t="s">
        <v>86</v>
      </c>
      <c r="H170" s="1" t="s">
        <v>81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0" s="2">
        <f>Games[[#This Row],[DaysOff]]-Games[[#This Row],[OppDaysOff]]</f>
        <v>-1</v>
      </c>
      <c r="L170" s="2">
        <f>Games[[#This Row],[OppDaysOff]]-Games[[#This Row],[DaysOff]]</f>
        <v>1</v>
      </c>
      <c r="M170" s="1">
        <f>MAX(-16, MIN(16, Games[[#This Row],[RestDiff]]*8))</f>
        <v>-8</v>
      </c>
      <c r="N170" s="1">
        <f>MAX(-16, MIN(16, Games[[#This Row],[OppRestDiff]]*8))</f>
        <v>8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1526.1745194841292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1579.2308613972525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0.29295752107562578</v>
      </c>
      <c r="R170" s="1">
        <v>83</v>
      </c>
      <c r="S170" s="1">
        <v>94</v>
      </c>
      <c r="T170" s="1">
        <v>0</v>
      </c>
      <c r="U170" s="1">
        <f>Games[[#This Row],[PointsFor]]-Games[[#This Row],[PointsAgainst]]</f>
        <v>-11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0.42121263558135458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0" s="9">
        <f>MAX(kmin, kmax - 0.15 * MIN(Games[[#This Row],[GamesPlayed]], 82))</f>
        <v>73.75</v>
      </c>
      <c r="Z170" s="4">
        <f>Games[[#This Row],[K]]*Games[[#This Row],[POMult]]</f>
        <v>73.75</v>
      </c>
      <c r="AA170" s="4">
        <f>(Games[[#This Row],[Keff]]*Games[[#This Row],[MOVMult]])*(Games[[#This Row],[Result]]-Games[[#This Row],[ExpectedWin%]])</f>
        <v>-9.1005589554662869</v>
      </c>
      <c r="AB170" s="4">
        <f>Games[[#This Row],[PreGmRate]]+Games[[#This Row],[RatingChange]]</f>
        <v>1517.0739605286628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45462</v>
      </c>
      <c r="B171" s="2">
        <v>2024</v>
      </c>
      <c r="C171" s="2">
        <f>COUNTIFS(Games[Team],Games[[#This Row],[Team]],Games[Season],Games[[#This Row],[Season]],Games[Date],"&lt;=" &amp; Games[[#This Row],[Date]])</f>
        <v>13</v>
      </c>
      <c r="D171" s="2" t="s">
        <v>79</v>
      </c>
      <c r="E171" s="2" t="s">
        <v>80</v>
      </c>
      <c r="F171" s="1" t="s">
        <v>86</v>
      </c>
      <c r="G171" s="1" t="s">
        <v>71</v>
      </c>
      <c r="H171" s="1" t="s">
        <v>82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1" s="2">
        <f>Games[[#This Row],[DaysOff]]-Games[[#This Row],[OppDaysOff]]</f>
        <v>1</v>
      </c>
      <c r="L171" s="2">
        <f>Games[[#This Row],[OppDaysOff]]-Games[[#This Row],[DaysOff]]</f>
        <v>-1</v>
      </c>
      <c r="M171" s="1">
        <f>MAX(-16, MIN(16, Games[[#This Row],[RestDiff]]*8))</f>
        <v>8</v>
      </c>
      <c r="N171" s="1">
        <f>MAX(-16, MIN(16, Games[[#This Row],[OppRestDiff]]*8))</f>
        <v>-8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1579.2308613972525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1526.1745194841292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0.70704247892437422</v>
      </c>
      <c r="R171" s="1">
        <v>94</v>
      </c>
      <c r="S171" s="1">
        <v>83</v>
      </c>
      <c r="T171" s="1">
        <v>0</v>
      </c>
      <c r="U171" s="1">
        <f>Games[[#This Row],[PointsFor]]-Games[[#This Row],[PointsAgainst]]</f>
        <v>11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0.42121263558135458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1" s="9">
        <f>MAX(kmin, kmax - 0.15 * MIN(Games[[#This Row],[GamesPlayed]], 82))</f>
        <v>74.05</v>
      </c>
      <c r="Z171" s="4">
        <f>Games[[#This Row],[K]]*Games[[#This Row],[POMult]]</f>
        <v>74.05</v>
      </c>
      <c r="AA171" s="4">
        <f>(Games[[#This Row],[Keff]]*Games[[#This Row],[MOVMult]])*(Games[[#This Row],[Result]]-Games[[#This Row],[ExpectedWin%]])</f>
        <v>9.1375781783359802</v>
      </c>
      <c r="AB171" s="4">
        <f>Games[[#This Row],[PreGmRate]]+Games[[#This Row],[RatingChange]]</f>
        <v>1588.3684395755886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45462</v>
      </c>
      <c r="B172" s="2">
        <v>2024</v>
      </c>
      <c r="C172" s="2">
        <f>COUNTIFS(Games[Team],Games[[#This Row],[Team]],Games[Season],Games[[#This Row],[Season]],Games[Date],"&lt;=" &amp; Games[[#This Row],[Date]])</f>
        <v>13</v>
      </c>
      <c r="D172" s="2" t="s">
        <v>79</v>
      </c>
      <c r="E172" s="2" t="s">
        <v>80</v>
      </c>
      <c r="F172" s="1" t="s">
        <v>77</v>
      </c>
      <c r="G172" s="1" t="s">
        <v>67</v>
      </c>
      <c r="H172" s="1" t="s">
        <v>81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1</v>
      </c>
      <c r="L172" s="2">
        <f>Games[[#This Row],[OppDaysOff]]-Games[[#This Row],[DaysOff]]</f>
        <v>-1</v>
      </c>
      <c r="M172" s="1">
        <f>MAX(-16, MIN(16, Games[[#This Row],[RestDiff]]*8))</f>
        <v>8</v>
      </c>
      <c r="N172" s="1">
        <f>MAX(-16, MIN(16, Games[[#This Row],[OppRestDiff]]*8))</f>
        <v>-8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1450.1493110387421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1600.6138956369962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0.22139020459635655</v>
      </c>
      <c r="R172" s="1">
        <v>55</v>
      </c>
      <c r="S172" s="1">
        <v>68</v>
      </c>
      <c r="T172" s="1">
        <v>0</v>
      </c>
      <c r="U172" s="1">
        <f>Games[[#This Row],[PointsFor]]-Games[[#This Row],[PointsAgainst]]</f>
        <v>-13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0.41945010127418736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2" s="9">
        <f>MAX(kmin, kmax - 0.15 * MIN(Games[[#This Row],[GamesPlayed]], 82))</f>
        <v>74.05</v>
      </c>
      <c r="Z172" s="4">
        <f>Games[[#This Row],[K]]*Games[[#This Row],[POMult]]</f>
        <v>74.05</v>
      </c>
      <c r="AA172" s="4">
        <f>(Games[[#This Row],[Keff]]*Games[[#This Row],[MOVMult]])*(Games[[#This Row],[Result]]-Games[[#This Row],[ExpectedWin%]])</f>
        <v>-6.8764417438770087</v>
      </c>
      <c r="AB172" s="4">
        <f>Games[[#This Row],[PreGmRate]]+Games[[#This Row],[RatingChange]]</f>
        <v>1443.2728692948651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45462</v>
      </c>
      <c r="B173" s="2">
        <v>2024</v>
      </c>
      <c r="C173" s="2">
        <f>COUNTIFS(Games[Team],Games[[#This Row],[Team]],Games[Season],Games[[#This Row],[Season]],Games[Date],"&lt;=" &amp; Games[[#This Row],[Date]])</f>
        <v>15</v>
      </c>
      <c r="D173" s="2" t="s">
        <v>79</v>
      </c>
      <c r="E173" s="2" t="s">
        <v>80</v>
      </c>
      <c r="F173" s="1" t="s">
        <v>67</v>
      </c>
      <c r="G173" s="1" t="s">
        <v>77</v>
      </c>
      <c r="H173" s="1" t="s">
        <v>82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3" s="2">
        <f>Games[[#This Row],[DaysOff]]-Games[[#This Row],[OppDaysOff]]</f>
        <v>-1</v>
      </c>
      <c r="L173" s="2">
        <f>Games[[#This Row],[OppDaysOff]]-Games[[#This Row],[DaysOff]]</f>
        <v>1</v>
      </c>
      <c r="M173" s="1">
        <f>MAX(-16, MIN(16, Games[[#This Row],[RestDiff]]*8))</f>
        <v>-8</v>
      </c>
      <c r="N173" s="1">
        <f>MAX(-16, MIN(16, Games[[#This Row],[OppRestDiff]]*8))</f>
        <v>8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1600.6138956369962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1450.1493110387421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0.7786097954036435</v>
      </c>
      <c r="R173" s="1">
        <v>68</v>
      </c>
      <c r="S173" s="1">
        <v>55</v>
      </c>
      <c r="T173" s="1">
        <v>0</v>
      </c>
      <c r="U173" s="1">
        <f>Games[[#This Row],[PointsFor]]-Games[[#This Row],[PointsAgainst]]</f>
        <v>13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0.41945010127418736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3" s="9">
        <f>MAX(kmin, kmax - 0.15 * MIN(Games[[#This Row],[GamesPlayed]], 82))</f>
        <v>73.75</v>
      </c>
      <c r="Z173" s="4">
        <f>Games[[#This Row],[K]]*Games[[#This Row],[POMult]]</f>
        <v>73.75</v>
      </c>
      <c r="AA173" s="4">
        <f>(Games[[#This Row],[Keff]]*Games[[#This Row],[MOVMult]])*(Games[[#This Row],[Result]]-Games[[#This Row],[ExpectedWin%]])</f>
        <v>6.8485831007552909</v>
      </c>
      <c r="AB173" s="4">
        <f>Games[[#This Row],[PreGmRate]]+Games[[#This Row],[RatingChange]]</f>
        <v>1607.4624787377516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45463</v>
      </c>
      <c r="B174" s="2">
        <v>2024</v>
      </c>
      <c r="C174" s="2">
        <f>COUNTIFS(Games[Team],Games[[#This Row],[Team]],Games[Season],Games[[#This Row],[Season]],Games[Date],"&lt;=" &amp; Games[[#This Row],[Date]])</f>
        <v>14</v>
      </c>
      <c r="D174" s="2" t="s">
        <v>79</v>
      </c>
      <c r="E174" s="2" t="s">
        <v>80</v>
      </c>
      <c r="F174" s="1" t="s">
        <v>85</v>
      </c>
      <c r="G174" s="1" t="s">
        <v>75</v>
      </c>
      <c r="H174" s="1" t="s">
        <v>81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4" s="2">
        <f>Games[[#This Row],[DaysOff]]-Games[[#This Row],[OppDaysOff]]</f>
        <v>-1</v>
      </c>
      <c r="L174" s="2">
        <f>Games[[#This Row],[OppDaysOff]]-Games[[#This Row],[DaysOff]]</f>
        <v>1</v>
      </c>
      <c r="M174" s="1">
        <f>MAX(-16, MIN(16, Games[[#This Row],[RestDiff]]*8))</f>
        <v>-8</v>
      </c>
      <c r="N174" s="1">
        <f>MAX(-16, MIN(16, Games[[#This Row],[OppRestDiff]]*8))</f>
        <v>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1436.729127583887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1442.9444561071409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0.35173430043064119</v>
      </c>
      <c r="R174" s="1">
        <v>72</v>
      </c>
      <c r="S174" s="1">
        <v>83</v>
      </c>
      <c r="T174" s="1">
        <v>0</v>
      </c>
      <c r="U174" s="1">
        <f>Games[[#This Row],[PointsFor]]-Games[[#This Row],[PointsAgainst]]</f>
        <v>-11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0.43756960455421912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4" s="9">
        <f>MAX(kmin, kmax - 0.15 * MIN(Games[[#This Row],[GamesPlayed]], 82))</f>
        <v>73.900000000000006</v>
      </c>
      <c r="Z174" s="4">
        <f>Games[[#This Row],[K]]*Games[[#This Row],[POMult]]</f>
        <v>73.900000000000006</v>
      </c>
      <c r="AA174" s="4">
        <f>(Games[[#This Row],[Keff]]*Games[[#This Row],[MOVMult]])*(Games[[#This Row],[Result]]-Games[[#This Row],[ExpectedWin%]])</f>
        <v>-11.373818843446944</v>
      </c>
      <c r="AB174" s="4">
        <f>Games[[#This Row],[PreGmRate]]+Games[[#This Row],[RatingChange]]</f>
        <v>1425.35530874044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45463</v>
      </c>
      <c r="B175" s="2">
        <v>2024</v>
      </c>
      <c r="C175" s="2">
        <f>COUNTIFS(Games[Team],Games[[#This Row],[Team]],Games[Season],Games[[#This Row],[Season]],Games[Date],"&lt;=" &amp; Games[[#This Row],[Date]])</f>
        <v>14</v>
      </c>
      <c r="D175" s="2" t="s">
        <v>79</v>
      </c>
      <c r="E175" s="2" t="s">
        <v>80</v>
      </c>
      <c r="F175" s="1" t="s">
        <v>75</v>
      </c>
      <c r="G175" s="1" t="s">
        <v>85</v>
      </c>
      <c r="H175" s="1" t="s">
        <v>82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5" s="2">
        <f>Games[[#This Row],[DaysOff]]-Games[[#This Row],[OppDaysOff]]</f>
        <v>1</v>
      </c>
      <c r="L175" s="2">
        <f>Games[[#This Row],[OppDaysOff]]-Games[[#This Row],[DaysOff]]</f>
        <v>-1</v>
      </c>
      <c r="M175" s="1">
        <f>MAX(-16, MIN(16, Games[[#This Row],[RestDiff]]*8))</f>
        <v>8</v>
      </c>
      <c r="N175" s="1">
        <f>MAX(-16, MIN(16, Games[[#This Row],[OppRestDiff]]*8))</f>
        <v>-8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1442.9444561071409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1436.729127583887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0.64826569956935876</v>
      </c>
      <c r="R175" s="1">
        <v>83</v>
      </c>
      <c r="S175" s="1">
        <v>72</v>
      </c>
      <c r="T175" s="1">
        <v>0</v>
      </c>
      <c r="U175" s="1">
        <f>Games[[#This Row],[PointsFor]]-Games[[#This Row],[PointsAgainst]]</f>
        <v>11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0.43756960455421912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5" s="9">
        <f>MAX(kmin, kmax - 0.15 * MIN(Games[[#This Row],[GamesPlayed]], 82))</f>
        <v>73.900000000000006</v>
      </c>
      <c r="Z175" s="4">
        <f>Games[[#This Row],[K]]*Games[[#This Row],[POMult]]</f>
        <v>73.900000000000006</v>
      </c>
      <c r="AA175" s="4">
        <f>(Games[[#This Row],[Keff]]*Games[[#This Row],[MOVMult]])*(Games[[#This Row],[Result]]-Games[[#This Row],[ExpectedWin%]])</f>
        <v>11.373818843446946</v>
      </c>
      <c r="AB175" s="4">
        <f>Games[[#This Row],[PreGmRate]]+Games[[#This Row],[RatingChange]]</f>
        <v>1454.3182749505879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45463</v>
      </c>
      <c r="B176" s="2">
        <v>2024</v>
      </c>
      <c r="C176" s="2">
        <f>COUNTIFS(Games[Team],Games[[#This Row],[Team]],Games[Season],Games[[#This Row],[Season]],Games[Date],"&lt;=" &amp; Games[[#This Row],[Date]])</f>
        <v>16</v>
      </c>
      <c r="D176" s="2" t="s">
        <v>79</v>
      </c>
      <c r="E176" s="2" t="s">
        <v>80</v>
      </c>
      <c r="F176" s="1" t="s">
        <v>63</v>
      </c>
      <c r="G176" s="1" t="s">
        <v>60</v>
      </c>
      <c r="H176" s="1" t="s">
        <v>81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1397.4729921276094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1664.1010028130693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0.11728690893476754</v>
      </c>
      <c r="R176" s="1">
        <v>80</v>
      </c>
      <c r="S176" s="1">
        <v>93</v>
      </c>
      <c r="T176" s="1">
        <v>0</v>
      </c>
      <c r="U176" s="1">
        <f>Games[[#This Row],[PointsFor]]-Games[[#This Row],[PointsAgainst]]</f>
        <v>-13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0.3862277978123419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6" s="9">
        <f>MAX(kmin, kmax - 0.15 * MIN(Games[[#This Row],[GamesPlayed]], 82))</f>
        <v>73.599999999999994</v>
      </c>
      <c r="Z176" s="4">
        <f>Games[[#This Row],[K]]*Games[[#This Row],[POMult]]</f>
        <v>73.599999999999994</v>
      </c>
      <c r="AA176" s="4">
        <f>(Games[[#This Row],[Keff]]*Games[[#This Row],[MOVMult]])*(Games[[#This Row],[Result]]-Games[[#This Row],[ExpectedWin%]])</f>
        <v>-3.3340405908867679</v>
      </c>
      <c r="AB176" s="4">
        <f>Games[[#This Row],[PreGmRate]]+Games[[#This Row],[RatingChange]]</f>
        <v>1394.1389515367225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45463</v>
      </c>
      <c r="B177" s="2">
        <v>2024</v>
      </c>
      <c r="C177" s="2">
        <f>COUNTIFS(Games[Team],Games[[#This Row],[Team]],Games[Season],Games[[#This Row],[Season]],Games[Date],"&lt;=" &amp; Games[[#This Row],[Date]])</f>
        <v>16</v>
      </c>
      <c r="D177" s="2" t="s">
        <v>79</v>
      </c>
      <c r="E177" s="2" t="s">
        <v>80</v>
      </c>
      <c r="F177" s="1" t="s">
        <v>60</v>
      </c>
      <c r="G177" s="1" t="s">
        <v>63</v>
      </c>
      <c r="H177" s="1" t="s">
        <v>82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1664.1010028130693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1397.4729921276094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0.88271309106523232</v>
      </c>
      <c r="R177" s="1">
        <v>93</v>
      </c>
      <c r="S177" s="1">
        <v>80</v>
      </c>
      <c r="T177" s="1">
        <v>0</v>
      </c>
      <c r="U177" s="1">
        <f>Games[[#This Row],[PointsFor]]-Games[[#This Row],[PointsAgainst]]</f>
        <v>13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0.3862277978123419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7" s="9">
        <f>MAX(kmin, kmax - 0.15 * MIN(Games[[#This Row],[GamesPlayed]], 82))</f>
        <v>73.599999999999994</v>
      </c>
      <c r="Z177" s="4">
        <f>Games[[#This Row],[K]]*Games[[#This Row],[POMult]]</f>
        <v>73.599999999999994</v>
      </c>
      <c r="AA177" s="4">
        <f>(Games[[#This Row],[Keff]]*Games[[#This Row],[MOVMult]])*(Games[[#This Row],[Result]]-Games[[#This Row],[ExpectedWin%]])</f>
        <v>3.3340405908867714</v>
      </c>
      <c r="AB177" s="4">
        <f>Games[[#This Row],[PreGmRate]]+Games[[#This Row],[RatingChange]]</f>
        <v>1667.4350434039561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45464</v>
      </c>
      <c r="B178" s="2">
        <v>2024</v>
      </c>
      <c r="C178" s="2">
        <f>COUNTIFS(Games[Team],Games[[#This Row],[Team]],Games[Season],Games[[#This Row],[Season]],Games[Date],"&lt;=" &amp; Games[[#This Row],[Date]])</f>
        <v>17</v>
      </c>
      <c r="D178" s="2" t="s">
        <v>79</v>
      </c>
      <c r="E178" s="2" t="s">
        <v>80</v>
      </c>
      <c r="F178" s="1" t="s">
        <v>69</v>
      </c>
      <c r="G178" s="1" t="s">
        <v>77</v>
      </c>
      <c r="H178" s="1" t="s">
        <v>81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0</v>
      </c>
      <c r="L178" s="2">
        <f>Games[[#This Row],[OppDaysOff]]-Games[[#This Row],[DaysOff]]</f>
        <v>0</v>
      </c>
      <c r="M178" s="1">
        <f>MAX(-16, MIN(16, Games[[#This Row],[RestDiff]]*8))</f>
        <v>0</v>
      </c>
      <c r="N178" s="1">
        <f>MAX(-16, MIN(16, Games[[#This Row],[OppRestDiff]]*8))</f>
        <v>0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1411.1877224122588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1443.2728692948651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0.33889108610953406</v>
      </c>
      <c r="R178" s="1">
        <v>91</v>
      </c>
      <c r="S178" s="1">
        <v>79</v>
      </c>
      <c r="T178" s="1">
        <v>0</v>
      </c>
      <c r="U178" s="1">
        <f>Games[[#This Row],[PointsFor]]-Games[[#This Row],[PointsAgainst]]</f>
        <v>12</v>
      </c>
      <c r="V178" s="1">
        <f>IF(Games[[#This Row],[MOV]]&gt;0,1,IF(Games[[#This Row],[MOV]]=0,0.5,0))</f>
        <v>1</v>
      </c>
      <c r="W178" s="4">
        <f>((ABS(Games[[#This Row],[MOV]])+5)^0.6)/(12+0.01*(ABS(Games[[#This Row],[PreGmRate]]-Games[[#This Row],[OppPreGmRate]])))*IF(Games[[#This Row],[OT]]=1,0.9,1)</f>
        <v>0.44425122166008962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8" s="9">
        <f>MAX(kmin, kmax - 0.15 * MIN(Games[[#This Row],[GamesPlayed]], 82))</f>
        <v>73.45</v>
      </c>
      <c r="Z178" s="4">
        <f>Games[[#This Row],[K]]*Games[[#This Row],[POMult]]</f>
        <v>73.45</v>
      </c>
      <c r="AA178" s="4">
        <f>(Games[[#This Row],[Keff]]*Games[[#This Row],[MOVMult]])*(Games[[#This Row],[Result]]-Games[[#This Row],[ExpectedWin%]])</f>
        <v>21.572150612364457</v>
      </c>
      <c r="AB178" s="4">
        <f>Games[[#This Row],[PreGmRate]]+Games[[#This Row],[RatingChange]]</f>
        <v>1432.7598730246234</v>
      </c>
      <c r="AC178" s="2">
        <f>IF(Games[[#This Row],[Type]]="R",IF(Games[[#This Row],[Result]]&gt;0.5,1,0),0)</f>
        <v>1</v>
      </c>
      <c r="AD178" s="2">
        <f>IF(Games[[#This Row],[Type]]="R",IF(Games[[#This Row],[Result]]&lt;0.5,1,0),0)</f>
        <v>0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45464</v>
      </c>
      <c r="B179" s="2">
        <v>2024</v>
      </c>
      <c r="C179" s="2">
        <f>COUNTIFS(Games[Team],Games[[#This Row],[Team]],Games[Season],Games[[#This Row],[Season]],Games[Date],"&lt;=" &amp; Games[[#This Row],[Date]])</f>
        <v>14</v>
      </c>
      <c r="D179" s="2" t="s">
        <v>79</v>
      </c>
      <c r="E179" s="2" t="s">
        <v>80</v>
      </c>
      <c r="F179" s="1" t="s">
        <v>77</v>
      </c>
      <c r="G179" s="1" t="s">
        <v>69</v>
      </c>
      <c r="H179" s="1" t="s">
        <v>82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0</v>
      </c>
      <c r="L179" s="2">
        <f>Games[[#This Row],[OppDaysOff]]-Games[[#This Row],[DaysOff]]</f>
        <v>0</v>
      </c>
      <c r="M179" s="1">
        <f>MAX(-16, MIN(16, Games[[#This Row],[RestDiff]]*8))</f>
        <v>0</v>
      </c>
      <c r="N179" s="1">
        <f>MAX(-16, MIN(16, Games[[#This Row],[OppRestDiff]]*8))</f>
        <v>0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1443.2728692948651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1411.1877224122588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0.661108913890466</v>
      </c>
      <c r="R179" s="1">
        <v>79</v>
      </c>
      <c r="S179" s="1">
        <v>91</v>
      </c>
      <c r="T179" s="1">
        <v>0</v>
      </c>
      <c r="U179" s="1">
        <f>Games[[#This Row],[PointsFor]]-Games[[#This Row],[PointsAgainst]]</f>
        <v>-12</v>
      </c>
      <c r="V179" s="1">
        <f>IF(Games[[#This Row],[MOV]]&gt;0,1,IF(Games[[#This Row],[MOV]]=0,0.5,0))</f>
        <v>0</v>
      </c>
      <c r="W179" s="4">
        <f>((ABS(Games[[#This Row],[MOV]])+5)^0.6)/(12+0.01*(ABS(Games[[#This Row],[PreGmRate]]-Games[[#This Row],[OppPreGmRate]])))*IF(Games[[#This Row],[OT]]=1,0.9,1)</f>
        <v>0.44425122166008962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9" s="9">
        <f>MAX(kmin, kmax - 0.15 * MIN(Games[[#This Row],[GamesPlayed]], 82))</f>
        <v>73.900000000000006</v>
      </c>
      <c r="Z179" s="4">
        <f>Games[[#This Row],[K]]*Games[[#This Row],[POMult]]</f>
        <v>73.900000000000006</v>
      </c>
      <c r="AA179" s="4">
        <f>(Games[[#This Row],[Keff]]*Games[[#This Row],[MOVMult]])*(Games[[#This Row],[Result]]-Games[[#This Row],[ExpectedWin%]])</f>
        <v>-21.704314911555254</v>
      </c>
      <c r="AB179" s="4">
        <f>Games[[#This Row],[PreGmRate]]+Games[[#This Row],[RatingChange]]</f>
        <v>1421.5685543833099</v>
      </c>
      <c r="AC179" s="2">
        <f>IF(Games[[#This Row],[Type]]="R",IF(Games[[#This Row],[Result]]&gt;0.5,1,0),0)</f>
        <v>0</v>
      </c>
      <c r="AD179" s="2">
        <f>IF(Games[[#This Row],[Type]]="R",IF(Games[[#This Row],[Result]]&lt;0.5,1,0),0)</f>
        <v>1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45464</v>
      </c>
      <c r="B180" s="2">
        <v>2024</v>
      </c>
      <c r="C180" s="2">
        <f>COUNTIFS(Games[Team],Games[[#This Row],[Team]],Games[Season],Games[[#This Row],[Season]],Games[Date],"&lt;=" &amp; Games[[#This Row],[Date]])</f>
        <v>15</v>
      </c>
      <c r="D180" s="2" t="s">
        <v>79</v>
      </c>
      <c r="E180" s="2" t="s">
        <v>80</v>
      </c>
      <c r="F180" s="1" t="s">
        <v>74</v>
      </c>
      <c r="G180" s="1" t="s">
        <v>86</v>
      </c>
      <c r="H180" s="1" t="s">
        <v>81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1</v>
      </c>
      <c r="L180" s="2">
        <f>Games[[#This Row],[OppDaysOff]]-Games[[#This Row],[DaysOff]]</f>
        <v>-1</v>
      </c>
      <c r="M180" s="1">
        <f>MAX(-16, MIN(16, Games[[#This Row],[RestDiff]]*8))</f>
        <v>8</v>
      </c>
      <c r="N180" s="1">
        <f>MAX(-16, MIN(16, Games[[#This Row],[OppRestDiff]]*8))</f>
        <v>-8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1644.6841571696009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1588.3684395755886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0.48319130224108814</v>
      </c>
      <c r="R180" s="1">
        <v>74</v>
      </c>
      <c r="S180" s="1">
        <v>85</v>
      </c>
      <c r="T180" s="1">
        <v>0</v>
      </c>
      <c r="U180" s="1">
        <f>Games[[#This Row],[PointsFor]]-Games[[#This Row],[PointsAgainst]]</f>
        <v>-11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0.42011984481095316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0" s="9">
        <f>MAX(kmin, kmax - 0.15 * MIN(Games[[#This Row],[GamesPlayed]], 82))</f>
        <v>73.75</v>
      </c>
      <c r="Z180" s="4">
        <f>Games[[#This Row],[K]]*Games[[#This Row],[POMult]]</f>
        <v>73.75</v>
      </c>
      <c r="AA180" s="4">
        <f>(Games[[#This Row],[Keff]]*Games[[#This Row],[MOVMult]])*(Games[[#This Row],[Result]]-Games[[#This Row],[ExpectedWin%]])</f>
        <v>-14.971121299725214</v>
      </c>
      <c r="AB180" s="4">
        <f>Games[[#This Row],[PreGmRate]]+Games[[#This Row],[RatingChange]]</f>
        <v>1629.7130358698757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45464</v>
      </c>
      <c r="B181" s="2">
        <v>2024</v>
      </c>
      <c r="C181" s="2">
        <f>COUNTIFS(Games[Team],Games[[#This Row],[Team]],Games[Season],Games[[#This Row],[Season]],Games[Date],"&lt;=" &amp; Games[[#This Row],[Date]])</f>
        <v>14</v>
      </c>
      <c r="D181" s="2" t="s">
        <v>79</v>
      </c>
      <c r="E181" s="2" t="s">
        <v>80</v>
      </c>
      <c r="F181" s="1" t="s">
        <v>86</v>
      </c>
      <c r="G181" s="1" t="s">
        <v>74</v>
      </c>
      <c r="H181" s="1" t="s">
        <v>82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1" s="2">
        <f>Games[[#This Row],[DaysOff]]-Games[[#This Row],[OppDaysOff]]</f>
        <v>-1</v>
      </c>
      <c r="L181" s="2">
        <f>Games[[#This Row],[OppDaysOff]]-Games[[#This Row],[DaysOff]]</f>
        <v>1</v>
      </c>
      <c r="M181" s="1">
        <f>MAX(-16, MIN(16, Games[[#This Row],[RestDiff]]*8))</f>
        <v>-8</v>
      </c>
      <c r="N181" s="1">
        <f>MAX(-16, MIN(16, Games[[#This Row],[OppRestDiff]]*8))</f>
        <v>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1588.3684395755886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1644.6841571696009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0.51680869775891181</v>
      </c>
      <c r="R181" s="1">
        <v>85</v>
      </c>
      <c r="S181" s="1">
        <v>74</v>
      </c>
      <c r="T181" s="1">
        <v>0</v>
      </c>
      <c r="U181" s="1">
        <f>Games[[#This Row],[PointsFor]]-Games[[#This Row],[PointsAgainst]]</f>
        <v>11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0.42011984481095316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1" s="9">
        <f>MAX(kmin, kmax - 0.15 * MIN(Games[[#This Row],[GamesPlayed]], 82))</f>
        <v>73.900000000000006</v>
      </c>
      <c r="Z181" s="4">
        <f>Games[[#This Row],[K]]*Games[[#This Row],[POMult]]</f>
        <v>73.900000000000006</v>
      </c>
      <c r="AA181" s="4">
        <f>(Games[[#This Row],[Keff]]*Games[[#This Row],[MOVMult]])*(Games[[#This Row],[Result]]-Games[[#This Row],[ExpectedWin%]])</f>
        <v>15.001571037961945</v>
      </c>
      <c r="AB181" s="4">
        <f>Games[[#This Row],[PreGmRate]]+Games[[#This Row],[RatingChange]]</f>
        <v>1603.3700106135504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45465</v>
      </c>
      <c r="B182" s="2">
        <v>2024</v>
      </c>
      <c r="C182" s="2">
        <f>COUNTIFS(Games[Team],Games[[#This Row],[Team]],Games[Season],Games[[#This Row],[Season]],Games[Date],"&lt;=" &amp; Games[[#This Row],[Date]])</f>
        <v>16</v>
      </c>
      <c r="D182" s="2" t="s">
        <v>79</v>
      </c>
      <c r="E182" s="2" t="s">
        <v>80</v>
      </c>
      <c r="F182" s="1" t="s">
        <v>40</v>
      </c>
      <c r="G182" s="1" t="s">
        <v>67</v>
      </c>
      <c r="H182" s="1" t="s">
        <v>81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2" s="2">
        <f>Games[[#This Row],[DaysOff]]-Games[[#This Row],[OppDaysOff]]</f>
        <v>1</v>
      </c>
      <c r="L182" s="2">
        <f>Games[[#This Row],[OppDaysOff]]-Games[[#This Row],[DaysOff]]</f>
        <v>-1</v>
      </c>
      <c r="M182" s="1">
        <f>MAX(-16, MIN(16, Games[[#This Row],[RestDiff]]*8))</f>
        <v>8</v>
      </c>
      <c r="N182" s="1">
        <f>MAX(-16, MIN(16, Games[[#This Row],[OppRestDiff]]*8))</f>
        <v>-8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1457.0270568560713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1607.4624787377516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0.2214191435118216</v>
      </c>
      <c r="R182" s="1">
        <v>60</v>
      </c>
      <c r="S182" s="1">
        <v>73</v>
      </c>
      <c r="T182" s="1">
        <v>0</v>
      </c>
      <c r="U182" s="1">
        <f>Games[[#This Row],[PointsFor]]-Games[[#This Row],[PointsAgainst]]</f>
        <v>-13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0.41945915931889072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2" s="9">
        <f>MAX(kmin, kmax - 0.15 * MIN(Games[[#This Row],[GamesPlayed]], 82))</f>
        <v>73.599999999999994</v>
      </c>
      <c r="Z182" s="4">
        <f>Games[[#This Row],[K]]*Games[[#This Row],[POMult]]</f>
        <v>73.599999999999994</v>
      </c>
      <c r="AA182" s="4">
        <f>(Games[[#This Row],[Keff]]*Games[[#This Row],[MOVMult]])*(Games[[#This Row],[Result]]-Games[[#This Row],[ExpectedWin%]])</f>
        <v>-6.8356947816809042</v>
      </c>
      <c r="AB182" s="4">
        <f>Games[[#This Row],[PreGmRate]]+Games[[#This Row],[RatingChange]]</f>
        <v>1450.1913620743903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45465</v>
      </c>
      <c r="B183" s="2">
        <v>2024</v>
      </c>
      <c r="C183" s="2">
        <f>COUNTIFS(Games[Team],Games[[#This Row],[Team]],Games[Season],Games[[#This Row],[Season]],Games[Date],"&lt;=" &amp; Games[[#This Row],[Date]])</f>
        <v>16</v>
      </c>
      <c r="D183" s="2" t="s">
        <v>79</v>
      </c>
      <c r="E183" s="2" t="s">
        <v>80</v>
      </c>
      <c r="F183" s="1" t="s">
        <v>67</v>
      </c>
      <c r="G183" s="1" t="s">
        <v>40</v>
      </c>
      <c r="H183" s="1" t="s">
        <v>82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3" s="2">
        <f>Games[[#This Row],[DaysOff]]-Games[[#This Row],[OppDaysOff]]</f>
        <v>-1</v>
      </c>
      <c r="L183" s="2">
        <f>Games[[#This Row],[OppDaysOff]]-Games[[#This Row],[DaysOff]]</f>
        <v>1</v>
      </c>
      <c r="M183" s="1">
        <f>MAX(-16, MIN(16, Games[[#This Row],[RestDiff]]*8))</f>
        <v>-8</v>
      </c>
      <c r="N183" s="1">
        <f>MAX(-16, MIN(16, Games[[#This Row],[OppRestDiff]]*8))</f>
        <v>8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1607.4624787377516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1457.0270568560713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0.77858085648817843</v>
      </c>
      <c r="R183" s="1">
        <v>73</v>
      </c>
      <c r="S183" s="1">
        <v>60</v>
      </c>
      <c r="T183" s="1">
        <v>0</v>
      </c>
      <c r="U183" s="1">
        <f>Games[[#This Row],[PointsFor]]-Games[[#This Row],[PointsAgainst]]</f>
        <v>13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0.41945915931889072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3" s="9">
        <f>MAX(kmin, kmax - 0.15 * MIN(Games[[#This Row],[GamesPlayed]], 82))</f>
        <v>73.599999999999994</v>
      </c>
      <c r="Z183" s="4">
        <f>Games[[#This Row],[K]]*Games[[#This Row],[POMult]]</f>
        <v>73.599999999999994</v>
      </c>
      <c r="AA183" s="4">
        <f>(Games[[#This Row],[Keff]]*Games[[#This Row],[MOVMult]])*(Games[[#This Row],[Result]]-Games[[#This Row],[ExpectedWin%]])</f>
        <v>6.8356947816809033</v>
      </c>
      <c r="AB183" s="4">
        <f>Games[[#This Row],[PreGmRate]]+Games[[#This Row],[RatingChange]]</f>
        <v>1614.2981735194326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45465</v>
      </c>
      <c r="B184" s="2">
        <v>2024</v>
      </c>
      <c r="C184" s="2">
        <f>COUNTIFS(Games[Team],Games[[#This Row],[Team]],Games[Season],Games[[#This Row],[Season]],Games[Date],"&lt;=" &amp; Games[[#This Row],[Date]])</f>
        <v>17</v>
      </c>
      <c r="D184" s="2" t="s">
        <v>79</v>
      </c>
      <c r="E184" s="2" t="s">
        <v>80</v>
      </c>
      <c r="F184" s="1" t="s">
        <v>63</v>
      </c>
      <c r="G184" s="1" t="s">
        <v>60</v>
      </c>
      <c r="H184" s="1" t="s">
        <v>81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1394.1389515367225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1667.4350434039561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0.11337093637610161</v>
      </c>
      <c r="R184" s="1">
        <v>88</v>
      </c>
      <c r="S184" s="1">
        <v>98</v>
      </c>
      <c r="T184" s="1">
        <v>0</v>
      </c>
      <c r="U184" s="1">
        <f>Games[[#This Row],[PointsFor]]-Games[[#This Row],[PointsAgainst]]</f>
        <v>-10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0.34463923579354561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4" s="9">
        <f>MAX(kmin, kmax - 0.15 * MIN(Games[[#This Row],[GamesPlayed]], 82))</f>
        <v>73.45</v>
      </c>
      <c r="Z184" s="4">
        <f>Games[[#This Row],[K]]*Games[[#This Row],[POMult]]</f>
        <v>73.45</v>
      </c>
      <c r="AA184" s="4">
        <f>(Games[[#This Row],[Keff]]*Games[[#This Row],[MOVMult]])*(Games[[#This Row],[Result]]-Games[[#This Row],[ExpectedWin%]])</f>
        <v>-2.8698437525848952</v>
      </c>
      <c r="AB184" s="4">
        <f>Games[[#This Row],[PreGmRate]]+Games[[#This Row],[RatingChange]]</f>
        <v>1391.2691077841375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45465</v>
      </c>
      <c r="B185" s="2">
        <v>2024</v>
      </c>
      <c r="C185" s="2">
        <f>COUNTIFS(Games[Team],Games[[#This Row],[Team]],Games[Season],Games[[#This Row],[Season]],Games[Date],"&lt;=" &amp; Games[[#This Row],[Date]])</f>
        <v>17</v>
      </c>
      <c r="D185" s="2" t="s">
        <v>79</v>
      </c>
      <c r="E185" s="2" t="s">
        <v>80</v>
      </c>
      <c r="F185" s="1" t="s">
        <v>60</v>
      </c>
      <c r="G185" s="1" t="s">
        <v>63</v>
      </c>
      <c r="H185" s="1" t="s">
        <v>82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1667.4350434039561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1394.1389515367225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0.88662906362389837</v>
      </c>
      <c r="R185" s="1">
        <v>98</v>
      </c>
      <c r="S185" s="1">
        <v>88</v>
      </c>
      <c r="T185" s="1">
        <v>0</v>
      </c>
      <c r="U185" s="1">
        <f>Games[[#This Row],[PointsFor]]-Games[[#This Row],[PointsAgainst]]</f>
        <v>10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0.34463923579354561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5" s="9">
        <f>MAX(kmin, kmax - 0.15 * MIN(Games[[#This Row],[GamesPlayed]], 82))</f>
        <v>73.45</v>
      </c>
      <c r="Z185" s="4">
        <f>Games[[#This Row],[K]]*Games[[#This Row],[POMult]]</f>
        <v>73.45</v>
      </c>
      <c r="AA185" s="4">
        <f>(Games[[#This Row],[Keff]]*Games[[#This Row],[MOVMult]])*(Games[[#This Row],[Result]]-Games[[#This Row],[ExpectedWin%]])</f>
        <v>2.8698437525848957</v>
      </c>
      <c r="AB185" s="4">
        <f>Games[[#This Row],[PreGmRate]]+Games[[#This Row],[RatingChange]]</f>
        <v>1670.3048871565411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45465</v>
      </c>
      <c r="B186" s="2">
        <v>2024</v>
      </c>
      <c r="C186" s="2">
        <f>COUNTIFS(Games[Team],Games[[#This Row],[Team]],Games[Season],Games[[#This Row],[Season]],Games[Date],"&lt;=" &amp; Games[[#This Row],[Date]])</f>
        <v>15</v>
      </c>
      <c r="D186" s="2" t="s">
        <v>79</v>
      </c>
      <c r="E186" s="2" t="s">
        <v>80</v>
      </c>
      <c r="F186" s="1" t="s">
        <v>85</v>
      </c>
      <c r="G186" s="1" t="s">
        <v>65</v>
      </c>
      <c r="H186" s="1" t="s">
        <v>81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6" s="2">
        <f>Games[[#This Row],[DaysOff]]-Games[[#This Row],[OppDaysOff]]</f>
        <v>-1</v>
      </c>
      <c r="L186" s="2">
        <f>Games[[#This Row],[OppDaysOff]]-Games[[#This Row],[DaysOff]]</f>
        <v>1</v>
      </c>
      <c r="M186" s="1">
        <f>MAX(-16, MIN(16, Games[[#This Row],[RestDiff]]*8))</f>
        <v>-8</v>
      </c>
      <c r="N186" s="1">
        <f>MAX(-16, MIN(16, Games[[#This Row],[OppRestDiff]]*8))</f>
        <v>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1425.35530874044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1389.1432837743146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0.40921944102409902</v>
      </c>
      <c r="R186" s="1">
        <v>69</v>
      </c>
      <c r="S186" s="1">
        <v>97</v>
      </c>
      <c r="T186" s="1">
        <v>0</v>
      </c>
      <c r="U186" s="1">
        <f>Games[[#This Row],[PointsFor]]-Games[[#This Row],[PointsAgainst]]</f>
        <v>-28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0.65919727006992423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6" s="9">
        <f>MAX(kmin, kmax - 0.15 * MIN(Games[[#This Row],[GamesPlayed]], 82))</f>
        <v>73.75</v>
      </c>
      <c r="Z186" s="4">
        <f>Games[[#This Row],[K]]*Games[[#This Row],[POMult]]</f>
        <v>73.75</v>
      </c>
      <c r="AA186" s="4">
        <f>(Games[[#This Row],[Keff]]*Games[[#This Row],[MOVMult]])*(Games[[#This Row],[Result]]-Games[[#This Row],[ExpectedWin%]])</f>
        <v>-19.894529955718699</v>
      </c>
      <c r="AB186" s="4">
        <f>Games[[#This Row],[PreGmRate]]+Games[[#This Row],[RatingChange]]</f>
        <v>1405.4607787847212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45465</v>
      </c>
      <c r="B187" s="2">
        <v>2024</v>
      </c>
      <c r="C187" s="2">
        <f>COUNTIFS(Games[Team],Games[[#This Row],[Team]],Games[Season],Games[[#This Row],[Season]],Games[Date],"&lt;=" &amp; Games[[#This Row],[Date]])</f>
        <v>16</v>
      </c>
      <c r="D187" s="2" t="s">
        <v>79</v>
      </c>
      <c r="E187" s="2" t="s">
        <v>80</v>
      </c>
      <c r="F187" s="1" t="s">
        <v>65</v>
      </c>
      <c r="G187" s="1" t="s">
        <v>85</v>
      </c>
      <c r="H187" s="1" t="s">
        <v>82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1</v>
      </c>
      <c r="L187" s="2">
        <f>Games[[#This Row],[OppDaysOff]]-Games[[#This Row],[DaysOff]]</f>
        <v>-1</v>
      </c>
      <c r="M187" s="1">
        <f>MAX(-16, MIN(16, Games[[#This Row],[RestDiff]]*8))</f>
        <v>8</v>
      </c>
      <c r="N187" s="1">
        <f>MAX(-16, MIN(16, Games[[#This Row],[OppRestDiff]]*8))</f>
        <v>-8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1389.1432837743146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1425.35530874044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0.59078055897590098</v>
      </c>
      <c r="R187" s="1">
        <v>97</v>
      </c>
      <c r="S187" s="1">
        <v>69</v>
      </c>
      <c r="T187" s="1">
        <v>0</v>
      </c>
      <c r="U187" s="1">
        <f>Games[[#This Row],[PointsFor]]-Games[[#This Row],[PointsAgainst]]</f>
        <v>28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0.65919727006992423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7" s="9">
        <f>MAX(kmin, kmax - 0.15 * MIN(Games[[#This Row],[GamesPlayed]], 82))</f>
        <v>73.599999999999994</v>
      </c>
      <c r="Z187" s="4">
        <f>Games[[#This Row],[K]]*Games[[#This Row],[POMult]]</f>
        <v>73.599999999999994</v>
      </c>
      <c r="AA187" s="4">
        <f>(Games[[#This Row],[Keff]]*Games[[#This Row],[MOVMult]])*(Games[[#This Row],[Result]]-Games[[#This Row],[ExpectedWin%]])</f>
        <v>19.854066504961303</v>
      </c>
      <c r="AB187" s="4">
        <f>Games[[#This Row],[PreGmRate]]+Games[[#This Row],[RatingChange]]</f>
        <v>1408.9973502792759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45466</v>
      </c>
      <c r="B188" s="2">
        <v>2024</v>
      </c>
      <c r="C188" s="2">
        <f>COUNTIFS(Games[Team],Games[[#This Row],[Team]],Games[Season],Games[[#This Row],[Season]],Games[Date],"&lt;=" &amp; Games[[#This Row],[Date]])</f>
        <v>18</v>
      </c>
      <c r="D188" s="2" t="s">
        <v>79</v>
      </c>
      <c r="E188" s="2" t="s">
        <v>80</v>
      </c>
      <c r="F188" s="1" t="s">
        <v>60</v>
      </c>
      <c r="G188" s="1" t="s">
        <v>77</v>
      </c>
      <c r="H188" s="1" t="s">
        <v>81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-1</v>
      </c>
      <c r="L188" s="2">
        <f>Games[[#This Row],[OppDaysOff]]-Games[[#This Row],[DaysOff]]</f>
        <v>1</v>
      </c>
      <c r="M188" s="1">
        <f>MAX(-16, MIN(16, Games[[#This Row],[RestDiff]]*8))</f>
        <v>-8</v>
      </c>
      <c r="N188" s="1">
        <f>MAX(-16, MIN(16, Games[[#This Row],[OppRestDiff]]*8))</f>
        <v>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1670.3048871565411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1421.5685543833099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0.70186510102459221</v>
      </c>
      <c r="R188" s="1">
        <v>96</v>
      </c>
      <c r="S188" s="1">
        <v>75</v>
      </c>
      <c r="T188" s="1">
        <v>0</v>
      </c>
      <c r="U188" s="1">
        <f>Games[[#This Row],[PointsFor]]-Games[[#This Row],[PointsAgainst]]</f>
        <v>21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0.48752249208306386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8" s="9">
        <f>MAX(kmin, kmax - 0.15 * MIN(Games[[#This Row],[GamesPlayed]], 82))</f>
        <v>73.3</v>
      </c>
      <c r="Z188" s="4">
        <f>Games[[#This Row],[K]]*Games[[#This Row],[POMult]]</f>
        <v>73.3</v>
      </c>
      <c r="AA188" s="4">
        <f>(Games[[#This Row],[Keff]]*Games[[#This Row],[MOVMult]])*(Games[[#This Row],[Result]]-Games[[#This Row],[ExpectedWin%]])</f>
        <v>10.653969472233527</v>
      </c>
      <c r="AB188" s="4">
        <f>Games[[#This Row],[PreGmRate]]+Games[[#This Row],[RatingChange]]</f>
        <v>1680.9588566287746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45466</v>
      </c>
      <c r="B189" s="2">
        <v>2024</v>
      </c>
      <c r="C189" s="2">
        <f>COUNTIFS(Games[Team],Games[[#This Row],[Team]],Games[Season],Games[[#This Row],[Season]],Games[Date],"&lt;=" &amp; Games[[#This Row],[Date]])</f>
        <v>15</v>
      </c>
      <c r="D189" s="2" t="s">
        <v>79</v>
      </c>
      <c r="E189" s="2" t="s">
        <v>80</v>
      </c>
      <c r="F189" s="1" t="s">
        <v>77</v>
      </c>
      <c r="G189" s="1" t="s">
        <v>60</v>
      </c>
      <c r="H189" s="1" t="s">
        <v>82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9" s="2">
        <f>Games[[#This Row],[DaysOff]]-Games[[#This Row],[OppDaysOff]]</f>
        <v>1</v>
      </c>
      <c r="L189" s="2">
        <f>Games[[#This Row],[OppDaysOff]]-Games[[#This Row],[DaysOff]]</f>
        <v>-1</v>
      </c>
      <c r="M189" s="1">
        <f>MAX(-16, MIN(16, Games[[#This Row],[RestDiff]]*8))</f>
        <v>8</v>
      </c>
      <c r="N189" s="1">
        <f>MAX(-16, MIN(16, Games[[#This Row],[OppRestDiff]]*8))</f>
        <v>-8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1421.5685543833099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1670.3048871565411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0.29813489897540779</v>
      </c>
      <c r="R189" s="1">
        <v>75</v>
      </c>
      <c r="S189" s="1">
        <v>96</v>
      </c>
      <c r="T189" s="1">
        <v>0</v>
      </c>
      <c r="U189" s="1">
        <f>Games[[#This Row],[PointsFor]]-Games[[#This Row],[PointsAgainst]]</f>
        <v>-21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0.48752249208306386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9" s="9">
        <f>MAX(kmin, kmax - 0.15 * MIN(Games[[#This Row],[GamesPlayed]], 82))</f>
        <v>73.75</v>
      </c>
      <c r="Z189" s="4">
        <f>Games[[#This Row],[K]]*Games[[#This Row],[POMult]]</f>
        <v>73.75</v>
      </c>
      <c r="AA189" s="4">
        <f>(Games[[#This Row],[Keff]]*Games[[#This Row],[MOVMult]])*(Games[[#This Row],[Result]]-Games[[#This Row],[ExpectedWin%]])</f>
        <v>-10.719375833249968</v>
      </c>
      <c r="AB189" s="4">
        <f>Games[[#This Row],[PreGmRate]]+Games[[#This Row],[RatingChange]]</f>
        <v>1410.8491785500598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45466</v>
      </c>
      <c r="B190" s="2">
        <v>2024</v>
      </c>
      <c r="C190" s="2">
        <f>COUNTIFS(Games[Team],Games[[#This Row],[Team]],Games[Season],Games[[#This Row],[Season]],Games[Date],"&lt;=" &amp; Games[[#This Row],[Date]])</f>
        <v>18</v>
      </c>
      <c r="D190" s="2" t="s">
        <v>79</v>
      </c>
      <c r="E190" s="2" t="s">
        <v>80</v>
      </c>
      <c r="F190" s="1" t="s">
        <v>69</v>
      </c>
      <c r="G190" s="1" t="s">
        <v>75</v>
      </c>
      <c r="H190" s="1" t="s">
        <v>81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0" s="2">
        <f>Games[[#This Row],[DaysOff]]-Games[[#This Row],[OppDaysOff]]</f>
        <v>-1</v>
      </c>
      <c r="L190" s="2">
        <f>Games[[#This Row],[OppDaysOff]]-Games[[#This Row],[DaysOff]]</f>
        <v>1</v>
      </c>
      <c r="M190" s="1">
        <f>MAX(-16, MIN(16, Games[[#This Row],[RestDiff]]*8))</f>
        <v>-8</v>
      </c>
      <c r="N190" s="1">
        <f>MAX(-16, MIN(16, Games[[#This Row],[OppRestDiff]]*8))</f>
        <v>8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1432.7598730246234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1454.3182749505879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0.33186845428469941</v>
      </c>
      <c r="R190" s="1">
        <v>87</v>
      </c>
      <c r="S190" s="1">
        <v>88</v>
      </c>
      <c r="T190" s="1">
        <v>0</v>
      </c>
      <c r="U190" s="1">
        <f>Games[[#This Row],[PointsFor]]-Games[[#This Row],[PointsAgainst]]</f>
        <v>-1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0.23987032031900432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0" s="9">
        <f>MAX(kmin, kmax - 0.15 * MIN(Games[[#This Row],[GamesPlayed]], 82))</f>
        <v>73.3</v>
      </c>
      <c r="Z190" s="4">
        <f>Games[[#This Row],[K]]*Games[[#This Row],[POMult]]</f>
        <v>73.3</v>
      </c>
      <c r="AA190" s="4">
        <f>(Games[[#This Row],[Keff]]*Games[[#This Row],[MOVMult]])*(Games[[#This Row],[Result]]-Games[[#This Row],[ExpectedWin%]])</f>
        <v>-5.8350752653421019</v>
      </c>
      <c r="AB190" s="4">
        <f>Games[[#This Row],[PreGmRate]]+Games[[#This Row],[RatingChange]]</f>
        <v>1426.9247977592813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45466</v>
      </c>
      <c r="B191" s="2">
        <v>2024</v>
      </c>
      <c r="C191" s="2">
        <f>COUNTIFS(Games[Team],Games[[#This Row],[Team]],Games[Season],Games[[#This Row],[Season]],Games[Date],"&lt;=" &amp; Games[[#This Row],[Date]])</f>
        <v>15</v>
      </c>
      <c r="D191" s="2" t="s">
        <v>79</v>
      </c>
      <c r="E191" s="2" t="s">
        <v>80</v>
      </c>
      <c r="F191" s="1" t="s">
        <v>75</v>
      </c>
      <c r="G191" s="1" t="s">
        <v>69</v>
      </c>
      <c r="H191" s="1" t="s">
        <v>82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1</v>
      </c>
      <c r="L191" s="2">
        <f>Games[[#This Row],[OppDaysOff]]-Games[[#This Row],[DaysOff]]</f>
        <v>-1</v>
      </c>
      <c r="M191" s="1">
        <f>MAX(-16, MIN(16, Games[[#This Row],[RestDiff]]*8))</f>
        <v>8</v>
      </c>
      <c r="N191" s="1">
        <f>MAX(-16, MIN(16, Games[[#This Row],[OppRestDiff]]*8))</f>
        <v>-8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1454.3182749505879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1432.7598730246234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0.66813154571530065</v>
      </c>
      <c r="R191" s="1">
        <v>88</v>
      </c>
      <c r="S191" s="1">
        <v>87</v>
      </c>
      <c r="T191" s="1">
        <v>0</v>
      </c>
      <c r="U191" s="1">
        <f>Games[[#This Row],[PointsFor]]-Games[[#This Row],[PointsAgainst]]</f>
        <v>1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0.23987032031900432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1" s="9">
        <f>MAX(kmin, kmax - 0.15 * MIN(Games[[#This Row],[GamesPlayed]], 82))</f>
        <v>73.75</v>
      </c>
      <c r="Z191" s="4">
        <f>Games[[#This Row],[K]]*Games[[#This Row],[POMult]]</f>
        <v>73.75</v>
      </c>
      <c r="AA191" s="4">
        <f>(Games[[#This Row],[Keff]]*Games[[#This Row],[MOVMult]])*(Games[[#This Row],[Result]]-Games[[#This Row],[ExpectedWin%]])</f>
        <v>5.870897691936972</v>
      </c>
      <c r="AB191" s="4">
        <f>Games[[#This Row],[PreGmRate]]+Games[[#This Row],[RatingChange]]</f>
        <v>1460.1891726425249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45466</v>
      </c>
      <c r="B192" s="2">
        <v>2024</v>
      </c>
      <c r="C192" s="2">
        <f>COUNTIFS(Games[Team],Games[[#This Row],[Team]],Games[Season],Games[[#This Row],[Season]],Games[Date],"&lt;=" &amp; Games[[#This Row],[Date]])</f>
        <v>16</v>
      </c>
      <c r="D192" s="2" t="s">
        <v>79</v>
      </c>
      <c r="E192" s="2" t="s">
        <v>80</v>
      </c>
      <c r="F192" s="1" t="s">
        <v>74</v>
      </c>
      <c r="G192" s="1" t="s">
        <v>71</v>
      </c>
      <c r="H192" s="1" t="s">
        <v>81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2" s="2">
        <f>Games[[#This Row],[DaysOff]]-Games[[#This Row],[OppDaysOff]]</f>
        <v>-2</v>
      </c>
      <c r="L192" s="2">
        <f>Games[[#This Row],[OppDaysOff]]-Games[[#This Row],[DaysOff]]</f>
        <v>2</v>
      </c>
      <c r="M192" s="1">
        <f>MAX(-16, MIN(16, Games[[#This Row],[RestDiff]]*8))</f>
        <v>-16</v>
      </c>
      <c r="N192" s="1">
        <f>MAX(-16, MIN(16, Games[[#This Row],[OppRestDiff]]*8))</f>
        <v>16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1629.7130358698757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1517.0739605286628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0.49516339147785876</v>
      </c>
      <c r="R192" s="1">
        <v>61</v>
      </c>
      <c r="S192" s="1">
        <v>72</v>
      </c>
      <c r="T192" s="1">
        <v>0</v>
      </c>
      <c r="U192" s="1">
        <f>Games[[#This Row],[PointsFor]]-Games[[#This Row],[PointsAgainst]]</f>
        <v>-11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0.40209313757626658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2" s="9">
        <f>MAX(kmin, kmax - 0.15 * MIN(Games[[#This Row],[GamesPlayed]], 82))</f>
        <v>73.599999999999994</v>
      </c>
      <c r="Z192" s="4">
        <f>Games[[#This Row],[K]]*Games[[#This Row],[POMult]]</f>
        <v>73.599999999999994</v>
      </c>
      <c r="AA192" s="4">
        <f>(Games[[#This Row],[Keff]]*Games[[#This Row],[MOVMult]])*(Games[[#This Row],[Result]]-Games[[#This Row],[ExpectedWin%]])</f>
        <v>-14.653892604548671</v>
      </c>
      <c r="AB192" s="4">
        <f>Games[[#This Row],[PreGmRate]]+Games[[#This Row],[RatingChange]]</f>
        <v>1615.0591432653271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45466</v>
      </c>
      <c r="B193" s="2">
        <v>2024</v>
      </c>
      <c r="C193" s="2">
        <f>COUNTIFS(Games[Team],Games[[#This Row],[Team]],Games[Season],Games[[#This Row],[Season]],Games[Date],"&lt;=" &amp; Games[[#This Row],[Date]])</f>
        <v>16</v>
      </c>
      <c r="D193" s="2" t="s">
        <v>79</v>
      </c>
      <c r="E193" s="2" t="s">
        <v>80</v>
      </c>
      <c r="F193" s="1" t="s">
        <v>71</v>
      </c>
      <c r="G193" s="1" t="s">
        <v>74</v>
      </c>
      <c r="H193" s="1" t="s">
        <v>82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2</v>
      </c>
      <c r="L193" s="2">
        <f>Games[[#This Row],[OppDaysOff]]-Games[[#This Row],[DaysOff]]</f>
        <v>-2</v>
      </c>
      <c r="M193" s="1">
        <f>MAX(-16, MIN(16, Games[[#This Row],[RestDiff]]*8))</f>
        <v>16</v>
      </c>
      <c r="N193" s="1">
        <f>MAX(-16, MIN(16, Games[[#This Row],[OppRestDiff]]*8))</f>
        <v>-16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1517.0739605286628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1629.7130358698757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0.50483660852214118</v>
      </c>
      <c r="R193" s="1">
        <v>72</v>
      </c>
      <c r="S193" s="1">
        <v>61</v>
      </c>
      <c r="T193" s="1">
        <v>0</v>
      </c>
      <c r="U193" s="1">
        <f>Games[[#This Row],[PointsFor]]-Games[[#This Row],[PointsAgainst]]</f>
        <v>11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0.40209313757626658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3" s="9">
        <f>MAX(kmin, kmax - 0.15 * MIN(Games[[#This Row],[GamesPlayed]], 82))</f>
        <v>73.599999999999994</v>
      </c>
      <c r="Z193" s="4">
        <f>Games[[#This Row],[K]]*Games[[#This Row],[POMult]]</f>
        <v>73.599999999999994</v>
      </c>
      <c r="AA193" s="4">
        <f>(Games[[#This Row],[Keff]]*Games[[#This Row],[MOVMult]])*(Games[[#This Row],[Result]]-Games[[#This Row],[ExpectedWin%]])</f>
        <v>14.653892604548673</v>
      </c>
      <c r="AB193" s="4">
        <f>Games[[#This Row],[PreGmRate]]+Games[[#This Row],[RatingChange]]</f>
        <v>1531.7278531332115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45466</v>
      </c>
      <c r="B194" s="2">
        <v>2024</v>
      </c>
      <c r="C194" s="2">
        <f>COUNTIFS(Games[Team],Games[[#This Row],[Team]],Games[Season],Games[[#This Row],[Season]],Games[Date],"&lt;=" &amp; Games[[#This Row],[Date]])</f>
        <v>16</v>
      </c>
      <c r="D194" s="2" t="s">
        <v>79</v>
      </c>
      <c r="E194" s="2" t="s">
        <v>80</v>
      </c>
      <c r="F194" s="1" t="s">
        <v>85</v>
      </c>
      <c r="G194" s="1" t="s">
        <v>65</v>
      </c>
      <c r="H194" s="1" t="s">
        <v>81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1405.4607787847212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1408.9973502792759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0.37662435550426876</v>
      </c>
      <c r="R194" s="1">
        <v>84</v>
      </c>
      <c r="S194" s="1">
        <v>92</v>
      </c>
      <c r="T194" s="1">
        <v>0</v>
      </c>
      <c r="U194" s="1">
        <f>Games[[#This Row],[PointsFor]]-Games[[#This Row],[PointsAgainst]]</f>
        <v>-8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0.38717447648886411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4" s="9">
        <f>MAX(kmin, kmax - 0.15 * MIN(Games[[#This Row],[GamesPlayed]], 82))</f>
        <v>73.599999999999994</v>
      </c>
      <c r="Z194" s="4">
        <f>Games[[#This Row],[K]]*Games[[#This Row],[POMult]]</f>
        <v>73.599999999999994</v>
      </c>
      <c r="AA194" s="4">
        <f>(Games[[#This Row],[Keff]]*Games[[#This Row],[MOVMult]])*(Games[[#This Row],[Result]]-Games[[#This Row],[ExpectedWin%]])</f>
        <v>-10.732303252903632</v>
      </c>
      <c r="AB194" s="4">
        <f>Games[[#This Row],[PreGmRate]]+Games[[#This Row],[RatingChange]]</f>
        <v>1394.7284755318176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45466</v>
      </c>
      <c r="B195" s="2">
        <v>2024</v>
      </c>
      <c r="C195" s="2">
        <f>COUNTIFS(Games[Team],Games[[#This Row],[Team]],Games[Season],Games[[#This Row],[Season]],Games[Date],"&lt;=" &amp; Games[[#This Row],[Date]])</f>
        <v>17</v>
      </c>
      <c r="D195" s="2" t="s">
        <v>79</v>
      </c>
      <c r="E195" s="2" t="s">
        <v>80</v>
      </c>
      <c r="F195" s="1" t="s">
        <v>65</v>
      </c>
      <c r="G195" s="1" t="s">
        <v>85</v>
      </c>
      <c r="H195" s="1" t="s">
        <v>82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1408.9973502792759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1405.4607787847212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0.62337564449573124</v>
      </c>
      <c r="R195" s="1">
        <v>92</v>
      </c>
      <c r="S195" s="1">
        <v>84</v>
      </c>
      <c r="T195" s="1">
        <v>0</v>
      </c>
      <c r="U195" s="1">
        <f>Games[[#This Row],[PointsFor]]-Games[[#This Row],[PointsAgainst]]</f>
        <v>8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0.38717447648886411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5" s="9">
        <f>MAX(kmin, kmax - 0.15 * MIN(Games[[#This Row],[GamesPlayed]], 82))</f>
        <v>73.45</v>
      </c>
      <c r="Z195" s="4">
        <f>Games[[#This Row],[K]]*Games[[#This Row],[POMult]]</f>
        <v>73.45</v>
      </c>
      <c r="AA195" s="4">
        <f>(Games[[#This Row],[Keff]]*Games[[#This Row],[MOVMult]])*(Games[[#This Row],[Result]]-Games[[#This Row],[ExpectedWin%]])</f>
        <v>10.710430352252335</v>
      </c>
      <c r="AB195" s="4">
        <f>Games[[#This Row],[PreGmRate]]+Games[[#This Row],[RatingChange]]</f>
        <v>1419.7077806315283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45468</v>
      </c>
      <c r="B196" s="2">
        <v>2024</v>
      </c>
      <c r="C196" s="2">
        <f>COUNTIFS(Games[Team],Games[[#This Row],[Team]],Games[Season],Games[[#This Row],[Season]],Games[Date],"&lt;=" &amp; Games[[#This Row],[Date]])</f>
        <v>17</v>
      </c>
      <c r="D196" s="2" t="s">
        <v>83</v>
      </c>
      <c r="E196" s="7">
        <v>0.1</v>
      </c>
      <c r="F196" s="1" t="s">
        <v>67</v>
      </c>
      <c r="G196" s="1" t="s">
        <v>60</v>
      </c>
      <c r="H196" s="1" t="s">
        <v>81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1</v>
      </c>
      <c r="L196" s="2">
        <f>Games[[#This Row],[OppDaysOff]]-Games[[#This Row],[DaysOff]]</f>
        <v>-1</v>
      </c>
      <c r="M196" s="1">
        <f>MAX(-16, MIN(16, Games[[#This Row],[RestDiff]]*8))</f>
        <v>8</v>
      </c>
      <c r="N196" s="1">
        <f>MAX(-16, MIN(16, Games[[#This Row],[OppRestDiff]]*8))</f>
        <v>-8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1614.2981735194326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1680.9588566287746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0.31536196593571125</v>
      </c>
      <c r="R196" s="1">
        <v>94</v>
      </c>
      <c r="S196" s="1">
        <v>89</v>
      </c>
      <c r="T196" s="1">
        <v>0</v>
      </c>
      <c r="U196" s="1">
        <f>Games[[#This Row],[PointsFor]]-Games[[#This Row],[PointsAgainst]]</f>
        <v>5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0.31429661934105479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1.02</v>
      </c>
      <c r="Y196" s="9">
        <f>MAX(kmin, kmax - 0.15 * MIN(Games[[#This Row],[GamesPlayed]], 82))</f>
        <v>73.45</v>
      </c>
      <c r="Z196" s="4">
        <f>Games[[#This Row],[K]]*Games[[#This Row],[POMult]]</f>
        <v>74.919000000000011</v>
      </c>
      <c r="AA196" s="4">
        <f>(Games[[#This Row],[Keff]]*Games[[#This Row],[MOVMult]])*(Games[[#This Row],[Result]]-Games[[#This Row],[ExpectedWin%]])</f>
        <v>16.121026935417518</v>
      </c>
      <c r="AB196" s="4">
        <f>Games[[#This Row],[PreGmRate]]+Games[[#This Row],[RatingChange]]</f>
        <v>1630.4192004548502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45468</v>
      </c>
      <c r="B197" s="2">
        <v>2024</v>
      </c>
      <c r="C197" s="2">
        <f>COUNTIFS(Games[Team],Games[[#This Row],[Team]],Games[Season],Games[[#This Row],[Season]],Games[Date],"&lt;=" &amp; Games[[#This Row],[Date]])</f>
        <v>19</v>
      </c>
      <c r="D197" s="2" t="s">
        <v>83</v>
      </c>
      <c r="E197" s="7">
        <v>0.1</v>
      </c>
      <c r="F197" s="1" t="s">
        <v>60</v>
      </c>
      <c r="G197" s="1" t="s">
        <v>67</v>
      </c>
      <c r="H197" s="1" t="s">
        <v>82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7" s="2">
        <f>Games[[#This Row],[DaysOff]]-Games[[#This Row],[OppDaysOff]]</f>
        <v>-1</v>
      </c>
      <c r="L197" s="2">
        <f>Games[[#This Row],[OppDaysOff]]-Games[[#This Row],[DaysOff]]</f>
        <v>1</v>
      </c>
      <c r="M197" s="1">
        <f>MAX(-16, MIN(16, Games[[#This Row],[RestDiff]]*8))</f>
        <v>-8</v>
      </c>
      <c r="N197" s="1">
        <f>MAX(-16, MIN(16, Games[[#This Row],[OppRestDiff]]*8))</f>
        <v>8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1680.9588566287746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1614.2981735194326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0.68463803406428869</v>
      </c>
      <c r="R197" s="1">
        <v>89</v>
      </c>
      <c r="S197" s="1">
        <v>94</v>
      </c>
      <c r="T197" s="1">
        <v>0</v>
      </c>
      <c r="U197" s="1">
        <f>Games[[#This Row],[PointsFor]]-Games[[#This Row],[PointsAgainst]]</f>
        <v>-5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0.31429661934105479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1.02</v>
      </c>
      <c r="Y197" s="9">
        <f>MAX(kmin, kmax - 0.15 * MIN(Games[[#This Row],[GamesPlayed]], 82))</f>
        <v>73.150000000000006</v>
      </c>
      <c r="Z197" s="4">
        <f>Games[[#This Row],[K]]*Games[[#This Row],[POMult]]</f>
        <v>74.613000000000014</v>
      </c>
      <c r="AA197" s="4">
        <f>(Games[[#This Row],[Keff]]*Games[[#This Row],[MOVMult]])*(Games[[#This Row],[Result]]-Games[[#This Row],[ExpectedWin%]])</f>
        <v>-16.05518203302643</v>
      </c>
      <c r="AB197" s="4">
        <f>Games[[#This Row],[PreGmRate]]+Games[[#This Row],[RatingChange]]</f>
        <v>1664.903674595748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45470</v>
      </c>
      <c r="B198" s="2">
        <v>2024</v>
      </c>
      <c r="C198" s="2">
        <f>COUNTIFS(Games[Team],Games[[#This Row],[Team]],Games[Season],Games[[#This Row],[Season]],Games[Date],"&lt;=" &amp; Games[[#This Row],[Date]])</f>
        <v>15</v>
      </c>
      <c r="D198" s="2" t="s">
        <v>79</v>
      </c>
      <c r="E198" s="2" t="s">
        <v>80</v>
      </c>
      <c r="F198" s="1" t="s">
        <v>86</v>
      </c>
      <c r="G198" s="1" t="s">
        <v>75</v>
      </c>
      <c r="H198" s="1" t="s">
        <v>81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8" s="2">
        <f>Games[[#This Row],[DaysOff]]-Games[[#This Row],[OppDaysOff]]</f>
        <v>2</v>
      </c>
      <c r="L198" s="2">
        <f>Games[[#This Row],[OppDaysOff]]-Games[[#This Row],[DaysOff]]</f>
        <v>-2</v>
      </c>
      <c r="M198" s="1">
        <f>MAX(-16, MIN(16, Games[[#This Row],[RestDiff]]*8))</f>
        <v>16</v>
      </c>
      <c r="N198" s="1">
        <f>MAX(-16, MIN(16, Games[[#This Row],[OppRestDiff]]*8))</f>
        <v>-16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1603.3700106135504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1460.1891726425249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0.62828795247628455</v>
      </c>
      <c r="R198" s="1">
        <v>95</v>
      </c>
      <c r="S198" s="1">
        <v>83</v>
      </c>
      <c r="T198" s="1">
        <v>0</v>
      </c>
      <c r="U198" s="1">
        <f>Games[[#This Row],[PointsFor]]-Games[[#This Row],[PointsAgainst]]</f>
        <v>12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0.40750680490548824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8" s="9">
        <f>MAX(kmin, kmax - 0.15 * MIN(Games[[#This Row],[GamesPlayed]], 82))</f>
        <v>73.75</v>
      </c>
      <c r="Z198" s="4">
        <f>Games[[#This Row],[K]]*Games[[#This Row],[POMult]]</f>
        <v>73.75</v>
      </c>
      <c r="AA198" s="4">
        <f>(Games[[#This Row],[Keff]]*Games[[#This Row],[MOVMult]])*(Games[[#This Row],[Result]]-Games[[#This Row],[ExpectedWin%]])</f>
        <v>11.171295176305888</v>
      </c>
      <c r="AB198" s="4">
        <f>Games[[#This Row],[PreGmRate]]+Games[[#This Row],[RatingChange]]</f>
        <v>1614.5413057898563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45470</v>
      </c>
      <c r="B199" s="2">
        <v>2024</v>
      </c>
      <c r="C199" s="2">
        <f>COUNTIFS(Games[Team],Games[[#This Row],[Team]],Games[Season],Games[[#This Row],[Season]],Games[Date],"&lt;=" &amp; Games[[#This Row],[Date]])</f>
        <v>16</v>
      </c>
      <c r="D199" s="2" t="s">
        <v>79</v>
      </c>
      <c r="E199" s="2" t="s">
        <v>80</v>
      </c>
      <c r="F199" s="1" t="s">
        <v>75</v>
      </c>
      <c r="G199" s="1" t="s">
        <v>86</v>
      </c>
      <c r="H199" s="1" t="s">
        <v>82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99" s="2">
        <f>Games[[#This Row],[DaysOff]]-Games[[#This Row],[OppDaysOff]]</f>
        <v>-2</v>
      </c>
      <c r="L199" s="2">
        <f>Games[[#This Row],[OppDaysOff]]-Games[[#This Row],[DaysOff]]</f>
        <v>2</v>
      </c>
      <c r="M199" s="1">
        <f>MAX(-16, MIN(16, Games[[#This Row],[RestDiff]]*8))</f>
        <v>-16</v>
      </c>
      <c r="N199" s="1">
        <f>MAX(-16, MIN(16, Games[[#This Row],[OppRestDiff]]*8))</f>
        <v>16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1460.1891726425249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1603.3700106135504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0.37171204752371551</v>
      </c>
      <c r="R199" s="1">
        <v>83</v>
      </c>
      <c r="S199" s="1">
        <v>95</v>
      </c>
      <c r="T199" s="1">
        <v>0</v>
      </c>
      <c r="U199" s="1">
        <f>Games[[#This Row],[PointsFor]]-Games[[#This Row],[PointsAgainst]]</f>
        <v>-12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0.40750680490548824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9" s="9">
        <f>MAX(kmin, kmax - 0.15 * MIN(Games[[#This Row],[GamesPlayed]], 82))</f>
        <v>73.599999999999994</v>
      </c>
      <c r="Z199" s="4">
        <f>Games[[#This Row],[K]]*Games[[#This Row],[POMult]]</f>
        <v>73.599999999999994</v>
      </c>
      <c r="AA199" s="4">
        <f>(Games[[#This Row],[Keff]]*Games[[#This Row],[MOVMult]])*(Games[[#This Row],[Result]]-Games[[#This Row],[ExpectedWin%]])</f>
        <v>-11.148573897981199</v>
      </c>
      <c r="AB199" s="4">
        <f>Games[[#This Row],[PreGmRate]]+Games[[#This Row],[RatingChange]]</f>
        <v>1449.0405987445438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45470</v>
      </c>
      <c r="B200" s="2">
        <v>2024</v>
      </c>
      <c r="C200" s="2">
        <f>COUNTIFS(Games[Team],Games[[#This Row],[Team]],Games[Season],Games[[#This Row],[Season]],Games[Date],"&lt;=" &amp; Games[[#This Row],[Date]])</f>
        <v>18</v>
      </c>
      <c r="D200" s="2" t="s">
        <v>79</v>
      </c>
      <c r="E200" s="2" t="s">
        <v>80</v>
      </c>
      <c r="F200" s="1" t="s">
        <v>67</v>
      </c>
      <c r="G200" s="1" t="s">
        <v>85</v>
      </c>
      <c r="H200" s="1" t="s">
        <v>81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0" s="2">
        <f>Games[[#This Row],[DaysOff]]-Games[[#This Row],[OppDaysOff]]</f>
        <v>-2</v>
      </c>
      <c r="L200" s="2">
        <f>Games[[#This Row],[OppDaysOff]]-Games[[#This Row],[DaysOff]]</f>
        <v>2</v>
      </c>
      <c r="M200" s="1">
        <f>MAX(-16, MIN(16, Games[[#This Row],[RestDiff]]*8))</f>
        <v>-16</v>
      </c>
      <c r="N200" s="1">
        <f>MAX(-16, MIN(16, Games[[#This Row],[OppRestDiff]]*8))</f>
        <v>16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1630.4192004548502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1394.7284755318176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0.66574336615695573</v>
      </c>
      <c r="R200" s="1">
        <v>88</v>
      </c>
      <c r="S200" s="1">
        <v>94</v>
      </c>
      <c r="T200" s="1">
        <v>0</v>
      </c>
      <c r="U200" s="1">
        <f>Games[[#This Row],[PointsFor]]-Games[[#This Row],[PointsAgainst]]</f>
        <v>-6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0.29361261864513938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0" s="9">
        <f>MAX(kmin, kmax - 0.15 * MIN(Games[[#This Row],[GamesPlayed]], 82))</f>
        <v>73.3</v>
      </c>
      <c r="Z200" s="4">
        <f>Games[[#This Row],[K]]*Games[[#This Row],[POMult]]</f>
        <v>73.3</v>
      </c>
      <c r="AA200" s="4">
        <f>(Games[[#This Row],[Keff]]*Games[[#This Row],[MOVMult]])*(Games[[#This Row],[Result]]-Games[[#This Row],[ExpectedWin%]])</f>
        <v>-14.327998870981967</v>
      </c>
      <c r="AB200" s="4">
        <f>Games[[#This Row],[PreGmRate]]+Games[[#This Row],[RatingChange]]</f>
        <v>1616.0912015838683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45470</v>
      </c>
      <c r="B201" s="2">
        <v>2024</v>
      </c>
      <c r="C201" s="2">
        <f>COUNTIFS(Games[Team],Games[[#This Row],[Team]],Games[Season],Games[[#This Row],[Season]],Games[Date],"&lt;=" &amp; Games[[#This Row],[Date]])</f>
        <v>17</v>
      </c>
      <c r="D201" s="2" t="s">
        <v>79</v>
      </c>
      <c r="E201" s="2" t="s">
        <v>80</v>
      </c>
      <c r="F201" s="1" t="s">
        <v>85</v>
      </c>
      <c r="G201" s="1" t="s">
        <v>67</v>
      </c>
      <c r="H201" s="1" t="s">
        <v>82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2</v>
      </c>
      <c r="L201" s="2">
        <f>Games[[#This Row],[OppDaysOff]]-Games[[#This Row],[DaysOff]]</f>
        <v>-2</v>
      </c>
      <c r="M201" s="1">
        <f>MAX(-16, MIN(16, Games[[#This Row],[RestDiff]]*8))</f>
        <v>16</v>
      </c>
      <c r="N201" s="1">
        <f>MAX(-16, MIN(16, Games[[#This Row],[OppRestDiff]]*8))</f>
        <v>-16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1394.7284755318176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1630.4192004548502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0.33425663384304433</v>
      </c>
      <c r="R201" s="1">
        <v>94</v>
      </c>
      <c r="S201" s="1">
        <v>88</v>
      </c>
      <c r="T201" s="1">
        <v>0</v>
      </c>
      <c r="U201" s="1">
        <f>Games[[#This Row],[PointsFor]]-Games[[#This Row],[PointsAgainst]]</f>
        <v>6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0.29361261864513938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1" s="9">
        <f>MAX(kmin, kmax - 0.15 * MIN(Games[[#This Row],[GamesPlayed]], 82))</f>
        <v>73.45</v>
      </c>
      <c r="Z201" s="4">
        <f>Games[[#This Row],[K]]*Games[[#This Row],[POMult]]</f>
        <v>73.45</v>
      </c>
      <c r="AA201" s="4">
        <f>(Games[[#This Row],[Keff]]*Games[[#This Row],[MOVMult]])*(Games[[#This Row],[Result]]-Games[[#This Row],[ExpectedWin%]])</f>
        <v>14.357319468944411</v>
      </c>
      <c r="AB201" s="4">
        <f>Games[[#This Row],[PreGmRate]]+Games[[#This Row],[RatingChange]]</f>
        <v>1409.0857950007621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45470</v>
      </c>
      <c r="B202" s="2">
        <v>2024</v>
      </c>
      <c r="C202" s="2">
        <f>COUNTIFS(Games[Team],Games[[#This Row],[Team]],Games[Season],Games[[#This Row],[Season]],Games[Date],"&lt;=" &amp; Games[[#This Row],[Date]])</f>
        <v>19</v>
      </c>
      <c r="D202" s="2" t="s">
        <v>79</v>
      </c>
      <c r="E202" s="2" t="s">
        <v>80</v>
      </c>
      <c r="F202" s="1" t="s">
        <v>69</v>
      </c>
      <c r="G202" s="1" t="s">
        <v>71</v>
      </c>
      <c r="H202" s="1" t="s">
        <v>81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1426.9247977592813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1531.7278531332115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0.252214217883801</v>
      </c>
      <c r="R202" s="1">
        <v>77</v>
      </c>
      <c r="S202" s="1">
        <v>89</v>
      </c>
      <c r="T202" s="1">
        <v>0</v>
      </c>
      <c r="U202" s="1">
        <f>Games[[#This Row],[PointsFor]]-Games[[#This Row],[PointsAgainst]]</f>
        <v>-12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0.41949268085901892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2" s="9">
        <f>MAX(kmin, kmax - 0.15 * MIN(Games[[#This Row],[GamesPlayed]], 82))</f>
        <v>73.150000000000006</v>
      </c>
      <c r="Z202" s="4">
        <f>Games[[#This Row],[K]]*Games[[#This Row],[POMult]]</f>
        <v>73.150000000000006</v>
      </c>
      <c r="AA202" s="4">
        <f>(Games[[#This Row],[Keff]]*Games[[#This Row],[MOVMult]])*(Games[[#This Row],[Result]]-Games[[#This Row],[ExpectedWin%]])</f>
        <v>-7.739417646752683</v>
      </c>
      <c r="AB202" s="4">
        <f>Games[[#This Row],[PreGmRate]]+Games[[#This Row],[RatingChange]]</f>
        <v>1419.1853801125287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45470</v>
      </c>
      <c r="B203" s="2">
        <v>2024</v>
      </c>
      <c r="C203" s="2">
        <f>COUNTIFS(Games[Team],Games[[#This Row],[Team]],Games[Season],Games[[#This Row],[Season]],Games[Date],"&lt;=" &amp; Games[[#This Row],[Date]])</f>
        <v>17</v>
      </c>
      <c r="D203" s="2" t="s">
        <v>79</v>
      </c>
      <c r="E203" s="2" t="s">
        <v>80</v>
      </c>
      <c r="F203" s="1" t="s">
        <v>71</v>
      </c>
      <c r="G203" s="1" t="s">
        <v>69</v>
      </c>
      <c r="H203" s="1" t="s">
        <v>82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1531.7278531332115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1426.9247977592813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0.74778578211619906</v>
      </c>
      <c r="R203" s="1">
        <v>89</v>
      </c>
      <c r="S203" s="1">
        <v>77</v>
      </c>
      <c r="T203" s="1">
        <v>0</v>
      </c>
      <c r="U203" s="1">
        <f>Games[[#This Row],[PointsFor]]-Games[[#This Row],[PointsAgainst]]</f>
        <v>12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0.41949268085901892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3" s="9">
        <f>MAX(kmin, kmax - 0.15 * MIN(Games[[#This Row],[GamesPlayed]], 82))</f>
        <v>73.45</v>
      </c>
      <c r="Z203" s="4">
        <f>Games[[#This Row],[K]]*Games[[#This Row],[POMult]]</f>
        <v>73.45</v>
      </c>
      <c r="AA203" s="4">
        <f>(Games[[#This Row],[Keff]]*Games[[#This Row],[MOVMult]])*(Games[[#This Row],[Result]]-Games[[#This Row],[ExpectedWin%]])</f>
        <v>7.7711582522759315</v>
      </c>
      <c r="AB203" s="4">
        <f>Games[[#This Row],[PreGmRate]]+Games[[#This Row],[RatingChange]]</f>
        <v>1539.4990113854874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45470</v>
      </c>
      <c r="B204" s="2">
        <v>2024</v>
      </c>
      <c r="C204" s="2">
        <f>COUNTIFS(Games[Team],Games[[#This Row],[Team]],Games[Season],Games[[#This Row],[Season]],Games[Date],"&lt;=" &amp; Games[[#This Row],[Date]])</f>
        <v>17</v>
      </c>
      <c r="D204" s="2" t="s">
        <v>79</v>
      </c>
      <c r="E204" s="2" t="s">
        <v>80</v>
      </c>
      <c r="F204" s="1" t="s">
        <v>74</v>
      </c>
      <c r="G204" s="1" t="s">
        <v>65</v>
      </c>
      <c r="H204" s="1" t="s">
        <v>81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1615.0591432653271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1419.7077806315283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0.65497721020264721</v>
      </c>
      <c r="R204" s="1">
        <v>94</v>
      </c>
      <c r="S204" s="1">
        <v>91</v>
      </c>
      <c r="T204" s="1">
        <v>1</v>
      </c>
      <c r="U204" s="1">
        <f>Games[[#This Row],[PointsFor]]-Games[[#This Row],[PointsAgainst]]</f>
        <v>3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0.2246016388266889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4" s="9">
        <f>MAX(kmin, kmax - 0.15 * MIN(Games[[#This Row],[GamesPlayed]], 82))</f>
        <v>73.45</v>
      </c>
      <c r="Z204" s="4">
        <f>Games[[#This Row],[K]]*Games[[#This Row],[POMult]]</f>
        <v>73.45</v>
      </c>
      <c r="AA204" s="4">
        <f>(Games[[#This Row],[Keff]]*Games[[#This Row],[MOVMult]])*(Games[[#This Row],[Result]]-Games[[#This Row],[ExpectedWin%]])</f>
        <v>5.6918376413455078</v>
      </c>
      <c r="AB204" s="4">
        <f>Games[[#This Row],[PreGmRate]]+Games[[#This Row],[RatingChange]]</f>
        <v>1620.7509809066726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45470</v>
      </c>
      <c r="B205" s="2">
        <v>2024</v>
      </c>
      <c r="C205" s="2">
        <f>COUNTIFS(Games[Team],Games[[#This Row],[Team]],Games[Season],Games[[#This Row],[Season]],Games[Date],"&lt;=" &amp; Games[[#This Row],[Date]])</f>
        <v>18</v>
      </c>
      <c r="D205" s="2" t="s">
        <v>79</v>
      </c>
      <c r="E205" s="2" t="s">
        <v>80</v>
      </c>
      <c r="F205" s="1" t="s">
        <v>65</v>
      </c>
      <c r="G205" s="1" t="s">
        <v>74</v>
      </c>
      <c r="H205" s="1" t="s">
        <v>82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1419.7077806315283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1615.0591432653271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0.34502278979735279</v>
      </c>
      <c r="R205" s="1">
        <v>91</v>
      </c>
      <c r="S205" s="1">
        <v>94</v>
      </c>
      <c r="T205" s="1">
        <v>1</v>
      </c>
      <c r="U205" s="1">
        <f>Games[[#This Row],[PointsFor]]-Games[[#This Row],[PointsAgainst]]</f>
        <v>-3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0.2246016388266889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5" s="9">
        <f>MAX(kmin, kmax - 0.15 * MIN(Games[[#This Row],[GamesPlayed]], 82))</f>
        <v>73.3</v>
      </c>
      <c r="Z205" s="4">
        <f>Games[[#This Row],[K]]*Games[[#This Row],[POMult]]</f>
        <v>73.3</v>
      </c>
      <c r="AA205" s="4">
        <f>(Games[[#This Row],[Keff]]*Games[[#This Row],[MOVMult]])*(Games[[#This Row],[Result]]-Games[[#This Row],[ExpectedWin%]])</f>
        <v>-5.680213738742351</v>
      </c>
      <c r="AB205" s="4">
        <f>Games[[#This Row],[PreGmRate]]+Games[[#This Row],[RatingChange]]</f>
        <v>1414.0275668927859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45471</v>
      </c>
      <c r="B206" s="2">
        <v>2024</v>
      </c>
      <c r="C206" s="2">
        <f>COUNTIFS(Games[Team],Games[[#This Row],[Team]],Games[Season],Games[[#This Row],[Season]],Games[Date],"&lt;=" &amp; Games[[#This Row],[Date]])</f>
        <v>16</v>
      </c>
      <c r="D206" s="2" t="s">
        <v>79</v>
      </c>
      <c r="E206" s="2" t="s">
        <v>80</v>
      </c>
      <c r="F206" s="1" t="s">
        <v>77</v>
      </c>
      <c r="G206" s="1" t="s">
        <v>74</v>
      </c>
      <c r="H206" s="1" t="s">
        <v>81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6" s="2">
        <f>Games[[#This Row],[DaysOff]]-Games[[#This Row],[OppDaysOff]]</f>
        <v>4</v>
      </c>
      <c r="L206" s="2">
        <f>Games[[#This Row],[OppDaysOff]]-Games[[#This Row],[DaysOff]]</f>
        <v>-4</v>
      </c>
      <c r="M206" s="1">
        <f>MAX(-16, MIN(16, Games[[#This Row],[RestDiff]]*8))</f>
        <v>16</v>
      </c>
      <c r="N206" s="1">
        <f>MAX(-16, MIN(16, Games[[#This Row],[OppRestDiff]]*8))</f>
        <v>-16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1410.8491785500598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1620.7509809066726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0.18129059472301592</v>
      </c>
      <c r="R206" s="1">
        <v>78</v>
      </c>
      <c r="S206" s="1">
        <v>74</v>
      </c>
      <c r="T206" s="1">
        <v>0</v>
      </c>
      <c r="U206" s="1">
        <f>Games[[#This Row],[PointsFor]]-Games[[#This Row],[PointsAgainst]]</f>
        <v>4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0.26506759638153066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6" s="9">
        <f>MAX(kmin, kmax - 0.15 * MIN(Games[[#This Row],[GamesPlayed]], 82))</f>
        <v>73.599999999999994</v>
      </c>
      <c r="Z206" s="4">
        <f>Games[[#This Row],[K]]*Games[[#This Row],[POMult]]</f>
        <v>73.599999999999994</v>
      </c>
      <c r="AA206" s="4">
        <f>(Games[[#This Row],[Keff]]*Games[[#This Row],[MOVMult]])*(Games[[#This Row],[Result]]-Games[[#This Row],[ExpectedWin%]])</f>
        <v>15.972181396510784</v>
      </c>
      <c r="AB206" s="4">
        <f>Games[[#This Row],[PreGmRate]]+Games[[#This Row],[RatingChange]]</f>
        <v>1426.8213599465705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45471</v>
      </c>
      <c r="B207" s="2">
        <v>2024</v>
      </c>
      <c r="C207" s="2">
        <f>COUNTIFS(Games[Team],Games[[#This Row],[Team]],Games[Season],Games[[#This Row],[Season]],Games[Date],"&lt;=" &amp; Games[[#This Row],[Date]])</f>
        <v>18</v>
      </c>
      <c r="D207" s="2" t="s">
        <v>79</v>
      </c>
      <c r="E207" s="2" t="s">
        <v>80</v>
      </c>
      <c r="F207" s="1" t="s">
        <v>74</v>
      </c>
      <c r="G207" s="1" t="s">
        <v>77</v>
      </c>
      <c r="H207" s="1" t="s">
        <v>82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7" s="2">
        <f>Games[[#This Row],[DaysOff]]-Games[[#This Row],[OppDaysOff]]</f>
        <v>-4</v>
      </c>
      <c r="L207" s="2">
        <f>Games[[#This Row],[OppDaysOff]]-Games[[#This Row],[DaysOff]]</f>
        <v>4</v>
      </c>
      <c r="M207" s="1">
        <f>MAX(-16, MIN(16, Games[[#This Row],[RestDiff]]*8))</f>
        <v>-16</v>
      </c>
      <c r="N207" s="1">
        <f>MAX(-16, MIN(16, Games[[#This Row],[OppRestDiff]]*8))</f>
        <v>16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1620.7509809066726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1410.8491785500598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0.8187094052769841</v>
      </c>
      <c r="R207" s="1">
        <v>74</v>
      </c>
      <c r="S207" s="1">
        <v>78</v>
      </c>
      <c r="T207" s="1">
        <v>0</v>
      </c>
      <c r="U207" s="1">
        <f>Games[[#This Row],[PointsFor]]-Games[[#This Row],[PointsAgainst]]</f>
        <v>-4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0.26506759638153066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7" s="9">
        <f>MAX(kmin, kmax - 0.15 * MIN(Games[[#This Row],[GamesPlayed]], 82))</f>
        <v>73.3</v>
      </c>
      <c r="Z207" s="4">
        <f>Games[[#This Row],[K]]*Games[[#This Row],[POMult]]</f>
        <v>73.3</v>
      </c>
      <c r="AA207" s="4">
        <f>(Games[[#This Row],[Keff]]*Games[[#This Row],[MOVMult]])*(Games[[#This Row],[Result]]-Games[[#This Row],[ExpectedWin%]])</f>
        <v>-15.907077396253268</v>
      </c>
      <c r="AB207" s="4">
        <f>Games[[#This Row],[PreGmRate]]+Games[[#This Row],[RatingChange]]</f>
        <v>1604.8439035104193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45471</v>
      </c>
      <c r="B208" s="2">
        <v>2024</v>
      </c>
      <c r="C208" s="2">
        <f>COUNTIFS(Games[Team],Games[[#This Row],[Team]],Games[Season],Games[[#This Row],[Season]],Games[Date],"&lt;=" &amp; Games[[#This Row],[Date]])</f>
        <v>18</v>
      </c>
      <c r="D208" s="2" t="s">
        <v>79</v>
      </c>
      <c r="E208" s="2" t="s">
        <v>80</v>
      </c>
      <c r="F208" s="1" t="s">
        <v>63</v>
      </c>
      <c r="G208" s="1" t="s">
        <v>40</v>
      </c>
      <c r="H208" s="1" t="s">
        <v>81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1391.2691077841375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1450.1913620743903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0.30518517865245609</v>
      </c>
      <c r="R208" s="1">
        <v>78</v>
      </c>
      <c r="S208" s="1">
        <v>92</v>
      </c>
      <c r="T208" s="1">
        <v>0</v>
      </c>
      <c r="U208" s="1">
        <f>Games[[#This Row],[PointsFor]]-Games[[#This Row],[PointsAgainst]]</f>
        <v>-14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0.46478622666878044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8" s="9">
        <f>MAX(kmin, kmax - 0.15 * MIN(Games[[#This Row],[GamesPlayed]], 82))</f>
        <v>73.3</v>
      </c>
      <c r="Z208" s="4">
        <f>Games[[#This Row],[K]]*Games[[#This Row],[POMult]]</f>
        <v>73.3</v>
      </c>
      <c r="AA208" s="4">
        <f>(Games[[#This Row],[Keff]]*Games[[#This Row],[MOVMult]])*(Games[[#This Row],[Result]]-Games[[#This Row],[ExpectedWin%]])</f>
        <v>-10.397302096627561</v>
      </c>
      <c r="AB208" s="4">
        <f>Games[[#This Row],[PreGmRate]]+Games[[#This Row],[RatingChange]]</f>
        <v>1380.87180568751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45471</v>
      </c>
      <c r="B209" s="2">
        <v>2024</v>
      </c>
      <c r="C209" s="2">
        <f>COUNTIFS(Games[Team],Games[[#This Row],[Team]],Games[Season],Games[[#This Row],[Season]],Games[Date],"&lt;=" &amp; Games[[#This Row],[Date]])</f>
        <v>17</v>
      </c>
      <c r="D209" s="2" t="s">
        <v>79</v>
      </c>
      <c r="E209" s="2" t="s">
        <v>80</v>
      </c>
      <c r="F209" s="1" t="s">
        <v>40</v>
      </c>
      <c r="G209" s="1" t="s">
        <v>63</v>
      </c>
      <c r="H209" s="1" t="s">
        <v>82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1450.1913620743903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1391.2691077841375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0.69481482134754402</v>
      </c>
      <c r="R209" s="1">
        <v>92</v>
      </c>
      <c r="S209" s="1">
        <v>78</v>
      </c>
      <c r="T209" s="1">
        <v>0</v>
      </c>
      <c r="U209" s="1">
        <f>Games[[#This Row],[PointsFor]]-Games[[#This Row],[PointsAgainst]]</f>
        <v>14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0.46478622666878044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9" s="9">
        <f>MAX(kmin, kmax - 0.15 * MIN(Games[[#This Row],[GamesPlayed]], 82))</f>
        <v>73.45</v>
      </c>
      <c r="Z209" s="4">
        <f>Games[[#This Row],[K]]*Games[[#This Row],[POMult]]</f>
        <v>73.45</v>
      </c>
      <c r="AA209" s="4">
        <f>(Games[[#This Row],[Keff]]*Games[[#This Row],[MOVMult]])*(Games[[#This Row],[Result]]-Games[[#This Row],[ExpectedWin%]])</f>
        <v>10.418578976770727</v>
      </c>
      <c r="AB209" s="4">
        <f>Games[[#This Row],[PreGmRate]]+Games[[#This Row],[RatingChange]]</f>
        <v>1460.6099410511611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45472</v>
      </c>
      <c r="B210" s="2">
        <v>2024</v>
      </c>
      <c r="C210" s="2">
        <f>COUNTIFS(Games[Team],Games[[#This Row],[Team]],Games[Season],Games[[#This Row],[Season]],Games[Date],"&lt;=" &amp; Games[[#This Row],[Date]])</f>
        <v>18</v>
      </c>
      <c r="D210" s="2" t="s">
        <v>79</v>
      </c>
      <c r="E210" s="2" t="s">
        <v>80</v>
      </c>
      <c r="F210" s="1" t="s">
        <v>85</v>
      </c>
      <c r="G210" s="1" t="s">
        <v>71</v>
      </c>
      <c r="H210" s="1" t="s">
        <v>81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1409.0857950007621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1539.4990113854874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0.225436400918299</v>
      </c>
      <c r="R210" s="1">
        <v>76</v>
      </c>
      <c r="S210" s="1">
        <v>97</v>
      </c>
      <c r="T210" s="1">
        <v>0</v>
      </c>
      <c r="U210" s="1">
        <f>Games[[#This Row],[PointsFor]]-Games[[#This Row],[PointsAgainst]]</f>
        <v>-21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0.5308813371864769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0" s="9">
        <f>MAX(kmin, kmax - 0.15 * MIN(Games[[#This Row],[GamesPlayed]], 82))</f>
        <v>73.3</v>
      </c>
      <c r="Z210" s="4">
        <f>Games[[#This Row],[K]]*Games[[#This Row],[POMult]]</f>
        <v>73.3</v>
      </c>
      <c r="AA210" s="4">
        <f>(Games[[#This Row],[Keff]]*Games[[#This Row],[MOVMult]])*(Games[[#This Row],[Result]]-Games[[#This Row],[ExpectedWin%]])</f>
        <v>-8.772542385201973</v>
      </c>
      <c r="AB210" s="4">
        <f>Games[[#This Row],[PreGmRate]]+Games[[#This Row],[RatingChange]]</f>
        <v>1400.31325261556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45472</v>
      </c>
      <c r="B211" s="2">
        <v>2024</v>
      </c>
      <c r="C211" s="2">
        <f>COUNTIFS(Games[Team],Games[[#This Row],[Team]],Games[Season],Games[[#This Row],[Season]],Games[Date],"&lt;=" &amp; Games[[#This Row],[Date]])</f>
        <v>18</v>
      </c>
      <c r="D211" s="2" t="s">
        <v>79</v>
      </c>
      <c r="E211" s="2" t="s">
        <v>80</v>
      </c>
      <c r="F211" s="1" t="s">
        <v>71</v>
      </c>
      <c r="G211" s="1" t="s">
        <v>85</v>
      </c>
      <c r="H211" s="1" t="s">
        <v>82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1539.4990113854874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1409.0857950007621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0.77456359908170103</v>
      </c>
      <c r="R211" s="1">
        <v>97</v>
      </c>
      <c r="S211" s="1">
        <v>76</v>
      </c>
      <c r="T211" s="1">
        <v>0</v>
      </c>
      <c r="U211" s="1">
        <f>Games[[#This Row],[PointsFor]]-Games[[#This Row],[PointsAgainst]]</f>
        <v>21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0.5308813371864769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1" s="9">
        <f>MAX(kmin, kmax - 0.15 * MIN(Games[[#This Row],[GamesPlayed]], 82))</f>
        <v>73.3</v>
      </c>
      <c r="Z211" s="4">
        <f>Games[[#This Row],[K]]*Games[[#This Row],[POMult]]</f>
        <v>73.3</v>
      </c>
      <c r="AA211" s="4">
        <f>(Games[[#This Row],[Keff]]*Games[[#This Row],[MOVMult]])*(Games[[#This Row],[Result]]-Games[[#This Row],[ExpectedWin%]])</f>
        <v>8.7725423852019713</v>
      </c>
      <c r="AB211" s="4">
        <f>Games[[#This Row],[PreGmRate]]+Games[[#This Row],[RatingChange]]</f>
        <v>1548.2715537706893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45472</v>
      </c>
      <c r="B212" s="2">
        <v>2024</v>
      </c>
      <c r="C212" s="2">
        <f>COUNTIFS(Games[Team],Games[[#This Row],[Team]],Games[Season],Games[[#This Row],[Season]],Games[Date],"&lt;=" &amp; Games[[#This Row],[Date]])</f>
        <v>16</v>
      </c>
      <c r="D212" s="2" t="s">
        <v>79</v>
      </c>
      <c r="E212" s="2" t="s">
        <v>80</v>
      </c>
      <c r="F212" s="1" t="s">
        <v>86</v>
      </c>
      <c r="G212" s="1" t="s">
        <v>65</v>
      </c>
      <c r="H212" s="1" t="s">
        <v>81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0</v>
      </c>
      <c r="L212" s="2">
        <f>Games[[#This Row],[OppDaysOff]]-Games[[#This Row],[DaysOff]]</f>
        <v>0</v>
      </c>
      <c r="M212" s="1">
        <f>MAX(-16, MIN(16, Games[[#This Row],[RestDiff]]*8))</f>
        <v>0</v>
      </c>
      <c r="N212" s="1">
        <f>MAX(-16, MIN(16, Games[[#This Row],[OppRestDiff]]*8))</f>
        <v>0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1614.5413057898563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1414.0275668927859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0.66166144930612658</v>
      </c>
      <c r="R212" s="1">
        <v>88</v>
      </c>
      <c r="S212" s="1">
        <v>77</v>
      </c>
      <c r="T212" s="1">
        <v>0</v>
      </c>
      <c r="U212" s="1">
        <f>Games[[#This Row],[PointsFor]]-Games[[#This Row],[PointsAgainst]]</f>
        <v>11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0.37686396759292923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2" s="9">
        <f>MAX(kmin, kmax - 0.15 * MIN(Games[[#This Row],[GamesPlayed]], 82))</f>
        <v>73.599999999999994</v>
      </c>
      <c r="Z212" s="4">
        <f>Games[[#This Row],[K]]*Games[[#This Row],[POMult]]</f>
        <v>73.599999999999994</v>
      </c>
      <c r="AA212" s="4">
        <f>(Games[[#This Row],[Keff]]*Games[[#This Row],[MOVMult]])*(Games[[#This Row],[Result]]-Games[[#This Row],[ExpectedWin%]])</f>
        <v>9.3845599932643022</v>
      </c>
      <c r="AB212" s="4">
        <f>Games[[#This Row],[PreGmRate]]+Games[[#This Row],[RatingChange]]</f>
        <v>1623.9258657831206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45472</v>
      </c>
      <c r="B213" s="2">
        <v>2024</v>
      </c>
      <c r="C213" s="2">
        <f>COUNTIFS(Games[Team],Games[[#This Row],[Team]],Games[Season],Games[[#This Row],[Season]],Games[Date],"&lt;=" &amp; Games[[#This Row],[Date]])</f>
        <v>19</v>
      </c>
      <c r="D213" s="2" t="s">
        <v>79</v>
      </c>
      <c r="E213" s="2" t="s">
        <v>80</v>
      </c>
      <c r="F213" s="1" t="s">
        <v>65</v>
      </c>
      <c r="G213" s="1" t="s">
        <v>86</v>
      </c>
      <c r="H213" s="1" t="s">
        <v>82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0</v>
      </c>
      <c r="L213" s="2">
        <f>Games[[#This Row],[OppDaysOff]]-Games[[#This Row],[DaysOff]]</f>
        <v>0</v>
      </c>
      <c r="M213" s="1">
        <f>MAX(-16, MIN(16, Games[[#This Row],[RestDiff]]*8))</f>
        <v>0</v>
      </c>
      <c r="N213" s="1">
        <f>MAX(-16, MIN(16, Games[[#This Row],[OppRestDiff]]*8))</f>
        <v>0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1414.0275668927859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1614.5413057898563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0.33833855069387336</v>
      </c>
      <c r="R213" s="1">
        <v>77</v>
      </c>
      <c r="S213" s="1">
        <v>88</v>
      </c>
      <c r="T213" s="1">
        <v>0</v>
      </c>
      <c r="U213" s="1">
        <f>Games[[#This Row],[PointsFor]]-Games[[#This Row],[PointsAgainst]]</f>
        <v>-11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0.37686396759292923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3" s="9">
        <f>MAX(kmin, kmax - 0.15 * MIN(Games[[#This Row],[GamesPlayed]], 82))</f>
        <v>73.150000000000006</v>
      </c>
      <c r="Z213" s="4">
        <f>Games[[#This Row],[K]]*Games[[#This Row],[POMult]]</f>
        <v>73.150000000000006</v>
      </c>
      <c r="AA213" s="4">
        <f>(Games[[#This Row],[Keff]]*Games[[#This Row],[MOVMult]])*(Games[[#This Row],[Result]]-Games[[#This Row],[ExpectedWin%]])</f>
        <v>-9.327181569392442</v>
      </c>
      <c r="AB213" s="4">
        <f>Games[[#This Row],[PreGmRate]]+Games[[#This Row],[RatingChange]]</f>
        <v>1404.7003853233934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45473</v>
      </c>
      <c r="B214" s="2">
        <v>2024</v>
      </c>
      <c r="C214" s="2">
        <f>COUNTIFS(Games[Team],Games[[#This Row],[Team]],Games[Season],Games[[#This Row],[Season]],Games[Date],"&lt;=" &amp; Games[[#This Row],[Date]])</f>
        <v>19</v>
      </c>
      <c r="D214" s="2" t="s">
        <v>79</v>
      </c>
      <c r="E214" s="2" t="s">
        <v>80</v>
      </c>
      <c r="F214" s="1" t="s">
        <v>67</v>
      </c>
      <c r="G214" s="1" t="s">
        <v>75</v>
      </c>
      <c r="H214" s="1" t="s">
        <v>81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1616.0912015838683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1449.0405987445438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0.61729384902597806</v>
      </c>
      <c r="R214" s="1">
        <v>70</v>
      </c>
      <c r="S214" s="1">
        <v>62</v>
      </c>
      <c r="T214" s="1">
        <v>0</v>
      </c>
      <c r="U214" s="1">
        <f>Games[[#This Row],[PointsFor]]-Games[[#This Row],[PointsAgainst]]</f>
        <v>8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0.34086422334022054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4" s="9">
        <f>MAX(kmin, kmax - 0.15 * MIN(Games[[#This Row],[GamesPlayed]], 82))</f>
        <v>73.150000000000006</v>
      </c>
      <c r="Z214" s="4">
        <f>Games[[#This Row],[K]]*Games[[#This Row],[POMult]]</f>
        <v>73.150000000000006</v>
      </c>
      <c r="AA214" s="4">
        <f>(Games[[#This Row],[Keff]]*Games[[#This Row],[MOVMult]])*(Games[[#This Row],[Result]]-Games[[#This Row],[ExpectedWin%]])</f>
        <v>9.5424785743457115</v>
      </c>
      <c r="AB214" s="4">
        <f>Games[[#This Row],[PreGmRate]]+Games[[#This Row],[RatingChange]]</f>
        <v>1625.633680158214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45473</v>
      </c>
      <c r="B215" s="2">
        <v>2024</v>
      </c>
      <c r="C215" s="2">
        <f>COUNTIFS(Games[Team],Games[[#This Row],[Team]],Games[Season],Games[[#This Row],[Season]],Games[Date],"&lt;=" &amp; Games[[#This Row],[Date]])</f>
        <v>17</v>
      </c>
      <c r="D215" s="2" t="s">
        <v>79</v>
      </c>
      <c r="E215" s="2" t="s">
        <v>80</v>
      </c>
      <c r="F215" s="1" t="s">
        <v>75</v>
      </c>
      <c r="G215" s="1" t="s">
        <v>67</v>
      </c>
      <c r="H215" s="1" t="s">
        <v>82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1449.0405987445438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1616.0912015838683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0.38270615097402189</v>
      </c>
      <c r="R215" s="1">
        <v>62</v>
      </c>
      <c r="S215" s="1">
        <v>70</v>
      </c>
      <c r="T215" s="1">
        <v>0</v>
      </c>
      <c r="U215" s="1">
        <f>Games[[#This Row],[PointsFor]]-Games[[#This Row],[PointsAgainst]]</f>
        <v>-8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0.34086422334022054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5" s="9">
        <f>MAX(kmin, kmax - 0.15 * MIN(Games[[#This Row],[GamesPlayed]], 82))</f>
        <v>73.45</v>
      </c>
      <c r="Z215" s="4">
        <f>Games[[#This Row],[K]]*Games[[#This Row],[POMult]]</f>
        <v>73.45</v>
      </c>
      <c r="AA215" s="4">
        <f>(Games[[#This Row],[Keff]]*Games[[#This Row],[MOVMult]])*(Games[[#This Row],[Result]]-Games[[#This Row],[ExpectedWin%]])</f>
        <v>-9.5816138248214955</v>
      </c>
      <c r="AB215" s="4">
        <f>Games[[#This Row],[PreGmRate]]+Games[[#This Row],[RatingChange]]</f>
        <v>1439.4589849197223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45473</v>
      </c>
      <c r="B216" s="2">
        <v>2024</v>
      </c>
      <c r="C216" s="2">
        <f>COUNTIFS(Games[Team],Games[[#This Row],[Team]],Games[Season],Games[[#This Row],[Season]],Games[Date],"&lt;=" &amp; Games[[#This Row],[Date]])</f>
        <v>17</v>
      </c>
      <c r="D216" s="2" t="s">
        <v>79</v>
      </c>
      <c r="E216" s="2" t="s">
        <v>80</v>
      </c>
      <c r="F216" s="1" t="s">
        <v>77</v>
      </c>
      <c r="G216" s="1" t="s">
        <v>60</v>
      </c>
      <c r="H216" s="1" t="s">
        <v>81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6" s="2">
        <f>Games[[#This Row],[DaysOff]]-Games[[#This Row],[OppDaysOff]]</f>
        <v>-3</v>
      </c>
      <c r="L216" s="2">
        <f>Games[[#This Row],[OppDaysOff]]-Games[[#This Row],[DaysOff]]</f>
        <v>3</v>
      </c>
      <c r="M216" s="1">
        <f>MAX(-16, MIN(16, Games[[#This Row],[RestDiff]]*8))</f>
        <v>-16</v>
      </c>
      <c r="N216" s="1">
        <f>MAX(-16, MIN(16, Games[[#This Row],[OppRestDiff]]*8))</f>
        <v>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1426.8213599465705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1664.903674595748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0.11524386056440861</v>
      </c>
      <c r="R216" s="1">
        <v>75</v>
      </c>
      <c r="S216" s="1">
        <v>81</v>
      </c>
      <c r="T216" s="1">
        <v>0</v>
      </c>
      <c r="U216" s="1">
        <f>Games[[#This Row],[PointsFor]]-Games[[#This Row],[PointsAgainst]]</f>
        <v>-6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0.29312432884763251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6" s="9">
        <f>MAX(kmin, kmax - 0.15 * MIN(Games[[#This Row],[GamesPlayed]], 82))</f>
        <v>73.45</v>
      </c>
      <c r="Z216" s="4">
        <f>Games[[#This Row],[K]]*Games[[#This Row],[POMult]]</f>
        <v>73.45</v>
      </c>
      <c r="AA216" s="4">
        <f>(Games[[#This Row],[Keff]]*Games[[#This Row],[MOVMult]])*(Games[[#This Row],[Result]]-Games[[#This Row],[ExpectedWin%]])</f>
        <v>-2.4811982382447151</v>
      </c>
      <c r="AB216" s="4">
        <f>Games[[#This Row],[PreGmRate]]+Games[[#This Row],[RatingChange]]</f>
        <v>1424.3401617083257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45473</v>
      </c>
      <c r="B217" s="2">
        <v>2024</v>
      </c>
      <c r="C217" s="2">
        <f>COUNTIFS(Games[Team],Games[[#This Row],[Team]],Games[Season],Games[[#This Row],[Season]],Games[Date],"&lt;=" &amp; Games[[#This Row],[Date]])</f>
        <v>20</v>
      </c>
      <c r="D217" s="2" t="s">
        <v>79</v>
      </c>
      <c r="E217" s="2" t="s">
        <v>80</v>
      </c>
      <c r="F217" s="1" t="s">
        <v>60</v>
      </c>
      <c r="G217" s="1" t="s">
        <v>77</v>
      </c>
      <c r="H217" s="1" t="s">
        <v>82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3</v>
      </c>
      <c r="L217" s="2">
        <f>Games[[#This Row],[OppDaysOff]]-Games[[#This Row],[DaysOff]]</f>
        <v>-3</v>
      </c>
      <c r="M217" s="1">
        <f>MAX(-16, MIN(16, Games[[#This Row],[RestDiff]]*8))</f>
        <v>16</v>
      </c>
      <c r="N217" s="1">
        <f>MAX(-16, MIN(16, Games[[#This Row],[OppRestDiff]]*8))</f>
        <v>-16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1664.903674595748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1426.8213599465705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0.88475613943559139</v>
      </c>
      <c r="R217" s="1">
        <v>81</v>
      </c>
      <c r="S217" s="1">
        <v>75</v>
      </c>
      <c r="T217" s="1">
        <v>0</v>
      </c>
      <c r="U217" s="1">
        <f>Games[[#This Row],[PointsFor]]-Games[[#This Row],[PointsAgainst]]</f>
        <v>6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0.29312432884763251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7" s="9">
        <f>MAX(kmin, kmax - 0.15 * MIN(Games[[#This Row],[GamesPlayed]], 82))</f>
        <v>73</v>
      </c>
      <c r="Z217" s="4">
        <f>Games[[#This Row],[K]]*Games[[#This Row],[POMult]]</f>
        <v>73</v>
      </c>
      <c r="AA217" s="4">
        <f>(Games[[#This Row],[Keff]]*Games[[#This Row],[MOVMult]])*(Games[[#This Row],[Result]]-Games[[#This Row],[ExpectedWin%]])</f>
        <v>2.4659968875679263</v>
      </c>
      <c r="AB217" s="4">
        <f>Games[[#This Row],[PreGmRate]]+Games[[#This Row],[RatingChange]]</f>
        <v>1667.3696714833159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45473</v>
      </c>
      <c r="B218" s="2">
        <v>2024</v>
      </c>
      <c r="C218" s="2">
        <f>COUNTIFS(Games[Team],Games[[#This Row],[Team]],Games[Season],Games[[#This Row],[Season]],Games[Date],"&lt;=" &amp; Games[[#This Row],[Date]])</f>
        <v>20</v>
      </c>
      <c r="D218" s="2" t="s">
        <v>79</v>
      </c>
      <c r="E218" s="2" t="s">
        <v>80</v>
      </c>
      <c r="F218" s="1" t="s">
        <v>69</v>
      </c>
      <c r="G218" s="1" t="s">
        <v>40</v>
      </c>
      <c r="H218" s="1" t="s">
        <v>81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1</v>
      </c>
      <c r="L218" s="2">
        <f>Games[[#This Row],[OppDaysOff]]-Games[[#This Row],[DaysOff]]</f>
        <v>-1</v>
      </c>
      <c r="M218" s="1">
        <f>MAX(-16, MIN(16, Games[[#This Row],[RestDiff]]*8))</f>
        <v>8</v>
      </c>
      <c r="N218" s="1">
        <f>MAX(-16, MIN(16, Games[[#This Row],[OppRestDiff]]*8))</f>
        <v>-8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1419.1853801125287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1460.6099410511611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0.34753357405440616</v>
      </c>
      <c r="R218" s="1">
        <v>88</v>
      </c>
      <c r="S218" s="1">
        <v>82</v>
      </c>
      <c r="T218" s="1">
        <v>0</v>
      </c>
      <c r="U218" s="1">
        <f>Games[[#This Row],[PointsFor]]-Games[[#This Row],[PointsAgainst]]</f>
        <v>6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0.3395590248274683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8" s="9">
        <f>MAX(kmin, kmax - 0.15 * MIN(Games[[#This Row],[GamesPlayed]], 82))</f>
        <v>73</v>
      </c>
      <c r="Z218" s="4">
        <f>Games[[#This Row],[K]]*Games[[#This Row],[POMult]]</f>
        <v>73</v>
      </c>
      <c r="AA218" s="4">
        <f>(Games[[#This Row],[Keff]]*Games[[#This Row],[MOVMult]])*(Games[[#This Row],[Result]]-Games[[#This Row],[ExpectedWin%]])</f>
        <v>16.173213022852707</v>
      </c>
      <c r="AB218" s="4">
        <f>Games[[#This Row],[PreGmRate]]+Games[[#This Row],[RatingChange]]</f>
        <v>1435.3585931353814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45473</v>
      </c>
      <c r="B219" s="2">
        <v>2024</v>
      </c>
      <c r="C219" s="2">
        <f>COUNTIFS(Games[Team],Games[[#This Row],[Team]],Games[Season],Games[[#This Row],[Season]],Games[Date],"&lt;=" &amp; Games[[#This Row],[Date]])</f>
        <v>18</v>
      </c>
      <c r="D219" s="2" t="s">
        <v>79</v>
      </c>
      <c r="E219" s="2" t="s">
        <v>80</v>
      </c>
      <c r="F219" s="1" t="s">
        <v>40</v>
      </c>
      <c r="G219" s="1" t="s">
        <v>69</v>
      </c>
      <c r="H219" s="1" t="s">
        <v>82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9" s="2">
        <f>Games[[#This Row],[DaysOff]]-Games[[#This Row],[OppDaysOff]]</f>
        <v>-1</v>
      </c>
      <c r="L219" s="2">
        <f>Games[[#This Row],[OppDaysOff]]-Games[[#This Row],[DaysOff]]</f>
        <v>1</v>
      </c>
      <c r="M219" s="1">
        <f>MAX(-16, MIN(16, Games[[#This Row],[RestDiff]]*8))</f>
        <v>-8</v>
      </c>
      <c r="N219" s="1">
        <f>MAX(-16, MIN(16, Games[[#This Row],[OppRestDiff]]*8))</f>
        <v>8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1460.6099410511611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1419.1853801125287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0.65246642594559379</v>
      </c>
      <c r="R219" s="1">
        <v>82</v>
      </c>
      <c r="S219" s="1">
        <v>88</v>
      </c>
      <c r="T219" s="1">
        <v>0</v>
      </c>
      <c r="U219" s="1">
        <f>Games[[#This Row],[PointsFor]]-Games[[#This Row],[PointsAgainst]]</f>
        <v>-6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0.3395590248274683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-16.239678281850729</v>
      </c>
      <c r="AB219" s="4">
        <f>Games[[#This Row],[PreGmRate]]+Games[[#This Row],[RatingChange]]</f>
        <v>1444.3702627693103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45474</v>
      </c>
      <c r="B220" s="2">
        <v>2024</v>
      </c>
      <c r="C220" s="2">
        <f>COUNTIFS(Games[Team],Games[[#This Row],[Team]],Games[Season],Games[[#This Row],[Season]],Games[Date],"&lt;=" &amp; Games[[#This Row],[Date]])</f>
        <v>19</v>
      </c>
      <c r="D220" s="2" t="s">
        <v>79</v>
      </c>
      <c r="E220" s="2" t="s">
        <v>80</v>
      </c>
      <c r="F220" s="1" t="s">
        <v>74</v>
      </c>
      <c r="G220" s="1" t="s">
        <v>40</v>
      </c>
      <c r="H220" s="1" t="s">
        <v>81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0" s="2">
        <f>Games[[#This Row],[DaysOff]]-Games[[#This Row],[OppDaysOff]]</f>
        <v>2</v>
      </c>
      <c r="L220" s="2">
        <f>Games[[#This Row],[OppDaysOff]]-Games[[#This Row],[DaysOff]]</f>
        <v>-2</v>
      </c>
      <c r="M220" s="1">
        <f>MAX(-16, MIN(16, Games[[#This Row],[RestDiff]]*8))</f>
        <v>16</v>
      </c>
      <c r="N220" s="1">
        <f>MAX(-16, MIN(16, Games[[#This Row],[OppRestDiff]]*8))</f>
        <v>-16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1604.8439035104193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1444.3702627693103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0.65122415528174149</v>
      </c>
      <c r="R220" s="1">
        <v>83</v>
      </c>
      <c r="S220" s="1">
        <v>72</v>
      </c>
      <c r="T220" s="1">
        <v>0</v>
      </c>
      <c r="U220" s="1">
        <f>Games[[#This Row],[PointsFor]]-Games[[#This Row],[PointsAgainst]]</f>
        <v>11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0.38795545058972292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0" s="9">
        <f>MAX(kmin, kmax - 0.15 * MIN(Games[[#This Row],[GamesPlayed]], 82))</f>
        <v>73.150000000000006</v>
      </c>
      <c r="Z220" s="4">
        <f>Games[[#This Row],[K]]*Games[[#This Row],[POMult]]</f>
        <v>73.150000000000006</v>
      </c>
      <c r="AA220" s="4">
        <f>(Games[[#This Row],[Keff]]*Games[[#This Row],[MOVMult]])*(Games[[#This Row],[Result]]-Games[[#This Row],[ExpectedWin%]])</f>
        <v>9.8978891929501476</v>
      </c>
      <c r="AB220" s="4">
        <f>Games[[#This Row],[PreGmRate]]+Games[[#This Row],[RatingChange]]</f>
        <v>1614.7417927033694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45474</v>
      </c>
      <c r="B221" s="2">
        <v>2024</v>
      </c>
      <c r="C221" s="2">
        <f>COUNTIFS(Games[Team],Games[[#This Row],[Team]],Games[Season],Games[[#This Row],[Season]],Games[Date],"&lt;=" &amp; Games[[#This Row],[Date]])</f>
        <v>19</v>
      </c>
      <c r="D221" s="2" t="s">
        <v>79</v>
      </c>
      <c r="E221" s="2" t="s">
        <v>80</v>
      </c>
      <c r="F221" s="1" t="s">
        <v>40</v>
      </c>
      <c r="G221" s="1" t="s">
        <v>74</v>
      </c>
      <c r="H221" s="1" t="s">
        <v>82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1" s="2">
        <f>Games[[#This Row],[DaysOff]]-Games[[#This Row],[OppDaysOff]]</f>
        <v>-2</v>
      </c>
      <c r="L221" s="2">
        <f>Games[[#This Row],[OppDaysOff]]-Games[[#This Row],[DaysOff]]</f>
        <v>2</v>
      </c>
      <c r="M221" s="1">
        <f>MAX(-16, MIN(16, Games[[#This Row],[RestDiff]]*8))</f>
        <v>-16</v>
      </c>
      <c r="N221" s="1">
        <f>MAX(-16, MIN(16, Games[[#This Row],[OppRestDiff]]*8))</f>
        <v>16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1444.3702627693103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1604.8439035104193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0.34877584471825851</v>
      </c>
      <c r="R221" s="1">
        <v>72</v>
      </c>
      <c r="S221" s="1">
        <v>83</v>
      </c>
      <c r="T221" s="1">
        <v>0</v>
      </c>
      <c r="U221" s="1">
        <f>Games[[#This Row],[PointsFor]]-Games[[#This Row],[PointsAgainst]]</f>
        <v>-11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0.38795545058972292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1" s="9">
        <f>MAX(kmin, kmax - 0.15 * MIN(Games[[#This Row],[GamesPlayed]], 82))</f>
        <v>73.150000000000006</v>
      </c>
      <c r="Z221" s="4">
        <f>Games[[#This Row],[K]]*Games[[#This Row],[POMult]]</f>
        <v>73.150000000000006</v>
      </c>
      <c r="AA221" s="4">
        <f>(Games[[#This Row],[Keff]]*Games[[#This Row],[MOVMult]])*(Games[[#This Row],[Result]]-Games[[#This Row],[ExpectedWin%]])</f>
        <v>-9.8978891929501476</v>
      </c>
      <c r="AB221" s="4">
        <f>Games[[#This Row],[PreGmRate]]+Games[[#This Row],[RatingChange]]</f>
        <v>1434.4723735763603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45474</v>
      </c>
      <c r="B222" s="2">
        <v>2024</v>
      </c>
      <c r="C222" s="2">
        <f>COUNTIFS(Games[Team],Games[[#This Row],[Team]],Games[Season],Games[[#This Row],[Season]],Games[Date],"&lt;=" &amp; Games[[#This Row],[Date]])</f>
        <v>19</v>
      </c>
      <c r="D222" s="2" t="s">
        <v>79</v>
      </c>
      <c r="E222" s="2" t="s">
        <v>80</v>
      </c>
      <c r="F222" s="1" t="s">
        <v>85</v>
      </c>
      <c r="G222" s="1" t="s">
        <v>71</v>
      </c>
      <c r="H222" s="1" t="s">
        <v>81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2" s="2">
        <f>Games[[#This Row],[DaysOff]]-Games[[#This Row],[OppDaysOff]]</f>
        <v>0</v>
      </c>
      <c r="L222" s="2">
        <f>Games[[#This Row],[OppDaysOff]]-Games[[#This Row],[DaysOff]]</f>
        <v>0</v>
      </c>
      <c r="M222" s="1">
        <f>MAX(-16, MIN(16, Games[[#This Row],[RestDiff]]*8))</f>
        <v>0</v>
      </c>
      <c r="N222" s="1">
        <f>MAX(-16, MIN(16, Games[[#This Row],[OppRestDiff]]*8))</f>
        <v>0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1400.31325261556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1548.2715537706893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0.20829074333152456</v>
      </c>
      <c r="R222" s="1">
        <v>71</v>
      </c>
      <c r="S222" s="1">
        <v>95</v>
      </c>
      <c r="T222" s="1">
        <v>0</v>
      </c>
      <c r="U222" s="1">
        <f>Games[[#This Row],[PointsFor]]-Games[[#This Row],[PointsAgainst]]</f>
        <v>-24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0.55945136929794159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2" s="9">
        <f>MAX(kmin, kmax - 0.15 * MIN(Games[[#This Row],[GamesPlayed]], 82))</f>
        <v>73.150000000000006</v>
      </c>
      <c r="Z222" s="4">
        <f>Games[[#This Row],[K]]*Games[[#This Row],[POMult]]</f>
        <v>73.150000000000006</v>
      </c>
      <c r="AA222" s="4">
        <f>(Games[[#This Row],[Keff]]*Games[[#This Row],[MOVMult]])*(Games[[#This Row],[Result]]-Games[[#This Row],[ExpectedWin%]])</f>
        <v>-8.5240628157655856</v>
      </c>
      <c r="AB222" s="4">
        <f>Games[[#This Row],[PreGmRate]]+Games[[#This Row],[RatingChange]]</f>
        <v>1391.7891897997945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45474</v>
      </c>
      <c r="B223" s="2">
        <v>2024</v>
      </c>
      <c r="C223" s="2">
        <f>COUNTIFS(Games[Team],Games[[#This Row],[Team]],Games[Season],Games[[#This Row],[Season]],Games[Date],"&lt;=" &amp; Games[[#This Row],[Date]])</f>
        <v>19</v>
      </c>
      <c r="D223" s="2" t="s">
        <v>79</v>
      </c>
      <c r="E223" s="2" t="s">
        <v>80</v>
      </c>
      <c r="F223" s="1" t="s">
        <v>71</v>
      </c>
      <c r="G223" s="1" t="s">
        <v>85</v>
      </c>
      <c r="H223" s="1" t="s">
        <v>82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0</v>
      </c>
      <c r="L223" s="2">
        <f>Games[[#This Row],[OppDaysOff]]-Games[[#This Row],[DaysOff]]</f>
        <v>0</v>
      </c>
      <c r="M223" s="1">
        <f>MAX(-16, MIN(16, Games[[#This Row],[RestDiff]]*8))</f>
        <v>0</v>
      </c>
      <c r="N223" s="1">
        <f>MAX(-16, MIN(16, Games[[#This Row],[OppRestDiff]]*8))</f>
        <v>0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1548.2715537706893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1400.31325261556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0.79170925666847558</v>
      </c>
      <c r="R223" s="1">
        <v>95</v>
      </c>
      <c r="S223" s="1">
        <v>71</v>
      </c>
      <c r="T223" s="1">
        <v>0</v>
      </c>
      <c r="U223" s="1">
        <f>Games[[#This Row],[PointsFor]]-Games[[#This Row],[PointsAgainst]]</f>
        <v>24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0.55945136929794159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3" s="9">
        <f>MAX(kmin, kmax - 0.15 * MIN(Games[[#This Row],[GamesPlayed]], 82))</f>
        <v>73.150000000000006</v>
      </c>
      <c r="Z223" s="4">
        <f>Games[[#This Row],[K]]*Games[[#This Row],[POMult]]</f>
        <v>73.150000000000006</v>
      </c>
      <c r="AA223" s="4">
        <f>(Games[[#This Row],[Keff]]*Games[[#This Row],[MOVMult]])*(Games[[#This Row],[Result]]-Games[[#This Row],[ExpectedWin%]])</f>
        <v>8.5240628157655802</v>
      </c>
      <c r="AB223" s="4">
        <f>Games[[#This Row],[PreGmRate]]+Games[[#This Row],[RatingChange]]</f>
        <v>1556.7956165864548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45475</v>
      </c>
      <c r="B224" s="2">
        <v>2024</v>
      </c>
      <c r="C224" s="2">
        <f>COUNTIFS(Games[Team],Games[[#This Row],[Team]],Games[Season],Games[[#This Row],[Season]],Games[Date],"&lt;=" &amp; Games[[#This Row],[Date]])</f>
        <v>18</v>
      </c>
      <c r="D224" s="2" t="s">
        <v>79</v>
      </c>
      <c r="E224" s="2" t="s">
        <v>80</v>
      </c>
      <c r="F224" s="1" t="s">
        <v>75</v>
      </c>
      <c r="G224" s="1" t="s">
        <v>77</v>
      </c>
      <c r="H224" s="1" t="s">
        <v>81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1439.4589849197223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1424.3401617083257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0.40215067460066317</v>
      </c>
      <c r="R224" s="1">
        <v>85</v>
      </c>
      <c r="S224" s="1">
        <v>77</v>
      </c>
      <c r="T224" s="1">
        <v>0</v>
      </c>
      <c r="U224" s="1">
        <f>Games[[#This Row],[PointsFor]]-Games[[#This Row],[PointsAgainst]]</f>
        <v>8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0.38348401251170428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4" s="9">
        <f>MAX(kmin, kmax - 0.15 * MIN(Games[[#This Row],[GamesPlayed]], 82))</f>
        <v>73.3</v>
      </c>
      <c r="Z224" s="4">
        <f>Games[[#This Row],[K]]*Games[[#This Row],[POMult]]</f>
        <v>73.3</v>
      </c>
      <c r="AA224" s="4">
        <f>(Games[[#This Row],[Keff]]*Games[[#This Row],[MOVMult]])*(Games[[#This Row],[Result]]-Games[[#This Row],[ExpectedWin%]])</f>
        <v>16.805172744707853</v>
      </c>
      <c r="AB224" s="4">
        <f>Games[[#This Row],[PreGmRate]]+Games[[#This Row],[RatingChange]]</f>
        <v>1456.2641576644301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45475</v>
      </c>
      <c r="B225" s="2">
        <v>2024</v>
      </c>
      <c r="C225" s="2">
        <f>COUNTIFS(Games[Team],Games[[#This Row],[Team]],Games[Season],Games[[#This Row],[Season]],Games[Date],"&lt;=" &amp; Games[[#This Row],[Date]])</f>
        <v>18</v>
      </c>
      <c r="D225" s="2" t="s">
        <v>79</v>
      </c>
      <c r="E225" s="2" t="s">
        <v>80</v>
      </c>
      <c r="F225" s="1" t="s">
        <v>77</v>
      </c>
      <c r="G225" s="1" t="s">
        <v>75</v>
      </c>
      <c r="H225" s="1" t="s">
        <v>82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1424.3401617083257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1439.4589849197223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0.59784932539933688</v>
      </c>
      <c r="R225" s="1">
        <v>77</v>
      </c>
      <c r="S225" s="1">
        <v>85</v>
      </c>
      <c r="T225" s="1">
        <v>0</v>
      </c>
      <c r="U225" s="1">
        <f>Games[[#This Row],[PointsFor]]-Games[[#This Row],[PointsAgainst]]</f>
        <v>-8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0.38348401251170428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5" s="9">
        <f>MAX(kmin, kmax - 0.15 * MIN(Games[[#This Row],[GamesPlayed]], 82))</f>
        <v>73.3</v>
      </c>
      <c r="Z225" s="4">
        <f>Games[[#This Row],[K]]*Games[[#This Row],[POMult]]</f>
        <v>73.3</v>
      </c>
      <c r="AA225" s="4">
        <f>(Games[[#This Row],[Keff]]*Games[[#This Row],[MOVMult]])*(Games[[#This Row],[Result]]-Games[[#This Row],[ExpectedWin%]])</f>
        <v>-16.805172744707853</v>
      </c>
      <c r="AB225" s="4">
        <f>Games[[#This Row],[PreGmRate]]+Games[[#This Row],[RatingChange]]</f>
        <v>1407.5349889636179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45475</v>
      </c>
      <c r="B226" s="2">
        <v>2024</v>
      </c>
      <c r="C226" s="2">
        <f>COUNTIFS(Games[Team],Games[[#This Row],[Team]],Games[Season],Games[[#This Row],[Season]],Games[Date],"&lt;=" &amp; Games[[#This Row],[Date]])</f>
        <v>20</v>
      </c>
      <c r="D226" s="2" t="s">
        <v>79</v>
      </c>
      <c r="E226" s="2" t="s">
        <v>80</v>
      </c>
      <c r="F226" s="1" t="s">
        <v>65</v>
      </c>
      <c r="G226" s="1" t="s">
        <v>63</v>
      </c>
      <c r="H226" s="1" t="s">
        <v>81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6" s="2">
        <f>Games[[#This Row],[DaysOff]]-Games[[#This Row],[OppDaysOff]]</f>
        <v>-1</v>
      </c>
      <c r="L226" s="2">
        <f>Games[[#This Row],[OppDaysOff]]-Games[[#This Row],[DaysOff]]</f>
        <v>1</v>
      </c>
      <c r="M226" s="1">
        <f>MAX(-16, MIN(16, Games[[#This Row],[RestDiff]]*8))</f>
        <v>-8</v>
      </c>
      <c r="N226" s="1">
        <f>MAX(-16, MIN(16, Games[[#This Row],[OppRestDiff]]*8))</f>
        <v>8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1404.7003853233934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1380.87180568751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0.3921037047624561</v>
      </c>
      <c r="R226" s="1">
        <v>82</v>
      </c>
      <c r="S226" s="1">
        <v>80</v>
      </c>
      <c r="T226" s="1">
        <v>0</v>
      </c>
      <c r="U226" s="1">
        <f>Games[[#This Row],[PointsFor]]-Games[[#This Row],[PointsAgainst]]</f>
        <v>2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0.26262631084104149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6" s="9">
        <f>MAX(kmin, kmax - 0.15 * MIN(Games[[#This Row],[GamesPlayed]], 82))</f>
        <v>73</v>
      </c>
      <c r="Z226" s="4">
        <f>Games[[#This Row],[K]]*Games[[#This Row],[POMult]]</f>
        <v>73</v>
      </c>
      <c r="AA226" s="4">
        <f>(Games[[#This Row],[Keff]]*Games[[#This Row],[MOVMult]])*(Games[[#This Row],[Result]]-Games[[#This Row],[ExpectedWin%]])</f>
        <v>11.65441798162861</v>
      </c>
      <c r="AB226" s="4">
        <f>Games[[#This Row],[PreGmRate]]+Games[[#This Row],[RatingChange]]</f>
        <v>1416.354803305022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45475</v>
      </c>
      <c r="B227" s="2">
        <v>2024</v>
      </c>
      <c r="C227" s="2">
        <f>COUNTIFS(Games[Team],Games[[#This Row],[Team]],Games[Season],Games[[#This Row],[Season]],Games[Date],"&lt;=" &amp; Games[[#This Row],[Date]])</f>
        <v>19</v>
      </c>
      <c r="D227" s="2" t="s">
        <v>79</v>
      </c>
      <c r="E227" s="2" t="s">
        <v>80</v>
      </c>
      <c r="F227" s="1" t="s">
        <v>63</v>
      </c>
      <c r="G227" s="1" t="s">
        <v>65</v>
      </c>
      <c r="H227" s="1" t="s">
        <v>82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7" s="2">
        <f>Games[[#This Row],[DaysOff]]-Games[[#This Row],[OppDaysOff]]</f>
        <v>1</v>
      </c>
      <c r="L227" s="2">
        <f>Games[[#This Row],[OppDaysOff]]-Games[[#This Row],[DaysOff]]</f>
        <v>-1</v>
      </c>
      <c r="M227" s="1">
        <f>MAX(-16, MIN(16, Games[[#This Row],[RestDiff]]*8))</f>
        <v>8</v>
      </c>
      <c r="N227" s="1">
        <f>MAX(-16, MIN(16, Games[[#This Row],[OppRestDiff]]*8))</f>
        <v>-8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1380.87180568751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1404.7003853233934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0.60789629523754396</v>
      </c>
      <c r="R227" s="1">
        <v>80</v>
      </c>
      <c r="S227" s="1">
        <v>82</v>
      </c>
      <c r="T227" s="1">
        <v>0</v>
      </c>
      <c r="U227" s="1">
        <f>Games[[#This Row],[PointsFor]]-Games[[#This Row],[PointsAgainst]]</f>
        <v>-2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0.26262631084104149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7" s="9">
        <f>MAX(kmin, kmax - 0.15 * MIN(Games[[#This Row],[GamesPlayed]], 82))</f>
        <v>73.150000000000006</v>
      </c>
      <c r="Z227" s="4">
        <f>Games[[#This Row],[K]]*Games[[#This Row],[POMult]]</f>
        <v>73.150000000000006</v>
      </c>
      <c r="AA227" s="4">
        <f>(Games[[#This Row],[Keff]]*Games[[#This Row],[MOVMult]])*(Games[[#This Row],[Result]]-Games[[#This Row],[ExpectedWin%]])</f>
        <v>-11.678365415837437</v>
      </c>
      <c r="AB227" s="4">
        <f>Games[[#This Row],[PreGmRate]]+Games[[#This Row],[RatingChange]]</f>
        <v>1369.1934402716727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45475</v>
      </c>
      <c r="B228" s="2">
        <v>2024</v>
      </c>
      <c r="C228" s="2">
        <f>COUNTIFS(Games[Team],Games[[#This Row],[Team]],Games[Season],Games[[#This Row],[Season]],Games[Date],"&lt;=" &amp; Games[[#This Row],[Date]])</f>
        <v>21</v>
      </c>
      <c r="D228" s="2" t="s">
        <v>79</v>
      </c>
      <c r="E228" s="2" t="s">
        <v>80</v>
      </c>
      <c r="F228" s="1" t="s">
        <v>69</v>
      </c>
      <c r="G228" s="1" t="s">
        <v>86</v>
      </c>
      <c r="H228" s="1" t="s">
        <v>81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8" s="2">
        <f>Games[[#This Row],[DaysOff]]-Games[[#This Row],[OppDaysOff]]</f>
        <v>-1</v>
      </c>
      <c r="L228" s="2">
        <f>Games[[#This Row],[OppDaysOff]]-Games[[#This Row],[DaysOff]]</f>
        <v>1</v>
      </c>
      <c r="M228" s="1">
        <f>MAX(-16, MIN(16, Games[[#This Row],[RestDiff]]*8))</f>
        <v>-8</v>
      </c>
      <c r="N228" s="1">
        <f>MAX(-16, MIN(16, Games[[#This Row],[OppRestDiff]]*8))</f>
        <v>8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1435.3585931353814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1623.9258657831206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0.15961080203270897</v>
      </c>
      <c r="R228" s="1">
        <v>69</v>
      </c>
      <c r="S228" s="1">
        <v>88</v>
      </c>
      <c r="T228" s="1">
        <v>0</v>
      </c>
      <c r="U228" s="1">
        <f>Games[[#This Row],[PointsFor]]-Games[[#This Row],[PointsAgainst]]</f>
        <v>-19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0.48479688418992045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8" s="9">
        <f>MAX(kmin, kmax - 0.15 * MIN(Games[[#This Row],[GamesPlayed]], 82))</f>
        <v>72.849999999999994</v>
      </c>
      <c r="Z228" s="4">
        <f>Games[[#This Row],[K]]*Games[[#This Row],[POMult]]</f>
        <v>72.849999999999994</v>
      </c>
      <c r="AA228" s="4">
        <f>(Games[[#This Row],[Keff]]*Games[[#This Row],[MOVMult]])*(Games[[#This Row],[Result]]-Games[[#This Row],[ExpectedWin%]])</f>
        <v>-5.6370470011950644</v>
      </c>
      <c r="AB228" s="4">
        <f>Games[[#This Row],[PreGmRate]]+Games[[#This Row],[RatingChange]]</f>
        <v>1429.7215461341864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45475</v>
      </c>
      <c r="B229" s="2">
        <v>2024</v>
      </c>
      <c r="C229" s="2">
        <f>COUNTIFS(Games[Team],Games[[#This Row],[Team]],Games[Season],Games[[#This Row],[Season]],Games[Date],"&lt;=" &amp; Games[[#This Row],[Date]])</f>
        <v>17</v>
      </c>
      <c r="D229" s="2" t="s">
        <v>79</v>
      </c>
      <c r="E229" s="2" t="s">
        <v>80</v>
      </c>
      <c r="F229" s="1" t="s">
        <v>86</v>
      </c>
      <c r="G229" s="1" t="s">
        <v>69</v>
      </c>
      <c r="H229" s="1" t="s">
        <v>82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1</v>
      </c>
      <c r="L229" s="2">
        <f>Games[[#This Row],[OppDaysOff]]-Games[[#This Row],[DaysOff]]</f>
        <v>-1</v>
      </c>
      <c r="M229" s="1">
        <f>MAX(-16, MIN(16, Games[[#This Row],[RestDiff]]*8))</f>
        <v>8</v>
      </c>
      <c r="N229" s="1">
        <f>MAX(-16, MIN(16, Games[[#This Row],[OppRestDiff]]*8))</f>
        <v>-8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1623.9258657831206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1435.3585931353814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0.84038919796729106</v>
      </c>
      <c r="R229" s="1">
        <v>88</v>
      </c>
      <c r="S229" s="1">
        <v>69</v>
      </c>
      <c r="T229" s="1">
        <v>0</v>
      </c>
      <c r="U229" s="1">
        <f>Games[[#This Row],[PointsFor]]-Games[[#This Row],[PointsAgainst]]</f>
        <v>19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0.48479688418992045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9" s="9">
        <f>MAX(kmin, kmax - 0.15 * MIN(Games[[#This Row],[GamesPlayed]], 82))</f>
        <v>73.45</v>
      </c>
      <c r="Z229" s="4">
        <f>Games[[#This Row],[K]]*Games[[#This Row],[POMult]]</f>
        <v>73.45</v>
      </c>
      <c r="AA229" s="4">
        <f>(Games[[#This Row],[Keff]]*Games[[#This Row],[MOVMult]])*(Games[[#This Row],[Result]]-Games[[#This Row],[ExpectedWin%]])</f>
        <v>5.6834742929001711</v>
      </c>
      <c r="AB229" s="4">
        <f>Games[[#This Row],[PreGmRate]]+Games[[#This Row],[RatingChange]]</f>
        <v>1629.6093400760208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45475</v>
      </c>
      <c r="B230" s="2">
        <v>2024</v>
      </c>
      <c r="C230" s="2">
        <f>COUNTIFS(Games[Team],Games[[#This Row],[Team]],Games[Season],Games[[#This Row],[Season]],Games[Date],"&lt;=" &amp; Games[[#This Row],[Date]])</f>
        <v>20</v>
      </c>
      <c r="D230" s="2" t="s">
        <v>79</v>
      </c>
      <c r="E230" s="2" t="s">
        <v>80</v>
      </c>
      <c r="F230" s="1" t="s">
        <v>67</v>
      </c>
      <c r="G230" s="1" t="s">
        <v>60</v>
      </c>
      <c r="H230" s="1" t="s">
        <v>81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0</v>
      </c>
      <c r="L230" s="2">
        <f>Games[[#This Row],[OppDaysOff]]-Games[[#This Row],[DaysOff]]</f>
        <v>0</v>
      </c>
      <c r="M230" s="1">
        <f>MAX(-16, MIN(16, Games[[#This Row],[RestDiff]]*8))</f>
        <v>0</v>
      </c>
      <c r="N230" s="1">
        <f>MAX(-16, MIN(16, Games[[#This Row],[OppRestDiff]]*8))</f>
        <v>0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1625.633680158214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1667.3696714833159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0.32655794547255595</v>
      </c>
      <c r="R230" s="1">
        <v>67</v>
      </c>
      <c r="S230" s="1">
        <v>76</v>
      </c>
      <c r="T230" s="1">
        <v>0</v>
      </c>
      <c r="U230" s="1">
        <f>Games[[#This Row],[PointsFor]]-Games[[#This Row],[PointsAgainst]]</f>
        <v>-9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0.3923264171934156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0" s="9">
        <f>MAX(kmin, kmax - 0.15 * MIN(Games[[#This Row],[GamesPlayed]], 82))</f>
        <v>73</v>
      </c>
      <c r="Z230" s="4">
        <f>Games[[#This Row],[K]]*Games[[#This Row],[POMult]]</f>
        <v>73</v>
      </c>
      <c r="AA230" s="4">
        <f>(Games[[#This Row],[Keff]]*Games[[#This Row],[MOVMult]])*(Games[[#This Row],[Result]]-Games[[#This Row],[ExpectedWin%]])</f>
        <v>-9.3525635389902178</v>
      </c>
      <c r="AB230" s="4">
        <f>Games[[#This Row],[PreGmRate]]+Games[[#This Row],[RatingChange]]</f>
        <v>1616.2811166192239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45475</v>
      </c>
      <c r="B231" s="2">
        <v>2024</v>
      </c>
      <c r="C231" s="2">
        <f>COUNTIFS(Games[Team],Games[[#This Row],[Team]],Games[Season],Games[[#This Row],[Season]],Games[Date],"&lt;=" &amp; Games[[#This Row],[Date]])</f>
        <v>21</v>
      </c>
      <c r="D231" s="2" t="s">
        <v>79</v>
      </c>
      <c r="E231" s="2" t="s">
        <v>80</v>
      </c>
      <c r="F231" s="1" t="s">
        <v>60</v>
      </c>
      <c r="G231" s="1" t="s">
        <v>67</v>
      </c>
      <c r="H231" s="1" t="s">
        <v>82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0</v>
      </c>
      <c r="L231" s="2">
        <f>Games[[#This Row],[OppDaysOff]]-Games[[#This Row],[DaysOff]]</f>
        <v>0</v>
      </c>
      <c r="M231" s="1">
        <f>MAX(-16, MIN(16, Games[[#This Row],[RestDiff]]*8))</f>
        <v>0</v>
      </c>
      <c r="N231" s="1">
        <f>MAX(-16, MIN(16, Games[[#This Row],[OppRestDiff]]*8))</f>
        <v>0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1667.3696714833159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1625.633680158214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0.6734420545274441</v>
      </c>
      <c r="R231" s="1">
        <v>76</v>
      </c>
      <c r="S231" s="1">
        <v>67</v>
      </c>
      <c r="T231" s="1">
        <v>0</v>
      </c>
      <c r="U231" s="1">
        <f>Games[[#This Row],[PointsFor]]-Games[[#This Row],[PointsAgainst]]</f>
        <v>9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0.3923264171934156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1" s="9">
        <f>MAX(kmin, kmax - 0.15 * MIN(Games[[#This Row],[GamesPlayed]], 82))</f>
        <v>72.849999999999994</v>
      </c>
      <c r="Z231" s="4">
        <f>Games[[#This Row],[K]]*Games[[#This Row],[POMult]]</f>
        <v>72.849999999999994</v>
      </c>
      <c r="AA231" s="4">
        <f>(Games[[#This Row],[Keff]]*Games[[#This Row],[MOVMult]])*(Games[[#This Row],[Result]]-Games[[#This Row],[ExpectedWin%]])</f>
        <v>9.3333459426772212</v>
      </c>
      <c r="AB231" s="4">
        <f>Games[[#This Row],[PreGmRate]]+Games[[#This Row],[RatingChange]]</f>
        <v>1676.703017425993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45476</v>
      </c>
      <c r="B232" s="2">
        <v>2024</v>
      </c>
      <c r="C232" s="2">
        <f>COUNTIFS(Games[Team],Games[[#This Row],[Team]],Games[Season],Games[[#This Row],[Season]],Games[Date],"&lt;=" &amp; Games[[#This Row],[Date]])</f>
        <v>20</v>
      </c>
      <c r="D232" s="2" t="s">
        <v>79</v>
      </c>
      <c r="E232" s="2" t="s">
        <v>80</v>
      </c>
      <c r="F232" s="1" t="s">
        <v>40</v>
      </c>
      <c r="G232" s="1" t="s">
        <v>85</v>
      </c>
      <c r="H232" s="1" t="s">
        <v>81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1434.4723735763603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1391.7891897997945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0.44081903452421362</v>
      </c>
      <c r="R232" s="1">
        <v>104</v>
      </c>
      <c r="S232" s="1">
        <v>96</v>
      </c>
      <c r="T232" s="1">
        <v>0</v>
      </c>
      <c r="U232" s="1">
        <f>Games[[#This Row],[PointsFor]]-Games[[#This Row],[PointsAgainst]]</f>
        <v>8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0.374977828691202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2" s="9">
        <f>MAX(kmin, kmax - 0.15 * MIN(Games[[#This Row],[GamesPlayed]], 82))</f>
        <v>73</v>
      </c>
      <c r="Z232" s="4">
        <f>Games[[#This Row],[K]]*Games[[#This Row],[POMult]]</f>
        <v>73</v>
      </c>
      <c r="AA232" s="4">
        <f>(Games[[#This Row],[Keff]]*Games[[#This Row],[MOVMult]])*(Games[[#This Row],[Result]]-Games[[#This Row],[ExpectedWin%]])</f>
        <v>15.306673892407908</v>
      </c>
      <c r="AB232" s="4">
        <f>Games[[#This Row],[PreGmRate]]+Games[[#This Row],[RatingChange]]</f>
        <v>1449.7790474687681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45476</v>
      </c>
      <c r="B233" s="2">
        <v>2024</v>
      </c>
      <c r="C233" s="2">
        <f>COUNTIFS(Games[Team],Games[[#This Row],[Team]],Games[Season],Games[[#This Row],[Season]],Games[Date],"&lt;=" &amp; Games[[#This Row],[Date]])</f>
        <v>20</v>
      </c>
      <c r="D233" s="2" t="s">
        <v>79</v>
      </c>
      <c r="E233" s="2" t="s">
        <v>80</v>
      </c>
      <c r="F233" s="1" t="s">
        <v>85</v>
      </c>
      <c r="G233" s="1" t="s">
        <v>40</v>
      </c>
      <c r="H233" s="1" t="s">
        <v>82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1391.7891897997945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1434.4723735763603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0.55918096547578644</v>
      </c>
      <c r="R233" s="1">
        <v>96</v>
      </c>
      <c r="S233" s="1">
        <v>104</v>
      </c>
      <c r="T233" s="1">
        <v>0</v>
      </c>
      <c r="U233" s="1">
        <f>Games[[#This Row],[PointsFor]]-Games[[#This Row],[PointsAgainst]]</f>
        <v>-8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0.374977828691202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3" s="9">
        <f>MAX(kmin, kmax - 0.15 * MIN(Games[[#This Row],[GamesPlayed]], 82))</f>
        <v>73</v>
      </c>
      <c r="Z233" s="4">
        <f>Games[[#This Row],[K]]*Games[[#This Row],[POMult]]</f>
        <v>73</v>
      </c>
      <c r="AA233" s="4">
        <f>(Games[[#This Row],[Keff]]*Games[[#This Row],[MOVMult]])*(Games[[#This Row],[Result]]-Games[[#This Row],[ExpectedWin%]])</f>
        <v>-15.306673892407908</v>
      </c>
      <c r="AB233" s="4">
        <f>Games[[#This Row],[PreGmRate]]+Games[[#This Row],[RatingChange]]</f>
        <v>1376.4825159073866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45477</v>
      </c>
      <c r="B234" s="2">
        <v>2024</v>
      </c>
      <c r="C234" s="2">
        <f>COUNTIFS(Games[Team],Games[[#This Row],[Team]],Games[Season],Games[[#This Row],[Season]],Games[Date],"&lt;=" &amp; Games[[#This Row],[Date]])</f>
        <v>21</v>
      </c>
      <c r="D234" s="2" t="s">
        <v>79</v>
      </c>
      <c r="E234" s="2" t="s">
        <v>80</v>
      </c>
      <c r="F234" s="1" t="s">
        <v>65</v>
      </c>
      <c r="G234" s="1" t="s">
        <v>86</v>
      </c>
      <c r="H234" s="1" t="s">
        <v>81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1416.354803305022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1629.6093400760208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0.15301660267671546</v>
      </c>
      <c r="R234" s="1">
        <v>77</v>
      </c>
      <c r="S234" s="1">
        <v>98</v>
      </c>
      <c r="T234" s="1">
        <v>0</v>
      </c>
      <c r="U234" s="1">
        <f>Games[[#This Row],[PointsFor]]-Games[[#This Row],[PointsAgainst]]</f>
        <v>-21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0.49976244826966426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4" s="9">
        <f>MAX(kmin, kmax - 0.15 * MIN(Games[[#This Row],[GamesPlayed]], 82))</f>
        <v>72.849999999999994</v>
      </c>
      <c r="Z234" s="4">
        <f>Games[[#This Row],[K]]*Games[[#This Row],[POMult]]</f>
        <v>72.849999999999994</v>
      </c>
      <c r="AA234" s="4">
        <f>(Games[[#This Row],[Keff]]*Games[[#This Row],[MOVMult]])*(Games[[#This Row],[Result]]-Games[[#This Row],[ExpectedWin%]])</f>
        <v>-5.5709817017154473</v>
      </c>
      <c r="AB234" s="4">
        <f>Games[[#This Row],[PreGmRate]]+Games[[#This Row],[RatingChange]]</f>
        <v>1410.7838216033065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45477</v>
      </c>
      <c r="B235" s="2">
        <v>2024</v>
      </c>
      <c r="C235" s="2">
        <f>COUNTIFS(Games[Team],Games[[#This Row],[Team]],Games[Season],Games[[#This Row],[Season]],Games[Date],"&lt;=" &amp; Games[[#This Row],[Date]])</f>
        <v>18</v>
      </c>
      <c r="D235" s="2" t="s">
        <v>79</v>
      </c>
      <c r="E235" s="2" t="s">
        <v>80</v>
      </c>
      <c r="F235" s="1" t="s">
        <v>86</v>
      </c>
      <c r="G235" s="1" t="s">
        <v>65</v>
      </c>
      <c r="H235" s="1" t="s">
        <v>82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1629.6093400760208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1416.354803305022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0.84698339732328443</v>
      </c>
      <c r="R235" s="1">
        <v>98</v>
      </c>
      <c r="S235" s="1">
        <v>77</v>
      </c>
      <c r="T235" s="1">
        <v>0</v>
      </c>
      <c r="U235" s="1">
        <f>Games[[#This Row],[PointsFor]]-Games[[#This Row],[PointsAgainst]]</f>
        <v>21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0.49976244826966426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5" s="9">
        <f>MAX(kmin, kmax - 0.15 * MIN(Games[[#This Row],[GamesPlayed]], 82))</f>
        <v>73.3</v>
      </c>
      <c r="Z235" s="4">
        <f>Games[[#This Row],[K]]*Games[[#This Row],[POMult]]</f>
        <v>73.3</v>
      </c>
      <c r="AA235" s="4">
        <f>(Games[[#This Row],[Keff]]*Games[[#This Row],[MOVMult]])*(Games[[#This Row],[Result]]-Games[[#This Row],[ExpectedWin%]])</f>
        <v>5.6053940801062812</v>
      </c>
      <c r="AB235" s="4">
        <f>Games[[#This Row],[PreGmRate]]+Games[[#This Row],[RatingChange]]</f>
        <v>1635.214734156127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45477</v>
      </c>
      <c r="B236" s="2">
        <v>2024</v>
      </c>
      <c r="C236" s="2">
        <f>COUNTIFS(Games[Team],Games[[#This Row],[Team]],Games[Season],Games[[#This Row],[Season]],Games[Date],"&lt;=" &amp; Games[[#This Row],[Date]])</f>
        <v>20</v>
      </c>
      <c r="D236" s="2" t="s">
        <v>79</v>
      </c>
      <c r="E236" s="2" t="s">
        <v>80</v>
      </c>
      <c r="F236" s="1" t="s">
        <v>74</v>
      </c>
      <c r="G236" s="1" t="s">
        <v>67</v>
      </c>
      <c r="H236" s="1" t="s">
        <v>81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1</v>
      </c>
      <c r="L236" s="2">
        <f>Games[[#This Row],[OppDaysOff]]-Games[[#This Row],[DaysOff]]</f>
        <v>-1</v>
      </c>
      <c r="M236" s="1">
        <f>MAX(-16, MIN(16, Games[[#This Row],[RestDiff]]*8))</f>
        <v>8</v>
      </c>
      <c r="N236" s="1">
        <f>MAX(-16, MIN(16, Games[[#This Row],[OppRestDiff]]*8))</f>
        <v>-8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1614.7417927033694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1616.2811166192239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0.40124013729315466</v>
      </c>
      <c r="R236" s="1">
        <v>78</v>
      </c>
      <c r="S236" s="1">
        <v>73</v>
      </c>
      <c r="T236" s="1">
        <v>0</v>
      </c>
      <c r="U236" s="1">
        <f>Games[[#This Row],[PointsFor]]-Games[[#This Row],[PointsAgainst]]</f>
        <v>5</v>
      </c>
      <c r="V236" s="1">
        <f>IF(Games[[#This Row],[MOV]]&gt;0,1,IF(Games[[#This Row],[MOV]]=0,0.5,0))</f>
        <v>1</v>
      </c>
      <c r="W236" s="4">
        <f>((ABS(Games[[#This Row],[MOV]])+5)^0.6)/(12+0.01*(ABS(Games[[#This Row],[PreGmRate]]-Games[[#This Row],[OppPreGmRate]])))*IF(Games[[#This Row],[OT]]=1,0.9,1)</f>
        <v>0.3313309540765203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6" s="9">
        <f>MAX(kmin, kmax - 0.15 * MIN(Games[[#This Row],[GamesPlayed]], 82))</f>
        <v>73</v>
      </c>
      <c r="Z236" s="4">
        <f>Games[[#This Row],[K]]*Games[[#This Row],[POMult]]</f>
        <v>73</v>
      </c>
      <c r="AA236" s="4">
        <f>(Games[[#This Row],[Keff]]*Games[[#This Row],[MOVMult]])*(Games[[#This Row],[Result]]-Games[[#This Row],[ExpectedWin%]])</f>
        <v>14.482300389857132</v>
      </c>
      <c r="AB236" s="4">
        <f>Games[[#This Row],[PreGmRate]]+Games[[#This Row],[RatingChange]]</f>
        <v>1629.2240930932264</v>
      </c>
      <c r="AC236" s="2">
        <f>IF(Games[[#This Row],[Type]]="R",IF(Games[[#This Row],[Result]]&gt;0.5,1,0),0)</f>
        <v>1</v>
      </c>
      <c r="AD236" s="2">
        <f>IF(Games[[#This Row],[Type]]="R",IF(Games[[#This Row],[Result]]&lt;0.5,1,0),0)</f>
        <v>0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45477</v>
      </c>
      <c r="B237" s="2">
        <v>2024</v>
      </c>
      <c r="C237" s="2">
        <f>COUNTIFS(Games[Team],Games[[#This Row],[Team]],Games[Season],Games[[#This Row],[Season]],Games[Date],"&lt;=" &amp; Games[[#This Row],[Date]])</f>
        <v>21</v>
      </c>
      <c r="D237" s="2" t="s">
        <v>79</v>
      </c>
      <c r="E237" s="2" t="s">
        <v>80</v>
      </c>
      <c r="F237" s="1" t="s">
        <v>67</v>
      </c>
      <c r="G237" s="1" t="s">
        <v>74</v>
      </c>
      <c r="H237" s="1" t="s">
        <v>82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7" s="2">
        <f>Games[[#This Row],[DaysOff]]-Games[[#This Row],[OppDaysOff]]</f>
        <v>-1</v>
      </c>
      <c r="L237" s="2">
        <f>Games[[#This Row],[OppDaysOff]]-Games[[#This Row],[DaysOff]]</f>
        <v>1</v>
      </c>
      <c r="M237" s="1">
        <f>MAX(-16, MIN(16, Games[[#This Row],[RestDiff]]*8))</f>
        <v>-8</v>
      </c>
      <c r="N237" s="1">
        <f>MAX(-16, MIN(16, Games[[#This Row],[OppRestDiff]]*8))</f>
        <v>8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1616.2811166192239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1614.7417927033694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0.59875986270684534</v>
      </c>
      <c r="R237" s="1">
        <v>73</v>
      </c>
      <c r="S237" s="1">
        <v>78</v>
      </c>
      <c r="T237" s="1">
        <v>0</v>
      </c>
      <c r="U237" s="1">
        <f>Games[[#This Row],[PointsFor]]-Games[[#This Row],[PointsAgainst]]</f>
        <v>-5</v>
      </c>
      <c r="V237" s="1">
        <f>IF(Games[[#This Row],[MOV]]&gt;0,1,IF(Games[[#This Row],[MOV]]=0,0.5,0))</f>
        <v>0</v>
      </c>
      <c r="W237" s="4">
        <f>((ABS(Games[[#This Row],[MOV]])+5)^0.6)/(12+0.01*(ABS(Games[[#This Row],[PreGmRate]]-Games[[#This Row],[OppPreGmRate]])))*IF(Games[[#This Row],[OT]]=1,0.9,1)</f>
        <v>0.3313309540765203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7" s="9">
        <f>MAX(kmin, kmax - 0.15 * MIN(Games[[#This Row],[GamesPlayed]], 82))</f>
        <v>72.849999999999994</v>
      </c>
      <c r="Z237" s="4">
        <f>Games[[#This Row],[K]]*Games[[#This Row],[POMult]]</f>
        <v>72.849999999999994</v>
      </c>
      <c r="AA237" s="4">
        <f>(Games[[#This Row],[Keff]]*Games[[#This Row],[MOVMult]])*(Games[[#This Row],[Result]]-Games[[#This Row],[ExpectedWin%]])</f>
        <v>-14.452542238371123</v>
      </c>
      <c r="AB237" s="4">
        <f>Games[[#This Row],[PreGmRate]]+Games[[#This Row],[RatingChange]]</f>
        <v>1601.8285743808528</v>
      </c>
      <c r="AC237" s="2">
        <f>IF(Games[[#This Row],[Type]]="R",IF(Games[[#This Row],[Result]]&gt;0.5,1,0),0)</f>
        <v>0</v>
      </c>
      <c r="AD237" s="2">
        <f>IF(Games[[#This Row],[Type]]="R",IF(Games[[#This Row],[Result]]&lt;0.5,1,0),0)</f>
        <v>1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45478</v>
      </c>
      <c r="B238" s="2">
        <v>2024</v>
      </c>
      <c r="C238" s="2">
        <f>COUNTIFS(Games[Team],Games[[#This Row],[Team]],Games[Season],Games[[#This Row],[Season]],Games[Date],"&lt;=" &amp; Games[[#This Row],[Date]])</f>
        <v>19</v>
      </c>
      <c r="D238" s="2" t="s">
        <v>79</v>
      </c>
      <c r="E238" s="2" t="s">
        <v>80</v>
      </c>
      <c r="F238" s="1" t="s">
        <v>77</v>
      </c>
      <c r="G238" s="1" t="s">
        <v>85</v>
      </c>
      <c r="H238" s="1" t="s">
        <v>81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1</v>
      </c>
      <c r="L238" s="2">
        <f>Games[[#This Row],[OppDaysOff]]-Games[[#This Row],[DaysOff]]</f>
        <v>-1</v>
      </c>
      <c r="M238" s="1">
        <f>MAX(-16, MIN(16, Games[[#This Row],[RestDiff]]*8))</f>
        <v>8</v>
      </c>
      <c r="N238" s="1">
        <f>MAX(-16, MIN(16, Games[[#This Row],[OppRestDiff]]*8))</f>
        <v>-8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1407.5349889636179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1376.4825159073866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0.44702777083809064</v>
      </c>
      <c r="R238" s="1">
        <v>82</v>
      </c>
      <c r="S238" s="1">
        <v>85</v>
      </c>
      <c r="T238" s="1">
        <v>0</v>
      </c>
      <c r="U238" s="1">
        <f>Games[[#This Row],[PointsFor]]-Games[[#This Row],[PointsAgainst]]</f>
        <v>-3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0.28286383638379958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8" s="9">
        <f>MAX(kmin, kmax - 0.15 * MIN(Games[[#This Row],[GamesPlayed]], 82))</f>
        <v>73.150000000000006</v>
      </c>
      <c r="Z238" s="4">
        <f>Games[[#This Row],[K]]*Games[[#This Row],[POMult]]</f>
        <v>73.150000000000006</v>
      </c>
      <c r="AA238" s="4">
        <f>(Games[[#This Row],[Keff]]*Games[[#This Row],[MOVMult]])*(Games[[#This Row],[Result]]-Games[[#This Row],[ExpectedWin%]])</f>
        <v>-9.2496704852777079</v>
      </c>
      <c r="AB238" s="4">
        <f>Games[[#This Row],[PreGmRate]]+Games[[#This Row],[RatingChange]]</f>
        <v>1398.2853184783403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45478</v>
      </c>
      <c r="B239" s="2">
        <v>2024</v>
      </c>
      <c r="C239" s="2">
        <f>COUNTIFS(Games[Team],Games[[#This Row],[Team]],Games[Season],Games[[#This Row],[Season]],Games[Date],"&lt;=" &amp; Games[[#This Row],[Date]])</f>
        <v>21</v>
      </c>
      <c r="D239" s="2" t="s">
        <v>79</v>
      </c>
      <c r="E239" s="2" t="s">
        <v>80</v>
      </c>
      <c r="F239" s="1" t="s">
        <v>85</v>
      </c>
      <c r="G239" s="1" t="s">
        <v>77</v>
      </c>
      <c r="H239" s="1" t="s">
        <v>82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9" s="2">
        <f>Games[[#This Row],[DaysOff]]-Games[[#This Row],[OppDaysOff]]</f>
        <v>-1</v>
      </c>
      <c r="L239" s="2">
        <f>Games[[#This Row],[OppDaysOff]]-Games[[#This Row],[DaysOff]]</f>
        <v>1</v>
      </c>
      <c r="M239" s="1">
        <f>MAX(-16, MIN(16, Games[[#This Row],[RestDiff]]*8))</f>
        <v>-8</v>
      </c>
      <c r="N239" s="1">
        <f>MAX(-16, MIN(16, Games[[#This Row],[OppRestDiff]]*8))</f>
        <v>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1376.4825159073866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1407.5349889636179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0.55297222916190925</v>
      </c>
      <c r="R239" s="1">
        <v>85</v>
      </c>
      <c r="S239" s="1">
        <v>82</v>
      </c>
      <c r="T239" s="1">
        <v>0</v>
      </c>
      <c r="U239" s="1">
        <f>Games[[#This Row],[PointsFor]]-Games[[#This Row],[PointsAgainst]]</f>
        <v>3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0.28286383638379958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9" s="9">
        <f>MAX(kmin, kmax - 0.15 * MIN(Games[[#This Row],[GamesPlayed]], 82))</f>
        <v>72.849999999999994</v>
      </c>
      <c r="Z239" s="4">
        <f>Games[[#This Row],[K]]*Games[[#This Row],[POMult]]</f>
        <v>72.849999999999994</v>
      </c>
      <c r="AA239" s="4">
        <f>(Games[[#This Row],[Keff]]*Games[[#This Row],[MOVMult]])*(Games[[#This Row],[Result]]-Games[[#This Row],[ExpectedWin%]])</f>
        <v>9.2117360882089017</v>
      </c>
      <c r="AB239" s="4">
        <f>Games[[#This Row],[PreGmRate]]+Games[[#This Row],[RatingChange]]</f>
        <v>1385.6942519955956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45478</v>
      </c>
      <c r="B240" s="2">
        <v>2024</v>
      </c>
      <c r="C240" s="2">
        <f>COUNTIFS(Games[Team],Games[[#This Row],[Team]],Games[Season],Games[[#This Row],[Season]],Games[Date],"&lt;=" &amp; Games[[#This Row],[Date]])</f>
        <v>19</v>
      </c>
      <c r="D240" s="2" t="s">
        <v>79</v>
      </c>
      <c r="E240" s="2" t="s">
        <v>80</v>
      </c>
      <c r="F240" s="1" t="s">
        <v>86</v>
      </c>
      <c r="G240" s="1" t="s">
        <v>63</v>
      </c>
      <c r="H240" s="1" t="s">
        <v>81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0" s="2">
        <f>Games[[#This Row],[DaysOff]]-Games[[#This Row],[OppDaysOff]]</f>
        <v>-2</v>
      </c>
      <c r="L240" s="2">
        <f>Games[[#This Row],[OppDaysOff]]-Games[[#This Row],[DaysOff]]</f>
        <v>2</v>
      </c>
      <c r="M240" s="1">
        <f>MAX(-16, MIN(16, Games[[#This Row],[RestDiff]]*8))</f>
        <v>-16</v>
      </c>
      <c r="N240" s="1">
        <f>MAX(-16, MIN(16, Games[[#This Row],[OppRestDiff]]*8))</f>
        <v>16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1635.214734156127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1369.1934402716727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0.70341057672466245</v>
      </c>
      <c r="R240" s="1">
        <v>93</v>
      </c>
      <c r="S240" s="1">
        <v>98</v>
      </c>
      <c r="T240" s="1">
        <v>1</v>
      </c>
      <c r="U240" s="1">
        <f>Games[[#This Row],[PointsFor]]-Games[[#This Row],[PointsAgainst]]</f>
        <v>-5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0.24440057930453704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0" s="9">
        <f>MAX(kmin, kmax - 0.15 * MIN(Games[[#This Row],[GamesPlayed]], 82))</f>
        <v>73.150000000000006</v>
      </c>
      <c r="Z240" s="4">
        <f>Games[[#This Row],[K]]*Games[[#This Row],[POMult]]</f>
        <v>73.150000000000006</v>
      </c>
      <c r="AA240" s="4">
        <f>(Games[[#This Row],[Keff]]*Games[[#This Row],[MOVMult]])*(Games[[#This Row],[Result]]-Games[[#This Row],[ExpectedWin%]])</f>
        <v>-12.575505621018626</v>
      </c>
      <c r="AB240" s="4">
        <f>Games[[#This Row],[PreGmRate]]+Games[[#This Row],[RatingChange]]</f>
        <v>1622.6392285351083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45478</v>
      </c>
      <c r="B241" s="2">
        <v>2024</v>
      </c>
      <c r="C241" s="2">
        <f>COUNTIFS(Games[Team],Games[[#This Row],[Team]],Games[Season],Games[[#This Row],[Season]],Games[Date],"&lt;=" &amp; Games[[#This Row],[Date]])</f>
        <v>20</v>
      </c>
      <c r="D241" s="2" t="s">
        <v>79</v>
      </c>
      <c r="E241" s="2" t="s">
        <v>80</v>
      </c>
      <c r="F241" s="1" t="s">
        <v>63</v>
      </c>
      <c r="G241" s="1" t="s">
        <v>86</v>
      </c>
      <c r="H241" s="1" t="s">
        <v>82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1" s="2">
        <f>Games[[#This Row],[DaysOff]]-Games[[#This Row],[OppDaysOff]]</f>
        <v>2</v>
      </c>
      <c r="L241" s="2">
        <f>Games[[#This Row],[OppDaysOff]]-Games[[#This Row],[DaysOff]]</f>
        <v>-2</v>
      </c>
      <c r="M241" s="1">
        <f>MAX(-16, MIN(16, Games[[#This Row],[RestDiff]]*8))</f>
        <v>16</v>
      </c>
      <c r="N241" s="1">
        <f>MAX(-16, MIN(16, Games[[#This Row],[OppRestDiff]]*8))</f>
        <v>-16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1369.1934402716727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1635.214734156127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0.2965894232753376</v>
      </c>
      <c r="R241" s="1">
        <v>98</v>
      </c>
      <c r="S241" s="1">
        <v>93</v>
      </c>
      <c r="T241" s="1">
        <v>1</v>
      </c>
      <c r="U241" s="1">
        <f>Games[[#This Row],[PointsFor]]-Games[[#This Row],[PointsAgainst]]</f>
        <v>5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0.24440057930453704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1" s="9">
        <f>MAX(kmin, kmax - 0.15 * MIN(Games[[#This Row],[GamesPlayed]], 82))</f>
        <v>73</v>
      </c>
      <c r="Z241" s="4">
        <f>Games[[#This Row],[K]]*Games[[#This Row],[POMult]]</f>
        <v>73</v>
      </c>
      <c r="AA241" s="4">
        <f>(Games[[#This Row],[Keff]]*Games[[#This Row],[MOVMult]])*(Games[[#This Row],[Result]]-Games[[#This Row],[ExpectedWin%]])</f>
        <v>12.549718528152557</v>
      </c>
      <c r="AB241" s="4">
        <f>Games[[#This Row],[PreGmRate]]+Games[[#This Row],[RatingChange]]</f>
        <v>1381.7431587998253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45478</v>
      </c>
      <c r="B242" s="2">
        <v>2024</v>
      </c>
      <c r="C242" s="2">
        <f>COUNTIFS(Games[Team],Games[[#This Row],[Team]],Games[Season],Games[[#This Row],[Season]],Games[Date],"&lt;=" &amp; Games[[#This Row],[Date]])</f>
        <v>19</v>
      </c>
      <c r="D242" s="2" t="s">
        <v>79</v>
      </c>
      <c r="E242" s="2" t="s">
        <v>80</v>
      </c>
      <c r="F242" s="1" t="s">
        <v>75</v>
      </c>
      <c r="G242" s="1" t="s">
        <v>71</v>
      </c>
      <c r="H242" s="1" t="s">
        <v>81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2" s="2">
        <f>Games[[#This Row],[DaysOff]]-Games[[#This Row],[OppDaysOff]]</f>
        <v>-1</v>
      </c>
      <c r="L242" s="2">
        <f>Games[[#This Row],[OppDaysOff]]-Games[[#This Row],[DaysOff]]</f>
        <v>1</v>
      </c>
      <c r="M242" s="1">
        <f>MAX(-16, MIN(16, Games[[#This Row],[RestDiff]]*8))</f>
        <v>-8</v>
      </c>
      <c r="N242" s="1">
        <f>MAX(-16, MIN(16, Games[[#This Row],[OppRestDiff]]*8))</f>
        <v>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1456.2641576644301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1556.7956165864548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0.23969509417749371</v>
      </c>
      <c r="R242" s="1">
        <v>88</v>
      </c>
      <c r="S242" s="1">
        <v>84</v>
      </c>
      <c r="T242" s="1">
        <v>0</v>
      </c>
      <c r="U242" s="1">
        <f>Games[[#This Row],[PointsFor]]-Games[[#This Row],[PointsAgainst]]</f>
        <v>4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0.28735889418193772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2" s="9">
        <f>MAX(kmin, kmax - 0.15 * MIN(Games[[#This Row],[GamesPlayed]], 82))</f>
        <v>73.150000000000006</v>
      </c>
      <c r="Z242" s="4">
        <f>Games[[#This Row],[K]]*Games[[#This Row],[POMult]]</f>
        <v>73.150000000000006</v>
      </c>
      <c r="AA242" s="4">
        <f>(Games[[#This Row],[Keff]]*Games[[#This Row],[MOVMult]])*(Games[[#This Row],[Result]]-Games[[#This Row],[ExpectedWin%]])</f>
        <v>15.981839575959555</v>
      </c>
      <c r="AB242" s="4">
        <f>Games[[#This Row],[PreGmRate]]+Games[[#This Row],[RatingChange]]</f>
        <v>1472.2459972403897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45478</v>
      </c>
      <c r="B243" s="2">
        <v>2024</v>
      </c>
      <c r="C243" s="2">
        <f>COUNTIFS(Games[Team],Games[[#This Row],[Team]],Games[Season],Games[[#This Row],[Season]],Games[Date],"&lt;=" &amp; Games[[#This Row],[Date]])</f>
        <v>20</v>
      </c>
      <c r="D243" s="2" t="s">
        <v>79</v>
      </c>
      <c r="E243" s="2" t="s">
        <v>80</v>
      </c>
      <c r="F243" s="1" t="s">
        <v>71</v>
      </c>
      <c r="G243" s="1" t="s">
        <v>75</v>
      </c>
      <c r="H243" s="1" t="s">
        <v>82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3" s="2">
        <f>Games[[#This Row],[DaysOff]]-Games[[#This Row],[OppDaysOff]]</f>
        <v>1</v>
      </c>
      <c r="L243" s="2">
        <f>Games[[#This Row],[OppDaysOff]]-Games[[#This Row],[DaysOff]]</f>
        <v>-1</v>
      </c>
      <c r="M243" s="1">
        <f>MAX(-16, MIN(16, Games[[#This Row],[RestDiff]]*8))</f>
        <v>8</v>
      </c>
      <c r="N243" s="1">
        <f>MAX(-16, MIN(16, Games[[#This Row],[OppRestDiff]]*8))</f>
        <v>-8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1556.7956165864548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1456.2641576644301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0.76030490582250632</v>
      </c>
      <c r="R243" s="1">
        <v>84</v>
      </c>
      <c r="S243" s="1">
        <v>88</v>
      </c>
      <c r="T243" s="1">
        <v>0</v>
      </c>
      <c r="U243" s="1">
        <f>Games[[#This Row],[PointsFor]]-Games[[#This Row],[PointsAgainst]]</f>
        <v>-4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0.28735889418193772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3" s="9">
        <f>MAX(kmin, kmax - 0.15 * MIN(Games[[#This Row],[GamesPlayed]], 82))</f>
        <v>73</v>
      </c>
      <c r="Z243" s="4">
        <f>Games[[#This Row],[K]]*Games[[#This Row],[POMult]]</f>
        <v>73</v>
      </c>
      <c r="AA243" s="4">
        <f>(Games[[#This Row],[Keff]]*Games[[#This Row],[MOVMult]])*(Games[[#This Row],[Result]]-Games[[#This Row],[ExpectedWin%]])</f>
        <v>-15.949067519412813</v>
      </c>
      <c r="AB243" s="4">
        <f>Games[[#This Row],[PreGmRate]]+Games[[#This Row],[RatingChange]]</f>
        <v>1540.8465490670419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45479</v>
      </c>
      <c r="B244" s="2">
        <v>2024</v>
      </c>
      <c r="C244" s="2">
        <f>COUNTIFS(Games[Team],Games[[#This Row],[Team]],Games[Season],Games[[#This Row],[Season]],Games[Date],"&lt;=" &amp; Games[[#This Row],[Date]])</f>
        <v>22</v>
      </c>
      <c r="D244" s="2" t="s">
        <v>79</v>
      </c>
      <c r="E244" s="2" t="s">
        <v>80</v>
      </c>
      <c r="F244" s="1" t="s">
        <v>60</v>
      </c>
      <c r="G244" s="1" t="s">
        <v>69</v>
      </c>
      <c r="H244" s="1" t="s">
        <v>81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1676.703017425993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1429.7215461341864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0.71873526859884274</v>
      </c>
      <c r="R244" s="1">
        <v>78</v>
      </c>
      <c r="S244" s="1">
        <v>83</v>
      </c>
      <c r="T244" s="1">
        <v>0</v>
      </c>
      <c r="U244" s="1">
        <f>Games[[#This Row],[PointsFor]]-Games[[#This Row],[PointsAgainst]]</f>
        <v>-5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0.27512941834568427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4" s="9">
        <f>MAX(kmin, kmax - 0.15 * MIN(Games[[#This Row],[GamesPlayed]], 82))</f>
        <v>72.7</v>
      </c>
      <c r="Z244" s="4">
        <f>Games[[#This Row],[K]]*Games[[#This Row],[POMult]]</f>
        <v>72.7</v>
      </c>
      <c r="AA244" s="4">
        <f>(Games[[#This Row],[Keff]]*Games[[#This Row],[MOVMult]])*(Games[[#This Row],[Result]]-Games[[#This Row],[ExpectedWin%]])</f>
        <v>-14.376077231853161</v>
      </c>
      <c r="AB244" s="4">
        <f>Games[[#This Row],[PreGmRate]]+Games[[#This Row],[RatingChange]]</f>
        <v>1662.32694019414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45479</v>
      </c>
      <c r="B245" s="2">
        <v>2024</v>
      </c>
      <c r="C245" s="2">
        <f>COUNTIFS(Games[Team],Games[[#This Row],[Team]],Games[Season],Games[[#This Row],[Season]],Games[Date],"&lt;=" &amp; Games[[#This Row],[Date]])</f>
        <v>22</v>
      </c>
      <c r="D245" s="2" t="s">
        <v>79</v>
      </c>
      <c r="E245" s="2" t="s">
        <v>80</v>
      </c>
      <c r="F245" s="1" t="s">
        <v>69</v>
      </c>
      <c r="G245" s="1" t="s">
        <v>60</v>
      </c>
      <c r="H245" s="1" t="s">
        <v>82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1429.7215461341864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1676.703017425993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0.28126473140115732</v>
      </c>
      <c r="R245" s="1">
        <v>83</v>
      </c>
      <c r="S245" s="1">
        <v>78</v>
      </c>
      <c r="T245" s="1">
        <v>0</v>
      </c>
      <c r="U245" s="1">
        <f>Games[[#This Row],[PointsFor]]-Games[[#This Row],[PointsAgainst]]</f>
        <v>5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0.27512941834568427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5" s="9">
        <f>MAX(kmin, kmax - 0.15 * MIN(Games[[#This Row],[GamesPlayed]], 82))</f>
        <v>72.7</v>
      </c>
      <c r="Z245" s="4">
        <f>Games[[#This Row],[K]]*Games[[#This Row],[POMult]]</f>
        <v>72.7</v>
      </c>
      <c r="AA245" s="4">
        <f>(Games[[#This Row],[Keff]]*Games[[#This Row],[MOVMult]])*(Games[[#This Row],[Result]]-Games[[#This Row],[ExpectedWin%]])</f>
        <v>14.376077231853159</v>
      </c>
      <c r="AB245" s="4">
        <f>Games[[#This Row],[PreGmRate]]+Games[[#This Row],[RatingChange]]</f>
        <v>1444.0976233660394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45479</v>
      </c>
      <c r="B246" s="2">
        <v>2024</v>
      </c>
      <c r="C246" s="2">
        <f>COUNTIFS(Games[Team],Games[[#This Row],[Team]],Games[Season],Games[[#This Row],[Season]],Games[Date],"&lt;=" &amp; Games[[#This Row],[Date]])</f>
        <v>22</v>
      </c>
      <c r="D246" s="2" t="s">
        <v>79</v>
      </c>
      <c r="E246" s="2" t="s">
        <v>80</v>
      </c>
      <c r="F246" s="1" t="s">
        <v>65</v>
      </c>
      <c r="G246" s="1" t="s">
        <v>67</v>
      </c>
      <c r="H246" s="1" t="s">
        <v>81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1410.7838216033065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1601.8285743808528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0.17033076740832559</v>
      </c>
      <c r="R246" s="1">
        <v>67</v>
      </c>
      <c r="S246" s="1">
        <v>74</v>
      </c>
      <c r="T246" s="1">
        <v>0</v>
      </c>
      <c r="U246" s="1">
        <f>Games[[#This Row],[PointsFor]]-Games[[#This Row],[PointsAgainst]]</f>
        <v>-7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0.31927700823268074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6" s="9">
        <f>MAX(kmin, kmax - 0.15 * MIN(Games[[#This Row],[GamesPlayed]], 82))</f>
        <v>72.7</v>
      </c>
      <c r="Z246" s="4">
        <f>Games[[#This Row],[K]]*Games[[#This Row],[POMult]]</f>
        <v>72.7</v>
      </c>
      <c r="AA246" s="4">
        <f>(Games[[#This Row],[Keff]]*Games[[#This Row],[MOVMult]])*(Games[[#This Row],[Result]]-Games[[#This Row],[ExpectedWin%]])</f>
        <v>-3.953622132103364</v>
      </c>
      <c r="AB246" s="4">
        <f>Games[[#This Row],[PreGmRate]]+Games[[#This Row],[RatingChange]]</f>
        <v>1406.8301994712031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45479</v>
      </c>
      <c r="B247" s="2">
        <v>2024</v>
      </c>
      <c r="C247" s="2">
        <f>COUNTIFS(Games[Team],Games[[#This Row],[Team]],Games[Season],Games[[#This Row],[Season]],Games[Date],"&lt;=" &amp; Games[[#This Row],[Date]])</f>
        <v>22</v>
      </c>
      <c r="D247" s="2" t="s">
        <v>79</v>
      </c>
      <c r="E247" s="2" t="s">
        <v>80</v>
      </c>
      <c r="F247" s="1" t="s">
        <v>67</v>
      </c>
      <c r="G247" s="1" t="s">
        <v>65</v>
      </c>
      <c r="H247" s="1" t="s">
        <v>82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1601.8285743808528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1410.7838216033065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0.82966923259167447</v>
      </c>
      <c r="R247" s="1">
        <v>74</v>
      </c>
      <c r="S247" s="1">
        <v>67</v>
      </c>
      <c r="T247" s="1">
        <v>0</v>
      </c>
      <c r="U247" s="1">
        <f>Games[[#This Row],[PointsFor]]-Games[[#This Row],[PointsAgainst]]</f>
        <v>7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0.31927700823268074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7" s="9">
        <f>MAX(kmin, kmax - 0.15 * MIN(Games[[#This Row],[GamesPlayed]], 82))</f>
        <v>72.7</v>
      </c>
      <c r="Z247" s="4">
        <f>Games[[#This Row],[K]]*Games[[#This Row],[POMult]]</f>
        <v>72.7</v>
      </c>
      <c r="AA247" s="4">
        <f>(Games[[#This Row],[Keff]]*Games[[#This Row],[MOVMult]])*(Games[[#This Row],[Result]]-Games[[#This Row],[ExpectedWin%]])</f>
        <v>3.9536221321033627</v>
      </c>
      <c r="AB247" s="4">
        <f>Games[[#This Row],[PreGmRate]]+Games[[#This Row],[RatingChange]]</f>
        <v>1605.7821965129563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45480</v>
      </c>
      <c r="B248" s="2">
        <v>2024</v>
      </c>
      <c r="C248" s="2">
        <f>COUNTIFS(Games[Team],Games[[#This Row],[Team]],Games[Season],Games[[#This Row],[Season]],Games[Date],"&lt;=" &amp; Games[[#This Row],[Date]])</f>
        <v>20</v>
      </c>
      <c r="D248" s="2" t="s">
        <v>79</v>
      </c>
      <c r="E248" s="2" t="s">
        <v>80</v>
      </c>
      <c r="F248" s="1" t="s">
        <v>77</v>
      </c>
      <c r="G248" s="1" t="s">
        <v>74</v>
      </c>
      <c r="H248" s="1" t="s">
        <v>81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8" s="2">
        <f>Games[[#This Row],[DaysOff]]-Games[[#This Row],[OppDaysOff]]</f>
        <v>-1</v>
      </c>
      <c r="L248" s="2">
        <f>Games[[#This Row],[OppDaysOff]]-Games[[#This Row],[DaysOff]]</f>
        <v>1</v>
      </c>
      <c r="M248" s="1">
        <f>MAX(-16, MIN(16, Games[[#This Row],[RestDiff]]*8))</f>
        <v>-8</v>
      </c>
      <c r="N248" s="1">
        <f>MAX(-16, MIN(16, Games[[#This Row],[OppRestDiff]]*8))</f>
        <v>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1398.2853184783403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1629.2240930932264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0.12953947803652779</v>
      </c>
      <c r="R248" s="1">
        <v>67</v>
      </c>
      <c r="S248" s="1">
        <v>80</v>
      </c>
      <c r="T248" s="1">
        <v>0</v>
      </c>
      <c r="U248" s="1">
        <f>Games[[#This Row],[PointsFor]]-Games[[#This Row],[PointsAgainst]]</f>
        <v>-13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0.39586075716579316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8" s="9">
        <f>MAX(kmin, kmax - 0.15 * MIN(Games[[#This Row],[GamesPlayed]], 82))</f>
        <v>73</v>
      </c>
      <c r="Z248" s="4">
        <f>Games[[#This Row],[K]]*Games[[#This Row],[POMult]]</f>
        <v>73</v>
      </c>
      <c r="AA248" s="4">
        <f>(Games[[#This Row],[Keff]]*Games[[#This Row],[MOVMult]])*(Games[[#This Row],[Result]]-Games[[#This Row],[ExpectedWin%]])</f>
        <v>-3.7434104976633118</v>
      </c>
      <c r="AB248" s="4">
        <f>Games[[#This Row],[PreGmRate]]+Games[[#This Row],[RatingChange]]</f>
        <v>1394.541907980677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45480</v>
      </c>
      <c r="B249" s="2">
        <v>2024</v>
      </c>
      <c r="C249" s="2">
        <f>COUNTIFS(Games[Team],Games[[#This Row],[Team]],Games[Season],Games[[#This Row],[Season]],Games[Date],"&lt;=" &amp; Games[[#This Row],[Date]])</f>
        <v>21</v>
      </c>
      <c r="D249" s="2" t="s">
        <v>79</v>
      </c>
      <c r="E249" s="2" t="s">
        <v>80</v>
      </c>
      <c r="F249" s="1" t="s">
        <v>74</v>
      </c>
      <c r="G249" s="1" t="s">
        <v>77</v>
      </c>
      <c r="H249" s="1" t="s">
        <v>82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9" s="2">
        <f>Games[[#This Row],[DaysOff]]-Games[[#This Row],[OppDaysOff]]</f>
        <v>1</v>
      </c>
      <c r="L249" s="2">
        <f>Games[[#This Row],[OppDaysOff]]-Games[[#This Row],[DaysOff]]</f>
        <v>-1</v>
      </c>
      <c r="M249" s="1">
        <f>MAX(-16, MIN(16, Games[[#This Row],[RestDiff]]*8))</f>
        <v>8</v>
      </c>
      <c r="N249" s="1">
        <f>MAX(-16, MIN(16, Games[[#This Row],[OppRestDiff]]*8))</f>
        <v>-8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1629.2240930932264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1398.2853184783403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0.87046052196347223</v>
      </c>
      <c r="R249" s="1">
        <v>80</v>
      </c>
      <c r="S249" s="1">
        <v>67</v>
      </c>
      <c r="T249" s="1">
        <v>0</v>
      </c>
      <c r="U249" s="1">
        <f>Games[[#This Row],[PointsFor]]-Games[[#This Row],[PointsAgainst]]</f>
        <v>13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0.39586075716579316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9" s="9">
        <f>MAX(kmin, kmax - 0.15 * MIN(Games[[#This Row],[GamesPlayed]], 82))</f>
        <v>72.849999999999994</v>
      </c>
      <c r="Z249" s="4">
        <f>Games[[#This Row],[K]]*Games[[#This Row],[POMult]]</f>
        <v>72.849999999999994</v>
      </c>
      <c r="AA249" s="4">
        <f>(Games[[#This Row],[Keff]]*Games[[#This Row],[MOVMult]])*(Games[[#This Row],[Result]]-Games[[#This Row],[ExpectedWin%]])</f>
        <v>3.73571855828455</v>
      </c>
      <c r="AB249" s="4">
        <f>Games[[#This Row],[PreGmRate]]+Games[[#This Row],[RatingChange]]</f>
        <v>1632.959811651511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45480</v>
      </c>
      <c r="B250" s="2">
        <v>2024</v>
      </c>
      <c r="C250" s="2">
        <f>COUNTIFS(Games[Team],Games[[#This Row],[Team]],Games[Season],Games[[#This Row],[Season]],Games[Date],"&lt;=" &amp; Games[[#This Row],[Date]])</f>
        <v>21</v>
      </c>
      <c r="D250" s="2" t="s">
        <v>79</v>
      </c>
      <c r="E250" s="2" t="s">
        <v>80</v>
      </c>
      <c r="F250" s="1" t="s">
        <v>40</v>
      </c>
      <c r="G250" s="1" t="s">
        <v>63</v>
      </c>
      <c r="H250" s="1" t="s">
        <v>81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2</v>
      </c>
      <c r="L250" s="2">
        <f>Games[[#This Row],[OppDaysOff]]-Games[[#This Row],[DaysOff]]</f>
        <v>-2</v>
      </c>
      <c r="M250" s="1">
        <f>MAX(-16, MIN(16, Games[[#This Row],[RestDiff]]*8))</f>
        <v>16</v>
      </c>
      <c r="N250" s="1">
        <f>MAX(-16, MIN(16, Games[[#This Row],[OppRestDiff]]*8))</f>
        <v>-16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1449.7790474687681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1381.7431587998253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0.52306112562052509</v>
      </c>
      <c r="R250" s="1">
        <v>84</v>
      </c>
      <c r="S250" s="1">
        <v>78</v>
      </c>
      <c r="T250" s="1">
        <v>0</v>
      </c>
      <c r="U250" s="1">
        <f>Games[[#This Row],[PointsFor]]-Games[[#This Row],[PointsAgainst]]</f>
        <v>6</v>
      </c>
      <c r="V250" s="1">
        <f>IF(Games[[#This Row],[MOV]]&gt;0,1,IF(Games[[#This Row],[MOV]]=0,0.5,0))</f>
        <v>1</v>
      </c>
      <c r="W250" s="4">
        <f>((ABS(Games[[#This Row],[MOV]])+5)^0.6)/(12+0.01*(ABS(Games[[#This Row],[PreGmRate]]-Games[[#This Row],[OppPreGmRate]])))*IF(Games[[#This Row],[OT]]=1,0.9,1)</f>
        <v>0.33243295168220932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0" s="9">
        <f>MAX(kmin, kmax - 0.15 * MIN(Games[[#This Row],[GamesPlayed]], 82))</f>
        <v>72.849999999999994</v>
      </c>
      <c r="Z250" s="4">
        <f>Games[[#This Row],[K]]*Games[[#This Row],[POMult]]</f>
        <v>72.849999999999994</v>
      </c>
      <c r="AA250" s="4">
        <f>(Games[[#This Row],[Keff]]*Games[[#This Row],[MOVMult]])*(Games[[#This Row],[Result]]-Games[[#This Row],[ExpectedWin%]])</f>
        <v>11.550381908415732</v>
      </c>
      <c r="AB250" s="4">
        <f>Games[[#This Row],[PreGmRate]]+Games[[#This Row],[RatingChange]]</f>
        <v>1461.3294293771839</v>
      </c>
      <c r="AC250" s="2">
        <f>IF(Games[[#This Row],[Type]]="R",IF(Games[[#This Row],[Result]]&gt;0.5,1,0),0)</f>
        <v>1</v>
      </c>
      <c r="AD250" s="2">
        <f>IF(Games[[#This Row],[Type]]="R",IF(Games[[#This Row],[Result]]&lt;0.5,1,0),0)</f>
        <v>0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45480</v>
      </c>
      <c r="B251" s="2">
        <v>2024</v>
      </c>
      <c r="C251" s="2">
        <f>COUNTIFS(Games[Team],Games[[#This Row],[Team]],Games[Season],Games[[#This Row],[Season]],Games[Date],"&lt;=" &amp; Games[[#This Row],[Date]])</f>
        <v>21</v>
      </c>
      <c r="D251" s="2" t="s">
        <v>79</v>
      </c>
      <c r="E251" s="2" t="s">
        <v>80</v>
      </c>
      <c r="F251" s="1" t="s">
        <v>63</v>
      </c>
      <c r="G251" s="1" t="s">
        <v>40</v>
      </c>
      <c r="H251" s="1" t="s">
        <v>82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1" s="2">
        <f>Games[[#This Row],[DaysOff]]-Games[[#This Row],[OppDaysOff]]</f>
        <v>-2</v>
      </c>
      <c r="L251" s="2">
        <f>Games[[#This Row],[OppDaysOff]]-Games[[#This Row],[DaysOff]]</f>
        <v>2</v>
      </c>
      <c r="M251" s="1">
        <f>MAX(-16, MIN(16, Games[[#This Row],[RestDiff]]*8))</f>
        <v>-16</v>
      </c>
      <c r="N251" s="1">
        <f>MAX(-16, MIN(16, Games[[#This Row],[OppRestDiff]]*8))</f>
        <v>16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1381.7431587998253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1449.7790474687681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0.47693887437947491</v>
      </c>
      <c r="R251" s="1">
        <v>78</v>
      </c>
      <c r="S251" s="1">
        <v>84</v>
      </c>
      <c r="T251" s="1">
        <v>0</v>
      </c>
      <c r="U251" s="1">
        <f>Games[[#This Row],[PointsFor]]-Games[[#This Row],[PointsAgainst]]</f>
        <v>-6</v>
      </c>
      <c r="V251" s="1">
        <f>IF(Games[[#This Row],[MOV]]&gt;0,1,IF(Games[[#This Row],[MOV]]=0,0.5,0))</f>
        <v>0</v>
      </c>
      <c r="W251" s="4">
        <f>((ABS(Games[[#This Row],[MOV]])+5)^0.6)/(12+0.01*(ABS(Games[[#This Row],[PreGmRate]]-Games[[#This Row],[OppPreGmRate]])))*IF(Games[[#This Row],[OT]]=1,0.9,1)</f>
        <v>0.33243295168220932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1" s="9">
        <f>MAX(kmin, kmax - 0.15 * MIN(Games[[#This Row],[GamesPlayed]], 82))</f>
        <v>72.849999999999994</v>
      </c>
      <c r="Z251" s="4">
        <f>Games[[#This Row],[K]]*Games[[#This Row],[POMult]]</f>
        <v>72.849999999999994</v>
      </c>
      <c r="AA251" s="4">
        <f>(Games[[#This Row],[Keff]]*Games[[#This Row],[MOVMult]])*(Games[[#This Row],[Result]]-Games[[#This Row],[ExpectedWin%]])</f>
        <v>-11.550381908415732</v>
      </c>
      <c r="AB251" s="4">
        <f>Games[[#This Row],[PreGmRate]]+Games[[#This Row],[RatingChange]]</f>
        <v>1370.1927768914095</v>
      </c>
      <c r="AC251" s="2">
        <f>IF(Games[[#This Row],[Type]]="R",IF(Games[[#This Row],[Result]]&gt;0.5,1,0),0)</f>
        <v>0</v>
      </c>
      <c r="AD251" s="2">
        <f>IF(Games[[#This Row],[Type]]="R",IF(Games[[#This Row],[Result]]&lt;0.5,1,0),0)</f>
        <v>1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45480</v>
      </c>
      <c r="B252" s="2">
        <v>2024</v>
      </c>
      <c r="C252" s="2">
        <f>COUNTIFS(Games[Team],Games[[#This Row],[Team]],Games[Season],Games[[#This Row],[Season]],Games[Date],"&lt;=" &amp; Games[[#This Row],[Date]])</f>
        <v>22</v>
      </c>
      <c r="D252" s="2" t="s">
        <v>79</v>
      </c>
      <c r="E252" s="2" t="s">
        <v>80</v>
      </c>
      <c r="F252" s="1" t="s">
        <v>85</v>
      </c>
      <c r="G252" s="1" t="s">
        <v>86</v>
      </c>
      <c r="H252" s="1" t="s">
        <v>81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1385.6942519955956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1622.6392285351083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0.13616577585759335</v>
      </c>
      <c r="R252" s="1">
        <v>85</v>
      </c>
      <c r="S252" s="1">
        <v>104</v>
      </c>
      <c r="T252" s="1">
        <v>0</v>
      </c>
      <c r="U252" s="1">
        <f>Games[[#This Row],[PointsFor]]-Games[[#This Row],[PointsAgainst]]</f>
        <v>-19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0.46847520138792798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2" s="9">
        <f>MAX(kmin, kmax - 0.15 * MIN(Games[[#This Row],[GamesPlayed]], 82))</f>
        <v>72.7</v>
      </c>
      <c r="Z252" s="4">
        <f>Games[[#This Row],[K]]*Games[[#This Row],[POMult]]</f>
        <v>72.7</v>
      </c>
      <c r="AA252" s="4">
        <f>(Games[[#This Row],[Keff]]*Games[[#This Row],[MOVMult]])*(Games[[#This Row],[Result]]-Games[[#This Row],[ExpectedWin%]])</f>
        <v>-4.6375540297130451</v>
      </c>
      <c r="AB252" s="4">
        <f>Games[[#This Row],[PreGmRate]]+Games[[#This Row],[RatingChange]]</f>
        <v>1381.0566979658824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45480</v>
      </c>
      <c r="B253" s="2">
        <v>2024</v>
      </c>
      <c r="C253" s="2">
        <f>COUNTIFS(Games[Team],Games[[#This Row],[Team]],Games[Season],Games[[#This Row],[Season]],Games[Date],"&lt;=" &amp; Games[[#This Row],[Date]])</f>
        <v>20</v>
      </c>
      <c r="D253" s="2" t="s">
        <v>79</v>
      </c>
      <c r="E253" s="2" t="s">
        <v>80</v>
      </c>
      <c r="F253" s="1" t="s">
        <v>86</v>
      </c>
      <c r="G253" s="1" t="s">
        <v>85</v>
      </c>
      <c r="H253" s="1" t="s">
        <v>82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1622.6392285351083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1385.6942519955956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0.86383422414240663</v>
      </c>
      <c r="R253" s="1">
        <v>104</v>
      </c>
      <c r="S253" s="1">
        <v>85</v>
      </c>
      <c r="T253" s="1">
        <v>0</v>
      </c>
      <c r="U253" s="1">
        <f>Games[[#This Row],[PointsFor]]-Games[[#This Row],[PointsAgainst]]</f>
        <v>19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0.46847520138792798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3" s="9">
        <f>MAX(kmin, kmax - 0.15 * MIN(Games[[#This Row],[GamesPlayed]], 82))</f>
        <v>73</v>
      </c>
      <c r="Z253" s="4">
        <f>Games[[#This Row],[K]]*Games[[#This Row],[POMult]]</f>
        <v>73</v>
      </c>
      <c r="AA253" s="4">
        <f>(Games[[#This Row],[Keff]]*Games[[#This Row],[MOVMult]])*(Games[[#This Row],[Result]]-Games[[#This Row],[ExpectedWin%]])</f>
        <v>4.656691116493155</v>
      </c>
      <c r="AB253" s="4">
        <f>Games[[#This Row],[PreGmRate]]+Games[[#This Row],[RatingChange]]</f>
        <v>1627.2959196516015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45480</v>
      </c>
      <c r="B254" s="2">
        <v>2024</v>
      </c>
      <c r="C254" s="2">
        <f>COUNTIFS(Games[Team],Games[[#This Row],[Team]],Games[Season],Games[[#This Row],[Season]],Games[Date],"&lt;=" &amp; Games[[#This Row],[Date]])</f>
        <v>20</v>
      </c>
      <c r="D254" s="2" t="s">
        <v>79</v>
      </c>
      <c r="E254" s="2" t="s">
        <v>80</v>
      </c>
      <c r="F254" s="1" t="s">
        <v>75</v>
      </c>
      <c r="G254" s="1" t="s">
        <v>71</v>
      </c>
      <c r="H254" s="1" t="s">
        <v>81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1472.2459972403897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1540.8465490670419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0.29350128008522969</v>
      </c>
      <c r="R254" s="1">
        <v>71</v>
      </c>
      <c r="S254" s="1">
        <v>84</v>
      </c>
      <c r="T254" s="1">
        <v>0</v>
      </c>
      <c r="U254" s="1">
        <f>Games[[#This Row],[PointsFor]]-Games[[#This Row],[PointsAgainst]]</f>
        <v>-13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0.44651762602602424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4" s="9">
        <f>MAX(kmin, kmax - 0.15 * MIN(Games[[#This Row],[GamesPlayed]], 82))</f>
        <v>73</v>
      </c>
      <c r="Z254" s="4">
        <f>Games[[#This Row],[K]]*Games[[#This Row],[POMult]]</f>
        <v>73</v>
      </c>
      <c r="AA254" s="4">
        <f>(Games[[#This Row],[Keff]]*Games[[#This Row],[MOVMult]])*(Games[[#This Row],[Result]]-Games[[#This Row],[ExpectedWin%]])</f>
        <v>-9.5669051218056875</v>
      </c>
      <c r="AB254" s="4">
        <f>Games[[#This Row],[PreGmRate]]+Games[[#This Row],[RatingChange]]</f>
        <v>1462.6790921185841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45480</v>
      </c>
      <c r="B255" s="2">
        <v>2024</v>
      </c>
      <c r="C255" s="2">
        <f>COUNTIFS(Games[Team],Games[[#This Row],[Team]],Games[Season],Games[[#This Row],[Season]],Games[Date],"&lt;=" &amp; Games[[#This Row],[Date]])</f>
        <v>21</v>
      </c>
      <c r="D255" s="2" t="s">
        <v>79</v>
      </c>
      <c r="E255" s="2" t="s">
        <v>80</v>
      </c>
      <c r="F255" s="1" t="s">
        <v>71</v>
      </c>
      <c r="G255" s="1" t="s">
        <v>75</v>
      </c>
      <c r="H255" s="1" t="s">
        <v>82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1540.8465490670419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1472.2459972403897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0.70649871991477031</v>
      </c>
      <c r="R255" s="1">
        <v>84</v>
      </c>
      <c r="S255" s="1">
        <v>71</v>
      </c>
      <c r="T255" s="1">
        <v>0</v>
      </c>
      <c r="U255" s="1">
        <f>Games[[#This Row],[PointsFor]]-Games[[#This Row],[PointsAgainst]]</f>
        <v>13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0.44651762602602424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5" s="9">
        <f>MAX(kmin, kmax - 0.15 * MIN(Games[[#This Row],[GamesPlayed]], 82))</f>
        <v>72.849999999999994</v>
      </c>
      <c r="Z255" s="4">
        <f>Games[[#This Row],[K]]*Games[[#This Row],[POMult]]</f>
        <v>72.849999999999994</v>
      </c>
      <c r="AA255" s="4">
        <f>(Games[[#This Row],[Keff]]*Games[[#This Row],[MOVMult]])*(Games[[#This Row],[Result]]-Games[[#This Row],[ExpectedWin%]])</f>
        <v>9.5472470975827974</v>
      </c>
      <c r="AB255" s="4">
        <f>Games[[#This Row],[PreGmRate]]+Games[[#This Row],[RatingChange]]</f>
        <v>1550.3937961646247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45482</v>
      </c>
      <c r="B256" s="2">
        <v>2024</v>
      </c>
      <c r="C256" s="2">
        <f>COUNTIFS(Games[Team],Games[[#This Row],[Team]],Games[Season],Games[[#This Row],[Season]],Games[Date],"&lt;=" &amp; Games[[#This Row],[Date]])</f>
        <v>23</v>
      </c>
      <c r="D256" s="2" t="s">
        <v>79</v>
      </c>
      <c r="E256" s="2" t="s">
        <v>80</v>
      </c>
      <c r="F256" s="1" t="s">
        <v>67</v>
      </c>
      <c r="G256" s="1" t="s">
        <v>63</v>
      </c>
      <c r="H256" s="1" t="s">
        <v>81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1</v>
      </c>
      <c r="L256" s="2">
        <f>Games[[#This Row],[OppDaysOff]]-Games[[#This Row],[DaysOff]]</f>
        <v>-1</v>
      </c>
      <c r="M256" s="1">
        <f>MAX(-16, MIN(16, Games[[#This Row],[RestDiff]]*8))</f>
        <v>8</v>
      </c>
      <c r="N256" s="1">
        <f>MAX(-16, MIN(16, Games[[#This Row],[OppRestDiff]]*8))</f>
        <v>-8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1605.7821965129563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1370.1927768914095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0.7240662810396441</v>
      </c>
      <c r="R256" s="1">
        <v>82</v>
      </c>
      <c r="S256" s="1">
        <v>67</v>
      </c>
      <c r="T256" s="1">
        <v>0</v>
      </c>
      <c r="U256" s="1">
        <f>Games[[#This Row],[PointsFor]]-Games[[#This Row],[PointsAgainst]]</f>
        <v>15</v>
      </c>
      <c r="V256" s="1">
        <f>IF(Games[[#This Row],[MOV]]&gt;0,1,IF(Games[[#This Row],[MOV]]=0,0.5,0))</f>
        <v>1</v>
      </c>
      <c r="W256" s="4">
        <f>((ABS(Games[[#This Row],[MOV]])+5)^0.6)/(12+0.01*(ABS(Games[[#This Row],[PreGmRate]]-Games[[#This Row],[OppPreGmRate]])))*IF(Games[[#This Row],[OT]]=1,0.9,1)</f>
        <v>0.42032744558231033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6" s="9">
        <f>MAX(kmin, kmax - 0.15 * MIN(Games[[#This Row],[GamesPlayed]], 82))</f>
        <v>72.55</v>
      </c>
      <c r="Z256" s="4">
        <f>Games[[#This Row],[K]]*Games[[#This Row],[POMult]]</f>
        <v>72.55</v>
      </c>
      <c r="AA256" s="4">
        <f>(Games[[#This Row],[Keff]]*Games[[#This Row],[MOVMult]])*(Games[[#This Row],[Result]]-Games[[#This Row],[ExpectedWin%]])</f>
        <v>8.4145314807079608</v>
      </c>
      <c r="AB256" s="4">
        <f>Games[[#This Row],[PreGmRate]]+Games[[#This Row],[RatingChange]]</f>
        <v>1614.1967279936641</v>
      </c>
      <c r="AC256" s="2">
        <f>IF(Games[[#This Row],[Type]]="R",IF(Games[[#This Row],[Result]]&gt;0.5,1,0),0)</f>
        <v>1</v>
      </c>
      <c r="AD256" s="2">
        <f>IF(Games[[#This Row],[Type]]="R",IF(Games[[#This Row],[Result]]&lt;0.5,1,0),0)</f>
        <v>0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45482</v>
      </c>
      <c r="B257" s="2">
        <v>2024</v>
      </c>
      <c r="C257" s="2">
        <f>COUNTIFS(Games[Team],Games[[#This Row],[Team]],Games[Season],Games[[#This Row],[Season]],Games[Date],"&lt;=" &amp; Games[[#This Row],[Date]])</f>
        <v>22</v>
      </c>
      <c r="D257" s="2" t="s">
        <v>79</v>
      </c>
      <c r="E257" s="2" t="s">
        <v>80</v>
      </c>
      <c r="F257" s="1" t="s">
        <v>63</v>
      </c>
      <c r="G257" s="1" t="s">
        <v>67</v>
      </c>
      <c r="H257" s="1" t="s">
        <v>82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7" s="2">
        <f>Games[[#This Row],[DaysOff]]-Games[[#This Row],[OppDaysOff]]</f>
        <v>-1</v>
      </c>
      <c r="L257" s="2">
        <f>Games[[#This Row],[OppDaysOff]]-Games[[#This Row],[DaysOff]]</f>
        <v>1</v>
      </c>
      <c r="M257" s="1">
        <f>MAX(-16, MIN(16, Games[[#This Row],[RestDiff]]*8))</f>
        <v>-8</v>
      </c>
      <c r="N257" s="1">
        <f>MAX(-16, MIN(16, Games[[#This Row],[OppRestDiff]]*8))</f>
        <v>8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1370.1927768914095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1605.7821965129563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0.27593371896035596</v>
      </c>
      <c r="R257" s="1">
        <v>67</v>
      </c>
      <c r="S257" s="1">
        <v>82</v>
      </c>
      <c r="T257" s="1">
        <v>0</v>
      </c>
      <c r="U257" s="1">
        <f>Games[[#This Row],[PointsFor]]-Games[[#This Row],[PointsAgainst]]</f>
        <v>-15</v>
      </c>
      <c r="V257" s="1">
        <f>IF(Games[[#This Row],[MOV]]&gt;0,1,IF(Games[[#This Row],[MOV]]=0,0.5,0))</f>
        <v>0</v>
      </c>
      <c r="W257" s="4">
        <f>((ABS(Games[[#This Row],[MOV]])+5)^0.6)/(12+0.01*(ABS(Games[[#This Row],[PreGmRate]]-Games[[#This Row],[OppPreGmRate]])))*IF(Games[[#This Row],[OT]]=1,0.9,1)</f>
        <v>0.42032744558231033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7" s="9">
        <f>MAX(kmin, kmax - 0.15 * MIN(Games[[#This Row],[GamesPlayed]], 82))</f>
        <v>72.7</v>
      </c>
      <c r="Z257" s="4">
        <f>Games[[#This Row],[K]]*Games[[#This Row],[POMult]]</f>
        <v>72.7</v>
      </c>
      <c r="AA257" s="4">
        <f>(Games[[#This Row],[Keff]]*Games[[#This Row],[MOVMult]])*(Games[[#This Row],[Result]]-Games[[#This Row],[ExpectedWin%]])</f>
        <v>-8.4319288579940572</v>
      </c>
      <c r="AB257" s="4">
        <f>Games[[#This Row],[PreGmRate]]+Games[[#This Row],[RatingChange]]</f>
        <v>1361.7608480334154</v>
      </c>
      <c r="AC257" s="2">
        <f>IF(Games[[#This Row],[Type]]="R",IF(Games[[#This Row],[Result]]&gt;0.5,1,0),0)</f>
        <v>0</v>
      </c>
      <c r="AD257" s="2">
        <f>IF(Games[[#This Row],[Type]]="R",IF(Games[[#This Row],[Result]]&lt;0.5,1,0),0)</f>
        <v>1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45483</v>
      </c>
      <c r="B258" s="2">
        <v>2024</v>
      </c>
      <c r="C258" s="2">
        <f>COUNTIFS(Games[Team],Games[[#This Row],[Team]],Games[Season],Games[[#This Row],[Season]],Games[Date],"&lt;=" &amp; Games[[#This Row],[Date]])</f>
        <v>21</v>
      </c>
      <c r="D258" s="2" t="s">
        <v>79</v>
      </c>
      <c r="E258" s="2" t="s">
        <v>80</v>
      </c>
      <c r="F258" s="1" t="s">
        <v>77</v>
      </c>
      <c r="G258" s="1" t="s">
        <v>75</v>
      </c>
      <c r="H258" s="1" t="s">
        <v>81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1394.541907980677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1462.6790921185841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0.29405468351109193</v>
      </c>
      <c r="R258" s="1">
        <v>69</v>
      </c>
      <c r="S258" s="1">
        <v>78</v>
      </c>
      <c r="T258" s="1">
        <v>0</v>
      </c>
      <c r="U258" s="1">
        <f>Games[[#This Row],[PointsFor]]-Games[[#This Row],[PointsAgainst]]</f>
        <v>-9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0.38415862153578584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8" s="9">
        <f>MAX(kmin, kmax - 0.15 * MIN(Games[[#This Row],[GamesPlayed]], 82))</f>
        <v>72.849999999999994</v>
      </c>
      <c r="Z258" s="4">
        <f>Games[[#This Row],[K]]*Games[[#This Row],[POMult]]</f>
        <v>72.849999999999994</v>
      </c>
      <c r="AA258" s="4">
        <f>(Games[[#This Row],[Keff]]*Games[[#This Row],[MOVMult]])*(Games[[#This Row],[Result]]-Games[[#This Row],[ExpectedWin%]])</f>
        <v>-8.2294013105036221</v>
      </c>
      <c r="AB258" s="4">
        <f>Games[[#This Row],[PreGmRate]]+Games[[#This Row],[RatingChange]]</f>
        <v>1386.3125066701734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45483</v>
      </c>
      <c r="B259" s="2">
        <v>2024</v>
      </c>
      <c r="C259" s="2">
        <f>COUNTIFS(Games[Team],Games[[#This Row],[Team]],Games[Season],Games[[#This Row],[Season]],Games[Date],"&lt;=" &amp; Games[[#This Row],[Date]])</f>
        <v>21</v>
      </c>
      <c r="D259" s="2" t="s">
        <v>79</v>
      </c>
      <c r="E259" s="2" t="s">
        <v>80</v>
      </c>
      <c r="F259" s="1" t="s">
        <v>75</v>
      </c>
      <c r="G259" s="1" t="s">
        <v>77</v>
      </c>
      <c r="H259" s="1" t="s">
        <v>82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1462.6790921185841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1394.541907980677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0.70594531648890813</v>
      </c>
      <c r="R259" s="1">
        <v>78</v>
      </c>
      <c r="S259" s="1">
        <v>69</v>
      </c>
      <c r="T259" s="1">
        <v>0</v>
      </c>
      <c r="U259" s="1">
        <f>Games[[#This Row],[PointsFor]]-Games[[#This Row],[PointsAgainst]]</f>
        <v>9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0.38415862153578584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9" s="9">
        <f>MAX(kmin, kmax - 0.15 * MIN(Games[[#This Row],[GamesPlayed]], 82))</f>
        <v>72.849999999999994</v>
      </c>
      <c r="Z259" s="4">
        <f>Games[[#This Row],[K]]*Games[[#This Row],[POMult]]</f>
        <v>72.849999999999994</v>
      </c>
      <c r="AA259" s="4">
        <f>(Games[[#This Row],[Keff]]*Games[[#This Row],[MOVMult]])*(Games[[#This Row],[Result]]-Games[[#This Row],[ExpectedWin%]])</f>
        <v>8.2294013105036203</v>
      </c>
      <c r="AB259" s="4">
        <f>Games[[#This Row],[PreGmRate]]+Games[[#This Row],[RatingChange]]</f>
        <v>1470.9084934290877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45483</v>
      </c>
      <c r="B260" s="2">
        <v>2024</v>
      </c>
      <c r="C260" s="2">
        <f>COUNTIFS(Games[Team],Games[[#This Row],[Team]],Games[Season],Games[[#This Row],[Season]],Games[Date],"&lt;=" &amp; Games[[#This Row],[Date]])</f>
        <v>23</v>
      </c>
      <c r="D260" s="2" t="s">
        <v>79</v>
      </c>
      <c r="E260" s="2" t="s">
        <v>80</v>
      </c>
      <c r="F260" s="1" t="s">
        <v>60</v>
      </c>
      <c r="G260" s="1" t="s">
        <v>74</v>
      </c>
      <c r="H260" s="1" t="s">
        <v>81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0" s="2">
        <f>Games[[#This Row],[DaysOff]]-Games[[#This Row],[OppDaysOff]]</f>
        <v>1</v>
      </c>
      <c r="L260" s="2">
        <f>Games[[#This Row],[OppDaysOff]]-Games[[#This Row],[DaysOff]]</f>
        <v>-1</v>
      </c>
      <c r="M260" s="1">
        <f>MAX(-16, MIN(16, Games[[#This Row],[RestDiff]]*8))</f>
        <v>8</v>
      </c>
      <c r="N260" s="1">
        <f>MAX(-16, MIN(16, Games[[#This Row],[OppRestDiff]]*8))</f>
        <v>-8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1662.32694019414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1632.959811651511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0.44463083904772943</v>
      </c>
      <c r="R260" s="1">
        <v>71</v>
      </c>
      <c r="S260" s="1">
        <v>68</v>
      </c>
      <c r="T260" s="1">
        <v>0</v>
      </c>
      <c r="U260" s="1">
        <f>Games[[#This Row],[PointsFor]]-Games[[#This Row],[PointsAgainst]]</f>
        <v>3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0.28325161559448259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0" s="9">
        <f>MAX(kmin, kmax - 0.15 * MIN(Games[[#This Row],[GamesPlayed]], 82))</f>
        <v>72.55</v>
      </c>
      <c r="Z260" s="4">
        <f>Games[[#This Row],[K]]*Games[[#This Row],[POMult]]</f>
        <v>72.55</v>
      </c>
      <c r="AA260" s="4">
        <f>(Games[[#This Row],[Keff]]*Games[[#This Row],[MOVMult]])*(Games[[#This Row],[Result]]-Games[[#This Row],[ExpectedWin%]])</f>
        <v>11.412783337208063</v>
      </c>
      <c r="AB260" s="4">
        <f>Games[[#This Row],[PreGmRate]]+Games[[#This Row],[RatingChange]]</f>
        <v>1673.7397235313481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45483</v>
      </c>
      <c r="B261" s="2">
        <v>2024</v>
      </c>
      <c r="C261" s="2">
        <f>COUNTIFS(Games[Team],Games[[#This Row],[Team]],Games[Season],Games[[#This Row],[Season]],Games[Date],"&lt;=" &amp; Games[[#This Row],[Date]])</f>
        <v>22</v>
      </c>
      <c r="D261" s="2" t="s">
        <v>79</v>
      </c>
      <c r="E261" s="2" t="s">
        <v>80</v>
      </c>
      <c r="F261" s="1" t="s">
        <v>74</v>
      </c>
      <c r="G261" s="1" t="s">
        <v>60</v>
      </c>
      <c r="H261" s="1" t="s">
        <v>82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1" s="2">
        <f>Games[[#This Row],[DaysOff]]-Games[[#This Row],[OppDaysOff]]</f>
        <v>-1</v>
      </c>
      <c r="L261" s="2">
        <f>Games[[#This Row],[OppDaysOff]]-Games[[#This Row],[DaysOff]]</f>
        <v>1</v>
      </c>
      <c r="M261" s="1">
        <f>MAX(-16, MIN(16, Games[[#This Row],[RestDiff]]*8))</f>
        <v>-8</v>
      </c>
      <c r="N261" s="1">
        <f>MAX(-16, MIN(16, Games[[#This Row],[OppRestDiff]]*8))</f>
        <v>8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1632.959811651511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1662.32694019414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0.55536916095227051</v>
      </c>
      <c r="R261" s="1">
        <v>68</v>
      </c>
      <c r="S261" s="1">
        <v>71</v>
      </c>
      <c r="T261" s="1">
        <v>0</v>
      </c>
      <c r="U261" s="1">
        <f>Games[[#This Row],[PointsFor]]-Games[[#This Row],[PointsAgainst]]</f>
        <v>-3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0.28325161559448259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1" s="9">
        <f>MAX(kmin, kmax - 0.15 * MIN(Games[[#This Row],[GamesPlayed]], 82))</f>
        <v>72.7</v>
      </c>
      <c r="Z261" s="4">
        <f>Games[[#This Row],[K]]*Games[[#This Row],[POMult]]</f>
        <v>72.7</v>
      </c>
      <c r="AA261" s="4">
        <f>(Games[[#This Row],[Keff]]*Games[[#This Row],[MOVMult]])*(Games[[#This Row],[Result]]-Games[[#This Row],[ExpectedWin%]])</f>
        <v>-11.436379719021723</v>
      </c>
      <c r="AB261" s="4">
        <f>Games[[#This Row],[PreGmRate]]+Games[[#This Row],[RatingChange]]</f>
        <v>1621.5234319324893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45483</v>
      </c>
      <c r="B262" s="2">
        <v>2024</v>
      </c>
      <c r="C262" s="2">
        <f>COUNTIFS(Games[Team],Games[[#This Row],[Team]],Games[Season],Games[[#This Row],[Season]],Games[Date],"&lt;=" &amp; Games[[#This Row],[Date]])</f>
        <v>23</v>
      </c>
      <c r="D262" s="2" t="s">
        <v>79</v>
      </c>
      <c r="E262" s="2" t="s">
        <v>80</v>
      </c>
      <c r="F262" s="1" t="s">
        <v>65</v>
      </c>
      <c r="G262" s="1" t="s">
        <v>69</v>
      </c>
      <c r="H262" s="1" t="s">
        <v>81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1406.8301994712031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1444.0976233660394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0.33223996048842708</v>
      </c>
      <c r="R262" s="1">
        <v>89</v>
      </c>
      <c r="S262" s="1">
        <v>84</v>
      </c>
      <c r="T262" s="1">
        <v>0</v>
      </c>
      <c r="U262" s="1">
        <f>Games[[#This Row],[PointsFor]]-Games[[#This Row],[PointsAgainst]]</f>
        <v>5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0.32176323635862175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2" s="9">
        <f>MAX(kmin, kmax - 0.15 * MIN(Games[[#This Row],[GamesPlayed]], 82))</f>
        <v>72.55</v>
      </c>
      <c r="Z262" s="4">
        <f>Games[[#This Row],[K]]*Games[[#This Row],[POMult]]</f>
        <v>72.55</v>
      </c>
      <c r="AA262" s="4">
        <f>(Games[[#This Row],[Keff]]*Games[[#This Row],[MOVMult]])*(Games[[#This Row],[Result]]-Games[[#This Row],[ExpectedWin%]])</f>
        <v>15.588138809826059</v>
      </c>
      <c r="AB262" s="4">
        <f>Games[[#This Row],[PreGmRate]]+Games[[#This Row],[RatingChange]]</f>
        <v>1422.418338281029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45483</v>
      </c>
      <c r="B263" s="2">
        <v>2024</v>
      </c>
      <c r="C263" s="2">
        <f>COUNTIFS(Games[Team],Games[[#This Row],[Team]],Games[Season],Games[[#This Row],[Season]],Games[Date],"&lt;=" &amp; Games[[#This Row],[Date]])</f>
        <v>23</v>
      </c>
      <c r="D263" s="2" t="s">
        <v>79</v>
      </c>
      <c r="E263" s="2" t="s">
        <v>80</v>
      </c>
      <c r="F263" s="1" t="s">
        <v>69</v>
      </c>
      <c r="G263" s="1" t="s">
        <v>65</v>
      </c>
      <c r="H263" s="1" t="s">
        <v>82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1444.0976233660394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1406.8301994712031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0.66776003951157292</v>
      </c>
      <c r="R263" s="1">
        <v>84</v>
      </c>
      <c r="S263" s="1">
        <v>89</v>
      </c>
      <c r="T263" s="1">
        <v>0</v>
      </c>
      <c r="U263" s="1">
        <f>Games[[#This Row],[PointsFor]]-Games[[#This Row],[PointsAgainst]]</f>
        <v>-5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0.32176323635862175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3" s="9">
        <f>MAX(kmin, kmax - 0.15 * MIN(Games[[#This Row],[GamesPlayed]], 82))</f>
        <v>72.55</v>
      </c>
      <c r="Z263" s="4">
        <f>Games[[#This Row],[K]]*Games[[#This Row],[POMult]]</f>
        <v>72.55</v>
      </c>
      <c r="AA263" s="4">
        <f>(Games[[#This Row],[Keff]]*Games[[#This Row],[MOVMult]])*(Games[[#This Row],[Result]]-Games[[#This Row],[ExpectedWin%]])</f>
        <v>-15.588138809826059</v>
      </c>
      <c r="AB263" s="4">
        <f>Games[[#This Row],[PreGmRate]]+Games[[#This Row],[RatingChange]]</f>
        <v>1428.5094845562135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45483</v>
      </c>
      <c r="B264" s="2">
        <v>2024</v>
      </c>
      <c r="C264" s="2">
        <f>COUNTIFS(Games[Team],Games[[#This Row],[Team]],Games[Season],Games[[#This Row],[Season]],Games[Date],"&lt;=" &amp; Games[[#This Row],[Date]])</f>
        <v>23</v>
      </c>
      <c r="D264" s="2" t="s">
        <v>79</v>
      </c>
      <c r="E264" s="2" t="s">
        <v>80</v>
      </c>
      <c r="F264" s="1" t="s">
        <v>85</v>
      </c>
      <c r="G264" s="1" t="s">
        <v>40</v>
      </c>
      <c r="H264" s="1" t="s">
        <v>81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4" s="2">
        <f>Games[[#This Row],[DaysOff]]-Games[[#This Row],[OppDaysOff]]</f>
        <v>0</v>
      </c>
      <c r="L264" s="2">
        <f>Games[[#This Row],[OppDaysOff]]-Games[[#This Row],[DaysOff]]</f>
        <v>0</v>
      </c>
      <c r="M264" s="1">
        <f>MAX(-16, MIN(16, Games[[#This Row],[RestDiff]]*8))</f>
        <v>0</v>
      </c>
      <c r="N264" s="1">
        <f>MAX(-16, MIN(16, Games[[#This Row],[OppRestDiff]]*8))</f>
        <v>0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1381.0566979658824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1461.3294293771839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0.27976454184857091</v>
      </c>
      <c r="R264" s="1">
        <v>84</v>
      </c>
      <c r="S264" s="1">
        <v>100</v>
      </c>
      <c r="T264" s="1">
        <v>0</v>
      </c>
      <c r="U264" s="1">
        <f>Games[[#This Row],[PointsFor]]-Games[[#This Row],[PointsAgainst]]</f>
        <v>-16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0.48532099723091032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4" s="9">
        <f>MAX(kmin, kmax - 0.15 * MIN(Games[[#This Row],[GamesPlayed]], 82))</f>
        <v>72.55</v>
      </c>
      <c r="Z264" s="4">
        <f>Games[[#This Row],[K]]*Games[[#This Row],[POMult]]</f>
        <v>72.55</v>
      </c>
      <c r="AA264" s="4">
        <f>(Games[[#This Row],[Keff]]*Games[[#This Row],[MOVMult]])*(Games[[#This Row],[Result]]-Games[[#This Row],[ExpectedWin%]])</f>
        <v>-9.8505202472072835</v>
      </c>
      <c r="AB264" s="4">
        <f>Games[[#This Row],[PreGmRate]]+Games[[#This Row],[RatingChange]]</f>
        <v>1371.2061777186752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45483</v>
      </c>
      <c r="B265" s="2">
        <v>2024</v>
      </c>
      <c r="C265" s="2">
        <f>COUNTIFS(Games[Team],Games[[#This Row],[Team]],Games[Season],Games[[#This Row],[Season]],Games[Date],"&lt;=" &amp; Games[[#This Row],[Date]])</f>
        <v>22</v>
      </c>
      <c r="D265" s="2" t="s">
        <v>79</v>
      </c>
      <c r="E265" s="2" t="s">
        <v>80</v>
      </c>
      <c r="F265" s="1" t="s">
        <v>40</v>
      </c>
      <c r="G265" s="1" t="s">
        <v>85</v>
      </c>
      <c r="H265" s="1" t="s">
        <v>82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0</v>
      </c>
      <c r="L265" s="2">
        <f>Games[[#This Row],[OppDaysOff]]-Games[[#This Row],[DaysOff]]</f>
        <v>0</v>
      </c>
      <c r="M265" s="1">
        <f>MAX(-16, MIN(16, Games[[#This Row],[RestDiff]]*8))</f>
        <v>0</v>
      </c>
      <c r="N265" s="1">
        <f>MAX(-16, MIN(16, Games[[#This Row],[OppRestDiff]]*8))</f>
        <v>0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1461.3294293771839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1381.0566979658824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0.72023545815142909</v>
      </c>
      <c r="R265" s="1">
        <v>100</v>
      </c>
      <c r="S265" s="1">
        <v>84</v>
      </c>
      <c r="T265" s="1">
        <v>0</v>
      </c>
      <c r="U265" s="1">
        <f>Games[[#This Row],[PointsFor]]-Games[[#This Row],[PointsAgainst]]</f>
        <v>16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0.48532099723091032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5" s="9">
        <f>MAX(kmin, kmax - 0.15 * MIN(Games[[#This Row],[GamesPlayed]], 82))</f>
        <v>72.7</v>
      </c>
      <c r="Z265" s="4">
        <f>Games[[#This Row],[K]]*Games[[#This Row],[POMult]]</f>
        <v>72.7</v>
      </c>
      <c r="AA265" s="4">
        <f>(Games[[#This Row],[Keff]]*Games[[#This Row],[MOVMult]])*(Games[[#This Row],[Result]]-Games[[#This Row],[ExpectedWin%]])</f>
        <v>9.8708865881732546</v>
      </c>
      <c r="AB265" s="4">
        <f>Games[[#This Row],[PreGmRate]]+Games[[#This Row],[RatingChange]]</f>
        <v>1471.2003159653573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45483</v>
      </c>
      <c r="B266" s="2">
        <v>2024</v>
      </c>
      <c r="C266" s="2">
        <f>COUNTIFS(Games[Team],Games[[#This Row],[Team]],Games[Season],Games[[#This Row],[Season]],Games[Date],"&lt;=" &amp; Games[[#This Row],[Date]])</f>
        <v>21</v>
      </c>
      <c r="D266" s="2" t="s">
        <v>79</v>
      </c>
      <c r="E266" s="2" t="s">
        <v>80</v>
      </c>
      <c r="F266" s="1" t="s">
        <v>86</v>
      </c>
      <c r="G266" s="1" t="s">
        <v>71</v>
      </c>
      <c r="H266" s="1" t="s">
        <v>81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6" s="2">
        <f>Games[[#This Row],[DaysOff]]-Games[[#This Row],[OppDaysOff]]</f>
        <v>0</v>
      </c>
      <c r="L266" s="2">
        <f>Games[[#This Row],[OppDaysOff]]-Games[[#This Row],[DaysOff]]</f>
        <v>0</v>
      </c>
      <c r="M266" s="1">
        <f>MAX(-16, MIN(16, Games[[#This Row],[RestDiff]]*8))</f>
        <v>0</v>
      </c>
      <c r="N266" s="1">
        <f>MAX(-16, MIN(16, Games[[#This Row],[OppRestDiff]]*8))</f>
        <v>0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1627.2959196516015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1550.3937961646247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0.48978675541198957</v>
      </c>
      <c r="R266" s="1">
        <v>84</v>
      </c>
      <c r="S266" s="1">
        <v>79</v>
      </c>
      <c r="T266" s="1">
        <v>0</v>
      </c>
      <c r="U266" s="1">
        <f>Games[[#This Row],[PointsFor]]-Games[[#This Row],[PointsAgainst]]</f>
        <v>5</v>
      </c>
      <c r="V266" s="1">
        <f>IF(Games[[#This Row],[MOV]]&gt;0,1,IF(Games[[#This Row],[MOV]]=0,0.5,0))</f>
        <v>1</v>
      </c>
      <c r="W266" s="4">
        <f>((ABS(Games[[#This Row],[MOV]])+5)^0.6)/(12+0.01*(ABS(Games[[#This Row],[PreGmRate]]-Games[[#This Row],[OppPreGmRate]])))*IF(Games[[#This Row],[OT]]=1,0.9,1)</f>
        <v>0.3117757917625999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6" s="9">
        <f>MAX(kmin, kmax - 0.15 * MIN(Games[[#This Row],[GamesPlayed]], 82))</f>
        <v>72.849999999999994</v>
      </c>
      <c r="Z266" s="4">
        <f>Games[[#This Row],[K]]*Games[[#This Row],[POMult]]</f>
        <v>72.849999999999994</v>
      </c>
      <c r="AA266" s="4">
        <f>(Games[[#This Row],[Keff]]*Games[[#This Row],[MOVMult]])*(Games[[#This Row],[Result]]-Games[[#This Row],[ExpectedWin%]])</f>
        <v>11.588405275096136</v>
      </c>
      <c r="AB266" s="4">
        <f>Games[[#This Row],[PreGmRate]]+Games[[#This Row],[RatingChange]]</f>
        <v>1638.8843249266977</v>
      </c>
      <c r="AC266" s="2">
        <f>IF(Games[[#This Row],[Type]]="R",IF(Games[[#This Row],[Result]]&gt;0.5,1,0),0)</f>
        <v>1</v>
      </c>
      <c r="AD266" s="2">
        <f>IF(Games[[#This Row],[Type]]="R",IF(Games[[#This Row],[Result]]&lt;0.5,1,0),0)</f>
        <v>0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45483</v>
      </c>
      <c r="B267" s="2">
        <v>2024</v>
      </c>
      <c r="C267" s="2">
        <f>COUNTIFS(Games[Team],Games[[#This Row],[Team]],Games[Season],Games[[#This Row],[Season]],Games[Date],"&lt;=" &amp; Games[[#This Row],[Date]])</f>
        <v>22</v>
      </c>
      <c r="D267" s="2" t="s">
        <v>79</v>
      </c>
      <c r="E267" s="2" t="s">
        <v>80</v>
      </c>
      <c r="F267" s="1" t="s">
        <v>71</v>
      </c>
      <c r="G267" s="1" t="s">
        <v>86</v>
      </c>
      <c r="H267" s="1" t="s">
        <v>82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7" s="2">
        <f>Games[[#This Row],[DaysOff]]-Games[[#This Row],[OppDaysOff]]</f>
        <v>0</v>
      </c>
      <c r="L267" s="2">
        <f>Games[[#This Row],[OppDaysOff]]-Games[[#This Row],[DaysOff]]</f>
        <v>0</v>
      </c>
      <c r="M267" s="1">
        <f>MAX(-16, MIN(16, Games[[#This Row],[RestDiff]]*8))</f>
        <v>0</v>
      </c>
      <c r="N267" s="1">
        <f>MAX(-16, MIN(16, Games[[#This Row],[OppRestDiff]]*8))</f>
        <v>0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1550.3937961646247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1627.2959196516015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0.51021324458801032</v>
      </c>
      <c r="R267" s="1">
        <v>79</v>
      </c>
      <c r="S267" s="1">
        <v>84</v>
      </c>
      <c r="T267" s="1">
        <v>0</v>
      </c>
      <c r="U267" s="1">
        <f>Games[[#This Row],[PointsFor]]-Games[[#This Row],[PointsAgainst]]</f>
        <v>-5</v>
      </c>
      <c r="V267" s="1">
        <f>IF(Games[[#This Row],[MOV]]&gt;0,1,IF(Games[[#This Row],[MOV]]=0,0.5,0))</f>
        <v>0</v>
      </c>
      <c r="W267" s="4">
        <f>((ABS(Games[[#This Row],[MOV]])+5)^0.6)/(12+0.01*(ABS(Games[[#This Row],[PreGmRate]]-Games[[#This Row],[OppPreGmRate]])))*IF(Games[[#This Row],[OT]]=1,0.9,1)</f>
        <v>0.3117757917625999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7" s="9">
        <f>MAX(kmin, kmax - 0.15 * MIN(Games[[#This Row],[GamesPlayed]], 82))</f>
        <v>72.7</v>
      </c>
      <c r="Z267" s="4">
        <f>Games[[#This Row],[K]]*Games[[#This Row],[POMult]]</f>
        <v>72.7</v>
      </c>
      <c r="AA267" s="4">
        <f>(Games[[#This Row],[Keff]]*Games[[#This Row],[MOVMult]])*(Games[[#This Row],[Result]]-Games[[#This Row],[ExpectedWin%]])</f>
        <v>-11.564544454351255</v>
      </c>
      <c r="AB267" s="4">
        <f>Games[[#This Row],[PreGmRate]]+Games[[#This Row],[RatingChange]]</f>
        <v>1538.8292517102734</v>
      </c>
      <c r="AC267" s="2">
        <f>IF(Games[[#This Row],[Type]]="R",IF(Games[[#This Row],[Result]]&gt;0.5,1,0),0)</f>
        <v>0</v>
      </c>
      <c r="AD267" s="2">
        <f>IF(Games[[#This Row],[Type]]="R",IF(Games[[#This Row],[Result]]&lt;0.5,1,0),0)</f>
        <v>1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45484</v>
      </c>
      <c r="B268" s="2">
        <v>2024</v>
      </c>
      <c r="C268" s="2">
        <f>COUNTIFS(Games[Team],Games[[#This Row],[Team]],Games[Season],Games[[#This Row],[Season]],Games[Date],"&lt;=" &amp; Games[[#This Row],[Date]])</f>
        <v>22</v>
      </c>
      <c r="D268" s="2" t="s">
        <v>79</v>
      </c>
      <c r="E268" s="2" t="s">
        <v>80</v>
      </c>
      <c r="F268" s="1" t="s">
        <v>75</v>
      </c>
      <c r="G268" s="1" t="s">
        <v>60</v>
      </c>
      <c r="H268" s="1" t="s">
        <v>81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8" s="2">
        <f>Games[[#This Row],[DaysOff]]-Games[[#This Row],[OppDaysOff]]</f>
        <v>0</v>
      </c>
      <c r="L268" s="2">
        <f>Games[[#This Row],[OppDaysOff]]-Games[[#This Row],[DaysOff]]</f>
        <v>0</v>
      </c>
      <c r="M268" s="1">
        <f>MAX(-16, MIN(16, Games[[#This Row],[RestDiff]]*8))</f>
        <v>0</v>
      </c>
      <c r="N268" s="1">
        <f>MAX(-16, MIN(16, Games[[#This Row],[OppRestDiff]]*8))</f>
        <v>0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1470.9084934290877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1673.7397235313481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0.16095584147565212</v>
      </c>
      <c r="R268" s="1">
        <v>76</v>
      </c>
      <c r="S268" s="1">
        <v>91</v>
      </c>
      <c r="T268" s="1">
        <v>0</v>
      </c>
      <c r="U268" s="1">
        <f>Games[[#This Row],[PointsFor]]-Games[[#This Row],[PointsAgainst]]</f>
        <v>-15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0.43014271475160248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8" s="9">
        <f>MAX(kmin, kmax - 0.15 * MIN(Games[[#This Row],[GamesPlayed]], 82))</f>
        <v>72.7</v>
      </c>
      <c r="Z268" s="4">
        <f>Games[[#This Row],[K]]*Games[[#This Row],[POMult]]</f>
        <v>72.7</v>
      </c>
      <c r="AA268" s="4">
        <f>(Games[[#This Row],[Keff]]*Games[[#This Row],[MOVMult]])*(Games[[#This Row],[Result]]-Games[[#This Row],[ExpectedWin%]])</f>
        <v>-5.0333105355627481</v>
      </c>
      <c r="AB268" s="4">
        <f>Games[[#This Row],[PreGmRate]]+Games[[#This Row],[RatingChange]]</f>
        <v>1465.8751828935249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45484</v>
      </c>
      <c r="B269" s="2">
        <v>2024</v>
      </c>
      <c r="C269" s="2">
        <f>COUNTIFS(Games[Team],Games[[#This Row],[Team]],Games[Season],Games[[#This Row],[Season]],Games[Date],"&lt;=" &amp; Games[[#This Row],[Date]])</f>
        <v>24</v>
      </c>
      <c r="D269" s="2" t="s">
        <v>79</v>
      </c>
      <c r="E269" s="2" t="s">
        <v>80</v>
      </c>
      <c r="F269" s="1" t="s">
        <v>60</v>
      </c>
      <c r="G269" s="1" t="s">
        <v>75</v>
      </c>
      <c r="H269" s="1" t="s">
        <v>82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9" s="2">
        <f>Games[[#This Row],[DaysOff]]-Games[[#This Row],[OppDaysOff]]</f>
        <v>0</v>
      </c>
      <c r="L269" s="2">
        <f>Games[[#This Row],[OppDaysOff]]-Games[[#This Row],[DaysOff]]</f>
        <v>0</v>
      </c>
      <c r="M269" s="1">
        <f>MAX(-16, MIN(16, Games[[#This Row],[RestDiff]]*8))</f>
        <v>0</v>
      </c>
      <c r="N269" s="1">
        <f>MAX(-16, MIN(16, Games[[#This Row],[OppRestDiff]]*8))</f>
        <v>0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1673.7397235313481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1470.9084934290877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0.83904415852434788</v>
      </c>
      <c r="R269" s="1">
        <v>91</v>
      </c>
      <c r="S269" s="1">
        <v>76</v>
      </c>
      <c r="T269" s="1">
        <v>0</v>
      </c>
      <c r="U269" s="1">
        <f>Games[[#This Row],[PointsFor]]-Games[[#This Row],[PointsAgainst]]</f>
        <v>15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0.43014271475160248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9" s="9">
        <f>MAX(kmin, kmax - 0.15 * MIN(Games[[#This Row],[GamesPlayed]], 82))</f>
        <v>72.400000000000006</v>
      </c>
      <c r="Z269" s="4">
        <f>Games[[#This Row],[K]]*Games[[#This Row],[POMult]]</f>
        <v>72.400000000000006</v>
      </c>
      <c r="AA269" s="4">
        <f>(Games[[#This Row],[Keff]]*Games[[#This Row],[MOVMult]])*(Games[[#This Row],[Result]]-Games[[#This Row],[ExpectedWin%]])</f>
        <v>5.0125403407805083</v>
      </c>
      <c r="AB269" s="4">
        <f>Games[[#This Row],[PreGmRate]]+Games[[#This Row],[RatingChange]]</f>
        <v>1678.7522638721287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45485</v>
      </c>
      <c r="B270" s="2">
        <v>2024</v>
      </c>
      <c r="C270" s="2">
        <f>COUNTIFS(Games[Team],Games[[#This Row],[Team]],Games[Season],Games[[#This Row],[Season]],Games[Date],"&lt;=" &amp; Games[[#This Row],[Date]])</f>
        <v>22</v>
      </c>
      <c r="D270" s="2" t="s">
        <v>79</v>
      </c>
      <c r="E270" s="2" t="s">
        <v>80</v>
      </c>
      <c r="F270" s="1" t="s">
        <v>86</v>
      </c>
      <c r="G270" s="1" t="s">
        <v>77</v>
      </c>
      <c r="H270" s="1" t="s">
        <v>81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1638.8843249266977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1386.3125066701734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0.72519471313939177</v>
      </c>
      <c r="R270" s="1">
        <v>84</v>
      </c>
      <c r="S270" s="1">
        <v>70</v>
      </c>
      <c r="T270" s="1">
        <v>0</v>
      </c>
      <c r="U270" s="1">
        <f>Games[[#This Row],[PointsFor]]-Games[[#This Row],[PointsAgainst]]</f>
        <v>14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0.40282326621428888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0" s="9">
        <f>MAX(kmin, kmax - 0.15 * MIN(Games[[#This Row],[GamesPlayed]], 82))</f>
        <v>72.7</v>
      </c>
      <c r="Z270" s="4">
        <f>Games[[#This Row],[K]]*Games[[#This Row],[POMult]]</f>
        <v>72.7</v>
      </c>
      <c r="AA270" s="4">
        <f>(Games[[#This Row],[Keff]]*Games[[#This Row],[MOVMult]])*(Games[[#This Row],[Result]]-Games[[#This Row],[ExpectedWin%]])</f>
        <v>8.0477419265407271</v>
      </c>
      <c r="AB270" s="4">
        <f>Games[[#This Row],[PreGmRate]]+Games[[#This Row],[RatingChange]]</f>
        <v>1646.9320668532384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45485</v>
      </c>
      <c r="B271" s="2">
        <v>2024</v>
      </c>
      <c r="C271" s="2">
        <f>COUNTIFS(Games[Team],Games[[#This Row],[Team]],Games[Season],Games[[#This Row],[Season]],Games[Date],"&lt;=" &amp; Games[[#This Row],[Date]])</f>
        <v>22</v>
      </c>
      <c r="D271" s="2" t="s">
        <v>79</v>
      </c>
      <c r="E271" s="2" t="s">
        <v>80</v>
      </c>
      <c r="F271" s="1" t="s">
        <v>77</v>
      </c>
      <c r="G271" s="1" t="s">
        <v>86</v>
      </c>
      <c r="H271" s="1" t="s">
        <v>82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1386.3125066701734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1638.8843249266977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0.27480528686060823</v>
      </c>
      <c r="R271" s="1">
        <v>70</v>
      </c>
      <c r="S271" s="1">
        <v>84</v>
      </c>
      <c r="T271" s="1">
        <v>0</v>
      </c>
      <c r="U271" s="1">
        <f>Games[[#This Row],[PointsFor]]-Games[[#This Row],[PointsAgainst]]</f>
        <v>-14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0.40282326621428888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1" s="9">
        <f>MAX(kmin, kmax - 0.15 * MIN(Games[[#This Row],[GamesPlayed]], 82))</f>
        <v>72.7</v>
      </c>
      <c r="Z271" s="4">
        <f>Games[[#This Row],[K]]*Games[[#This Row],[POMult]]</f>
        <v>72.7</v>
      </c>
      <c r="AA271" s="4">
        <f>(Games[[#This Row],[Keff]]*Games[[#This Row],[MOVMult]])*(Games[[#This Row],[Result]]-Games[[#This Row],[ExpectedWin%]])</f>
        <v>-8.0477419265407271</v>
      </c>
      <c r="AB271" s="4">
        <f>Games[[#This Row],[PreGmRate]]+Games[[#This Row],[RatingChange]]</f>
        <v>1378.2647647436327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45485</v>
      </c>
      <c r="B272" s="2">
        <v>2024</v>
      </c>
      <c r="C272" s="2">
        <f>COUNTIFS(Games[Team],Games[[#This Row],[Team]],Games[Season],Games[[#This Row],[Season]],Games[Date],"&lt;=" &amp; Games[[#This Row],[Date]])</f>
        <v>23</v>
      </c>
      <c r="D272" s="2" t="s">
        <v>79</v>
      </c>
      <c r="E272" s="2" t="s">
        <v>80</v>
      </c>
      <c r="F272" s="1" t="s">
        <v>40</v>
      </c>
      <c r="G272" s="1" t="s">
        <v>69</v>
      </c>
      <c r="H272" s="1" t="s">
        <v>81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1471.2003159653573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1428.5094845562135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0.44082988619380487</v>
      </c>
      <c r="R272" s="1">
        <v>86</v>
      </c>
      <c r="S272" s="1">
        <v>95</v>
      </c>
      <c r="T272" s="1">
        <v>0</v>
      </c>
      <c r="U272" s="1">
        <f>Games[[#This Row],[PointsFor]]-Games[[#This Row],[PointsAgainst]]</f>
        <v>-9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0.39202496732374842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2" s="9">
        <f>MAX(kmin, kmax - 0.15 * MIN(Games[[#This Row],[GamesPlayed]], 82))</f>
        <v>72.55</v>
      </c>
      <c r="Z272" s="4">
        <f>Games[[#This Row],[K]]*Games[[#This Row],[POMult]]</f>
        <v>72.55</v>
      </c>
      <c r="AA272" s="4">
        <f>(Games[[#This Row],[Keff]]*Games[[#This Row],[MOVMult]])*(Games[[#This Row],[Result]]-Games[[#This Row],[ExpectedWin%]])</f>
        <v>-12.537824141544734</v>
      </c>
      <c r="AB272" s="4">
        <f>Games[[#This Row],[PreGmRate]]+Games[[#This Row],[RatingChange]]</f>
        <v>1458.6624918238126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45485</v>
      </c>
      <c r="B273" s="2">
        <v>2024</v>
      </c>
      <c r="C273" s="2">
        <f>COUNTIFS(Games[Team],Games[[#This Row],[Team]],Games[Season],Games[[#This Row],[Season]],Games[Date],"&lt;=" &amp; Games[[#This Row],[Date]])</f>
        <v>24</v>
      </c>
      <c r="D273" s="2" t="s">
        <v>79</v>
      </c>
      <c r="E273" s="2" t="s">
        <v>80</v>
      </c>
      <c r="F273" s="1" t="s">
        <v>69</v>
      </c>
      <c r="G273" s="1" t="s">
        <v>40</v>
      </c>
      <c r="H273" s="1" t="s">
        <v>82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1428.5094845562135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1471.2003159653573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0.55917011380619508</v>
      </c>
      <c r="R273" s="1">
        <v>95</v>
      </c>
      <c r="S273" s="1">
        <v>86</v>
      </c>
      <c r="T273" s="1">
        <v>0</v>
      </c>
      <c r="U273" s="1">
        <f>Games[[#This Row],[PointsFor]]-Games[[#This Row],[PointsAgainst]]</f>
        <v>9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0.39202496732374842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3" s="9">
        <f>MAX(kmin, kmax - 0.15 * MIN(Games[[#This Row],[GamesPlayed]], 82))</f>
        <v>72.400000000000006</v>
      </c>
      <c r="Z273" s="4">
        <f>Games[[#This Row],[K]]*Games[[#This Row],[POMult]]</f>
        <v>72.400000000000006</v>
      </c>
      <c r="AA273" s="4">
        <f>(Games[[#This Row],[Keff]]*Games[[#This Row],[MOVMult]])*(Games[[#This Row],[Result]]-Games[[#This Row],[ExpectedWin%]])</f>
        <v>12.511901693285168</v>
      </c>
      <c r="AB273" s="4">
        <f>Games[[#This Row],[PreGmRate]]+Games[[#This Row],[RatingChange]]</f>
        <v>1441.0213862494986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45485</v>
      </c>
      <c r="B274" s="2">
        <v>2024</v>
      </c>
      <c r="C274" s="2">
        <f>COUNTIFS(Games[Team],Games[[#This Row],[Team]],Games[Season],Games[[#This Row],[Season]],Games[Date],"&lt;=" &amp; Games[[#This Row],[Date]])</f>
        <v>24</v>
      </c>
      <c r="D274" s="2" t="s">
        <v>79</v>
      </c>
      <c r="E274" s="2" t="s">
        <v>80</v>
      </c>
      <c r="F274" s="1" t="s">
        <v>67</v>
      </c>
      <c r="G274" s="1" t="s">
        <v>71</v>
      </c>
      <c r="H274" s="1" t="s">
        <v>81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1</v>
      </c>
      <c r="L274" s="2">
        <f>Games[[#This Row],[OppDaysOff]]-Games[[#This Row],[DaysOff]]</f>
        <v>-1</v>
      </c>
      <c r="M274" s="1">
        <f>MAX(-16, MIN(16, Games[[#This Row],[RestDiff]]*8))</f>
        <v>8</v>
      </c>
      <c r="N274" s="1">
        <f>MAX(-16, MIN(16, Games[[#This Row],[OppRestDiff]]*8))</f>
        <v>-8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1614.1967279936641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1538.8292517102734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0.51060106173729902</v>
      </c>
      <c r="R274" s="1">
        <v>63</v>
      </c>
      <c r="S274" s="1">
        <v>91</v>
      </c>
      <c r="T274" s="1">
        <v>0</v>
      </c>
      <c r="U274" s="1">
        <f>Games[[#This Row],[PointsFor]]-Games[[#This Row],[PointsAgainst]]</f>
        <v>-28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0.63895905081415749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4" s="9">
        <f>MAX(kmin, kmax - 0.15 * MIN(Games[[#This Row],[GamesPlayed]], 82))</f>
        <v>72.400000000000006</v>
      </c>
      <c r="Z274" s="4">
        <f>Games[[#This Row],[K]]*Games[[#This Row],[POMult]]</f>
        <v>72.400000000000006</v>
      </c>
      <c r="AA274" s="4">
        <f>(Games[[#This Row],[Keff]]*Games[[#This Row],[MOVMult]])*(Games[[#This Row],[Result]]-Games[[#This Row],[ExpectedWin%]])</f>
        <v>-23.62072949007127</v>
      </c>
      <c r="AB274" s="4">
        <f>Games[[#This Row],[PreGmRate]]+Games[[#This Row],[RatingChange]]</f>
        <v>1590.5759985035929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45485</v>
      </c>
      <c r="B275" s="2">
        <v>2024</v>
      </c>
      <c r="C275" s="2">
        <f>COUNTIFS(Games[Team],Games[[#This Row],[Team]],Games[Season],Games[[#This Row],[Season]],Games[Date],"&lt;=" &amp; Games[[#This Row],[Date]])</f>
        <v>23</v>
      </c>
      <c r="D275" s="2" t="s">
        <v>79</v>
      </c>
      <c r="E275" s="2" t="s">
        <v>80</v>
      </c>
      <c r="F275" s="1" t="s">
        <v>71</v>
      </c>
      <c r="G275" s="1" t="s">
        <v>67</v>
      </c>
      <c r="H275" s="1" t="s">
        <v>82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5" s="2">
        <f>Games[[#This Row],[DaysOff]]-Games[[#This Row],[OppDaysOff]]</f>
        <v>-1</v>
      </c>
      <c r="L275" s="2">
        <f>Games[[#This Row],[OppDaysOff]]-Games[[#This Row],[DaysOff]]</f>
        <v>1</v>
      </c>
      <c r="M275" s="1">
        <f>MAX(-16, MIN(16, Games[[#This Row],[RestDiff]]*8))</f>
        <v>-8</v>
      </c>
      <c r="N275" s="1">
        <f>MAX(-16, MIN(16, Games[[#This Row],[OppRestDiff]]*8))</f>
        <v>8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1538.8292517102734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1614.1967279936641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0.48939893826270098</v>
      </c>
      <c r="R275" s="1">
        <v>91</v>
      </c>
      <c r="S275" s="1">
        <v>63</v>
      </c>
      <c r="T275" s="1">
        <v>0</v>
      </c>
      <c r="U275" s="1">
        <f>Games[[#This Row],[PointsFor]]-Games[[#This Row],[PointsAgainst]]</f>
        <v>28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0.63895905081415749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5" s="9">
        <f>MAX(kmin, kmax - 0.15 * MIN(Games[[#This Row],[GamesPlayed]], 82))</f>
        <v>72.55</v>
      </c>
      <c r="Z275" s="4">
        <f>Games[[#This Row],[K]]*Games[[#This Row],[POMult]]</f>
        <v>72.55</v>
      </c>
      <c r="AA275" s="4">
        <f>(Games[[#This Row],[Keff]]*Games[[#This Row],[MOVMult]])*(Games[[#This Row],[Result]]-Games[[#This Row],[ExpectedWin%]])</f>
        <v>23.669667465534125</v>
      </c>
      <c r="AB275" s="4">
        <f>Games[[#This Row],[PreGmRate]]+Games[[#This Row],[RatingChange]]</f>
        <v>1562.4989191758075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45486</v>
      </c>
      <c r="B276" s="2">
        <v>2024</v>
      </c>
      <c r="C276" s="2">
        <f>COUNTIFS(Games[Team],Games[[#This Row],[Team]],Games[Season],Games[[#This Row],[Season]],Games[Date],"&lt;=" &amp; Games[[#This Row],[Date]])</f>
        <v>25</v>
      </c>
      <c r="D276" s="2" t="s">
        <v>79</v>
      </c>
      <c r="E276" s="2" t="s">
        <v>80</v>
      </c>
      <c r="F276" s="1" t="s">
        <v>60</v>
      </c>
      <c r="G276" s="1" t="s">
        <v>75</v>
      </c>
      <c r="H276" s="1" t="s">
        <v>81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">
        <f>MAX(-16, MIN(16, Games[[#This Row],[RestDiff]]*8))</f>
        <v>0</v>
      </c>
      <c r="N276" s="1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1678.7522638721287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1465.8751828935249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0.67740597434896122</v>
      </c>
      <c r="R276" s="1">
        <v>81</v>
      </c>
      <c r="S276" s="1">
        <v>67</v>
      </c>
      <c r="T276" s="1">
        <v>0</v>
      </c>
      <c r="U276" s="1">
        <f>Games[[#This Row],[PointsFor]]-Games[[#This Row],[PointsAgainst]]</f>
        <v>14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0.41414057324480202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6" s="9">
        <f>MAX(kmin, kmax - 0.15 * MIN(Games[[#This Row],[GamesPlayed]], 82))</f>
        <v>72.25</v>
      </c>
      <c r="Z276" s="4">
        <f>Games[[#This Row],[K]]*Games[[#This Row],[POMult]]</f>
        <v>72.25</v>
      </c>
      <c r="AA276" s="4">
        <f>(Games[[#This Row],[Keff]]*Games[[#This Row],[MOVMult]])*(Games[[#This Row],[Result]]-Games[[#This Row],[ExpectedWin%]])</f>
        <v>9.6525475976869277</v>
      </c>
      <c r="AB276" s="4">
        <f>Games[[#This Row],[PreGmRate]]+Games[[#This Row],[RatingChange]]</f>
        <v>1688.4048114698155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45486</v>
      </c>
      <c r="B277" s="2">
        <v>2024</v>
      </c>
      <c r="C277" s="2">
        <f>COUNTIFS(Games[Team],Games[[#This Row],[Team]],Games[Season],Games[[#This Row],[Season]],Games[Date],"&lt;=" &amp; Games[[#This Row],[Date]])</f>
        <v>23</v>
      </c>
      <c r="D277" s="2" t="s">
        <v>79</v>
      </c>
      <c r="E277" s="2" t="s">
        <v>80</v>
      </c>
      <c r="F277" s="1" t="s">
        <v>75</v>
      </c>
      <c r="G277" s="1" t="s">
        <v>60</v>
      </c>
      <c r="H277" s="1" t="s">
        <v>82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">
        <f>MAX(-16, MIN(16, Games[[#This Row],[RestDiff]]*8))</f>
        <v>0</v>
      </c>
      <c r="N277" s="1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1465.8751828935249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1678.7522638721287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0.32259402565103873</v>
      </c>
      <c r="R277" s="1">
        <v>67</v>
      </c>
      <c r="S277" s="1">
        <v>81</v>
      </c>
      <c r="T277" s="1">
        <v>0</v>
      </c>
      <c r="U277" s="1">
        <f>Games[[#This Row],[PointsFor]]-Games[[#This Row],[PointsAgainst]]</f>
        <v>-14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0.41414057324480202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7" s="9">
        <f>MAX(kmin, kmax - 0.15 * MIN(Games[[#This Row],[GamesPlayed]], 82))</f>
        <v>72.55</v>
      </c>
      <c r="Z277" s="4">
        <f>Games[[#This Row],[K]]*Games[[#This Row],[POMult]]</f>
        <v>72.55</v>
      </c>
      <c r="AA277" s="4">
        <f>(Games[[#This Row],[Keff]]*Games[[#This Row],[MOVMult]])*(Games[[#This Row],[Result]]-Games[[#This Row],[ExpectedWin%]])</f>
        <v>-9.6926273800994664</v>
      </c>
      <c r="AB277" s="4">
        <f>Games[[#This Row],[PreGmRate]]+Games[[#This Row],[RatingChange]]</f>
        <v>1456.1825555134253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45486</v>
      </c>
      <c r="B278" s="2">
        <v>2024</v>
      </c>
      <c r="C278" s="2">
        <f>COUNTIFS(Games[Team],Games[[#This Row],[Team]],Games[Season],Games[[#This Row],[Season]],Games[Date],"&lt;=" &amp; Games[[#This Row],[Date]])</f>
        <v>23</v>
      </c>
      <c r="D278" s="2" t="s">
        <v>79</v>
      </c>
      <c r="E278" s="2" t="s">
        <v>80</v>
      </c>
      <c r="F278" s="1" t="s">
        <v>63</v>
      </c>
      <c r="G278" s="1" t="s">
        <v>85</v>
      </c>
      <c r="H278" s="1" t="s">
        <v>81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8" s="2">
        <f>Games[[#This Row],[DaysOff]]-Games[[#This Row],[OppDaysOff]]</f>
        <v>1</v>
      </c>
      <c r="L278" s="2">
        <f>Games[[#This Row],[OppDaysOff]]-Games[[#This Row],[DaysOff]]</f>
        <v>-1</v>
      </c>
      <c r="M278" s="1">
        <f>MAX(-16, MIN(16, Games[[#This Row],[RestDiff]]*8))</f>
        <v>8</v>
      </c>
      <c r="N278" s="1">
        <f>MAX(-16, MIN(16, Games[[#This Row],[OppRestDiff]]*8))</f>
        <v>-8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1361.7608480334154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1371.2061777186752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0.39035716200957227</v>
      </c>
      <c r="R278" s="1">
        <v>87</v>
      </c>
      <c r="S278" s="1">
        <v>81</v>
      </c>
      <c r="T278" s="1">
        <v>0</v>
      </c>
      <c r="U278" s="1">
        <f>Games[[#This Row],[PointsFor]]-Games[[#This Row],[PointsAgainst]]</f>
        <v>6</v>
      </c>
      <c r="V278" s="1">
        <f>IF(Games[[#This Row],[MOV]]&gt;0,1,IF(Games[[#This Row],[MOV]]=0,0.5,0))</f>
        <v>1</v>
      </c>
      <c r="W278" s="4">
        <f>((ABS(Games[[#This Row],[MOV]])+5)^0.6)/(12+0.01*(ABS(Games[[#This Row],[PreGmRate]]-Games[[#This Row],[OppPreGmRate]])))*IF(Games[[#This Row],[OT]]=1,0.9,1)</f>
        <v>0.34853738566164766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8" s="9">
        <f>MAX(kmin, kmax - 0.15 * MIN(Games[[#This Row],[GamesPlayed]], 82))</f>
        <v>72.55</v>
      </c>
      <c r="Z278" s="4">
        <f>Games[[#This Row],[K]]*Games[[#This Row],[POMult]]</f>
        <v>72.55</v>
      </c>
      <c r="AA278" s="4">
        <f>(Games[[#This Row],[Keff]]*Games[[#This Row],[MOVMult]])*(Games[[#This Row],[Result]]-Games[[#This Row],[ExpectedWin%]])</f>
        <v>15.415664934235529</v>
      </c>
      <c r="AB278" s="4">
        <f>Games[[#This Row],[PreGmRate]]+Games[[#This Row],[RatingChange]]</f>
        <v>1377.176512967651</v>
      </c>
      <c r="AC278" s="2">
        <f>IF(Games[[#This Row],[Type]]="R",IF(Games[[#This Row],[Result]]&gt;0.5,1,0),0)</f>
        <v>1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45486</v>
      </c>
      <c r="B279" s="2">
        <v>2024</v>
      </c>
      <c r="C279" s="2">
        <f>COUNTIFS(Games[Team],Games[[#This Row],[Team]],Games[Season],Games[[#This Row],[Season]],Games[Date],"&lt;=" &amp; Games[[#This Row],[Date]])</f>
        <v>24</v>
      </c>
      <c r="D279" s="2" t="s">
        <v>79</v>
      </c>
      <c r="E279" s="2" t="s">
        <v>80</v>
      </c>
      <c r="F279" s="1" t="s">
        <v>85</v>
      </c>
      <c r="G279" s="1" t="s">
        <v>63</v>
      </c>
      <c r="H279" s="1" t="s">
        <v>82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9" s="2">
        <f>Games[[#This Row],[DaysOff]]-Games[[#This Row],[OppDaysOff]]</f>
        <v>-1</v>
      </c>
      <c r="L279" s="2">
        <f>Games[[#This Row],[OppDaysOff]]-Games[[#This Row],[DaysOff]]</f>
        <v>1</v>
      </c>
      <c r="M279" s="1">
        <f>MAX(-16, MIN(16, Games[[#This Row],[RestDiff]]*8))</f>
        <v>-8</v>
      </c>
      <c r="N279" s="1">
        <f>MAX(-16, MIN(16, Games[[#This Row],[OppRestDiff]]*8))</f>
        <v>8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1371.2061777186752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1361.7608480334154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0.60964283799042784</v>
      </c>
      <c r="R279" s="1">
        <v>81</v>
      </c>
      <c r="S279" s="1">
        <v>87</v>
      </c>
      <c r="T279" s="1">
        <v>0</v>
      </c>
      <c r="U279" s="1">
        <f>Games[[#This Row],[PointsFor]]-Games[[#This Row],[PointsAgainst]]</f>
        <v>-6</v>
      </c>
      <c r="V279" s="1">
        <f>IF(Games[[#This Row],[MOV]]&gt;0,1,IF(Games[[#This Row],[MOV]]=0,0.5,0))</f>
        <v>0</v>
      </c>
      <c r="W279" s="4">
        <f>((ABS(Games[[#This Row],[MOV]])+5)^0.6)/(12+0.01*(ABS(Games[[#This Row],[PreGmRate]]-Games[[#This Row],[OppPreGmRate]])))*IF(Games[[#This Row],[OT]]=1,0.9,1)</f>
        <v>0.34853738566164766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9" s="9">
        <f>MAX(kmin, kmax - 0.15 * MIN(Games[[#This Row],[GamesPlayed]], 82))</f>
        <v>72.400000000000006</v>
      </c>
      <c r="Z279" s="4">
        <f>Games[[#This Row],[K]]*Games[[#This Row],[POMult]]</f>
        <v>72.400000000000006</v>
      </c>
      <c r="AA279" s="4">
        <f>(Games[[#This Row],[Keff]]*Games[[#This Row],[MOVMult]])*(Games[[#This Row],[Result]]-Games[[#This Row],[ExpectedWin%]])</f>
        <v>-15.383792436094454</v>
      </c>
      <c r="AB279" s="4">
        <f>Games[[#This Row],[PreGmRate]]+Games[[#This Row],[RatingChange]]</f>
        <v>1355.8223852825809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1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45487</v>
      </c>
      <c r="B280" s="2">
        <v>2024</v>
      </c>
      <c r="C280" s="2">
        <f>COUNTIFS(Games[Team],Games[[#This Row],[Team]],Games[Season],Games[[#This Row],[Season]],Games[Date],"&lt;=" &amp; Games[[#This Row],[Date]])</f>
        <v>24</v>
      </c>
      <c r="D280" s="2" t="s">
        <v>79</v>
      </c>
      <c r="E280" s="2" t="s">
        <v>80</v>
      </c>
      <c r="F280" s="1" t="s">
        <v>40</v>
      </c>
      <c r="G280" s="1" t="s">
        <v>74</v>
      </c>
      <c r="H280" s="1" t="s">
        <v>81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0" s="2">
        <f>Games[[#This Row],[DaysOff]]-Games[[#This Row],[OppDaysOff]]</f>
        <v>-2</v>
      </c>
      <c r="L280" s="2">
        <f>Games[[#This Row],[OppDaysOff]]-Games[[#This Row],[DaysOff]]</f>
        <v>2</v>
      </c>
      <c r="M280" s="1">
        <f>MAX(-16, MIN(16, Games[[#This Row],[RestDiff]]*8))</f>
        <v>-16</v>
      </c>
      <c r="N280" s="1">
        <f>MAX(-16, MIN(16, Games[[#This Row],[OppRestDiff]]*8))</f>
        <v>16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1458.6624918238126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1621.5234319324893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0.16724877001449251</v>
      </c>
      <c r="R280" s="1">
        <v>69</v>
      </c>
      <c r="S280" s="1">
        <v>96</v>
      </c>
      <c r="T280" s="1">
        <v>0</v>
      </c>
      <c r="U280" s="1">
        <f>Games[[#This Row],[PointsFor]]-Games[[#This Row],[PointsAgainst]]</f>
        <v>-27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0.58700046090997848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0" s="9">
        <f>MAX(kmin, kmax - 0.15 * MIN(Games[[#This Row],[GamesPlayed]], 82))</f>
        <v>72.400000000000006</v>
      </c>
      <c r="Z280" s="4">
        <f>Games[[#This Row],[K]]*Games[[#This Row],[POMult]]</f>
        <v>72.400000000000006</v>
      </c>
      <c r="AA280" s="4">
        <f>(Games[[#This Row],[Keff]]*Games[[#This Row],[MOVMult]])*(Games[[#This Row],[Result]]-Games[[#This Row],[ExpectedWin%]])</f>
        <v>-7.1078776081637089</v>
      </c>
      <c r="AB280" s="4">
        <f>Games[[#This Row],[PreGmRate]]+Games[[#This Row],[RatingChange]]</f>
        <v>1451.5546142156488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45487</v>
      </c>
      <c r="B281" s="2">
        <v>2024</v>
      </c>
      <c r="C281" s="2">
        <f>COUNTIFS(Games[Team],Games[[#This Row],[Team]],Games[Season],Games[[#This Row],[Season]],Games[Date],"&lt;=" &amp; Games[[#This Row],[Date]])</f>
        <v>23</v>
      </c>
      <c r="D281" s="2" t="s">
        <v>79</v>
      </c>
      <c r="E281" s="2" t="s">
        <v>80</v>
      </c>
      <c r="F281" s="1" t="s">
        <v>74</v>
      </c>
      <c r="G281" s="1" t="s">
        <v>40</v>
      </c>
      <c r="H281" s="1" t="s">
        <v>82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2</v>
      </c>
      <c r="L281" s="2">
        <f>Games[[#This Row],[OppDaysOff]]-Games[[#This Row],[DaysOff]]</f>
        <v>-2</v>
      </c>
      <c r="M281" s="1">
        <f>MAX(-16, MIN(16, Games[[#This Row],[RestDiff]]*8))</f>
        <v>16</v>
      </c>
      <c r="N281" s="1">
        <f>MAX(-16, MIN(16, Games[[#This Row],[OppRestDiff]]*8))</f>
        <v>-16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1621.5234319324893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1458.6624918238126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0.83275122998550755</v>
      </c>
      <c r="R281" s="1">
        <v>96</v>
      </c>
      <c r="S281" s="1">
        <v>69</v>
      </c>
      <c r="T281" s="1">
        <v>0</v>
      </c>
      <c r="U281" s="1">
        <f>Games[[#This Row],[PointsFor]]-Games[[#This Row],[PointsAgainst]]</f>
        <v>27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0.58700046090997848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1" s="9">
        <f>MAX(kmin, kmax - 0.15 * MIN(Games[[#This Row],[GamesPlayed]], 82))</f>
        <v>72.55</v>
      </c>
      <c r="Z281" s="4">
        <f>Games[[#This Row],[K]]*Games[[#This Row],[POMult]]</f>
        <v>72.55</v>
      </c>
      <c r="AA281" s="4">
        <f>(Games[[#This Row],[Keff]]*Games[[#This Row],[MOVMult]])*(Games[[#This Row],[Result]]-Games[[#This Row],[ExpectedWin%]])</f>
        <v>7.1226038739264759</v>
      </c>
      <c r="AB281" s="4">
        <f>Games[[#This Row],[PreGmRate]]+Games[[#This Row],[RatingChange]]</f>
        <v>1628.6460358064157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45487</v>
      </c>
      <c r="B282" s="2">
        <v>2024</v>
      </c>
      <c r="C282" s="2">
        <f>COUNTIFS(Games[Team],Games[[#This Row],[Team]],Games[Season],Games[[#This Row],[Season]],Games[Date],"&lt;=" &amp; Games[[#This Row],[Date]])</f>
        <v>25</v>
      </c>
      <c r="D282" s="2" t="s">
        <v>79</v>
      </c>
      <c r="E282" s="2" t="s">
        <v>80</v>
      </c>
      <c r="F282" s="1" t="s">
        <v>69</v>
      </c>
      <c r="G282" s="1" t="s">
        <v>67</v>
      </c>
      <c r="H282" s="1" t="s">
        <v>81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1441.0213862494986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1590.5759985035929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0.2067794690694294</v>
      </c>
      <c r="R282" s="1">
        <v>81</v>
      </c>
      <c r="S282" s="1">
        <v>74</v>
      </c>
      <c r="T282" s="1">
        <v>0</v>
      </c>
      <c r="U282" s="1">
        <f>Games[[#This Row],[PointsFor]]-Games[[#This Row],[PointsAgainst]]</f>
        <v>7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0.3290927265572291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2" s="9">
        <f>MAX(kmin, kmax - 0.15 * MIN(Games[[#This Row],[GamesPlayed]], 82))</f>
        <v>72.25</v>
      </c>
      <c r="Z282" s="4">
        <f>Games[[#This Row],[K]]*Games[[#This Row],[POMult]]</f>
        <v>72.25</v>
      </c>
      <c r="AA282" s="4">
        <f>(Games[[#This Row],[Keff]]*Games[[#This Row],[MOVMult]])*(Games[[#This Row],[Result]]-Games[[#This Row],[ExpectedWin%]])</f>
        <v>18.860364501349512</v>
      </c>
      <c r="AB282" s="4">
        <f>Games[[#This Row],[PreGmRate]]+Games[[#This Row],[RatingChange]]</f>
        <v>1459.8817507508481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45487</v>
      </c>
      <c r="B283" s="2">
        <v>2024</v>
      </c>
      <c r="C283" s="2">
        <f>COUNTIFS(Games[Team],Games[[#This Row],[Team]],Games[Season],Games[[#This Row],[Season]],Games[Date],"&lt;=" &amp; Games[[#This Row],[Date]])</f>
        <v>25</v>
      </c>
      <c r="D283" s="2" t="s">
        <v>79</v>
      </c>
      <c r="E283" s="2" t="s">
        <v>80</v>
      </c>
      <c r="F283" s="1" t="s">
        <v>67</v>
      </c>
      <c r="G283" s="1" t="s">
        <v>69</v>
      </c>
      <c r="H283" s="1" t="s">
        <v>82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1590.5759985035929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1441.0213862494986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0.79322053093057066</v>
      </c>
      <c r="R283" s="1">
        <v>74</v>
      </c>
      <c r="S283" s="1">
        <v>81</v>
      </c>
      <c r="T283" s="1">
        <v>0</v>
      </c>
      <c r="U283" s="1">
        <f>Games[[#This Row],[PointsFor]]-Games[[#This Row],[PointsAgainst]]</f>
        <v>-7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0.3290927265572291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3" s="9">
        <f>MAX(kmin, kmax - 0.15 * MIN(Games[[#This Row],[GamesPlayed]], 82))</f>
        <v>72.25</v>
      </c>
      <c r="Z283" s="4">
        <f>Games[[#This Row],[K]]*Games[[#This Row],[POMult]]</f>
        <v>72.25</v>
      </c>
      <c r="AA283" s="4">
        <f>(Games[[#This Row],[Keff]]*Games[[#This Row],[MOVMult]])*(Games[[#This Row],[Result]]-Games[[#This Row],[ExpectedWin%]])</f>
        <v>-18.860364501349512</v>
      </c>
      <c r="AB283" s="4">
        <f>Games[[#This Row],[PreGmRate]]+Games[[#This Row],[RatingChange]]</f>
        <v>1571.7156340022434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45487</v>
      </c>
      <c r="B284" s="2">
        <v>2024</v>
      </c>
      <c r="C284" s="2">
        <f>COUNTIFS(Games[Team],Games[[#This Row],[Team]],Games[Season],Games[[#This Row],[Season]],Games[Date],"&lt;=" &amp; Games[[#This Row],[Date]])</f>
        <v>23</v>
      </c>
      <c r="D284" s="2" t="s">
        <v>79</v>
      </c>
      <c r="E284" s="2" t="s">
        <v>80</v>
      </c>
      <c r="F284" s="1" t="s">
        <v>77</v>
      </c>
      <c r="G284" s="1" t="s">
        <v>71</v>
      </c>
      <c r="H284" s="1" t="s">
        <v>81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1378.2647647436327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1562.4989191758075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0.17594295791884115</v>
      </c>
      <c r="R284" s="1">
        <v>70</v>
      </c>
      <c r="S284" s="1">
        <v>81</v>
      </c>
      <c r="T284" s="1">
        <v>0</v>
      </c>
      <c r="U284" s="1">
        <f>Games[[#This Row],[PointsFor]]-Games[[#This Row],[PointsAgainst]]</f>
        <v>-11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0.38129615760396207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4" s="9">
        <f>MAX(kmin, kmax - 0.15 * MIN(Games[[#This Row],[GamesPlayed]], 82))</f>
        <v>72.55</v>
      </c>
      <c r="Z284" s="4">
        <f>Games[[#This Row],[K]]*Games[[#This Row],[POMult]]</f>
        <v>72.55</v>
      </c>
      <c r="AA284" s="4">
        <f>(Games[[#This Row],[Keff]]*Games[[#This Row],[MOVMult]])*(Games[[#This Row],[Result]]-Games[[#This Row],[ExpectedWin%]])</f>
        <v>-4.8671164200555008</v>
      </c>
      <c r="AB284" s="4">
        <f>Games[[#This Row],[PreGmRate]]+Games[[#This Row],[RatingChange]]</f>
        <v>1373.3976483235772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45487</v>
      </c>
      <c r="B285" s="2">
        <v>2024</v>
      </c>
      <c r="C285" s="2">
        <f>COUNTIFS(Games[Team],Games[[#This Row],[Team]],Games[Season],Games[[#This Row],[Season]],Games[Date],"&lt;=" &amp; Games[[#This Row],[Date]])</f>
        <v>24</v>
      </c>
      <c r="D285" s="2" t="s">
        <v>79</v>
      </c>
      <c r="E285" s="2" t="s">
        <v>80</v>
      </c>
      <c r="F285" s="1" t="s">
        <v>71</v>
      </c>
      <c r="G285" s="1" t="s">
        <v>77</v>
      </c>
      <c r="H285" s="1" t="s">
        <v>82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1562.4989191758075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1378.2647647436327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0.82405704208115893</v>
      </c>
      <c r="R285" s="1">
        <v>81</v>
      </c>
      <c r="S285" s="1">
        <v>70</v>
      </c>
      <c r="T285" s="1">
        <v>0</v>
      </c>
      <c r="U285" s="1">
        <f>Games[[#This Row],[PointsFor]]-Games[[#This Row],[PointsAgainst]]</f>
        <v>11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0.38129615760396207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5" s="9">
        <f>MAX(kmin, kmax - 0.15 * MIN(Games[[#This Row],[GamesPlayed]], 82))</f>
        <v>72.400000000000006</v>
      </c>
      <c r="Z285" s="4">
        <f>Games[[#This Row],[K]]*Games[[#This Row],[POMult]]</f>
        <v>72.400000000000006</v>
      </c>
      <c r="AA285" s="4">
        <f>(Games[[#This Row],[Keff]]*Games[[#This Row],[MOVMult]])*(Games[[#This Row],[Result]]-Games[[#This Row],[ExpectedWin%]])</f>
        <v>4.8570534639837097</v>
      </c>
      <c r="AB285" s="4">
        <f>Games[[#This Row],[PreGmRate]]+Games[[#This Row],[RatingChange]]</f>
        <v>1567.3559726397912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45487</v>
      </c>
      <c r="B286" s="2">
        <v>2024</v>
      </c>
      <c r="C286" s="2">
        <f>COUNTIFS(Games[Team],Games[[#This Row],[Team]],Games[Season],Games[[#This Row],[Season]],Games[Date],"&lt;=" &amp; Games[[#This Row],[Date]])</f>
        <v>23</v>
      </c>
      <c r="D286" s="2" t="s">
        <v>79</v>
      </c>
      <c r="E286" s="2" t="s">
        <v>80</v>
      </c>
      <c r="F286" s="1" t="s">
        <v>86</v>
      </c>
      <c r="G286" s="1" t="s">
        <v>65</v>
      </c>
      <c r="H286" s="1" t="s">
        <v>81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6" s="2">
        <f>Games[[#This Row],[DaysOff]]-Games[[#This Row],[OppDaysOff]]</f>
        <v>-2</v>
      </c>
      <c r="L286" s="2">
        <f>Games[[#This Row],[OppDaysOff]]-Games[[#This Row],[DaysOff]]</f>
        <v>2</v>
      </c>
      <c r="M286" s="1">
        <f>MAX(-16, MIN(16, Games[[#This Row],[RestDiff]]*8))</f>
        <v>-16</v>
      </c>
      <c r="N286" s="1">
        <f>MAX(-16, MIN(16, Games[[#This Row],[OppRestDiff]]*8))</f>
        <v>16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1646.9320668532384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1422.418338281029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0.65127656719340166</v>
      </c>
      <c r="R286" s="1">
        <v>89</v>
      </c>
      <c r="S286" s="1">
        <v>77</v>
      </c>
      <c r="T286" s="1">
        <v>0</v>
      </c>
      <c r="U286" s="1">
        <f>Games[[#This Row],[PointsFor]]-Games[[#This Row],[PointsAgainst]]</f>
        <v>12</v>
      </c>
      <c r="V286" s="1">
        <f>IF(Games[[#This Row],[MOV]]&gt;0,1,IF(Games[[#This Row],[MOV]]=0,0.5,0))</f>
        <v>1</v>
      </c>
      <c r="W286" s="4">
        <f>((ABS(Games[[#This Row],[MOV]])+5)^0.6)/(12+0.01*(ABS(Games[[#This Row],[PreGmRate]]-Games[[#This Row],[OppPreGmRate]])))*IF(Games[[#This Row],[OT]]=1,0.9,1)</f>
        <v>0.38424012398986374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6" s="9">
        <f>MAX(kmin, kmax - 0.15 * MIN(Games[[#This Row],[GamesPlayed]], 82))</f>
        <v>72.55</v>
      </c>
      <c r="Z286" s="4">
        <f>Games[[#This Row],[K]]*Games[[#This Row],[POMult]]</f>
        <v>72.55</v>
      </c>
      <c r="AA286" s="4">
        <f>(Games[[#This Row],[Keff]]*Games[[#This Row],[MOVMult]])*(Games[[#This Row],[Result]]-Games[[#This Row],[ExpectedWin%]])</f>
        <v>9.7212309685869123</v>
      </c>
      <c r="AB286" s="4">
        <f>Games[[#This Row],[PreGmRate]]+Games[[#This Row],[RatingChange]]</f>
        <v>1656.6532978218254</v>
      </c>
      <c r="AC286" s="2">
        <f>IF(Games[[#This Row],[Type]]="R",IF(Games[[#This Row],[Result]]&gt;0.5,1,0),0)</f>
        <v>1</v>
      </c>
      <c r="AD286" s="2">
        <f>IF(Games[[#This Row],[Type]]="R",IF(Games[[#This Row],[Result]]&lt;0.5,1,0),0)</f>
        <v>0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45487</v>
      </c>
      <c r="B287" s="2">
        <v>2024</v>
      </c>
      <c r="C287" s="2">
        <f>COUNTIFS(Games[Team],Games[[#This Row],[Team]],Games[Season],Games[[#This Row],[Season]],Games[Date],"&lt;=" &amp; Games[[#This Row],[Date]])</f>
        <v>24</v>
      </c>
      <c r="D287" s="2" t="s">
        <v>79</v>
      </c>
      <c r="E287" s="2" t="s">
        <v>80</v>
      </c>
      <c r="F287" s="1" t="s">
        <v>65</v>
      </c>
      <c r="G287" s="1" t="s">
        <v>86</v>
      </c>
      <c r="H287" s="1" t="s">
        <v>82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2</v>
      </c>
      <c r="L287" s="2">
        <f>Games[[#This Row],[OppDaysOff]]-Games[[#This Row],[DaysOff]]</f>
        <v>-2</v>
      </c>
      <c r="M287" s="1">
        <f>MAX(-16, MIN(16, Games[[#This Row],[RestDiff]]*8))</f>
        <v>16</v>
      </c>
      <c r="N287" s="1">
        <f>MAX(-16, MIN(16, Games[[#This Row],[OppRestDiff]]*8))</f>
        <v>-16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1422.418338281029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1646.9320668532384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0.3487234328065984</v>
      </c>
      <c r="R287" s="1">
        <v>77</v>
      </c>
      <c r="S287" s="1">
        <v>89</v>
      </c>
      <c r="T287" s="1">
        <v>0</v>
      </c>
      <c r="U287" s="1">
        <f>Games[[#This Row],[PointsFor]]-Games[[#This Row],[PointsAgainst]]</f>
        <v>-12</v>
      </c>
      <c r="V287" s="1">
        <f>IF(Games[[#This Row],[MOV]]&gt;0,1,IF(Games[[#This Row],[MOV]]=0,0.5,0))</f>
        <v>0</v>
      </c>
      <c r="W287" s="4">
        <f>((ABS(Games[[#This Row],[MOV]])+5)^0.6)/(12+0.01*(ABS(Games[[#This Row],[PreGmRate]]-Games[[#This Row],[OppPreGmRate]])))*IF(Games[[#This Row],[OT]]=1,0.9,1)</f>
        <v>0.38424012398986374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7" s="9">
        <f>MAX(kmin, kmax - 0.15 * MIN(Games[[#This Row],[GamesPlayed]], 82))</f>
        <v>72.400000000000006</v>
      </c>
      <c r="Z287" s="4">
        <f>Games[[#This Row],[K]]*Games[[#This Row],[POMult]]</f>
        <v>72.400000000000006</v>
      </c>
      <c r="AA287" s="4">
        <f>(Games[[#This Row],[Keff]]*Games[[#This Row],[MOVMult]])*(Games[[#This Row],[Result]]-Games[[#This Row],[ExpectedWin%]])</f>
        <v>-9.7011319383279488</v>
      </c>
      <c r="AB287" s="4">
        <f>Games[[#This Row],[PreGmRate]]+Games[[#This Row],[RatingChange]]</f>
        <v>1412.717206342701</v>
      </c>
      <c r="AC287" s="2">
        <f>IF(Games[[#This Row],[Type]]="R",IF(Games[[#This Row],[Result]]&gt;0.5,1,0),0)</f>
        <v>0</v>
      </c>
      <c r="AD287" s="2">
        <f>IF(Games[[#This Row],[Type]]="R",IF(Games[[#This Row],[Result]]&lt;0.5,1,0),0)</f>
        <v>1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45489</v>
      </c>
      <c r="B288" s="2">
        <v>2024</v>
      </c>
      <c r="C288" s="2">
        <f>COUNTIFS(Games[Team],Games[[#This Row],[Team]],Games[Season],Games[[#This Row],[Season]],Games[Date],"&lt;=" &amp; Games[[#This Row],[Date]])</f>
        <v>25</v>
      </c>
      <c r="D288" s="2" t="s">
        <v>79</v>
      </c>
      <c r="E288" s="2" t="s">
        <v>80</v>
      </c>
      <c r="F288" s="1" t="s">
        <v>71</v>
      </c>
      <c r="G288" s="1" t="s">
        <v>63</v>
      </c>
      <c r="H288" s="1" t="s">
        <v>81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8" s="2">
        <f>Games[[#This Row],[DaysOff]]-Games[[#This Row],[OppDaysOff]]</f>
        <v>-1</v>
      </c>
      <c r="L288" s="2">
        <f>Games[[#This Row],[OppDaysOff]]-Games[[#This Row],[DaysOff]]</f>
        <v>1</v>
      </c>
      <c r="M288" s="1">
        <f>MAX(-16, MIN(16, Games[[#This Row],[RestDiff]]*8))</f>
        <v>-8</v>
      </c>
      <c r="N288" s="1">
        <f>MAX(-16, MIN(16, Games[[#This Row],[OppRestDiff]]*8))</f>
        <v>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1567.3559726397912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1377.176512967651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0.62694073000090877</v>
      </c>
      <c r="R288" s="1">
        <v>89</v>
      </c>
      <c r="S288" s="1">
        <v>83</v>
      </c>
      <c r="T288" s="1">
        <v>0</v>
      </c>
      <c r="U288" s="1">
        <f>Games[[#This Row],[PointsFor]]-Games[[#This Row],[PointsAgainst]]</f>
        <v>6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0.30322481775741761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8" s="9">
        <f>MAX(kmin, kmax - 0.15 * MIN(Games[[#This Row],[GamesPlayed]], 82))</f>
        <v>72.25</v>
      </c>
      <c r="Z288" s="4">
        <f>Games[[#This Row],[K]]*Games[[#This Row],[POMult]]</f>
        <v>72.25</v>
      </c>
      <c r="AA288" s="4">
        <f>(Games[[#This Row],[Keff]]*Games[[#This Row],[MOVMult]])*(Games[[#This Row],[Result]]-Games[[#This Row],[ExpectedWin%]])</f>
        <v>8.1729799066792044</v>
      </c>
      <c r="AB288" s="4">
        <f>Games[[#This Row],[PreGmRate]]+Games[[#This Row],[RatingChange]]</f>
        <v>1575.5289525464705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45489</v>
      </c>
      <c r="B289" s="2">
        <v>2024</v>
      </c>
      <c r="C289" s="2">
        <f>COUNTIFS(Games[Team],Games[[#This Row],[Team]],Games[Season],Games[[#This Row],[Season]],Games[Date],"&lt;=" &amp; Games[[#This Row],[Date]])</f>
        <v>24</v>
      </c>
      <c r="D289" s="2" t="s">
        <v>79</v>
      </c>
      <c r="E289" s="2" t="s">
        <v>80</v>
      </c>
      <c r="F289" s="1" t="s">
        <v>63</v>
      </c>
      <c r="G289" s="1" t="s">
        <v>71</v>
      </c>
      <c r="H289" s="1" t="s">
        <v>82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1</v>
      </c>
      <c r="L289" s="2">
        <f>Games[[#This Row],[OppDaysOff]]-Games[[#This Row],[DaysOff]]</f>
        <v>-1</v>
      </c>
      <c r="M289" s="1">
        <f>MAX(-16, MIN(16, Games[[#This Row],[RestDiff]]*8))</f>
        <v>8</v>
      </c>
      <c r="N289" s="1">
        <f>MAX(-16, MIN(16, Games[[#This Row],[OppRestDiff]]*8))</f>
        <v>-8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1377.176512967651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1567.3559726397912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0.37305926999909123</v>
      </c>
      <c r="R289" s="1">
        <v>83</v>
      </c>
      <c r="S289" s="1">
        <v>89</v>
      </c>
      <c r="T289" s="1">
        <v>0</v>
      </c>
      <c r="U289" s="1">
        <f>Games[[#This Row],[PointsFor]]-Games[[#This Row],[PointsAgainst]]</f>
        <v>-6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0.30322481775741761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9" s="9">
        <f>MAX(kmin, kmax - 0.15 * MIN(Games[[#This Row],[GamesPlayed]], 82))</f>
        <v>72.400000000000006</v>
      </c>
      <c r="Z289" s="4">
        <f>Games[[#This Row],[K]]*Games[[#This Row],[POMult]]</f>
        <v>72.400000000000006</v>
      </c>
      <c r="AA289" s="4">
        <f>(Games[[#This Row],[Keff]]*Games[[#This Row],[MOVMult]])*(Games[[#This Row],[Result]]-Games[[#This Row],[ExpectedWin%]])</f>
        <v>-8.1899480310529338</v>
      </c>
      <c r="AB289" s="4">
        <f>Games[[#This Row],[PreGmRate]]+Games[[#This Row],[RatingChange]]</f>
        <v>1368.9865649365981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45489</v>
      </c>
      <c r="B290" s="2">
        <v>2024</v>
      </c>
      <c r="C290" s="2">
        <f>COUNTIFS(Games[Team],Games[[#This Row],[Team]],Games[Season],Games[[#This Row],[Season]],Games[Date],"&lt;=" &amp; Games[[#This Row],[Date]])</f>
        <v>24</v>
      </c>
      <c r="D290" s="2" t="s">
        <v>79</v>
      </c>
      <c r="E290" s="2" t="s">
        <v>80</v>
      </c>
      <c r="F290" s="1" t="s">
        <v>75</v>
      </c>
      <c r="G290" s="1" t="s">
        <v>86</v>
      </c>
      <c r="H290" s="1" t="s">
        <v>81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1</v>
      </c>
      <c r="L290" s="2">
        <f>Games[[#This Row],[OppDaysOff]]-Games[[#This Row],[DaysOff]]</f>
        <v>-1</v>
      </c>
      <c r="M290" s="1">
        <f>MAX(-16, MIN(16, Games[[#This Row],[RestDiff]]*8))</f>
        <v>8</v>
      </c>
      <c r="N290" s="1">
        <f>MAX(-16, MIN(16, Games[[#This Row],[OppRestDiff]]*8))</f>
        <v>-8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1456.1825555134253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1656.6532978218254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0.17574558586862027</v>
      </c>
      <c r="R290" s="1">
        <v>93</v>
      </c>
      <c r="S290" s="1">
        <v>85</v>
      </c>
      <c r="T290" s="1">
        <v>0</v>
      </c>
      <c r="U290" s="1">
        <f>Games[[#This Row],[PointsFor]]-Games[[#This Row],[PointsAgainst]]</f>
        <v>8</v>
      </c>
      <c r="V290" s="1">
        <f>IF(Games[[#This Row],[MOV]]&gt;0,1,IF(Games[[#This Row],[MOV]]=0,0.5,0))</f>
        <v>1</v>
      </c>
      <c r="W290" s="4">
        <f>((ABS(Games[[#This Row],[MOV]])+5)^0.6)/(12+0.01*(ABS(Games[[#This Row],[PreGmRate]]-Games[[#This Row],[OppPreGmRate]])))*IF(Games[[#This Row],[OT]]=1,0.9,1)</f>
        <v>0.33273000850809109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0" s="9">
        <f>MAX(kmin, kmax - 0.15 * MIN(Games[[#This Row],[GamesPlayed]], 82))</f>
        <v>72.400000000000006</v>
      </c>
      <c r="Z290" s="4">
        <f>Games[[#This Row],[K]]*Games[[#This Row],[POMult]]</f>
        <v>72.400000000000006</v>
      </c>
      <c r="AA290" s="4">
        <f>(Games[[#This Row],[Keff]]*Games[[#This Row],[MOVMult]])*(Games[[#This Row],[Result]]-Games[[#This Row],[ExpectedWin%]])</f>
        <v>19.856002503617834</v>
      </c>
      <c r="AB290" s="4">
        <f>Games[[#This Row],[PreGmRate]]+Games[[#This Row],[RatingChange]]</f>
        <v>1476.0385580170432</v>
      </c>
      <c r="AC290" s="2">
        <f>IF(Games[[#This Row],[Type]]="R",IF(Games[[#This Row],[Result]]&gt;0.5,1,0),0)</f>
        <v>1</v>
      </c>
      <c r="AD290" s="2">
        <f>IF(Games[[#This Row],[Type]]="R",IF(Games[[#This Row],[Result]]&lt;0.5,1,0),0)</f>
        <v>0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45489</v>
      </c>
      <c r="B291" s="2">
        <v>2024</v>
      </c>
      <c r="C291" s="2">
        <f>COUNTIFS(Games[Team],Games[[#This Row],[Team]],Games[Season],Games[[#This Row],[Season]],Games[Date],"&lt;=" &amp; Games[[#This Row],[Date]])</f>
        <v>24</v>
      </c>
      <c r="D291" s="2" t="s">
        <v>79</v>
      </c>
      <c r="E291" s="2" t="s">
        <v>80</v>
      </c>
      <c r="F291" s="1" t="s">
        <v>86</v>
      </c>
      <c r="G291" s="1" t="s">
        <v>75</v>
      </c>
      <c r="H291" s="1" t="s">
        <v>82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1" s="2">
        <f>Games[[#This Row],[DaysOff]]-Games[[#This Row],[OppDaysOff]]</f>
        <v>-1</v>
      </c>
      <c r="L291" s="2">
        <f>Games[[#This Row],[OppDaysOff]]-Games[[#This Row],[DaysOff]]</f>
        <v>1</v>
      </c>
      <c r="M291" s="1">
        <f>MAX(-16, MIN(16, Games[[#This Row],[RestDiff]]*8))</f>
        <v>-8</v>
      </c>
      <c r="N291" s="1">
        <f>MAX(-16, MIN(16, Games[[#This Row],[OppRestDiff]]*8))</f>
        <v>8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1656.6532978218254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1456.1825555134253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0.82425441413137968</v>
      </c>
      <c r="R291" s="1">
        <v>85</v>
      </c>
      <c r="S291" s="1">
        <v>93</v>
      </c>
      <c r="T291" s="1">
        <v>0</v>
      </c>
      <c r="U291" s="1">
        <f>Games[[#This Row],[PointsFor]]-Games[[#This Row],[PointsAgainst]]</f>
        <v>-8</v>
      </c>
      <c r="V291" s="1">
        <f>IF(Games[[#This Row],[MOV]]&gt;0,1,IF(Games[[#This Row],[MOV]]=0,0.5,0))</f>
        <v>0</v>
      </c>
      <c r="W291" s="4">
        <f>((ABS(Games[[#This Row],[MOV]])+5)^0.6)/(12+0.01*(ABS(Games[[#This Row],[PreGmRate]]-Games[[#This Row],[OppPreGmRate]])))*IF(Games[[#This Row],[OT]]=1,0.9,1)</f>
        <v>0.33273000850809109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1" s="9">
        <f>MAX(kmin, kmax - 0.15 * MIN(Games[[#This Row],[GamesPlayed]], 82))</f>
        <v>72.400000000000006</v>
      </c>
      <c r="Z291" s="4">
        <f>Games[[#This Row],[K]]*Games[[#This Row],[POMult]]</f>
        <v>72.400000000000006</v>
      </c>
      <c r="AA291" s="4">
        <f>(Games[[#This Row],[Keff]]*Games[[#This Row],[MOVMult]])*(Games[[#This Row],[Result]]-Games[[#This Row],[ExpectedWin%]])</f>
        <v>-19.856002503617834</v>
      </c>
      <c r="AB291" s="4">
        <f>Games[[#This Row],[PreGmRate]]+Games[[#This Row],[RatingChange]]</f>
        <v>1636.7972953182075</v>
      </c>
      <c r="AC291" s="2">
        <f>IF(Games[[#This Row],[Type]]="R",IF(Games[[#This Row],[Result]]&gt;0.5,1,0),0)</f>
        <v>0</v>
      </c>
      <c r="AD291" s="2">
        <f>IF(Games[[#This Row],[Type]]="R",IF(Games[[#This Row],[Result]]&lt;0.5,1,0),0)</f>
        <v>1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45489</v>
      </c>
      <c r="B292" s="2">
        <v>2024</v>
      </c>
      <c r="C292" s="2">
        <f>COUNTIFS(Games[Team],Games[[#This Row],[Team]],Games[Season],Games[[#This Row],[Season]],Games[Date],"&lt;=" &amp; Games[[#This Row],[Date]])</f>
        <v>24</v>
      </c>
      <c r="D292" s="2" t="s">
        <v>79</v>
      </c>
      <c r="E292" s="2" t="s">
        <v>80</v>
      </c>
      <c r="F292" s="1" t="s">
        <v>74</v>
      </c>
      <c r="G292" s="1" t="s">
        <v>60</v>
      </c>
      <c r="H292" s="1" t="s">
        <v>81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2" s="2">
        <f>Games[[#This Row],[DaysOff]]-Games[[#This Row],[OppDaysOff]]</f>
        <v>-1</v>
      </c>
      <c r="L292" s="2">
        <f>Games[[#This Row],[OppDaysOff]]-Games[[#This Row],[DaysOff]]</f>
        <v>1</v>
      </c>
      <c r="M292" s="1">
        <f>MAX(-16, MIN(16, Games[[#This Row],[RestDiff]]*8))</f>
        <v>-8</v>
      </c>
      <c r="N292" s="1">
        <f>MAX(-16, MIN(16, Games[[#This Row],[OppRestDiff]]*8))</f>
        <v>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1628.6460358064157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1688.4048114698155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0.28503014419854755</v>
      </c>
      <c r="R292" s="1">
        <v>74</v>
      </c>
      <c r="S292" s="1">
        <v>82</v>
      </c>
      <c r="T292" s="1">
        <v>0</v>
      </c>
      <c r="U292" s="1">
        <f>Games[[#This Row],[PointsFor]]-Games[[#This Row],[PointsAgainst]]</f>
        <v>-8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0.36989513469213048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2" s="9">
        <f>MAX(kmin, kmax - 0.15 * MIN(Games[[#This Row],[GamesPlayed]], 82))</f>
        <v>72.400000000000006</v>
      </c>
      <c r="Z292" s="4">
        <f>Games[[#This Row],[K]]*Games[[#This Row],[POMult]]</f>
        <v>72.400000000000006</v>
      </c>
      <c r="AA292" s="4">
        <f>(Games[[#This Row],[Keff]]*Games[[#This Row],[MOVMult]])*(Games[[#This Row],[Result]]-Games[[#This Row],[ExpectedWin%]])</f>
        <v>-7.6332234831658736</v>
      </c>
      <c r="AB292" s="4">
        <f>Games[[#This Row],[PreGmRate]]+Games[[#This Row],[RatingChange]]</f>
        <v>1621.0128123232498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45489</v>
      </c>
      <c r="B293" s="2">
        <v>2024</v>
      </c>
      <c r="C293" s="2">
        <f>COUNTIFS(Games[Team],Games[[#This Row],[Team]],Games[Season],Games[[#This Row],[Season]],Games[Date],"&lt;=" &amp; Games[[#This Row],[Date]])</f>
        <v>26</v>
      </c>
      <c r="D293" s="2" t="s">
        <v>79</v>
      </c>
      <c r="E293" s="2" t="s">
        <v>80</v>
      </c>
      <c r="F293" s="1" t="s">
        <v>60</v>
      </c>
      <c r="G293" s="1" t="s">
        <v>74</v>
      </c>
      <c r="H293" s="1" t="s">
        <v>82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1</v>
      </c>
      <c r="L293" s="2">
        <f>Games[[#This Row],[OppDaysOff]]-Games[[#This Row],[DaysOff]]</f>
        <v>-1</v>
      </c>
      <c r="M293" s="1">
        <f>MAX(-16, MIN(16, Games[[#This Row],[RestDiff]]*8))</f>
        <v>8</v>
      </c>
      <c r="N293" s="1">
        <f>MAX(-16, MIN(16, Games[[#This Row],[OppRestDiff]]*8))</f>
        <v>-8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1688.4048114698155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1628.6460358064157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0.71496985580145245</v>
      </c>
      <c r="R293" s="1">
        <v>82</v>
      </c>
      <c r="S293" s="1">
        <v>74</v>
      </c>
      <c r="T293" s="1">
        <v>0</v>
      </c>
      <c r="U293" s="1">
        <f>Games[[#This Row],[PointsFor]]-Games[[#This Row],[PointsAgainst]]</f>
        <v>8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0.36989513469213048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3" s="9">
        <f>MAX(kmin, kmax - 0.15 * MIN(Games[[#This Row],[GamesPlayed]], 82))</f>
        <v>72.099999999999994</v>
      </c>
      <c r="Z293" s="4">
        <f>Games[[#This Row],[K]]*Games[[#This Row],[POMult]]</f>
        <v>72.099999999999994</v>
      </c>
      <c r="AA293" s="4">
        <f>(Games[[#This Row],[Keff]]*Games[[#This Row],[MOVMult]])*(Games[[#This Row],[Result]]-Games[[#This Row],[ExpectedWin%]])</f>
        <v>7.6015941040919799</v>
      </c>
      <c r="AB293" s="4">
        <f>Games[[#This Row],[PreGmRate]]+Games[[#This Row],[RatingChange]]</f>
        <v>1696.0064055739074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45489</v>
      </c>
      <c r="B294" s="2">
        <v>2024</v>
      </c>
      <c r="C294" s="2">
        <f>COUNTIFS(Games[Team],Games[[#This Row],[Team]],Games[Season],Games[[#This Row],[Season]],Games[Date],"&lt;=" &amp; Games[[#This Row],[Date]])</f>
        <v>25</v>
      </c>
      <c r="D294" s="2" t="s">
        <v>79</v>
      </c>
      <c r="E294" s="2" t="s">
        <v>80</v>
      </c>
      <c r="F294" s="1" t="s">
        <v>40</v>
      </c>
      <c r="G294" s="1" t="s">
        <v>65</v>
      </c>
      <c r="H294" s="1" t="s">
        <v>81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1451.5546142156488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1412.717206342701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0.43536941656906331</v>
      </c>
      <c r="R294" s="1">
        <v>96</v>
      </c>
      <c r="S294" s="1">
        <v>87</v>
      </c>
      <c r="T294" s="1">
        <v>0</v>
      </c>
      <c r="U294" s="1">
        <f>Games[[#This Row],[PointsFor]]-Games[[#This Row],[PointsAgainst]]</f>
        <v>9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0.39324436724359391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4" s="9">
        <f>MAX(kmin, kmax - 0.15 * MIN(Games[[#This Row],[GamesPlayed]], 82))</f>
        <v>72.25</v>
      </c>
      <c r="Z294" s="4">
        <f>Games[[#This Row],[K]]*Games[[#This Row],[POMult]]</f>
        <v>72.25</v>
      </c>
      <c r="AA294" s="4">
        <f>(Games[[#This Row],[Keff]]*Games[[#This Row],[MOVMult]])*(Games[[#This Row],[Result]]-Games[[#This Row],[ExpectedWin%]])</f>
        <v>16.042230797679874</v>
      </c>
      <c r="AB294" s="4">
        <f>Games[[#This Row],[PreGmRate]]+Games[[#This Row],[RatingChange]]</f>
        <v>1467.5968450133287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45489</v>
      </c>
      <c r="B295" s="2">
        <v>2024</v>
      </c>
      <c r="C295" s="2">
        <f>COUNTIFS(Games[Team],Games[[#This Row],[Team]],Games[Season],Games[[#This Row],[Season]],Games[Date],"&lt;=" &amp; Games[[#This Row],[Date]])</f>
        <v>25</v>
      </c>
      <c r="D295" s="2" t="s">
        <v>79</v>
      </c>
      <c r="E295" s="2" t="s">
        <v>80</v>
      </c>
      <c r="F295" s="1" t="s">
        <v>65</v>
      </c>
      <c r="G295" s="1" t="s">
        <v>40</v>
      </c>
      <c r="H295" s="1" t="s">
        <v>82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1412.717206342701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1451.5546142156488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0.56463058343093675</v>
      </c>
      <c r="R295" s="1">
        <v>87</v>
      </c>
      <c r="S295" s="1">
        <v>96</v>
      </c>
      <c r="T295" s="1">
        <v>0</v>
      </c>
      <c r="U295" s="1">
        <f>Games[[#This Row],[PointsFor]]-Games[[#This Row],[PointsAgainst]]</f>
        <v>-9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0.39324436724359391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5" s="9">
        <f>MAX(kmin, kmax - 0.15 * MIN(Games[[#This Row],[GamesPlayed]], 82))</f>
        <v>72.25</v>
      </c>
      <c r="Z295" s="4">
        <f>Games[[#This Row],[K]]*Games[[#This Row],[POMult]]</f>
        <v>72.25</v>
      </c>
      <c r="AA295" s="4">
        <f>(Games[[#This Row],[Keff]]*Games[[#This Row],[MOVMult]])*(Games[[#This Row],[Result]]-Games[[#This Row],[ExpectedWin%]])</f>
        <v>-16.042230797679878</v>
      </c>
      <c r="AB295" s="4">
        <f>Games[[#This Row],[PreGmRate]]+Games[[#This Row],[RatingChange]]</f>
        <v>1396.6749755450212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45490</v>
      </c>
      <c r="B296" s="2">
        <v>2024</v>
      </c>
      <c r="C296" s="2">
        <f>COUNTIFS(Games[Team],Games[[#This Row],[Team]],Games[Season],Games[[#This Row],[Season]],Games[Date],"&lt;=" &amp; Games[[#This Row],[Date]])</f>
        <v>26</v>
      </c>
      <c r="D296" s="2" t="s">
        <v>79</v>
      </c>
      <c r="E296" s="2" t="s">
        <v>80</v>
      </c>
      <c r="F296" s="1" t="s">
        <v>69</v>
      </c>
      <c r="G296" s="1" t="s">
        <v>85</v>
      </c>
      <c r="H296" s="1" t="s">
        <v>81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6" s="2">
        <f>Games[[#This Row],[DaysOff]]-Games[[#This Row],[OppDaysOff]]</f>
        <v>-1</v>
      </c>
      <c r="L296" s="2">
        <f>Games[[#This Row],[OppDaysOff]]-Games[[#This Row],[DaysOff]]</f>
        <v>1</v>
      </c>
      <c r="M296" s="1">
        <f>MAX(-16, MIN(16, Games[[#This Row],[RestDiff]]*8))</f>
        <v>-8</v>
      </c>
      <c r="N296" s="1">
        <f>MAX(-16, MIN(16, Games[[#This Row],[OppRestDiff]]*8))</f>
        <v>8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1459.8817507508481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1355.8223852825809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0.50584163069567001</v>
      </c>
      <c r="R296" s="1">
        <v>93</v>
      </c>
      <c r="S296" s="1">
        <v>101</v>
      </c>
      <c r="T296" s="1">
        <v>0</v>
      </c>
      <c r="U296" s="1">
        <f>Games[[#This Row],[PointsFor]]-Games[[#This Row],[PointsAgainst]]</f>
        <v>-8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0.35732931670352364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6" s="9">
        <f>MAX(kmin, kmax - 0.15 * MIN(Games[[#This Row],[GamesPlayed]], 82))</f>
        <v>72.099999999999994</v>
      </c>
      <c r="Z296" s="4">
        <f>Games[[#This Row],[K]]*Games[[#This Row],[POMult]]</f>
        <v>72.099999999999994</v>
      </c>
      <c r="AA296" s="4">
        <f>(Games[[#This Row],[Keff]]*Games[[#This Row],[MOVMult]])*(Games[[#This Row],[Result]]-Games[[#This Row],[ExpectedWin%]])</f>
        <v>-13.032222390906622</v>
      </c>
      <c r="AB296" s="4">
        <f>Games[[#This Row],[PreGmRate]]+Games[[#This Row],[RatingChange]]</f>
        <v>1446.8495283599416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45490</v>
      </c>
      <c r="B297" s="2">
        <v>2024</v>
      </c>
      <c r="C297" s="2">
        <f>COUNTIFS(Games[Team],Games[[#This Row],[Team]],Games[Season],Games[[#This Row],[Season]],Games[Date],"&lt;=" &amp; Games[[#This Row],[Date]])</f>
        <v>25</v>
      </c>
      <c r="D297" s="2" t="s">
        <v>79</v>
      </c>
      <c r="E297" s="2" t="s">
        <v>80</v>
      </c>
      <c r="F297" s="1" t="s">
        <v>85</v>
      </c>
      <c r="G297" s="1" t="s">
        <v>69</v>
      </c>
      <c r="H297" s="1" t="s">
        <v>82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7" s="2">
        <f>Games[[#This Row],[DaysOff]]-Games[[#This Row],[OppDaysOff]]</f>
        <v>1</v>
      </c>
      <c r="L297" s="2">
        <f>Games[[#This Row],[OppDaysOff]]-Games[[#This Row],[DaysOff]]</f>
        <v>-1</v>
      </c>
      <c r="M297" s="1">
        <f>MAX(-16, MIN(16, Games[[#This Row],[RestDiff]]*8))</f>
        <v>8</v>
      </c>
      <c r="N297" s="1">
        <f>MAX(-16, MIN(16, Games[[#This Row],[OppRestDiff]]*8))</f>
        <v>-8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1355.8223852825809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1459.8817507508481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0.49415836930433005</v>
      </c>
      <c r="R297" s="1">
        <v>101</v>
      </c>
      <c r="S297" s="1">
        <v>93</v>
      </c>
      <c r="T297" s="1">
        <v>0</v>
      </c>
      <c r="U297" s="1">
        <f>Games[[#This Row],[PointsFor]]-Games[[#This Row],[PointsAgainst]]</f>
        <v>8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0.35732931670352364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7" s="9">
        <f>MAX(kmin, kmax - 0.15 * MIN(Games[[#This Row],[GamesPlayed]], 82))</f>
        <v>72.25</v>
      </c>
      <c r="Z297" s="4">
        <f>Games[[#This Row],[K]]*Games[[#This Row],[POMult]]</f>
        <v>72.25</v>
      </c>
      <c r="AA297" s="4">
        <f>(Games[[#This Row],[Keff]]*Games[[#This Row],[MOVMult]])*(Games[[#This Row],[Result]]-Games[[#This Row],[ExpectedWin%]])</f>
        <v>13.059335197545121</v>
      </c>
      <c r="AB297" s="4">
        <f>Games[[#This Row],[PreGmRate]]+Games[[#This Row],[RatingChange]]</f>
        <v>1368.881720480126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45490</v>
      </c>
      <c r="B298" s="2">
        <v>2024</v>
      </c>
      <c r="C298" s="2">
        <f>COUNTIFS(Games[Team],Games[[#This Row],[Team]],Games[Season],Games[[#This Row],[Season]],Games[Date],"&lt;=" &amp; Games[[#This Row],[Date]])</f>
        <v>24</v>
      </c>
      <c r="D298" s="2" t="s">
        <v>79</v>
      </c>
      <c r="E298" s="2" t="s">
        <v>80</v>
      </c>
      <c r="F298" s="1" t="s">
        <v>77</v>
      </c>
      <c r="G298" s="1" t="s">
        <v>67</v>
      </c>
      <c r="H298" s="1" t="s">
        <v>81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1373.3976483235772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1571.7156340022434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0.16449543905227401</v>
      </c>
      <c r="R298" s="1">
        <v>79</v>
      </c>
      <c r="S298" s="1">
        <v>86</v>
      </c>
      <c r="T298" s="1">
        <v>0</v>
      </c>
      <c r="U298" s="1">
        <f>Games[[#This Row],[PointsFor]]-Games[[#This Row],[PointsAgainst]]</f>
        <v>-7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0.31761631584036909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8" s="9">
        <f>MAX(kmin, kmax - 0.15 * MIN(Games[[#This Row],[GamesPlayed]], 82))</f>
        <v>72.400000000000006</v>
      </c>
      <c r="Z298" s="4">
        <f>Games[[#This Row],[K]]*Games[[#This Row],[POMult]]</f>
        <v>72.400000000000006</v>
      </c>
      <c r="AA298" s="4">
        <f>(Games[[#This Row],[Keff]]*Games[[#This Row],[MOVMult]])*(Games[[#This Row],[Result]]-Games[[#This Row],[ExpectedWin%]])</f>
        <v>-3.7826419174812926</v>
      </c>
      <c r="AB298" s="4">
        <f>Games[[#This Row],[PreGmRate]]+Games[[#This Row],[RatingChange]]</f>
        <v>1369.615006406096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45490</v>
      </c>
      <c r="B299" s="2">
        <v>2024</v>
      </c>
      <c r="C299" s="2">
        <f>COUNTIFS(Games[Team],Games[[#This Row],[Team]],Games[Season],Games[[#This Row],[Season]],Games[Date],"&lt;=" &amp; Games[[#This Row],[Date]])</f>
        <v>26</v>
      </c>
      <c r="D299" s="2" t="s">
        <v>79</v>
      </c>
      <c r="E299" s="2" t="s">
        <v>80</v>
      </c>
      <c r="F299" s="1" t="s">
        <v>67</v>
      </c>
      <c r="G299" s="1" t="s">
        <v>77</v>
      </c>
      <c r="H299" s="1" t="s">
        <v>82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1571.7156340022434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1373.3976483235772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0.83550456094772596</v>
      </c>
      <c r="R299" s="1">
        <v>86</v>
      </c>
      <c r="S299" s="1">
        <v>79</v>
      </c>
      <c r="T299" s="1">
        <v>0</v>
      </c>
      <c r="U299" s="1">
        <f>Games[[#This Row],[PointsFor]]-Games[[#This Row],[PointsAgainst]]</f>
        <v>7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0.31761631584036909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9" s="9">
        <f>MAX(kmin, kmax - 0.15 * MIN(Games[[#This Row],[GamesPlayed]], 82))</f>
        <v>72.099999999999994</v>
      </c>
      <c r="Z299" s="4">
        <f>Games[[#This Row],[K]]*Games[[#This Row],[POMult]]</f>
        <v>72.099999999999994</v>
      </c>
      <c r="AA299" s="4">
        <f>(Games[[#This Row],[Keff]]*Games[[#This Row],[MOVMult]])*(Games[[#This Row],[Result]]-Games[[#This Row],[ExpectedWin%]])</f>
        <v>3.7669679868839951</v>
      </c>
      <c r="AB299" s="4">
        <f>Games[[#This Row],[PreGmRate]]+Games[[#This Row],[RatingChange]]</f>
        <v>1575.4826019891275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45519</v>
      </c>
      <c r="B300" s="2">
        <v>2024</v>
      </c>
      <c r="C300" s="2">
        <f>COUNTIFS(Games[Team],Games[[#This Row],[Team]],Games[Season],Games[[#This Row],[Season]],Games[Date],"&lt;=" &amp; Games[[#This Row],[Date]])</f>
        <v>26</v>
      </c>
      <c r="D300" s="2" t="s">
        <v>79</v>
      </c>
      <c r="E300" s="2" t="s">
        <v>80</v>
      </c>
      <c r="F300" s="1" t="s">
        <v>40</v>
      </c>
      <c r="G300" s="1" t="s">
        <v>75</v>
      </c>
      <c r="H300" s="1" t="s">
        <v>81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29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29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1467.5968450133287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1476.0385580170432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0.37001854047953026</v>
      </c>
      <c r="R300" s="1">
        <v>85</v>
      </c>
      <c r="S300" s="1">
        <v>65</v>
      </c>
      <c r="T300" s="1">
        <v>0</v>
      </c>
      <c r="U300" s="1">
        <f>Games[[#This Row],[PointsFor]]-Games[[#This Row],[PointsAgainst]]</f>
        <v>20</v>
      </c>
      <c r="V300" s="1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0.57087141506881001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0" s="9">
        <f>MAX(kmin, kmax - 0.15 * MIN(Games[[#This Row],[GamesPlayed]], 82))</f>
        <v>72.099999999999994</v>
      </c>
      <c r="Z300" s="4">
        <f>Games[[#This Row],[K]]*Games[[#This Row],[POMult]]</f>
        <v>72.099999999999994</v>
      </c>
      <c r="AA300" s="4">
        <f>(Games[[#This Row],[Keff]]*Games[[#This Row],[MOVMult]])*(Games[[#This Row],[Result]]-Games[[#This Row],[ExpectedWin%]])</f>
        <v>25.929929163703022</v>
      </c>
      <c r="AB300" s="4">
        <f>Games[[#This Row],[PreGmRate]]+Games[[#This Row],[RatingChange]]</f>
        <v>1493.5267741770317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45519</v>
      </c>
      <c r="B301" s="2">
        <v>2024</v>
      </c>
      <c r="C301" s="2">
        <f>COUNTIFS(Games[Team],Games[[#This Row],[Team]],Games[Season],Games[[#This Row],[Season]],Games[Date],"&lt;=" &amp; Games[[#This Row],[Date]])</f>
        <v>25</v>
      </c>
      <c r="D301" s="2" t="s">
        <v>79</v>
      </c>
      <c r="E301" s="2" t="s">
        <v>80</v>
      </c>
      <c r="F301" s="1" t="s">
        <v>75</v>
      </c>
      <c r="G301" s="1" t="s">
        <v>40</v>
      </c>
      <c r="H301" s="1" t="s">
        <v>82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29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29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1476.0385580170432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1467.5968450133287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0.62998145952046969</v>
      </c>
      <c r="R301" s="1">
        <v>65</v>
      </c>
      <c r="S301" s="1">
        <v>85</v>
      </c>
      <c r="T301" s="1">
        <v>0</v>
      </c>
      <c r="U301" s="1">
        <f>Games[[#This Row],[PointsFor]]-Games[[#This Row],[PointsAgainst]]</f>
        <v>-20</v>
      </c>
      <c r="V301" s="1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0.57087141506881001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1" s="9">
        <f>MAX(kmin, kmax - 0.15 * MIN(Games[[#This Row],[GamesPlayed]], 82))</f>
        <v>72.25</v>
      </c>
      <c r="Z301" s="4">
        <f>Games[[#This Row],[K]]*Games[[#This Row],[POMult]]</f>
        <v>72.25</v>
      </c>
      <c r="AA301" s="4">
        <f>(Games[[#This Row],[Keff]]*Games[[#This Row],[MOVMult]])*(Games[[#This Row],[Result]]-Games[[#This Row],[ExpectedWin%]])</f>
        <v>-25.983874924792556</v>
      </c>
      <c r="AB301" s="4">
        <f>Games[[#This Row],[PreGmRate]]+Games[[#This Row],[RatingChange]]</f>
        <v>1450.0546830922506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45519</v>
      </c>
      <c r="B302" s="2">
        <v>2024</v>
      </c>
      <c r="C302" s="2">
        <f>COUNTIFS(Games[Team],Games[[#This Row],[Team]],Games[Season],Games[[#This Row],[Season]],Games[Date],"&lt;=" &amp; Games[[#This Row],[Date]])</f>
        <v>27</v>
      </c>
      <c r="D302" s="2" t="s">
        <v>79</v>
      </c>
      <c r="E302" s="2" t="s">
        <v>80</v>
      </c>
      <c r="F302" s="1" t="s">
        <v>60</v>
      </c>
      <c r="G302" s="1" t="s">
        <v>63</v>
      </c>
      <c r="H302" s="1" t="s">
        <v>81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29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29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1696.0064055739074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1368.9865649365981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0.80201478011154159</v>
      </c>
      <c r="R302" s="1">
        <v>103</v>
      </c>
      <c r="S302" s="1">
        <v>68</v>
      </c>
      <c r="T302" s="1">
        <v>0</v>
      </c>
      <c r="U302" s="1">
        <f>Games[[#This Row],[PointsFor]]-Games[[#This Row],[PointsAgainst]]</f>
        <v>35</v>
      </c>
      <c r="V302" s="1">
        <f>IF(Games[[#This Row],[MOV]]&gt;0,1,IF(Games[[#This Row],[MOV]]=0,0.5,0))</f>
        <v>1</v>
      </c>
      <c r="W302" s="4">
        <f>((ABS(Games[[#This Row],[MOV]])+5)^0.6)/(12+0.01*(ABS(Games[[#This Row],[PreGmRate]]-Games[[#This Row],[OppPreGmRate]])))*IF(Games[[#This Row],[OT]]=1,0.9,1)</f>
        <v>0.59895102834612512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2" s="9">
        <f>MAX(kmin, kmax - 0.15 * MIN(Games[[#This Row],[GamesPlayed]], 82))</f>
        <v>71.95</v>
      </c>
      <c r="Z302" s="4">
        <f>Games[[#This Row],[K]]*Games[[#This Row],[POMult]]</f>
        <v>71.95</v>
      </c>
      <c r="AA302" s="4">
        <f>(Games[[#This Row],[Keff]]*Games[[#This Row],[MOVMult]])*(Games[[#This Row],[Result]]-Games[[#This Row],[ExpectedWin%]])</f>
        <v>8.5320793030133864</v>
      </c>
      <c r="AB302" s="4">
        <f>Games[[#This Row],[PreGmRate]]+Games[[#This Row],[RatingChange]]</f>
        <v>1704.5384848769208</v>
      </c>
      <c r="AC302" s="2">
        <f>IF(Games[[#This Row],[Type]]="R",IF(Games[[#This Row],[Result]]&gt;0.5,1,0),0)</f>
        <v>1</v>
      </c>
      <c r="AD302" s="2">
        <f>IF(Games[[#This Row],[Type]]="R",IF(Games[[#This Row],[Result]]&lt;0.5,1,0),0)</f>
        <v>0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45519</v>
      </c>
      <c r="B303" s="2">
        <v>2024</v>
      </c>
      <c r="C303" s="2">
        <f>COUNTIFS(Games[Team],Games[[#This Row],[Team]],Games[Season],Games[[#This Row],[Season]],Games[Date],"&lt;=" &amp; Games[[#This Row],[Date]])</f>
        <v>25</v>
      </c>
      <c r="D303" s="2" t="s">
        <v>79</v>
      </c>
      <c r="E303" s="2" t="s">
        <v>80</v>
      </c>
      <c r="F303" s="1" t="s">
        <v>63</v>
      </c>
      <c r="G303" s="1" t="s">
        <v>60</v>
      </c>
      <c r="H303" s="1" t="s">
        <v>82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29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29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1368.9865649365981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1696.0064055739074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0.19798521988845838</v>
      </c>
      <c r="R303" s="1">
        <v>68</v>
      </c>
      <c r="S303" s="1">
        <v>103</v>
      </c>
      <c r="T303" s="1">
        <v>0</v>
      </c>
      <c r="U303" s="1">
        <f>Games[[#This Row],[PointsFor]]-Games[[#This Row],[PointsAgainst]]</f>
        <v>-35</v>
      </c>
      <c r="V303" s="1">
        <f>IF(Games[[#This Row],[MOV]]&gt;0,1,IF(Games[[#This Row],[MOV]]=0,0.5,0))</f>
        <v>0</v>
      </c>
      <c r="W303" s="4">
        <f>((ABS(Games[[#This Row],[MOV]])+5)^0.6)/(12+0.01*(ABS(Games[[#This Row],[PreGmRate]]-Games[[#This Row],[OppPreGmRate]])))*IF(Games[[#This Row],[OT]]=1,0.9,1)</f>
        <v>0.59895102834612512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3" s="9">
        <f>MAX(kmin, kmax - 0.15 * MIN(Games[[#This Row],[GamesPlayed]], 82))</f>
        <v>72.25</v>
      </c>
      <c r="Z303" s="4">
        <f>Games[[#This Row],[K]]*Games[[#This Row],[POMult]]</f>
        <v>72.25</v>
      </c>
      <c r="AA303" s="4">
        <f>(Games[[#This Row],[Keff]]*Games[[#This Row],[MOVMult]])*(Games[[#This Row],[Result]]-Games[[#This Row],[ExpectedWin%]])</f>
        <v>-8.5676543383282429</v>
      </c>
      <c r="AB303" s="4">
        <f>Games[[#This Row],[PreGmRate]]+Games[[#This Row],[RatingChange]]</f>
        <v>1360.4189105982698</v>
      </c>
      <c r="AC303" s="2">
        <f>IF(Games[[#This Row],[Type]]="R",IF(Games[[#This Row],[Result]]&gt;0.5,1,0),0)</f>
        <v>0</v>
      </c>
      <c r="AD303" s="2">
        <f>IF(Games[[#This Row],[Type]]="R",IF(Games[[#This Row],[Result]]&lt;0.5,1,0),0)</f>
        <v>1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45519</v>
      </c>
      <c r="B304" s="2">
        <v>2024</v>
      </c>
      <c r="C304" s="2">
        <f>COUNTIFS(Games[Team],Games[[#This Row],[Team]],Games[Season],Games[[#This Row],[Season]],Games[Date],"&lt;=" &amp; Games[[#This Row],[Date]])</f>
        <v>26</v>
      </c>
      <c r="D304" s="2" t="s">
        <v>79</v>
      </c>
      <c r="E304" s="2" t="s">
        <v>80</v>
      </c>
      <c r="F304" s="1" t="s">
        <v>65</v>
      </c>
      <c r="G304" s="1" t="s">
        <v>67</v>
      </c>
      <c r="H304" s="1" t="s">
        <v>81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29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28</v>
      </c>
      <c r="K304" s="2">
        <f>Games[[#This Row],[DaysOff]]-Games[[#This Row],[OppDaysOff]]</f>
        <v>1</v>
      </c>
      <c r="L304" s="2">
        <f>Games[[#This Row],[OppDaysOff]]-Games[[#This Row],[DaysOff]]</f>
        <v>-1</v>
      </c>
      <c r="M304" s="1">
        <f>MAX(-16, MIN(16, Games[[#This Row],[RestDiff]]*8))</f>
        <v>8</v>
      </c>
      <c r="N304" s="1">
        <f>MAX(-16, MIN(16, Games[[#This Row],[OppRestDiff]]*8))</f>
        <v>-8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1396.6749755450212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1575.4826019891275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0.19454577293380104</v>
      </c>
      <c r="R304" s="1">
        <v>68</v>
      </c>
      <c r="S304" s="1">
        <v>79</v>
      </c>
      <c r="T304" s="1">
        <v>0</v>
      </c>
      <c r="U304" s="1">
        <f>Games[[#This Row],[PointsFor]]-Games[[#This Row],[PointsAgainst]]</f>
        <v>-11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0.3827968123953176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4" s="9">
        <f>MAX(kmin, kmax - 0.15 * MIN(Games[[#This Row],[GamesPlayed]], 82))</f>
        <v>72.099999999999994</v>
      </c>
      <c r="Z304" s="4">
        <f>Games[[#This Row],[K]]*Games[[#This Row],[POMult]]</f>
        <v>72.099999999999994</v>
      </c>
      <c r="AA304" s="4">
        <f>(Games[[#This Row],[Keff]]*Games[[#This Row],[MOVMult]])*(Games[[#This Row],[Result]]-Games[[#This Row],[ExpectedWin%]])</f>
        <v>-5.3693952757454486</v>
      </c>
      <c r="AB304" s="4">
        <f>Games[[#This Row],[PreGmRate]]+Games[[#This Row],[RatingChange]]</f>
        <v>1391.3055802692757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45519</v>
      </c>
      <c r="B305" s="2">
        <v>2024</v>
      </c>
      <c r="C305" s="2">
        <f>COUNTIFS(Games[Team],Games[[#This Row],[Team]],Games[Season],Games[[#This Row],[Season]],Games[Date],"&lt;=" &amp; Games[[#This Row],[Date]])</f>
        <v>27</v>
      </c>
      <c r="D305" s="2" t="s">
        <v>79</v>
      </c>
      <c r="E305" s="2" t="s">
        <v>80</v>
      </c>
      <c r="F305" s="1" t="s">
        <v>67</v>
      </c>
      <c r="G305" s="1" t="s">
        <v>65</v>
      </c>
      <c r="H305" s="1" t="s">
        <v>82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28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29</v>
      </c>
      <c r="K305" s="2">
        <f>Games[[#This Row],[DaysOff]]-Games[[#This Row],[OppDaysOff]]</f>
        <v>-1</v>
      </c>
      <c r="L305" s="2">
        <f>Games[[#This Row],[OppDaysOff]]-Games[[#This Row],[DaysOff]]</f>
        <v>1</v>
      </c>
      <c r="M305" s="1">
        <f>MAX(-16, MIN(16, Games[[#This Row],[RestDiff]]*8))</f>
        <v>-8</v>
      </c>
      <c r="N305" s="1">
        <f>MAX(-16, MIN(16, Games[[#This Row],[OppRestDiff]]*8))</f>
        <v>8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1575.4826019891275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1396.6749755450212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0.80545422706619896</v>
      </c>
      <c r="R305" s="1">
        <v>79</v>
      </c>
      <c r="S305" s="1">
        <v>68</v>
      </c>
      <c r="T305" s="1">
        <v>0</v>
      </c>
      <c r="U305" s="1">
        <f>Games[[#This Row],[PointsFor]]-Games[[#This Row],[PointsAgainst]]</f>
        <v>11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0.3827968123953176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5" s="9">
        <f>MAX(kmin, kmax - 0.15 * MIN(Games[[#This Row],[GamesPlayed]], 82))</f>
        <v>71.95</v>
      </c>
      <c r="Z305" s="4">
        <f>Games[[#This Row],[K]]*Games[[#This Row],[POMult]]</f>
        <v>71.95</v>
      </c>
      <c r="AA305" s="4">
        <f>(Games[[#This Row],[Keff]]*Games[[#This Row],[MOVMult]])*(Games[[#This Row],[Result]]-Games[[#This Row],[ExpectedWin%]])</f>
        <v>5.3582245504838433</v>
      </c>
      <c r="AB305" s="4">
        <f>Games[[#This Row],[PreGmRate]]+Games[[#This Row],[RatingChange]]</f>
        <v>1580.8408265396113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45520</v>
      </c>
      <c r="B306" s="2">
        <v>2024</v>
      </c>
      <c r="C306" s="2">
        <f>COUNTIFS(Games[Team],Games[[#This Row],[Team]],Games[Season],Games[[#This Row],[Season]],Games[Date],"&lt;=" &amp; Games[[#This Row],[Date]])</f>
        <v>26</v>
      </c>
      <c r="D306" s="2" t="s">
        <v>79</v>
      </c>
      <c r="E306" s="2" t="s">
        <v>80</v>
      </c>
      <c r="F306" s="1" t="s">
        <v>71</v>
      </c>
      <c r="G306" s="1" t="s">
        <v>77</v>
      </c>
      <c r="H306" s="1" t="s">
        <v>81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30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29</v>
      </c>
      <c r="K306" s="2">
        <f>Games[[#This Row],[DaysOff]]-Games[[#This Row],[OppDaysOff]]</f>
        <v>1</v>
      </c>
      <c r="L306" s="2">
        <f>Games[[#This Row],[OppDaysOff]]-Games[[#This Row],[DaysOff]]</f>
        <v>-1</v>
      </c>
      <c r="M306" s="1">
        <f>MAX(-16, MIN(16, Games[[#This Row],[RestDiff]]*8))</f>
        <v>8</v>
      </c>
      <c r="N306" s="1">
        <f>MAX(-16, MIN(16, Games[[#This Row],[OppRestDiff]]*8))</f>
        <v>-8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1575.5289525464705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1369.615006406096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0.6886673698705893</v>
      </c>
      <c r="R306" s="1">
        <v>81</v>
      </c>
      <c r="S306" s="1">
        <v>83</v>
      </c>
      <c r="T306" s="1">
        <v>0</v>
      </c>
      <c r="U306" s="1">
        <f>Games[[#This Row],[PointsFor]]-Games[[#This Row],[PointsAgainst]]</f>
        <v>-2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0.22861255900758556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-11.351280501615109</v>
      </c>
      <c r="AB306" s="4">
        <f>Games[[#This Row],[PreGmRate]]+Games[[#This Row],[RatingChange]]</f>
        <v>1564.1776720448554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45520</v>
      </c>
      <c r="B307" s="2">
        <v>2024</v>
      </c>
      <c r="C307" s="2">
        <f>COUNTIFS(Games[Team],Games[[#This Row],[Team]],Games[Season],Games[[#This Row],[Season]],Games[Date],"&lt;=" &amp; Games[[#This Row],[Date]])</f>
        <v>25</v>
      </c>
      <c r="D307" s="2" t="s">
        <v>79</v>
      </c>
      <c r="E307" s="2" t="s">
        <v>80</v>
      </c>
      <c r="F307" s="1" t="s">
        <v>77</v>
      </c>
      <c r="G307" s="1" t="s">
        <v>71</v>
      </c>
      <c r="H307" s="1" t="s">
        <v>82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29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30</v>
      </c>
      <c r="K307" s="2">
        <f>Games[[#This Row],[DaysOff]]-Games[[#This Row],[OppDaysOff]]</f>
        <v>-1</v>
      </c>
      <c r="L307" s="2">
        <f>Games[[#This Row],[OppDaysOff]]-Games[[#This Row],[DaysOff]]</f>
        <v>1</v>
      </c>
      <c r="M307" s="1">
        <f>MAX(-16, MIN(16, Games[[#This Row],[RestDiff]]*8))</f>
        <v>-8</v>
      </c>
      <c r="N307" s="1">
        <f>MAX(-16, MIN(16, Games[[#This Row],[OppRestDiff]]*8))</f>
        <v>8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1369.615006406096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1575.5289525464705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0.31133263012941065</v>
      </c>
      <c r="R307" s="1">
        <v>83</v>
      </c>
      <c r="S307" s="1">
        <v>81</v>
      </c>
      <c r="T307" s="1">
        <v>0</v>
      </c>
      <c r="U307" s="1">
        <f>Games[[#This Row],[PointsFor]]-Games[[#This Row],[PointsAgainst]]</f>
        <v>2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0.22861255900758556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7" s="9">
        <f>MAX(kmin, kmax - 0.15 * MIN(Games[[#This Row],[GamesPlayed]], 82))</f>
        <v>72.25</v>
      </c>
      <c r="Z307" s="4">
        <f>Games[[#This Row],[K]]*Games[[#This Row],[POMult]]</f>
        <v>72.25</v>
      </c>
      <c r="AA307" s="4">
        <f>(Games[[#This Row],[Keff]]*Games[[#This Row],[MOVMult]])*(Games[[#This Row],[Result]]-Games[[#This Row],[ExpectedWin%]])</f>
        <v>11.374896203074783</v>
      </c>
      <c r="AB307" s="4">
        <f>Games[[#This Row],[PreGmRate]]+Games[[#This Row],[RatingChange]]</f>
        <v>1380.9899026091707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45520</v>
      </c>
      <c r="B308" s="2">
        <v>2024</v>
      </c>
      <c r="C308" s="2">
        <f>COUNTIFS(Games[Team],Games[[#This Row],[Team]],Games[Season],Games[[#This Row],[Season]],Games[Date],"&lt;=" &amp; Games[[#This Row],[Date]])</f>
        <v>25</v>
      </c>
      <c r="D308" s="2" t="s">
        <v>79</v>
      </c>
      <c r="E308" s="2" t="s">
        <v>80</v>
      </c>
      <c r="F308" s="1" t="s">
        <v>74</v>
      </c>
      <c r="G308" s="1" t="s">
        <v>85</v>
      </c>
      <c r="H308" s="1" t="s">
        <v>81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30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29</v>
      </c>
      <c r="K308" s="2">
        <f>Games[[#This Row],[DaysOff]]-Games[[#This Row],[OppDaysOff]]</f>
        <v>1</v>
      </c>
      <c r="L308" s="2">
        <f>Games[[#This Row],[OppDaysOff]]-Games[[#This Row],[DaysOff]]</f>
        <v>-1</v>
      </c>
      <c r="M308" s="1">
        <f>MAX(-16, MIN(16, Games[[#This Row],[RestDiff]]*8))</f>
        <v>8</v>
      </c>
      <c r="N308" s="1">
        <f>MAX(-16, MIN(16, Games[[#This Row],[OppRestDiff]]*8))</f>
        <v>-8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1621.0128123232498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1368.881720480126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0.74267979916435423</v>
      </c>
      <c r="R308" s="1">
        <v>109</v>
      </c>
      <c r="S308" s="1">
        <v>91</v>
      </c>
      <c r="T308" s="1">
        <v>0</v>
      </c>
      <c r="U308" s="1">
        <f>Games[[#This Row],[PointsFor]]-Games[[#This Row],[PointsAgainst]]</f>
        <v>18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0.45188807142659537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8" s="9">
        <f>MAX(kmin, kmax - 0.15 * MIN(Games[[#This Row],[GamesPlayed]], 82))</f>
        <v>72.25</v>
      </c>
      <c r="Z308" s="4">
        <f>Games[[#This Row],[K]]*Games[[#This Row],[POMult]]</f>
        <v>72.25</v>
      </c>
      <c r="AA308" s="4">
        <f>(Games[[#This Row],[Keff]]*Games[[#This Row],[MOVMult]])*(Games[[#This Row],[Result]]-Games[[#This Row],[ExpectedWin%]])</f>
        <v>8.401224891543821</v>
      </c>
      <c r="AB308" s="4">
        <f>Games[[#This Row],[PreGmRate]]+Games[[#This Row],[RatingChange]]</f>
        <v>1629.4140372147936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45520</v>
      </c>
      <c r="B309" s="2">
        <v>2024</v>
      </c>
      <c r="C309" s="2">
        <f>COUNTIFS(Games[Team],Games[[#This Row],[Team]],Games[Season],Games[[#This Row],[Season]],Games[Date],"&lt;=" &amp; Games[[#This Row],[Date]])</f>
        <v>26</v>
      </c>
      <c r="D309" s="2" t="s">
        <v>79</v>
      </c>
      <c r="E309" s="2" t="s">
        <v>80</v>
      </c>
      <c r="F309" s="1" t="s">
        <v>85</v>
      </c>
      <c r="G309" s="1" t="s">
        <v>74</v>
      </c>
      <c r="H309" s="1" t="s">
        <v>82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29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30</v>
      </c>
      <c r="K309" s="2">
        <f>Games[[#This Row],[DaysOff]]-Games[[#This Row],[OppDaysOff]]</f>
        <v>-1</v>
      </c>
      <c r="L309" s="2">
        <f>Games[[#This Row],[OppDaysOff]]-Games[[#This Row],[DaysOff]]</f>
        <v>1</v>
      </c>
      <c r="M309" s="1">
        <f>MAX(-16, MIN(16, Games[[#This Row],[RestDiff]]*8))</f>
        <v>-8</v>
      </c>
      <c r="N309" s="1">
        <f>MAX(-16, MIN(16, Games[[#This Row],[OppRestDiff]]*8))</f>
        <v>8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1368.881720480126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1621.0128123232498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0.25732020083564583</v>
      </c>
      <c r="R309" s="1">
        <v>91</v>
      </c>
      <c r="S309" s="1">
        <v>109</v>
      </c>
      <c r="T309" s="1">
        <v>0</v>
      </c>
      <c r="U309" s="1">
        <f>Games[[#This Row],[PointsFor]]-Games[[#This Row],[PointsAgainst]]</f>
        <v>-18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0.45188807142659537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9" s="9">
        <f>MAX(kmin, kmax - 0.15 * MIN(Games[[#This Row],[GamesPlayed]], 82))</f>
        <v>72.099999999999994</v>
      </c>
      <c r="Z309" s="4">
        <f>Games[[#This Row],[K]]*Games[[#This Row],[POMult]]</f>
        <v>72.099999999999994</v>
      </c>
      <c r="AA309" s="4">
        <f>(Games[[#This Row],[Keff]]*Games[[#This Row],[MOVMult]])*(Games[[#This Row],[Result]]-Games[[#This Row],[ExpectedWin%]])</f>
        <v>-8.3837829021496137</v>
      </c>
      <c r="AB309" s="4">
        <f>Games[[#This Row],[PreGmRate]]+Games[[#This Row],[RatingChange]]</f>
        <v>1360.4979375779765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45520</v>
      </c>
      <c r="B310" s="2">
        <v>2024</v>
      </c>
      <c r="C310" s="2">
        <f>COUNTIFS(Games[Team],Games[[#This Row],[Team]],Games[Season],Games[[#This Row],[Season]],Games[Date],"&lt;=" &amp; Games[[#This Row],[Date]])</f>
        <v>27</v>
      </c>
      <c r="D310" s="2" t="s">
        <v>79</v>
      </c>
      <c r="E310" s="2" t="s">
        <v>80</v>
      </c>
      <c r="F310" s="1" t="s">
        <v>40</v>
      </c>
      <c r="G310" s="1" t="s">
        <v>69</v>
      </c>
      <c r="H310" s="1" t="s">
        <v>81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29</v>
      </c>
      <c r="K310" s="2">
        <f>Games[[#This Row],[DaysOff]]-Games[[#This Row],[OppDaysOff]]</f>
        <v>-29</v>
      </c>
      <c r="L310" s="2">
        <f>Games[[#This Row],[OppDaysOff]]-Games[[#This Row],[DaysOff]]</f>
        <v>29</v>
      </c>
      <c r="M310" s="1">
        <f>MAX(-16, MIN(16, Games[[#This Row],[RestDiff]]*8))</f>
        <v>-16</v>
      </c>
      <c r="N310" s="1">
        <f>MAX(-16, MIN(16, Games[[#This Row],[OppRestDiff]]*8))</f>
        <v>16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1493.5267741770317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1446.8495283599416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0.40153968357061903</v>
      </c>
      <c r="R310" s="1">
        <v>89</v>
      </c>
      <c r="S310" s="1">
        <v>98</v>
      </c>
      <c r="T310" s="1">
        <v>0</v>
      </c>
      <c r="U310" s="1">
        <f>Games[[#This Row],[PointsFor]]-Games[[#This Row],[PointsAgainst]]</f>
        <v>-9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0.39077141594687237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0" s="9">
        <f>MAX(kmin, kmax - 0.15 * MIN(Games[[#This Row],[GamesPlayed]], 82))</f>
        <v>71.95</v>
      </c>
      <c r="Z310" s="4">
        <f>Games[[#This Row],[K]]*Games[[#This Row],[POMult]]</f>
        <v>71.95</v>
      </c>
      <c r="AA310" s="4">
        <f>(Games[[#This Row],[Keff]]*Games[[#This Row],[MOVMult]])*(Games[[#This Row],[Result]]-Games[[#This Row],[ExpectedWin%]])</f>
        <v>-11.289691099422605</v>
      </c>
      <c r="AB310" s="4">
        <f>Games[[#This Row],[PreGmRate]]+Games[[#This Row],[RatingChange]]</f>
        <v>1482.2370830776092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45520</v>
      </c>
      <c r="B311" s="2">
        <v>2024</v>
      </c>
      <c r="C311" s="2">
        <f>COUNTIFS(Games[Team],Games[[#This Row],[Team]],Games[Season],Games[[#This Row],[Season]],Games[Date],"&lt;=" &amp; Games[[#This Row],[Date]])</f>
        <v>27</v>
      </c>
      <c r="D311" s="2" t="s">
        <v>79</v>
      </c>
      <c r="E311" s="2" t="s">
        <v>80</v>
      </c>
      <c r="F311" s="1" t="s">
        <v>69</v>
      </c>
      <c r="G311" s="1" t="s">
        <v>40</v>
      </c>
      <c r="H311" s="1" t="s">
        <v>82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29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1" s="2">
        <f>Games[[#This Row],[DaysOff]]-Games[[#This Row],[OppDaysOff]]</f>
        <v>29</v>
      </c>
      <c r="L311" s="2">
        <f>Games[[#This Row],[OppDaysOff]]-Games[[#This Row],[DaysOff]]</f>
        <v>-29</v>
      </c>
      <c r="M311" s="1">
        <f>MAX(-16, MIN(16, Games[[#This Row],[RestDiff]]*8))</f>
        <v>16</v>
      </c>
      <c r="N311" s="1">
        <f>MAX(-16, MIN(16, Games[[#This Row],[OppRestDiff]]*8))</f>
        <v>-16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1446.8495283599416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1493.5267741770317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0.59846031642938102</v>
      </c>
      <c r="R311" s="1">
        <v>98</v>
      </c>
      <c r="S311" s="1">
        <v>89</v>
      </c>
      <c r="T311" s="1">
        <v>0</v>
      </c>
      <c r="U311" s="1">
        <f>Games[[#This Row],[PointsFor]]-Games[[#This Row],[PointsAgainst]]</f>
        <v>9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0.39077141594687237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1" s="9">
        <f>MAX(kmin, kmax - 0.15 * MIN(Games[[#This Row],[GamesPlayed]], 82))</f>
        <v>71.95</v>
      </c>
      <c r="Z311" s="4">
        <f>Games[[#This Row],[K]]*Games[[#This Row],[POMult]]</f>
        <v>71.95</v>
      </c>
      <c r="AA311" s="4">
        <f>(Games[[#This Row],[Keff]]*Games[[#This Row],[MOVMult]])*(Games[[#This Row],[Result]]-Games[[#This Row],[ExpectedWin%]])</f>
        <v>11.289691099422603</v>
      </c>
      <c r="AB311" s="4">
        <f>Games[[#This Row],[PreGmRate]]+Games[[#This Row],[RatingChange]]</f>
        <v>1458.1392194593641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45521</v>
      </c>
      <c r="B312" s="2">
        <v>2024</v>
      </c>
      <c r="C312" s="2">
        <f>COUNTIFS(Games[Team],Games[[#This Row],[Team]],Games[Season],Games[[#This Row],[Season]],Games[Date],"&lt;=" &amp; Games[[#This Row],[Date]])</f>
        <v>26</v>
      </c>
      <c r="D312" s="2" t="s">
        <v>79</v>
      </c>
      <c r="E312" s="2" t="s">
        <v>80</v>
      </c>
      <c r="F312" s="1" t="s">
        <v>75</v>
      </c>
      <c r="G312" s="1" t="s">
        <v>63</v>
      </c>
      <c r="H312" s="1" t="s">
        <v>81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2" s="2">
        <f>Games[[#This Row],[DaysOff]]-Games[[#This Row],[OppDaysOff]]</f>
        <v>0</v>
      </c>
      <c r="L312" s="2">
        <f>Games[[#This Row],[OppDaysOff]]-Games[[#This Row],[DaysOff]]</f>
        <v>0</v>
      </c>
      <c r="M312" s="1">
        <f>MAX(-16, MIN(16, Games[[#This Row],[RestDiff]]*8))</f>
        <v>0</v>
      </c>
      <c r="N312" s="1">
        <f>MAX(-16, MIN(16, Games[[#This Row],[OppRestDiff]]*8))</f>
        <v>0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1450.0546830922506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1360.4189105982698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0.5081098173027383</v>
      </c>
      <c r="R312" s="1">
        <v>90</v>
      </c>
      <c r="S312" s="1">
        <v>86</v>
      </c>
      <c r="T312" s="1">
        <v>0</v>
      </c>
      <c r="U312" s="1">
        <f>Games[[#This Row],[PointsFor]]-Games[[#This Row],[PointsAgainst]]</f>
        <v>4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0.28978669005275248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2" s="9">
        <f>MAX(kmin, kmax - 0.15 * MIN(Games[[#This Row],[GamesPlayed]], 82))</f>
        <v>72.099999999999994</v>
      </c>
      <c r="Z312" s="4">
        <f>Games[[#This Row],[K]]*Games[[#This Row],[POMult]]</f>
        <v>72.099999999999994</v>
      </c>
      <c r="AA312" s="4">
        <f>(Games[[#This Row],[Keff]]*Games[[#This Row],[MOVMult]])*(Games[[#This Row],[Result]]-Games[[#This Row],[ExpectedWin%]])</f>
        <v>10.277366732547716</v>
      </c>
      <c r="AB312" s="4">
        <f>Games[[#This Row],[PreGmRate]]+Games[[#This Row],[RatingChange]]</f>
        <v>1460.3320498247983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45521</v>
      </c>
      <c r="B313" s="2">
        <v>2024</v>
      </c>
      <c r="C313" s="2">
        <f>COUNTIFS(Games[Team],Games[[#This Row],[Team]],Games[Season],Games[[#This Row],[Season]],Games[Date],"&lt;=" &amp; Games[[#This Row],[Date]])</f>
        <v>26</v>
      </c>
      <c r="D313" s="2" t="s">
        <v>79</v>
      </c>
      <c r="E313" s="2" t="s">
        <v>80</v>
      </c>
      <c r="F313" s="1" t="s">
        <v>63</v>
      </c>
      <c r="G313" s="1" t="s">
        <v>75</v>
      </c>
      <c r="H313" s="1" t="s">
        <v>82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3" s="2">
        <f>Games[[#This Row],[DaysOff]]-Games[[#This Row],[OppDaysOff]]</f>
        <v>0</v>
      </c>
      <c r="L313" s="2">
        <f>Games[[#This Row],[OppDaysOff]]-Games[[#This Row],[DaysOff]]</f>
        <v>0</v>
      </c>
      <c r="M313" s="1">
        <f>MAX(-16, MIN(16, Games[[#This Row],[RestDiff]]*8))</f>
        <v>0</v>
      </c>
      <c r="N313" s="1">
        <f>MAX(-16, MIN(16, Games[[#This Row],[OppRestDiff]]*8))</f>
        <v>0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1360.4189105982698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1450.0546830922506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0.4918901826972617</v>
      </c>
      <c r="R313" s="1">
        <v>86</v>
      </c>
      <c r="S313" s="1">
        <v>90</v>
      </c>
      <c r="T313" s="1">
        <v>0</v>
      </c>
      <c r="U313" s="1">
        <f>Games[[#This Row],[PointsFor]]-Games[[#This Row],[PointsAgainst]]</f>
        <v>-4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0.28978669005275248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3" s="9">
        <f>MAX(kmin, kmax - 0.15 * MIN(Games[[#This Row],[GamesPlayed]], 82))</f>
        <v>72.099999999999994</v>
      </c>
      <c r="Z313" s="4">
        <f>Games[[#This Row],[K]]*Games[[#This Row],[POMult]]</f>
        <v>72.099999999999994</v>
      </c>
      <c r="AA313" s="4">
        <f>(Games[[#This Row],[Keff]]*Games[[#This Row],[MOVMult]])*(Games[[#This Row],[Result]]-Games[[#This Row],[ExpectedWin%]])</f>
        <v>-10.277366732547716</v>
      </c>
      <c r="AB313" s="4">
        <f>Games[[#This Row],[PreGmRate]]+Games[[#This Row],[RatingChange]]</f>
        <v>1350.141543865722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45521</v>
      </c>
      <c r="B314" s="2">
        <v>2024</v>
      </c>
      <c r="C314" s="2">
        <f>COUNTIFS(Games[Team],Games[[#This Row],[Team]],Games[Season],Games[[#This Row],[Season]],Games[Date],"&lt;=" &amp; Games[[#This Row],[Date]])</f>
        <v>28</v>
      </c>
      <c r="D314" s="2" t="s">
        <v>79</v>
      </c>
      <c r="E314" s="2" t="s">
        <v>80</v>
      </c>
      <c r="F314" s="1" t="s">
        <v>60</v>
      </c>
      <c r="G314" s="1" t="s">
        <v>86</v>
      </c>
      <c r="H314" s="1" t="s">
        <v>81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314" s="2">
        <f>Games[[#This Row],[DaysOff]]-Games[[#This Row],[OppDaysOff]]</f>
        <v>-30</v>
      </c>
      <c r="L314" s="2">
        <f>Games[[#This Row],[OppDaysOff]]-Games[[#This Row],[DaysOff]]</f>
        <v>30</v>
      </c>
      <c r="M314" s="1">
        <f>MAX(-16, MIN(16, Games[[#This Row],[RestDiff]]*8))</f>
        <v>-16</v>
      </c>
      <c r="N314" s="1">
        <f>MAX(-16, MIN(16, Games[[#This Row],[OppRestDiff]]*8))</f>
        <v>16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1704.5384848769208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1636.7972953182075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0.43099320694252952</v>
      </c>
      <c r="R314" s="1">
        <v>79</v>
      </c>
      <c r="S314" s="1">
        <v>67</v>
      </c>
      <c r="T314" s="1">
        <v>0</v>
      </c>
      <c r="U314" s="1">
        <f>Games[[#This Row],[PointsFor]]-Games[[#This Row],[PointsAgainst]]</f>
        <v>12</v>
      </c>
      <c r="V314" s="1">
        <f>IF(Games[[#This Row],[MOV]]&gt;0,1,IF(Games[[#This Row],[MOV]]=0,0.5,0))</f>
        <v>1</v>
      </c>
      <c r="W314" s="4">
        <f>((ABS(Games[[#This Row],[MOV]])+5)^0.6)/(12+0.01*(ABS(Games[[#This Row],[PreGmRate]]-Games[[#This Row],[OppPreGmRate]])))*IF(Games[[#This Row],[OT]]=1,0.9,1)</f>
        <v>0.43175636809779538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4" s="9">
        <f>MAX(kmin, kmax - 0.15 * MIN(Games[[#This Row],[GamesPlayed]], 82))</f>
        <v>71.8</v>
      </c>
      <c r="Z314" s="4">
        <f>Games[[#This Row],[K]]*Games[[#This Row],[POMult]]</f>
        <v>71.8</v>
      </c>
      <c r="AA314" s="4">
        <f>(Games[[#This Row],[Keff]]*Games[[#This Row],[MOVMult]])*(Games[[#This Row],[Result]]-Games[[#This Row],[ExpectedWin%]])</f>
        <v>17.639271599050954</v>
      </c>
      <c r="AB314" s="4">
        <f>Games[[#This Row],[PreGmRate]]+Games[[#This Row],[RatingChange]]</f>
        <v>1722.1777564759718</v>
      </c>
      <c r="AC314" s="2">
        <f>IF(Games[[#This Row],[Type]]="R",IF(Games[[#This Row],[Result]]&gt;0.5,1,0),0)</f>
        <v>1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45521</v>
      </c>
      <c r="B315" s="2">
        <v>2024</v>
      </c>
      <c r="C315" s="2">
        <f>COUNTIFS(Games[Team],Games[[#This Row],[Team]],Games[Season],Games[[#This Row],[Season]],Games[Date],"&lt;=" &amp; Games[[#This Row],[Date]])</f>
        <v>25</v>
      </c>
      <c r="D315" s="2" t="s">
        <v>79</v>
      </c>
      <c r="E315" s="2" t="s">
        <v>80</v>
      </c>
      <c r="F315" s="1" t="s">
        <v>86</v>
      </c>
      <c r="G315" s="1" t="s">
        <v>60</v>
      </c>
      <c r="H315" s="1" t="s">
        <v>82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31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5" s="2">
        <f>Games[[#This Row],[DaysOff]]-Games[[#This Row],[OppDaysOff]]</f>
        <v>30</v>
      </c>
      <c r="L315" s="2">
        <f>Games[[#This Row],[OppDaysOff]]-Games[[#This Row],[DaysOff]]</f>
        <v>-30</v>
      </c>
      <c r="M315" s="1">
        <f>MAX(-16, MIN(16, Games[[#This Row],[RestDiff]]*8))</f>
        <v>16</v>
      </c>
      <c r="N315" s="1">
        <f>MAX(-16, MIN(16, Games[[#This Row],[OppRestDiff]]*8))</f>
        <v>-16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1636.7972953182075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1704.5384848769208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0.56900679305747059</v>
      </c>
      <c r="R315" s="1">
        <v>67</v>
      </c>
      <c r="S315" s="1">
        <v>79</v>
      </c>
      <c r="T315" s="1">
        <v>0</v>
      </c>
      <c r="U315" s="1">
        <f>Games[[#This Row],[PointsFor]]-Games[[#This Row],[PointsAgainst]]</f>
        <v>-12</v>
      </c>
      <c r="V315" s="1">
        <f>IF(Games[[#This Row],[MOV]]&gt;0,1,IF(Games[[#This Row],[MOV]]=0,0.5,0))</f>
        <v>0</v>
      </c>
      <c r="W315" s="4">
        <f>((ABS(Games[[#This Row],[MOV]])+5)^0.6)/(12+0.01*(ABS(Games[[#This Row],[PreGmRate]]-Games[[#This Row],[OppPreGmRate]])))*IF(Games[[#This Row],[OT]]=1,0.9,1)</f>
        <v>0.43175636809779538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5" s="9">
        <f>MAX(kmin, kmax - 0.15 * MIN(Games[[#This Row],[GamesPlayed]], 82))</f>
        <v>72.25</v>
      </c>
      <c r="Z315" s="4">
        <f>Games[[#This Row],[K]]*Games[[#This Row],[POMult]]</f>
        <v>72.25</v>
      </c>
      <c r="AA315" s="4">
        <f>(Games[[#This Row],[Keff]]*Games[[#This Row],[MOVMult]])*(Games[[#This Row],[Result]]-Games[[#This Row],[ExpectedWin%]])</f>
        <v>-17.749824136928016</v>
      </c>
      <c r="AB315" s="4">
        <f>Games[[#This Row],[PreGmRate]]+Games[[#This Row],[RatingChange]]</f>
        <v>1619.0474711812794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1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45521</v>
      </c>
      <c r="B316" s="2">
        <v>2024</v>
      </c>
      <c r="C316" s="2">
        <f>COUNTIFS(Games[Team],Games[[#This Row],[Team]],Games[Season],Games[[#This Row],[Season]],Games[Date],"&lt;=" &amp; Games[[#This Row],[Date]])</f>
        <v>28</v>
      </c>
      <c r="D316" s="2" t="s">
        <v>79</v>
      </c>
      <c r="E316" s="2" t="s">
        <v>80</v>
      </c>
      <c r="F316" s="1" t="s">
        <v>67</v>
      </c>
      <c r="G316" s="1" t="s">
        <v>65</v>
      </c>
      <c r="H316" s="1" t="s">
        <v>81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">
        <f>MAX(-16, MIN(16, Games[[#This Row],[RestDiff]]*8))</f>
        <v>0</v>
      </c>
      <c r="N316" s="1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1580.8408265396113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1391.3055802692757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0.647372524680212</v>
      </c>
      <c r="R316" s="1">
        <v>99</v>
      </c>
      <c r="S316" s="1">
        <v>83</v>
      </c>
      <c r="T316" s="1">
        <v>0</v>
      </c>
      <c r="U316" s="1">
        <f>Games[[#This Row],[PointsFor]]-Games[[#This Row],[PointsAgainst]]</f>
        <v>16</v>
      </c>
      <c r="V316" s="1">
        <f>IF(Games[[#This Row],[MOV]]&gt;0,1,IF(Games[[#This Row],[MOV]]=0,0.5,0))</f>
        <v>1</v>
      </c>
      <c r="W316" s="4">
        <f>((ABS(Games[[#This Row],[MOV]])+5)^0.6)/(12+0.01*(ABS(Games[[#This Row],[PreGmRate]]-Games[[#This Row],[OppPreGmRate]])))*IF(Games[[#This Row],[OT]]=1,0.9,1)</f>
        <v>0.44715903421941072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6" s="9">
        <f>MAX(kmin, kmax - 0.15 * MIN(Games[[#This Row],[GamesPlayed]], 82))</f>
        <v>71.8</v>
      </c>
      <c r="Z316" s="4">
        <f>Games[[#This Row],[K]]*Games[[#This Row],[POMult]]</f>
        <v>71.8</v>
      </c>
      <c r="AA316" s="4">
        <f>(Games[[#This Row],[Keff]]*Games[[#This Row],[MOVMult]])*(Games[[#This Row],[Result]]-Games[[#This Row],[ExpectedWin%]])</f>
        <v>11.32146430157159</v>
      </c>
      <c r="AB316" s="4">
        <f>Games[[#This Row],[PreGmRate]]+Games[[#This Row],[RatingChange]]</f>
        <v>1592.1622908411828</v>
      </c>
      <c r="AC316" s="2">
        <f>IF(Games[[#This Row],[Type]]="R",IF(Games[[#This Row],[Result]]&gt;0.5,1,0),0)</f>
        <v>1</v>
      </c>
      <c r="AD316" s="2">
        <f>IF(Games[[#This Row],[Type]]="R",IF(Games[[#This Row],[Result]]&lt;0.5,1,0),0)</f>
        <v>0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45521</v>
      </c>
      <c r="B317" s="2">
        <v>2024</v>
      </c>
      <c r="C317" s="2">
        <f>COUNTIFS(Games[Team],Games[[#This Row],[Team]],Games[Season],Games[[#This Row],[Season]],Games[Date],"&lt;=" &amp; Games[[#This Row],[Date]])</f>
        <v>27</v>
      </c>
      <c r="D317" s="2" t="s">
        <v>79</v>
      </c>
      <c r="E317" s="2" t="s">
        <v>80</v>
      </c>
      <c r="F317" s="1" t="s">
        <v>65</v>
      </c>
      <c r="G317" s="1" t="s">
        <v>67</v>
      </c>
      <c r="H317" s="1" t="s">
        <v>82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">
        <f>MAX(-16, MIN(16, Games[[#This Row],[RestDiff]]*8))</f>
        <v>0</v>
      </c>
      <c r="N317" s="1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1391.3055802692757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1580.8408265396113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0.35262747531978794</v>
      </c>
      <c r="R317" s="1">
        <v>83</v>
      </c>
      <c r="S317" s="1">
        <v>99</v>
      </c>
      <c r="T317" s="1">
        <v>0</v>
      </c>
      <c r="U317" s="1">
        <f>Games[[#This Row],[PointsFor]]-Games[[#This Row],[PointsAgainst]]</f>
        <v>-16</v>
      </c>
      <c r="V317" s="1">
        <f>IF(Games[[#This Row],[MOV]]&gt;0,1,IF(Games[[#This Row],[MOV]]=0,0.5,0))</f>
        <v>0</v>
      </c>
      <c r="W317" s="4">
        <f>((ABS(Games[[#This Row],[MOV]])+5)^0.6)/(12+0.01*(ABS(Games[[#This Row],[PreGmRate]]-Games[[#This Row],[OppPreGmRate]])))*IF(Games[[#This Row],[OT]]=1,0.9,1)</f>
        <v>0.44715903421941072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7" s="9">
        <f>MAX(kmin, kmax - 0.15 * MIN(Games[[#This Row],[GamesPlayed]], 82))</f>
        <v>71.95</v>
      </c>
      <c r="Z317" s="4">
        <f>Games[[#This Row],[K]]*Games[[#This Row],[POMult]]</f>
        <v>71.95</v>
      </c>
      <c r="AA317" s="4">
        <f>(Games[[#This Row],[Keff]]*Games[[#This Row],[MOVMult]])*(Games[[#This Row],[Result]]-Games[[#This Row],[ExpectedWin%]])</f>
        <v>-11.345116385767074</v>
      </c>
      <c r="AB317" s="4">
        <f>Games[[#This Row],[PreGmRate]]+Games[[#This Row],[RatingChange]]</f>
        <v>1379.9604638835085</v>
      </c>
      <c r="AC317" s="2">
        <f>IF(Games[[#This Row],[Type]]="R",IF(Games[[#This Row],[Result]]&gt;0.5,1,0),0)</f>
        <v>0</v>
      </c>
      <c r="AD317" s="2">
        <f>IF(Games[[#This Row],[Type]]="R",IF(Games[[#This Row],[Result]]&lt;0.5,1,0),0)</f>
        <v>1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45522</v>
      </c>
      <c r="B318" s="2">
        <v>2024</v>
      </c>
      <c r="C318" s="2">
        <f>COUNTIFS(Games[Team],Games[[#This Row],[Team]],Games[Season],Games[[#This Row],[Season]],Games[Date],"&lt;=" &amp; Games[[#This Row],[Date]])</f>
        <v>26</v>
      </c>
      <c r="D318" s="2" t="s">
        <v>79</v>
      </c>
      <c r="E318" s="2" t="s">
        <v>80</v>
      </c>
      <c r="F318" s="1" t="s">
        <v>74</v>
      </c>
      <c r="G318" s="1" t="s">
        <v>77</v>
      </c>
      <c r="H318" s="1" t="s">
        <v>81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1629.4140372147936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1380.9899026091707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0.72041103794069727</v>
      </c>
      <c r="R318" s="1">
        <v>70</v>
      </c>
      <c r="S318" s="1">
        <v>82</v>
      </c>
      <c r="T318" s="1">
        <v>0</v>
      </c>
      <c r="U318" s="1">
        <f>Games[[#This Row],[PointsFor]]-Games[[#This Row],[PointsAgainst]]</f>
        <v>-12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0.37789713566246458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8" s="9">
        <f>MAX(kmin, kmax - 0.15 * MIN(Games[[#This Row],[GamesPlayed]], 82))</f>
        <v>72.099999999999994</v>
      </c>
      <c r="Z318" s="4">
        <f>Games[[#This Row],[K]]*Games[[#This Row],[POMult]]</f>
        <v>72.099999999999994</v>
      </c>
      <c r="AA318" s="4">
        <f>(Games[[#This Row],[Keff]]*Games[[#This Row],[MOVMult]])*(Games[[#This Row],[Result]]-Games[[#This Row],[ExpectedWin%]])</f>
        <v>-19.628595403867447</v>
      </c>
      <c r="AB318" s="4">
        <f>Games[[#This Row],[PreGmRate]]+Games[[#This Row],[RatingChange]]</f>
        <v>1609.7854418109262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45522</v>
      </c>
      <c r="B319" s="2">
        <v>2024</v>
      </c>
      <c r="C319" s="2">
        <f>COUNTIFS(Games[Team],Games[[#This Row],[Team]],Games[Season],Games[[#This Row],[Season]],Games[Date],"&lt;=" &amp; Games[[#This Row],[Date]])</f>
        <v>26</v>
      </c>
      <c r="D319" s="2" t="s">
        <v>79</v>
      </c>
      <c r="E319" s="2" t="s">
        <v>80</v>
      </c>
      <c r="F319" s="1" t="s">
        <v>77</v>
      </c>
      <c r="G319" s="1" t="s">
        <v>74</v>
      </c>
      <c r="H319" s="1" t="s">
        <v>82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1380.9899026091707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1629.4140372147936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0.27958896205930273</v>
      </c>
      <c r="R319" s="1">
        <v>82</v>
      </c>
      <c r="S319" s="1">
        <v>70</v>
      </c>
      <c r="T319" s="1">
        <v>0</v>
      </c>
      <c r="U319" s="1">
        <f>Games[[#This Row],[PointsFor]]-Games[[#This Row],[PointsAgainst]]</f>
        <v>12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0.37789713566246458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9" s="9">
        <f>MAX(kmin, kmax - 0.15 * MIN(Games[[#This Row],[GamesPlayed]], 82))</f>
        <v>72.099999999999994</v>
      </c>
      <c r="Z319" s="4">
        <f>Games[[#This Row],[K]]*Games[[#This Row],[POMult]]</f>
        <v>72.099999999999994</v>
      </c>
      <c r="AA319" s="4">
        <f>(Games[[#This Row],[Keff]]*Games[[#This Row],[MOVMult]])*(Games[[#This Row],[Result]]-Games[[#This Row],[ExpectedWin%]])</f>
        <v>19.628595403867447</v>
      </c>
      <c r="AB319" s="4">
        <f>Games[[#This Row],[PreGmRate]]+Games[[#This Row],[RatingChange]]</f>
        <v>1400.6184980130381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45522</v>
      </c>
      <c r="B320" s="2">
        <v>2024</v>
      </c>
      <c r="C320" s="2">
        <f>COUNTIFS(Games[Team],Games[[#This Row],[Team]],Games[Season],Games[[#This Row],[Season]],Games[Date],"&lt;=" &amp; Games[[#This Row],[Date]])</f>
        <v>27</v>
      </c>
      <c r="D320" s="2" t="s">
        <v>79</v>
      </c>
      <c r="E320" s="2" t="s">
        <v>80</v>
      </c>
      <c r="F320" s="1" t="s">
        <v>71</v>
      </c>
      <c r="G320" s="1" t="s">
        <v>69</v>
      </c>
      <c r="H320" s="1" t="s">
        <v>81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0" s="2">
        <f>Games[[#This Row],[DaysOff]]-Games[[#This Row],[OppDaysOff]]</f>
        <v>0</v>
      </c>
      <c r="L320" s="2">
        <f>Games[[#This Row],[OppDaysOff]]-Games[[#This Row],[DaysOff]]</f>
        <v>0</v>
      </c>
      <c r="M320" s="1">
        <f>MAX(-16, MIN(16, Games[[#This Row],[RestDiff]]*8))</f>
        <v>0</v>
      </c>
      <c r="N320" s="1">
        <f>MAX(-16, MIN(16, Games[[#This Row],[OppRestDiff]]*8))</f>
        <v>0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1564.1776720448554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1458.1392194593641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0.53167341387279721</v>
      </c>
      <c r="R320" s="1">
        <v>75</v>
      </c>
      <c r="S320" s="1">
        <v>92</v>
      </c>
      <c r="T320" s="1">
        <v>0</v>
      </c>
      <c r="U320" s="1">
        <f>Games[[#This Row],[PointsFor]]-Games[[#This Row],[PointsAgainst]]</f>
        <v>-17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0.4892126121045991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0" s="9">
        <f>MAX(kmin, kmax - 0.15 * MIN(Games[[#This Row],[GamesPlayed]], 82))</f>
        <v>71.95</v>
      </c>
      <c r="Z320" s="4">
        <f>Games[[#This Row],[K]]*Games[[#This Row],[POMult]]</f>
        <v>71.95</v>
      </c>
      <c r="AA320" s="4">
        <f>(Games[[#This Row],[Keff]]*Games[[#This Row],[MOVMult]])*(Games[[#This Row],[Result]]-Games[[#This Row],[ExpectedWin%]])</f>
        <v>-18.71429138330485</v>
      </c>
      <c r="AB320" s="4">
        <f>Games[[#This Row],[PreGmRate]]+Games[[#This Row],[RatingChange]]</f>
        <v>1545.4633806615504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45522</v>
      </c>
      <c r="B321" s="2">
        <v>2024</v>
      </c>
      <c r="C321" s="2">
        <f>COUNTIFS(Games[Team],Games[[#This Row],[Team]],Games[Season],Games[[#This Row],[Season]],Games[Date],"&lt;=" &amp; Games[[#This Row],[Date]])</f>
        <v>28</v>
      </c>
      <c r="D321" s="2" t="s">
        <v>79</v>
      </c>
      <c r="E321" s="2" t="s">
        <v>80</v>
      </c>
      <c r="F321" s="1" t="s">
        <v>69</v>
      </c>
      <c r="G321" s="1" t="s">
        <v>71</v>
      </c>
      <c r="H321" s="1" t="s">
        <v>82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0</v>
      </c>
      <c r="L321" s="2">
        <f>Games[[#This Row],[OppDaysOff]]-Games[[#This Row],[DaysOff]]</f>
        <v>0</v>
      </c>
      <c r="M321" s="1">
        <f>MAX(-16, MIN(16, Games[[#This Row],[RestDiff]]*8))</f>
        <v>0</v>
      </c>
      <c r="N321" s="1">
        <f>MAX(-16, MIN(16, Games[[#This Row],[OppRestDiff]]*8))</f>
        <v>0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1458.1392194593641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1564.1776720448554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0.46832658612720274</v>
      </c>
      <c r="R321" s="1">
        <v>92</v>
      </c>
      <c r="S321" s="1">
        <v>75</v>
      </c>
      <c r="T321" s="1">
        <v>0</v>
      </c>
      <c r="U321" s="1">
        <f>Games[[#This Row],[PointsFor]]-Games[[#This Row],[PointsAgainst]]</f>
        <v>17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0.4892126121045991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1" s="9">
        <f>MAX(kmin, kmax - 0.15 * MIN(Games[[#This Row],[GamesPlayed]], 82))</f>
        <v>71.8</v>
      </c>
      <c r="Z321" s="4">
        <f>Games[[#This Row],[K]]*Games[[#This Row],[POMult]]</f>
        <v>71.8</v>
      </c>
      <c r="AA321" s="4">
        <f>(Games[[#This Row],[Keff]]*Games[[#This Row],[MOVMult]])*(Games[[#This Row],[Result]]-Games[[#This Row],[ExpectedWin%]])</f>
        <v>18.675276182366755</v>
      </c>
      <c r="AB321" s="4">
        <f>Games[[#This Row],[PreGmRate]]+Games[[#This Row],[RatingChange]]</f>
        <v>1476.8144956417309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45522</v>
      </c>
      <c r="B322" s="2">
        <v>2024</v>
      </c>
      <c r="C322" s="2">
        <f>COUNTIFS(Games[Team],Games[[#This Row],[Team]],Games[Season],Games[[#This Row],[Season]],Games[Date],"&lt;=" &amp; Games[[#This Row],[Date]])</f>
        <v>27</v>
      </c>
      <c r="D322" s="2" t="s">
        <v>79</v>
      </c>
      <c r="E322" s="2" t="s">
        <v>80</v>
      </c>
      <c r="F322" s="1" t="s">
        <v>63</v>
      </c>
      <c r="G322" s="1" t="s">
        <v>86</v>
      </c>
      <c r="H322" s="1" t="s">
        <v>81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2" s="2">
        <f>Games[[#This Row],[DaysOff]]-Games[[#This Row],[OppDaysOff]]</f>
        <v>0</v>
      </c>
      <c r="L322" s="2">
        <f>Games[[#This Row],[OppDaysOff]]-Games[[#This Row],[DaysOff]]</f>
        <v>0</v>
      </c>
      <c r="M322" s="1">
        <f>MAX(-16, MIN(16, Games[[#This Row],[RestDiff]]*8))</f>
        <v>0</v>
      </c>
      <c r="N322" s="1">
        <f>MAX(-16, MIN(16, Games[[#This Row],[OppRestDiff]]*8))</f>
        <v>0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1350.141543865722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1619.0474711812794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0.11593613578824064</v>
      </c>
      <c r="R322" s="1">
        <v>71</v>
      </c>
      <c r="S322" s="1">
        <v>87</v>
      </c>
      <c r="T322" s="1">
        <v>0</v>
      </c>
      <c r="U322" s="1">
        <f>Games[[#This Row],[PointsFor]]-Games[[#This Row],[PointsAgainst]]</f>
        <v>-16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0.42299729831684063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2" s="9">
        <f>MAX(kmin, kmax - 0.15 * MIN(Games[[#This Row],[GamesPlayed]], 82))</f>
        <v>71.95</v>
      </c>
      <c r="Z322" s="4">
        <f>Games[[#This Row],[K]]*Games[[#This Row],[POMult]]</f>
        <v>71.95</v>
      </c>
      <c r="AA322" s="4">
        <f>(Games[[#This Row],[Keff]]*Games[[#This Row],[MOVMult]])*(Games[[#This Row],[Result]]-Games[[#This Row],[ExpectedWin%]])</f>
        <v>-3.5284763659210663</v>
      </c>
      <c r="AB322" s="4">
        <f>Games[[#This Row],[PreGmRate]]+Games[[#This Row],[RatingChange]]</f>
        <v>1346.613067499801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45522</v>
      </c>
      <c r="B323" s="2">
        <v>2024</v>
      </c>
      <c r="C323" s="2">
        <f>COUNTIFS(Games[Team],Games[[#This Row],[Team]],Games[Season],Games[[#This Row],[Season]],Games[Date],"&lt;=" &amp; Games[[#This Row],[Date]])</f>
        <v>26</v>
      </c>
      <c r="D323" s="2" t="s">
        <v>79</v>
      </c>
      <c r="E323" s="2" t="s">
        <v>80</v>
      </c>
      <c r="F323" s="1" t="s">
        <v>86</v>
      </c>
      <c r="G323" s="1" t="s">
        <v>63</v>
      </c>
      <c r="H323" s="1" t="s">
        <v>82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3" s="2">
        <f>Games[[#This Row],[DaysOff]]-Games[[#This Row],[OppDaysOff]]</f>
        <v>0</v>
      </c>
      <c r="L323" s="2">
        <f>Games[[#This Row],[OppDaysOff]]-Games[[#This Row],[DaysOff]]</f>
        <v>0</v>
      </c>
      <c r="M323" s="1">
        <f>MAX(-16, MIN(16, Games[[#This Row],[RestDiff]]*8))</f>
        <v>0</v>
      </c>
      <c r="N323" s="1">
        <f>MAX(-16, MIN(16, Games[[#This Row],[OppRestDiff]]*8))</f>
        <v>0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1619.0474711812794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1350.141543865722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0.88406386421175931</v>
      </c>
      <c r="R323" s="1">
        <v>87</v>
      </c>
      <c r="S323" s="1">
        <v>71</v>
      </c>
      <c r="T323" s="1">
        <v>0</v>
      </c>
      <c r="U323" s="1">
        <f>Games[[#This Row],[PointsFor]]-Games[[#This Row],[PointsAgainst]]</f>
        <v>16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0.42299729831684063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3" s="9">
        <f>MAX(kmin, kmax - 0.15 * MIN(Games[[#This Row],[GamesPlayed]], 82))</f>
        <v>72.099999999999994</v>
      </c>
      <c r="Z323" s="4">
        <f>Games[[#This Row],[K]]*Games[[#This Row],[POMult]]</f>
        <v>72.099999999999994</v>
      </c>
      <c r="AA323" s="4">
        <f>(Games[[#This Row],[Keff]]*Games[[#This Row],[MOVMult]])*(Games[[#This Row],[Result]]-Games[[#This Row],[ExpectedWin%]])</f>
        <v>3.5358324667534258</v>
      </c>
      <c r="AB323" s="4">
        <f>Games[[#This Row],[PreGmRate]]+Games[[#This Row],[RatingChange]]</f>
        <v>1622.5833036480328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45522</v>
      </c>
      <c r="B324" s="2">
        <v>2024</v>
      </c>
      <c r="C324" s="2">
        <f>COUNTIFS(Games[Team],Games[[#This Row],[Team]],Games[Season],Games[[#This Row],[Season]],Games[Date],"&lt;=" &amp; Games[[#This Row],[Date]])</f>
        <v>27</v>
      </c>
      <c r="D324" s="2" t="s">
        <v>79</v>
      </c>
      <c r="E324" s="2" t="s">
        <v>80</v>
      </c>
      <c r="F324" s="1" t="s">
        <v>75</v>
      </c>
      <c r="G324" s="1" t="s">
        <v>40</v>
      </c>
      <c r="H324" s="1" t="s">
        <v>81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4" s="2">
        <f>Games[[#This Row],[DaysOff]]-Games[[#This Row],[OppDaysOff]]</f>
        <v>-1</v>
      </c>
      <c r="L324" s="2">
        <f>Games[[#This Row],[OppDaysOff]]-Games[[#This Row],[DaysOff]]</f>
        <v>1</v>
      </c>
      <c r="M324" s="1">
        <f>MAX(-16, MIN(16, Games[[#This Row],[RestDiff]]*8))</f>
        <v>-8</v>
      </c>
      <c r="N324" s="1">
        <f>MAX(-16, MIN(16, Games[[#This Row],[OppRestDiff]]*8))</f>
        <v>8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1460.3320498247983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1482.2370830776092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0.3314261657941287</v>
      </c>
      <c r="R324" s="1">
        <v>68</v>
      </c>
      <c r="S324" s="1">
        <v>86</v>
      </c>
      <c r="T324" s="1">
        <v>0</v>
      </c>
      <c r="U324" s="1">
        <f>Games[[#This Row],[PointsFor]]-Games[[#This Row],[PointsAgainst]]</f>
        <v>-18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0.53703086630613639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4" s="9">
        <f>MAX(kmin, kmax - 0.15 * MIN(Games[[#This Row],[GamesPlayed]], 82))</f>
        <v>71.95</v>
      </c>
      <c r="Z324" s="4">
        <f>Games[[#This Row],[K]]*Games[[#This Row],[POMult]]</f>
        <v>71.95</v>
      </c>
      <c r="AA324" s="4">
        <f>(Games[[#This Row],[Keff]]*Games[[#This Row],[MOVMult]])*(Games[[#This Row],[Result]]-Games[[#This Row],[ExpectedWin%]])</f>
        <v>-12.806098523125186</v>
      </c>
      <c r="AB324" s="4">
        <f>Games[[#This Row],[PreGmRate]]+Games[[#This Row],[RatingChange]]</f>
        <v>1447.5259513016731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45522</v>
      </c>
      <c r="B325" s="2">
        <v>2024</v>
      </c>
      <c r="C325" s="2">
        <f>COUNTIFS(Games[Team],Games[[#This Row],[Team]],Games[Season],Games[[#This Row],[Season]],Games[Date],"&lt;=" &amp; Games[[#This Row],[Date]])</f>
        <v>28</v>
      </c>
      <c r="D325" s="2" t="s">
        <v>79</v>
      </c>
      <c r="E325" s="2" t="s">
        <v>80</v>
      </c>
      <c r="F325" s="1" t="s">
        <v>40</v>
      </c>
      <c r="G325" s="1" t="s">
        <v>75</v>
      </c>
      <c r="H325" s="1" t="s">
        <v>82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5" s="2">
        <f>Games[[#This Row],[DaysOff]]-Games[[#This Row],[OppDaysOff]]</f>
        <v>1</v>
      </c>
      <c r="L325" s="2">
        <f>Games[[#This Row],[OppDaysOff]]-Games[[#This Row],[DaysOff]]</f>
        <v>-1</v>
      </c>
      <c r="M325" s="1">
        <f>MAX(-16, MIN(16, Games[[#This Row],[RestDiff]]*8))</f>
        <v>8</v>
      </c>
      <c r="N325" s="1">
        <f>MAX(-16, MIN(16, Games[[#This Row],[OppRestDiff]]*8))</f>
        <v>-8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1482.2370830776092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1460.3320498247983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0.66857383420587135</v>
      </c>
      <c r="R325" s="1">
        <v>86</v>
      </c>
      <c r="S325" s="1">
        <v>68</v>
      </c>
      <c r="T325" s="1">
        <v>0</v>
      </c>
      <c r="U325" s="1">
        <f>Games[[#This Row],[PointsFor]]-Games[[#This Row],[PointsAgainst]]</f>
        <v>18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0.53703086630613639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5" s="9">
        <f>MAX(kmin, kmax - 0.15 * MIN(Games[[#This Row],[GamesPlayed]], 82))</f>
        <v>71.8</v>
      </c>
      <c r="Z325" s="4">
        <f>Games[[#This Row],[K]]*Games[[#This Row],[POMult]]</f>
        <v>71.8</v>
      </c>
      <c r="AA325" s="4">
        <f>(Games[[#This Row],[Keff]]*Games[[#This Row],[MOVMult]])*(Games[[#This Row],[Result]]-Games[[#This Row],[ExpectedWin%]])</f>
        <v>12.779400610985242</v>
      </c>
      <c r="AB325" s="4">
        <f>Games[[#This Row],[PreGmRate]]+Games[[#This Row],[RatingChange]]</f>
        <v>1495.0164836885945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45524</v>
      </c>
      <c r="B326" s="2">
        <v>2024</v>
      </c>
      <c r="C326" s="2">
        <f>COUNTIFS(Games[Team],Games[[#This Row],[Team]],Games[Season],Games[[#This Row],[Season]],Games[Date],"&lt;=" &amp; Games[[#This Row],[Date]])</f>
        <v>28</v>
      </c>
      <c r="D326" s="2" t="s">
        <v>79</v>
      </c>
      <c r="E326" s="2" t="s">
        <v>80</v>
      </c>
      <c r="F326" s="1" t="s">
        <v>63</v>
      </c>
      <c r="G326" s="1" t="s">
        <v>74</v>
      </c>
      <c r="H326" s="1" t="s">
        <v>81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0</v>
      </c>
      <c r="L326" s="2">
        <f>Games[[#This Row],[OppDaysOff]]-Games[[#This Row],[DaysOff]]</f>
        <v>0</v>
      </c>
      <c r="M326" s="1">
        <f>MAX(-16, MIN(16, Games[[#This Row],[RestDiff]]*8))</f>
        <v>0</v>
      </c>
      <c r="N326" s="1">
        <f>MAX(-16, MIN(16, Games[[#This Row],[OppRestDiff]]*8))</f>
        <v>0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1346.613067499801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1609.7854418109262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0.11936209649209246</v>
      </c>
      <c r="R326" s="1">
        <v>61</v>
      </c>
      <c r="S326" s="1">
        <v>69</v>
      </c>
      <c r="T326" s="1">
        <v>0</v>
      </c>
      <c r="U326" s="1">
        <f>Games[[#This Row],[PointsFor]]-Games[[#This Row],[PointsAgainst]]</f>
        <v>-8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0.31847145981210423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6" s="9">
        <f>MAX(kmin, kmax - 0.15 * MIN(Games[[#This Row],[GamesPlayed]], 82))</f>
        <v>71.8</v>
      </c>
      <c r="Z326" s="4">
        <f>Games[[#This Row],[K]]*Games[[#This Row],[POMult]]</f>
        <v>71.8</v>
      </c>
      <c r="AA326" s="4">
        <f>(Games[[#This Row],[Keff]]*Games[[#This Row],[MOVMult]])*(Games[[#This Row],[Result]]-Games[[#This Row],[ExpectedWin%]])</f>
        <v>-2.7293636361338209</v>
      </c>
      <c r="AB326" s="4">
        <f>Games[[#This Row],[PreGmRate]]+Games[[#This Row],[RatingChange]]</f>
        <v>1343.8837038636673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45524</v>
      </c>
      <c r="B327" s="2">
        <v>2024</v>
      </c>
      <c r="C327" s="2">
        <f>COUNTIFS(Games[Team],Games[[#This Row],[Team]],Games[Season],Games[[#This Row],[Season]],Games[Date],"&lt;=" &amp; Games[[#This Row],[Date]])</f>
        <v>27</v>
      </c>
      <c r="D327" s="2" t="s">
        <v>79</v>
      </c>
      <c r="E327" s="2" t="s">
        <v>80</v>
      </c>
      <c r="F327" s="1" t="s">
        <v>74</v>
      </c>
      <c r="G327" s="1" t="s">
        <v>63</v>
      </c>
      <c r="H327" s="1" t="s">
        <v>82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0</v>
      </c>
      <c r="L327" s="2">
        <f>Games[[#This Row],[OppDaysOff]]-Games[[#This Row],[DaysOff]]</f>
        <v>0</v>
      </c>
      <c r="M327" s="1">
        <f>MAX(-16, MIN(16, Games[[#This Row],[RestDiff]]*8))</f>
        <v>0</v>
      </c>
      <c r="N327" s="1">
        <f>MAX(-16, MIN(16, Games[[#This Row],[OppRestDiff]]*8))</f>
        <v>0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1609.7854418109262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1346.613067499801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0.88063790350790749</v>
      </c>
      <c r="R327" s="1">
        <v>69</v>
      </c>
      <c r="S327" s="1">
        <v>61</v>
      </c>
      <c r="T327" s="1">
        <v>0</v>
      </c>
      <c r="U327" s="1">
        <f>Games[[#This Row],[PointsFor]]-Games[[#This Row],[PointsAgainst]]</f>
        <v>8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0.31847145981210423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7" s="9">
        <f>MAX(kmin, kmax - 0.15 * MIN(Games[[#This Row],[GamesPlayed]], 82))</f>
        <v>71.95</v>
      </c>
      <c r="Z327" s="4">
        <f>Games[[#This Row],[K]]*Games[[#This Row],[POMult]]</f>
        <v>71.95</v>
      </c>
      <c r="AA327" s="4">
        <f>(Games[[#This Row],[Keff]]*Games[[#This Row],[MOVMult]])*(Games[[#This Row],[Result]]-Games[[#This Row],[ExpectedWin%]])</f>
        <v>2.7350656493012324</v>
      </c>
      <c r="AB327" s="4">
        <f>Games[[#This Row],[PreGmRate]]+Games[[#This Row],[RatingChange]]</f>
        <v>1612.5205074602275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45524</v>
      </c>
      <c r="B328" s="2">
        <v>2024</v>
      </c>
      <c r="C328" s="2">
        <f>COUNTIFS(Games[Team],Games[[#This Row],[Team]],Games[Season],Games[[#This Row],[Season]],Games[Date],"&lt;=" &amp; Games[[#This Row],[Date]])</f>
        <v>27</v>
      </c>
      <c r="D328" s="2" t="s">
        <v>79</v>
      </c>
      <c r="E328" s="2" t="s">
        <v>80</v>
      </c>
      <c r="F328" s="1" t="s">
        <v>85</v>
      </c>
      <c r="G328" s="1" t="s">
        <v>60</v>
      </c>
      <c r="H328" s="1" t="s">
        <v>81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8" s="2">
        <f>Games[[#This Row],[DaysOff]]-Games[[#This Row],[OppDaysOff]]</f>
        <v>1</v>
      </c>
      <c r="L328" s="2">
        <f>Games[[#This Row],[OppDaysOff]]-Games[[#This Row],[DaysOff]]</f>
        <v>-1</v>
      </c>
      <c r="M328" s="1">
        <f>MAX(-16, MIN(16, Games[[#This Row],[RestDiff]]*8))</f>
        <v>8</v>
      </c>
      <c r="N328" s="1">
        <f>MAX(-16, MIN(16, Games[[#This Row],[OppRestDiff]]*8))</f>
        <v>-8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1360.4979375779765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1722.1777564759718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7.7741533576984767E-2</v>
      </c>
      <c r="R328" s="1">
        <v>74</v>
      </c>
      <c r="S328" s="1">
        <v>94</v>
      </c>
      <c r="T328" s="1">
        <v>0</v>
      </c>
      <c r="U328" s="1">
        <f>Games[[#This Row],[PointsFor]]-Games[[#This Row],[PointsAgainst]]</f>
        <v>-20</v>
      </c>
      <c r="V328" s="1">
        <f>IF(Games[[#This Row],[MOV]]&gt;0,1,IF(Games[[#This Row],[MOV]]=0,0.5,0))</f>
        <v>0</v>
      </c>
      <c r="W328" s="4">
        <f>((ABS(Games[[#This Row],[MOV]])+5)^0.6)/(12+0.01*(ABS(Games[[#This Row],[PreGmRate]]-Games[[#This Row],[OppPreGmRate]])))*IF(Games[[#This Row],[OT]]=1,0.9,1)</f>
        <v>0.44174537083882709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8" s="9">
        <f>MAX(kmin, kmax - 0.15 * MIN(Games[[#This Row],[GamesPlayed]], 82))</f>
        <v>71.95</v>
      </c>
      <c r="Z328" s="4">
        <f>Games[[#This Row],[K]]*Games[[#This Row],[POMult]]</f>
        <v>71.95</v>
      </c>
      <c r="AA328" s="4">
        <f>(Games[[#This Row],[Keff]]*Games[[#This Row],[MOVMult]])*(Games[[#This Row],[Result]]-Games[[#This Row],[ExpectedWin%]])</f>
        <v>-2.4709042075982097</v>
      </c>
      <c r="AB328" s="4">
        <f>Games[[#This Row],[PreGmRate]]+Games[[#This Row],[RatingChange]]</f>
        <v>1358.0270333703784</v>
      </c>
      <c r="AC328" s="2">
        <f>IF(Games[[#This Row],[Type]]="R",IF(Games[[#This Row],[Result]]&gt;0.5,1,0),0)</f>
        <v>0</v>
      </c>
      <c r="AD328" s="2">
        <f>IF(Games[[#This Row],[Type]]="R",IF(Games[[#This Row],[Result]]&lt;0.5,1,0),0)</f>
        <v>1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45524</v>
      </c>
      <c r="B329" s="2">
        <v>2024</v>
      </c>
      <c r="C329" s="2">
        <f>COUNTIFS(Games[Team],Games[[#This Row],[Team]],Games[Season],Games[[#This Row],[Season]],Games[Date],"&lt;=" &amp; Games[[#This Row],[Date]])</f>
        <v>29</v>
      </c>
      <c r="D329" s="2" t="s">
        <v>79</v>
      </c>
      <c r="E329" s="2" t="s">
        <v>80</v>
      </c>
      <c r="F329" s="1" t="s">
        <v>60</v>
      </c>
      <c r="G329" s="1" t="s">
        <v>85</v>
      </c>
      <c r="H329" s="1" t="s">
        <v>82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9" s="2">
        <f>Games[[#This Row],[DaysOff]]-Games[[#This Row],[OppDaysOff]]</f>
        <v>-1</v>
      </c>
      <c r="L329" s="2">
        <f>Games[[#This Row],[OppDaysOff]]-Games[[#This Row],[DaysOff]]</f>
        <v>1</v>
      </c>
      <c r="M329" s="1">
        <f>MAX(-16, MIN(16, Games[[#This Row],[RestDiff]]*8))</f>
        <v>-8</v>
      </c>
      <c r="N329" s="1">
        <f>MAX(-16, MIN(16, Games[[#This Row],[OppRestDiff]]*8))</f>
        <v>8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1722.1777564759718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1360.4979375779765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0.92225846642301523</v>
      </c>
      <c r="R329" s="1">
        <v>94</v>
      </c>
      <c r="S329" s="1">
        <v>74</v>
      </c>
      <c r="T329" s="1">
        <v>0</v>
      </c>
      <c r="U329" s="1">
        <f>Games[[#This Row],[PointsFor]]-Games[[#This Row],[PointsAgainst]]</f>
        <v>20</v>
      </c>
      <c r="V329" s="1">
        <f>IF(Games[[#This Row],[MOV]]&gt;0,1,IF(Games[[#This Row],[MOV]]=0,0.5,0))</f>
        <v>1</v>
      </c>
      <c r="W329" s="4">
        <f>((ABS(Games[[#This Row],[MOV]])+5)^0.6)/(12+0.01*(ABS(Games[[#This Row],[PreGmRate]]-Games[[#This Row],[OppPreGmRate]])))*IF(Games[[#This Row],[OT]]=1,0.9,1)</f>
        <v>0.44174537083882709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9" s="9">
        <f>MAX(kmin, kmax - 0.15 * MIN(Games[[#This Row],[GamesPlayed]], 82))</f>
        <v>71.650000000000006</v>
      </c>
      <c r="Z329" s="4">
        <f>Games[[#This Row],[K]]*Games[[#This Row],[POMult]]</f>
        <v>71.650000000000006</v>
      </c>
      <c r="AA329" s="4">
        <f>(Games[[#This Row],[Keff]]*Games[[#This Row],[MOVMult]])*(Games[[#This Row],[Result]]-Games[[#This Row],[ExpectedWin%]])</f>
        <v>2.4606016188243469</v>
      </c>
      <c r="AB329" s="4">
        <f>Games[[#This Row],[PreGmRate]]+Games[[#This Row],[RatingChange]]</f>
        <v>1724.6383580947961</v>
      </c>
      <c r="AC329" s="2">
        <f>IF(Games[[#This Row],[Type]]="R",IF(Games[[#This Row],[Result]]&gt;0.5,1,0),0)</f>
        <v>1</v>
      </c>
      <c r="AD329" s="2">
        <f>IF(Games[[#This Row],[Type]]="R",IF(Games[[#This Row],[Result]]&lt;0.5,1,0),0)</f>
        <v>0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45524</v>
      </c>
      <c r="B330" s="2">
        <v>2024</v>
      </c>
      <c r="C330" s="2">
        <f>COUNTIFS(Games[Team],Games[[#This Row],[Team]],Games[Season],Games[[#This Row],[Season]],Games[Date],"&lt;=" &amp; Games[[#This Row],[Date]])</f>
        <v>28</v>
      </c>
      <c r="D330" s="2" t="s">
        <v>79</v>
      </c>
      <c r="E330" s="2" t="s">
        <v>80</v>
      </c>
      <c r="F330" s="1" t="s">
        <v>71</v>
      </c>
      <c r="G330" s="1" t="s">
        <v>65</v>
      </c>
      <c r="H330" s="1" t="s">
        <v>81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0" s="2">
        <f>Games[[#This Row],[DaysOff]]-Games[[#This Row],[OppDaysOff]]</f>
        <v>-1</v>
      </c>
      <c r="L330" s="2">
        <f>Games[[#This Row],[OppDaysOff]]-Games[[#This Row],[DaysOff]]</f>
        <v>1</v>
      </c>
      <c r="M330" s="1">
        <f>MAX(-16, MIN(16, Games[[#This Row],[RestDiff]]*8))</f>
        <v>-8</v>
      </c>
      <c r="N330" s="1">
        <f>MAX(-16, MIN(16, Games[[#This Row],[OppRestDiff]]*8))</f>
        <v>8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1545.4633806615504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1379.9604638835085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0.59316504600527642</v>
      </c>
      <c r="R330" s="1">
        <v>83</v>
      </c>
      <c r="S330" s="1">
        <v>77</v>
      </c>
      <c r="T330" s="1">
        <v>0</v>
      </c>
      <c r="U330" s="1">
        <f>Games[[#This Row],[PointsFor]]-Games[[#This Row],[PointsAgainst]]</f>
        <v>6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0.30870451328205362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0" s="9">
        <f>MAX(kmin, kmax - 0.15 * MIN(Games[[#This Row],[GamesPlayed]], 82))</f>
        <v>71.8</v>
      </c>
      <c r="Z330" s="4">
        <f>Games[[#This Row],[K]]*Games[[#This Row],[POMult]]</f>
        <v>71.8</v>
      </c>
      <c r="AA330" s="4">
        <f>(Games[[#This Row],[Keff]]*Games[[#This Row],[MOVMult]])*(Games[[#This Row],[Result]]-Games[[#This Row],[ExpectedWin%]])</f>
        <v>9.0174902677610689</v>
      </c>
      <c r="AB330" s="4">
        <f>Games[[#This Row],[PreGmRate]]+Games[[#This Row],[RatingChange]]</f>
        <v>1554.4808709293115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45524</v>
      </c>
      <c r="B331" s="2">
        <v>2024</v>
      </c>
      <c r="C331" s="2">
        <f>COUNTIFS(Games[Team],Games[[#This Row],[Team]],Games[Season],Games[[#This Row],[Season]],Games[Date],"&lt;=" &amp; Games[[#This Row],[Date]])</f>
        <v>28</v>
      </c>
      <c r="D331" s="2" t="s">
        <v>79</v>
      </c>
      <c r="E331" s="2" t="s">
        <v>80</v>
      </c>
      <c r="F331" s="1" t="s">
        <v>65</v>
      </c>
      <c r="G331" s="1" t="s">
        <v>71</v>
      </c>
      <c r="H331" s="1" t="s">
        <v>82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1</v>
      </c>
      <c r="L331" s="2">
        <f>Games[[#This Row],[OppDaysOff]]-Games[[#This Row],[DaysOff]]</f>
        <v>-1</v>
      </c>
      <c r="M331" s="1">
        <f>MAX(-16, MIN(16, Games[[#This Row],[RestDiff]]*8))</f>
        <v>8</v>
      </c>
      <c r="N331" s="1">
        <f>MAX(-16, MIN(16, Games[[#This Row],[OppRestDiff]]*8))</f>
        <v>-8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1379.9604638835085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1545.4633806615504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0.40683495399472352</v>
      </c>
      <c r="R331" s="1">
        <v>77</v>
      </c>
      <c r="S331" s="1">
        <v>83</v>
      </c>
      <c r="T331" s="1">
        <v>0</v>
      </c>
      <c r="U331" s="1">
        <f>Games[[#This Row],[PointsFor]]-Games[[#This Row],[PointsAgainst]]</f>
        <v>-6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0.30870451328205362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1" s="9">
        <f>MAX(kmin, kmax - 0.15 * MIN(Games[[#This Row],[GamesPlayed]], 82))</f>
        <v>71.8</v>
      </c>
      <c r="Z331" s="4">
        <f>Games[[#This Row],[K]]*Games[[#This Row],[POMult]]</f>
        <v>71.8</v>
      </c>
      <c r="AA331" s="4">
        <f>(Games[[#This Row],[Keff]]*Games[[#This Row],[MOVMult]])*(Games[[#This Row],[Result]]-Games[[#This Row],[ExpectedWin%]])</f>
        <v>-9.0174902677610671</v>
      </c>
      <c r="AB331" s="4">
        <f>Games[[#This Row],[PreGmRate]]+Games[[#This Row],[RatingChange]]</f>
        <v>1370.9429736157474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45525</v>
      </c>
      <c r="B332" s="2">
        <v>2024</v>
      </c>
      <c r="C332" s="2">
        <f>COUNTIFS(Games[Team],Games[[#This Row],[Team]],Games[Season],Games[[#This Row],[Season]],Games[Date],"&lt;=" &amp; Games[[#This Row],[Date]])</f>
        <v>29</v>
      </c>
      <c r="D332" s="2" t="s">
        <v>79</v>
      </c>
      <c r="E332" s="2" t="s">
        <v>80</v>
      </c>
      <c r="F332" s="1" t="s">
        <v>40</v>
      </c>
      <c r="G332" s="1" t="s">
        <v>77</v>
      </c>
      <c r="H332" s="1" t="s">
        <v>81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2" s="2">
        <f>Games[[#This Row],[DaysOff]]-Games[[#This Row],[OppDaysOff]]</f>
        <v>0</v>
      </c>
      <c r="L332" s="2">
        <f>Games[[#This Row],[OppDaysOff]]-Games[[#This Row],[DaysOff]]</f>
        <v>0</v>
      </c>
      <c r="M332" s="1">
        <f>MAX(-16, MIN(16, Games[[#This Row],[RestDiff]]*8))</f>
        <v>0</v>
      </c>
      <c r="N332" s="1">
        <f>MAX(-16, MIN(16, Games[[#This Row],[OppRestDiff]]*8))</f>
        <v>0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1495.0164836885945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1400.6184980130381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0.51495943826664126</v>
      </c>
      <c r="R332" s="1">
        <v>63</v>
      </c>
      <c r="S332" s="1">
        <v>72</v>
      </c>
      <c r="T332" s="1">
        <v>0</v>
      </c>
      <c r="U332" s="1">
        <f>Games[[#This Row],[PointsFor]]-Games[[#This Row],[PointsAgainst]]</f>
        <v>-9</v>
      </c>
      <c r="V332" s="1">
        <f>IF(Games[[#This Row],[MOV]]&gt;0,1,IF(Games[[#This Row],[MOV]]=0,0.5,0))</f>
        <v>0</v>
      </c>
      <c r="W332" s="4">
        <f>((ABS(Games[[#This Row],[MOV]])+5)^0.6)/(12+0.01*(ABS(Games[[#This Row],[PreGmRate]]-Games[[#This Row],[OppPreGmRate]])))*IF(Games[[#This Row],[OT]]=1,0.9,1)</f>
        <v>0.37636479503823994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2" s="9">
        <f>MAX(kmin, kmax - 0.15 * MIN(Games[[#This Row],[GamesPlayed]], 82))</f>
        <v>71.650000000000006</v>
      </c>
      <c r="Z332" s="4">
        <f>Games[[#This Row],[K]]*Games[[#This Row],[POMult]]</f>
        <v>71.650000000000006</v>
      </c>
      <c r="AA332" s="4">
        <f>(Games[[#This Row],[Keff]]*Games[[#This Row],[MOVMult]])*(Games[[#This Row],[Result]]-Games[[#This Row],[ExpectedWin%]])</f>
        <v>-13.886673036205996</v>
      </c>
      <c r="AB332" s="4">
        <f>Games[[#This Row],[PreGmRate]]+Games[[#This Row],[RatingChange]]</f>
        <v>1481.1298106523884</v>
      </c>
      <c r="AC332" s="2">
        <f>IF(Games[[#This Row],[Type]]="R",IF(Games[[#This Row],[Result]]&gt;0.5,1,0),0)</f>
        <v>0</v>
      </c>
      <c r="AD332" s="2">
        <f>IF(Games[[#This Row],[Type]]="R",IF(Games[[#This Row],[Result]]&lt;0.5,1,0),0)</f>
        <v>1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45525</v>
      </c>
      <c r="B333" s="2">
        <v>2024</v>
      </c>
      <c r="C333" s="2">
        <f>COUNTIFS(Games[Team],Games[[#This Row],[Team]],Games[Season],Games[[#This Row],[Season]],Games[Date],"&lt;=" &amp; Games[[#This Row],[Date]])</f>
        <v>27</v>
      </c>
      <c r="D333" s="2" t="s">
        <v>79</v>
      </c>
      <c r="E333" s="2" t="s">
        <v>80</v>
      </c>
      <c r="F333" s="1" t="s">
        <v>77</v>
      </c>
      <c r="G333" s="1" t="s">
        <v>40</v>
      </c>
      <c r="H333" s="1" t="s">
        <v>82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3" s="2">
        <f>Games[[#This Row],[DaysOff]]-Games[[#This Row],[OppDaysOff]]</f>
        <v>0</v>
      </c>
      <c r="L333" s="2">
        <f>Games[[#This Row],[OppDaysOff]]-Games[[#This Row],[DaysOff]]</f>
        <v>0</v>
      </c>
      <c r="M333" s="1">
        <f>MAX(-16, MIN(16, Games[[#This Row],[RestDiff]]*8))</f>
        <v>0</v>
      </c>
      <c r="N333" s="1">
        <f>MAX(-16, MIN(16, Games[[#This Row],[OppRestDiff]]*8))</f>
        <v>0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1400.6184980130381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1495.0164836885945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0.4850405617333588</v>
      </c>
      <c r="R333" s="1">
        <v>72</v>
      </c>
      <c r="S333" s="1">
        <v>63</v>
      </c>
      <c r="T333" s="1">
        <v>0</v>
      </c>
      <c r="U333" s="1">
        <f>Games[[#This Row],[PointsFor]]-Games[[#This Row],[PointsAgainst]]</f>
        <v>9</v>
      </c>
      <c r="V333" s="1">
        <f>IF(Games[[#This Row],[MOV]]&gt;0,1,IF(Games[[#This Row],[MOV]]=0,0.5,0))</f>
        <v>1</v>
      </c>
      <c r="W333" s="4">
        <f>((ABS(Games[[#This Row],[MOV]])+5)^0.6)/(12+0.01*(ABS(Games[[#This Row],[PreGmRate]]-Games[[#This Row],[OppPreGmRate]])))*IF(Games[[#This Row],[OT]]=1,0.9,1)</f>
        <v>0.37636479503823994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3" s="9">
        <f>MAX(kmin, kmax - 0.15 * MIN(Games[[#This Row],[GamesPlayed]], 82))</f>
        <v>71.95</v>
      </c>
      <c r="Z333" s="4">
        <f>Games[[#This Row],[K]]*Games[[#This Row],[POMult]]</f>
        <v>71.95</v>
      </c>
      <c r="AA333" s="4">
        <f>(Games[[#This Row],[Keff]]*Games[[#This Row],[MOVMult]])*(Games[[#This Row],[Result]]-Games[[#This Row],[ExpectedWin%]])</f>
        <v>13.944816817236863</v>
      </c>
      <c r="AB333" s="4">
        <f>Games[[#This Row],[PreGmRate]]+Games[[#This Row],[RatingChange]]</f>
        <v>1414.563314830275</v>
      </c>
      <c r="AC333" s="2">
        <f>IF(Games[[#This Row],[Type]]="R",IF(Games[[#This Row],[Result]]&gt;0.5,1,0),0)</f>
        <v>1</v>
      </c>
      <c r="AD333" s="2">
        <f>IF(Games[[#This Row],[Type]]="R",IF(Games[[#This Row],[Result]]&lt;0.5,1,0),0)</f>
        <v>0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45525</v>
      </c>
      <c r="B334" s="2">
        <v>2024</v>
      </c>
      <c r="C334" s="2">
        <f>COUNTIFS(Games[Team],Games[[#This Row],[Team]],Games[Season],Games[[#This Row],[Season]],Games[Date],"&lt;=" &amp; Games[[#This Row],[Date]])</f>
        <v>29</v>
      </c>
      <c r="D334" s="2" t="s">
        <v>79</v>
      </c>
      <c r="E334" s="2" t="s">
        <v>80</v>
      </c>
      <c r="F334" s="1" t="s">
        <v>67</v>
      </c>
      <c r="G334" s="1" t="s">
        <v>86</v>
      </c>
      <c r="H334" s="1" t="s">
        <v>81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4" s="2">
        <f>Games[[#This Row],[DaysOff]]-Games[[#This Row],[OppDaysOff]]</f>
        <v>1</v>
      </c>
      <c r="L334" s="2">
        <f>Games[[#This Row],[OppDaysOff]]-Games[[#This Row],[DaysOff]]</f>
        <v>-1</v>
      </c>
      <c r="M334" s="1">
        <f>MAX(-16, MIN(16, Games[[#This Row],[RestDiff]]*8))</f>
        <v>8</v>
      </c>
      <c r="N334" s="1">
        <f>MAX(-16, MIN(16, Games[[#This Row],[OppRestDiff]]*8))</f>
        <v>-8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1592.1622908411828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1622.5833036480328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0.36203168295972754</v>
      </c>
      <c r="R334" s="1">
        <v>98</v>
      </c>
      <c r="S334" s="1">
        <v>87</v>
      </c>
      <c r="T334" s="1">
        <v>0</v>
      </c>
      <c r="U334" s="1">
        <f>Games[[#This Row],[PointsFor]]-Games[[#This Row],[PointsAgainst]]</f>
        <v>11</v>
      </c>
      <c r="V334" s="1">
        <f>IF(Games[[#This Row],[MOV]]&gt;0,1,IF(Games[[#This Row],[MOV]]=0,0.5,0))</f>
        <v>1</v>
      </c>
      <c r="W334" s="4">
        <f>((ABS(Games[[#This Row],[MOV]])+5)^0.6)/(12+0.01*(ABS(Games[[#This Row],[PreGmRate]]-Games[[#This Row],[OppPreGmRate]])))*IF(Games[[#This Row],[OT]]=1,0.9,1)</f>
        <v>0.42896143581384977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4" s="9">
        <f>MAX(kmin, kmax - 0.15 * MIN(Games[[#This Row],[GamesPlayed]], 82))</f>
        <v>71.650000000000006</v>
      </c>
      <c r="Z334" s="4">
        <f>Games[[#This Row],[K]]*Games[[#This Row],[POMult]]</f>
        <v>71.650000000000006</v>
      </c>
      <c r="AA334" s="4">
        <f>(Games[[#This Row],[Keff]]*Games[[#This Row],[MOVMult]])*(Games[[#This Row],[Result]]-Games[[#This Row],[ExpectedWin%]])</f>
        <v>19.608011648408056</v>
      </c>
      <c r="AB334" s="4">
        <f>Games[[#This Row],[PreGmRate]]+Games[[#This Row],[RatingChange]]</f>
        <v>1611.7703024895909</v>
      </c>
      <c r="AC334" s="2">
        <f>IF(Games[[#This Row],[Type]]="R",IF(Games[[#This Row],[Result]]&gt;0.5,1,0),0)</f>
        <v>1</v>
      </c>
      <c r="AD334" s="2">
        <f>IF(Games[[#This Row],[Type]]="R",IF(Games[[#This Row],[Result]]&lt;0.5,1,0),0)</f>
        <v>0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45525</v>
      </c>
      <c r="B335" s="2">
        <v>2024</v>
      </c>
      <c r="C335" s="2">
        <f>COUNTIFS(Games[Team],Games[[#This Row],[Team]],Games[Season],Games[[#This Row],[Season]],Games[Date],"&lt;=" &amp; Games[[#This Row],[Date]])</f>
        <v>27</v>
      </c>
      <c r="D335" s="2" t="s">
        <v>79</v>
      </c>
      <c r="E335" s="2" t="s">
        <v>80</v>
      </c>
      <c r="F335" s="1" t="s">
        <v>86</v>
      </c>
      <c r="G335" s="1" t="s">
        <v>67</v>
      </c>
      <c r="H335" s="1" t="s">
        <v>82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5" s="2">
        <f>Games[[#This Row],[DaysOff]]-Games[[#This Row],[OppDaysOff]]</f>
        <v>-1</v>
      </c>
      <c r="L335" s="2">
        <f>Games[[#This Row],[OppDaysOff]]-Games[[#This Row],[DaysOff]]</f>
        <v>1</v>
      </c>
      <c r="M335" s="1">
        <f>MAX(-16, MIN(16, Games[[#This Row],[RestDiff]]*8))</f>
        <v>-8</v>
      </c>
      <c r="N335" s="1">
        <f>MAX(-16, MIN(16, Games[[#This Row],[OppRestDiff]]*8))</f>
        <v>8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1622.5833036480328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1592.1622908411828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0.63796831704027246</v>
      </c>
      <c r="R335" s="1">
        <v>87</v>
      </c>
      <c r="S335" s="1">
        <v>98</v>
      </c>
      <c r="T335" s="1">
        <v>0</v>
      </c>
      <c r="U335" s="1">
        <f>Games[[#This Row],[PointsFor]]-Games[[#This Row],[PointsAgainst]]</f>
        <v>-11</v>
      </c>
      <c r="V335" s="1">
        <f>IF(Games[[#This Row],[MOV]]&gt;0,1,IF(Games[[#This Row],[MOV]]=0,0.5,0))</f>
        <v>0</v>
      </c>
      <c r="W335" s="4">
        <f>((ABS(Games[[#This Row],[MOV]])+5)^0.6)/(12+0.01*(ABS(Games[[#This Row],[PreGmRate]]-Games[[#This Row],[OppPreGmRate]])))*IF(Games[[#This Row],[OT]]=1,0.9,1)</f>
        <v>0.42896143581384977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5" s="9">
        <f>MAX(kmin, kmax - 0.15 * MIN(Games[[#This Row],[GamesPlayed]], 82))</f>
        <v>71.95</v>
      </c>
      <c r="Z335" s="4">
        <f>Games[[#This Row],[K]]*Games[[#This Row],[POMult]]</f>
        <v>71.95</v>
      </c>
      <c r="AA335" s="4">
        <f>(Games[[#This Row],[Keff]]*Games[[#This Row],[MOVMult]])*(Games[[#This Row],[Result]]-Games[[#This Row],[ExpectedWin%]])</f>
        <v>-19.690110789992456</v>
      </c>
      <c r="AB335" s="4">
        <f>Games[[#This Row],[PreGmRate]]+Games[[#This Row],[RatingChange]]</f>
        <v>1602.8931928580403</v>
      </c>
      <c r="AC335" s="2">
        <f>IF(Games[[#This Row],[Type]]="R",IF(Games[[#This Row],[Result]]&gt;0.5,1,0),0)</f>
        <v>0</v>
      </c>
      <c r="AD335" s="2">
        <f>IF(Games[[#This Row],[Type]]="R",IF(Games[[#This Row],[Result]]&lt;0.5,1,0),0)</f>
        <v>1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45526</v>
      </c>
      <c r="B336" s="2">
        <v>2024</v>
      </c>
      <c r="C336" s="2">
        <f>COUNTIFS(Games[Team],Games[[#This Row],[Team]],Games[Season],Games[[#This Row],[Season]],Games[Date],"&lt;=" &amp; Games[[#This Row],[Date]])</f>
        <v>28</v>
      </c>
      <c r="D336" s="2" t="s">
        <v>79</v>
      </c>
      <c r="E336" s="2" t="s">
        <v>80</v>
      </c>
      <c r="F336" s="1" t="s">
        <v>85</v>
      </c>
      <c r="G336" s="1" t="s">
        <v>60</v>
      </c>
      <c r="H336" s="1" t="s">
        <v>81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1358.0270333703784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1724.6383580947961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6.9530273216978175E-2</v>
      </c>
      <c r="R336" s="1">
        <v>71</v>
      </c>
      <c r="S336" s="1">
        <v>79</v>
      </c>
      <c r="T336" s="1">
        <v>0</v>
      </c>
      <c r="U336" s="1">
        <f>Games[[#This Row],[PointsFor]]-Games[[#This Row],[PointsAgainst]]</f>
        <v>-8</v>
      </c>
      <c r="V336" s="1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0.29744368283918593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6" s="9">
        <f>MAX(kmin, kmax - 0.15 * MIN(Games[[#This Row],[GamesPlayed]], 82))</f>
        <v>71.8</v>
      </c>
      <c r="Z336" s="4">
        <f>Games[[#This Row],[K]]*Games[[#This Row],[POMult]]</f>
        <v>71.8</v>
      </c>
      <c r="AA336" s="4">
        <f>(Games[[#This Row],[Keff]]*Games[[#This Row],[MOVMult]])*(Games[[#This Row],[Result]]-Games[[#This Row],[ExpectedWin%]])</f>
        <v>-1.4849202503751469</v>
      </c>
      <c r="AB336" s="4">
        <f>Games[[#This Row],[PreGmRate]]+Games[[#This Row],[RatingChange]]</f>
        <v>1356.5421131200033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45526</v>
      </c>
      <c r="B337" s="2">
        <v>2024</v>
      </c>
      <c r="C337" s="2">
        <f>COUNTIFS(Games[Team],Games[[#This Row],[Team]],Games[Season],Games[[#This Row],[Season]],Games[Date],"&lt;=" &amp; Games[[#This Row],[Date]])</f>
        <v>30</v>
      </c>
      <c r="D337" s="2" t="s">
        <v>79</v>
      </c>
      <c r="E337" s="2" t="s">
        <v>80</v>
      </c>
      <c r="F337" s="1" t="s">
        <v>60</v>
      </c>
      <c r="G337" s="1" t="s">
        <v>85</v>
      </c>
      <c r="H337" s="1" t="s">
        <v>82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1724.6383580947961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1358.0270333703784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0.93046972678302187</v>
      </c>
      <c r="R337" s="1">
        <v>79</v>
      </c>
      <c r="S337" s="1">
        <v>71</v>
      </c>
      <c r="T337" s="1">
        <v>0</v>
      </c>
      <c r="U337" s="1">
        <f>Games[[#This Row],[PointsFor]]-Games[[#This Row],[PointsAgainst]]</f>
        <v>8</v>
      </c>
      <c r="V337" s="1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0.29744368283918593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7" s="9">
        <f>MAX(kmin, kmax - 0.15 * MIN(Games[[#This Row],[GamesPlayed]], 82))</f>
        <v>71.5</v>
      </c>
      <c r="Z337" s="4">
        <f>Games[[#This Row],[K]]*Games[[#This Row],[POMult]]</f>
        <v>71.5</v>
      </c>
      <c r="AA337" s="4">
        <f>(Games[[#This Row],[Keff]]*Games[[#This Row],[MOVMult]])*(Games[[#This Row],[Result]]-Games[[#This Row],[ExpectedWin%]])</f>
        <v>1.4787158482148044</v>
      </c>
      <c r="AB337" s="4">
        <f>Games[[#This Row],[PreGmRate]]+Games[[#This Row],[RatingChange]]</f>
        <v>1726.1170739430108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45527</v>
      </c>
      <c r="B338" s="2">
        <v>2024</v>
      </c>
      <c r="C338" s="2">
        <f>COUNTIFS(Games[Team],Games[[#This Row],[Team]],Games[Season],Games[[#This Row],[Season]],Games[Date],"&lt;=" &amp; Games[[#This Row],[Date]])</f>
        <v>30</v>
      </c>
      <c r="D338" s="2" t="s">
        <v>79</v>
      </c>
      <c r="E338" s="2" t="s">
        <v>80</v>
      </c>
      <c r="F338" s="1" t="s">
        <v>40</v>
      </c>
      <c r="G338" s="1" t="s">
        <v>77</v>
      </c>
      <c r="H338" s="1" t="s">
        <v>81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0</v>
      </c>
      <c r="L338" s="2">
        <f>Games[[#This Row],[OppDaysOff]]-Games[[#This Row],[DaysOff]]</f>
        <v>0</v>
      </c>
      <c r="M338" s="1">
        <f>MAX(-16, MIN(16, Games[[#This Row],[RestDiff]]*8))</f>
        <v>0</v>
      </c>
      <c r="N338" s="1">
        <f>MAX(-16, MIN(16, Games[[#This Row],[OppRestDiff]]*8))</f>
        <v>0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1481.1298106523884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1414.563314830275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0.47493220573785477</v>
      </c>
      <c r="R338" s="1">
        <v>82</v>
      </c>
      <c r="S338" s="1">
        <v>80</v>
      </c>
      <c r="T338" s="1">
        <v>0</v>
      </c>
      <c r="U338" s="1">
        <f>Games[[#This Row],[PointsFor]]-Games[[#This Row],[PointsAgainst]]</f>
        <v>2</v>
      </c>
      <c r="V338" s="1">
        <f>IF(Games[[#This Row],[MOV]]&gt;0,1,IF(Games[[#This Row],[MOV]]=0,0.5,0))</f>
        <v>1</v>
      </c>
      <c r="W338" s="4">
        <f>((ABS(Games[[#This Row],[MOV]])+5)^0.6)/(12+0.01*(ABS(Games[[#This Row],[PreGmRate]]-Games[[#This Row],[OppPreGmRate]])))*IF(Games[[#This Row],[OT]]=1,0.9,1)</f>
        <v>0.25376447745286412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8" s="9">
        <f>MAX(kmin, kmax - 0.15 * MIN(Games[[#This Row],[GamesPlayed]], 82))</f>
        <v>71.5</v>
      </c>
      <c r="Z338" s="4">
        <f>Games[[#This Row],[K]]*Games[[#This Row],[POMult]]</f>
        <v>71.5</v>
      </c>
      <c r="AA338" s="4">
        <f>(Games[[#This Row],[Keff]]*Games[[#This Row],[MOVMult]])*(Games[[#This Row],[Result]]-Games[[#This Row],[ExpectedWin%]])</f>
        <v>9.5269141423356789</v>
      </c>
      <c r="AB338" s="4">
        <f>Games[[#This Row],[PreGmRate]]+Games[[#This Row],[RatingChange]]</f>
        <v>1490.6567247947241</v>
      </c>
      <c r="AC338" s="2">
        <f>IF(Games[[#This Row],[Type]]="R",IF(Games[[#This Row],[Result]]&gt;0.5,1,0),0)</f>
        <v>1</v>
      </c>
      <c r="AD338" s="2">
        <f>IF(Games[[#This Row],[Type]]="R",IF(Games[[#This Row],[Result]]&lt;0.5,1,0),0)</f>
        <v>0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45527</v>
      </c>
      <c r="B339" s="2">
        <v>2024</v>
      </c>
      <c r="C339" s="2">
        <f>COUNTIFS(Games[Team],Games[[#This Row],[Team]],Games[Season],Games[[#This Row],[Season]],Games[Date],"&lt;=" &amp; Games[[#This Row],[Date]])</f>
        <v>28</v>
      </c>
      <c r="D339" s="2" t="s">
        <v>79</v>
      </c>
      <c r="E339" s="2" t="s">
        <v>80</v>
      </c>
      <c r="F339" s="1" t="s">
        <v>77</v>
      </c>
      <c r="G339" s="1" t="s">
        <v>40</v>
      </c>
      <c r="H339" s="1" t="s">
        <v>82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0</v>
      </c>
      <c r="L339" s="2">
        <f>Games[[#This Row],[OppDaysOff]]-Games[[#This Row],[DaysOff]]</f>
        <v>0</v>
      </c>
      <c r="M339" s="1">
        <f>MAX(-16, MIN(16, Games[[#This Row],[RestDiff]]*8))</f>
        <v>0</v>
      </c>
      <c r="N339" s="1">
        <f>MAX(-16, MIN(16, Games[[#This Row],[OppRestDiff]]*8))</f>
        <v>0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1414.563314830275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1481.1298106523884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0.52506779426214523</v>
      </c>
      <c r="R339" s="1">
        <v>80</v>
      </c>
      <c r="S339" s="1">
        <v>82</v>
      </c>
      <c r="T339" s="1">
        <v>0</v>
      </c>
      <c r="U339" s="1">
        <f>Games[[#This Row],[PointsFor]]-Games[[#This Row],[PointsAgainst]]</f>
        <v>-2</v>
      </c>
      <c r="V339" s="1">
        <f>IF(Games[[#This Row],[MOV]]&gt;0,1,IF(Games[[#This Row],[MOV]]=0,0.5,0))</f>
        <v>0</v>
      </c>
      <c r="W339" s="4">
        <f>((ABS(Games[[#This Row],[MOV]])+5)^0.6)/(12+0.01*(ABS(Games[[#This Row],[PreGmRate]]-Games[[#This Row],[OppPreGmRate]])))*IF(Games[[#This Row],[OT]]=1,0.9,1)</f>
        <v>0.25376447745286412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9" s="9">
        <f>MAX(kmin, kmax - 0.15 * MIN(Games[[#This Row],[GamesPlayed]], 82))</f>
        <v>71.8</v>
      </c>
      <c r="Z339" s="4">
        <f>Games[[#This Row],[K]]*Games[[#This Row],[POMult]]</f>
        <v>71.8</v>
      </c>
      <c r="AA339" s="4">
        <f>(Games[[#This Row],[Keff]]*Games[[#This Row],[MOVMult]])*(Games[[#This Row],[Result]]-Games[[#This Row],[ExpectedWin%]])</f>
        <v>-9.5668872086671577</v>
      </c>
      <c r="AB339" s="4">
        <f>Games[[#This Row],[PreGmRate]]+Games[[#This Row],[RatingChange]]</f>
        <v>1404.9964276216078</v>
      </c>
      <c r="AC339" s="2">
        <f>IF(Games[[#This Row],[Type]]="R",IF(Games[[#This Row],[Result]]&gt;0.5,1,0),0)</f>
        <v>0</v>
      </c>
      <c r="AD339" s="2">
        <f>IF(Games[[#This Row],[Type]]="R",IF(Games[[#This Row],[Result]]&lt;0.5,1,0),0)</f>
        <v>1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45527</v>
      </c>
      <c r="B340" s="2">
        <v>2024</v>
      </c>
      <c r="C340" s="2">
        <f>COUNTIFS(Games[Team],Games[[#This Row],[Team]],Games[Season],Games[[#This Row],[Season]],Games[Date],"&lt;=" &amp; Games[[#This Row],[Date]])</f>
        <v>28</v>
      </c>
      <c r="D340" s="2" t="s">
        <v>79</v>
      </c>
      <c r="E340" s="2" t="s">
        <v>80</v>
      </c>
      <c r="F340" s="1" t="s">
        <v>75</v>
      </c>
      <c r="G340" s="1" t="s">
        <v>74</v>
      </c>
      <c r="H340" s="1" t="s">
        <v>81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0" s="2">
        <f>Games[[#This Row],[DaysOff]]-Games[[#This Row],[OppDaysOff]]</f>
        <v>2</v>
      </c>
      <c r="L340" s="2">
        <f>Games[[#This Row],[OppDaysOff]]-Games[[#This Row],[DaysOff]]</f>
        <v>-2</v>
      </c>
      <c r="M340" s="1">
        <f>MAX(-16, MIN(16, Games[[#This Row],[RestDiff]]*8))</f>
        <v>16</v>
      </c>
      <c r="N340" s="1">
        <f>MAX(-16, MIN(16, Games[[#This Row],[OppRestDiff]]*8))</f>
        <v>-16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1447.5259513016731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1612.5205074602275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0.22285232191381771</v>
      </c>
      <c r="R340" s="1">
        <v>80</v>
      </c>
      <c r="S340" s="1">
        <v>82</v>
      </c>
      <c r="T340" s="1">
        <v>0</v>
      </c>
      <c r="U340" s="1">
        <f>Games[[#This Row],[PointsFor]]-Games[[#This Row],[PointsAgainst]]</f>
        <v>-2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0.23546583649105024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0" s="9">
        <f>MAX(kmin, kmax - 0.15 * MIN(Games[[#This Row],[GamesPlayed]], 82))</f>
        <v>71.8</v>
      </c>
      <c r="Z340" s="4">
        <f>Games[[#This Row],[K]]*Games[[#This Row],[POMult]]</f>
        <v>71.8</v>
      </c>
      <c r="AA340" s="4">
        <f>(Games[[#This Row],[Keff]]*Games[[#This Row],[MOVMult]])*(Games[[#This Row],[Result]]-Games[[#This Row],[ExpectedWin%]])</f>
        <v>-3.7676409826468302</v>
      </c>
      <c r="AB340" s="4">
        <f>Games[[#This Row],[PreGmRate]]+Games[[#This Row],[RatingChange]]</f>
        <v>1443.7583103190264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45527</v>
      </c>
      <c r="B341" s="2">
        <v>2024</v>
      </c>
      <c r="C341" s="2">
        <f>COUNTIFS(Games[Team],Games[[#This Row],[Team]],Games[Season],Games[[#This Row],[Season]],Games[Date],"&lt;=" &amp; Games[[#This Row],[Date]])</f>
        <v>28</v>
      </c>
      <c r="D341" s="2" t="s">
        <v>79</v>
      </c>
      <c r="E341" s="2" t="s">
        <v>80</v>
      </c>
      <c r="F341" s="1" t="s">
        <v>74</v>
      </c>
      <c r="G341" s="1" t="s">
        <v>75</v>
      </c>
      <c r="H341" s="1" t="s">
        <v>82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1" s="2">
        <f>Games[[#This Row],[DaysOff]]-Games[[#This Row],[OppDaysOff]]</f>
        <v>-2</v>
      </c>
      <c r="L341" s="2">
        <f>Games[[#This Row],[OppDaysOff]]-Games[[#This Row],[DaysOff]]</f>
        <v>2</v>
      </c>
      <c r="M341" s="1">
        <f>MAX(-16, MIN(16, Games[[#This Row],[RestDiff]]*8))</f>
        <v>-16</v>
      </c>
      <c r="N341" s="1">
        <f>MAX(-16, MIN(16, Games[[#This Row],[OppRestDiff]]*8))</f>
        <v>16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1612.5205074602275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1447.5259513016731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0.77714767808618224</v>
      </c>
      <c r="R341" s="1">
        <v>82</v>
      </c>
      <c r="S341" s="1">
        <v>80</v>
      </c>
      <c r="T341" s="1">
        <v>0</v>
      </c>
      <c r="U341" s="1">
        <f>Games[[#This Row],[PointsFor]]-Games[[#This Row],[PointsAgainst]]</f>
        <v>2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0.23546583649105024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1" s="9">
        <f>MAX(kmin, kmax - 0.15 * MIN(Games[[#This Row],[GamesPlayed]], 82))</f>
        <v>71.8</v>
      </c>
      <c r="Z341" s="4">
        <f>Games[[#This Row],[K]]*Games[[#This Row],[POMult]]</f>
        <v>71.8</v>
      </c>
      <c r="AA341" s="4">
        <f>(Games[[#This Row],[Keff]]*Games[[#This Row],[MOVMult]])*(Games[[#This Row],[Result]]-Games[[#This Row],[ExpectedWin%]])</f>
        <v>3.7676409826468311</v>
      </c>
      <c r="AB341" s="4">
        <f>Games[[#This Row],[PreGmRate]]+Games[[#This Row],[RatingChange]]</f>
        <v>1616.2881484428742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45527</v>
      </c>
      <c r="B342" s="2">
        <v>2024</v>
      </c>
      <c r="C342" s="2">
        <f>COUNTIFS(Games[Team],Games[[#This Row],[Team]],Games[Season],Games[[#This Row],[Season]],Games[Date],"&lt;=" &amp; Games[[#This Row],[Date]])</f>
        <v>28</v>
      </c>
      <c r="D342" s="2" t="s">
        <v>79</v>
      </c>
      <c r="E342" s="2" t="s">
        <v>80</v>
      </c>
      <c r="F342" s="1" t="s">
        <v>86</v>
      </c>
      <c r="G342" s="1" t="s">
        <v>67</v>
      </c>
      <c r="H342" s="1" t="s">
        <v>81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0</v>
      </c>
      <c r="L342" s="2">
        <f>Games[[#This Row],[OppDaysOff]]-Games[[#This Row],[DaysOff]]</f>
        <v>0</v>
      </c>
      <c r="M342" s="1">
        <f>MAX(-16, MIN(16, Games[[#This Row],[RestDiff]]*8))</f>
        <v>0</v>
      </c>
      <c r="N342" s="1">
        <f>MAX(-16, MIN(16, Games[[#This Row],[OppRestDiff]]*8))</f>
        <v>0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1602.8931928580403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1611.7703024895909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0.36943449008109835</v>
      </c>
      <c r="R342" s="1">
        <v>74</v>
      </c>
      <c r="S342" s="1">
        <v>87</v>
      </c>
      <c r="T342" s="1">
        <v>0</v>
      </c>
      <c r="U342" s="1">
        <f>Games[[#This Row],[PointsFor]]-Games[[#This Row],[PointsAgainst]]</f>
        <v>-13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0.46857741143728676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2" s="9">
        <f>MAX(kmin, kmax - 0.15 * MIN(Games[[#This Row],[GamesPlayed]], 82))</f>
        <v>71.8</v>
      </c>
      <c r="Z342" s="4">
        <f>Games[[#This Row],[K]]*Games[[#This Row],[POMult]]</f>
        <v>71.8</v>
      </c>
      <c r="AA342" s="4">
        <f>(Games[[#This Row],[Keff]]*Games[[#This Row],[MOVMult]])*(Games[[#This Row],[Result]]-Games[[#This Row],[ExpectedWin%]])</f>
        <v>-12.429201576753991</v>
      </c>
      <c r="AB342" s="4">
        <f>Games[[#This Row],[PreGmRate]]+Games[[#This Row],[RatingChange]]</f>
        <v>1590.4639912812863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45527</v>
      </c>
      <c r="B343" s="2">
        <v>2024</v>
      </c>
      <c r="C343" s="2">
        <f>COUNTIFS(Games[Team],Games[[#This Row],[Team]],Games[Season],Games[[#This Row],[Season]],Games[Date],"&lt;=" &amp; Games[[#This Row],[Date]])</f>
        <v>30</v>
      </c>
      <c r="D343" s="2" t="s">
        <v>79</v>
      </c>
      <c r="E343" s="2" t="s">
        <v>80</v>
      </c>
      <c r="F343" s="1" t="s">
        <v>67</v>
      </c>
      <c r="G343" s="1" t="s">
        <v>86</v>
      </c>
      <c r="H343" s="1" t="s">
        <v>82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0</v>
      </c>
      <c r="L343" s="2">
        <f>Games[[#This Row],[OppDaysOff]]-Games[[#This Row],[DaysOff]]</f>
        <v>0</v>
      </c>
      <c r="M343" s="1">
        <f>MAX(-16, MIN(16, Games[[#This Row],[RestDiff]]*8))</f>
        <v>0</v>
      </c>
      <c r="N343" s="1">
        <f>MAX(-16, MIN(16, Games[[#This Row],[OppRestDiff]]*8))</f>
        <v>0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1611.7703024895909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1602.8931928580403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0.63056550991890159</v>
      </c>
      <c r="R343" s="1">
        <v>87</v>
      </c>
      <c r="S343" s="1">
        <v>74</v>
      </c>
      <c r="T343" s="1">
        <v>0</v>
      </c>
      <c r="U343" s="1">
        <f>Games[[#This Row],[PointsFor]]-Games[[#This Row],[PointsAgainst]]</f>
        <v>13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0.46857741143728676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3" s="9">
        <f>MAX(kmin, kmax - 0.15 * MIN(Games[[#This Row],[GamesPlayed]], 82))</f>
        <v>71.5</v>
      </c>
      <c r="Z343" s="4">
        <f>Games[[#This Row],[K]]*Games[[#This Row],[POMult]]</f>
        <v>71.5</v>
      </c>
      <c r="AA343" s="4">
        <f>(Games[[#This Row],[Keff]]*Games[[#This Row],[MOVMult]])*(Games[[#This Row],[Result]]-Games[[#This Row],[ExpectedWin%]])</f>
        <v>12.377268979636638</v>
      </c>
      <c r="AB343" s="4">
        <f>Games[[#This Row],[PreGmRate]]+Games[[#This Row],[RatingChange]]</f>
        <v>1624.1475714692276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45527</v>
      </c>
      <c r="B344" s="2">
        <v>2024</v>
      </c>
      <c r="C344" s="2">
        <f>COUNTIFS(Games[Team],Games[[#This Row],[Team]],Games[Season],Games[[#This Row],[Season]],Games[Date],"&lt;=" &amp; Games[[#This Row],[Date]])</f>
        <v>29</v>
      </c>
      <c r="D344" s="2" t="s">
        <v>79</v>
      </c>
      <c r="E344" s="2" t="s">
        <v>80</v>
      </c>
      <c r="F344" s="1" t="s">
        <v>63</v>
      </c>
      <c r="G344" s="1" t="s">
        <v>65</v>
      </c>
      <c r="H344" s="1" t="s">
        <v>81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4" s="2">
        <f>Games[[#This Row],[DaysOff]]-Games[[#This Row],[OppDaysOff]]</f>
        <v>0</v>
      </c>
      <c r="L344" s="2">
        <f>Games[[#This Row],[OppDaysOff]]-Games[[#This Row],[DaysOff]]</f>
        <v>0</v>
      </c>
      <c r="M344" s="1">
        <f>MAX(-16, MIN(16, Games[[#This Row],[RestDiff]]*8))</f>
        <v>0</v>
      </c>
      <c r="N344" s="1">
        <f>MAX(-16, MIN(16, Games[[#This Row],[OppRestDiff]]*8))</f>
        <v>0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1343.8837038636673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1370.9429736157474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0.34540285991391179</v>
      </c>
      <c r="R344" s="1">
        <v>74</v>
      </c>
      <c r="S344" s="1">
        <v>80</v>
      </c>
      <c r="T344" s="1">
        <v>0</v>
      </c>
      <c r="U344" s="1">
        <f>Games[[#This Row],[PointsFor]]-Games[[#This Row],[PointsAgainst]]</f>
        <v>-6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0.34353427230484068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4" s="9">
        <f>MAX(kmin, kmax - 0.15 * MIN(Games[[#This Row],[GamesPlayed]], 82))</f>
        <v>71.650000000000006</v>
      </c>
      <c r="Z344" s="4">
        <f>Games[[#This Row],[K]]*Games[[#This Row],[POMult]]</f>
        <v>71.650000000000006</v>
      </c>
      <c r="AA344" s="4">
        <f>(Games[[#This Row],[Keff]]*Games[[#This Row],[MOVMult]])*(Games[[#This Row],[Result]]-Games[[#This Row],[ExpectedWin%]])</f>
        <v>-8.5018256474962417</v>
      </c>
      <c r="AB344" s="4">
        <f>Games[[#This Row],[PreGmRate]]+Games[[#This Row],[RatingChange]]</f>
        <v>1335.3818782161711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45527</v>
      </c>
      <c r="B345" s="2">
        <v>2024</v>
      </c>
      <c r="C345" s="2">
        <f>COUNTIFS(Games[Team],Games[[#This Row],[Team]],Games[Season],Games[[#This Row],[Season]],Games[Date],"&lt;=" &amp; Games[[#This Row],[Date]])</f>
        <v>29</v>
      </c>
      <c r="D345" s="2" t="s">
        <v>79</v>
      </c>
      <c r="E345" s="2" t="s">
        <v>80</v>
      </c>
      <c r="F345" s="1" t="s">
        <v>65</v>
      </c>
      <c r="G345" s="1" t="s">
        <v>63</v>
      </c>
      <c r="H345" s="1" t="s">
        <v>82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5" s="2">
        <f>Games[[#This Row],[DaysOff]]-Games[[#This Row],[OppDaysOff]]</f>
        <v>0</v>
      </c>
      <c r="L345" s="2">
        <f>Games[[#This Row],[OppDaysOff]]-Games[[#This Row],[DaysOff]]</f>
        <v>0</v>
      </c>
      <c r="M345" s="1">
        <f>MAX(-16, MIN(16, Games[[#This Row],[RestDiff]]*8))</f>
        <v>0</v>
      </c>
      <c r="N345" s="1">
        <f>MAX(-16, MIN(16, Games[[#This Row],[OppRestDiff]]*8))</f>
        <v>0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1370.9429736157474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1343.8837038636673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0.65459714008608827</v>
      </c>
      <c r="R345" s="1">
        <v>80</v>
      </c>
      <c r="S345" s="1">
        <v>74</v>
      </c>
      <c r="T345" s="1">
        <v>0</v>
      </c>
      <c r="U345" s="1">
        <f>Games[[#This Row],[PointsFor]]-Games[[#This Row],[PointsAgainst]]</f>
        <v>6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0.34353427230484068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5" s="9">
        <f>MAX(kmin, kmax - 0.15 * MIN(Games[[#This Row],[GamesPlayed]], 82))</f>
        <v>71.650000000000006</v>
      </c>
      <c r="Z345" s="4">
        <f>Games[[#This Row],[K]]*Games[[#This Row],[POMult]]</f>
        <v>71.650000000000006</v>
      </c>
      <c r="AA345" s="4">
        <f>(Games[[#This Row],[Keff]]*Games[[#This Row],[MOVMult]])*(Games[[#This Row],[Result]]-Games[[#This Row],[ExpectedWin%]])</f>
        <v>8.5018256474962399</v>
      </c>
      <c r="AB345" s="4">
        <f>Games[[#This Row],[PreGmRate]]+Games[[#This Row],[RatingChange]]</f>
        <v>1379.4447992632436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45528</v>
      </c>
      <c r="B346" s="2">
        <v>2024</v>
      </c>
      <c r="C346" s="2">
        <f>COUNTIFS(Games[Team],Games[[#This Row],[Team]],Games[Season],Games[[#This Row],[Season]],Games[Date],"&lt;=" &amp; Games[[#This Row],[Date]])</f>
        <v>29</v>
      </c>
      <c r="D346" s="2" t="s">
        <v>79</v>
      </c>
      <c r="E346" s="2" t="s">
        <v>80</v>
      </c>
      <c r="F346" s="1" t="s">
        <v>69</v>
      </c>
      <c r="G346" s="1" t="s">
        <v>67</v>
      </c>
      <c r="H346" s="1" t="s">
        <v>81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5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6" s="2">
        <f>Games[[#This Row],[DaysOff]]-Games[[#This Row],[OppDaysOff]]</f>
        <v>5</v>
      </c>
      <c r="L346" s="2">
        <f>Games[[#This Row],[OppDaysOff]]-Games[[#This Row],[DaysOff]]</f>
        <v>-5</v>
      </c>
      <c r="M346" s="1">
        <f>MAX(-16, MIN(16, Games[[#This Row],[RestDiff]]*8))</f>
        <v>16</v>
      </c>
      <c r="N346" s="1">
        <f>MAX(-16, MIN(16, Games[[#This Row],[OppRestDiff]]*8))</f>
        <v>-16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1476.8144956417309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1624.1475714692276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0.2409545332064052</v>
      </c>
      <c r="R346" s="1">
        <v>80</v>
      </c>
      <c r="S346" s="1">
        <v>90</v>
      </c>
      <c r="T346" s="1">
        <v>0</v>
      </c>
      <c r="U346" s="1">
        <f>Games[[#This Row],[PointsFor]]-Games[[#This Row],[PointsAgainst]]</f>
        <v>-10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0.37685977454898484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6" s="9">
        <f>MAX(kmin, kmax - 0.15 * MIN(Games[[#This Row],[GamesPlayed]], 82))</f>
        <v>71.650000000000006</v>
      </c>
      <c r="Z346" s="4">
        <f>Games[[#This Row],[K]]*Games[[#This Row],[POMult]]</f>
        <v>71.650000000000006</v>
      </c>
      <c r="AA346" s="4">
        <f>(Games[[#This Row],[Keff]]*Games[[#This Row],[MOVMult]])*(Games[[#This Row],[Result]]-Games[[#This Row],[ExpectedWin%]])</f>
        <v>-6.5062549915007137</v>
      </c>
      <c r="AB346" s="4">
        <f>Games[[#This Row],[PreGmRate]]+Games[[#This Row],[RatingChange]]</f>
        <v>1470.3082406502301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45528</v>
      </c>
      <c r="B347" s="2">
        <v>2024</v>
      </c>
      <c r="C347" s="2">
        <f>COUNTIFS(Games[Team],Games[[#This Row],[Team]],Games[Season],Games[[#This Row],[Season]],Games[Date],"&lt;=" &amp; Games[[#This Row],[Date]])</f>
        <v>31</v>
      </c>
      <c r="D347" s="2" t="s">
        <v>79</v>
      </c>
      <c r="E347" s="2" t="s">
        <v>80</v>
      </c>
      <c r="F347" s="1" t="s">
        <v>67</v>
      </c>
      <c r="G347" s="1" t="s">
        <v>69</v>
      </c>
      <c r="H347" s="1" t="s">
        <v>82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7" s="2">
        <f>Games[[#This Row],[DaysOff]]-Games[[#This Row],[OppDaysOff]]</f>
        <v>-5</v>
      </c>
      <c r="L347" s="2">
        <f>Games[[#This Row],[OppDaysOff]]-Games[[#This Row],[DaysOff]]</f>
        <v>5</v>
      </c>
      <c r="M347" s="1">
        <f>MAX(-16, MIN(16, Games[[#This Row],[RestDiff]]*8))</f>
        <v>-16</v>
      </c>
      <c r="N347" s="1">
        <f>MAX(-16, MIN(16, Games[[#This Row],[OppRestDiff]]*8))</f>
        <v>16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1624.1475714692276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1476.8144956417309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0.75904546679359475</v>
      </c>
      <c r="R347" s="1">
        <v>90</v>
      </c>
      <c r="S347" s="1">
        <v>80</v>
      </c>
      <c r="T347" s="1">
        <v>0</v>
      </c>
      <c r="U347" s="1">
        <f>Games[[#This Row],[PointsFor]]-Games[[#This Row],[PointsAgainst]]</f>
        <v>10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0.37685977454898484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7" s="9">
        <f>MAX(kmin, kmax - 0.15 * MIN(Games[[#This Row],[GamesPlayed]], 82))</f>
        <v>71.349999999999994</v>
      </c>
      <c r="Z347" s="4">
        <f>Games[[#This Row],[K]]*Games[[#This Row],[POMult]]</f>
        <v>71.349999999999994</v>
      </c>
      <c r="AA347" s="4">
        <f>(Games[[#This Row],[Keff]]*Games[[#This Row],[MOVMult]])*(Games[[#This Row],[Result]]-Games[[#This Row],[ExpectedWin%]])</f>
        <v>6.4790131701824976</v>
      </c>
      <c r="AB347" s="4">
        <f>Games[[#This Row],[PreGmRate]]+Games[[#This Row],[RatingChange]]</f>
        <v>1630.6265846394101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45528</v>
      </c>
      <c r="B348" s="2">
        <v>2024</v>
      </c>
      <c r="C348" s="2">
        <f>COUNTIFS(Games[Team],Games[[#This Row],[Team]],Games[Season],Games[[#This Row],[Season]],Games[Date],"&lt;=" &amp; Games[[#This Row],[Date]])</f>
        <v>29</v>
      </c>
      <c r="D348" s="2" t="s">
        <v>79</v>
      </c>
      <c r="E348" s="2" t="s">
        <v>80</v>
      </c>
      <c r="F348" s="1" t="s">
        <v>74</v>
      </c>
      <c r="G348" s="1" t="s">
        <v>60</v>
      </c>
      <c r="H348" s="1" t="s">
        <v>81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-1</v>
      </c>
      <c r="L348" s="2">
        <f>Games[[#This Row],[OppDaysOff]]-Games[[#This Row],[DaysOff]]</f>
        <v>1</v>
      </c>
      <c r="M348" s="1">
        <f>MAX(-16, MIN(16, Games[[#This Row],[RestDiff]]*8))</f>
        <v>-8</v>
      </c>
      <c r="N348" s="1">
        <f>MAX(-16, MIN(16, Games[[#This Row],[OppRestDiff]]*8))</f>
        <v>8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1616.2881484428742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1726.1170739430108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0.23007772353622419</v>
      </c>
      <c r="R348" s="1">
        <v>72</v>
      </c>
      <c r="S348" s="1">
        <v>64</v>
      </c>
      <c r="T348" s="1">
        <v>0</v>
      </c>
      <c r="U348" s="1">
        <f>Games[[#This Row],[PointsFor]]-Games[[#This Row],[PointsAgainst]]</f>
        <v>8</v>
      </c>
      <c r="V348" s="1">
        <f>IF(Games[[#This Row],[MOV]]&gt;0,1,IF(Games[[#This Row],[MOV]]=0,0.5,0))</f>
        <v>1</v>
      </c>
      <c r="W348" s="4">
        <f>((ABS(Games[[#This Row],[MOV]])+5)^0.6)/(12+0.01*(ABS(Games[[#This Row],[PreGmRate]]-Games[[#This Row],[OppPreGmRate]])))*IF(Games[[#This Row],[OT]]=1,0.9,1)</f>
        <v>0.3557553455507026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8" s="9">
        <f>MAX(kmin, kmax - 0.15 * MIN(Games[[#This Row],[GamesPlayed]], 82))</f>
        <v>71.650000000000006</v>
      </c>
      <c r="Z348" s="4">
        <f>Games[[#This Row],[K]]*Games[[#This Row],[POMult]]</f>
        <v>71.650000000000006</v>
      </c>
      <c r="AA348" s="4">
        <f>(Games[[#This Row],[Keff]]*Games[[#This Row],[MOVMult]])*(Games[[#This Row],[Result]]-Games[[#This Row],[ExpectedWin%]])</f>
        <v>19.625219128831205</v>
      </c>
      <c r="AB348" s="4">
        <f>Games[[#This Row],[PreGmRate]]+Games[[#This Row],[RatingChange]]</f>
        <v>1635.9133675717055</v>
      </c>
      <c r="AC348" s="2">
        <f>IF(Games[[#This Row],[Type]]="R",IF(Games[[#This Row],[Result]]&gt;0.5,1,0),0)</f>
        <v>1</v>
      </c>
      <c r="AD348" s="2">
        <f>IF(Games[[#This Row],[Type]]="R",IF(Games[[#This Row],[Result]]&lt;0.5,1,0),0)</f>
        <v>0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45528</v>
      </c>
      <c r="B349" s="2">
        <v>2024</v>
      </c>
      <c r="C349" s="2">
        <f>COUNTIFS(Games[Team],Games[[#This Row],[Team]],Games[Season],Games[[#This Row],[Season]],Games[Date],"&lt;=" &amp; Games[[#This Row],[Date]])</f>
        <v>31</v>
      </c>
      <c r="D349" s="2" t="s">
        <v>79</v>
      </c>
      <c r="E349" s="2" t="s">
        <v>80</v>
      </c>
      <c r="F349" s="1" t="s">
        <v>60</v>
      </c>
      <c r="G349" s="1" t="s">
        <v>74</v>
      </c>
      <c r="H349" s="1" t="s">
        <v>82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9" s="2">
        <f>Games[[#This Row],[DaysOff]]-Games[[#This Row],[OppDaysOff]]</f>
        <v>1</v>
      </c>
      <c r="L349" s="2">
        <f>Games[[#This Row],[OppDaysOff]]-Games[[#This Row],[DaysOff]]</f>
        <v>-1</v>
      </c>
      <c r="M349" s="1">
        <f>MAX(-16, MIN(16, Games[[#This Row],[RestDiff]]*8))</f>
        <v>8</v>
      </c>
      <c r="N349" s="1">
        <f>MAX(-16, MIN(16, Games[[#This Row],[OppRestDiff]]*8))</f>
        <v>-8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1726.1170739430108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1616.2881484428742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0.76992227646377576</v>
      </c>
      <c r="R349" s="1">
        <v>64</v>
      </c>
      <c r="S349" s="1">
        <v>72</v>
      </c>
      <c r="T349" s="1">
        <v>0</v>
      </c>
      <c r="U349" s="1">
        <f>Games[[#This Row],[PointsFor]]-Games[[#This Row],[PointsAgainst]]</f>
        <v>-8</v>
      </c>
      <c r="V349" s="1">
        <f>IF(Games[[#This Row],[MOV]]&gt;0,1,IF(Games[[#This Row],[MOV]]=0,0.5,0))</f>
        <v>0</v>
      </c>
      <c r="W349" s="4">
        <f>((ABS(Games[[#This Row],[MOV]])+5)^0.6)/(12+0.01*(ABS(Games[[#This Row],[PreGmRate]]-Games[[#This Row],[OppPreGmRate]])))*IF(Games[[#This Row],[OT]]=1,0.9,1)</f>
        <v>0.3557553455507026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9" s="9">
        <f>MAX(kmin, kmax - 0.15 * MIN(Games[[#This Row],[GamesPlayed]], 82))</f>
        <v>71.349999999999994</v>
      </c>
      <c r="Z349" s="4">
        <f>Games[[#This Row],[K]]*Games[[#This Row],[POMult]]</f>
        <v>71.349999999999994</v>
      </c>
      <c r="AA349" s="4">
        <f>(Games[[#This Row],[Keff]]*Games[[#This Row],[MOVMult]])*(Games[[#This Row],[Result]]-Games[[#This Row],[ExpectedWin%]])</f>
        <v>-19.543047939178035</v>
      </c>
      <c r="AB349" s="4">
        <f>Games[[#This Row],[PreGmRate]]+Games[[#This Row],[RatingChange]]</f>
        <v>1706.5740260038328</v>
      </c>
      <c r="AC349" s="2">
        <f>IF(Games[[#This Row],[Type]]="R",IF(Games[[#This Row],[Result]]&gt;0.5,1,0),0)</f>
        <v>0</v>
      </c>
      <c r="AD349" s="2">
        <f>IF(Games[[#This Row],[Type]]="R",IF(Games[[#This Row],[Result]]&lt;0.5,1,0),0)</f>
        <v>1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45529</v>
      </c>
      <c r="B350" s="2">
        <v>2024</v>
      </c>
      <c r="C350" s="2">
        <f>COUNTIFS(Games[Team],Games[[#This Row],[Team]],Games[Season],Games[[#This Row],[Season]],Games[Date],"&lt;=" &amp; Games[[#This Row],[Date]])</f>
        <v>29</v>
      </c>
      <c r="D350" s="2" t="s">
        <v>79</v>
      </c>
      <c r="E350" s="2" t="s">
        <v>80</v>
      </c>
      <c r="F350" s="1" t="s">
        <v>86</v>
      </c>
      <c r="G350" s="1" t="s">
        <v>75</v>
      </c>
      <c r="H350" s="1" t="s">
        <v>81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1590.4639912812863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1443.7583103190264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0.58927350876459172</v>
      </c>
      <c r="R350" s="1">
        <v>77</v>
      </c>
      <c r="S350" s="1">
        <v>75</v>
      </c>
      <c r="T350" s="1">
        <v>0</v>
      </c>
      <c r="U350" s="1">
        <f>Games[[#This Row],[PointsFor]]-Games[[#This Row],[PointsAgainst]]</f>
        <v>2</v>
      </c>
      <c r="V350" s="1">
        <f>IF(Games[[#This Row],[MOV]]&gt;0,1,IF(Games[[#This Row],[MOV]]=0,0.5,0))</f>
        <v>1</v>
      </c>
      <c r="W350" s="4">
        <f>((ABS(Games[[#This Row],[MOV]])+5)^0.6)/(12+0.01*(ABS(Games[[#This Row],[PreGmRate]]-Games[[#This Row],[OppPreGmRate]])))*IF(Games[[#This Row],[OT]]=1,0.9,1)</f>
        <v>0.23866356956476745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0" s="9">
        <f>MAX(kmin, kmax - 0.15 * MIN(Games[[#This Row],[GamesPlayed]], 82))</f>
        <v>71.650000000000006</v>
      </c>
      <c r="Z350" s="4">
        <f>Games[[#This Row],[K]]*Games[[#This Row],[POMult]]</f>
        <v>71.650000000000006</v>
      </c>
      <c r="AA350" s="4">
        <f>(Games[[#This Row],[Keff]]*Games[[#This Row],[MOVMult]])*(Games[[#This Row],[Result]]-Games[[#This Row],[ExpectedWin%]])</f>
        <v>7.0235235292603706</v>
      </c>
      <c r="AB350" s="4">
        <f>Games[[#This Row],[PreGmRate]]+Games[[#This Row],[RatingChange]]</f>
        <v>1597.4875148105466</v>
      </c>
      <c r="AC350" s="2">
        <f>IF(Games[[#This Row],[Type]]="R",IF(Games[[#This Row],[Result]]&gt;0.5,1,0),0)</f>
        <v>1</v>
      </c>
      <c r="AD350" s="2">
        <f>IF(Games[[#This Row],[Type]]="R",IF(Games[[#This Row],[Result]]&lt;0.5,1,0),0)</f>
        <v>0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45529</v>
      </c>
      <c r="B351" s="2">
        <v>2024</v>
      </c>
      <c r="C351" s="2">
        <f>COUNTIFS(Games[Team],Games[[#This Row],[Team]],Games[Season],Games[[#This Row],[Season]],Games[Date],"&lt;=" &amp; Games[[#This Row],[Date]])</f>
        <v>29</v>
      </c>
      <c r="D351" s="2" t="s">
        <v>79</v>
      </c>
      <c r="E351" s="2" t="s">
        <v>80</v>
      </c>
      <c r="F351" s="1" t="s">
        <v>75</v>
      </c>
      <c r="G351" s="1" t="s">
        <v>86</v>
      </c>
      <c r="H351" s="1" t="s">
        <v>82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1443.7583103190264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1590.4639912812863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0.41072649123540816</v>
      </c>
      <c r="R351" s="1">
        <v>75</v>
      </c>
      <c r="S351" s="1">
        <v>77</v>
      </c>
      <c r="T351" s="1">
        <v>0</v>
      </c>
      <c r="U351" s="1">
        <f>Games[[#This Row],[PointsFor]]-Games[[#This Row],[PointsAgainst]]</f>
        <v>-2</v>
      </c>
      <c r="V351" s="1">
        <f>IF(Games[[#This Row],[MOV]]&gt;0,1,IF(Games[[#This Row],[MOV]]=0,0.5,0))</f>
        <v>0</v>
      </c>
      <c r="W351" s="4">
        <f>((ABS(Games[[#This Row],[MOV]])+5)^0.6)/(12+0.01*(ABS(Games[[#This Row],[PreGmRate]]-Games[[#This Row],[OppPreGmRate]])))*IF(Games[[#This Row],[OT]]=1,0.9,1)</f>
        <v>0.23866356956476745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1" s="9">
        <f>MAX(kmin, kmax - 0.15 * MIN(Games[[#This Row],[GamesPlayed]], 82))</f>
        <v>71.650000000000006</v>
      </c>
      <c r="Z351" s="4">
        <f>Games[[#This Row],[K]]*Games[[#This Row],[POMult]]</f>
        <v>71.650000000000006</v>
      </c>
      <c r="AA351" s="4">
        <f>(Games[[#This Row],[Keff]]*Games[[#This Row],[MOVMult]])*(Games[[#This Row],[Result]]-Games[[#This Row],[ExpectedWin%]])</f>
        <v>-7.0235235292603688</v>
      </c>
      <c r="AB351" s="4">
        <f>Games[[#This Row],[PreGmRate]]+Games[[#This Row],[RatingChange]]</f>
        <v>1436.7347867897661</v>
      </c>
      <c r="AC351" s="2">
        <f>IF(Games[[#This Row],[Type]]="R",IF(Games[[#This Row],[Result]]&gt;0.5,1,0),0)</f>
        <v>0</v>
      </c>
      <c r="AD351" s="2">
        <f>IF(Games[[#This Row],[Type]]="R",IF(Games[[#This Row],[Result]]&lt;0.5,1,0),0)</f>
        <v>1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45529</v>
      </c>
      <c r="B352" s="2">
        <v>2024</v>
      </c>
      <c r="C352" s="2">
        <f>COUNTIFS(Games[Team],Games[[#This Row],[Team]],Games[Season],Games[[#This Row],[Season]],Games[Date],"&lt;=" &amp; Games[[#This Row],[Date]])</f>
        <v>30</v>
      </c>
      <c r="D352" s="2" t="s">
        <v>79</v>
      </c>
      <c r="E352" s="2" t="s">
        <v>80</v>
      </c>
      <c r="F352" s="1" t="s">
        <v>63</v>
      </c>
      <c r="G352" s="1" t="s">
        <v>85</v>
      </c>
      <c r="H352" s="1" t="s">
        <v>81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2" s="2">
        <f>Games[[#This Row],[DaysOff]]-Games[[#This Row],[OppDaysOff]]</f>
        <v>-1</v>
      </c>
      <c r="L352" s="2">
        <f>Games[[#This Row],[OppDaysOff]]-Games[[#This Row],[DaysOff]]</f>
        <v>1</v>
      </c>
      <c r="M352" s="1">
        <f>MAX(-16, MIN(16, Games[[#This Row],[RestDiff]]*8))</f>
        <v>-8</v>
      </c>
      <c r="N352" s="1">
        <f>MAX(-16, MIN(16, Games[[#This Row],[OppRestDiff]]*8))</f>
        <v>8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1335.3818782161711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1356.5421131200033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0.33237686668849337</v>
      </c>
      <c r="R352" s="1">
        <v>110</v>
      </c>
      <c r="S352" s="1">
        <v>113</v>
      </c>
      <c r="T352" s="1">
        <v>0</v>
      </c>
      <c r="U352" s="1">
        <f>Games[[#This Row],[PointsFor]]-Games[[#This Row],[PointsAgainst]]</f>
        <v>-3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0.28515522809000771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2" s="9">
        <f>MAX(kmin, kmax - 0.15 * MIN(Games[[#This Row],[GamesPlayed]], 82))</f>
        <v>71.5</v>
      </c>
      <c r="Z352" s="4">
        <f>Games[[#This Row],[K]]*Games[[#This Row],[POMult]]</f>
        <v>71.5</v>
      </c>
      <c r="AA352" s="4">
        <f>(Games[[#This Row],[Keff]]*Games[[#This Row],[MOVMult]])*(Games[[#This Row],[Result]]-Games[[#This Row],[ExpectedWin%]])</f>
        <v>-6.7766985881165578</v>
      </c>
      <c r="AB352" s="4">
        <f>Games[[#This Row],[PreGmRate]]+Games[[#This Row],[RatingChange]]</f>
        <v>1328.6051796280547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45529</v>
      </c>
      <c r="B353" s="2">
        <v>2024</v>
      </c>
      <c r="C353" s="2">
        <f>COUNTIFS(Games[Team],Games[[#This Row],[Team]],Games[Season],Games[[#This Row],[Season]],Games[Date],"&lt;=" &amp; Games[[#This Row],[Date]])</f>
        <v>29</v>
      </c>
      <c r="D353" s="2" t="s">
        <v>79</v>
      </c>
      <c r="E353" s="2" t="s">
        <v>80</v>
      </c>
      <c r="F353" s="1" t="s">
        <v>85</v>
      </c>
      <c r="G353" s="1" t="s">
        <v>63</v>
      </c>
      <c r="H353" s="1" t="s">
        <v>82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1</v>
      </c>
      <c r="L353" s="2">
        <f>Games[[#This Row],[OppDaysOff]]-Games[[#This Row],[DaysOff]]</f>
        <v>-1</v>
      </c>
      <c r="M353" s="1">
        <f>MAX(-16, MIN(16, Games[[#This Row],[RestDiff]]*8))</f>
        <v>8</v>
      </c>
      <c r="N353" s="1">
        <f>MAX(-16, MIN(16, Games[[#This Row],[OppRestDiff]]*8))</f>
        <v>-8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1356.5421131200033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1335.3818782161711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0.66762313331150658</v>
      </c>
      <c r="R353" s="1">
        <v>113</v>
      </c>
      <c r="S353" s="1">
        <v>110</v>
      </c>
      <c r="T353" s="1">
        <v>0</v>
      </c>
      <c r="U353" s="1">
        <f>Games[[#This Row],[PointsFor]]-Games[[#This Row],[PointsAgainst]]</f>
        <v>3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0.28515522809000771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3" s="9">
        <f>MAX(kmin, kmax - 0.15 * MIN(Games[[#This Row],[GamesPlayed]], 82))</f>
        <v>71.650000000000006</v>
      </c>
      <c r="Z353" s="4">
        <f>Games[[#This Row],[K]]*Games[[#This Row],[POMult]]</f>
        <v>71.650000000000006</v>
      </c>
      <c r="AA353" s="4">
        <f>(Games[[#This Row],[Keff]]*Games[[#This Row],[MOVMult]])*(Games[[#This Row],[Result]]-Games[[#This Row],[ExpectedWin%]])</f>
        <v>6.7909154383014192</v>
      </c>
      <c r="AB353" s="4">
        <f>Games[[#This Row],[PreGmRate]]+Games[[#This Row],[RatingChange]]</f>
        <v>1363.3330285583047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45530</v>
      </c>
      <c r="B354" s="2">
        <v>2024</v>
      </c>
      <c r="C354" s="2">
        <f>COUNTIFS(Games[Team],Games[[#This Row],[Team]],Games[Season],Games[[#This Row],[Season]],Games[Date],"&lt;=" &amp; Games[[#This Row],[Date]])</f>
        <v>30</v>
      </c>
      <c r="D354" s="2" t="s">
        <v>79</v>
      </c>
      <c r="E354" s="2" t="s">
        <v>80</v>
      </c>
      <c r="F354" s="1" t="s">
        <v>69</v>
      </c>
      <c r="G354" s="1" t="s">
        <v>77</v>
      </c>
      <c r="H354" s="1" t="s">
        <v>81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4" s="2">
        <f>Games[[#This Row],[DaysOff]]-Games[[#This Row],[OppDaysOff]]</f>
        <v>-1</v>
      </c>
      <c r="L354" s="2">
        <f>Games[[#This Row],[OppDaysOff]]-Games[[#This Row],[DaysOff]]</f>
        <v>1</v>
      </c>
      <c r="M354" s="1">
        <f>MAX(-16, MIN(16, Games[[#This Row],[RestDiff]]*8))</f>
        <v>-8</v>
      </c>
      <c r="N354" s="1">
        <f>MAX(-16, MIN(16, Games[[#This Row],[OppRestDiff]]*8))</f>
        <v>8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1470.3082406502301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1404.9964276216078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0.45024489847186161</v>
      </c>
      <c r="R354" s="1">
        <v>84</v>
      </c>
      <c r="S354" s="1">
        <v>79</v>
      </c>
      <c r="T354" s="1">
        <v>0</v>
      </c>
      <c r="U354" s="1">
        <f>Games[[#This Row],[PointsFor]]-Games[[#This Row],[PointsAgainst]]</f>
        <v>5</v>
      </c>
      <c r="V354" s="1">
        <f>IF(Games[[#This Row],[MOV]]&gt;0,1,IF(Games[[#This Row],[MOV]]=0,0.5,0))</f>
        <v>1</v>
      </c>
      <c r="W354" s="4">
        <f>((ABS(Games[[#This Row],[MOV]])+5)^0.6)/(12+0.01*(ABS(Games[[#This Row],[PreGmRate]]-Games[[#This Row],[OppPreGmRate]])))*IF(Games[[#This Row],[OT]]=1,0.9,1)</f>
        <v>0.31463167138272169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4" s="9">
        <f>MAX(kmin, kmax - 0.15 * MIN(Games[[#This Row],[GamesPlayed]], 82))</f>
        <v>71.5</v>
      </c>
      <c r="Z354" s="4">
        <f>Games[[#This Row],[K]]*Games[[#This Row],[POMult]]</f>
        <v>71.5</v>
      </c>
      <c r="AA354" s="4">
        <f>(Games[[#This Row],[Keff]]*Games[[#This Row],[MOVMult]])*(Games[[#This Row],[Result]]-Games[[#This Row],[ExpectedWin%]])</f>
        <v>12.367381200815785</v>
      </c>
      <c r="AB354" s="4">
        <f>Games[[#This Row],[PreGmRate]]+Games[[#This Row],[RatingChange]]</f>
        <v>1482.6756218510459</v>
      </c>
      <c r="AC354" s="2">
        <f>IF(Games[[#This Row],[Type]]="R",IF(Games[[#This Row],[Result]]&gt;0.5,1,0),0)</f>
        <v>1</v>
      </c>
      <c r="AD354" s="2">
        <f>IF(Games[[#This Row],[Type]]="R",IF(Games[[#This Row],[Result]]&lt;0.5,1,0),0)</f>
        <v>0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45530</v>
      </c>
      <c r="B355" s="2">
        <v>2024</v>
      </c>
      <c r="C355" s="2">
        <f>COUNTIFS(Games[Team],Games[[#This Row],[Team]],Games[Season],Games[[#This Row],[Season]],Games[Date],"&lt;=" &amp; Games[[#This Row],[Date]])</f>
        <v>29</v>
      </c>
      <c r="D355" s="2" t="s">
        <v>79</v>
      </c>
      <c r="E355" s="2" t="s">
        <v>80</v>
      </c>
      <c r="F355" s="1" t="s">
        <v>77</v>
      </c>
      <c r="G355" s="1" t="s">
        <v>69</v>
      </c>
      <c r="H355" s="1" t="s">
        <v>82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1</v>
      </c>
      <c r="L355" s="2">
        <f>Games[[#This Row],[OppDaysOff]]-Games[[#This Row],[DaysOff]]</f>
        <v>-1</v>
      </c>
      <c r="M355" s="1">
        <f>MAX(-16, MIN(16, Games[[#This Row],[RestDiff]]*8))</f>
        <v>8</v>
      </c>
      <c r="N355" s="1">
        <f>MAX(-16, MIN(16, Games[[#This Row],[OppRestDiff]]*8))</f>
        <v>-8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1404.9964276216078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1470.3082406502301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0.54975510152813833</v>
      </c>
      <c r="R355" s="1">
        <v>79</v>
      </c>
      <c r="S355" s="1">
        <v>84</v>
      </c>
      <c r="T355" s="1">
        <v>0</v>
      </c>
      <c r="U355" s="1">
        <f>Games[[#This Row],[PointsFor]]-Games[[#This Row],[PointsAgainst]]</f>
        <v>-5</v>
      </c>
      <c r="V355" s="1">
        <f>IF(Games[[#This Row],[MOV]]&gt;0,1,IF(Games[[#This Row],[MOV]]=0,0.5,0))</f>
        <v>0</v>
      </c>
      <c r="W355" s="4">
        <f>((ABS(Games[[#This Row],[MOV]])+5)^0.6)/(12+0.01*(ABS(Games[[#This Row],[PreGmRate]]-Games[[#This Row],[OppPreGmRate]])))*IF(Games[[#This Row],[OT]]=1,0.9,1)</f>
        <v>0.31463167138272169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5" s="9">
        <f>MAX(kmin, kmax - 0.15 * MIN(Games[[#This Row],[GamesPlayed]], 82))</f>
        <v>71.650000000000006</v>
      </c>
      <c r="Z355" s="4">
        <f>Games[[#This Row],[K]]*Games[[#This Row],[POMult]]</f>
        <v>71.650000000000006</v>
      </c>
      <c r="AA355" s="4">
        <f>(Games[[#This Row],[Keff]]*Games[[#This Row],[MOVMult]])*(Games[[#This Row],[Result]]-Games[[#This Row],[ExpectedWin%]])</f>
        <v>-12.393326755782532</v>
      </c>
      <c r="AB355" s="4">
        <f>Games[[#This Row],[PreGmRate]]+Games[[#This Row],[RatingChange]]</f>
        <v>1392.6031008658254</v>
      </c>
      <c r="AC355" s="2">
        <f>IF(Games[[#This Row],[Type]]="R",IF(Games[[#This Row],[Result]]&gt;0.5,1,0),0)</f>
        <v>0</v>
      </c>
      <c r="AD355" s="2">
        <f>IF(Games[[#This Row],[Type]]="R",IF(Games[[#This Row],[Result]]&lt;0.5,1,0),0)</f>
        <v>1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45530</v>
      </c>
      <c r="B356" s="2">
        <v>2024</v>
      </c>
      <c r="C356" s="2">
        <f>COUNTIFS(Games[Team],Games[[#This Row],[Team]],Games[Season],Games[[#This Row],[Season]],Games[Date],"&lt;=" &amp; Games[[#This Row],[Date]])</f>
        <v>32</v>
      </c>
      <c r="D356" s="2" t="s">
        <v>79</v>
      </c>
      <c r="E356" s="2" t="s">
        <v>80</v>
      </c>
      <c r="F356" s="1" t="s">
        <v>60</v>
      </c>
      <c r="G356" s="1" t="s">
        <v>40</v>
      </c>
      <c r="H356" s="1" t="s">
        <v>81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6" s="2">
        <f>Games[[#This Row],[DaysOff]]-Games[[#This Row],[OppDaysOff]]</f>
        <v>-1</v>
      </c>
      <c r="L356" s="2">
        <f>Games[[#This Row],[OppDaysOff]]-Games[[#This Row],[DaysOff]]</f>
        <v>1</v>
      </c>
      <c r="M356" s="1">
        <f>MAX(-16, MIN(16, Games[[#This Row],[RestDiff]]*8))</f>
        <v>-8</v>
      </c>
      <c r="N356" s="1">
        <f>MAX(-16, MIN(16, Games[[#This Row],[OppRestDiff]]*8))</f>
        <v>8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1706.5740260038328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1490.6567247947241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0.66089240956266582</v>
      </c>
      <c r="R356" s="1">
        <v>84</v>
      </c>
      <c r="S356" s="1">
        <v>70</v>
      </c>
      <c r="T356" s="1">
        <v>0</v>
      </c>
      <c r="U356" s="1">
        <f>Games[[#This Row],[PointsFor]]-Games[[#This Row],[PointsAgainst]]</f>
        <v>14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0.41325134154463378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6" s="9">
        <f>MAX(kmin, kmax - 0.15 * MIN(Games[[#This Row],[GamesPlayed]], 82))</f>
        <v>71.2</v>
      </c>
      <c r="Z356" s="4">
        <f>Games[[#This Row],[K]]*Games[[#This Row],[POMult]]</f>
        <v>71.2</v>
      </c>
      <c r="AA356" s="4">
        <f>(Games[[#This Row],[Keff]]*Games[[#This Row],[MOVMult]])*(Games[[#This Row],[Result]]-Games[[#This Row],[ExpectedWin%]])</f>
        <v>9.9777306673451971</v>
      </c>
      <c r="AB356" s="4">
        <f>Games[[#This Row],[PreGmRate]]+Games[[#This Row],[RatingChange]]</f>
        <v>1716.5517566711781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45530</v>
      </c>
      <c r="B357" s="2">
        <v>2024</v>
      </c>
      <c r="C357" s="2">
        <f>COUNTIFS(Games[Team],Games[[#This Row],[Team]],Games[Season],Games[[#This Row],[Season]],Games[Date],"&lt;=" &amp; Games[[#This Row],[Date]])</f>
        <v>31</v>
      </c>
      <c r="D357" s="2" t="s">
        <v>79</v>
      </c>
      <c r="E357" s="2" t="s">
        <v>80</v>
      </c>
      <c r="F357" s="1" t="s">
        <v>40</v>
      </c>
      <c r="G357" s="1" t="s">
        <v>60</v>
      </c>
      <c r="H357" s="1" t="s">
        <v>82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1</v>
      </c>
      <c r="L357" s="2">
        <f>Games[[#This Row],[OppDaysOff]]-Games[[#This Row],[DaysOff]]</f>
        <v>-1</v>
      </c>
      <c r="M357" s="1">
        <f>MAX(-16, MIN(16, Games[[#This Row],[RestDiff]]*8))</f>
        <v>8</v>
      </c>
      <c r="N357" s="1">
        <f>MAX(-16, MIN(16, Games[[#This Row],[OppRestDiff]]*8))</f>
        <v>-8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1490.6567247947241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1706.5740260038328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0.33910759043733418</v>
      </c>
      <c r="R357" s="1">
        <v>70</v>
      </c>
      <c r="S357" s="1">
        <v>84</v>
      </c>
      <c r="T357" s="1">
        <v>0</v>
      </c>
      <c r="U357" s="1">
        <f>Games[[#This Row],[PointsFor]]-Games[[#This Row],[PointsAgainst]]</f>
        <v>-14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0.41325134154463378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7" s="9">
        <f>MAX(kmin, kmax - 0.15 * MIN(Games[[#This Row],[GamesPlayed]], 82))</f>
        <v>71.349999999999994</v>
      </c>
      <c r="Z357" s="4">
        <f>Games[[#This Row],[K]]*Games[[#This Row],[POMult]]</f>
        <v>71.349999999999994</v>
      </c>
      <c r="AA357" s="4">
        <f>(Games[[#This Row],[Keff]]*Games[[#This Row],[MOVMult]])*(Games[[#This Row],[Result]]-Games[[#This Row],[ExpectedWin%]])</f>
        <v>-9.9987511673466241</v>
      </c>
      <c r="AB357" s="4">
        <f>Games[[#This Row],[PreGmRate]]+Games[[#This Row],[RatingChange]]</f>
        <v>1480.6579736273775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45530</v>
      </c>
      <c r="B358" s="2">
        <v>2024</v>
      </c>
      <c r="C358" s="2">
        <f>COUNTIFS(Games[Team],Games[[#This Row],[Team]],Games[Season],Games[[#This Row],[Season]],Games[Date],"&lt;=" &amp; Games[[#This Row],[Date]])</f>
        <v>30</v>
      </c>
      <c r="D358" s="2" t="s">
        <v>79</v>
      </c>
      <c r="E358" s="2" t="s">
        <v>80</v>
      </c>
      <c r="F358" s="1" t="s">
        <v>65</v>
      </c>
      <c r="G358" s="1" t="s">
        <v>71</v>
      </c>
      <c r="H358" s="1" t="s">
        <v>81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58" s="2">
        <f>Games[[#This Row],[DaysOff]]-Games[[#This Row],[OppDaysOff]]</f>
        <v>-3</v>
      </c>
      <c r="L358" s="2">
        <f>Games[[#This Row],[OppDaysOff]]-Games[[#This Row],[DaysOff]]</f>
        <v>3</v>
      </c>
      <c r="M358" s="1">
        <f>MAX(-16, MIN(16, Games[[#This Row],[RestDiff]]*8))</f>
        <v>-16</v>
      </c>
      <c r="N358" s="1">
        <f>MAX(-16, MIN(16, Games[[#This Row],[OppRestDiff]]*8))</f>
        <v>16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1379.4447992632436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1554.4808709293115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0.15771374195608767</v>
      </c>
      <c r="R358" s="1">
        <v>74</v>
      </c>
      <c r="S358" s="1">
        <v>72</v>
      </c>
      <c r="T358" s="1">
        <v>0</v>
      </c>
      <c r="U358" s="1">
        <f>Games[[#This Row],[PointsFor]]-Games[[#This Row],[PointsAgainst]]</f>
        <v>2</v>
      </c>
      <c r="V358" s="1">
        <f>IF(Games[[#This Row],[MOV]]&gt;0,1,IF(Games[[#This Row],[MOV]]=0,0.5,0))</f>
        <v>1</v>
      </c>
      <c r="W358" s="4">
        <f>((ABS(Games[[#This Row],[MOV]])+5)^0.6)/(12+0.01*(ABS(Games[[#This Row],[PreGmRate]]-Games[[#This Row],[OppPreGmRate]])))*IF(Games[[#This Row],[OT]]=1,0.9,1)</f>
        <v>0.23374629334790223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8" s="9">
        <f>MAX(kmin, kmax - 0.15 * MIN(Games[[#This Row],[GamesPlayed]], 82))</f>
        <v>71.5</v>
      </c>
      <c r="Z358" s="4">
        <f>Games[[#This Row],[K]]*Games[[#This Row],[POMult]]</f>
        <v>71.5</v>
      </c>
      <c r="AA358" s="4">
        <f>(Games[[#This Row],[Keff]]*Games[[#This Row],[MOVMult]])*(Games[[#This Row],[Result]]-Games[[#This Row],[ExpectedWin%]])</f>
        <v>14.077012289028204</v>
      </c>
      <c r="AB358" s="4">
        <f>Games[[#This Row],[PreGmRate]]+Games[[#This Row],[RatingChange]]</f>
        <v>1393.5218115522719</v>
      </c>
      <c r="AC358" s="2">
        <f>IF(Games[[#This Row],[Type]]="R",IF(Games[[#This Row],[Result]]&gt;0.5,1,0),0)</f>
        <v>1</v>
      </c>
      <c r="AD358" s="2">
        <f>IF(Games[[#This Row],[Type]]="R",IF(Games[[#This Row],[Result]]&lt;0.5,1,0),0)</f>
        <v>0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45530</v>
      </c>
      <c r="B359" s="2">
        <v>2024</v>
      </c>
      <c r="C359" s="2">
        <f>COUNTIFS(Games[Team],Games[[#This Row],[Team]],Games[Season],Games[[#This Row],[Season]],Games[Date],"&lt;=" &amp; Games[[#This Row],[Date]])</f>
        <v>29</v>
      </c>
      <c r="D359" s="2" t="s">
        <v>79</v>
      </c>
      <c r="E359" s="2" t="s">
        <v>80</v>
      </c>
      <c r="F359" s="1" t="s">
        <v>71</v>
      </c>
      <c r="G359" s="1" t="s">
        <v>65</v>
      </c>
      <c r="H359" s="1" t="s">
        <v>82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5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9" s="2">
        <f>Games[[#This Row],[DaysOff]]-Games[[#This Row],[OppDaysOff]]</f>
        <v>3</v>
      </c>
      <c r="L359" s="2">
        <f>Games[[#This Row],[OppDaysOff]]-Games[[#This Row],[DaysOff]]</f>
        <v>-3</v>
      </c>
      <c r="M359" s="1">
        <f>MAX(-16, MIN(16, Games[[#This Row],[RestDiff]]*8))</f>
        <v>16</v>
      </c>
      <c r="N359" s="1">
        <f>MAX(-16, MIN(16, Games[[#This Row],[OppRestDiff]]*8))</f>
        <v>-16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1554.4808709293115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1379.4447992632436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0.84228625804391233</v>
      </c>
      <c r="R359" s="1">
        <v>72</v>
      </c>
      <c r="S359" s="1">
        <v>74</v>
      </c>
      <c r="T359" s="1">
        <v>0</v>
      </c>
      <c r="U359" s="1">
        <f>Games[[#This Row],[PointsFor]]-Games[[#This Row],[PointsAgainst]]</f>
        <v>-2</v>
      </c>
      <c r="V359" s="1">
        <f>IF(Games[[#This Row],[MOV]]&gt;0,1,IF(Games[[#This Row],[MOV]]=0,0.5,0))</f>
        <v>0</v>
      </c>
      <c r="W359" s="4">
        <f>((ABS(Games[[#This Row],[MOV]])+5)^0.6)/(12+0.01*(ABS(Games[[#This Row],[PreGmRate]]-Games[[#This Row],[OppPreGmRate]])))*IF(Games[[#This Row],[OT]]=1,0.9,1)</f>
        <v>0.23374629334790223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9" s="9">
        <f>MAX(kmin, kmax - 0.15 * MIN(Games[[#This Row],[GamesPlayed]], 82))</f>
        <v>71.650000000000006</v>
      </c>
      <c r="Z359" s="4">
        <f>Games[[#This Row],[K]]*Games[[#This Row],[POMult]]</f>
        <v>71.650000000000006</v>
      </c>
      <c r="AA359" s="4">
        <f>(Games[[#This Row],[Keff]]*Games[[#This Row],[MOVMult]])*(Games[[#This Row],[Result]]-Games[[#This Row],[ExpectedWin%]])</f>
        <v>-14.106544482641549</v>
      </c>
      <c r="AB359" s="4">
        <f>Games[[#This Row],[PreGmRate]]+Games[[#This Row],[RatingChange]]</f>
        <v>1540.37432644667</v>
      </c>
      <c r="AC359" s="2">
        <f>IF(Games[[#This Row],[Type]]="R",IF(Games[[#This Row],[Result]]&gt;0.5,1,0),0)</f>
        <v>0</v>
      </c>
      <c r="AD359" s="2">
        <f>IF(Games[[#This Row],[Type]]="R",IF(Games[[#This Row],[Result]]&lt;0.5,1,0),0)</f>
        <v>1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45531</v>
      </c>
      <c r="B360" s="2">
        <v>2024</v>
      </c>
      <c r="C360" s="2">
        <f>COUNTIFS(Games[Team],Games[[#This Row],[Team]],Games[Season],Games[[#This Row],[Season]],Games[Date],"&lt;=" &amp; Games[[#This Row],[Date]])</f>
        <v>30</v>
      </c>
      <c r="D360" s="2" t="s">
        <v>79</v>
      </c>
      <c r="E360" s="2" t="s">
        <v>80</v>
      </c>
      <c r="F360" s="1" t="s">
        <v>86</v>
      </c>
      <c r="G360" s="1" t="s">
        <v>85</v>
      </c>
      <c r="H360" s="1" t="s">
        <v>81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0" s="2">
        <f>Games[[#This Row],[DaysOff]]-Games[[#This Row],[OppDaysOff]]</f>
        <v>0</v>
      </c>
      <c r="L360" s="2">
        <f>Games[[#This Row],[OppDaysOff]]-Games[[#This Row],[DaysOff]]</f>
        <v>0</v>
      </c>
      <c r="M360" s="1">
        <f>MAX(-16, MIN(16, Games[[#This Row],[RestDiff]]*8))</f>
        <v>0</v>
      </c>
      <c r="N360" s="1">
        <f>MAX(-16, MIN(16, Games[[#This Row],[OppRestDiff]]*8))</f>
        <v>0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1597.4875148105466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1363.3330285583047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0.70357050742639737</v>
      </c>
      <c r="R360" s="1">
        <v>90</v>
      </c>
      <c r="S360" s="1">
        <v>93</v>
      </c>
      <c r="T360" s="1">
        <v>0</v>
      </c>
      <c r="U360" s="1">
        <f>Games[[#This Row],[PointsFor]]-Games[[#This Row],[PointsAgainst]]</f>
        <v>-3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0.2428052407578663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0" s="9">
        <f>MAX(kmin, kmax - 0.15 * MIN(Games[[#This Row],[GamesPlayed]], 82))</f>
        <v>71.5</v>
      </c>
      <c r="Z360" s="4">
        <f>Games[[#This Row],[K]]*Games[[#This Row],[POMult]]</f>
        <v>71.5</v>
      </c>
      <c r="AA360" s="4">
        <f>(Games[[#This Row],[Keff]]*Games[[#This Row],[MOVMult]])*(Games[[#This Row],[Result]]-Games[[#This Row],[ExpectedWin%]])</f>
        <v>-12.214388360874741</v>
      </c>
      <c r="AB360" s="4">
        <f>Games[[#This Row],[PreGmRate]]+Games[[#This Row],[RatingChange]]</f>
        <v>1585.273126449672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45531</v>
      </c>
      <c r="B361" s="2">
        <v>2024</v>
      </c>
      <c r="C361" s="2">
        <f>COUNTIFS(Games[Team],Games[[#This Row],[Team]],Games[Season],Games[[#This Row],[Season]],Games[Date],"&lt;=" &amp; Games[[#This Row],[Date]])</f>
        <v>30</v>
      </c>
      <c r="D361" s="2" t="s">
        <v>79</v>
      </c>
      <c r="E361" s="2" t="s">
        <v>80</v>
      </c>
      <c r="F361" s="1" t="s">
        <v>85</v>
      </c>
      <c r="G361" s="1" t="s">
        <v>86</v>
      </c>
      <c r="H361" s="1" t="s">
        <v>82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1" s="2">
        <f>Games[[#This Row],[DaysOff]]-Games[[#This Row],[OppDaysOff]]</f>
        <v>0</v>
      </c>
      <c r="L361" s="2">
        <f>Games[[#This Row],[OppDaysOff]]-Games[[#This Row],[DaysOff]]</f>
        <v>0</v>
      </c>
      <c r="M361" s="1">
        <f>MAX(-16, MIN(16, Games[[#This Row],[RestDiff]]*8))</f>
        <v>0</v>
      </c>
      <c r="N361" s="1">
        <f>MAX(-16, MIN(16, Games[[#This Row],[OppRestDiff]]*8))</f>
        <v>0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1363.3330285583047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1597.4875148105466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0.29642949257360274</v>
      </c>
      <c r="R361" s="1">
        <v>93</v>
      </c>
      <c r="S361" s="1">
        <v>90</v>
      </c>
      <c r="T361" s="1">
        <v>0</v>
      </c>
      <c r="U361" s="1">
        <f>Games[[#This Row],[PointsFor]]-Games[[#This Row],[PointsAgainst]]</f>
        <v>3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0.2428052407578663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1" s="9">
        <f>MAX(kmin, kmax - 0.15 * MIN(Games[[#This Row],[GamesPlayed]], 82))</f>
        <v>71.5</v>
      </c>
      <c r="Z361" s="4">
        <f>Games[[#This Row],[K]]*Games[[#This Row],[POMult]]</f>
        <v>71.5</v>
      </c>
      <c r="AA361" s="4">
        <f>(Games[[#This Row],[Keff]]*Games[[#This Row],[MOVMult]])*(Games[[#This Row],[Result]]-Games[[#This Row],[ExpectedWin%]])</f>
        <v>12.214388360874738</v>
      </c>
      <c r="AB361" s="4">
        <f>Games[[#This Row],[PreGmRate]]+Games[[#This Row],[RatingChange]]</f>
        <v>1375.5474169191793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45532</v>
      </c>
      <c r="B362" s="2">
        <v>2024</v>
      </c>
      <c r="C362" s="2">
        <f>COUNTIFS(Games[Team],Games[[#This Row],[Team]],Games[Season],Games[[#This Row],[Season]],Games[Date],"&lt;=" &amp; Games[[#This Row],[Date]])</f>
        <v>31</v>
      </c>
      <c r="D362" s="2" t="s">
        <v>79</v>
      </c>
      <c r="E362" s="2" t="s">
        <v>80</v>
      </c>
      <c r="F362" s="1" t="s">
        <v>65</v>
      </c>
      <c r="G362" s="1" t="s">
        <v>75</v>
      </c>
      <c r="H362" s="1" t="s">
        <v>81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2" s="2">
        <f>Games[[#This Row],[DaysOff]]-Games[[#This Row],[OppDaysOff]]</f>
        <v>-1</v>
      </c>
      <c r="L362" s="2">
        <f>Games[[#This Row],[OppDaysOff]]-Games[[#This Row],[DaysOff]]</f>
        <v>1</v>
      </c>
      <c r="M362" s="1">
        <f>MAX(-16, MIN(16, Games[[#This Row],[RestDiff]]*8))</f>
        <v>-8</v>
      </c>
      <c r="N362" s="1">
        <f>MAX(-16, MIN(16, Games[[#This Row],[OppRestDiff]]*8))</f>
        <v>8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1393.5218115522719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1436.7347867897661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0.30483042827643653</v>
      </c>
      <c r="R362" s="1">
        <v>74</v>
      </c>
      <c r="S362" s="1">
        <v>70</v>
      </c>
      <c r="T362" s="1">
        <v>0</v>
      </c>
      <c r="U362" s="1">
        <f>Games[[#This Row],[PointsFor]]-Games[[#This Row],[PointsAgainst]]</f>
        <v>4</v>
      </c>
      <c r="V362" s="1">
        <f>IF(Games[[#This Row],[MOV]]&gt;0,1,IF(Games[[#This Row],[MOV]]=0,0.5,0))</f>
        <v>1</v>
      </c>
      <c r="W362" s="4">
        <f>((ABS(Games[[#This Row],[MOV]])+5)^0.6)/(12+0.01*(ABS(Games[[#This Row],[PreGmRate]]-Games[[#This Row],[OppPreGmRate]])))*IF(Games[[#This Row],[OT]]=1,0.9,1)</f>
        <v>0.30060761054497731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2" s="9">
        <f>MAX(kmin, kmax - 0.15 * MIN(Games[[#This Row],[GamesPlayed]], 82))</f>
        <v>71.349999999999994</v>
      </c>
      <c r="Z362" s="4">
        <f>Games[[#This Row],[K]]*Games[[#This Row],[POMult]]</f>
        <v>71.349999999999994</v>
      </c>
      <c r="AA362" s="4">
        <f>(Games[[#This Row],[Keff]]*Games[[#This Row],[MOVMult]])*(Games[[#This Row],[Result]]-Games[[#This Row],[ExpectedWin%]])</f>
        <v>14.910242377794878</v>
      </c>
      <c r="AB362" s="4">
        <f>Games[[#This Row],[PreGmRate]]+Games[[#This Row],[RatingChange]]</f>
        <v>1408.4320539300668</v>
      </c>
      <c r="AC362" s="2">
        <f>IF(Games[[#This Row],[Type]]="R",IF(Games[[#This Row],[Result]]&gt;0.5,1,0),0)</f>
        <v>1</v>
      </c>
      <c r="AD362" s="2">
        <f>IF(Games[[#This Row],[Type]]="R",IF(Games[[#This Row],[Result]]&lt;0.5,1,0),0)</f>
        <v>0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45532</v>
      </c>
      <c r="B363" s="2">
        <v>2024</v>
      </c>
      <c r="C363" s="2">
        <f>COUNTIFS(Games[Team],Games[[#This Row],[Team]],Games[Season],Games[[#This Row],[Season]],Games[Date],"&lt;=" &amp; Games[[#This Row],[Date]])</f>
        <v>30</v>
      </c>
      <c r="D363" s="2" t="s">
        <v>79</v>
      </c>
      <c r="E363" s="2" t="s">
        <v>80</v>
      </c>
      <c r="F363" s="1" t="s">
        <v>75</v>
      </c>
      <c r="G363" s="1" t="s">
        <v>65</v>
      </c>
      <c r="H363" s="1" t="s">
        <v>82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1</v>
      </c>
      <c r="L363" s="2">
        <f>Games[[#This Row],[OppDaysOff]]-Games[[#This Row],[DaysOff]]</f>
        <v>-1</v>
      </c>
      <c r="M363" s="1">
        <f>MAX(-16, MIN(16, Games[[#This Row],[RestDiff]]*8))</f>
        <v>8</v>
      </c>
      <c r="N363" s="1">
        <f>MAX(-16, MIN(16, Games[[#This Row],[OppRestDiff]]*8))</f>
        <v>-8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1436.7347867897661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1393.5218115522719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0.69516957172356342</v>
      </c>
      <c r="R363" s="1">
        <v>70</v>
      </c>
      <c r="S363" s="1">
        <v>74</v>
      </c>
      <c r="T363" s="1">
        <v>0</v>
      </c>
      <c r="U363" s="1">
        <f>Games[[#This Row],[PointsFor]]-Games[[#This Row],[PointsAgainst]]</f>
        <v>-4</v>
      </c>
      <c r="V363" s="1">
        <f>IF(Games[[#This Row],[MOV]]&gt;0,1,IF(Games[[#This Row],[MOV]]=0,0.5,0))</f>
        <v>0</v>
      </c>
      <c r="W363" s="4">
        <f>((ABS(Games[[#This Row],[MOV]])+5)^0.6)/(12+0.01*(ABS(Games[[#This Row],[PreGmRate]]-Games[[#This Row],[OppPreGmRate]])))*IF(Games[[#This Row],[OT]]=1,0.9,1)</f>
        <v>0.30060761054497731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3" s="9">
        <f>MAX(kmin, kmax - 0.15 * MIN(Games[[#This Row],[GamesPlayed]], 82))</f>
        <v>71.5</v>
      </c>
      <c r="Z363" s="4">
        <f>Games[[#This Row],[K]]*Games[[#This Row],[POMult]]</f>
        <v>71.5</v>
      </c>
      <c r="AA363" s="4">
        <f>(Games[[#This Row],[Keff]]*Games[[#This Row],[MOVMult]])*(Games[[#This Row],[Result]]-Games[[#This Row],[ExpectedWin%]])</f>
        <v>-14.941588367376788</v>
      </c>
      <c r="AB363" s="4">
        <f>Games[[#This Row],[PreGmRate]]+Games[[#This Row],[RatingChange]]</f>
        <v>1421.7931984223892</v>
      </c>
      <c r="AC363" s="2">
        <f>IF(Games[[#This Row],[Type]]="R",IF(Games[[#This Row],[Result]]&gt;0.5,1,0),0)</f>
        <v>0</v>
      </c>
      <c r="AD363" s="2">
        <f>IF(Games[[#This Row],[Type]]="R",IF(Games[[#This Row],[Result]]&lt;0.5,1,0),0)</f>
        <v>1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45532</v>
      </c>
      <c r="B364" s="2">
        <v>2024</v>
      </c>
      <c r="C364" s="2">
        <f>COUNTIFS(Games[Team],Games[[#This Row],[Team]],Games[Season],Games[[#This Row],[Season]],Games[Date],"&lt;=" &amp; Games[[#This Row],[Date]])</f>
        <v>30</v>
      </c>
      <c r="D364" s="2" t="s">
        <v>79</v>
      </c>
      <c r="E364" s="2" t="s">
        <v>80</v>
      </c>
      <c r="F364" s="1" t="s">
        <v>74</v>
      </c>
      <c r="G364" s="1" t="s">
        <v>69</v>
      </c>
      <c r="H364" s="1" t="s">
        <v>81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2</v>
      </c>
      <c r="L364" s="2">
        <f>Games[[#This Row],[OppDaysOff]]-Games[[#This Row],[DaysOff]]</f>
        <v>-2</v>
      </c>
      <c r="M364" s="1">
        <f>MAX(-16, MIN(16, Games[[#This Row],[RestDiff]]*8))</f>
        <v>16</v>
      </c>
      <c r="N364" s="1">
        <f>MAX(-16, MIN(16, Games[[#This Row],[OppRestDiff]]*8))</f>
        <v>-16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1635.9133675717055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1482.6756218510459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0.64170483520727173</v>
      </c>
      <c r="R364" s="1">
        <v>80</v>
      </c>
      <c r="S364" s="1">
        <v>84</v>
      </c>
      <c r="T364" s="1">
        <v>0</v>
      </c>
      <c r="U364" s="1">
        <f>Games[[#This Row],[PointsFor]]-Games[[#This Row],[PointsAgainst]]</f>
        <v>-4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0.27616675862498424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4" s="9">
        <f>MAX(kmin, kmax - 0.15 * MIN(Games[[#This Row],[GamesPlayed]], 82))</f>
        <v>71.5</v>
      </c>
      <c r="Z364" s="4">
        <f>Games[[#This Row],[K]]*Games[[#This Row],[POMult]]</f>
        <v>71.5</v>
      </c>
      <c r="AA364" s="4">
        <f>(Games[[#This Row],[Keff]]*Games[[#This Row],[MOVMult]])*(Games[[#This Row],[Result]]-Games[[#This Row],[ExpectedWin%]])</f>
        <v>-12.671054419821791</v>
      </c>
      <c r="AB364" s="4">
        <f>Games[[#This Row],[PreGmRate]]+Games[[#This Row],[RatingChange]]</f>
        <v>1623.2423131518838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45532</v>
      </c>
      <c r="B365" s="2">
        <v>2024</v>
      </c>
      <c r="C365" s="2">
        <f>COUNTIFS(Games[Team],Games[[#This Row],[Team]],Games[Season],Games[[#This Row],[Season]],Games[Date],"&lt;=" &amp; Games[[#This Row],[Date]])</f>
        <v>31</v>
      </c>
      <c r="D365" s="2" t="s">
        <v>79</v>
      </c>
      <c r="E365" s="2" t="s">
        <v>80</v>
      </c>
      <c r="F365" s="1" t="s">
        <v>69</v>
      </c>
      <c r="G365" s="1" t="s">
        <v>74</v>
      </c>
      <c r="H365" s="1" t="s">
        <v>82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5" s="2">
        <f>Games[[#This Row],[DaysOff]]-Games[[#This Row],[OppDaysOff]]</f>
        <v>-2</v>
      </c>
      <c r="L365" s="2">
        <f>Games[[#This Row],[OppDaysOff]]-Games[[#This Row],[DaysOff]]</f>
        <v>2</v>
      </c>
      <c r="M365" s="1">
        <f>MAX(-16, MIN(16, Games[[#This Row],[RestDiff]]*8))</f>
        <v>-16</v>
      </c>
      <c r="N365" s="1">
        <f>MAX(-16, MIN(16, Games[[#This Row],[OppRestDiff]]*8))</f>
        <v>16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1482.6756218510459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1635.9133675717055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0.35829516479272827</v>
      </c>
      <c r="R365" s="1">
        <v>84</v>
      </c>
      <c r="S365" s="1">
        <v>80</v>
      </c>
      <c r="T365" s="1">
        <v>0</v>
      </c>
      <c r="U365" s="1">
        <f>Games[[#This Row],[PointsFor]]-Games[[#This Row],[PointsAgainst]]</f>
        <v>4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0.27616675862498424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5" s="9">
        <f>MAX(kmin, kmax - 0.15 * MIN(Games[[#This Row],[GamesPlayed]], 82))</f>
        <v>71.349999999999994</v>
      </c>
      <c r="Z365" s="4">
        <f>Games[[#This Row],[K]]*Games[[#This Row],[POMult]]</f>
        <v>71.349999999999994</v>
      </c>
      <c r="AA365" s="4">
        <f>(Games[[#This Row],[Keff]]*Games[[#This Row],[MOVMult]])*(Games[[#This Row],[Result]]-Games[[#This Row],[ExpectedWin%]])</f>
        <v>12.644471788171815</v>
      </c>
      <c r="AB365" s="4">
        <f>Games[[#This Row],[PreGmRate]]+Games[[#This Row],[RatingChange]]</f>
        <v>1495.3200936392177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45532</v>
      </c>
      <c r="B366" s="2">
        <v>2024</v>
      </c>
      <c r="C366" s="2">
        <f>COUNTIFS(Games[Team],Games[[#This Row],[Team]],Games[Season],Games[[#This Row],[Season]],Games[Date],"&lt;=" &amp; Games[[#This Row],[Date]])</f>
        <v>33</v>
      </c>
      <c r="D366" s="2" t="s">
        <v>79</v>
      </c>
      <c r="E366" s="2" t="s">
        <v>80</v>
      </c>
      <c r="F366" s="1" t="s">
        <v>60</v>
      </c>
      <c r="G366" s="1" t="s">
        <v>63</v>
      </c>
      <c r="H366" s="1" t="s">
        <v>81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6" s="2">
        <f>Games[[#This Row],[DaysOff]]-Games[[#This Row],[OppDaysOff]]</f>
        <v>-1</v>
      </c>
      <c r="L366" s="2">
        <f>Games[[#This Row],[OppDaysOff]]-Games[[#This Row],[DaysOff]]</f>
        <v>1</v>
      </c>
      <c r="M366" s="1">
        <f>MAX(-16, MIN(16, Games[[#This Row],[RestDiff]]*8))</f>
        <v>-8</v>
      </c>
      <c r="N366" s="1">
        <f>MAX(-16, MIN(16, Games[[#This Row],[OppRestDiff]]*8))</f>
        <v>8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1716.5517566711781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1328.6051796280547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0.83990934833886266</v>
      </c>
      <c r="R366" s="1">
        <v>88</v>
      </c>
      <c r="S366" s="1">
        <v>94</v>
      </c>
      <c r="T366" s="1">
        <v>0</v>
      </c>
      <c r="U366" s="1">
        <f>Games[[#This Row],[PointsFor]]-Games[[#This Row],[PointsAgainst]]</f>
        <v>-6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0.26546038727204763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6" s="9">
        <f>MAX(kmin, kmax - 0.15 * MIN(Games[[#This Row],[GamesPlayed]], 82))</f>
        <v>71.05</v>
      </c>
      <c r="Z366" s="4">
        <f>Games[[#This Row],[K]]*Games[[#This Row],[POMult]]</f>
        <v>71.05</v>
      </c>
      <c r="AA366" s="4">
        <f>(Games[[#This Row],[Keff]]*Games[[#This Row],[MOVMult]])*(Games[[#This Row],[Result]]-Games[[#This Row],[ExpectedWin%]])</f>
        <v>-15.841497055768953</v>
      </c>
      <c r="AB366" s="4">
        <f>Games[[#This Row],[PreGmRate]]+Games[[#This Row],[RatingChange]]</f>
        <v>1700.7102596154091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45532</v>
      </c>
      <c r="B367" s="2">
        <v>2024</v>
      </c>
      <c r="C367" s="2">
        <f>COUNTIFS(Games[Team],Games[[#This Row],[Team]],Games[Season],Games[[#This Row],[Season]],Games[Date],"&lt;=" &amp; Games[[#This Row],[Date]])</f>
        <v>31</v>
      </c>
      <c r="D367" s="2" t="s">
        <v>79</v>
      </c>
      <c r="E367" s="2" t="s">
        <v>80</v>
      </c>
      <c r="F367" s="1" t="s">
        <v>63</v>
      </c>
      <c r="G367" s="1" t="s">
        <v>60</v>
      </c>
      <c r="H367" s="1" t="s">
        <v>82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7" s="2">
        <f>Games[[#This Row],[DaysOff]]-Games[[#This Row],[OppDaysOff]]</f>
        <v>1</v>
      </c>
      <c r="L367" s="2">
        <f>Games[[#This Row],[OppDaysOff]]-Games[[#This Row],[DaysOff]]</f>
        <v>-1</v>
      </c>
      <c r="M367" s="1">
        <f>MAX(-16, MIN(16, Games[[#This Row],[RestDiff]]*8))</f>
        <v>8</v>
      </c>
      <c r="N367" s="1">
        <f>MAX(-16, MIN(16, Games[[#This Row],[OppRestDiff]]*8))</f>
        <v>-8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1328.6051796280547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1716.5517566711781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0.16009065166113737</v>
      </c>
      <c r="R367" s="1">
        <v>94</v>
      </c>
      <c r="S367" s="1">
        <v>88</v>
      </c>
      <c r="T367" s="1">
        <v>0</v>
      </c>
      <c r="U367" s="1">
        <f>Games[[#This Row],[PointsFor]]-Games[[#This Row],[PointsAgainst]]</f>
        <v>6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0.26546038727204763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15.908385854033986</v>
      </c>
      <c r="AB367" s="4">
        <f>Games[[#This Row],[PreGmRate]]+Games[[#This Row],[RatingChange]]</f>
        <v>1344.5135654820886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45532</v>
      </c>
      <c r="B368" s="2">
        <v>2024</v>
      </c>
      <c r="C368" s="2">
        <f>COUNTIFS(Games[Team],Games[[#This Row],[Team]],Games[Season],Games[[#This Row],[Season]],Games[Date],"&lt;=" &amp; Games[[#This Row],[Date]])</f>
        <v>32</v>
      </c>
      <c r="D368" s="2" t="s">
        <v>79</v>
      </c>
      <c r="E368" s="2" t="s">
        <v>80</v>
      </c>
      <c r="F368" s="1" t="s">
        <v>67</v>
      </c>
      <c r="G368" s="1" t="s">
        <v>40</v>
      </c>
      <c r="H368" s="1" t="s">
        <v>81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2</v>
      </c>
      <c r="L368" s="2">
        <f>Games[[#This Row],[OppDaysOff]]-Games[[#This Row],[DaysOff]]</f>
        <v>-2</v>
      </c>
      <c r="M368" s="1">
        <f>MAX(-16, MIN(16, Games[[#This Row],[RestDiff]]*8))</f>
        <v>16</v>
      </c>
      <c r="N368" s="1">
        <f>MAX(-16, MIN(16, Games[[#This Row],[OppRestDiff]]*8))</f>
        <v>-16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1630.6265846394101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1480.6579736273775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0.63736661493326097</v>
      </c>
      <c r="R368" s="1">
        <v>89</v>
      </c>
      <c r="S368" s="1">
        <v>76</v>
      </c>
      <c r="T368" s="1">
        <v>0</v>
      </c>
      <c r="U368" s="1">
        <f>Games[[#This Row],[PointsFor]]-Games[[#This Row],[PointsAgainst]]</f>
        <v>13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0.41960420572467083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8" s="9">
        <f>MAX(kmin, kmax - 0.15 * MIN(Games[[#This Row],[GamesPlayed]], 82))</f>
        <v>71.2</v>
      </c>
      <c r="Z368" s="4">
        <f>Games[[#This Row],[K]]*Games[[#This Row],[POMult]]</f>
        <v>71.2</v>
      </c>
      <c r="AA368" s="4">
        <f>(Games[[#This Row],[Keff]]*Games[[#This Row],[MOVMult]])*(Games[[#This Row],[Result]]-Games[[#This Row],[ExpectedWin%]])</f>
        <v>10.833969537924656</v>
      </c>
      <c r="AB368" s="4">
        <f>Games[[#This Row],[PreGmRate]]+Games[[#This Row],[RatingChange]]</f>
        <v>1641.4605541773349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45532</v>
      </c>
      <c r="B369" s="2">
        <v>2024</v>
      </c>
      <c r="C369" s="2">
        <f>COUNTIFS(Games[Team],Games[[#This Row],[Team]],Games[Season],Games[[#This Row],[Season]],Games[Date],"&lt;=" &amp; Games[[#This Row],[Date]])</f>
        <v>32</v>
      </c>
      <c r="D369" s="2" t="s">
        <v>79</v>
      </c>
      <c r="E369" s="2" t="s">
        <v>80</v>
      </c>
      <c r="F369" s="1" t="s">
        <v>40</v>
      </c>
      <c r="G369" s="1" t="s">
        <v>67</v>
      </c>
      <c r="H369" s="1" t="s">
        <v>82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9" s="2">
        <f>Games[[#This Row],[DaysOff]]-Games[[#This Row],[OppDaysOff]]</f>
        <v>-2</v>
      </c>
      <c r="L369" s="2">
        <f>Games[[#This Row],[OppDaysOff]]-Games[[#This Row],[DaysOff]]</f>
        <v>2</v>
      </c>
      <c r="M369" s="1">
        <f>MAX(-16, MIN(16, Games[[#This Row],[RestDiff]]*8))</f>
        <v>-16</v>
      </c>
      <c r="N369" s="1">
        <f>MAX(-16, MIN(16, Games[[#This Row],[OppRestDiff]]*8))</f>
        <v>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1480.6579736273775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1630.6265846394101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0.36263338506673903</v>
      </c>
      <c r="R369" s="1">
        <v>76</v>
      </c>
      <c r="S369" s="1">
        <v>89</v>
      </c>
      <c r="T369" s="1">
        <v>0</v>
      </c>
      <c r="U369" s="1">
        <f>Games[[#This Row],[PointsFor]]-Games[[#This Row],[PointsAgainst]]</f>
        <v>-13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0.41960420572467083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9" s="9">
        <f>MAX(kmin, kmax - 0.15 * MIN(Games[[#This Row],[GamesPlayed]], 82))</f>
        <v>71.2</v>
      </c>
      <c r="Z369" s="4">
        <f>Games[[#This Row],[K]]*Games[[#This Row],[POMult]]</f>
        <v>71.2</v>
      </c>
      <c r="AA369" s="4">
        <f>(Games[[#This Row],[Keff]]*Games[[#This Row],[MOVMult]])*(Games[[#This Row],[Result]]-Games[[#This Row],[ExpectedWin%]])</f>
        <v>-10.833969537924656</v>
      </c>
      <c r="AB369" s="4">
        <f>Games[[#This Row],[PreGmRate]]+Games[[#This Row],[RatingChange]]</f>
        <v>1469.8240040894527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45532</v>
      </c>
      <c r="B370" s="2">
        <v>2024</v>
      </c>
      <c r="C370" s="2">
        <f>COUNTIFS(Games[Team],Games[[#This Row],[Team]],Games[Season],Games[[#This Row],[Season]],Games[Date],"&lt;=" &amp; Games[[#This Row],[Date]])</f>
        <v>30</v>
      </c>
      <c r="D370" s="2" t="s">
        <v>79</v>
      </c>
      <c r="E370" s="2" t="s">
        <v>80</v>
      </c>
      <c r="F370" s="1" t="s">
        <v>77</v>
      </c>
      <c r="G370" s="1" t="s">
        <v>71</v>
      </c>
      <c r="H370" s="1" t="s">
        <v>81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1392.6031008658254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1540.37432644667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0.20846838501723303</v>
      </c>
      <c r="R370" s="1">
        <v>81</v>
      </c>
      <c r="S370" s="1">
        <v>85</v>
      </c>
      <c r="T370" s="1">
        <v>0</v>
      </c>
      <c r="U370" s="1">
        <f>Games[[#This Row],[PointsFor]]-Games[[#This Row],[PointsAgainst]]</f>
        <v>-4</v>
      </c>
      <c r="V370" s="1">
        <f>IF(Games[[#This Row],[MOV]]&gt;0,1,IF(Games[[#This Row],[MOV]]=0,0.5,0))</f>
        <v>0</v>
      </c>
      <c r="W370" s="4">
        <f>((ABS(Games[[#This Row],[MOV]])+5)^0.6)/(12+0.01*(ABS(Games[[#This Row],[PreGmRate]]-Games[[#This Row],[OppPreGmRate]])))*IF(Games[[#This Row],[OT]]=1,0.9,1)</f>
        <v>0.27728688281172836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0" s="9">
        <f>MAX(kmin, kmax - 0.15 * MIN(Games[[#This Row],[GamesPlayed]], 82))</f>
        <v>71.5</v>
      </c>
      <c r="Z370" s="4">
        <f>Games[[#This Row],[K]]*Games[[#This Row],[POMult]]</f>
        <v>71.5</v>
      </c>
      <c r="AA370" s="4">
        <f>(Games[[#This Row],[Keff]]*Games[[#This Row],[MOVMult]])*(Games[[#This Row],[Result]]-Games[[#This Row],[ExpectedWin%]])</f>
        <v>-4.1330967282049986</v>
      </c>
      <c r="AB370" s="4">
        <f>Games[[#This Row],[PreGmRate]]+Games[[#This Row],[RatingChange]]</f>
        <v>1388.4700041376204</v>
      </c>
      <c r="AC370" s="2">
        <f>IF(Games[[#This Row],[Type]]="R",IF(Games[[#This Row],[Result]]&gt;0.5,1,0),0)</f>
        <v>0</v>
      </c>
      <c r="AD370" s="2">
        <f>IF(Games[[#This Row],[Type]]="R",IF(Games[[#This Row],[Result]]&lt;0.5,1,0),0)</f>
        <v>1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45532</v>
      </c>
      <c r="B371" s="2">
        <v>2024</v>
      </c>
      <c r="C371" s="2">
        <f>COUNTIFS(Games[Team],Games[[#This Row],[Team]],Games[Season],Games[[#This Row],[Season]],Games[Date],"&lt;=" &amp; Games[[#This Row],[Date]])</f>
        <v>30</v>
      </c>
      <c r="D371" s="2" t="s">
        <v>79</v>
      </c>
      <c r="E371" s="2" t="s">
        <v>80</v>
      </c>
      <c r="F371" s="1" t="s">
        <v>71</v>
      </c>
      <c r="G371" s="1" t="s">
        <v>77</v>
      </c>
      <c r="H371" s="1" t="s">
        <v>82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1540.37432644667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1392.6031008658254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0.79153161498276692</v>
      </c>
      <c r="R371" s="1">
        <v>85</v>
      </c>
      <c r="S371" s="1">
        <v>81</v>
      </c>
      <c r="T371" s="1">
        <v>0</v>
      </c>
      <c r="U371" s="1">
        <f>Games[[#This Row],[PointsFor]]-Games[[#This Row],[PointsAgainst]]</f>
        <v>4</v>
      </c>
      <c r="V371" s="1">
        <f>IF(Games[[#This Row],[MOV]]&gt;0,1,IF(Games[[#This Row],[MOV]]=0,0.5,0))</f>
        <v>1</v>
      </c>
      <c r="W371" s="4">
        <f>((ABS(Games[[#This Row],[MOV]])+5)^0.6)/(12+0.01*(ABS(Games[[#This Row],[PreGmRate]]-Games[[#This Row],[OppPreGmRate]])))*IF(Games[[#This Row],[OT]]=1,0.9,1)</f>
        <v>0.27728688281172836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1" s="9">
        <f>MAX(kmin, kmax - 0.15 * MIN(Games[[#This Row],[GamesPlayed]], 82))</f>
        <v>71.5</v>
      </c>
      <c r="Z371" s="4">
        <f>Games[[#This Row],[K]]*Games[[#This Row],[POMult]]</f>
        <v>71.5</v>
      </c>
      <c r="AA371" s="4">
        <f>(Games[[#This Row],[Keff]]*Games[[#This Row],[MOVMult]])*(Games[[#This Row],[Result]]-Games[[#This Row],[ExpectedWin%]])</f>
        <v>4.1330967282049995</v>
      </c>
      <c r="AB371" s="4">
        <f>Games[[#This Row],[PreGmRate]]+Games[[#This Row],[RatingChange]]</f>
        <v>1544.5074231748749</v>
      </c>
      <c r="AC371" s="2">
        <f>IF(Games[[#This Row],[Type]]="R",IF(Games[[#This Row],[Result]]&gt;0.5,1,0),0)</f>
        <v>1</v>
      </c>
      <c r="AD371" s="2">
        <f>IF(Games[[#This Row],[Type]]="R",IF(Games[[#This Row],[Result]]&lt;0.5,1,0),0)</f>
        <v>0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45534</v>
      </c>
      <c r="B372" s="2">
        <v>2024</v>
      </c>
      <c r="C372" s="2">
        <f>COUNTIFS(Games[Team],Games[[#This Row],[Team]],Games[Season],Games[[#This Row],[Season]],Games[Date],"&lt;=" &amp; Games[[#This Row],[Date]])</f>
        <v>32</v>
      </c>
      <c r="D372" s="2" t="s">
        <v>79</v>
      </c>
      <c r="E372" s="2" t="s">
        <v>80</v>
      </c>
      <c r="F372" s="1" t="s">
        <v>69</v>
      </c>
      <c r="G372" s="1" t="s">
        <v>75</v>
      </c>
      <c r="H372" s="1" t="s">
        <v>81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1495.3200936392177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1421.7931984223892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0.48493255411694391</v>
      </c>
      <c r="R372" s="1">
        <v>100</v>
      </c>
      <c r="S372" s="1">
        <v>81</v>
      </c>
      <c r="T372" s="1">
        <v>0</v>
      </c>
      <c r="U372" s="1">
        <f>Games[[#This Row],[PointsFor]]-Games[[#This Row],[PointsAgainst]]</f>
        <v>19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0.52858961188495857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2" s="9">
        <f>MAX(kmin, kmax - 0.15 * MIN(Games[[#This Row],[GamesPlayed]], 82))</f>
        <v>71.2</v>
      </c>
      <c r="Z372" s="4">
        <f>Games[[#This Row],[K]]*Games[[#This Row],[POMult]]</f>
        <v>71.2</v>
      </c>
      <c r="AA372" s="4">
        <f>(Games[[#This Row],[Keff]]*Games[[#This Row],[MOVMult]])*(Games[[#This Row],[Result]]-Games[[#This Row],[ExpectedWin%]])</f>
        <v>19.384862253549787</v>
      </c>
      <c r="AB372" s="4">
        <f>Games[[#This Row],[PreGmRate]]+Games[[#This Row],[RatingChange]]</f>
        <v>1514.7049558927674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45534</v>
      </c>
      <c r="B373" s="2">
        <v>2024</v>
      </c>
      <c r="C373" s="2">
        <f>COUNTIFS(Games[Team],Games[[#This Row],[Team]],Games[Season],Games[[#This Row],[Season]],Games[Date],"&lt;=" &amp; Games[[#This Row],[Date]])</f>
        <v>31</v>
      </c>
      <c r="D373" s="2" t="s">
        <v>79</v>
      </c>
      <c r="E373" s="2" t="s">
        <v>80</v>
      </c>
      <c r="F373" s="1" t="s">
        <v>75</v>
      </c>
      <c r="G373" s="1" t="s">
        <v>69</v>
      </c>
      <c r="H373" s="1" t="s">
        <v>82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1421.7931984223892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1495.3200936392177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0.5150674458830562</v>
      </c>
      <c r="R373" s="1">
        <v>81</v>
      </c>
      <c r="S373" s="1">
        <v>100</v>
      </c>
      <c r="T373" s="1">
        <v>0</v>
      </c>
      <c r="U373" s="1">
        <f>Games[[#This Row],[PointsFor]]-Games[[#This Row],[PointsAgainst]]</f>
        <v>-19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0.52858961188495857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3" s="9">
        <f>MAX(kmin, kmax - 0.15 * MIN(Games[[#This Row],[GamesPlayed]], 82))</f>
        <v>71.349999999999994</v>
      </c>
      <c r="Z373" s="4">
        <f>Games[[#This Row],[K]]*Games[[#This Row],[POMult]]</f>
        <v>71.349999999999994</v>
      </c>
      <c r="AA373" s="4">
        <f>(Games[[#This Row],[Keff]]*Games[[#This Row],[MOVMult]])*(Games[[#This Row],[Result]]-Games[[#This Row],[ExpectedWin%]])</f>
        <v>-19.425701148746878</v>
      </c>
      <c r="AB373" s="4">
        <f>Games[[#This Row],[PreGmRate]]+Games[[#This Row],[RatingChange]]</f>
        <v>1402.3674972736424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45534</v>
      </c>
      <c r="B374" s="2">
        <v>2024</v>
      </c>
      <c r="C374" s="2">
        <f>COUNTIFS(Games[Team],Games[[#This Row],[Team]],Games[Season],Games[[#This Row],[Season]],Games[Date],"&lt;=" &amp; Games[[#This Row],[Date]])</f>
        <v>33</v>
      </c>
      <c r="D374" s="2" t="s">
        <v>79</v>
      </c>
      <c r="E374" s="2" t="s">
        <v>80</v>
      </c>
      <c r="F374" s="1" t="s">
        <v>67</v>
      </c>
      <c r="G374" s="1" t="s">
        <v>85</v>
      </c>
      <c r="H374" s="1" t="s">
        <v>81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4" s="2">
        <f>Games[[#This Row],[DaysOff]]-Games[[#This Row],[OppDaysOff]]</f>
        <v>-1</v>
      </c>
      <c r="L374" s="2">
        <f>Games[[#This Row],[OppDaysOff]]-Games[[#This Row],[DaysOff]]</f>
        <v>1</v>
      </c>
      <c r="M374" s="1">
        <f>MAX(-16, MIN(16, Games[[#This Row],[RestDiff]]*8))</f>
        <v>-8</v>
      </c>
      <c r="N374" s="1">
        <f>MAX(-16, MIN(16, Games[[#This Row],[OppRestDiff]]*8))</f>
        <v>8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1641.4605541773349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1375.5474169191793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0.72213421215649332</v>
      </c>
      <c r="R374" s="1">
        <v>76</v>
      </c>
      <c r="S374" s="1">
        <v>94</v>
      </c>
      <c r="T374" s="1">
        <v>0</v>
      </c>
      <c r="U374" s="1">
        <f>Games[[#This Row],[PointsFor]]-Games[[#This Row],[PointsAgainst]]</f>
        <v>-18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0.44763956463269272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4" s="9">
        <f>MAX(kmin, kmax - 0.15 * MIN(Games[[#This Row],[GamesPlayed]], 82))</f>
        <v>71.05</v>
      </c>
      <c r="Z374" s="4">
        <f>Games[[#This Row],[K]]*Games[[#This Row],[POMult]]</f>
        <v>71.05</v>
      </c>
      <c r="AA374" s="4">
        <f>(Games[[#This Row],[Keff]]*Games[[#This Row],[MOVMult]])*(Games[[#This Row],[Result]]-Games[[#This Row],[ExpectedWin%]])</f>
        <v>-22.967327740080275</v>
      </c>
      <c r="AB374" s="4">
        <f>Games[[#This Row],[PreGmRate]]+Games[[#This Row],[RatingChange]]</f>
        <v>1618.4932264372546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45534</v>
      </c>
      <c r="B375" s="2">
        <v>2024</v>
      </c>
      <c r="C375" s="2">
        <f>COUNTIFS(Games[Team],Games[[#This Row],[Team]],Games[Season],Games[[#This Row],[Season]],Games[Date],"&lt;=" &amp; Games[[#This Row],[Date]])</f>
        <v>31</v>
      </c>
      <c r="D375" s="2" t="s">
        <v>79</v>
      </c>
      <c r="E375" s="2" t="s">
        <v>80</v>
      </c>
      <c r="F375" s="1" t="s">
        <v>85</v>
      </c>
      <c r="G375" s="1" t="s">
        <v>67</v>
      </c>
      <c r="H375" s="1" t="s">
        <v>82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5" s="2">
        <f>Games[[#This Row],[DaysOff]]-Games[[#This Row],[OppDaysOff]]</f>
        <v>1</v>
      </c>
      <c r="L375" s="2">
        <f>Games[[#This Row],[OppDaysOff]]-Games[[#This Row],[DaysOff]]</f>
        <v>-1</v>
      </c>
      <c r="M375" s="1">
        <f>MAX(-16, MIN(16, Games[[#This Row],[RestDiff]]*8))</f>
        <v>8</v>
      </c>
      <c r="N375" s="1">
        <f>MAX(-16, MIN(16, Games[[#This Row],[OppRestDiff]]*8))</f>
        <v>-8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1375.5474169191793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1641.4605541773349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0.27786578784350668</v>
      </c>
      <c r="R375" s="1">
        <v>94</v>
      </c>
      <c r="S375" s="1">
        <v>76</v>
      </c>
      <c r="T375" s="1">
        <v>0</v>
      </c>
      <c r="U375" s="1">
        <f>Games[[#This Row],[PointsFor]]-Games[[#This Row],[PointsAgainst]]</f>
        <v>18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0.44763956463269272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5" s="9">
        <f>MAX(kmin, kmax - 0.15 * MIN(Games[[#This Row],[GamesPlayed]], 82))</f>
        <v>71.349999999999994</v>
      </c>
      <c r="Z375" s="4">
        <f>Games[[#This Row],[K]]*Games[[#This Row],[POMult]]</f>
        <v>71.349999999999994</v>
      </c>
      <c r="AA375" s="4">
        <f>(Games[[#This Row],[Keff]]*Games[[#This Row],[MOVMult]])*(Games[[#This Row],[Result]]-Games[[#This Row],[ExpectedWin%]])</f>
        <v>23.064304493381105</v>
      </c>
      <c r="AB375" s="4">
        <f>Games[[#This Row],[PreGmRate]]+Games[[#This Row],[RatingChange]]</f>
        <v>1398.6117214125604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45534</v>
      </c>
      <c r="B376" s="2">
        <v>2024</v>
      </c>
      <c r="C376" s="2">
        <f>COUNTIFS(Games[Team],Games[[#This Row],[Team]],Games[Season],Games[[#This Row],[Season]],Games[Date],"&lt;=" &amp; Games[[#This Row],[Date]])</f>
        <v>31</v>
      </c>
      <c r="D376" s="2" t="s">
        <v>79</v>
      </c>
      <c r="E376" s="2" t="s">
        <v>80</v>
      </c>
      <c r="F376" s="1" t="s">
        <v>77</v>
      </c>
      <c r="G376" s="1" t="s">
        <v>86</v>
      </c>
      <c r="H376" s="1" t="s">
        <v>81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6" s="2">
        <f>Games[[#This Row],[DaysOff]]-Games[[#This Row],[OppDaysOff]]</f>
        <v>-1</v>
      </c>
      <c r="L376" s="2">
        <f>Games[[#This Row],[OppDaysOff]]-Games[[#This Row],[DaysOff]]</f>
        <v>1</v>
      </c>
      <c r="M376" s="1">
        <f>MAX(-16, MIN(16, Games[[#This Row],[RestDiff]]*8))</f>
        <v>-8</v>
      </c>
      <c r="N376" s="1">
        <f>MAX(-16, MIN(16, Games[[#This Row],[OppRestDiff]]*8))</f>
        <v>8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1388.4700041376204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1585.273126449672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0.15335368511830227</v>
      </c>
      <c r="R376" s="1">
        <v>72</v>
      </c>
      <c r="S376" s="1">
        <v>83</v>
      </c>
      <c r="T376" s="1">
        <v>0</v>
      </c>
      <c r="U376" s="1">
        <f>Games[[#This Row],[PointsFor]]-Games[[#This Row],[PointsAgainst]]</f>
        <v>-11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0.37786510917552507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6" s="9">
        <f>MAX(kmin, kmax - 0.15 * MIN(Games[[#This Row],[GamesPlayed]], 82))</f>
        <v>71.349999999999994</v>
      </c>
      <c r="Z376" s="4">
        <f>Games[[#This Row],[K]]*Games[[#This Row],[POMult]]</f>
        <v>71.349999999999994</v>
      </c>
      <c r="AA376" s="4">
        <f>(Games[[#This Row],[Keff]]*Games[[#This Row],[MOVMult]])*(Games[[#This Row],[Result]]-Games[[#This Row],[ExpectedWin%]])</f>
        <v>-4.1345189472878365</v>
      </c>
      <c r="AB376" s="4">
        <f>Games[[#This Row],[PreGmRate]]+Games[[#This Row],[RatingChange]]</f>
        <v>1384.3354851903325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45534</v>
      </c>
      <c r="B377" s="2">
        <v>2024</v>
      </c>
      <c r="C377" s="2">
        <f>COUNTIFS(Games[Team],Games[[#This Row],[Team]],Games[Season],Games[[#This Row],[Season]],Games[Date],"&lt;=" &amp; Games[[#This Row],[Date]])</f>
        <v>31</v>
      </c>
      <c r="D377" s="2" t="s">
        <v>79</v>
      </c>
      <c r="E377" s="2" t="s">
        <v>80</v>
      </c>
      <c r="F377" s="1" t="s">
        <v>86</v>
      </c>
      <c r="G377" s="1" t="s">
        <v>77</v>
      </c>
      <c r="H377" s="1" t="s">
        <v>82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1</v>
      </c>
      <c r="L377" s="2">
        <f>Games[[#This Row],[OppDaysOff]]-Games[[#This Row],[DaysOff]]</f>
        <v>-1</v>
      </c>
      <c r="M377" s="1">
        <f>MAX(-16, MIN(16, Games[[#This Row],[RestDiff]]*8))</f>
        <v>8</v>
      </c>
      <c r="N377" s="1">
        <f>MAX(-16, MIN(16, Games[[#This Row],[OppRestDiff]]*8))</f>
        <v>-8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1585.273126449672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1388.4700041376204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0.84664631488169773</v>
      </c>
      <c r="R377" s="1">
        <v>83</v>
      </c>
      <c r="S377" s="1">
        <v>72</v>
      </c>
      <c r="T377" s="1">
        <v>0</v>
      </c>
      <c r="U377" s="1">
        <f>Games[[#This Row],[PointsFor]]-Games[[#This Row],[PointsAgainst]]</f>
        <v>11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0.37786510917552507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7" s="9">
        <f>MAX(kmin, kmax - 0.15 * MIN(Games[[#This Row],[GamesPlayed]], 82))</f>
        <v>71.349999999999994</v>
      </c>
      <c r="Z377" s="4">
        <f>Games[[#This Row],[K]]*Games[[#This Row],[POMult]]</f>
        <v>71.349999999999994</v>
      </c>
      <c r="AA377" s="4">
        <f>(Games[[#This Row],[Keff]]*Games[[#This Row],[MOVMult]])*(Games[[#This Row],[Result]]-Games[[#This Row],[ExpectedWin%]])</f>
        <v>4.1345189472878365</v>
      </c>
      <c r="AB377" s="4">
        <f>Games[[#This Row],[PreGmRate]]+Games[[#This Row],[RatingChange]]</f>
        <v>1589.4076453969599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45534</v>
      </c>
      <c r="B378" s="2">
        <v>2024</v>
      </c>
      <c r="C378" s="2">
        <f>COUNTIFS(Games[Team],Games[[#This Row],[Team]],Games[Season],Games[[#This Row],[Season]],Games[Date],"&lt;=" &amp; Games[[#This Row],[Date]])</f>
        <v>34</v>
      </c>
      <c r="D378" s="2" t="s">
        <v>79</v>
      </c>
      <c r="E378" s="2" t="s">
        <v>80</v>
      </c>
      <c r="F378" s="1" t="s">
        <v>60</v>
      </c>
      <c r="G378" s="1" t="s">
        <v>71</v>
      </c>
      <c r="H378" s="1" t="s">
        <v>81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1700.7102596154091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1544.5074231748749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0.60243777927526942</v>
      </c>
      <c r="R378" s="1">
        <v>98</v>
      </c>
      <c r="S378" s="1">
        <v>85</v>
      </c>
      <c r="T378" s="1">
        <v>0</v>
      </c>
      <c r="U378" s="1">
        <f>Games[[#This Row],[PointsFor]]-Games[[#This Row],[PointsAgainst]]</f>
        <v>13</v>
      </c>
      <c r="V378" s="1">
        <f>IF(Games[[#This Row],[MOV]]&gt;0,1,IF(Games[[#This Row],[MOV]]=0,0.5,0))</f>
        <v>1</v>
      </c>
      <c r="W378" s="4">
        <f>((ABS(Games[[#This Row],[MOV]])+5)^0.6)/(12+0.01*(ABS(Games[[#This Row],[PreGmRate]]-Games[[#This Row],[OppPreGmRate]])))*IF(Games[[#This Row],[OT]]=1,0.9,1)</f>
        <v>0.41767535913996628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8" s="9">
        <f>MAX(kmin, kmax - 0.15 * MIN(Games[[#This Row],[GamesPlayed]], 82))</f>
        <v>70.900000000000006</v>
      </c>
      <c r="Z378" s="4">
        <f>Games[[#This Row],[K]]*Games[[#This Row],[POMult]]</f>
        <v>70.900000000000006</v>
      </c>
      <c r="AA378" s="4">
        <f>(Games[[#This Row],[Keff]]*Games[[#This Row],[MOVMult]])*(Games[[#This Row],[Result]]-Games[[#This Row],[ExpectedWin%]])</f>
        <v>11.773082781507425</v>
      </c>
      <c r="AB378" s="4">
        <f>Games[[#This Row],[PreGmRate]]+Games[[#This Row],[RatingChange]]</f>
        <v>1712.4833423969164</v>
      </c>
      <c r="AC378" s="2">
        <f>IF(Games[[#This Row],[Type]]="R",IF(Games[[#This Row],[Result]]&gt;0.5,1,0),0)</f>
        <v>1</v>
      </c>
      <c r="AD378" s="2">
        <f>IF(Games[[#This Row],[Type]]="R",IF(Games[[#This Row],[Result]]&lt;0.5,1,0),0)</f>
        <v>0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45534</v>
      </c>
      <c r="B379" s="2">
        <v>2024</v>
      </c>
      <c r="C379" s="2">
        <f>COUNTIFS(Games[Team],Games[[#This Row],[Team]],Games[Season],Games[[#This Row],[Season]],Games[Date],"&lt;=" &amp; Games[[#This Row],[Date]])</f>
        <v>31</v>
      </c>
      <c r="D379" s="2" t="s">
        <v>79</v>
      </c>
      <c r="E379" s="2" t="s">
        <v>80</v>
      </c>
      <c r="F379" s="1" t="s">
        <v>71</v>
      </c>
      <c r="G379" s="1" t="s">
        <v>60</v>
      </c>
      <c r="H379" s="1" t="s">
        <v>82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1544.5074231748749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1700.7102596154091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0.39756222072473058</v>
      </c>
      <c r="R379" s="1">
        <v>85</v>
      </c>
      <c r="S379" s="1">
        <v>98</v>
      </c>
      <c r="T379" s="1">
        <v>0</v>
      </c>
      <c r="U379" s="1">
        <f>Games[[#This Row],[PointsFor]]-Games[[#This Row],[PointsAgainst]]</f>
        <v>-13</v>
      </c>
      <c r="V379" s="1">
        <f>IF(Games[[#This Row],[MOV]]&gt;0,1,IF(Games[[#This Row],[MOV]]=0,0.5,0))</f>
        <v>0</v>
      </c>
      <c r="W379" s="4">
        <f>((ABS(Games[[#This Row],[MOV]])+5)^0.6)/(12+0.01*(ABS(Games[[#This Row],[PreGmRate]]-Games[[#This Row],[OppPreGmRate]])))*IF(Games[[#This Row],[OT]]=1,0.9,1)</f>
        <v>0.41767535913996628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9" s="9">
        <f>MAX(kmin, kmax - 0.15 * MIN(Games[[#This Row],[GamesPlayed]], 82))</f>
        <v>71.349999999999994</v>
      </c>
      <c r="Z379" s="4">
        <f>Games[[#This Row],[K]]*Games[[#This Row],[POMult]]</f>
        <v>71.349999999999994</v>
      </c>
      <c r="AA379" s="4">
        <f>(Games[[#This Row],[Keff]]*Games[[#This Row],[MOVMult]])*(Games[[#This Row],[Result]]-Games[[#This Row],[ExpectedWin%]])</f>
        <v>-11.84780615600218</v>
      </c>
      <c r="AB379" s="4">
        <f>Games[[#This Row],[PreGmRate]]+Games[[#This Row],[RatingChange]]</f>
        <v>1532.6596170188727</v>
      </c>
      <c r="AC379" s="2">
        <f>IF(Games[[#This Row],[Type]]="R",IF(Games[[#This Row],[Result]]&gt;0.5,1,0),0)</f>
        <v>0</v>
      </c>
      <c r="AD379" s="2">
        <f>IF(Games[[#This Row],[Type]]="R",IF(Games[[#This Row],[Result]]&lt;0.5,1,0),0)</f>
        <v>1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45535</v>
      </c>
      <c r="B380" s="2">
        <v>2024</v>
      </c>
      <c r="C380" s="2">
        <f>COUNTIFS(Games[Team],Games[[#This Row],[Team]],Games[Season],Games[[#This Row],[Season]],Games[Date],"&lt;=" &amp; Games[[#This Row],[Date]])</f>
        <v>31</v>
      </c>
      <c r="D380" s="2" t="s">
        <v>79</v>
      </c>
      <c r="E380" s="2" t="s">
        <v>80</v>
      </c>
      <c r="F380" s="1" t="s">
        <v>74</v>
      </c>
      <c r="G380" s="1" t="s">
        <v>65</v>
      </c>
      <c r="H380" s="1" t="s">
        <v>81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1623.2423131518838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1408.4320539300668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0.67983298631535105</v>
      </c>
      <c r="R380" s="1">
        <v>96</v>
      </c>
      <c r="S380" s="1">
        <v>85</v>
      </c>
      <c r="T380" s="1">
        <v>0</v>
      </c>
      <c r="U380" s="1">
        <f>Games[[#This Row],[PointsFor]]-Games[[#This Row],[PointsAgainst]]</f>
        <v>11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0.37305579378500081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0" s="9">
        <f>MAX(kmin, kmax - 0.15 * MIN(Games[[#This Row],[GamesPlayed]], 82))</f>
        <v>71.349999999999994</v>
      </c>
      <c r="Z380" s="4">
        <f>Games[[#This Row],[K]]*Games[[#This Row],[POMult]]</f>
        <v>71.349999999999994</v>
      </c>
      <c r="AA380" s="4">
        <f>(Games[[#This Row],[Keff]]*Games[[#This Row],[MOVMult]])*(Games[[#This Row],[Result]]-Games[[#This Row],[ExpectedWin%]])</f>
        <v>8.52205537560876</v>
      </c>
      <c r="AB380" s="4">
        <f>Games[[#This Row],[PreGmRate]]+Games[[#This Row],[RatingChange]]</f>
        <v>1631.7643685274925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45535</v>
      </c>
      <c r="B381" s="2">
        <v>2024</v>
      </c>
      <c r="C381" s="2">
        <f>COUNTIFS(Games[Team],Games[[#This Row],[Team]],Games[Season],Games[[#This Row],[Season]],Games[Date],"&lt;=" &amp; Games[[#This Row],[Date]])</f>
        <v>32</v>
      </c>
      <c r="D381" s="2" t="s">
        <v>79</v>
      </c>
      <c r="E381" s="2" t="s">
        <v>80</v>
      </c>
      <c r="F381" s="1" t="s">
        <v>65</v>
      </c>
      <c r="G381" s="1" t="s">
        <v>74</v>
      </c>
      <c r="H381" s="1" t="s">
        <v>82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1408.4320539300668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1623.2423131518838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0.32016701368464895</v>
      </c>
      <c r="R381" s="1">
        <v>85</v>
      </c>
      <c r="S381" s="1">
        <v>96</v>
      </c>
      <c r="T381" s="1">
        <v>0</v>
      </c>
      <c r="U381" s="1">
        <f>Games[[#This Row],[PointsFor]]-Games[[#This Row],[PointsAgainst]]</f>
        <v>-11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0.37305579378500081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1" s="9">
        <f>MAX(kmin, kmax - 0.15 * MIN(Games[[#This Row],[GamesPlayed]], 82))</f>
        <v>71.2</v>
      </c>
      <c r="Z381" s="4">
        <f>Games[[#This Row],[K]]*Games[[#This Row],[POMult]]</f>
        <v>71.2</v>
      </c>
      <c r="AA381" s="4">
        <f>(Games[[#This Row],[Keff]]*Games[[#This Row],[MOVMult]])*(Games[[#This Row],[Result]]-Games[[#This Row],[ExpectedWin%]])</f>
        <v>-8.5041393516936754</v>
      </c>
      <c r="AB381" s="4">
        <f>Games[[#This Row],[PreGmRate]]+Games[[#This Row],[RatingChange]]</f>
        <v>1399.927914578373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45536</v>
      </c>
      <c r="B382" s="2">
        <v>2024</v>
      </c>
      <c r="C382" s="2">
        <f>COUNTIFS(Games[Team],Games[[#This Row],[Team]],Games[Season],Games[[#This Row],[Season]],Games[Date],"&lt;=" &amp; Games[[#This Row],[Date]])</f>
        <v>32</v>
      </c>
      <c r="D382" s="2" t="s">
        <v>79</v>
      </c>
      <c r="E382" s="2" t="s">
        <v>80</v>
      </c>
      <c r="F382" s="1" t="s">
        <v>71</v>
      </c>
      <c r="G382" s="1" t="s">
        <v>74</v>
      </c>
      <c r="H382" s="1" t="s">
        <v>81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2" s="2">
        <f>Games[[#This Row],[DaysOff]]-Games[[#This Row],[OppDaysOff]]</f>
        <v>1</v>
      </c>
      <c r="L382" s="2">
        <f>Games[[#This Row],[OppDaysOff]]-Games[[#This Row],[DaysOff]]</f>
        <v>-1</v>
      </c>
      <c r="M382" s="1">
        <f>MAX(-16, MIN(16, Games[[#This Row],[RestDiff]]*8))</f>
        <v>8</v>
      </c>
      <c r="N382" s="1">
        <f>MAX(-16, MIN(16, Games[[#This Row],[OppRestDiff]]*8))</f>
        <v>-8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1532.6596170188727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1631.7643685274925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0.27649148817493319</v>
      </c>
      <c r="R382" s="1">
        <v>86</v>
      </c>
      <c r="S382" s="1">
        <v>93</v>
      </c>
      <c r="T382" s="1">
        <v>0</v>
      </c>
      <c r="U382" s="1">
        <f>Games[[#This Row],[PointsFor]]-Games[[#This Row],[PointsAgainst]]</f>
        <v>-7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0.34187282162491356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-6.7301746754956717</v>
      </c>
      <c r="AB382" s="4">
        <f>Games[[#This Row],[PreGmRate]]+Games[[#This Row],[RatingChange]]</f>
        <v>1525.9294423433771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45536</v>
      </c>
      <c r="B383" s="2">
        <v>2024</v>
      </c>
      <c r="C383" s="2">
        <f>COUNTIFS(Games[Team],Games[[#This Row],[Team]],Games[Season],Games[[#This Row],[Season]],Games[Date],"&lt;=" &amp; Games[[#This Row],[Date]])</f>
        <v>32</v>
      </c>
      <c r="D383" s="2" t="s">
        <v>79</v>
      </c>
      <c r="E383" s="2" t="s">
        <v>80</v>
      </c>
      <c r="F383" s="1" t="s">
        <v>74</v>
      </c>
      <c r="G383" s="1" t="s">
        <v>71</v>
      </c>
      <c r="H383" s="1" t="s">
        <v>82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3" s="2">
        <f>Games[[#This Row],[DaysOff]]-Games[[#This Row],[OppDaysOff]]</f>
        <v>-1</v>
      </c>
      <c r="L383" s="2">
        <f>Games[[#This Row],[OppDaysOff]]-Games[[#This Row],[DaysOff]]</f>
        <v>1</v>
      </c>
      <c r="M383" s="1">
        <f>MAX(-16, MIN(16, Games[[#This Row],[RestDiff]]*8))</f>
        <v>-8</v>
      </c>
      <c r="N383" s="1">
        <f>MAX(-16, MIN(16, Games[[#This Row],[OppRestDiff]]*8))</f>
        <v>8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1631.7643685274925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1532.6596170188727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0.72350851182506681</v>
      </c>
      <c r="R383" s="1">
        <v>93</v>
      </c>
      <c r="S383" s="1">
        <v>86</v>
      </c>
      <c r="T383" s="1">
        <v>0</v>
      </c>
      <c r="U383" s="1">
        <f>Games[[#This Row],[PointsFor]]-Games[[#This Row],[PointsAgainst]]</f>
        <v>7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0.34187282162491356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6.7301746754956717</v>
      </c>
      <c r="AB383" s="4">
        <f>Games[[#This Row],[PreGmRate]]+Games[[#This Row],[RatingChange]]</f>
        <v>1638.4945432029881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45536</v>
      </c>
      <c r="B384" s="2">
        <v>2024</v>
      </c>
      <c r="C384" s="2">
        <f>COUNTIFS(Games[Team],Games[[#This Row],[Team]],Games[Season],Games[[#This Row],[Season]],Games[Date],"&lt;=" &amp; Games[[#This Row],[Date]])</f>
        <v>33</v>
      </c>
      <c r="D384" s="2" t="s">
        <v>79</v>
      </c>
      <c r="E384" s="2" t="s">
        <v>80</v>
      </c>
      <c r="F384" s="1" t="s">
        <v>69</v>
      </c>
      <c r="G384" s="1" t="s">
        <v>85</v>
      </c>
      <c r="H384" s="1" t="s">
        <v>81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">
        <f>MAX(-16, MIN(16, Games[[#This Row],[RestDiff]]*8))</f>
        <v>0</v>
      </c>
      <c r="N384" s="1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1514.7049558927674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1398.6117214125604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0.54605496289400346</v>
      </c>
      <c r="R384" s="1">
        <v>100</v>
      </c>
      <c r="S384" s="1">
        <v>93</v>
      </c>
      <c r="T384" s="1">
        <v>0</v>
      </c>
      <c r="U384" s="1">
        <f>Games[[#This Row],[PointsFor]]-Games[[#This Row],[PointsAgainst]]</f>
        <v>7</v>
      </c>
      <c r="V384" s="1">
        <f>IF(Games[[#This Row],[MOV]]&gt;0,1,IF(Games[[#This Row],[MOV]]=0,0.5,0))</f>
        <v>1</v>
      </c>
      <c r="W384" s="4">
        <f>((ABS(Games[[#This Row],[MOV]])+5)^0.6)/(12+0.01*(ABS(Games[[#This Row],[PreGmRate]]-Games[[#This Row],[OppPreGmRate]])))*IF(Games[[#This Row],[OT]]=1,0.9,1)</f>
        <v>0.3374598359363144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4" s="9">
        <f>MAX(kmin, kmax - 0.15 * MIN(Games[[#This Row],[GamesPlayed]], 82))</f>
        <v>71.05</v>
      </c>
      <c r="Z384" s="4">
        <f>Games[[#This Row],[K]]*Games[[#This Row],[POMult]]</f>
        <v>71.05</v>
      </c>
      <c r="AA384" s="4">
        <f>(Games[[#This Row],[Keff]]*Games[[#This Row],[MOVMult]])*(Games[[#This Row],[Result]]-Games[[#This Row],[ExpectedWin%]])</f>
        <v>10.884022870845751</v>
      </c>
      <c r="AB384" s="4">
        <f>Games[[#This Row],[PreGmRate]]+Games[[#This Row],[RatingChange]]</f>
        <v>1525.5889787636131</v>
      </c>
      <c r="AC384" s="2">
        <f>IF(Games[[#This Row],[Type]]="R",IF(Games[[#This Row],[Result]]&gt;0.5,1,0),0)</f>
        <v>1</v>
      </c>
      <c r="AD384" s="2">
        <f>IF(Games[[#This Row],[Type]]="R",IF(Games[[#This Row],[Result]]&lt;0.5,1,0),0)</f>
        <v>0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45536</v>
      </c>
      <c r="B385" s="2">
        <v>2024</v>
      </c>
      <c r="C385" s="2">
        <f>COUNTIFS(Games[Team],Games[[#This Row],[Team]],Games[Season],Games[[#This Row],[Season]],Games[Date],"&lt;=" &amp; Games[[#This Row],[Date]])</f>
        <v>32</v>
      </c>
      <c r="D385" s="2" t="s">
        <v>79</v>
      </c>
      <c r="E385" s="2" t="s">
        <v>80</v>
      </c>
      <c r="F385" s="1" t="s">
        <v>85</v>
      </c>
      <c r="G385" s="1" t="s">
        <v>69</v>
      </c>
      <c r="H385" s="1" t="s">
        <v>82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">
        <f>MAX(-16, MIN(16, Games[[#This Row],[RestDiff]]*8))</f>
        <v>0</v>
      </c>
      <c r="N385" s="1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1398.6117214125604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1514.7049558927674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0.45394503710599649</v>
      </c>
      <c r="R385" s="1">
        <v>93</v>
      </c>
      <c r="S385" s="1">
        <v>100</v>
      </c>
      <c r="T385" s="1">
        <v>0</v>
      </c>
      <c r="U385" s="1">
        <f>Games[[#This Row],[PointsFor]]-Games[[#This Row],[PointsAgainst]]</f>
        <v>-7</v>
      </c>
      <c r="V385" s="1">
        <f>IF(Games[[#This Row],[MOV]]&gt;0,1,IF(Games[[#This Row],[MOV]]=0,0.5,0))</f>
        <v>0</v>
      </c>
      <c r="W385" s="4">
        <f>((ABS(Games[[#This Row],[MOV]])+5)^0.6)/(12+0.01*(ABS(Games[[#This Row],[PreGmRate]]-Games[[#This Row],[OppPreGmRate]])))*IF(Games[[#This Row],[OT]]=1,0.9,1)</f>
        <v>0.3374598359363144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-10.907001103507634</v>
      </c>
      <c r="AB385" s="4">
        <f>Games[[#This Row],[PreGmRate]]+Games[[#This Row],[RatingChange]]</f>
        <v>1387.7047203090528</v>
      </c>
      <c r="AC385" s="2">
        <f>IF(Games[[#This Row],[Type]]="R",IF(Games[[#This Row],[Result]]&gt;0.5,1,0),0)</f>
        <v>0</v>
      </c>
      <c r="AD385" s="2">
        <f>IF(Games[[#This Row],[Type]]="R",IF(Games[[#This Row],[Result]]&lt;0.5,1,0),0)</f>
        <v>1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45536</v>
      </c>
      <c r="B386" s="2">
        <v>2024</v>
      </c>
      <c r="C386" s="2">
        <f>COUNTIFS(Games[Team],Games[[#This Row],[Team]],Games[Season],Games[[#This Row],[Season]],Games[Date],"&lt;=" &amp; Games[[#This Row],[Date]])</f>
        <v>32</v>
      </c>
      <c r="D386" s="2" t="s">
        <v>79</v>
      </c>
      <c r="E386" s="2" t="s">
        <v>80</v>
      </c>
      <c r="F386" s="1" t="s">
        <v>77</v>
      </c>
      <c r="G386" s="1" t="s">
        <v>63</v>
      </c>
      <c r="H386" s="1" t="s">
        <v>81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6" s="2">
        <f>Games[[#This Row],[DaysOff]]-Games[[#This Row],[OppDaysOff]]</f>
        <v>-2</v>
      </c>
      <c r="L386" s="2">
        <f>Games[[#This Row],[OppDaysOff]]-Games[[#This Row],[DaysOff]]</f>
        <v>2</v>
      </c>
      <c r="M386" s="1">
        <f>MAX(-16, MIN(16, Games[[#This Row],[RestDiff]]*8))</f>
        <v>-16</v>
      </c>
      <c r="N386" s="1">
        <f>MAX(-16, MIN(16, Games[[#This Row],[OppRestDiff]]*8))</f>
        <v>16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1384.3354851903325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1344.5135654820886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0.39209456670564397</v>
      </c>
      <c r="R386" s="1">
        <v>80</v>
      </c>
      <c r="S386" s="1">
        <v>62</v>
      </c>
      <c r="T386" s="1">
        <v>0</v>
      </c>
      <c r="U386" s="1">
        <f>Games[[#This Row],[PointsFor]]-Games[[#This Row],[PointsAgainst]]</f>
        <v>18</v>
      </c>
      <c r="V386" s="1">
        <f>IF(Games[[#This Row],[MOV]]&gt;0,1,IF(Games[[#This Row],[MOV]]=0,0.5,0))</f>
        <v>1</v>
      </c>
      <c r="W386" s="4">
        <f>((ABS(Games[[#This Row],[MOV]])+5)^0.6)/(12+0.01*(ABS(Games[[#This Row],[PreGmRate]]-Games[[#This Row],[OppPreGmRate]])))*IF(Games[[#This Row],[OT]]=1,0.9,1)</f>
        <v>0.52927013800982259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6" s="9">
        <f>MAX(kmin, kmax - 0.15 * MIN(Games[[#This Row],[GamesPlayed]], 82))</f>
        <v>71.2</v>
      </c>
      <c r="Z386" s="4">
        <f>Games[[#This Row],[K]]*Games[[#This Row],[POMult]]</f>
        <v>71.2</v>
      </c>
      <c r="AA386" s="4">
        <f>(Games[[#This Row],[Keff]]*Games[[#This Row],[MOVMult]])*(Games[[#This Row],[Result]]-Games[[#This Row],[ExpectedWin%]])</f>
        <v>22.908328911455691</v>
      </c>
      <c r="AB386" s="4">
        <f>Games[[#This Row],[PreGmRate]]+Games[[#This Row],[RatingChange]]</f>
        <v>1407.2438141017883</v>
      </c>
      <c r="AC386" s="2">
        <f>IF(Games[[#This Row],[Type]]="R",IF(Games[[#This Row],[Result]]&gt;0.5,1,0),0)</f>
        <v>1</v>
      </c>
      <c r="AD386" s="2">
        <f>IF(Games[[#This Row],[Type]]="R",IF(Games[[#This Row],[Result]]&lt;0.5,1,0),0)</f>
        <v>0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45536</v>
      </c>
      <c r="B387" s="2">
        <v>2024</v>
      </c>
      <c r="C387" s="2">
        <f>COUNTIFS(Games[Team],Games[[#This Row],[Team]],Games[Season],Games[[#This Row],[Season]],Games[Date],"&lt;=" &amp; Games[[#This Row],[Date]])</f>
        <v>32</v>
      </c>
      <c r="D387" s="2" t="s">
        <v>79</v>
      </c>
      <c r="E387" s="2" t="s">
        <v>80</v>
      </c>
      <c r="F387" s="1" t="s">
        <v>63</v>
      </c>
      <c r="G387" s="1" t="s">
        <v>77</v>
      </c>
      <c r="H387" s="1" t="s">
        <v>82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2</v>
      </c>
      <c r="L387" s="2">
        <f>Games[[#This Row],[OppDaysOff]]-Games[[#This Row],[DaysOff]]</f>
        <v>-2</v>
      </c>
      <c r="M387" s="1">
        <f>MAX(-16, MIN(16, Games[[#This Row],[RestDiff]]*8))</f>
        <v>16</v>
      </c>
      <c r="N387" s="1">
        <f>MAX(-16, MIN(16, Games[[#This Row],[OppRestDiff]]*8))</f>
        <v>-16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1344.5135654820886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1384.3354851903325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0.60790543329435609</v>
      </c>
      <c r="R387" s="1">
        <v>62</v>
      </c>
      <c r="S387" s="1">
        <v>80</v>
      </c>
      <c r="T387" s="1">
        <v>0</v>
      </c>
      <c r="U387" s="1">
        <f>Games[[#This Row],[PointsFor]]-Games[[#This Row],[PointsAgainst]]</f>
        <v>-18</v>
      </c>
      <c r="V387" s="1">
        <f>IF(Games[[#This Row],[MOV]]&gt;0,1,IF(Games[[#This Row],[MOV]]=0,0.5,0))</f>
        <v>0</v>
      </c>
      <c r="W387" s="4">
        <f>((ABS(Games[[#This Row],[MOV]])+5)^0.6)/(12+0.01*(ABS(Games[[#This Row],[PreGmRate]]-Games[[#This Row],[OppPreGmRate]])))*IF(Games[[#This Row],[OT]]=1,0.9,1)</f>
        <v>0.52927013800982259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7" s="9">
        <f>MAX(kmin, kmax - 0.15 * MIN(Games[[#This Row],[GamesPlayed]], 82))</f>
        <v>71.2</v>
      </c>
      <c r="Z387" s="4">
        <f>Games[[#This Row],[K]]*Games[[#This Row],[POMult]]</f>
        <v>71.2</v>
      </c>
      <c r="AA387" s="4">
        <f>(Games[[#This Row],[Keff]]*Games[[#This Row],[MOVMult]])*(Games[[#This Row],[Result]]-Games[[#This Row],[ExpectedWin%]])</f>
        <v>-22.908328911455691</v>
      </c>
      <c r="AB387" s="4">
        <f>Games[[#This Row],[PreGmRate]]+Games[[#This Row],[RatingChange]]</f>
        <v>1321.6052365706328</v>
      </c>
      <c r="AC387" s="2">
        <f>IF(Games[[#This Row],[Type]]="R",IF(Games[[#This Row],[Result]]&gt;0.5,1,0),0)</f>
        <v>0</v>
      </c>
      <c r="AD387" s="2">
        <f>IF(Games[[#This Row],[Type]]="R",IF(Games[[#This Row],[Result]]&lt;0.5,1,0),0)</f>
        <v>1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45536</v>
      </c>
      <c r="B388" s="2">
        <v>2024</v>
      </c>
      <c r="C388" s="2">
        <f>COUNTIFS(Games[Team],Games[[#This Row],[Team]],Games[Season],Games[[#This Row],[Season]],Games[Date],"&lt;=" &amp; Games[[#This Row],[Date]])</f>
        <v>32</v>
      </c>
      <c r="D388" s="2" t="s">
        <v>79</v>
      </c>
      <c r="E388" s="2" t="s">
        <v>80</v>
      </c>
      <c r="F388" s="1" t="s">
        <v>75</v>
      </c>
      <c r="G388" s="1" t="s">
        <v>67</v>
      </c>
      <c r="H388" s="1" t="s">
        <v>81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1402.3674972736424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1618.4932264372546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0.15088680627375373</v>
      </c>
      <c r="R388" s="1">
        <v>74</v>
      </c>
      <c r="S388" s="1">
        <v>79</v>
      </c>
      <c r="T388" s="1">
        <v>0</v>
      </c>
      <c r="U388" s="1">
        <f>Games[[#This Row],[PointsFor]]-Games[[#This Row],[PointsAgainst]]</f>
        <v>-5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0.28112417023072245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8" s="9">
        <f>MAX(kmin, kmax - 0.15 * MIN(Games[[#This Row],[GamesPlayed]], 82))</f>
        <v>71.2</v>
      </c>
      <c r="Z388" s="4">
        <f>Games[[#This Row],[K]]*Games[[#This Row],[POMult]]</f>
        <v>71.2</v>
      </c>
      <c r="AA388" s="4">
        <f>(Games[[#This Row],[Keff]]*Games[[#This Row],[MOVMult]])*(Games[[#This Row],[Result]]-Games[[#This Row],[ExpectedWin%]])</f>
        <v>-3.0201564887280621</v>
      </c>
      <c r="AB388" s="4">
        <f>Games[[#This Row],[PreGmRate]]+Games[[#This Row],[RatingChange]]</f>
        <v>1399.3473407849142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45536</v>
      </c>
      <c r="B389" s="2">
        <v>2024</v>
      </c>
      <c r="C389" s="2">
        <f>COUNTIFS(Games[Team],Games[[#This Row],[Team]],Games[Season],Games[[#This Row],[Season]],Games[Date],"&lt;=" &amp; Games[[#This Row],[Date]])</f>
        <v>34</v>
      </c>
      <c r="D389" s="2" t="s">
        <v>79</v>
      </c>
      <c r="E389" s="2" t="s">
        <v>80</v>
      </c>
      <c r="F389" s="1" t="s">
        <v>67</v>
      </c>
      <c r="G389" s="1" t="s">
        <v>75</v>
      </c>
      <c r="H389" s="1" t="s">
        <v>82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1618.4932264372546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1402.3674972736424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0.84911319372624616</v>
      </c>
      <c r="R389" s="1">
        <v>79</v>
      </c>
      <c r="S389" s="1">
        <v>74</v>
      </c>
      <c r="T389" s="1">
        <v>0</v>
      </c>
      <c r="U389" s="1">
        <f>Games[[#This Row],[PointsFor]]-Games[[#This Row],[PointsAgainst]]</f>
        <v>5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0.28112417023072245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9" s="9">
        <f>MAX(kmin, kmax - 0.15 * MIN(Games[[#This Row],[GamesPlayed]], 82))</f>
        <v>70.900000000000006</v>
      </c>
      <c r="Z389" s="4">
        <f>Games[[#This Row],[K]]*Games[[#This Row],[POMult]]</f>
        <v>70.900000000000006</v>
      </c>
      <c r="AA389" s="4">
        <f>(Games[[#This Row],[Keff]]*Games[[#This Row],[MOVMult]])*(Games[[#This Row],[Result]]-Games[[#This Row],[ExpectedWin%]])</f>
        <v>3.007431110264323</v>
      </c>
      <c r="AB389" s="4">
        <f>Games[[#This Row],[PreGmRate]]+Games[[#This Row],[RatingChange]]</f>
        <v>1621.500657547519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45536</v>
      </c>
      <c r="B390" s="2">
        <v>2024</v>
      </c>
      <c r="C390" s="2">
        <f>COUNTIFS(Games[Team],Games[[#This Row],[Team]],Games[Season],Games[[#This Row],[Season]],Games[Date],"&lt;=" &amp; Games[[#This Row],[Date]])</f>
        <v>32</v>
      </c>
      <c r="D390" s="2" t="s">
        <v>79</v>
      </c>
      <c r="E390" s="2" t="s">
        <v>80</v>
      </c>
      <c r="F390" s="1" t="s">
        <v>86</v>
      </c>
      <c r="G390" s="1" t="s">
        <v>40</v>
      </c>
      <c r="H390" s="1" t="s">
        <v>81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0" s="2">
        <f>Games[[#This Row],[DaysOff]]-Games[[#This Row],[OppDaysOff]]</f>
        <v>-2</v>
      </c>
      <c r="L390" s="2">
        <f>Games[[#This Row],[OppDaysOff]]-Games[[#This Row],[DaysOff]]</f>
        <v>2</v>
      </c>
      <c r="M390" s="1">
        <f>MAX(-16, MIN(16, Games[[#This Row],[RestDiff]]*8))</f>
        <v>-16</v>
      </c>
      <c r="N390" s="1">
        <f>MAX(-16, MIN(16, Games[[#This Row],[OppRestDiff]]*8))</f>
        <v>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1589.4076453969599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1469.8240040894527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0.50515709152209842</v>
      </c>
      <c r="R390" s="1">
        <v>97</v>
      </c>
      <c r="S390" s="1">
        <v>79</v>
      </c>
      <c r="T390" s="1">
        <v>0</v>
      </c>
      <c r="U390" s="1">
        <f>Games[[#This Row],[PointsFor]]-Games[[#This Row],[PointsAgainst]]</f>
        <v>18</v>
      </c>
      <c r="V390" s="1">
        <f>IF(Games[[#This Row],[MOV]]&gt;0,1,IF(Games[[#This Row],[MOV]]=0,0.5,0))</f>
        <v>1</v>
      </c>
      <c r="W390" s="4">
        <f>((ABS(Games[[#This Row],[MOV]])+5)^0.6)/(12+0.01*(ABS(Games[[#This Row],[PreGmRate]]-Games[[#This Row],[OppPreGmRate]])))*IF(Games[[#This Row],[OT]]=1,0.9,1)</f>
        <v>0.49727860971464466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0" s="9">
        <f>MAX(kmin, kmax - 0.15 * MIN(Games[[#This Row],[GamesPlayed]], 82))</f>
        <v>71.2</v>
      </c>
      <c r="Z390" s="4">
        <f>Games[[#This Row],[K]]*Games[[#This Row],[POMult]]</f>
        <v>71.2</v>
      </c>
      <c r="AA390" s="4">
        <f>(Games[[#This Row],[Keff]]*Games[[#This Row],[MOVMult]])*(Games[[#This Row],[Result]]-Games[[#This Row],[ExpectedWin%]])</f>
        <v>17.520525301118994</v>
      </c>
      <c r="AB390" s="4">
        <f>Games[[#This Row],[PreGmRate]]+Games[[#This Row],[RatingChange]]</f>
        <v>1606.9281706980789</v>
      </c>
      <c r="AC390" s="2">
        <f>IF(Games[[#This Row],[Type]]="R",IF(Games[[#This Row],[Result]]&gt;0.5,1,0),0)</f>
        <v>1</v>
      </c>
      <c r="AD390" s="2">
        <f>IF(Games[[#This Row],[Type]]="R",IF(Games[[#This Row],[Result]]&lt;0.5,1,0),0)</f>
        <v>0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45536</v>
      </c>
      <c r="B391" s="2">
        <v>2024</v>
      </c>
      <c r="C391" s="2">
        <f>COUNTIFS(Games[Team],Games[[#This Row],[Team]],Games[Season],Games[[#This Row],[Season]],Games[Date],"&lt;=" &amp; Games[[#This Row],[Date]])</f>
        <v>33</v>
      </c>
      <c r="D391" s="2" t="s">
        <v>79</v>
      </c>
      <c r="E391" s="2" t="s">
        <v>80</v>
      </c>
      <c r="F391" s="1" t="s">
        <v>40</v>
      </c>
      <c r="G391" s="1" t="s">
        <v>86</v>
      </c>
      <c r="H391" s="1" t="s">
        <v>82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1" s="2">
        <f>Games[[#This Row],[DaysOff]]-Games[[#This Row],[OppDaysOff]]</f>
        <v>2</v>
      </c>
      <c r="L391" s="2">
        <f>Games[[#This Row],[OppDaysOff]]-Games[[#This Row],[DaysOff]]</f>
        <v>-2</v>
      </c>
      <c r="M391" s="1">
        <f>MAX(-16, MIN(16, Games[[#This Row],[RestDiff]]*8))</f>
        <v>16</v>
      </c>
      <c r="N391" s="1">
        <f>MAX(-16, MIN(16, Games[[#This Row],[OppRestDiff]]*8))</f>
        <v>-16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1469.8240040894527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1589.4076453969599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0.49484290847790158</v>
      </c>
      <c r="R391" s="1">
        <v>79</v>
      </c>
      <c r="S391" s="1">
        <v>97</v>
      </c>
      <c r="T391" s="1">
        <v>0</v>
      </c>
      <c r="U391" s="1">
        <f>Games[[#This Row],[PointsFor]]-Games[[#This Row],[PointsAgainst]]</f>
        <v>-18</v>
      </c>
      <c r="V391" s="1">
        <f>IF(Games[[#This Row],[MOV]]&gt;0,1,IF(Games[[#This Row],[MOV]]=0,0.5,0))</f>
        <v>0</v>
      </c>
      <c r="W391" s="4">
        <f>((ABS(Games[[#This Row],[MOV]])+5)^0.6)/(12+0.01*(ABS(Games[[#This Row],[PreGmRate]]-Games[[#This Row],[OppPreGmRate]])))*IF(Games[[#This Row],[OT]]=1,0.9,1)</f>
        <v>0.49727860971464466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-17.483614082085737</v>
      </c>
      <c r="AB391" s="4">
        <f>Games[[#This Row],[PreGmRate]]+Games[[#This Row],[RatingChange]]</f>
        <v>1452.340390007367</v>
      </c>
      <c r="AC391" s="2">
        <f>IF(Games[[#This Row],[Type]]="R",IF(Games[[#This Row],[Result]]&gt;0.5,1,0),0)</f>
        <v>0</v>
      </c>
      <c r="AD391" s="2">
        <f>IF(Games[[#This Row],[Type]]="R",IF(Games[[#This Row],[Result]]&lt;0.5,1,0),0)</f>
        <v>1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45538</v>
      </c>
      <c r="B392" s="2">
        <v>2024</v>
      </c>
      <c r="C392" s="2">
        <f>COUNTIFS(Games[Team],Games[[#This Row],[Team]],Games[Season],Games[[#This Row],[Season]],Games[Date],"&lt;=" &amp; Games[[#This Row],[Date]])</f>
        <v>33</v>
      </c>
      <c r="D392" s="2" t="s">
        <v>79</v>
      </c>
      <c r="E392" s="2" t="s">
        <v>80</v>
      </c>
      <c r="F392" s="1" t="s">
        <v>71</v>
      </c>
      <c r="G392" s="1" t="s">
        <v>74</v>
      </c>
      <c r="H392" s="1" t="s">
        <v>81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2" s="2">
        <f>Games[[#This Row],[DaysOff]]-Games[[#This Row],[OppDaysOff]]</f>
        <v>0</v>
      </c>
      <c r="L392" s="2">
        <f>Games[[#This Row],[OppDaysOff]]-Games[[#This Row],[DaysOff]]</f>
        <v>0</v>
      </c>
      <c r="M392" s="1">
        <f>MAX(-16, MIN(16, Games[[#This Row],[RestDiff]]*8))</f>
        <v>0</v>
      </c>
      <c r="N392" s="1">
        <f>MAX(-16, MIN(16, Games[[#This Row],[OppRestDiff]]*8))</f>
        <v>0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1525.9294423433771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1638.4945432029881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0.24388075883512891</v>
      </c>
      <c r="R392" s="1">
        <v>71</v>
      </c>
      <c r="S392" s="1">
        <v>64</v>
      </c>
      <c r="T392" s="1">
        <v>0</v>
      </c>
      <c r="U392" s="1">
        <f>Games[[#This Row],[PointsFor]]-Games[[#This Row],[PointsAgainst]]</f>
        <v>7</v>
      </c>
      <c r="V392" s="1">
        <f>IF(Games[[#This Row],[MOV]]&gt;0,1,IF(Games[[#This Row],[MOV]]=0,0.5,0))</f>
        <v>1</v>
      </c>
      <c r="W392" s="4">
        <f>((ABS(Games[[#This Row],[MOV]])+5)^0.6)/(12+0.01*(ABS(Games[[#This Row],[PreGmRate]]-Games[[#This Row],[OppPreGmRate]])))*IF(Games[[#This Row],[OT]]=1,0.9,1)</f>
        <v>0.33836691733897245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18.177839597767157</v>
      </c>
      <c r="AB392" s="4">
        <f>Games[[#This Row],[PreGmRate]]+Games[[#This Row],[RatingChange]]</f>
        <v>1544.1072819411443</v>
      </c>
      <c r="AC392" s="2">
        <f>IF(Games[[#This Row],[Type]]="R",IF(Games[[#This Row],[Result]]&gt;0.5,1,0),0)</f>
        <v>1</v>
      </c>
      <c r="AD392" s="2">
        <f>IF(Games[[#This Row],[Type]]="R",IF(Games[[#This Row],[Result]]&lt;0.5,1,0),0)</f>
        <v>0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45538</v>
      </c>
      <c r="B393" s="2">
        <v>2024</v>
      </c>
      <c r="C393" s="2">
        <f>COUNTIFS(Games[Team],Games[[#This Row],[Team]],Games[Season],Games[[#This Row],[Season]],Games[Date],"&lt;=" &amp; Games[[#This Row],[Date]])</f>
        <v>33</v>
      </c>
      <c r="D393" s="2" t="s">
        <v>79</v>
      </c>
      <c r="E393" s="2" t="s">
        <v>80</v>
      </c>
      <c r="F393" s="1" t="s">
        <v>74</v>
      </c>
      <c r="G393" s="1" t="s">
        <v>71</v>
      </c>
      <c r="H393" s="1" t="s">
        <v>82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3" s="2">
        <f>Games[[#This Row],[DaysOff]]-Games[[#This Row],[OppDaysOff]]</f>
        <v>0</v>
      </c>
      <c r="L393" s="2">
        <f>Games[[#This Row],[OppDaysOff]]-Games[[#This Row],[DaysOff]]</f>
        <v>0</v>
      </c>
      <c r="M393" s="1">
        <f>MAX(-16, MIN(16, Games[[#This Row],[RestDiff]]*8))</f>
        <v>0</v>
      </c>
      <c r="N393" s="1">
        <f>MAX(-16, MIN(16, Games[[#This Row],[OppRestDiff]]*8))</f>
        <v>0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1638.4945432029881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1525.9294423433771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0.75611924116487106</v>
      </c>
      <c r="R393" s="1">
        <v>64</v>
      </c>
      <c r="S393" s="1">
        <v>71</v>
      </c>
      <c r="T393" s="1">
        <v>0</v>
      </c>
      <c r="U393" s="1">
        <f>Games[[#This Row],[PointsFor]]-Games[[#This Row],[PointsAgainst]]</f>
        <v>-7</v>
      </c>
      <c r="V393" s="1">
        <f>IF(Games[[#This Row],[MOV]]&gt;0,1,IF(Games[[#This Row],[MOV]]=0,0.5,0))</f>
        <v>0</v>
      </c>
      <c r="W393" s="4">
        <f>((ABS(Games[[#This Row],[MOV]])+5)^0.6)/(12+0.01*(ABS(Games[[#This Row],[PreGmRate]]-Games[[#This Row],[OppPreGmRate]])))*IF(Games[[#This Row],[OT]]=1,0.9,1)</f>
        <v>0.33836691733897245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-18.177839597767157</v>
      </c>
      <c r="AB393" s="4">
        <f>Games[[#This Row],[PreGmRate]]+Games[[#This Row],[RatingChange]]</f>
        <v>1620.3167036052209</v>
      </c>
      <c r="AC393" s="2">
        <f>IF(Games[[#This Row],[Type]]="R",IF(Games[[#This Row],[Result]]&gt;0.5,1,0),0)</f>
        <v>0</v>
      </c>
      <c r="AD393" s="2">
        <f>IF(Games[[#This Row],[Type]]="R",IF(Games[[#This Row],[Result]]&lt;0.5,1,0),0)</f>
        <v>1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45538</v>
      </c>
      <c r="B394" s="2">
        <v>2024</v>
      </c>
      <c r="C394" s="2">
        <f>COUNTIFS(Games[Team],Games[[#This Row],[Team]],Games[Season],Games[[#This Row],[Season]],Games[Date],"&lt;=" &amp; Games[[#This Row],[Date]])</f>
        <v>33</v>
      </c>
      <c r="D394" s="2" t="s">
        <v>79</v>
      </c>
      <c r="E394" s="2" t="s">
        <v>80</v>
      </c>
      <c r="F394" s="1" t="s">
        <v>65</v>
      </c>
      <c r="G394" s="1" t="s">
        <v>85</v>
      </c>
      <c r="H394" s="1" t="s">
        <v>81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1</v>
      </c>
      <c r="L394" s="2">
        <f>Games[[#This Row],[OppDaysOff]]-Games[[#This Row],[DaysOff]]</f>
        <v>-1</v>
      </c>
      <c r="M394" s="1">
        <f>MAX(-16, MIN(16, Games[[#This Row],[RestDiff]]*8))</f>
        <v>8</v>
      </c>
      <c r="N394" s="1">
        <f>MAX(-16, MIN(16, Games[[#This Row],[OppRestDiff]]*8))</f>
        <v>-8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1399.927914578373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1387.7047203090528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0.42041327191959837</v>
      </c>
      <c r="R394" s="1">
        <v>90</v>
      </c>
      <c r="S394" s="1">
        <v>86</v>
      </c>
      <c r="T394" s="1">
        <v>0</v>
      </c>
      <c r="U394" s="1">
        <f>Games[[#This Row],[PointsFor]]-Games[[#This Row],[PointsAgainst]]</f>
        <v>4</v>
      </c>
      <c r="V394" s="1">
        <f>IF(Games[[#This Row],[MOV]]&gt;0,1,IF(Games[[#This Row],[MOV]]=0,0.5,0))</f>
        <v>1</v>
      </c>
      <c r="W394" s="4">
        <f>((ABS(Games[[#This Row],[MOV]])+5)^0.6)/(12+0.01*(ABS(Games[[#This Row],[PreGmRate]]-Games[[#This Row],[OppPreGmRate]])))*IF(Games[[#This Row],[OT]]=1,0.9,1)</f>
        <v>0.30829246928402348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12.695371984233205</v>
      </c>
      <c r="AB394" s="4">
        <f>Games[[#This Row],[PreGmRate]]+Games[[#This Row],[RatingChange]]</f>
        <v>1412.6232865626062</v>
      </c>
      <c r="AC394" s="2">
        <f>IF(Games[[#This Row],[Type]]="R",IF(Games[[#This Row],[Result]]&gt;0.5,1,0),0)</f>
        <v>1</v>
      </c>
      <c r="AD394" s="2">
        <f>IF(Games[[#This Row],[Type]]="R",IF(Games[[#This Row],[Result]]&lt;0.5,1,0),0)</f>
        <v>0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45538</v>
      </c>
      <c r="B395" s="2">
        <v>2024</v>
      </c>
      <c r="C395" s="2">
        <f>COUNTIFS(Games[Team],Games[[#This Row],[Team]],Games[Season],Games[[#This Row],[Season]],Games[Date],"&lt;=" &amp; Games[[#This Row],[Date]])</f>
        <v>33</v>
      </c>
      <c r="D395" s="2" t="s">
        <v>79</v>
      </c>
      <c r="E395" s="2" t="s">
        <v>80</v>
      </c>
      <c r="F395" s="1" t="s">
        <v>85</v>
      </c>
      <c r="G395" s="1" t="s">
        <v>65</v>
      </c>
      <c r="H395" s="1" t="s">
        <v>82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-1</v>
      </c>
      <c r="L395" s="2">
        <f>Games[[#This Row],[OppDaysOff]]-Games[[#This Row],[DaysOff]]</f>
        <v>1</v>
      </c>
      <c r="M395" s="1">
        <f>MAX(-16, MIN(16, Games[[#This Row],[RestDiff]]*8))</f>
        <v>-8</v>
      </c>
      <c r="N395" s="1">
        <f>MAX(-16, MIN(16, Games[[#This Row],[OppRestDiff]]*8))</f>
        <v>8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1387.7047203090528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1399.927914578373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0.57958672808040168</v>
      </c>
      <c r="R395" s="1">
        <v>86</v>
      </c>
      <c r="S395" s="1">
        <v>90</v>
      </c>
      <c r="T395" s="1">
        <v>0</v>
      </c>
      <c r="U395" s="1">
        <f>Games[[#This Row],[PointsFor]]-Games[[#This Row],[PointsAgainst]]</f>
        <v>-4</v>
      </c>
      <c r="V395" s="1">
        <f>IF(Games[[#This Row],[MOV]]&gt;0,1,IF(Games[[#This Row],[MOV]]=0,0.5,0))</f>
        <v>0</v>
      </c>
      <c r="W395" s="4">
        <f>((ABS(Games[[#This Row],[MOV]])+5)^0.6)/(12+0.01*(ABS(Games[[#This Row],[PreGmRate]]-Games[[#This Row],[OppPreGmRate]])))*IF(Games[[#This Row],[OT]]=1,0.9,1)</f>
        <v>0.30829246928402348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-12.695371984233205</v>
      </c>
      <c r="AB395" s="4">
        <f>Games[[#This Row],[PreGmRate]]+Games[[#This Row],[RatingChange]]</f>
        <v>1375.0093483248197</v>
      </c>
      <c r="AC395" s="2">
        <f>IF(Games[[#This Row],[Type]]="R",IF(Games[[#This Row],[Result]]&gt;0.5,1,0),0)</f>
        <v>0</v>
      </c>
      <c r="AD395" s="2">
        <f>IF(Games[[#This Row],[Type]]="R",IF(Games[[#This Row],[Result]]&lt;0.5,1,0),0)</f>
        <v>1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45538</v>
      </c>
      <c r="B396" s="2">
        <v>2024</v>
      </c>
      <c r="C396" s="2">
        <f>COUNTIFS(Games[Team],Games[[#This Row],[Team]],Games[Season],Games[[#This Row],[Season]],Games[Date],"&lt;=" &amp; Games[[#This Row],[Date]])</f>
        <v>33</v>
      </c>
      <c r="D396" s="2" t="s">
        <v>79</v>
      </c>
      <c r="E396" s="2" t="s">
        <v>80</v>
      </c>
      <c r="F396" s="1" t="s">
        <v>75</v>
      </c>
      <c r="G396" s="1" t="s">
        <v>86</v>
      </c>
      <c r="H396" s="1" t="s">
        <v>81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6" s="2">
        <f>Games[[#This Row],[DaysOff]]-Games[[#This Row],[OppDaysOff]]</f>
        <v>0</v>
      </c>
      <c r="L396" s="2">
        <f>Games[[#This Row],[OppDaysOff]]-Games[[#This Row],[DaysOff]]</f>
        <v>0</v>
      </c>
      <c r="M396" s="1">
        <f>MAX(-16, MIN(16, Games[[#This Row],[RestDiff]]*8))</f>
        <v>0</v>
      </c>
      <c r="N396" s="1">
        <f>MAX(-16, MIN(16, Games[[#This Row],[OppRestDiff]]*8))</f>
        <v>0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1399.3473407849142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1606.9281706980789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0.15729761821076213</v>
      </c>
      <c r="R396" s="1">
        <v>71</v>
      </c>
      <c r="S396" s="1">
        <v>90</v>
      </c>
      <c r="T396" s="1">
        <v>0</v>
      </c>
      <c r="U396" s="1">
        <f>Games[[#This Row],[PointsFor]]-Games[[#This Row],[PointsAgainst]]</f>
        <v>-19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0.47824826323419628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6" s="9">
        <f>MAX(kmin, kmax - 0.15 * MIN(Games[[#This Row],[GamesPlayed]], 82))</f>
        <v>71.05</v>
      </c>
      <c r="Z396" s="4">
        <f>Games[[#This Row],[K]]*Games[[#This Row],[POMult]]</f>
        <v>71.05</v>
      </c>
      <c r="AA396" s="4">
        <f>(Games[[#This Row],[Keff]]*Games[[#This Row],[MOVMult]])*(Games[[#This Row],[Result]]-Games[[#This Row],[ExpectedWin%]])</f>
        <v>-5.344900568768268</v>
      </c>
      <c r="AB396" s="4">
        <f>Games[[#This Row],[PreGmRate]]+Games[[#This Row],[RatingChange]]</f>
        <v>1394.0024402161459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45538</v>
      </c>
      <c r="B397" s="2">
        <v>2024</v>
      </c>
      <c r="C397" s="2">
        <f>COUNTIFS(Games[Team],Games[[#This Row],[Team]],Games[Season],Games[[#This Row],[Season]],Games[Date],"&lt;=" &amp; Games[[#This Row],[Date]])</f>
        <v>33</v>
      </c>
      <c r="D397" s="2" t="s">
        <v>79</v>
      </c>
      <c r="E397" s="2" t="s">
        <v>80</v>
      </c>
      <c r="F397" s="1" t="s">
        <v>86</v>
      </c>
      <c r="G397" s="1" t="s">
        <v>75</v>
      </c>
      <c r="H397" s="1" t="s">
        <v>82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0</v>
      </c>
      <c r="L397" s="2">
        <f>Games[[#This Row],[OppDaysOff]]-Games[[#This Row],[DaysOff]]</f>
        <v>0</v>
      </c>
      <c r="M397" s="1">
        <f>MAX(-16, MIN(16, Games[[#This Row],[RestDiff]]*8))</f>
        <v>0</v>
      </c>
      <c r="N397" s="1">
        <f>MAX(-16, MIN(16, Games[[#This Row],[OppRestDiff]]*8))</f>
        <v>0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1606.9281706980789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1399.3473407849142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0.84270238178923784</v>
      </c>
      <c r="R397" s="1">
        <v>90</v>
      </c>
      <c r="S397" s="1">
        <v>71</v>
      </c>
      <c r="T397" s="1">
        <v>0</v>
      </c>
      <c r="U397" s="1">
        <f>Games[[#This Row],[PointsFor]]-Games[[#This Row],[PointsAgainst]]</f>
        <v>19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0.47824826323419628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7" s="9">
        <f>MAX(kmin, kmax - 0.15 * MIN(Games[[#This Row],[GamesPlayed]], 82))</f>
        <v>71.05</v>
      </c>
      <c r="Z397" s="4">
        <f>Games[[#This Row],[K]]*Games[[#This Row],[POMult]]</f>
        <v>71.05</v>
      </c>
      <c r="AA397" s="4">
        <f>(Games[[#This Row],[Keff]]*Games[[#This Row],[MOVMult]])*(Games[[#This Row],[Result]]-Games[[#This Row],[ExpectedWin%]])</f>
        <v>5.3449005687682689</v>
      </c>
      <c r="AB397" s="4">
        <f>Games[[#This Row],[PreGmRate]]+Games[[#This Row],[RatingChange]]</f>
        <v>1612.2730712668472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45538</v>
      </c>
      <c r="B398" s="2">
        <v>2024</v>
      </c>
      <c r="C398" s="2">
        <f>COUNTIFS(Games[Team],Games[[#This Row],[Team]],Games[Season],Games[[#This Row],[Season]],Games[Date],"&lt;=" &amp; Games[[#This Row],[Date]])</f>
        <v>33</v>
      </c>
      <c r="D398" s="2" t="s">
        <v>79</v>
      </c>
      <c r="E398" s="2" t="s">
        <v>80</v>
      </c>
      <c r="F398" s="1" t="s">
        <v>77</v>
      </c>
      <c r="G398" s="1" t="s">
        <v>40</v>
      </c>
      <c r="H398" s="1" t="s">
        <v>81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1407.2438141017883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1452.340390007367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0.32231797540974899</v>
      </c>
      <c r="R398" s="1">
        <v>66</v>
      </c>
      <c r="S398" s="1">
        <v>74</v>
      </c>
      <c r="T398" s="1">
        <v>0</v>
      </c>
      <c r="U398" s="1">
        <f>Games[[#This Row],[PointsFor]]-Games[[#This Row],[PointsAgainst]]</f>
        <v>-8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0.3742510027101254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8" s="9">
        <f>MAX(kmin, kmax - 0.15 * MIN(Games[[#This Row],[GamesPlayed]], 82))</f>
        <v>71.05</v>
      </c>
      <c r="Z398" s="4">
        <f>Games[[#This Row],[K]]*Games[[#This Row],[POMult]]</f>
        <v>71.05</v>
      </c>
      <c r="AA398" s="4">
        <f>(Games[[#This Row],[Keff]]*Games[[#This Row],[MOVMult]])*(Games[[#This Row],[Result]]-Games[[#This Row],[ExpectedWin%]])</f>
        <v>-8.5706070009647526</v>
      </c>
      <c r="AB398" s="4">
        <f>Games[[#This Row],[PreGmRate]]+Games[[#This Row],[RatingChange]]</f>
        <v>1398.6732071008234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45538</v>
      </c>
      <c r="B399" s="2">
        <v>2024</v>
      </c>
      <c r="C399" s="2">
        <f>COUNTIFS(Games[Team],Games[[#This Row],[Team]],Games[Season],Games[[#This Row],[Season]],Games[Date],"&lt;=" &amp; Games[[#This Row],[Date]])</f>
        <v>34</v>
      </c>
      <c r="D399" s="2" t="s">
        <v>79</v>
      </c>
      <c r="E399" s="2" t="s">
        <v>80</v>
      </c>
      <c r="F399" s="1" t="s">
        <v>40</v>
      </c>
      <c r="G399" s="1" t="s">
        <v>77</v>
      </c>
      <c r="H399" s="1" t="s">
        <v>82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1452.340390007367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1407.2438141017883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0.67768202459025106</v>
      </c>
      <c r="R399" s="1">
        <v>74</v>
      </c>
      <c r="S399" s="1">
        <v>66</v>
      </c>
      <c r="T399" s="1">
        <v>0</v>
      </c>
      <c r="U399" s="1">
        <f>Games[[#This Row],[PointsFor]]-Games[[#This Row],[PointsAgainst]]</f>
        <v>8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0.3742510027101254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9" s="9">
        <f>MAX(kmin, kmax - 0.15 * MIN(Games[[#This Row],[GamesPlayed]], 82))</f>
        <v>70.900000000000006</v>
      </c>
      <c r="Z399" s="4">
        <f>Games[[#This Row],[K]]*Games[[#This Row],[POMult]]</f>
        <v>70.900000000000006</v>
      </c>
      <c r="AA399" s="4">
        <f>(Games[[#This Row],[Keff]]*Games[[#This Row],[MOVMult]])*(Games[[#This Row],[Result]]-Games[[#This Row],[ExpectedWin%]])</f>
        <v>8.552512827141463</v>
      </c>
      <c r="AB399" s="4">
        <f>Games[[#This Row],[PreGmRate]]+Games[[#This Row],[RatingChange]]</f>
        <v>1460.8929028345085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45539</v>
      </c>
      <c r="B400" s="2">
        <v>2024</v>
      </c>
      <c r="C400" s="2">
        <f>COUNTIFS(Games[Team],Games[[#This Row],[Team]],Games[Season],Games[[#This Row],[Season]],Games[Date],"&lt;=" &amp; Games[[#This Row],[Date]])</f>
        <v>33</v>
      </c>
      <c r="D400" s="2" t="s">
        <v>79</v>
      </c>
      <c r="E400" s="2" t="s">
        <v>80</v>
      </c>
      <c r="F400" s="1" t="s">
        <v>63</v>
      </c>
      <c r="G400" s="1" t="s">
        <v>69</v>
      </c>
      <c r="H400" s="1" t="s">
        <v>81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1321.6052365706328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1525.5889787636131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0.16006188705771904</v>
      </c>
      <c r="R400" s="1">
        <v>86</v>
      </c>
      <c r="S400" s="1">
        <v>93</v>
      </c>
      <c r="T400" s="1">
        <v>0</v>
      </c>
      <c r="U400" s="1">
        <f>Games[[#This Row],[PointsFor]]-Games[[#This Row],[PointsAgainst]]</f>
        <v>-7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0.3163345796945401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0" s="9">
        <f>MAX(kmin, kmax - 0.15 * MIN(Games[[#This Row],[GamesPlayed]], 82))</f>
        <v>71.05</v>
      </c>
      <c r="Z400" s="4">
        <f>Games[[#This Row],[K]]*Games[[#This Row],[POMult]]</f>
        <v>71.05</v>
      </c>
      <c r="AA400" s="4">
        <f>(Games[[#This Row],[Keff]]*Games[[#This Row],[MOVMult]])*(Games[[#This Row],[Result]]-Games[[#This Row],[ExpectedWin%]])</f>
        <v>-3.5974824489821891</v>
      </c>
      <c r="AB400" s="4">
        <f>Games[[#This Row],[PreGmRate]]+Games[[#This Row],[RatingChange]]</f>
        <v>1318.0077541216506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45539</v>
      </c>
      <c r="B401" s="2">
        <v>2024</v>
      </c>
      <c r="C401" s="2">
        <f>COUNTIFS(Games[Team],Games[[#This Row],[Team]],Games[Season],Games[[#This Row],[Season]],Games[Date],"&lt;=" &amp; Games[[#This Row],[Date]])</f>
        <v>34</v>
      </c>
      <c r="D401" s="2" t="s">
        <v>79</v>
      </c>
      <c r="E401" s="2" t="s">
        <v>80</v>
      </c>
      <c r="F401" s="1" t="s">
        <v>69</v>
      </c>
      <c r="G401" s="1" t="s">
        <v>63</v>
      </c>
      <c r="H401" s="1" t="s">
        <v>82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1525.5889787636131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1321.6052365706328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0.83993811294228082</v>
      </c>
      <c r="R401" s="1">
        <v>93</v>
      </c>
      <c r="S401" s="1">
        <v>86</v>
      </c>
      <c r="T401" s="1">
        <v>0</v>
      </c>
      <c r="U401" s="1">
        <f>Games[[#This Row],[PointsFor]]-Games[[#This Row],[PointsAgainst]]</f>
        <v>7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0.3163345796945401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3.589887482517065</v>
      </c>
      <c r="AB401" s="4">
        <f>Games[[#This Row],[PreGmRate]]+Games[[#This Row],[RatingChange]]</f>
        <v>1529.1788662461302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45540</v>
      </c>
      <c r="B402" s="2">
        <v>2024</v>
      </c>
      <c r="C402" s="2">
        <f>COUNTIFS(Games[Team],Games[[#This Row],[Team]],Games[Season],Games[[#This Row],[Season]],Games[Date],"&lt;=" &amp; Games[[#This Row],[Date]])</f>
        <v>34</v>
      </c>
      <c r="D402" s="2" t="s">
        <v>79</v>
      </c>
      <c r="E402" s="2" t="s">
        <v>80</v>
      </c>
      <c r="F402" s="1" t="s">
        <v>71</v>
      </c>
      <c r="G402" s="1" t="s">
        <v>60</v>
      </c>
      <c r="H402" s="1" t="s">
        <v>81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02" s="2">
        <f>Games[[#This Row],[DaysOff]]-Games[[#This Row],[OppDaysOff]]</f>
        <v>-4</v>
      </c>
      <c r="L402" s="2">
        <f>Games[[#This Row],[OppDaysOff]]-Games[[#This Row],[DaysOff]]</f>
        <v>4</v>
      </c>
      <c r="M402" s="1">
        <f>MAX(-16, MIN(16, Games[[#This Row],[RestDiff]]*8))</f>
        <v>-16</v>
      </c>
      <c r="N402" s="1">
        <f>MAX(-16, MIN(16, Games[[#This Row],[OppRestDiff]]*8))</f>
        <v>16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1544.1072819411443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1712.4833423969164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0.16287366009244156</v>
      </c>
      <c r="R402" s="1">
        <v>70</v>
      </c>
      <c r="S402" s="1">
        <v>77</v>
      </c>
      <c r="T402" s="1">
        <v>0</v>
      </c>
      <c r="U402" s="1">
        <f>Games[[#This Row],[PointsFor]]-Games[[#This Row],[PointsAgainst]]</f>
        <v>-7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0.32456619186735536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-3.7480068080696585</v>
      </c>
      <c r="AB402" s="4">
        <f>Games[[#This Row],[PreGmRate]]+Games[[#This Row],[RatingChange]]</f>
        <v>1540.3592751330746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45540</v>
      </c>
      <c r="B403" s="2">
        <v>2024</v>
      </c>
      <c r="C403" s="2">
        <f>COUNTIFS(Games[Team],Games[[#This Row],[Team]],Games[Season],Games[[#This Row],[Season]],Games[Date],"&lt;=" &amp; Games[[#This Row],[Date]])</f>
        <v>35</v>
      </c>
      <c r="D403" s="2" t="s">
        <v>79</v>
      </c>
      <c r="E403" s="2" t="s">
        <v>80</v>
      </c>
      <c r="F403" s="1" t="s">
        <v>60</v>
      </c>
      <c r="G403" s="1" t="s">
        <v>71</v>
      </c>
      <c r="H403" s="1" t="s">
        <v>82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5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4</v>
      </c>
      <c r="L403" s="2">
        <f>Games[[#This Row],[OppDaysOff]]-Games[[#This Row],[DaysOff]]</f>
        <v>-4</v>
      </c>
      <c r="M403" s="1">
        <f>MAX(-16, MIN(16, Games[[#This Row],[RestDiff]]*8))</f>
        <v>16</v>
      </c>
      <c r="N403" s="1">
        <f>MAX(-16, MIN(16, Games[[#This Row],[OppRestDiff]]*8))</f>
        <v>-16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1712.4833423969164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1544.1072819411443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0.83712633990755847</v>
      </c>
      <c r="R403" s="1">
        <v>77</v>
      </c>
      <c r="S403" s="1">
        <v>70</v>
      </c>
      <c r="T403" s="1">
        <v>0</v>
      </c>
      <c r="U403" s="1">
        <f>Games[[#This Row],[PointsFor]]-Games[[#This Row],[PointsAgainst]]</f>
        <v>7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0.32456619186735536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3" s="9">
        <f>MAX(kmin, kmax - 0.15 * MIN(Games[[#This Row],[GamesPlayed]], 82))</f>
        <v>70.75</v>
      </c>
      <c r="Z403" s="4">
        <f>Games[[#This Row],[K]]*Games[[#This Row],[POMult]]</f>
        <v>70.75</v>
      </c>
      <c r="AA403" s="4">
        <f>(Games[[#This Row],[Keff]]*Games[[#This Row],[MOVMult]])*(Games[[#This Row],[Result]]-Games[[#This Row],[ExpectedWin%]])</f>
        <v>3.7400773155279023</v>
      </c>
      <c r="AB403" s="4">
        <f>Games[[#This Row],[PreGmRate]]+Games[[#This Row],[RatingChange]]</f>
        <v>1716.2234197124444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45540</v>
      </c>
      <c r="B404" s="2">
        <v>2024</v>
      </c>
      <c r="C404" s="2">
        <f>COUNTIFS(Games[Team],Games[[#This Row],[Team]],Games[Season],Games[[#This Row],[Season]],Games[Date],"&lt;=" &amp; Games[[#This Row],[Date]])</f>
        <v>34</v>
      </c>
      <c r="D404" s="2" t="s">
        <v>79</v>
      </c>
      <c r="E404" s="2" t="s">
        <v>80</v>
      </c>
      <c r="F404" s="1" t="s">
        <v>65</v>
      </c>
      <c r="G404" s="1" t="s">
        <v>40</v>
      </c>
      <c r="H404" s="1" t="s">
        <v>81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">
        <f>MAX(-16, MIN(16, Games[[#This Row],[RestDiff]]*8))</f>
        <v>0</v>
      </c>
      <c r="N404" s="1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1412.6232865626062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1460.8929028345085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0.3183412779337228</v>
      </c>
      <c r="R404" s="1">
        <v>90</v>
      </c>
      <c r="S404" s="1">
        <v>77</v>
      </c>
      <c r="T404" s="1">
        <v>0</v>
      </c>
      <c r="U404" s="1">
        <f>Games[[#This Row],[PointsFor]]-Games[[#This Row],[PointsAgainst]]</f>
        <v>13</v>
      </c>
      <c r="V404" s="1">
        <f>IF(Games[[#This Row],[MOV]]&gt;0,1,IF(Games[[#This Row],[MOV]]=0,0.5,0))</f>
        <v>1</v>
      </c>
      <c r="W404" s="4">
        <f>((ABS(Games[[#This Row],[MOV]])+5)^0.6)/(12+0.01*(ABS(Games[[#This Row],[PreGmRate]]-Games[[#This Row],[OppPreGmRate]])))*IF(Games[[#This Row],[OT]]=1,0.9,1)</f>
        <v>0.45379019035063534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21.931499923960441</v>
      </c>
      <c r="AB404" s="4">
        <f>Games[[#This Row],[PreGmRate]]+Games[[#This Row],[RatingChange]]</f>
        <v>1434.5547864865666</v>
      </c>
      <c r="AC404" s="2">
        <f>IF(Games[[#This Row],[Type]]="R",IF(Games[[#This Row],[Result]]&gt;0.5,1,0),0)</f>
        <v>1</v>
      </c>
      <c r="AD404" s="2">
        <f>IF(Games[[#This Row],[Type]]="R",IF(Games[[#This Row],[Result]]&lt;0.5,1,0),0)</f>
        <v>0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45540</v>
      </c>
      <c r="B405" s="2">
        <v>2024</v>
      </c>
      <c r="C405" s="2">
        <f>COUNTIFS(Games[Team],Games[[#This Row],[Team]],Games[Season],Games[[#This Row],[Season]],Games[Date],"&lt;=" &amp; Games[[#This Row],[Date]])</f>
        <v>35</v>
      </c>
      <c r="D405" s="2" t="s">
        <v>79</v>
      </c>
      <c r="E405" s="2" t="s">
        <v>80</v>
      </c>
      <c r="F405" s="1" t="s">
        <v>40</v>
      </c>
      <c r="G405" s="1" t="s">
        <v>65</v>
      </c>
      <c r="H405" s="1" t="s">
        <v>82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">
        <f>MAX(-16, MIN(16, Games[[#This Row],[RestDiff]]*8))</f>
        <v>0</v>
      </c>
      <c r="N405" s="1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1460.8929028345085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1412.6232865626062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0.68165872206627709</v>
      </c>
      <c r="R405" s="1">
        <v>77</v>
      </c>
      <c r="S405" s="1">
        <v>90</v>
      </c>
      <c r="T405" s="1">
        <v>0</v>
      </c>
      <c r="U405" s="1">
        <f>Games[[#This Row],[PointsFor]]-Games[[#This Row],[PointsAgainst]]</f>
        <v>-13</v>
      </c>
      <c r="V405" s="1">
        <f>IF(Games[[#This Row],[MOV]]&gt;0,1,IF(Games[[#This Row],[MOV]]=0,0.5,0))</f>
        <v>0</v>
      </c>
      <c r="W405" s="4">
        <f>((ABS(Games[[#This Row],[MOV]])+5)^0.6)/(12+0.01*(ABS(Games[[#This Row],[PreGmRate]]-Games[[#This Row],[OppPreGmRate]])))*IF(Games[[#This Row],[OT]]=1,0.9,1)</f>
        <v>0.45379019035063534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5" s="9">
        <f>MAX(kmin, kmax - 0.15 * MIN(Games[[#This Row],[GamesPlayed]], 82))</f>
        <v>70.75</v>
      </c>
      <c r="Z405" s="4">
        <f>Games[[#This Row],[K]]*Games[[#This Row],[POMult]]</f>
        <v>70.75</v>
      </c>
      <c r="AA405" s="4">
        <f>(Games[[#This Row],[Keff]]*Games[[#This Row],[MOVMult]])*(Games[[#This Row],[Result]]-Games[[#This Row],[ExpectedWin%]])</f>
        <v>-21.885100417774339</v>
      </c>
      <c r="AB405" s="4">
        <f>Games[[#This Row],[PreGmRate]]+Games[[#This Row],[RatingChange]]</f>
        <v>1439.0078024167342</v>
      </c>
      <c r="AC405" s="2">
        <f>IF(Games[[#This Row],[Type]]="R",IF(Games[[#This Row],[Result]]&gt;0.5,1,0),0)</f>
        <v>0</v>
      </c>
      <c r="AD405" s="2">
        <f>IF(Games[[#This Row],[Type]]="R",IF(Games[[#This Row],[Result]]&lt;0.5,1,0),0)</f>
        <v>1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45541</v>
      </c>
      <c r="B406" s="2">
        <v>2024</v>
      </c>
      <c r="C406" s="2">
        <f>COUNTIFS(Games[Team],Games[[#This Row],[Team]],Games[Season],Games[[#This Row],[Season]],Games[Date],"&lt;=" &amp; Games[[#This Row],[Date]])</f>
        <v>34</v>
      </c>
      <c r="D406" s="2" t="s">
        <v>79</v>
      </c>
      <c r="E406" s="2" t="s">
        <v>80</v>
      </c>
      <c r="F406" s="1" t="s">
        <v>85</v>
      </c>
      <c r="G406" s="1" t="s">
        <v>77</v>
      </c>
      <c r="H406" s="1" t="s">
        <v>81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1375.0093483248197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1398.6732071008234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0.34983535741480065</v>
      </c>
      <c r="R406" s="1">
        <v>96</v>
      </c>
      <c r="S406" s="1">
        <v>107</v>
      </c>
      <c r="T406" s="1">
        <v>1</v>
      </c>
      <c r="U406" s="1">
        <f>Games[[#This Row],[PointsFor]]-Games[[#This Row],[PointsAgainst]]</f>
        <v>-11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0.38819717071107568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-9.6285813037854595</v>
      </c>
      <c r="AB406" s="4">
        <f>Games[[#This Row],[PreGmRate]]+Games[[#This Row],[RatingChange]]</f>
        <v>1365.3807670210342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45541</v>
      </c>
      <c r="B407" s="2">
        <v>2024</v>
      </c>
      <c r="C407" s="2">
        <f>COUNTIFS(Games[Team],Games[[#This Row],[Team]],Games[Season],Games[[#This Row],[Season]],Games[Date],"&lt;=" &amp; Games[[#This Row],[Date]])</f>
        <v>34</v>
      </c>
      <c r="D407" s="2" t="s">
        <v>79</v>
      </c>
      <c r="E407" s="2" t="s">
        <v>80</v>
      </c>
      <c r="F407" s="1" t="s">
        <v>77</v>
      </c>
      <c r="G407" s="1" t="s">
        <v>85</v>
      </c>
      <c r="H407" s="1" t="s">
        <v>82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1398.6732071008234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1375.0093483248197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0.65016464258519935</v>
      </c>
      <c r="R407" s="1">
        <v>107</v>
      </c>
      <c r="S407" s="1">
        <v>96</v>
      </c>
      <c r="T407" s="1">
        <v>1</v>
      </c>
      <c r="U407" s="1">
        <f>Games[[#This Row],[PointsFor]]-Games[[#This Row],[PointsAgainst]]</f>
        <v>11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0.38819717071107568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9.6285813037854595</v>
      </c>
      <c r="AB407" s="4">
        <f>Games[[#This Row],[PreGmRate]]+Games[[#This Row],[RatingChange]]</f>
        <v>1408.3017884046089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45541</v>
      </c>
      <c r="B408" s="2">
        <v>2024</v>
      </c>
      <c r="C408" s="2">
        <f>COUNTIFS(Games[Team],Games[[#This Row],[Team]],Games[Season],Games[[#This Row],[Season]],Games[Date],"&lt;=" &amp; Games[[#This Row],[Date]])</f>
        <v>34</v>
      </c>
      <c r="D408" s="2" t="s">
        <v>79</v>
      </c>
      <c r="E408" s="2" t="s">
        <v>80</v>
      </c>
      <c r="F408" s="1" t="s">
        <v>63</v>
      </c>
      <c r="G408" s="1" t="s">
        <v>75</v>
      </c>
      <c r="H408" s="1" t="s">
        <v>81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8" s="2">
        <f>Games[[#This Row],[DaysOff]]-Games[[#This Row],[OppDaysOff]]</f>
        <v>-1</v>
      </c>
      <c r="L408" s="2">
        <f>Games[[#This Row],[OppDaysOff]]-Games[[#This Row],[DaysOff]]</f>
        <v>1</v>
      </c>
      <c r="M408" s="1">
        <f>MAX(-16, MIN(16, Games[[#This Row],[RestDiff]]*8))</f>
        <v>-8</v>
      </c>
      <c r="N408" s="1">
        <f>MAX(-16, MIN(16, Games[[#This Row],[OppRestDiff]]*8))</f>
        <v>8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1318.0077541216506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1394.0024402161459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0.26637227524574258</v>
      </c>
      <c r="R408" s="1">
        <v>78</v>
      </c>
      <c r="S408" s="1">
        <v>92</v>
      </c>
      <c r="T408" s="1">
        <v>0</v>
      </c>
      <c r="U408" s="1">
        <f>Games[[#This Row],[PointsFor]]-Games[[#This Row],[PointsAgainst]]</f>
        <v>-14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0.45856752431458714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-8.6604119437088123</v>
      </c>
      <c r="AB408" s="4">
        <f>Games[[#This Row],[PreGmRate]]+Games[[#This Row],[RatingChange]]</f>
        <v>1309.3473421779418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45541</v>
      </c>
      <c r="B409" s="2">
        <v>2024</v>
      </c>
      <c r="C409" s="2">
        <f>COUNTIFS(Games[Team],Games[[#This Row],[Team]],Games[Season],Games[[#This Row],[Season]],Games[Date],"&lt;=" &amp; Games[[#This Row],[Date]])</f>
        <v>34</v>
      </c>
      <c r="D409" s="2" t="s">
        <v>79</v>
      </c>
      <c r="E409" s="2" t="s">
        <v>80</v>
      </c>
      <c r="F409" s="1" t="s">
        <v>75</v>
      </c>
      <c r="G409" s="1" t="s">
        <v>63</v>
      </c>
      <c r="H409" s="1" t="s">
        <v>82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1</v>
      </c>
      <c r="L409" s="2">
        <f>Games[[#This Row],[OppDaysOff]]-Games[[#This Row],[DaysOff]]</f>
        <v>-1</v>
      </c>
      <c r="M409" s="1">
        <f>MAX(-16, MIN(16, Games[[#This Row],[RestDiff]]*8))</f>
        <v>8</v>
      </c>
      <c r="N409" s="1">
        <f>MAX(-16, MIN(16, Games[[#This Row],[OppRestDiff]]*8))</f>
        <v>-8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1394.0024402161459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1318.0077541216506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0.73362772475425753</v>
      </c>
      <c r="R409" s="1">
        <v>92</v>
      </c>
      <c r="S409" s="1">
        <v>78</v>
      </c>
      <c r="T409" s="1">
        <v>0</v>
      </c>
      <c r="U409" s="1">
        <f>Games[[#This Row],[PointsFor]]-Games[[#This Row],[PointsAgainst]]</f>
        <v>14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0.45856752431458714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8.6604119437088087</v>
      </c>
      <c r="AB409" s="4">
        <f>Games[[#This Row],[PreGmRate]]+Games[[#This Row],[RatingChange]]</f>
        <v>1402.6628521598548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45541</v>
      </c>
      <c r="B410" s="2">
        <v>2024</v>
      </c>
      <c r="C410" s="2">
        <f>COUNTIFS(Games[Team],Games[[#This Row],[Team]],Games[Season],Games[[#This Row],[Season]],Games[Date],"&lt;=" &amp; Games[[#This Row],[Date]])</f>
        <v>34</v>
      </c>
      <c r="D410" s="2" t="s">
        <v>79</v>
      </c>
      <c r="E410" s="2" t="s">
        <v>80</v>
      </c>
      <c r="F410" s="1" t="s">
        <v>86</v>
      </c>
      <c r="G410" s="1" t="s">
        <v>74</v>
      </c>
      <c r="H410" s="1" t="s">
        <v>81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1612.2730712668472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1620.3167036052209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0.37055286760608958</v>
      </c>
      <c r="R410" s="1">
        <v>72</v>
      </c>
      <c r="S410" s="1">
        <v>67</v>
      </c>
      <c r="T410" s="1">
        <v>0</v>
      </c>
      <c r="U410" s="1">
        <f>Games[[#This Row],[PointsFor]]-Games[[#This Row],[PointsAgainst]]</f>
        <v>5</v>
      </c>
      <c r="V410" s="1">
        <f>IF(Games[[#This Row],[MOV]]&gt;0,1,IF(Games[[#This Row],[MOV]]=0,0.5,0))</f>
        <v>1</v>
      </c>
      <c r="W410" s="4">
        <f>((ABS(Games[[#This Row],[MOV]])+5)^0.6)/(12+0.01*(ABS(Games[[#This Row],[PreGmRate]]-Games[[#This Row],[OppPreGmRate]])))*IF(Games[[#This Row],[OT]]=1,0.9,1)</f>
        <v>0.32954701295258115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0" s="9">
        <f>MAX(kmin, kmax - 0.15 * MIN(Games[[#This Row],[GamesPlayed]], 82))</f>
        <v>70.900000000000006</v>
      </c>
      <c r="Z410" s="4">
        <f>Games[[#This Row],[K]]*Games[[#This Row],[POMult]]</f>
        <v>70.900000000000006</v>
      </c>
      <c r="AA410" s="4">
        <f>(Games[[#This Row],[Keff]]*Games[[#This Row],[MOVMult]])*(Games[[#This Row],[Result]]-Games[[#This Row],[ExpectedWin%]])</f>
        <v>14.706958740501456</v>
      </c>
      <c r="AB410" s="4">
        <f>Games[[#This Row],[PreGmRate]]+Games[[#This Row],[RatingChange]]</f>
        <v>1626.9800300073487</v>
      </c>
      <c r="AC410" s="2">
        <f>IF(Games[[#This Row],[Type]]="R",IF(Games[[#This Row],[Result]]&gt;0.5,1,0),0)</f>
        <v>1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45541</v>
      </c>
      <c r="B411" s="2">
        <v>2024</v>
      </c>
      <c r="C411" s="2">
        <f>COUNTIFS(Games[Team],Games[[#This Row],[Team]],Games[Season],Games[[#This Row],[Season]],Games[Date],"&lt;=" &amp; Games[[#This Row],[Date]])</f>
        <v>34</v>
      </c>
      <c r="D411" s="2" t="s">
        <v>79</v>
      </c>
      <c r="E411" s="2" t="s">
        <v>80</v>
      </c>
      <c r="F411" s="1" t="s">
        <v>74</v>
      </c>
      <c r="G411" s="1" t="s">
        <v>86</v>
      </c>
      <c r="H411" s="1" t="s">
        <v>82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1620.3167036052209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1612.2730712668472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0.62944713239391037</v>
      </c>
      <c r="R411" s="1">
        <v>67</v>
      </c>
      <c r="S411" s="1">
        <v>72</v>
      </c>
      <c r="T411" s="1">
        <v>0</v>
      </c>
      <c r="U411" s="1">
        <f>Games[[#This Row],[PointsFor]]-Games[[#This Row],[PointsAgainst]]</f>
        <v>-5</v>
      </c>
      <c r="V411" s="1">
        <f>IF(Games[[#This Row],[MOV]]&gt;0,1,IF(Games[[#This Row],[MOV]]=0,0.5,0))</f>
        <v>0</v>
      </c>
      <c r="W411" s="4">
        <f>((ABS(Games[[#This Row],[MOV]])+5)^0.6)/(12+0.01*(ABS(Games[[#This Row],[PreGmRate]]-Games[[#This Row],[OppPreGmRate]])))*IF(Games[[#This Row],[OT]]=1,0.9,1)</f>
        <v>0.32954701295258115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1" s="9">
        <f>MAX(kmin, kmax - 0.15 * MIN(Games[[#This Row],[GamesPlayed]], 82))</f>
        <v>70.900000000000006</v>
      </c>
      <c r="Z411" s="4">
        <f>Games[[#This Row],[K]]*Games[[#This Row],[POMult]]</f>
        <v>70.900000000000006</v>
      </c>
      <c r="AA411" s="4">
        <f>(Games[[#This Row],[Keff]]*Games[[#This Row],[MOVMult]])*(Games[[#This Row],[Result]]-Games[[#This Row],[ExpectedWin%]])</f>
        <v>-14.706958740501456</v>
      </c>
      <c r="AB411" s="4">
        <f>Games[[#This Row],[PreGmRate]]+Games[[#This Row],[RatingChange]]</f>
        <v>1605.6097448647195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1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45541</v>
      </c>
      <c r="B412" s="2">
        <v>2024</v>
      </c>
      <c r="C412" s="2">
        <f>COUNTIFS(Games[Team],Games[[#This Row],[Team]],Games[Season],Games[[#This Row],[Season]],Games[Date],"&lt;=" &amp; Games[[#This Row],[Date]])</f>
        <v>35</v>
      </c>
      <c r="D412" s="2" t="s">
        <v>79</v>
      </c>
      <c r="E412" s="2" t="s">
        <v>80</v>
      </c>
      <c r="F412" s="1" t="s">
        <v>67</v>
      </c>
      <c r="G412" s="1" t="s">
        <v>69</v>
      </c>
      <c r="H412" s="1" t="s">
        <v>81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2" s="2">
        <f>Games[[#This Row],[DaysOff]]-Games[[#This Row],[OppDaysOff]]</f>
        <v>3</v>
      </c>
      <c r="L412" s="2">
        <f>Games[[#This Row],[OppDaysOff]]-Games[[#This Row],[DaysOff]]</f>
        <v>-3</v>
      </c>
      <c r="M412" s="1">
        <f>MAX(-16, MIN(16, Games[[#This Row],[RestDiff]]*8))</f>
        <v>16</v>
      </c>
      <c r="N412" s="1">
        <f>MAX(-16, MIN(16, Games[[#This Row],[OppRestDiff]]*8))</f>
        <v>-16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1621.500657547519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1529.1788662461302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0.55776859565832104</v>
      </c>
      <c r="R412" s="1">
        <v>99</v>
      </c>
      <c r="S412" s="1">
        <v>88</v>
      </c>
      <c r="T412" s="1">
        <v>0</v>
      </c>
      <c r="U412" s="1">
        <f>Games[[#This Row],[PointsFor]]-Games[[#This Row],[PointsAgainst]]</f>
        <v>11</v>
      </c>
      <c r="V412" s="1">
        <f>IF(Games[[#This Row],[MOV]]&gt;0,1,IF(Games[[#This Row],[MOV]]=0,0.5,0))</f>
        <v>1</v>
      </c>
      <c r="W412" s="4">
        <f>((ABS(Games[[#This Row],[MOV]])+5)^0.6)/(12+0.01*(ABS(Games[[#This Row],[PreGmRate]]-Games[[#This Row],[OppPreGmRate]])))*IF(Games[[#This Row],[OT]]=1,0.9,1)</f>
        <v>0.40841465946159689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2" s="9">
        <f>MAX(kmin, kmax - 0.15 * MIN(Games[[#This Row],[GamesPlayed]], 82))</f>
        <v>70.75</v>
      </c>
      <c r="Z412" s="4">
        <f>Games[[#This Row],[K]]*Games[[#This Row],[POMult]]</f>
        <v>70.75</v>
      </c>
      <c r="AA412" s="4">
        <f>(Games[[#This Row],[Keff]]*Games[[#This Row],[MOVMult]])*(Games[[#This Row],[Result]]-Games[[#This Row],[ExpectedWin%]])</f>
        <v>12.778425529825714</v>
      </c>
      <c r="AB412" s="4">
        <f>Games[[#This Row],[PreGmRate]]+Games[[#This Row],[RatingChange]]</f>
        <v>1634.2790830773447</v>
      </c>
      <c r="AC412" s="2">
        <f>IF(Games[[#This Row],[Type]]="R",IF(Games[[#This Row],[Result]]&gt;0.5,1,0),0)</f>
        <v>1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45541</v>
      </c>
      <c r="B413" s="2">
        <v>2024</v>
      </c>
      <c r="C413" s="2">
        <f>COUNTIFS(Games[Team],Games[[#This Row],[Team]],Games[Season],Games[[#This Row],[Season]],Games[Date],"&lt;=" &amp; Games[[#This Row],[Date]])</f>
        <v>35</v>
      </c>
      <c r="D413" s="2" t="s">
        <v>79</v>
      </c>
      <c r="E413" s="2" t="s">
        <v>80</v>
      </c>
      <c r="F413" s="1" t="s">
        <v>69</v>
      </c>
      <c r="G413" s="1" t="s">
        <v>67</v>
      </c>
      <c r="H413" s="1" t="s">
        <v>82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3" s="2">
        <f>Games[[#This Row],[DaysOff]]-Games[[#This Row],[OppDaysOff]]</f>
        <v>-3</v>
      </c>
      <c r="L413" s="2">
        <f>Games[[#This Row],[OppDaysOff]]-Games[[#This Row],[DaysOff]]</f>
        <v>3</v>
      </c>
      <c r="M413" s="1">
        <f>MAX(-16, MIN(16, Games[[#This Row],[RestDiff]]*8))</f>
        <v>-16</v>
      </c>
      <c r="N413" s="1">
        <f>MAX(-16, MIN(16, Games[[#This Row],[OppRestDiff]]*8))</f>
        <v>16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1529.1788662461302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1621.500657547519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0.4422314043416789</v>
      </c>
      <c r="R413" s="1">
        <v>88</v>
      </c>
      <c r="S413" s="1">
        <v>99</v>
      </c>
      <c r="T413" s="1">
        <v>0</v>
      </c>
      <c r="U413" s="1">
        <f>Games[[#This Row],[PointsFor]]-Games[[#This Row],[PointsAgainst]]</f>
        <v>-11</v>
      </c>
      <c r="V413" s="1">
        <f>IF(Games[[#This Row],[MOV]]&gt;0,1,IF(Games[[#This Row],[MOV]]=0,0.5,0))</f>
        <v>0</v>
      </c>
      <c r="W413" s="4">
        <f>((ABS(Games[[#This Row],[MOV]])+5)^0.6)/(12+0.01*(ABS(Games[[#This Row],[PreGmRate]]-Games[[#This Row],[OppPreGmRate]])))*IF(Games[[#This Row],[OT]]=1,0.9,1)</f>
        <v>0.40841465946159689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3" s="9">
        <f>MAX(kmin, kmax - 0.15 * MIN(Games[[#This Row],[GamesPlayed]], 82))</f>
        <v>70.75</v>
      </c>
      <c r="Z413" s="4">
        <f>Games[[#This Row],[K]]*Games[[#This Row],[POMult]]</f>
        <v>70.75</v>
      </c>
      <c r="AA413" s="4">
        <f>(Games[[#This Row],[Keff]]*Games[[#This Row],[MOVMult]])*(Games[[#This Row],[Result]]-Games[[#This Row],[ExpectedWin%]])</f>
        <v>-12.778425529825713</v>
      </c>
      <c r="AB413" s="4">
        <f>Games[[#This Row],[PreGmRate]]+Games[[#This Row],[RatingChange]]</f>
        <v>1516.4004407163045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1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45542</v>
      </c>
      <c r="B414" s="2">
        <v>2024</v>
      </c>
      <c r="C414" s="2">
        <f>COUNTIFS(Games[Team],Games[[#This Row],[Team]],Games[Season],Games[[#This Row],[Season]],Games[Date],"&lt;=" &amp; Games[[#This Row],[Date]])</f>
        <v>36</v>
      </c>
      <c r="D414" s="2" t="s">
        <v>79</v>
      </c>
      <c r="E414" s="2" t="s">
        <v>80</v>
      </c>
      <c r="F414" s="1" t="s">
        <v>40</v>
      </c>
      <c r="G414" s="1" t="s">
        <v>71</v>
      </c>
      <c r="H414" s="1" t="s">
        <v>81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">
        <f>MAX(-16, MIN(16, Games[[#This Row],[RestDiff]]*8))</f>
        <v>0</v>
      </c>
      <c r="N414" s="1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1439.0078024167342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1540.3592751330746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0.25597995327428807</v>
      </c>
      <c r="R414" s="1">
        <v>66</v>
      </c>
      <c r="S414" s="1">
        <v>90</v>
      </c>
      <c r="T414" s="1">
        <v>0</v>
      </c>
      <c r="U414" s="1">
        <f>Games[[#This Row],[PointsFor]]-Games[[#This Row],[PointsAgainst]]</f>
        <v>-24</v>
      </c>
      <c r="V414" s="1">
        <f>IF(Games[[#This Row],[MOV]]&gt;0,1,IF(Games[[#This Row],[MOV]]=0,0.5,0))</f>
        <v>0</v>
      </c>
      <c r="W414" s="4">
        <f>((ABS(Games[[#This Row],[MOV]])+5)^0.6)/(12+0.01*(ABS(Games[[#This Row],[PreGmRate]]-Games[[#This Row],[OppPreGmRate]])))*IF(Games[[#This Row],[OT]]=1,0.9,1)</f>
        <v>0.57948765813718128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4" s="9">
        <f>MAX(kmin, kmax - 0.15 * MIN(Games[[#This Row],[GamesPlayed]], 82))</f>
        <v>70.599999999999994</v>
      </c>
      <c r="Z414" s="4">
        <f>Games[[#This Row],[K]]*Games[[#This Row],[POMult]]</f>
        <v>70.599999999999994</v>
      </c>
      <c r="AA414" s="4">
        <f>(Games[[#This Row],[Keff]]*Games[[#This Row],[MOVMult]])*(Games[[#This Row],[Result]]-Games[[#This Row],[ExpectedWin%]])</f>
        <v>-10.472607989900547</v>
      </c>
      <c r="AB414" s="4">
        <f>Games[[#This Row],[PreGmRate]]+Games[[#This Row],[RatingChange]]</f>
        <v>1428.5351944268336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1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45542</v>
      </c>
      <c r="B415" s="2">
        <v>2024</v>
      </c>
      <c r="C415" s="2">
        <f>COUNTIFS(Games[Team],Games[[#This Row],[Team]],Games[Season],Games[[#This Row],[Season]],Games[Date],"&lt;=" &amp; Games[[#This Row],[Date]])</f>
        <v>35</v>
      </c>
      <c r="D415" s="2" t="s">
        <v>79</v>
      </c>
      <c r="E415" s="2" t="s">
        <v>80</v>
      </c>
      <c r="F415" s="1" t="s">
        <v>71</v>
      </c>
      <c r="G415" s="1" t="s">
        <v>40</v>
      </c>
      <c r="H415" s="1" t="s">
        <v>82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">
        <f>MAX(-16, MIN(16, Games[[#This Row],[RestDiff]]*8))</f>
        <v>0</v>
      </c>
      <c r="N415" s="1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1540.3592751330746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1439.0078024167342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0.74402004672571198</v>
      </c>
      <c r="R415" s="1">
        <v>90</v>
      </c>
      <c r="S415" s="1">
        <v>66</v>
      </c>
      <c r="T415" s="1">
        <v>0</v>
      </c>
      <c r="U415" s="1">
        <f>Games[[#This Row],[PointsFor]]-Games[[#This Row],[PointsAgainst]]</f>
        <v>24</v>
      </c>
      <c r="V415" s="1">
        <f>IF(Games[[#This Row],[MOV]]&gt;0,1,IF(Games[[#This Row],[MOV]]=0,0.5,0))</f>
        <v>1</v>
      </c>
      <c r="W415" s="4">
        <f>((ABS(Games[[#This Row],[MOV]])+5)^0.6)/(12+0.01*(ABS(Games[[#This Row],[PreGmRate]]-Games[[#This Row],[OppPreGmRate]])))*IF(Games[[#This Row],[OT]]=1,0.9,1)</f>
        <v>0.57948765813718128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5" s="9">
        <f>MAX(kmin, kmax - 0.15 * MIN(Games[[#This Row],[GamesPlayed]], 82))</f>
        <v>70.75</v>
      </c>
      <c r="Z415" s="4">
        <f>Games[[#This Row],[K]]*Games[[#This Row],[POMult]]</f>
        <v>70.75</v>
      </c>
      <c r="AA415" s="4">
        <f>(Games[[#This Row],[Keff]]*Games[[#This Row],[MOVMult]])*(Games[[#This Row],[Result]]-Games[[#This Row],[ExpectedWin%]])</f>
        <v>10.494858573448493</v>
      </c>
      <c r="AB415" s="4">
        <f>Games[[#This Row],[PreGmRate]]+Games[[#This Row],[RatingChange]]</f>
        <v>1550.854133706523</v>
      </c>
      <c r="AC415" s="2">
        <f>IF(Games[[#This Row],[Type]]="R",IF(Games[[#This Row],[Result]]&gt;0.5,1,0),0)</f>
        <v>1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45543</v>
      </c>
      <c r="B416" s="2">
        <v>2024</v>
      </c>
      <c r="C416" s="2">
        <f>COUNTIFS(Games[Team],Games[[#This Row],[Team]],Games[Season],Games[[#This Row],[Season]],Games[Date],"&lt;=" &amp; Games[[#This Row],[Date]])</f>
        <v>35</v>
      </c>
      <c r="D416" s="2" t="s">
        <v>79</v>
      </c>
      <c r="E416" s="2" t="s">
        <v>80</v>
      </c>
      <c r="F416" s="1" t="s">
        <v>85</v>
      </c>
      <c r="G416" s="1" t="s">
        <v>75</v>
      </c>
      <c r="H416" s="1" t="s">
        <v>81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6" s="2">
        <f>Games[[#This Row],[DaysOff]]-Games[[#This Row],[OppDaysOff]]</f>
        <v>0</v>
      </c>
      <c r="L416" s="2">
        <f>Games[[#This Row],[OppDaysOff]]-Games[[#This Row],[DaysOff]]</f>
        <v>0</v>
      </c>
      <c r="M416" s="1">
        <f>MAX(-16, MIN(16, Games[[#This Row],[RestDiff]]*8))</f>
        <v>0</v>
      </c>
      <c r="N416" s="1">
        <f>MAX(-16, MIN(16, Games[[#This Row],[OppRestDiff]]*8))</f>
        <v>0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1365.3807670210342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1402.6628521598548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0.33222123674583465</v>
      </c>
      <c r="R416" s="1">
        <v>77</v>
      </c>
      <c r="S416" s="1">
        <v>92</v>
      </c>
      <c r="T416" s="1">
        <v>0</v>
      </c>
      <c r="U416" s="1">
        <f>Games[[#This Row],[PointsFor]]-Games[[#This Row],[PointsAgainst]]</f>
        <v>-15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0.48769608879192167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6" s="9">
        <f>MAX(kmin, kmax - 0.15 * MIN(Games[[#This Row],[GamesPlayed]], 82))</f>
        <v>70.75</v>
      </c>
      <c r="Z416" s="4">
        <f>Games[[#This Row],[K]]*Games[[#This Row],[POMult]]</f>
        <v>70.75</v>
      </c>
      <c r="AA416" s="4">
        <f>(Games[[#This Row],[Keff]]*Games[[#This Row],[MOVMult]])*(Games[[#This Row],[Result]]-Games[[#This Row],[ExpectedWin%]])</f>
        <v>-11.463127092550021</v>
      </c>
      <c r="AB416" s="4">
        <f>Games[[#This Row],[PreGmRate]]+Games[[#This Row],[RatingChange]]</f>
        <v>1353.9176399284843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1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45543</v>
      </c>
      <c r="B417" s="2">
        <v>2024</v>
      </c>
      <c r="C417" s="2">
        <f>COUNTIFS(Games[Team],Games[[#This Row],[Team]],Games[Season],Games[[#This Row],[Season]],Games[Date],"&lt;=" &amp; Games[[#This Row],[Date]])</f>
        <v>35</v>
      </c>
      <c r="D417" s="2" t="s">
        <v>79</v>
      </c>
      <c r="E417" s="2" t="s">
        <v>80</v>
      </c>
      <c r="F417" s="1" t="s">
        <v>75</v>
      </c>
      <c r="G417" s="1" t="s">
        <v>85</v>
      </c>
      <c r="H417" s="1" t="s">
        <v>82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7" s="2">
        <f>Games[[#This Row],[DaysOff]]-Games[[#This Row],[OppDaysOff]]</f>
        <v>0</v>
      </c>
      <c r="L417" s="2">
        <f>Games[[#This Row],[OppDaysOff]]-Games[[#This Row],[DaysOff]]</f>
        <v>0</v>
      </c>
      <c r="M417" s="1">
        <f>MAX(-16, MIN(16, Games[[#This Row],[RestDiff]]*8))</f>
        <v>0</v>
      </c>
      <c r="N417" s="1">
        <f>MAX(-16, MIN(16, Games[[#This Row],[OppRestDiff]]*8))</f>
        <v>0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1402.6628521598548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1365.3807670210342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0.66777876325416541</v>
      </c>
      <c r="R417" s="1">
        <v>92</v>
      </c>
      <c r="S417" s="1">
        <v>77</v>
      </c>
      <c r="T417" s="1">
        <v>0</v>
      </c>
      <c r="U417" s="1">
        <f>Games[[#This Row],[PointsFor]]-Games[[#This Row],[PointsAgainst]]</f>
        <v>15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0.48769608879192167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7" s="9">
        <f>MAX(kmin, kmax - 0.15 * MIN(Games[[#This Row],[GamesPlayed]], 82))</f>
        <v>70.75</v>
      </c>
      <c r="Z417" s="4">
        <f>Games[[#This Row],[K]]*Games[[#This Row],[POMult]]</f>
        <v>70.75</v>
      </c>
      <c r="AA417" s="4">
        <f>(Games[[#This Row],[Keff]]*Games[[#This Row],[MOVMult]])*(Games[[#This Row],[Result]]-Games[[#This Row],[ExpectedWin%]])</f>
        <v>11.463127092550019</v>
      </c>
      <c r="AB417" s="4">
        <f>Games[[#This Row],[PreGmRate]]+Games[[#This Row],[RatingChange]]</f>
        <v>1414.1259792524047</v>
      </c>
      <c r="AC417" s="2">
        <f>IF(Games[[#This Row],[Type]]="R",IF(Games[[#This Row],[Result]]&gt;0.5,1,0),0)</f>
        <v>1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45543</v>
      </c>
      <c r="B418" s="2">
        <v>2024</v>
      </c>
      <c r="C418" s="2">
        <f>COUNTIFS(Games[Team],Games[[#This Row],[Team]],Games[Season],Games[[#This Row],[Season]],Games[Date],"&lt;=" &amp; Games[[#This Row],[Date]])</f>
        <v>35</v>
      </c>
      <c r="D418" s="2" t="s">
        <v>79</v>
      </c>
      <c r="E418" s="2" t="s">
        <v>80</v>
      </c>
      <c r="F418" s="1" t="s">
        <v>77</v>
      </c>
      <c r="G418" s="1" t="s">
        <v>69</v>
      </c>
      <c r="H418" s="1" t="s">
        <v>81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">
        <f>MAX(-16, MIN(16, Games[[#This Row],[RestDiff]]*8))</f>
        <v>0</v>
      </c>
      <c r="N418" s="1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1408.3017884046089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1516.4004407163045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0.24865309573237257</v>
      </c>
      <c r="R418" s="1">
        <v>100</v>
      </c>
      <c r="S418" s="1">
        <v>104</v>
      </c>
      <c r="T418" s="1">
        <v>1</v>
      </c>
      <c r="U418" s="1">
        <f>Games[[#This Row],[PointsFor]]-Games[[#This Row],[PointsAgainst]]</f>
        <v>-4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0.25712690178358533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8" s="9">
        <f>MAX(kmin, kmax - 0.15 * MIN(Games[[#This Row],[GamesPlayed]], 82))</f>
        <v>70.75</v>
      </c>
      <c r="Z418" s="4">
        <f>Games[[#This Row],[K]]*Games[[#This Row],[POMult]]</f>
        <v>70.75</v>
      </c>
      <c r="AA418" s="4">
        <f>(Games[[#This Row],[Keff]]*Games[[#This Row],[MOVMult]])*(Games[[#This Row],[Result]]-Games[[#This Row],[ExpectedWin%]])</f>
        <v>-4.5234295588127758</v>
      </c>
      <c r="AB418" s="4">
        <f>Games[[#This Row],[PreGmRate]]+Games[[#This Row],[RatingChange]]</f>
        <v>1403.7783588457962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1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45543</v>
      </c>
      <c r="B419" s="2">
        <v>2024</v>
      </c>
      <c r="C419" s="2">
        <f>COUNTIFS(Games[Team],Games[[#This Row],[Team]],Games[Season],Games[[#This Row],[Season]],Games[Date],"&lt;=" &amp; Games[[#This Row],[Date]])</f>
        <v>36</v>
      </c>
      <c r="D419" s="2" t="s">
        <v>79</v>
      </c>
      <c r="E419" s="2" t="s">
        <v>80</v>
      </c>
      <c r="F419" s="1" t="s">
        <v>69</v>
      </c>
      <c r="G419" s="1" t="s">
        <v>77</v>
      </c>
      <c r="H419" s="1" t="s">
        <v>82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">
        <f>MAX(-16, MIN(16, Games[[#This Row],[RestDiff]]*8))</f>
        <v>0</v>
      </c>
      <c r="N419" s="1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1516.4004407163045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1408.3017884046089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0.7513469042676274</v>
      </c>
      <c r="R419" s="1">
        <v>104</v>
      </c>
      <c r="S419" s="1">
        <v>100</v>
      </c>
      <c r="T419" s="1">
        <v>1</v>
      </c>
      <c r="U419" s="1">
        <f>Games[[#This Row],[PointsFor]]-Games[[#This Row],[PointsAgainst]]</f>
        <v>4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0.25712690178358533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9" s="9">
        <f>MAX(kmin, kmax - 0.15 * MIN(Games[[#This Row],[GamesPlayed]], 82))</f>
        <v>70.599999999999994</v>
      </c>
      <c r="Z419" s="4">
        <f>Games[[#This Row],[K]]*Games[[#This Row],[POMult]]</f>
        <v>70.599999999999994</v>
      </c>
      <c r="AA419" s="4">
        <f>(Games[[#This Row],[Keff]]*Games[[#This Row],[MOVMult]])*(Games[[#This Row],[Result]]-Games[[#This Row],[ExpectedWin%]])</f>
        <v>4.513839248794091</v>
      </c>
      <c r="AB419" s="4">
        <f>Games[[#This Row],[PreGmRate]]+Games[[#This Row],[RatingChange]]</f>
        <v>1520.9142799650986</v>
      </c>
      <c r="AC419" s="2">
        <f>IF(Games[[#This Row],[Type]]="R",IF(Games[[#This Row],[Result]]&gt;0.5,1,0),0)</f>
        <v>1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45543</v>
      </c>
      <c r="B420" s="2">
        <v>2024</v>
      </c>
      <c r="C420" s="2">
        <f>COUNTIFS(Games[Team],Games[[#This Row],[Team]],Games[Season],Games[[#This Row],[Season]],Games[Date],"&lt;=" &amp; Games[[#This Row],[Date]])</f>
        <v>35</v>
      </c>
      <c r="D420" s="2" t="s">
        <v>79</v>
      </c>
      <c r="E420" s="2" t="s">
        <v>80</v>
      </c>
      <c r="F420" s="1" t="s">
        <v>74</v>
      </c>
      <c r="G420" s="1" t="s">
        <v>63</v>
      </c>
      <c r="H420" s="1" t="s">
        <v>81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1605.6097448647195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1309.3473421779418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0.77239433261438806</v>
      </c>
      <c r="R420" s="1">
        <v>79</v>
      </c>
      <c r="S420" s="1">
        <v>67</v>
      </c>
      <c r="T420" s="1">
        <v>0</v>
      </c>
      <c r="U420" s="1">
        <f>Games[[#This Row],[PointsFor]]-Games[[#This Row],[PointsAgainst]]</f>
        <v>12</v>
      </c>
      <c r="V420" s="1">
        <f>IF(Games[[#This Row],[MOV]]&gt;0,1,IF(Games[[#This Row],[MOV]]=0,0.5,0))</f>
        <v>1</v>
      </c>
      <c r="W420" s="4">
        <f>((ABS(Games[[#This Row],[MOV]])+5)^0.6)/(12+0.01*(ABS(Games[[#This Row],[PreGmRate]]-Games[[#This Row],[OppPreGmRate]])))*IF(Games[[#This Row],[OT]]=1,0.9,1)</f>
        <v>0.36581506740327441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0" s="9">
        <f>MAX(kmin, kmax - 0.15 * MIN(Games[[#This Row],[GamesPlayed]], 82))</f>
        <v>70.75</v>
      </c>
      <c r="Z420" s="4">
        <f>Games[[#This Row],[K]]*Games[[#This Row],[POMult]]</f>
        <v>70.75</v>
      </c>
      <c r="AA420" s="4">
        <f>(Games[[#This Row],[Keff]]*Games[[#This Row],[MOVMult]])*(Games[[#This Row],[Result]]-Games[[#This Row],[ExpectedWin%]])</f>
        <v>5.8907569658394685</v>
      </c>
      <c r="AB420" s="4">
        <f>Games[[#This Row],[PreGmRate]]+Games[[#This Row],[RatingChange]]</f>
        <v>1611.500501830559</v>
      </c>
      <c r="AC420" s="2">
        <f>IF(Games[[#This Row],[Type]]="R",IF(Games[[#This Row],[Result]]&gt;0.5,1,0),0)</f>
        <v>1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45543</v>
      </c>
      <c r="B421" s="2">
        <v>2024</v>
      </c>
      <c r="C421" s="2">
        <f>COUNTIFS(Games[Team],Games[[#This Row],[Team]],Games[Season],Games[[#This Row],[Season]],Games[Date],"&lt;=" &amp; Games[[#This Row],[Date]])</f>
        <v>35</v>
      </c>
      <c r="D421" s="2" t="s">
        <v>79</v>
      </c>
      <c r="E421" s="2" t="s">
        <v>80</v>
      </c>
      <c r="F421" s="1" t="s">
        <v>63</v>
      </c>
      <c r="G421" s="1" t="s">
        <v>74</v>
      </c>
      <c r="H421" s="1" t="s">
        <v>82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1309.3473421779418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1605.6097448647195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0.22760566738561183</v>
      </c>
      <c r="R421" s="1">
        <v>67</v>
      </c>
      <c r="S421" s="1">
        <v>79</v>
      </c>
      <c r="T421" s="1">
        <v>0</v>
      </c>
      <c r="U421" s="1">
        <f>Games[[#This Row],[PointsFor]]-Games[[#This Row],[PointsAgainst]]</f>
        <v>-12</v>
      </c>
      <c r="V421" s="1">
        <f>IF(Games[[#This Row],[MOV]]&gt;0,1,IF(Games[[#This Row],[MOV]]=0,0.5,0))</f>
        <v>0</v>
      </c>
      <c r="W421" s="4">
        <f>((ABS(Games[[#This Row],[MOV]])+5)^0.6)/(12+0.01*(ABS(Games[[#This Row],[PreGmRate]]-Games[[#This Row],[OppPreGmRate]])))*IF(Games[[#This Row],[OT]]=1,0.9,1)</f>
        <v>0.36581506740327441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1" s="9">
        <f>MAX(kmin, kmax - 0.15 * MIN(Games[[#This Row],[GamesPlayed]], 82))</f>
        <v>70.75</v>
      </c>
      <c r="Z421" s="4">
        <f>Games[[#This Row],[K]]*Games[[#This Row],[POMult]]</f>
        <v>70.75</v>
      </c>
      <c r="AA421" s="4">
        <f>(Games[[#This Row],[Keff]]*Games[[#This Row],[MOVMult]])*(Games[[#This Row],[Result]]-Games[[#This Row],[ExpectedWin%]])</f>
        <v>-5.890756965839465</v>
      </c>
      <c r="AB421" s="4">
        <f>Games[[#This Row],[PreGmRate]]+Games[[#This Row],[RatingChange]]</f>
        <v>1303.4565852121023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1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45543</v>
      </c>
      <c r="B422" s="2">
        <v>2024</v>
      </c>
      <c r="C422" s="2">
        <f>COUNTIFS(Games[Team],Games[[#This Row],[Team]],Games[Season],Games[[#This Row],[Season]],Games[Date],"&lt;=" &amp; Games[[#This Row],[Date]])</f>
        <v>35</v>
      </c>
      <c r="D422" s="2" t="s">
        <v>79</v>
      </c>
      <c r="E422" s="2" t="s">
        <v>80</v>
      </c>
      <c r="F422" s="1" t="s">
        <v>86</v>
      </c>
      <c r="G422" s="1" t="s">
        <v>60</v>
      </c>
      <c r="H422" s="1" t="s">
        <v>81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2" s="2">
        <f>Games[[#This Row],[DaysOff]]-Games[[#This Row],[OppDaysOff]]</f>
        <v>-1</v>
      </c>
      <c r="L422" s="2">
        <f>Games[[#This Row],[OppDaysOff]]-Games[[#This Row],[DaysOff]]</f>
        <v>1</v>
      </c>
      <c r="M422" s="1">
        <f>MAX(-16, MIN(16, Games[[#This Row],[RestDiff]]*8))</f>
        <v>-8</v>
      </c>
      <c r="N422" s="1">
        <f>MAX(-16, MIN(16, Games[[#This Row],[OppRestDiff]]*8))</f>
        <v>8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1626.9800300073487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1716.2234197124444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0.25173645534397893</v>
      </c>
      <c r="R422" s="1">
        <v>71</v>
      </c>
      <c r="S422" s="1">
        <v>75</v>
      </c>
      <c r="T422" s="1">
        <v>0</v>
      </c>
      <c r="U422" s="1">
        <f>Games[[#This Row],[PointsFor]]-Games[[#This Row],[PointsAgainst]]</f>
        <v>-4</v>
      </c>
      <c r="V422" s="1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0.28987488698324104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2" s="9">
        <f>MAX(kmin, kmax - 0.15 * MIN(Games[[#This Row],[GamesPlayed]], 82))</f>
        <v>70.75</v>
      </c>
      <c r="Z422" s="4">
        <f>Games[[#This Row],[K]]*Games[[#This Row],[POMult]]</f>
        <v>70.75</v>
      </c>
      <c r="AA422" s="4">
        <f>(Games[[#This Row],[Keff]]*Games[[#This Row],[MOVMult]])*(Games[[#This Row],[Result]]-Games[[#This Row],[ExpectedWin%]])</f>
        <v>-5.1627744153746304</v>
      </c>
      <c r="AB422" s="4">
        <f>Games[[#This Row],[PreGmRate]]+Games[[#This Row],[RatingChange]]</f>
        <v>1621.8172555919741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1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45543</v>
      </c>
      <c r="B423" s="2">
        <v>2024</v>
      </c>
      <c r="C423" s="2">
        <f>COUNTIFS(Games[Team],Games[[#This Row],[Team]],Games[Season],Games[[#This Row],[Season]],Games[Date],"&lt;=" &amp; Games[[#This Row],[Date]])</f>
        <v>36</v>
      </c>
      <c r="D423" s="2" t="s">
        <v>79</v>
      </c>
      <c r="E423" s="2" t="s">
        <v>80</v>
      </c>
      <c r="F423" s="1" t="s">
        <v>60</v>
      </c>
      <c r="G423" s="1" t="s">
        <v>86</v>
      </c>
      <c r="H423" s="1" t="s">
        <v>82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1</v>
      </c>
      <c r="L423" s="2">
        <f>Games[[#This Row],[OppDaysOff]]-Games[[#This Row],[DaysOff]]</f>
        <v>-1</v>
      </c>
      <c r="M423" s="1">
        <f>MAX(-16, MIN(16, Games[[#This Row],[RestDiff]]*8))</f>
        <v>8</v>
      </c>
      <c r="N423" s="1">
        <f>MAX(-16, MIN(16, Games[[#This Row],[OppRestDiff]]*8))</f>
        <v>-8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1716.2234197124444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1626.9800300073487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0.74826354465602107</v>
      </c>
      <c r="R423" s="1">
        <v>75</v>
      </c>
      <c r="S423" s="1">
        <v>71</v>
      </c>
      <c r="T423" s="1">
        <v>0</v>
      </c>
      <c r="U423" s="1">
        <f>Games[[#This Row],[PointsFor]]-Games[[#This Row],[PointsAgainst]]</f>
        <v>4</v>
      </c>
      <c r="V423" s="1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0.28987488698324104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3" s="9">
        <f>MAX(kmin, kmax - 0.15 * MIN(Games[[#This Row],[GamesPlayed]], 82))</f>
        <v>70.599999999999994</v>
      </c>
      <c r="Z423" s="4">
        <f>Games[[#This Row],[K]]*Games[[#This Row],[POMult]]</f>
        <v>70.599999999999994</v>
      </c>
      <c r="AA423" s="4">
        <f>(Games[[#This Row],[Keff]]*Games[[#This Row],[MOVMult]])*(Games[[#This Row],[Result]]-Games[[#This Row],[ExpectedWin%]])</f>
        <v>5.1518286038932697</v>
      </c>
      <c r="AB423" s="4">
        <f>Games[[#This Row],[PreGmRate]]+Games[[#This Row],[RatingChange]]</f>
        <v>1721.3752483163378</v>
      </c>
      <c r="AC423" s="2">
        <f>IF(Games[[#This Row],[Type]]="R",IF(Games[[#This Row],[Result]]&gt;0.5,1,0),0)</f>
        <v>1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45543</v>
      </c>
      <c r="B424" s="2">
        <v>2024</v>
      </c>
      <c r="C424" s="2">
        <f>COUNTIFS(Games[Team],Games[[#This Row],[Team]],Games[Season],Games[[#This Row],[Season]],Games[Date],"&lt;=" &amp; Games[[#This Row],[Date]])</f>
        <v>36</v>
      </c>
      <c r="D424" s="2" t="s">
        <v>79</v>
      </c>
      <c r="E424" s="2" t="s">
        <v>80</v>
      </c>
      <c r="F424" s="1" t="s">
        <v>67</v>
      </c>
      <c r="G424" s="1" t="s">
        <v>65</v>
      </c>
      <c r="H424" s="1" t="s">
        <v>81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4" s="2">
        <f>Games[[#This Row],[DaysOff]]-Games[[#This Row],[OppDaysOff]]</f>
        <v>-1</v>
      </c>
      <c r="L424" s="2">
        <f>Games[[#This Row],[OppDaysOff]]-Games[[#This Row],[DaysOff]]</f>
        <v>1</v>
      </c>
      <c r="M424" s="1">
        <f>MAX(-16, MIN(16, Games[[#This Row],[RestDiff]]*8))</f>
        <v>-8</v>
      </c>
      <c r="N424" s="1">
        <f>MAX(-16, MIN(16, Games[[#This Row],[OppRestDiff]]*8))</f>
        <v>8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1634.2790830773447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1434.5547864865666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0.63969928507226625</v>
      </c>
      <c r="R424" s="1">
        <v>78</v>
      </c>
      <c r="S424" s="1">
        <v>71</v>
      </c>
      <c r="T424" s="1">
        <v>0</v>
      </c>
      <c r="U424" s="1">
        <f>Games[[#This Row],[PointsFor]]-Games[[#This Row],[PointsAgainst]]</f>
        <v>7</v>
      </c>
      <c r="V424" s="1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0.31729720493265751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4" s="9">
        <f>MAX(kmin, kmax - 0.15 * MIN(Games[[#This Row],[GamesPlayed]], 82))</f>
        <v>70.599999999999994</v>
      </c>
      <c r="Z424" s="4">
        <f>Games[[#This Row],[K]]*Games[[#This Row],[POMult]]</f>
        <v>70.599999999999994</v>
      </c>
      <c r="AA424" s="4">
        <f>(Games[[#This Row],[Keff]]*Games[[#This Row],[MOVMult]])*(Games[[#This Row],[Result]]-Games[[#This Row],[ExpectedWin%]])</f>
        <v>8.0711621305956545</v>
      </c>
      <c r="AB424" s="4">
        <f>Games[[#This Row],[PreGmRate]]+Games[[#This Row],[RatingChange]]</f>
        <v>1642.3502452079404</v>
      </c>
      <c r="AC424" s="2">
        <f>IF(Games[[#This Row],[Type]]="R",IF(Games[[#This Row],[Result]]&gt;0.5,1,0),0)</f>
        <v>1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45543</v>
      </c>
      <c r="B425" s="2">
        <v>2024</v>
      </c>
      <c r="C425" s="2">
        <f>COUNTIFS(Games[Team],Games[[#This Row],[Team]],Games[Season],Games[[#This Row],[Season]],Games[Date],"&lt;=" &amp; Games[[#This Row],[Date]])</f>
        <v>35</v>
      </c>
      <c r="D425" s="2" t="s">
        <v>79</v>
      </c>
      <c r="E425" s="2" t="s">
        <v>80</v>
      </c>
      <c r="F425" s="1" t="s">
        <v>65</v>
      </c>
      <c r="G425" s="1" t="s">
        <v>67</v>
      </c>
      <c r="H425" s="1" t="s">
        <v>82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1</v>
      </c>
      <c r="L425" s="2">
        <f>Games[[#This Row],[OppDaysOff]]-Games[[#This Row],[DaysOff]]</f>
        <v>-1</v>
      </c>
      <c r="M425" s="1">
        <f>MAX(-16, MIN(16, Games[[#This Row],[RestDiff]]*8))</f>
        <v>8</v>
      </c>
      <c r="N425" s="1">
        <f>MAX(-16, MIN(16, Games[[#This Row],[OppRestDiff]]*8))</f>
        <v>-8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1434.5547864865666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1634.2790830773447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0.36030071492773363</v>
      </c>
      <c r="R425" s="1">
        <v>71</v>
      </c>
      <c r="S425" s="1">
        <v>78</v>
      </c>
      <c r="T425" s="1">
        <v>0</v>
      </c>
      <c r="U425" s="1">
        <f>Games[[#This Row],[PointsFor]]-Games[[#This Row],[PointsAgainst]]</f>
        <v>-7</v>
      </c>
      <c r="V425" s="1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0.31729720493265751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5" s="9">
        <f>MAX(kmin, kmax - 0.15 * MIN(Games[[#This Row],[GamesPlayed]], 82))</f>
        <v>70.75</v>
      </c>
      <c r="Z425" s="4">
        <f>Games[[#This Row],[K]]*Games[[#This Row],[POMult]]</f>
        <v>70.75</v>
      </c>
      <c r="AA425" s="4">
        <f>(Games[[#This Row],[Keff]]*Games[[#This Row],[MOVMult]])*(Games[[#This Row],[Result]]-Games[[#This Row],[ExpectedWin%]])</f>
        <v>-8.0883104920629236</v>
      </c>
      <c r="AB425" s="4">
        <f>Games[[#This Row],[PreGmRate]]+Games[[#This Row],[RatingChange]]</f>
        <v>1426.4664759945038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1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45545</v>
      </c>
      <c r="B426" s="2">
        <v>2024</v>
      </c>
      <c r="C426" s="2">
        <f>COUNTIFS(Games[Team],Games[[#This Row],[Team]],Games[Season],Games[[#This Row],[Season]],Games[Date],"&lt;=" &amp; Games[[#This Row],[Date]])</f>
        <v>37</v>
      </c>
      <c r="D426" s="2" t="s">
        <v>79</v>
      </c>
      <c r="E426" s="2" t="s">
        <v>80</v>
      </c>
      <c r="F426" s="1" t="s">
        <v>67</v>
      </c>
      <c r="G426" s="1" t="s">
        <v>77</v>
      </c>
      <c r="H426" s="1" t="s">
        <v>81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1642.3502452079404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1403.7783588457962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0.70884627749061813</v>
      </c>
      <c r="R426" s="1">
        <v>76</v>
      </c>
      <c r="S426" s="1">
        <v>64</v>
      </c>
      <c r="T426" s="1">
        <v>0</v>
      </c>
      <c r="U426" s="1">
        <f>Games[[#This Row],[PointsFor]]-Games[[#This Row],[PointsAgainst]]</f>
        <v>12</v>
      </c>
      <c r="V426" s="1">
        <f>IF(Games[[#This Row],[MOV]]&gt;0,1,IF(Games[[#This Row],[MOV]]=0,0.5,0))</f>
        <v>1</v>
      </c>
      <c r="W426" s="4">
        <f>((ABS(Games[[#This Row],[MOV]])+5)^0.6)/(12+0.01*(ABS(Games[[#This Row],[PreGmRate]]-Games[[#This Row],[OppPreGmRate]])))*IF(Games[[#This Row],[OT]]=1,0.9,1)</f>
        <v>0.38048521376015432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6" s="9">
        <f>MAX(kmin, kmax - 0.15 * MIN(Games[[#This Row],[GamesPlayed]], 82))</f>
        <v>70.45</v>
      </c>
      <c r="Z426" s="4">
        <f>Games[[#This Row],[K]]*Games[[#This Row],[POMult]]</f>
        <v>70.45</v>
      </c>
      <c r="AA426" s="4">
        <f>(Games[[#This Row],[Keff]]*Games[[#This Row],[MOVMult]])*(Games[[#This Row],[Result]]-Games[[#This Row],[ExpectedWin%]])</f>
        <v>7.8044289030789988</v>
      </c>
      <c r="AB426" s="4">
        <f>Games[[#This Row],[PreGmRate]]+Games[[#This Row],[RatingChange]]</f>
        <v>1650.1546741110194</v>
      </c>
      <c r="AC426" s="2">
        <f>IF(Games[[#This Row],[Type]]="R",IF(Games[[#This Row],[Result]]&gt;0.5,1,0),0)</f>
        <v>1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45545</v>
      </c>
      <c r="B427" s="2">
        <v>2024</v>
      </c>
      <c r="C427" s="2">
        <f>COUNTIFS(Games[Team],Games[[#This Row],[Team]],Games[Season],Games[[#This Row],[Season]],Games[Date],"&lt;=" &amp; Games[[#This Row],[Date]])</f>
        <v>36</v>
      </c>
      <c r="D427" s="2" t="s">
        <v>79</v>
      </c>
      <c r="E427" s="2" t="s">
        <v>80</v>
      </c>
      <c r="F427" s="1" t="s">
        <v>77</v>
      </c>
      <c r="G427" s="1" t="s">
        <v>67</v>
      </c>
      <c r="H427" s="1" t="s">
        <v>82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1403.7783588457962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1642.3502452079404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0.29115372250938182</v>
      </c>
      <c r="R427" s="1">
        <v>64</v>
      </c>
      <c r="S427" s="1">
        <v>76</v>
      </c>
      <c r="T427" s="1">
        <v>0</v>
      </c>
      <c r="U427" s="1">
        <f>Games[[#This Row],[PointsFor]]-Games[[#This Row],[PointsAgainst]]</f>
        <v>-12</v>
      </c>
      <c r="V427" s="1">
        <f>IF(Games[[#This Row],[MOV]]&gt;0,1,IF(Games[[#This Row],[MOV]]=0,0.5,0))</f>
        <v>0</v>
      </c>
      <c r="W427" s="4">
        <f>((ABS(Games[[#This Row],[MOV]])+5)^0.6)/(12+0.01*(ABS(Games[[#This Row],[PreGmRate]]-Games[[#This Row],[OppPreGmRate]])))*IF(Games[[#This Row],[OT]]=1,0.9,1)</f>
        <v>0.38048521376015432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7" s="9">
        <f>MAX(kmin, kmax - 0.15 * MIN(Games[[#This Row],[GamesPlayed]], 82))</f>
        <v>70.599999999999994</v>
      </c>
      <c r="Z427" s="4">
        <f>Games[[#This Row],[K]]*Games[[#This Row],[POMult]]</f>
        <v>70.599999999999994</v>
      </c>
      <c r="AA427" s="4">
        <f>(Games[[#This Row],[Keff]]*Games[[#This Row],[MOVMult]])*(Games[[#This Row],[Result]]-Games[[#This Row],[ExpectedWin%]])</f>
        <v>-7.8210458560309029</v>
      </c>
      <c r="AB427" s="4">
        <f>Games[[#This Row],[PreGmRate]]+Games[[#This Row],[RatingChange]]</f>
        <v>1395.9573129897653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1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45545</v>
      </c>
      <c r="B428" s="2">
        <v>2024</v>
      </c>
      <c r="C428" s="2">
        <f>COUNTIFS(Games[Team],Games[[#This Row],[Team]],Games[Season],Games[[#This Row],[Season]],Games[Date],"&lt;=" &amp; Games[[#This Row],[Date]])</f>
        <v>37</v>
      </c>
      <c r="D428" s="2" t="s">
        <v>79</v>
      </c>
      <c r="E428" s="2" t="s">
        <v>80</v>
      </c>
      <c r="F428" s="1" t="s">
        <v>60</v>
      </c>
      <c r="G428" s="1" t="s">
        <v>85</v>
      </c>
      <c r="H428" s="1" t="s">
        <v>81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1721.3752483163378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1353.9176399284843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0.83640418923524973</v>
      </c>
      <c r="R428" s="1">
        <v>105</v>
      </c>
      <c r="S428" s="1">
        <v>91</v>
      </c>
      <c r="T428" s="1">
        <v>0</v>
      </c>
      <c r="U428" s="1">
        <f>Games[[#This Row],[PointsFor]]-Games[[#This Row],[PointsAgainst]]</f>
        <v>14</v>
      </c>
      <c r="V428" s="1">
        <f>IF(Games[[#This Row],[MOV]]&gt;0,1,IF(Games[[#This Row],[MOV]]=0,0.5,0))</f>
        <v>1</v>
      </c>
      <c r="W428" s="4">
        <f>((ABS(Games[[#This Row],[MOV]])+5)^0.6)/(12+0.01*(ABS(Games[[#This Row],[PreGmRate]]-Games[[#This Row],[OppPreGmRate]])))*IF(Games[[#This Row],[OT]]=1,0.9,1)</f>
        <v>0.37329859583426539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8" s="9">
        <f>MAX(kmin, kmax - 0.15 * MIN(Games[[#This Row],[GamesPlayed]], 82))</f>
        <v>70.45</v>
      </c>
      <c r="Z428" s="4">
        <f>Games[[#This Row],[K]]*Games[[#This Row],[POMult]]</f>
        <v>70.45</v>
      </c>
      <c r="AA428" s="4">
        <f>(Games[[#This Row],[Keff]]*Games[[#This Row],[MOVMult]])*(Games[[#This Row],[Result]]-Games[[#This Row],[ExpectedWin%]])</f>
        <v>4.3023875898987463</v>
      </c>
      <c r="AB428" s="4">
        <f>Games[[#This Row],[PreGmRate]]+Games[[#This Row],[RatingChange]]</f>
        <v>1725.6776359062364</v>
      </c>
      <c r="AC428" s="2">
        <f>IF(Games[[#This Row],[Type]]="R",IF(Games[[#This Row],[Result]]&gt;0.5,1,0),0)</f>
        <v>1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45545</v>
      </c>
      <c r="B429" s="2">
        <v>2024</v>
      </c>
      <c r="C429" s="2">
        <f>COUNTIFS(Games[Team],Games[[#This Row],[Team]],Games[Season],Games[[#This Row],[Season]],Games[Date],"&lt;=" &amp; Games[[#This Row],[Date]])</f>
        <v>36</v>
      </c>
      <c r="D429" s="2" t="s">
        <v>79</v>
      </c>
      <c r="E429" s="2" t="s">
        <v>80</v>
      </c>
      <c r="F429" s="1" t="s">
        <v>85</v>
      </c>
      <c r="G429" s="1" t="s">
        <v>60</v>
      </c>
      <c r="H429" s="1" t="s">
        <v>82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1353.9176399284843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1721.3752483163378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0.16359581076475038</v>
      </c>
      <c r="R429" s="1">
        <v>91</v>
      </c>
      <c r="S429" s="1">
        <v>105</v>
      </c>
      <c r="T429" s="1">
        <v>0</v>
      </c>
      <c r="U429" s="1">
        <f>Games[[#This Row],[PointsFor]]-Games[[#This Row],[PointsAgainst]]</f>
        <v>-14</v>
      </c>
      <c r="V429" s="1">
        <f>IF(Games[[#This Row],[MOV]]&gt;0,1,IF(Games[[#This Row],[MOV]]=0,0.5,0))</f>
        <v>0</v>
      </c>
      <c r="W429" s="4">
        <f>((ABS(Games[[#This Row],[MOV]])+5)^0.6)/(12+0.01*(ABS(Games[[#This Row],[PreGmRate]]-Games[[#This Row],[OppPreGmRate]])))*IF(Games[[#This Row],[OT]]=1,0.9,1)</f>
        <v>0.37329859583426539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9" s="9">
        <f>MAX(kmin, kmax - 0.15 * MIN(Games[[#This Row],[GamesPlayed]], 82))</f>
        <v>70.599999999999994</v>
      </c>
      <c r="Z429" s="4">
        <f>Games[[#This Row],[K]]*Games[[#This Row],[POMult]]</f>
        <v>70.599999999999994</v>
      </c>
      <c r="AA429" s="4">
        <f>(Games[[#This Row],[Keff]]*Games[[#This Row],[MOVMult]])*(Games[[#This Row],[Result]]-Games[[#This Row],[ExpectedWin%]])</f>
        <v>-4.3115481028651752</v>
      </c>
      <c r="AB429" s="4">
        <f>Games[[#This Row],[PreGmRate]]+Games[[#This Row],[RatingChange]]</f>
        <v>1349.6060918256192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1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45545</v>
      </c>
      <c r="B430" s="2">
        <v>2024</v>
      </c>
      <c r="C430" s="2">
        <f>COUNTIFS(Games[Team],Games[[#This Row],[Team]],Games[Season],Games[[#This Row],[Season]],Games[Date],"&lt;=" &amp; Games[[#This Row],[Date]])</f>
        <v>36</v>
      </c>
      <c r="D430" s="2" t="s">
        <v>79</v>
      </c>
      <c r="E430" s="2" t="s">
        <v>80</v>
      </c>
      <c r="F430" s="1" t="s">
        <v>74</v>
      </c>
      <c r="G430" s="1" t="s">
        <v>63</v>
      </c>
      <c r="H430" s="1" t="s">
        <v>81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">
        <f>MAX(-16, MIN(16, Games[[#This Row],[RestDiff]]*8))</f>
        <v>0</v>
      </c>
      <c r="N430" s="1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1611.500501830559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1303.4565852121023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0.78409648400925724</v>
      </c>
      <c r="R430" s="1">
        <v>86</v>
      </c>
      <c r="S430" s="1">
        <v>66</v>
      </c>
      <c r="T430" s="1">
        <v>0</v>
      </c>
      <c r="U430" s="1">
        <f>Games[[#This Row],[PointsFor]]-Games[[#This Row],[PointsAgainst]]</f>
        <v>20</v>
      </c>
      <c r="V430" s="1">
        <f>IF(Games[[#This Row],[MOV]]&gt;0,1,IF(Games[[#This Row],[MOV]]=0,0.5,0))</f>
        <v>1</v>
      </c>
      <c r="W430" s="4">
        <f>((ABS(Games[[#This Row],[MOV]])+5)^0.6)/(12+0.01*(ABS(Games[[#This Row],[PreGmRate]]-Games[[#This Row],[OppPreGmRate]])))*IF(Games[[#This Row],[OT]]=1,0.9,1)</f>
        <v>0.45745672465395903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0" s="9">
        <f>MAX(kmin, kmax - 0.15 * MIN(Games[[#This Row],[GamesPlayed]], 82))</f>
        <v>70.599999999999994</v>
      </c>
      <c r="Z430" s="4">
        <f>Games[[#This Row],[K]]*Games[[#This Row],[POMult]]</f>
        <v>70.599999999999994</v>
      </c>
      <c r="AA430" s="4">
        <f>(Games[[#This Row],[Keff]]*Games[[#This Row],[MOVMult]])*(Games[[#This Row],[Result]]-Games[[#This Row],[ExpectedWin%]])</f>
        <v>6.9729159778077587</v>
      </c>
      <c r="AB430" s="4">
        <f>Games[[#This Row],[PreGmRate]]+Games[[#This Row],[RatingChange]]</f>
        <v>1618.4734178083668</v>
      </c>
      <c r="AC430" s="2">
        <f>IF(Games[[#This Row],[Type]]="R",IF(Games[[#This Row],[Result]]&gt;0.5,1,0),0)</f>
        <v>1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45545</v>
      </c>
      <c r="B431" s="2">
        <v>2024</v>
      </c>
      <c r="C431" s="2">
        <f>COUNTIFS(Games[Team],Games[[#This Row],[Team]],Games[Season],Games[[#This Row],[Season]],Games[Date],"&lt;=" &amp; Games[[#This Row],[Date]])</f>
        <v>36</v>
      </c>
      <c r="D431" s="2" t="s">
        <v>79</v>
      </c>
      <c r="E431" s="2" t="s">
        <v>80</v>
      </c>
      <c r="F431" s="1" t="s">
        <v>63</v>
      </c>
      <c r="G431" s="1" t="s">
        <v>74</v>
      </c>
      <c r="H431" s="1" t="s">
        <v>82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">
        <f>MAX(-16, MIN(16, Games[[#This Row],[RestDiff]]*8))</f>
        <v>0</v>
      </c>
      <c r="N431" s="1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1303.4565852121023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1611.500501830559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0.21590351599074281</v>
      </c>
      <c r="R431" s="1">
        <v>66</v>
      </c>
      <c r="S431" s="1">
        <v>86</v>
      </c>
      <c r="T431" s="1">
        <v>0</v>
      </c>
      <c r="U431" s="1">
        <f>Games[[#This Row],[PointsFor]]-Games[[#This Row],[PointsAgainst]]</f>
        <v>-20</v>
      </c>
      <c r="V431" s="1">
        <f>IF(Games[[#This Row],[MOV]]&gt;0,1,IF(Games[[#This Row],[MOV]]=0,0.5,0))</f>
        <v>0</v>
      </c>
      <c r="W431" s="4">
        <f>((ABS(Games[[#This Row],[MOV]])+5)^0.6)/(12+0.01*(ABS(Games[[#This Row],[PreGmRate]]-Games[[#This Row],[OppPreGmRate]])))*IF(Games[[#This Row],[OT]]=1,0.9,1)</f>
        <v>0.45745672465395903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1" s="9">
        <f>MAX(kmin, kmax - 0.15 * MIN(Games[[#This Row],[GamesPlayed]], 82))</f>
        <v>70.599999999999994</v>
      </c>
      <c r="Z431" s="4">
        <f>Games[[#This Row],[K]]*Games[[#This Row],[POMult]]</f>
        <v>70.599999999999994</v>
      </c>
      <c r="AA431" s="4">
        <f>(Games[[#This Row],[Keff]]*Games[[#This Row],[MOVMult]])*(Games[[#This Row],[Result]]-Games[[#This Row],[ExpectedWin%]])</f>
        <v>-6.9729159778077605</v>
      </c>
      <c r="AB431" s="4">
        <f>Games[[#This Row],[PreGmRate]]+Games[[#This Row],[RatingChange]]</f>
        <v>1296.4836692342944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1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45546</v>
      </c>
      <c r="B432" s="2">
        <v>2024</v>
      </c>
      <c r="C432" s="2">
        <f>COUNTIFS(Games[Team],Games[[#This Row],[Team]],Games[Season],Games[[#This Row],[Season]],Games[Date],"&lt;=" &amp; Games[[#This Row],[Date]])</f>
        <v>36</v>
      </c>
      <c r="D432" s="2" t="s">
        <v>79</v>
      </c>
      <c r="E432" s="2" t="s">
        <v>80</v>
      </c>
      <c r="F432" s="1" t="s">
        <v>65</v>
      </c>
      <c r="G432" s="1" t="s">
        <v>75</v>
      </c>
      <c r="H432" s="1" t="s">
        <v>81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2" s="2">
        <f>Games[[#This Row],[DaysOff]]-Games[[#This Row],[OppDaysOff]]</f>
        <v>0</v>
      </c>
      <c r="L432" s="2">
        <f>Games[[#This Row],[OppDaysOff]]-Games[[#This Row],[DaysOff]]</f>
        <v>0</v>
      </c>
      <c r="M432" s="1">
        <f>MAX(-16, MIN(16, Games[[#This Row],[RestDiff]]*8))</f>
        <v>0</v>
      </c>
      <c r="N432" s="1">
        <f>MAX(-16, MIN(16, Games[[#This Row],[OppRestDiff]]*8))</f>
        <v>0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1426.4664759945038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1414.1259792524047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0.39831155922388045</v>
      </c>
      <c r="R432" s="1">
        <v>89</v>
      </c>
      <c r="S432" s="1">
        <v>58</v>
      </c>
      <c r="T432" s="1">
        <v>0</v>
      </c>
      <c r="U432" s="1">
        <f>Games[[#This Row],[PointsFor]]-Games[[#This Row],[PointsAgainst]]</f>
        <v>31</v>
      </c>
      <c r="V432" s="1">
        <f>IF(Games[[#This Row],[MOV]]&gt;0,1,IF(Games[[#This Row],[MOV]]=0,0.5,0))</f>
        <v>1</v>
      </c>
      <c r="W432" s="4">
        <f>((ABS(Games[[#This Row],[MOV]])+5)^0.6)/(12+0.01*(ABS(Games[[#This Row],[PreGmRate]]-Games[[#This Row],[OppPreGmRate]])))*IF(Games[[#This Row],[OT]]=1,0.9,1)</f>
        <v>0.70820157453323029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2" s="9">
        <f>MAX(kmin, kmax - 0.15 * MIN(Games[[#This Row],[GamesPlayed]], 82))</f>
        <v>70.599999999999994</v>
      </c>
      <c r="Z432" s="4">
        <f>Games[[#This Row],[K]]*Games[[#This Row],[POMult]]</f>
        <v>70.599999999999994</v>
      </c>
      <c r="AA432" s="4">
        <f>(Games[[#This Row],[Keff]]*Games[[#This Row],[MOVMult]])*(Games[[#This Row],[Result]]-Games[[#This Row],[ExpectedWin%]])</f>
        <v>30.083839100208106</v>
      </c>
      <c r="AB432" s="4">
        <f>Games[[#This Row],[PreGmRate]]+Games[[#This Row],[RatingChange]]</f>
        <v>1456.5503150947118</v>
      </c>
      <c r="AC432" s="2">
        <f>IF(Games[[#This Row],[Type]]="R",IF(Games[[#This Row],[Result]]&gt;0.5,1,0),0)</f>
        <v>1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45546</v>
      </c>
      <c r="B433" s="2">
        <v>2024</v>
      </c>
      <c r="C433" s="2">
        <f>COUNTIFS(Games[Team],Games[[#This Row],[Team]],Games[Season],Games[[#This Row],[Season]],Games[Date],"&lt;=" &amp; Games[[#This Row],[Date]])</f>
        <v>36</v>
      </c>
      <c r="D433" s="2" t="s">
        <v>79</v>
      </c>
      <c r="E433" s="2" t="s">
        <v>80</v>
      </c>
      <c r="F433" s="1" t="s">
        <v>75</v>
      </c>
      <c r="G433" s="1" t="s">
        <v>65</v>
      </c>
      <c r="H433" s="1" t="s">
        <v>82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3" s="2">
        <f>Games[[#This Row],[DaysOff]]-Games[[#This Row],[OppDaysOff]]</f>
        <v>0</v>
      </c>
      <c r="L433" s="2">
        <f>Games[[#This Row],[OppDaysOff]]-Games[[#This Row],[DaysOff]]</f>
        <v>0</v>
      </c>
      <c r="M433" s="1">
        <f>MAX(-16, MIN(16, Games[[#This Row],[RestDiff]]*8))</f>
        <v>0</v>
      </c>
      <c r="N433" s="1">
        <f>MAX(-16, MIN(16, Games[[#This Row],[OppRestDiff]]*8))</f>
        <v>0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1414.1259792524047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1426.4664759945038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0.6016884407761196</v>
      </c>
      <c r="R433" s="1">
        <v>58</v>
      </c>
      <c r="S433" s="1">
        <v>89</v>
      </c>
      <c r="T433" s="1">
        <v>0</v>
      </c>
      <c r="U433" s="1">
        <f>Games[[#This Row],[PointsFor]]-Games[[#This Row],[PointsAgainst]]</f>
        <v>-31</v>
      </c>
      <c r="V433" s="1">
        <f>IF(Games[[#This Row],[MOV]]&gt;0,1,IF(Games[[#This Row],[MOV]]=0,0.5,0))</f>
        <v>0</v>
      </c>
      <c r="W433" s="4">
        <f>((ABS(Games[[#This Row],[MOV]])+5)^0.6)/(12+0.01*(ABS(Games[[#This Row],[PreGmRate]]-Games[[#This Row],[OppPreGmRate]])))*IF(Games[[#This Row],[OT]]=1,0.9,1)</f>
        <v>0.70820157453323029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3" s="9">
        <f>MAX(kmin, kmax - 0.15 * MIN(Games[[#This Row],[GamesPlayed]], 82))</f>
        <v>70.599999999999994</v>
      </c>
      <c r="Z433" s="4">
        <f>Games[[#This Row],[K]]*Games[[#This Row],[POMult]]</f>
        <v>70.599999999999994</v>
      </c>
      <c r="AA433" s="4">
        <f>(Games[[#This Row],[Keff]]*Games[[#This Row],[MOVMult]])*(Games[[#This Row],[Result]]-Games[[#This Row],[ExpectedWin%]])</f>
        <v>-30.083839100208106</v>
      </c>
      <c r="AB433" s="4">
        <f>Games[[#This Row],[PreGmRate]]+Games[[#This Row],[RatingChange]]</f>
        <v>1384.0421401521967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1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45546</v>
      </c>
      <c r="B434" s="2">
        <v>2024</v>
      </c>
      <c r="C434" s="2">
        <f>COUNTIFS(Games[Team],Games[[#This Row],[Team]],Games[Season],Games[[#This Row],[Season]],Games[Date],"&lt;=" &amp; Games[[#This Row],[Date]])</f>
        <v>36</v>
      </c>
      <c r="D434" s="2" t="s">
        <v>79</v>
      </c>
      <c r="E434" s="2" t="s">
        <v>80</v>
      </c>
      <c r="F434" s="1" t="s">
        <v>86</v>
      </c>
      <c r="G434" s="1" t="s">
        <v>69</v>
      </c>
      <c r="H434" s="1" t="s">
        <v>81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1621.8172555919741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1520.9142799650986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0.52430616368443617</v>
      </c>
      <c r="R434" s="1">
        <v>86</v>
      </c>
      <c r="S434" s="1">
        <v>75</v>
      </c>
      <c r="T434" s="1">
        <v>0</v>
      </c>
      <c r="U434" s="1">
        <f>Games[[#This Row],[PointsFor]]-Games[[#This Row],[PointsAgainst]]</f>
        <v>11</v>
      </c>
      <c r="V434" s="1">
        <f>IF(Games[[#This Row],[MOV]]&gt;0,1,IF(Games[[#This Row],[MOV]]=0,0.5,0))</f>
        <v>1</v>
      </c>
      <c r="W434" s="4">
        <f>((ABS(Games[[#This Row],[MOV]])+5)^0.6)/(12+0.01*(ABS(Games[[#This Row],[PreGmRate]]-Games[[#This Row],[OppPreGmRate]])))*IF(Games[[#This Row],[OT]]=1,0.9,1)</f>
        <v>0.40572062190481295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4" s="9">
        <f>MAX(kmin, kmax - 0.15 * MIN(Games[[#This Row],[GamesPlayed]], 82))</f>
        <v>70.599999999999994</v>
      </c>
      <c r="Z434" s="4">
        <f>Games[[#This Row],[K]]*Games[[#This Row],[POMult]]</f>
        <v>70.599999999999994</v>
      </c>
      <c r="AA434" s="4">
        <f>(Games[[#This Row],[Keff]]*Games[[#This Row],[MOVMult]])*(Games[[#This Row],[Result]]-Games[[#This Row],[ExpectedWin%]])</f>
        <v>13.625715216900321</v>
      </c>
      <c r="AB434" s="4">
        <f>Games[[#This Row],[PreGmRate]]+Games[[#This Row],[RatingChange]]</f>
        <v>1635.4429708088744</v>
      </c>
      <c r="AC434" s="2">
        <f>IF(Games[[#This Row],[Type]]="R",IF(Games[[#This Row],[Result]]&gt;0.5,1,0),0)</f>
        <v>1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45546</v>
      </c>
      <c r="B435" s="2">
        <v>2024</v>
      </c>
      <c r="C435" s="2">
        <f>COUNTIFS(Games[Team],Games[[#This Row],[Team]],Games[Season],Games[[#This Row],[Season]],Games[Date],"&lt;=" &amp; Games[[#This Row],[Date]])</f>
        <v>37</v>
      </c>
      <c r="D435" s="2" t="s">
        <v>79</v>
      </c>
      <c r="E435" s="2" t="s">
        <v>80</v>
      </c>
      <c r="F435" s="1" t="s">
        <v>69</v>
      </c>
      <c r="G435" s="1" t="s">
        <v>86</v>
      </c>
      <c r="H435" s="1" t="s">
        <v>82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1520.9142799650986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1621.8172555919741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0.47569383631556383</v>
      </c>
      <c r="R435" s="1">
        <v>75</v>
      </c>
      <c r="S435" s="1">
        <v>86</v>
      </c>
      <c r="T435" s="1">
        <v>0</v>
      </c>
      <c r="U435" s="1">
        <f>Games[[#This Row],[PointsFor]]-Games[[#This Row],[PointsAgainst]]</f>
        <v>-11</v>
      </c>
      <c r="V435" s="1">
        <f>IF(Games[[#This Row],[MOV]]&gt;0,1,IF(Games[[#This Row],[MOV]]=0,0.5,0))</f>
        <v>0</v>
      </c>
      <c r="W435" s="4">
        <f>((ABS(Games[[#This Row],[MOV]])+5)^0.6)/(12+0.01*(ABS(Games[[#This Row],[PreGmRate]]-Games[[#This Row],[OppPreGmRate]])))*IF(Games[[#This Row],[OT]]=1,0.9,1)</f>
        <v>0.40572062190481295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5" s="9">
        <f>MAX(kmin, kmax - 0.15 * MIN(Games[[#This Row],[GamesPlayed]], 82))</f>
        <v>70.45</v>
      </c>
      <c r="Z435" s="4">
        <f>Games[[#This Row],[K]]*Games[[#This Row],[POMult]]</f>
        <v>70.45</v>
      </c>
      <c r="AA435" s="4">
        <f>(Games[[#This Row],[Keff]]*Games[[#This Row],[MOVMult]])*(Games[[#This Row],[Result]]-Games[[#This Row],[ExpectedWin%]])</f>
        <v>-13.596765397034385</v>
      </c>
      <c r="AB435" s="4">
        <f>Games[[#This Row],[PreGmRate]]+Games[[#This Row],[RatingChange]]</f>
        <v>1507.3175145680641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1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45546</v>
      </c>
      <c r="B436" s="2">
        <v>2024</v>
      </c>
      <c r="C436" s="2">
        <f>COUNTIFS(Games[Team],Games[[#This Row],[Team]],Games[Season],Games[[#This Row],[Season]],Games[Date],"&lt;=" &amp; Games[[#This Row],[Date]])</f>
        <v>36</v>
      </c>
      <c r="D436" s="2" t="s">
        <v>79</v>
      </c>
      <c r="E436" s="2" t="s">
        <v>80</v>
      </c>
      <c r="F436" s="1" t="s">
        <v>71</v>
      </c>
      <c r="G436" s="1" t="s">
        <v>63</v>
      </c>
      <c r="H436" s="1" t="s">
        <v>81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6" s="2">
        <f>Games[[#This Row],[DaysOff]]-Games[[#This Row],[OppDaysOff]]</f>
        <v>3</v>
      </c>
      <c r="L436" s="2">
        <f>Games[[#This Row],[OppDaysOff]]-Games[[#This Row],[DaysOff]]</f>
        <v>-3</v>
      </c>
      <c r="M436" s="1">
        <f>MAX(-16, MIN(16, Games[[#This Row],[RestDiff]]*8))</f>
        <v>16</v>
      </c>
      <c r="N436" s="1">
        <f>MAX(-16, MIN(16, Games[[#This Row],[OppRestDiff]]*8))</f>
        <v>-16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1550.854133706523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1296.4836692342944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0.76222882366066269</v>
      </c>
      <c r="R436" s="1">
        <v>90</v>
      </c>
      <c r="S436" s="1">
        <v>82</v>
      </c>
      <c r="T436" s="1">
        <v>0</v>
      </c>
      <c r="U436" s="1">
        <f>Games[[#This Row],[PointsFor]]-Games[[#This Row],[PointsAgainst]]</f>
        <v>8</v>
      </c>
      <c r="V436" s="1">
        <f>IF(Games[[#This Row],[MOV]]&gt;0,1,IF(Games[[#This Row],[MOV]]=0,0.5,0))</f>
        <v>1</v>
      </c>
      <c r="W436" s="4">
        <f>((ABS(Games[[#This Row],[MOV]])+5)^0.6)/(12+0.01*(ABS(Games[[#This Row],[PreGmRate]]-Games[[#This Row],[OppPreGmRate]])))*IF(Games[[#This Row],[OT]]=1,0.9,1)</f>
        <v>0.32039886217897307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6" s="9">
        <f>MAX(kmin, kmax - 0.15 * MIN(Games[[#This Row],[GamesPlayed]], 82))</f>
        <v>70.599999999999994</v>
      </c>
      <c r="Z436" s="4">
        <f>Games[[#This Row],[K]]*Games[[#This Row],[POMult]]</f>
        <v>70.599999999999994</v>
      </c>
      <c r="AA436" s="4">
        <f>(Games[[#This Row],[Keff]]*Games[[#This Row],[MOVMult]])*(Games[[#This Row],[Result]]-Games[[#This Row],[ExpectedWin%]])</f>
        <v>5.378421973680422</v>
      </c>
      <c r="AB436" s="4">
        <f>Games[[#This Row],[PreGmRate]]+Games[[#This Row],[RatingChange]]</f>
        <v>1556.2325556802034</v>
      </c>
      <c r="AC436" s="2">
        <f>IF(Games[[#This Row],[Type]]="R",IF(Games[[#This Row],[Result]]&gt;0.5,1,0),0)</f>
        <v>1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45546</v>
      </c>
      <c r="B437" s="2">
        <v>2024</v>
      </c>
      <c r="C437" s="2">
        <f>COUNTIFS(Games[Team],Games[[#This Row],[Team]],Games[Season],Games[[#This Row],[Season]],Games[Date],"&lt;=" &amp; Games[[#This Row],[Date]])</f>
        <v>37</v>
      </c>
      <c r="D437" s="2" t="s">
        <v>79</v>
      </c>
      <c r="E437" s="2" t="s">
        <v>80</v>
      </c>
      <c r="F437" s="1" t="s">
        <v>63</v>
      </c>
      <c r="G437" s="1" t="s">
        <v>71</v>
      </c>
      <c r="H437" s="1" t="s">
        <v>82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7" s="2">
        <f>Games[[#This Row],[DaysOff]]-Games[[#This Row],[OppDaysOff]]</f>
        <v>-3</v>
      </c>
      <c r="L437" s="2">
        <f>Games[[#This Row],[OppDaysOff]]-Games[[#This Row],[DaysOff]]</f>
        <v>3</v>
      </c>
      <c r="M437" s="1">
        <f>MAX(-16, MIN(16, Games[[#This Row],[RestDiff]]*8))</f>
        <v>-16</v>
      </c>
      <c r="N437" s="1">
        <f>MAX(-16, MIN(16, Games[[#This Row],[OppRestDiff]]*8))</f>
        <v>16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1296.4836692342944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1550.854133706523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0.23777117633933728</v>
      </c>
      <c r="R437" s="1">
        <v>82</v>
      </c>
      <c r="S437" s="1">
        <v>90</v>
      </c>
      <c r="T437" s="1">
        <v>0</v>
      </c>
      <c r="U437" s="1">
        <f>Games[[#This Row],[PointsFor]]-Games[[#This Row],[PointsAgainst]]</f>
        <v>-8</v>
      </c>
      <c r="V437" s="1">
        <f>IF(Games[[#This Row],[MOV]]&gt;0,1,IF(Games[[#This Row],[MOV]]=0,0.5,0))</f>
        <v>0</v>
      </c>
      <c r="W437" s="4">
        <f>((ABS(Games[[#This Row],[MOV]])+5)^0.6)/(12+0.01*(ABS(Games[[#This Row],[PreGmRate]]-Games[[#This Row],[OppPreGmRate]])))*IF(Games[[#This Row],[OT]]=1,0.9,1)</f>
        <v>0.32039886217897307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7" s="9">
        <f>MAX(kmin, kmax - 0.15 * MIN(Games[[#This Row],[GamesPlayed]], 82))</f>
        <v>70.45</v>
      </c>
      <c r="Z437" s="4">
        <f>Games[[#This Row],[K]]*Games[[#This Row],[POMult]]</f>
        <v>70.45</v>
      </c>
      <c r="AA437" s="4">
        <f>(Games[[#This Row],[Keff]]*Games[[#This Row],[MOVMult]])*(Games[[#This Row],[Result]]-Games[[#This Row],[ExpectedWin%]])</f>
        <v>-5.3669947315267095</v>
      </c>
      <c r="AB437" s="4">
        <f>Games[[#This Row],[PreGmRate]]+Games[[#This Row],[RatingChange]]</f>
        <v>1291.1166745027676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1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45547</v>
      </c>
      <c r="B438" s="2">
        <v>2024</v>
      </c>
      <c r="C438" s="2">
        <f>COUNTIFS(Games[Team],Games[[#This Row],[Team]],Games[Season],Games[[#This Row],[Season]],Games[Date],"&lt;=" &amp; Games[[#This Row],[Date]])</f>
        <v>38</v>
      </c>
      <c r="D438" s="2" t="s">
        <v>79</v>
      </c>
      <c r="E438" s="2" t="s">
        <v>80</v>
      </c>
      <c r="F438" s="1" t="s">
        <v>60</v>
      </c>
      <c r="G438" s="1" t="s">
        <v>85</v>
      </c>
      <c r="H438" s="1" t="s">
        <v>81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1725.6776359062364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1349.6060918256192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0.8430764580554726</v>
      </c>
      <c r="R438" s="1">
        <v>99</v>
      </c>
      <c r="S438" s="1">
        <v>67</v>
      </c>
      <c r="T438" s="1">
        <v>0</v>
      </c>
      <c r="U438" s="1">
        <f>Games[[#This Row],[PointsFor]]-Games[[#This Row],[PointsAgainst]]</f>
        <v>32</v>
      </c>
      <c r="V438" s="1">
        <f>IF(Games[[#This Row],[MOV]]&gt;0,1,IF(Games[[#This Row],[MOV]]=0,0.5,0))</f>
        <v>1</v>
      </c>
      <c r="W438" s="4">
        <f>((ABS(Games[[#This Row],[MOV]])+5)^0.6)/(12+0.01*(ABS(Games[[#This Row],[PreGmRate]]-Games[[#This Row],[OppPreGmRate]])))*IF(Games[[#This Row],[OT]]=1,0.9,1)</f>
        <v>0.55378999649204241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8" s="9">
        <f>MAX(kmin, kmax - 0.15 * MIN(Games[[#This Row],[GamesPlayed]], 82))</f>
        <v>70.3</v>
      </c>
      <c r="Z438" s="4">
        <f>Games[[#This Row],[K]]*Games[[#This Row],[POMult]]</f>
        <v>70.3</v>
      </c>
      <c r="AA438" s="4">
        <f>(Games[[#This Row],[Keff]]*Games[[#This Row],[MOVMult]])*(Games[[#This Row],[Result]]-Games[[#This Row],[ExpectedWin%]])</f>
        <v>6.1092589483314024</v>
      </c>
      <c r="AB438" s="4">
        <f>Games[[#This Row],[PreGmRate]]+Games[[#This Row],[RatingChange]]</f>
        <v>1731.7868948545679</v>
      </c>
      <c r="AC438" s="2">
        <f>IF(Games[[#This Row],[Type]]="R",IF(Games[[#This Row],[Result]]&gt;0.5,1,0),0)</f>
        <v>1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45547</v>
      </c>
      <c r="B439" s="2">
        <v>2024</v>
      </c>
      <c r="C439" s="2">
        <f>COUNTIFS(Games[Team],Games[[#This Row],[Team]],Games[Season],Games[[#This Row],[Season]],Games[Date],"&lt;=" &amp; Games[[#This Row],[Date]])</f>
        <v>37</v>
      </c>
      <c r="D439" s="2" t="s">
        <v>79</v>
      </c>
      <c r="E439" s="2" t="s">
        <v>80</v>
      </c>
      <c r="F439" s="1" t="s">
        <v>85</v>
      </c>
      <c r="G439" s="1" t="s">
        <v>60</v>
      </c>
      <c r="H439" s="1" t="s">
        <v>82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1349.6060918256192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1725.6776359062364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0.1569235419445274</v>
      </c>
      <c r="R439" s="1">
        <v>67</v>
      </c>
      <c r="S439" s="1">
        <v>99</v>
      </c>
      <c r="T439" s="1">
        <v>0</v>
      </c>
      <c r="U439" s="1">
        <f>Games[[#This Row],[PointsFor]]-Games[[#This Row],[PointsAgainst]]</f>
        <v>-32</v>
      </c>
      <c r="V439" s="1">
        <f>IF(Games[[#This Row],[MOV]]&gt;0,1,IF(Games[[#This Row],[MOV]]=0,0.5,0))</f>
        <v>0</v>
      </c>
      <c r="W439" s="4">
        <f>((ABS(Games[[#This Row],[MOV]])+5)^0.6)/(12+0.01*(ABS(Games[[#This Row],[PreGmRate]]-Games[[#This Row],[OppPreGmRate]])))*IF(Games[[#This Row],[OT]]=1,0.9,1)</f>
        <v>0.55378999649204241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9" s="9">
        <f>MAX(kmin, kmax - 0.15 * MIN(Games[[#This Row],[GamesPlayed]], 82))</f>
        <v>70.45</v>
      </c>
      <c r="Z439" s="4">
        <f>Games[[#This Row],[K]]*Games[[#This Row],[POMult]]</f>
        <v>70.45</v>
      </c>
      <c r="AA439" s="4">
        <f>(Games[[#This Row],[Keff]]*Games[[#This Row],[MOVMult]])*(Games[[#This Row],[Result]]-Games[[#This Row],[ExpectedWin%]])</f>
        <v>-6.1222943514928492</v>
      </c>
      <c r="AB439" s="4">
        <f>Games[[#This Row],[PreGmRate]]+Games[[#This Row],[RatingChange]]</f>
        <v>1343.4837974741263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1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45548</v>
      </c>
      <c r="B440" s="2">
        <v>2024</v>
      </c>
      <c r="C440" s="2">
        <f>COUNTIFS(Games[Team],Games[[#This Row],[Team]],Games[Season],Games[[#This Row],[Season]],Games[Date],"&lt;=" &amp; Games[[#This Row],[Date]])</f>
        <v>37</v>
      </c>
      <c r="D440" s="2" t="s">
        <v>79</v>
      </c>
      <c r="E440" s="2" t="s">
        <v>80</v>
      </c>
      <c r="F440" s="1" t="s">
        <v>65</v>
      </c>
      <c r="G440" s="1" t="s">
        <v>77</v>
      </c>
      <c r="H440" s="1" t="s">
        <v>81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0" s="2">
        <f>Games[[#This Row],[DaysOff]]-Games[[#This Row],[OppDaysOff]]</f>
        <v>-1</v>
      </c>
      <c r="L440" s="2">
        <f>Games[[#This Row],[OppDaysOff]]-Games[[#This Row],[DaysOff]]</f>
        <v>1</v>
      </c>
      <c r="M440" s="1">
        <f>MAX(-16, MIN(16, Games[[#This Row],[RestDiff]]*8))</f>
        <v>-8</v>
      </c>
      <c r="N440" s="1">
        <f>MAX(-16, MIN(16, Games[[#This Row],[OppRestDiff]]*8))</f>
        <v>8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1456.5503150947118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1395.9573129897653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0.44353071647307191</v>
      </c>
      <c r="R440" s="1">
        <v>72</v>
      </c>
      <c r="S440" s="1">
        <v>69</v>
      </c>
      <c r="T440" s="1">
        <v>0</v>
      </c>
      <c r="U440" s="1">
        <f>Games[[#This Row],[PointsFor]]-Games[[#This Row],[PointsAgainst]]</f>
        <v>3</v>
      </c>
      <c r="V440" s="1">
        <f>IF(Games[[#This Row],[MOV]]&gt;0,1,IF(Games[[#This Row],[MOV]]=0,0.5,0))</f>
        <v>1</v>
      </c>
      <c r="W440" s="4">
        <f>((ABS(Games[[#This Row],[MOV]])+5)^0.6)/(12+0.01*(ABS(Games[[#This Row],[PreGmRate]]-Games[[#This Row],[OppPreGmRate]])))*IF(Games[[#This Row],[OT]]=1,0.9,1)</f>
        <v>0.27623525177197494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0" s="9">
        <f>MAX(kmin, kmax - 0.15 * MIN(Games[[#This Row],[GamesPlayed]], 82))</f>
        <v>70.45</v>
      </c>
      <c r="Z440" s="4">
        <f>Games[[#This Row],[K]]*Games[[#This Row],[POMult]]</f>
        <v>70.45</v>
      </c>
      <c r="AA440" s="4">
        <f>(Games[[#This Row],[Keff]]*Games[[#This Row],[MOVMult]])*(Games[[#This Row],[Result]]-Games[[#This Row],[ExpectedWin%]])</f>
        <v>10.829322679377498</v>
      </c>
      <c r="AB440" s="4">
        <f>Games[[#This Row],[PreGmRate]]+Games[[#This Row],[RatingChange]]</f>
        <v>1467.3796377740894</v>
      </c>
      <c r="AC440" s="2">
        <f>IF(Games[[#This Row],[Type]]="R",IF(Games[[#This Row],[Result]]&gt;0.5,1,0),0)</f>
        <v>1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45548</v>
      </c>
      <c r="B441" s="2">
        <v>2024</v>
      </c>
      <c r="C441" s="2">
        <f>COUNTIFS(Games[Team],Games[[#This Row],[Team]],Games[Season],Games[[#This Row],[Season]],Games[Date],"&lt;=" &amp; Games[[#This Row],[Date]])</f>
        <v>37</v>
      </c>
      <c r="D441" s="2" t="s">
        <v>79</v>
      </c>
      <c r="E441" s="2" t="s">
        <v>80</v>
      </c>
      <c r="F441" s="1" t="s">
        <v>77</v>
      </c>
      <c r="G441" s="1" t="s">
        <v>65</v>
      </c>
      <c r="H441" s="1" t="s">
        <v>82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1</v>
      </c>
      <c r="L441" s="2">
        <f>Games[[#This Row],[OppDaysOff]]-Games[[#This Row],[DaysOff]]</f>
        <v>-1</v>
      </c>
      <c r="M441" s="1">
        <f>MAX(-16, MIN(16, Games[[#This Row],[RestDiff]]*8))</f>
        <v>8</v>
      </c>
      <c r="N441" s="1">
        <f>MAX(-16, MIN(16, Games[[#This Row],[OppRestDiff]]*8))</f>
        <v>-8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1395.9573129897653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1456.5503150947118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0.55646928352692804</v>
      </c>
      <c r="R441" s="1">
        <v>69</v>
      </c>
      <c r="S441" s="1">
        <v>72</v>
      </c>
      <c r="T441" s="1">
        <v>0</v>
      </c>
      <c r="U441" s="1">
        <f>Games[[#This Row],[PointsFor]]-Games[[#This Row],[PointsAgainst]]</f>
        <v>-3</v>
      </c>
      <c r="V441" s="1">
        <f>IF(Games[[#This Row],[MOV]]&gt;0,1,IF(Games[[#This Row],[MOV]]=0,0.5,0))</f>
        <v>0</v>
      </c>
      <c r="W441" s="4">
        <f>((ABS(Games[[#This Row],[MOV]])+5)^0.6)/(12+0.01*(ABS(Games[[#This Row],[PreGmRate]]-Games[[#This Row],[OppPreGmRate]])))*IF(Games[[#This Row],[OT]]=1,0.9,1)</f>
        <v>0.27623525177197494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1" s="9">
        <f>MAX(kmin, kmax - 0.15 * MIN(Games[[#This Row],[GamesPlayed]], 82))</f>
        <v>70.45</v>
      </c>
      <c r="Z441" s="4">
        <f>Games[[#This Row],[K]]*Games[[#This Row],[POMult]]</f>
        <v>70.45</v>
      </c>
      <c r="AA441" s="4">
        <f>(Games[[#This Row],[Keff]]*Games[[#This Row],[MOVMult]])*(Games[[#This Row],[Result]]-Games[[#This Row],[ExpectedWin%]])</f>
        <v>-10.829322679377498</v>
      </c>
      <c r="AB441" s="4">
        <f>Games[[#This Row],[PreGmRate]]+Games[[#This Row],[RatingChange]]</f>
        <v>1385.1279903103878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1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45548</v>
      </c>
      <c r="B442" s="2">
        <v>2024</v>
      </c>
      <c r="C442" s="2">
        <f>COUNTIFS(Games[Team],Games[[#This Row],[Team]],Games[Season],Games[[#This Row],[Season]],Games[Date],"&lt;=" &amp; Games[[#This Row],[Date]])</f>
        <v>37</v>
      </c>
      <c r="D442" s="2" t="s">
        <v>79</v>
      </c>
      <c r="E442" s="2" t="s">
        <v>80</v>
      </c>
      <c r="F442" s="1" t="s">
        <v>71</v>
      </c>
      <c r="G442" s="1" t="s">
        <v>85</v>
      </c>
      <c r="H442" s="1" t="s">
        <v>81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2" s="2">
        <f>Games[[#This Row],[DaysOff]]-Games[[#This Row],[OppDaysOff]]</f>
        <v>1</v>
      </c>
      <c r="L442" s="2">
        <f>Games[[#This Row],[OppDaysOff]]-Games[[#This Row],[DaysOff]]</f>
        <v>-1</v>
      </c>
      <c r="M442" s="1">
        <f>MAX(-16, MIN(16, Games[[#This Row],[RestDiff]]*8))</f>
        <v>8</v>
      </c>
      <c r="N442" s="1">
        <f>MAX(-16, MIN(16, Games[[#This Row],[OppRestDiff]]*8))</f>
        <v>-8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1556.2325556802034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1343.4837974741263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0.69703975036067312</v>
      </c>
      <c r="R442" s="1">
        <v>83</v>
      </c>
      <c r="S442" s="1">
        <v>81</v>
      </c>
      <c r="T442" s="1">
        <v>0</v>
      </c>
      <c r="U442" s="1">
        <f>Games[[#This Row],[PointsFor]]-Games[[#This Row],[PointsAgainst]]</f>
        <v>2</v>
      </c>
      <c r="V442" s="1">
        <f>IF(Games[[#This Row],[MOV]]&gt;0,1,IF(Games[[#This Row],[MOV]]=0,0.5,0))</f>
        <v>1</v>
      </c>
      <c r="W442" s="4">
        <f>((ABS(Games[[#This Row],[MOV]])+5)^0.6)/(12+0.01*(ABS(Games[[#This Row],[PreGmRate]]-Games[[#This Row],[OppPreGmRate]])))*IF(Games[[#This Row],[OT]]=1,0.9,1)</f>
        <v>0.22750654219631594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2" s="9">
        <f>MAX(kmin, kmax - 0.15 * MIN(Games[[#This Row],[GamesPlayed]], 82))</f>
        <v>70.45</v>
      </c>
      <c r="Z442" s="4">
        <f>Games[[#This Row],[K]]*Games[[#This Row],[POMult]]</f>
        <v>70.45</v>
      </c>
      <c r="AA442" s="4">
        <f>(Games[[#This Row],[Keff]]*Games[[#This Row],[MOVMult]])*(Games[[#This Row],[Result]]-Games[[#This Row],[ExpectedWin%]])</f>
        <v>4.855797164754585</v>
      </c>
      <c r="AB442" s="4">
        <f>Games[[#This Row],[PreGmRate]]+Games[[#This Row],[RatingChange]]</f>
        <v>1561.0883528449581</v>
      </c>
      <c r="AC442" s="2">
        <f>IF(Games[[#This Row],[Type]]="R",IF(Games[[#This Row],[Result]]&gt;0.5,1,0),0)</f>
        <v>1</v>
      </c>
      <c r="AD442" s="2">
        <f>IF(Games[[#This Row],[Type]]="R",IF(Games[[#This Row],[Result]]&lt;0.5,1,0),0)</f>
        <v>0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45548</v>
      </c>
      <c r="B443" s="2">
        <v>2024</v>
      </c>
      <c r="C443" s="2">
        <f>COUNTIFS(Games[Team],Games[[#This Row],[Team]],Games[Season],Games[[#This Row],[Season]],Games[Date],"&lt;=" &amp; Games[[#This Row],[Date]])</f>
        <v>38</v>
      </c>
      <c r="D443" s="2" t="s">
        <v>79</v>
      </c>
      <c r="E443" s="2" t="s">
        <v>80</v>
      </c>
      <c r="F443" s="1" t="s">
        <v>85</v>
      </c>
      <c r="G443" s="1" t="s">
        <v>71</v>
      </c>
      <c r="H443" s="1" t="s">
        <v>82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3" s="2">
        <f>Games[[#This Row],[DaysOff]]-Games[[#This Row],[OppDaysOff]]</f>
        <v>-1</v>
      </c>
      <c r="L443" s="2">
        <f>Games[[#This Row],[OppDaysOff]]-Games[[#This Row],[DaysOff]]</f>
        <v>1</v>
      </c>
      <c r="M443" s="1">
        <f>MAX(-16, MIN(16, Games[[#This Row],[RestDiff]]*8))</f>
        <v>-8</v>
      </c>
      <c r="N443" s="1">
        <f>MAX(-16, MIN(16, Games[[#This Row],[OppRestDiff]]*8))</f>
        <v>8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1343.4837974741263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1556.2325556802034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0.30296024963932677</v>
      </c>
      <c r="R443" s="1">
        <v>81</v>
      </c>
      <c r="S443" s="1">
        <v>83</v>
      </c>
      <c r="T443" s="1">
        <v>0</v>
      </c>
      <c r="U443" s="1">
        <f>Games[[#This Row],[PointsFor]]-Games[[#This Row],[PointsAgainst]]</f>
        <v>-2</v>
      </c>
      <c r="V443" s="1">
        <f>IF(Games[[#This Row],[MOV]]&gt;0,1,IF(Games[[#This Row],[MOV]]=0,0.5,0))</f>
        <v>0</v>
      </c>
      <c r="W443" s="4">
        <f>((ABS(Games[[#This Row],[MOV]])+5)^0.6)/(12+0.01*(ABS(Games[[#This Row],[PreGmRate]]-Games[[#This Row],[OppPreGmRate]])))*IF(Games[[#This Row],[OT]]=1,0.9,1)</f>
        <v>0.22750654219631594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3" s="9">
        <f>MAX(kmin, kmax - 0.15 * MIN(Games[[#This Row],[GamesPlayed]], 82))</f>
        <v>70.3</v>
      </c>
      <c r="Z443" s="4">
        <f>Games[[#This Row],[K]]*Games[[#This Row],[POMult]]</f>
        <v>70.3</v>
      </c>
      <c r="AA443" s="4">
        <f>(Games[[#This Row],[Keff]]*Games[[#This Row],[MOVMult]])*(Games[[#This Row],[Result]]-Games[[#This Row],[ExpectedWin%]])</f>
        <v>-4.8454583489318255</v>
      </c>
      <c r="AB443" s="4">
        <f>Games[[#This Row],[PreGmRate]]+Games[[#This Row],[RatingChange]]</f>
        <v>1338.6383391251945</v>
      </c>
      <c r="AC443" s="2">
        <f>IF(Games[[#This Row],[Type]]="R",IF(Games[[#This Row],[Result]]&gt;0.5,1,0),0)</f>
        <v>0</v>
      </c>
      <c r="AD443" s="2">
        <f>IF(Games[[#This Row],[Type]]="R",IF(Games[[#This Row],[Result]]&lt;0.5,1,0),0)</f>
        <v>1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45548</v>
      </c>
      <c r="B444" s="2">
        <v>2024</v>
      </c>
      <c r="C444" s="2">
        <f>COUNTIFS(Games[Team],Games[[#This Row],[Team]],Games[Season],Games[[#This Row],[Season]],Games[Date],"&lt;=" &amp; Games[[#This Row],[Date]])</f>
        <v>37</v>
      </c>
      <c r="D444" s="2" t="s">
        <v>79</v>
      </c>
      <c r="E444" s="2" t="s">
        <v>80</v>
      </c>
      <c r="F444" s="1" t="s">
        <v>86</v>
      </c>
      <c r="G444" s="1" t="s">
        <v>69</v>
      </c>
      <c r="H444" s="1" t="s">
        <v>81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">
        <f>MAX(-16, MIN(16, Games[[#This Row],[RestDiff]]*8))</f>
        <v>0</v>
      </c>
      <c r="N444" s="1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1635.4429708088744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1507.3175145680641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0.56316240109834459</v>
      </c>
      <c r="R444" s="1">
        <v>78</v>
      </c>
      <c r="S444" s="1">
        <v>74</v>
      </c>
      <c r="T444" s="1">
        <v>0</v>
      </c>
      <c r="U444" s="1">
        <f>Games[[#This Row],[PointsFor]]-Games[[#This Row],[PointsAgainst]]</f>
        <v>4</v>
      </c>
      <c r="V444" s="1">
        <f>IF(Games[[#This Row],[MOV]]&gt;0,1,IF(Games[[#This Row],[MOV]]=0,0.5,0))</f>
        <v>1</v>
      </c>
      <c r="W444" s="4">
        <f>((ABS(Games[[#This Row],[MOV]])+5)^0.6)/(12+0.01*(ABS(Games[[#This Row],[PreGmRate]]-Games[[#This Row],[OppPreGmRate]])))*IF(Games[[#This Row],[OT]]=1,0.9,1)</f>
        <v>0.28138853910868339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4" s="9">
        <f>MAX(kmin, kmax - 0.15 * MIN(Games[[#This Row],[GamesPlayed]], 82))</f>
        <v>70.45</v>
      </c>
      <c r="Z444" s="4">
        <f>Games[[#This Row],[K]]*Games[[#This Row],[POMult]]</f>
        <v>70.45</v>
      </c>
      <c r="AA444" s="4">
        <f>(Games[[#This Row],[Keff]]*Games[[#This Row],[MOVMult]])*(Games[[#This Row],[Result]]-Games[[#This Row],[ExpectedWin%]])</f>
        <v>8.659791056989933</v>
      </c>
      <c r="AB444" s="4">
        <f>Games[[#This Row],[PreGmRate]]+Games[[#This Row],[RatingChange]]</f>
        <v>1644.1027618658643</v>
      </c>
      <c r="AC444" s="2">
        <f>IF(Games[[#This Row],[Type]]="R",IF(Games[[#This Row],[Result]]&gt;0.5,1,0),0)</f>
        <v>1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45548</v>
      </c>
      <c r="B445" s="2">
        <v>2024</v>
      </c>
      <c r="C445" s="2">
        <f>COUNTIFS(Games[Team],Games[[#This Row],[Team]],Games[Season],Games[[#This Row],[Season]],Games[Date],"&lt;=" &amp; Games[[#This Row],[Date]])</f>
        <v>38</v>
      </c>
      <c r="D445" s="2" t="s">
        <v>79</v>
      </c>
      <c r="E445" s="2" t="s">
        <v>80</v>
      </c>
      <c r="F445" s="1" t="s">
        <v>69</v>
      </c>
      <c r="G445" s="1" t="s">
        <v>86</v>
      </c>
      <c r="H445" s="1" t="s">
        <v>82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">
        <f>MAX(-16, MIN(16, Games[[#This Row],[RestDiff]]*8))</f>
        <v>0</v>
      </c>
      <c r="N445" s="1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1507.3175145680641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1635.4429708088744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0.43683759890165541</v>
      </c>
      <c r="R445" s="1">
        <v>74</v>
      </c>
      <c r="S445" s="1">
        <v>78</v>
      </c>
      <c r="T445" s="1">
        <v>0</v>
      </c>
      <c r="U445" s="1">
        <f>Games[[#This Row],[PointsFor]]-Games[[#This Row],[PointsAgainst]]</f>
        <v>-4</v>
      </c>
      <c r="V445" s="1">
        <f>IF(Games[[#This Row],[MOV]]&gt;0,1,IF(Games[[#This Row],[MOV]]=0,0.5,0))</f>
        <v>0</v>
      </c>
      <c r="W445" s="4">
        <f>((ABS(Games[[#This Row],[MOV]])+5)^0.6)/(12+0.01*(ABS(Games[[#This Row],[PreGmRate]]-Games[[#This Row],[OppPreGmRate]])))*IF(Games[[#This Row],[OT]]=1,0.9,1)</f>
        <v>0.28138853910868339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5" s="9">
        <f>MAX(kmin, kmax - 0.15 * MIN(Games[[#This Row],[GamesPlayed]], 82))</f>
        <v>70.3</v>
      </c>
      <c r="Z445" s="4">
        <f>Games[[#This Row],[K]]*Games[[#This Row],[POMult]]</f>
        <v>70.3</v>
      </c>
      <c r="AA445" s="4">
        <f>(Games[[#This Row],[Keff]]*Games[[#This Row],[MOVMult]])*(Games[[#This Row],[Result]]-Games[[#This Row],[ExpectedWin%]])</f>
        <v>-8.6413528929225301</v>
      </c>
      <c r="AB445" s="4">
        <f>Games[[#This Row],[PreGmRate]]+Games[[#This Row],[RatingChange]]</f>
        <v>1498.6761616751417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1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45548</v>
      </c>
      <c r="B446" s="2">
        <v>2024</v>
      </c>
      <c r="C446" s="2">
        <f>COUNTIFS(Games[Team],Games[[#This Row],[Team]],Games[Season],Games[[#This Row],[Season]],Games[Date],"&lt;=" &amp; Games[[#This Row],[Date]])</f>
        <v>37</v>
      </c>
      <c r="D446" s="2" t="s">
        <v>79</v>
      </c>
      <c r="E446" s="2" t="s">
        <v>80</v>
      </c>
      <c r="F446" s="1" t="s">
        <v>75</v>
      </c>
      <c r="G446" s="1" t="s">
        <v>67</v>
      </c>
      <c r="H446" s="1" t="s">
        <v>81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6" s="2">
        <f>Games[[#This Row],[DaysOff]]-Games[[#This Row],[OppDaysOff]]</f>
        <v>-1</v>
      </c>
      <c r="L446" s="2">
        <f>Games[[#This Row],[OppDaysOff]]-Games[[#This Row],[DaysOff]]</f>
        <v>1</v>
      </c>
      <c r="M446" s="1">
        <f>MAX(-16, MIN(16, Games[[#This Row],[RestDiff]]*8))</f>
        <v>-8</v>
      </c>
      <c r="N446" s="1">
        <f>MAX(-16, MIN(16, Games[[#This Row],[OppRestDiff]]*8))</f>
        <v>8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1384.0421401521967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1650.1546741110194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0.10836872384425153</v>
      </c>
      <c r="R446" s="1">
        <v>66</v>
      </c>
      <c r="S446" s="1">
        <v>83</v>
      </c>
      <c r="T446" s="1">
        <v>0</v>
      </c>
      <c r="U446" s="1">
        <f>Games[[#This Row],[PointsFor]]-Games[[#This Row],[PointsAgainst]]</f>
        <v>-17</v>
      </c>
      <c r="V446" s="1">
        <f>IF(Games[[#This Row],[MOV]]&gt;0,1,IF(Games[[#This Row],[MOV]]=0,0.5,0))</f>
        <v>0</v>
      </c>
      <c r="W446" s="4">
        <f>((ABS(Games[[#This Row],[MOV]])+5)^0.6)/(12+0.01*(ABS(Games[[#This Row],[PreGmRate]]-Games[[#This Row],[OppPreGmRate]])))*IF(Games[[#This Row],[OT]]=1,0.9,1)</f>
        <v>0.43579907278546037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6" s="9">
        <f>MAX(kmin, kmax - 0.15 * MIN(Games[[#This Row],[GamesPlayed]], 82))</f>
        <v>70.45</v>
      </c>
      <c r="Z446" s="4">
        <f>Games[[#This Row],[K]]*Games[[#This Row],[POMult]]</f>
        <v>70.45</v>
      </c>
      <c r="AA446" s="4">
        <f>(Games[[#This Row],[Keff]]*Games[[#This Row],[MOVMult]])*(Games[[#This Row],[Result]]-Games[[#This Row],[ExpectedWin%]])</f>
        <v>-3.3271414011354108</v>
      </c>
      <c r="AB446" s="4">
        <f>Games[[#This Row],[PreGmRate]]+Games[[#This Row],[RatingChange]]</f>
        <v>1380.7149987510613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1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45548</v>
      </c>
      <c r="B447" s="2">
        <v>2024</v>
      </c>
      <c r="C447" s="2">
        <f>COUNTIFS(Games[Team],Games[[#This Row],[Team]],Games[Season],Games[[#This Row],[Season]],Games[Date],"&lt;=" &amp; Games[[#This Row],[Date]])</f>
        <v>38</v>
      </c>
      <c r="D447" s="2" t="s">
        <v>79</v>
      </c>
      <c r="E447" s="2" t="s">
        <v>80</v>
      </c>
      <c r="F447" s="1" t="s">
        <v>67</v>
      </c>
      <c r="G447" s="1" t="s">
        <v>75</v>
      </c>
      <c r="H447" s="1" t="s">
        <v>82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7" s="2">
        <f>Games[[#This Row],[DaysOff]]-Games[[#This Row],[OppDaysOff]]</f>
        <v>1</v>
      </c>
      <c r="L447" s="2">
        <f>Games[[#This Row],[OppDaysOff]]-Games[[#This Row],[DaysOff]]</f>
        <v>-1</v>
      </c>
      <c r="M447" s="1">
        <f>MAX(-16, MIN(16, Games[[#This Row],[RestDiff]]*8))</f>
        <v>8</v>
      </c>
      <c r="N447" s="1">
        <f>MAX(-16, MIN(16, Games[[#This Row],[OppRestDiff]]*8))</f>
        <v>-8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1650.1546741110194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1384.0421401521967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0.89163127615574855</v>
      </c>
      <c r="R447" s="1">
        <v>83</v>
      </c>
      <c r="S447" s="1">
        <v>66</v>
      </c>
      <c r="T447" s="1">
        <v>0</v>
      </c>
      <c r="U447" s="1">
        <f>Games[[#This Row],[PointsFor]]-Games[[#This Row],[PointsAgainst]]</f>
        <v>17</v>
      </c>
      <c r="V447" s="1">
        <f>IF(Games[[#This Row],[MOV]]&gt;0,1,IF(Games[[#This Row],[MOV]]=0,0.5,0))</f>
        <v>1</v>
      </c>
      <c r="W447" s="4">
        <f>((ABS(Games[[#This Row],[MOV]])+5)^0.6)/(12+0.01*(ABS(Games[[#This Row],[PreGmRate]]-Games[[#This Row],[OppPreGmRate]])))*IF(Games[[#This Row],[OT]]=1,0.9,1)</f>
        <v>0.43579907278546037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7" s="9">
        <f>MAX(kmin, kmax - 0.15 * MIN(Games[[#This Row],[GamesPlayed]], 82))</f>
        <v>70.3</v>
      </c>
      <c r="Z447" s="4">
        <f>Games[[#This Row],[K]]*Games[[#This Row],[POMult]]</f>
        <v>70.3</v>
      </c>
      <c r="AA447" s="4">
        <f>(Games[[#This Row],[Keff]]*Games[[#This Row],[MOVMult]])*(Games[[#This Row],[Result]]-Games[[#This Row],[ExpectedWin%]])</f>
        <v>3.3200573527298678</v>
      </c>
      <c r="AB447" s="4">
        <f>Games[[#This Row],[PreGmRate]]+Games[[#This Row],[RatingChange]]</f>
        <v>1653.4747314637493</v>
      </c>
      <c r="AC447" s="2">
        <f>IF(Games[[#This Row],[Type]]="R",IF(Games[[#This Row],[Result]]&gt;0.5,1,0),0)</f>
        <v>1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45548</v>
      </c>
      <c r="B448" s="2">
        <v>2024</v>
      </c>
      <c r="C448" s="2">
        <f>COUNTIFS(Games[Team],Games[[#This Row],[Team]],Games[Season],Games[[#This Row],[Season]],Games[Date],"&lt;=" &amp; Games[[#This Row],[Date]])</f>
        <v>37</v>
      </c>
      <c r="D448" s="2" t="s">
        <v>79</v>
      </c>
      <c r="E448" s="2" t="s">
        <v>80</v>
      </c>
      <c r="F448" s="1" t="s">
        <v>74</v>
      </c>
      <c r="G448" s="1" t="s">
        <v>40</v>
      </c>
      <c r="H448" s="1" t="s">
        <v>81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48" s="2">
        <f>Games[[#This Row],[DaysOff]]-Games[[#This Row],[OppDaysOff]]</f>
        <v>-3</v>
      </c>
      <c r="L448" s="2">
        <f>Games[[#This Row],[OppDaysOff]]-Games[[#This Row],[DaysOff]]</f>
        <v>3</v>
      </c>
      <c r="M448" s="1">
        <f>MAX(-16, MIN(16, Games[[#This Row],[RestDiff]]*8))</f>
        <v>-16</v>
      </c>
      <c r="N448" s="1">
        <f>MAX(-16, MIN(16, Games[[#This Row],[OppRestDiff]]*8))</f>
        <v>16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1618.4734178083668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1428.5351944268336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0.60482790928889762</v>
      </c>
      <c r="R448" s="1">
        <v>88</v>
      </c>
      <c r="S448" s="1">
        <v>69</v>
      </c>
      <c r="T448" s="1">
        <v>0</v>
      </c>
      <c r="U448" s="1">
        <f>Games[[#This Row],[PointsFor]]-Games[[#This Row],[PointsAgainst]]</f>
        <v>19</v>
      </c>
      <c r="V448" s="1">
        <f>IF(Games[[#This Row],[MOV]]&gt;0,1,IF(Games[[#This Row],[MOV]]=0,0.5,0))</f>
        <v>1</v>
      </c>
      <c r="W448" s="4">
        <f>((ABS(Games[[#This Row],[MOV]])+5)^0.6)/(12+0.01*(ABS(Games[[#This Row],[PreGmRate]]-Games[[#This Row],[OppPreGmRate]])))*IF(Games[[#This Row],[OT]]=1,0.9,1)</f>
        <v>0.48431870995674897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8" s="9">
        <f>MAX(kmin, kmax - 0.15 * MIN(Games[[#This Row],[GamesPlayed]], 82))</f>
        <v>70.45</v>
      </c>
      <c r="Z448" s="4">
        <f>Games[[#This Row],[K]]*Games[[#This Row],[POMult]]</f>
        <v>70.45</v>
      </c>
      <c r="AA448" s="4">
        <f>(Games[[#This Row],[Keff]]*Games[[#This Row],[MOVMult]])*(Games[[#This Row],[Result]]-Games[[#This Row],[ExpectedWin%]])</f>
        <v>13.483371759620724</v>
      </c>
      <c r="AB448" s="4">
        <f>Games[[#This Row],[PreGmRate]]+Games[[#This Row],[RatingChange]]</f>
        <v>1631.9567895679875</v>
      </c>
      <c r="AC448" s="2">
        <f>IF(Games[[#This Row],[Type]]="R",IF(Games[[#This Row],[Result]]&gt;0.5,1,0),0)</f>
        <v>1</v>
      </c>
      <c r="AD448" s="2">
        <f>IF(Games[[#This Row],[Type]]="R",IF(Games[[#This Row],[Result]]&lt;0.5,1,0),0)</f>
        <v>0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45548</v>
      </c>
      <c r="B449" s="2">
        <v>2024</v>
      </c>
      <c r="C449" s="2">
        <f>COUNTIFS(Games[Team],Games[[#This Row],[Team]],Games[Season],Games[[#This Row],[Season]],Games[Date],"&lt;=" &amp; Games[[#This Row],[Date]])</f>
        <v>37</v>
      </c>
      <c r="D449" s="2" t="s">
        <v>79</v>
      </c>
      <c r="E449" s="2" t="s">
        <v>80</v>
      </c>
      <c r="F449" s="1" t="s">
        <v>40</v>
      </c>
      <c r="G449" s="1" t="s">
        <v>74</v>
      </c>
      <c r="H449" s="1" t="s">
        <v>82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5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9" s="2">
        <f>Games[[#This Row],[DaysOff]]-Games[[#This Row],[OppDaysOff]]</f>
        <v>3</v>
      </c>
      <c r="L449" s="2">
        <f>Games[[#This Row],[OppDaysOff]]-Games[[#This Row],[DaysOff]]</f>
        <v>-3</v>
      </c>
      <c r="M449" s="1">
        <f>MAX(-16, MIN(16, Games[[#This Row],[RestDiff]]*8))</f>
        <v>16</v>
      </c>
      <c r="N449" s="1">
        <f>MAX(-16, MIN(16, Games[[#This Row],[OppRestDiff]]*8))</f>
        <v>-16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1428.5351944268336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1618.4734178083668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0.39517209071110232</v>
      </c>
      <c r="R449" s="1">
        <v>69</v>
      </c>
      <c r="S449" s="1">
        <v>88</v>
      </c>
      <c r="T449" s="1">
        <v>0</v>
      </c>
      <c r="U449" s="1">
        <f>Games[[#This Row],[PointsFor]]-Games[[#This Row],[PointsAgainst]]</f>
        <v>-19</v>
      </c>
      <c r="V449" s="1">
        <f>IF(Games[[#This Row],[MOV]]&gt;0,1,IF(Games[[#This Row],[MOV]]=0,0.5,0))</f>
        <v>0</v>
      </c>
      <c r="W449" s="4">
        <f>((ABS(Games[[#This Row],[MOV]])+5)^0.6)/(12+0.01*(ABS(Games[[#This Row],[PreGmRate]]-Games[[#This Row],[OppPreGmRate]])))*IF(Games[[#This Row],[OT]]=1,0.9,1)</f>
        <v>0.48431870995674897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9" s="9">
        <f>MAX(kmin, kmax - 0.15 * MIN(Games[[#This Row],[GamesPlayed]], 82))</f>
        <v>70.45</v>
      </c>
      <c r="Z449" s="4">
        <f>Games[[#This Row],[K]]*Games[[#This Row],[POMult]]</f>
        <v>70.45</v>
      </c>
      <c r="AA449" s="4">
        <f>(Games[[#This Row],[Keff]]*Games[[#This Row],[MOVMult]])*(Games[[#This Row],[Result]]-Games[[#This Row],[ExpectedWin%]])</f>
        <v>-13.483371759620722</v>
      </c>
      <c r="AB449" s="4">
        <f>Games[[#This Row],[PreGmRate]]+Games[[#This Row],[RatingChange]]</f>
        <v>1415.0518226672129</v>
      </c>
      <c r="AC449" s="2">
        <f>IF(Games[[#This Row],[Type]]="R",IF(Games[[#This Row],[Result]]&gt;0.5,1,0),0)</f>
        <v>0</v>
      </c>
      <c r="AD449" s="2">
        <f>IF(Games[[#This Row],[Type]]="R",IF(Games[[#This Row],[Result]]&lt;0.5,1,0),0)</f>
        <v>1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45550</v>
      </c>
      <c r="B450" s="2">
        <v>2024</v>
      </c>
      <c r="C450" s="2">
        <f>COUNTIFS(Games[Team],Games[[#This Row],[Team]],Games[Season],Games[[#This Row],[Season]],Games[Date],"&lt;=" &amp; Games[[#This Row],[Date]])</f>
        <v>38</v>
      </c>
      <c r="D450" s="2" t="s">
        <v>79</v>
      </c>
      <c r="E450" s="2" t="s">
        <v>80</v>
      </c>
      <c r="F450" s="1" t="s">
        <v>40</v>
      </c>
      <c r="G450" s="1" t="s">
        <v>75</v>
      </c>
      <c r="H450" s="1" t="s">
        <v>81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0" s="2">
        <f>Games[[#This Row],[DaysOff]]-Games[[#This Row],[OppDaysOff]]</f>
        <v>0</v>
      </c>
      <c r="L450" s="2">
        <f>Games[[#This Row],[OppDaysOff]]-Games[[#This Row],[DaysOff]]</f>
        <v>0</v>
      </c>
      <c r="M450" s="1">
        <f>MAX(-16, MIN(16, Games[[#This Row],[RestDiff]]*8))</f>
        <v>0</v>
      </c>
      <c r="N450" s="1">
        <f>MAX(-16, MIN(16, Games[[#This Row],[OppRestDiff]]*8))</f>
        <v>0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1415.0518226672129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1380.7149987510613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0.42901177483337422</v>
      </c>
      <c r="R450" s="1">
        <v>93</v>
      </c>
      <c r="S450" s="1">
        <v>88</v>
      </c>
      <c r="T450" s="1">
        <v>0</v>
      </c>
      <c r="U450" s="1">
        <f>Games[[#This Row],[PointsFor]]-Games[[#This Row],[PointsAgainst]]</f>
        <v>5</v>
      </c>
      <c r="V450" s="1">
        <f>IF(Games[[#This Row],[MOV]]&gt;0,1,IF(Games[[#This Row],[MOV]]=0,0.5,0))</f>
        <v>1</v>
      </c>
      <c r="W450" s="4">
        <f>((ABS(Games[[#This Row],[MOV]])+5)^0.6)/(12+0.01*(ABS(Games[[#This Row],[PreGmRate]]-Games[[#This Row],[OppPreGmRate]])))*IF(Games[[#This Row],[OT]]=1,0.9,1)</f>
        <v>0.32252717640751571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0" s="9">
        <f>MAX(kmin, kmax - 0.15 * MIN(Games[[#This Row],[GamesPlayed]], 82))</f>
        <v>70.3</v>
      </c>
      <c r="Z450" s="4">
        <f>Games[[#This Row],[K]]*Games[[#This Row],[POMult]]</f>
        <v>70.3</v>
      </c>
      <c r="AA450" s="4">
        <f>(Games[[#This Row],[Keff]]*Games[[#This Row],[MOVMult]])*(Games[[#This Row],[Result]]-Games[[#This Row],[ExpectedWin%]])</f>
        <v>12.946393167752623</v>
      </c>
      <c r="AB450" s="4">
        <f>Games[[#This Row],[PreGmRate]]+Games[[#This Row],[RatingChange]]</f>
        <v>1427.9982158349655</v>
      </c>
      <c r="AC450" s="2">
        <f>IF(Games[[#This Row],[Type]]="R",IF(Games[[#This Row],[Result]]&gt;0.5,1,0),0)</f>
        <v>1</v>
      </c>
      <c r="AD450" s="2">
        <f>IF(Games[[#This Row],[Type]]="R",IF(Games[[#This Row],[Result]]&lt;0.5,1,0),0)</f>
        <v>0</v>
      </c>
      <c r="AE450" s="2">
        <f>IF(AND(Games[[#This Row],[Type]]="P",Games[[#This Row],[Round]]=1),IF(Games[[#This Row],[Result]]&gt;0.5,1,0),0)</f>
        <v>0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45550</v>
      </c>
      <c r="B451" s="2">
        <v>2024</v>
      </c>
      <c r="C451" s="2">
        <f>COUNTIFS(Games[Team],Games[[#This Row],[Team]],Games[Season],Games[[#This Row],[Season]],Games[Date],"&lt;=" &amp; Games[[#This Row],[Date]])</f>
        <v>38</v>
      </c>
      <c r="D451" s="2" t="s">
        <v>79</v>
      </c>
      <c r="E451" s="2" t="s">
        <v>80</v>
      </c>
      <c r="F451" s="1" t="s">
        <v>75</v>
      </c>
      <c r="G451" s="1" t="s">
        <v>40</v>
      </c>
      <c r="H451" s="1" t="s">
        <v>82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1" s="2">
        <f>Games[[#This Row],[DaysOff]]-Games[[#This Row],[OppDaysOff]]</f>
        <v>0</v>
      </c>
      <c r="L451" s="2">
        <f>Games[[#This Row],[OppDaysOff]]-Games[[#This Row],[DaysOff]]</f>
        <v>0</v>
      </c>
      <c r="M451" s="1">
        <f>MAX(-16, MIN(16, Games[[#This Row],[RestDiff]]*8))</f>
        <v>0</v>
      </c>
      <c r="N451" s="1">
        <f>MAX(-16, MIN(16, Games[[#This Row],[OppRestDiff]]*8))</f>
        <v>0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1380.7149987510613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1415.0518226672129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0.57098822516662573</v>
      </c>
      <c r="R451" s="1">
        <v>88</v>
      </c>
      <c r="S451" s="1">
        <v>93</v>
      </c>
      <c r="T451" s="1">
        <v>0</v>
      </c>
      <c r="U451" s="1">
        <f>Games[[#This Row],[PointsFor]]-Games[[#This Row],[PointsAgainst]]</f>
        <v>-5</v>
      </c>
      <c r="V451" s="1">
        <f>IF(Games[[#This Row],[MOV]]&gt;0,1,IF(Games[[#This Row],[MOV]]=0,0.5,0))</f>
        <v>0</v>
      </c>
      <c r="W451" s="4">
        <f>((ABS(Games[[#This Row],[MOV]])+5)^0.6)/(12+0.01*(ABS(Games[[#This Row],[PreGmRate]]-Games[[#This Row],[OppPreGmRate]])))*IF(Games[[#This Row],[OT]]=1,0.9,1)</f>
        <v>0.32252717640751571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1" s="9">
        <f>MAX(kmin, kmax - 0.15 * MIN(Games[[#This Row],[GamesPlayed]], 82))</f>
        <v>70.3</v>
      </c>
      <c r="Z451" s="4">
        <f>Games[[#This Row],[K]]*Games[[#This Row],[POMult]]</f>
        <v>70.3</v>
      </c>
      <c r="AA451" s="4">
        <f>(Games[[#This Row],[Keff]]*Games[[#This Row],[MOVMult]])*(Games[[#This Row],[Result]]-Games[[#This Row],[ExpectedWin%]])</f>
        <v>-12.946393167752619</v>
      </c>
      <c r="AB451" s="4">
        <f>Games[[#This Row],[PreGmRate]]+Games[[#This Row],[RatingChange]]</f>
        <v>1367.7686055833087</v>
      </c>
      <c r="AC451" s="2">
        <f>IF(Games[[#This Row],[Type]]="R",IF(Games[[#This Row],[Result]]&gt;0.5,1,0),0)</f>
        <v>0</v>
      </c>
      <c r="AD451" s="2">
        <f>IF(Games[[#This Row],[Type]]="R",IF(Games[[#This Row],[Result]]&lt;0.5,1,0),0)</f>
        <v>1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0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45550</v>
      </c>
      <c r="B452" s="2">
        <v>2024</v>
      </c>
      <c r="C452" s="2">
        <f>COUNTIFS(Games[Team],Games[[#This Row],[Team]],Games[Season],Games[[#This Row],[Season]],Games[Date],"&lt;=" &amp; Games[[#This Row],[Date]])</f>
        <v>39</v>
      </c>
      <c r="D452" s="2" t="s">
        <v>79</v>
      </c>
      <c r="E452" s="2" t="s">
        <v>80</v>
      </c>
      <c r="F452" s="1" t="s">
        <v>85</v>
      </c>
      <c r="G452" s="1" t="s">
        <v>69</v>
      </c>
      <c r="H452" s="1" t="s">
        <v>81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">
        <f>MAX(-16, MIN(16, Games[[#This Row],[RestDiff]]*8))</f>
        <v>0</v>
      </c>
      <c r="N452" s="1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1338.6383391251945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1498.6761616751417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0.19705637814308544</v>
      </c>
      <c r="R452" s="1">
        <v>109</v>
      </c>
      <c r="S452" s="1">
        <v>110</v>
      </c>
      <c r="T452" s="1">
        <v>0</v>
      </c>
      <c r="U452" s="1">
        <f>Games[[#This Row],[PointsFor]]-Games[[#This Row],[PointsAgainst]]</f>
        <v>-1</v>
      </c>
      <c r="V452" s="1">
        <f>IF(Games[[#This Row],[MOV]]&gt;0,1,IF(Games[[#This Row],[MOV]]=0,0.5,0))</f>
        <v>0</v>
      </c>
      <c r="W452" s="4">
        <f>((ABS(Games[[#This Row],[MOV]])+5)^0.6)/(12+0.01*(ABS(Games[[#This Row],[PreGmRate]]-Games[[#This Row],[OppPreGmRate]])))*IF(Games[[#This Row],[OT]]=1,0.9,1)</f>
        <v>0.21544665912965166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2" s="9">
        <f>MAX(kmin, kmax - 0.15 * MIN(Games[[#This Row],[GamesPlayed]], 82))</f>
        <v>70.150000000000006</v>
      </c>
      <c r="Z452" s="4">
        <f>Games[[#This Row],[K]]*Games[[#This Row],[POMult]]</f>
        <v>70.150000000000006</v>
      </c>
      <c r="AA452" s="4">
        <f>(Games[[#This Row],[Keff]]*Games[[#This Row],[MOVMult]])*(Games[[#This Row],[Result]]-Games[[#This Row],[ExpectedWin%]])</f>
        <v>-2.9782279539278624</v>
      </c>
      <c r="AB452" s="4">
        <f>Games[[#This Row],[PreGmRate]]+Games[[#This Row],[RatingChange]]</f>
        <v>1335.6601111712666</v>
      </c>
      <c r="AC452" s="2">
        <f>IF(Games[[#This Row],[Type]]="R",IF(Games[[#This Row],[Result]]&gt;0.5,1,0),0)</f>
        <v>0</v>
      </c>
      <c r="AD452" s="2">
        <f>IF(Games[[#This Row],[Type]]="R",IF(Games[[#This Row],[Result]]&lt;0.5,1,0),0)</f>
        <v>1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0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45550</v>
      </c>
      <c r="B453" s="2">
        <v>2024</v>
      </c>
      <c r="C453" s="2">
        <f>COUNTIFS(Games[Team],Games[[#This Row],[Team]],Games[Season],Games[[#This Row],[Season]],Games[Date],"&lt;=" &amp; Games[[#This Row],[Date]])</f>
        <v>39</v>
      </c>
      <c r="D453" s="2" t="s">
        <v>79</v>
      </c>
      <c r="E453" s="2" t="s">
        <v>80</v>
      </c>
      <c r="F453" s="1" t="s">
        <v>69</v>
      </c>
      <c r="G453" s="1" t="s">
        <v>85</v>
      </c>
      <c r="H453" s="1" t="s">
        <v>82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">
        <f>MAX(-16, MIN(16, Games[[#This Row],[RestDiff]]*8))</f>
        <v>0</v>
      </c>
      <c r="N453" s="1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1498.6761616751417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1338.6383391251945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0.80294362185691459</v>
      </c>
      <c r="R453" s="1">
        <v>110</v>
      </c>
      <c r="S453" s="1">
        <v>109</v>
      </c>
      <c r="T453" s="1">
        <v>0</v>
      </c>
      <c r="U453" s="1">
        <f>Games[[#This Row],[PointsFor]]-Games[[#This Row],[PointsAgainst]]</f>
        <v>1</v>
      </c>
      <c r="V453" s="1">
        <f>IF(Games[[#This Row],[MOV]]&gt;0,1,IF(Games[[#This Row],[MOV]]=0,0.5,0))</f>
        <v>1</v>
      </c>
      <c r="W453" s="4">
        <f>((ABS(Games[[#This Row],[MOV]])+5)^0.6)/(12+0.01*(ABS(Games[[#This Row],[PreGmRate]]-Games[[#This Row],[OppPreGmRate]])))*IF(Games[[#This Row],[OT]]=1,0.9,1)</f>
        <v>0.21544665912965166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3" s="9">
        <f>MAX(kmin, kmax - 0.15 * MIN(Games[[#This Row],[GamesPlayed]], 82))</f>
        <v>70.150000000000006</v>
      </c>
      <c r="Z453" s="4">
        <f>Games[[#This Row],[K]]*Games[[#This Row],[POMult]]</f>
        <v>70.150000000000006</v>
      </c>
      <c r="AA453" s="4">
        <f>(Games[[#This Row],[Keff]]*Games[[#This Row],[MOVMult]])*(Games[[#This Row],[Result]]-Games[[#This Row],[ExpectedWin%]])</f>
        <v>2.978227953927862</v>
      </c>
      <c r="AB453" s="4">
        <f>Games[[#This Row],[PreGmRate]]+Games[[#This Row],[RatingChange]]</f>
        <v>1501.6543896290696</v>
      </c>
      <c r="AC453" s="2">
        <f>IF(Games[[#This Row],[Type]]="R",IF(Games[[#This Row],[Result]]&gt;0.5,1,0),0)</f>
        <v>1</v>
      </c>
      <c r="AD453" s="2">
        <f>IF(Games[[#This Row],[Type]]="R",IF(Games[[#This Row],[Result]]&lt;0.5,1,0),0)</f>
        <v>0</v>
      </c>
      <c r="AE453" s="2">
        <f>IF(AND(Games[[#This Row],[Type]]="P",Games[[#This Row],[Round]]=1),IF(Games[[#This Row],[Result]]&gt;0.5,1,0),0)</f>
        <v>0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45550</v>
      </c>
      <c r="B454" s="2">
        <v>2024</v>
      </c>
      <c r="C454" s="2">
        <f>COUNTIFS(Games[Team],Games[[#This Row],[Team]],Games[Season],Games[[#This Row],[Season]],Games[Date],"&lt;=" &amp; Games[[#This Row],[Date]])</f>
        <v>38</v>
      </c>
      <c r="D454" s="2" t="s">
        <v>79</v>
      </c>
      <c r="E454" s="2" t="s">
        <v>80</v>
      </c>
      <c r="F454" s="1" t="s">
        <v>74</v>
      </c>
      <c r="G454" s="1" t="s">
        <v>86</v>
      </c>
      <c r="H454" s="1" t="s">
        <v>81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">
        <f>MAX(-16, MIN(16, Games[[#This Row],[RestDiff]]*8))</f>
        <v>0</v>
      </c>
      <c r="N454" s="1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1631.9567895679875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1644.1027618658643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0.36506187199259676</v>
      </c>
      <c r="R454" s="1">
        <v>71</v>
      </c>
      <c r="S454" s="1">
        <v>84</v>
      </c>
      <c r="T454" s="1">
        <v>0</v>
      </c>
      <c r="U454" s="1">
        <f>Games[[#This Row],[PointsFor]]-Games[[#This Row],[PointsAgainst]]</f>
        <v>-13</v>
      </c>
      <c r="V454" s="1">
        <f>IF(Games[[#This Row],[MOV]]&gt;0,1,IF(Games[[#This Row],[MOV]]=0,0.5,0))</f>
        <v>0</v>
      </c>
      <c r="W454" s="4">
        <f>((ABS(Games[[#This Row],[MOV]])+5)^0.6)/(12+0.01*(ABS(Games[[#This Row],[PreGmRate]]-Games[[#This Row],[OppPreGmRate]])))*IF(Games[[#This Row],[OT]]=1,0.9,1)</f>
        <v>0.46731377220444137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4" s="9">
        <f>MAX(kmin, kmax - 0.15 * MIN(Games[[#This Row],[GamesPlayed]], 82))</f>
        <v>70.3</v>
      </c>
      <c r="Z454" s="4">
        <f>Games[[#This Row],[K]]*Games[[#This Row],[POMult]]</f>
        <v>70.3</v>
      </c>
      <c r="AA454" s="4">
        <f>(Games[[#This Row],[Keff]]*Games[[#This Row],[MOVMult]])*(Games[[#This Row],[Result]]-Games[[#This Row],[ExpectedWin%]])</f>
        <v>-11.993070366367935</v>
      </c>
      <c r="AB454" s="4">
        <f>Games[[#This Row],[PreGmRate]]+Games[[#This Row],[RatingChange]]</f>
        <v>1619.9637192016196</v>
      </c>
      <c r="AC454" s="2">
        <f>IF(Games[[#This Row],[Type]]="R",IF(Games[[#This Row],[Result]]&gt;0.5,1,0),0)</f>
        <v>0</v>
      </c>
      <c r="AD454" s="2">
        <f>IF(Games[[#This Row],[Type]]="R",IF(Games[[#This Row],[Result]]&lt;0.5,1,0),0)</f>
        <v>1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45550</v>
      </c>
      <c r="B455" s="2">
        <v>2024</v>
      </c>
      <c r="C455" s="2">
        <f>COUNTIFS(Games[Team],Games[[#This Row],[Team]],Games[Season],Games[[#This Row],[Season]],Games[Date],"&lt;=" &amp; Games[[#This Row],[Date]])</f>
        <v>38</v>
      </c>
      <c r="D455" s="2" t="s">
        <v>79</v>
      </c>
      <c r="E455" s="2" t="s">
        <v>80</v>
      </c>
      <c r="F455" s="1" t="s">
        <v>86</v>
      </c>
      <c r="G455" s="1" t="s">
        <v>74</v>
      </c>
      <c r="H455" s="1" t="s">
        <v>82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">
        <f>MAX(-16, MIN(16, Games[[#This Row],[RestDiff]]*8))</f>
        <v>0</v>
      </c>
      <c r="N455" s="1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1644.1027618658643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1631.9567895679875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0.63493812800740324</v>
      </c>
      <c r="R455" s="1">
        <v>84</v>
      </c>
      <c r="S455" s="1">
        <v>71</v>
      </c>
      <c r="T455" s="1">
        <v>0</v>
      </c>
      <c r="U455" s="1">
        <f>Games[[#This Row],[PointsFor]]-Games[[#This Row],[PointsAgainst]]</f>
        <v>13</v>
      </c>
      <c r="V455" s="1">
        <f>IF(Games[[#This Row],[MOV]]&gt;0,1,IF(Games[[#This Row],[MOV]]=0,0.5,0))</f>
        <v>1</v>
      </c>
      <c r="W455" s="4">
        <f>((ABS(Games[[#This Row],[MOV]])+5)^0.6)/(12+0.01*(ABS(Games[[#This Row],[PreGmRate]]-Games[[#This Row],[OppPreGmRate]])))*IF(Games[[#This Row],[OT]]=1,0.9,1)</f>
        <v>0.46731377220444137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5" s="9">
        <f>MAX(kmin, kmax - 0.15 * MIN(Games[[#This Row],[GamesPlayed]], 82))</f>
        <v>70.3</v>
      </c>
      <c r="Z455" s="4">
        <f>Games[[#This Row],[K]]*Games[[#This Row],[POMult]]</f>
        <v>70.3</v>
      </c>
      <c r="AA455" s="4">
        <f>(Games[[#This Row],[Keff]]*Games[[#This Row],[MOVMult]])*(Games[[#This Row],[Result]]-Games[[#This Row],[ExpectedWin%]])</f>
        <v>11.993070366367935</v>
      </c>
      <c r="AB455" s="4">
        <f>Games[[#This Row],[PreGmRate]]+Games[[#This Row],[RatingChange]]</f>
        <v>1656.0958322322322</v>
      </c>
      <c r="AC455" s="2">
        <f>IF(Games[[#This Row],[Type]]="R",IF(Games[[#This Row],[Result]]&gt;0.5,1,0),0)</f>
        <v>1</v>
      </c>
      <c r="AD455" s="2">
        <f>IF(Games[[#This Row],[Type]]="R",IF(Games[[#This Row],[Result]]&lt;0.5,1,0),0)</f>
        <v>0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45550</v>
      </c>
      <c r="B456" s="2">
        <v>2024</v>
      </c>
      <c r="C456" s="2">
        <f>COUNTIFS(Games[Team],Games[[#This Row],[Team]],Games[Season],Games[[#This Row],[Season]],Games[Date],"&lt;=" &amp; Games[[#This Row],[Date]])</f>
        <v>39</v>
      </c>
      <c r="D456" s="2" t="s">
        <v>79</v>
      </c>
      <c r="E456" s="2" t="s">
        <v>80</v>
      </c>
      <c r="F456" s="1" t="s">
        <v>67</v>
      </c>
      <c r="G456" s="1" t="s">
        <v>60</v>
      </c>
      <c r="H456" s="1" t="s">
        <v>81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6" s="2">
        <f>Games[[#This Row],[DaysOff]]-Games[[#This Row],[OppDaysOff]]</f>
        <v>-1</v>
      </c>
      <c r="L456" s="2">
        <f>Games[[#This Row],[OppDaysOff]]-Games[[#This Row],[DaysOff]]</f>
        <v>1</v>
      </c>
      <c r="M456" s="1">
        <f>MAX(-16, MIN(16, Games[[#This Row],[RestDiff]]*8))</f>
        <v>-8</v>
      </c>
      <c r="N456" s="1">
        <f>MAX(-16, MIN(16, Games[[#This Row],[OppRestDiff]]*8))</f>
        <v>8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1653.4747314637493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1731.7868948545679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0.26377344412858078</v>
      </c>
      <c r="R456" s="1">
        <v>88</v>
      </c>
      <c r="S456" s="1">
        <v>79</v>
      </c>
      <c r="T456" s="1">
        <v>0</v>
      </c>
      <c r="U456" s="1">
        <f>Games[[#This Row],[PointsFor]]-Games[[#This Row],[PointsAgainst]]</f>
        <v>9</v>
      </c>
      <c r="V456" s="1">
        <f>IF(Games[[#This Row],[MOV]]&gt;0,1,IF(Games[[#This Row],[MOV]]=0,0.5,0))</f>
        <v>1</v>
      </c>
      <c r="W456" s="4">
        <f>((ABS(Games[[#This Row],[MOV]])+5)^0.6)/(12+0.01*(ABS(Games[[#This Row],[PreGmRate]]-Games[[#This Row],[OppPreGmRate]])))*IF(Games[[#This Row],[OT]]=1,0.9,1)</f>
        <v>0.38110083477923545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6" s="9">
        <f>MAX(kmin, kmax - 0.15 * MIN(Games[[#This Row],[GamesPlayed]], 82))</f>
        <v>70.150000000000006</v>
      </c>
      <c r="Z456" s="4">
        <f>Games[[#This Row],[K]]*Games[[#This Row],[POMult]]</f>
        <v>70.150000000000006</v>
      </c>
      <c r="AA456" s="4">
        <f>(Games[[#This Row],[Keff]]*Games[[#This Row],[MOVMult]])*(Games[[#This Row],[Result]]-Games[[#This Row],[ExpectedWin%]])</f>
        <v>19.682445335301136</v>
      </c>
      <c r="AB456" s="4">
        <f>Games[[#This Row],[PreGmRate]]+Games[[#This Row],[RatingChange]]</f>
        <v>1673.1571767990504</v>
      </c>
      <c r="AC456" s="2">
        <f>IF(Games[[#This Row],[Type]]="R",IF(Games[[#This Row],[Result]]&gt;0.5,1,0),0)</f>
        <v>1</v>
      </c>
      <c r="AD456" s="2">
        <f>IF(Games[[#This Row],[Type]]="R",IF(Games[[#This Row],[Result]]&lt;0.5,1,0),0)</f>
        <v>0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0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45550</v>
      </c>
      <c r="B457" s="2">
        <v>2024</v>
      </c>
      <c r="C457" s="2">
        <f>COUNTIFS(Games[Team],Games[[#This Row],[Team]],Games[Season],Games[[#This Row],[Season]],Games[Date],"&lt;=" &amp; Games[[#This Row],[Date]])</f>
        <v>39</v>
      </c>
      <c r="D457" s="2" t="s">
        <v>79</v>
      </c>
      <c r="E457" s="2" t="s">
        <v>80</v>
      </c>
      <c r="F457" s="1" t="s">
        <v>60</v>
      </c>
      <c r="G457" s="1" t="s">
        <v>67</v>
      </c>
      <c r="H457" s="1" t="s">
        <v>82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7" s="2">
        <f>Games[[#This Row],[DaysOff]]-Games[[#This Row],[OppDaysOff]]</f>
        <v>1</v>
      </c>
      <c r="L457" s="2">
        <f>Games[[#This Row],[OppDaysOff]]-Games[[#This Row],[DaysOff]]</f>
        <v>-1</v>
      </c>
      <c r="M457" s="1">
        <f>MAX(-16, MIN(16, Games[[#This Row],[RestDiff]]*8))</f>
        <v>8</v>
      </c>
      <c r="N457" s="1">
        <f>MAX(-16, MIN(16, Games[[#This Row],[OppRestDiff]]*8))</f>
        <v>-8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1731.7868948545679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1653.4747314637493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0.73622655587141927</v>
      </c>
      <c r="R457" s="1">
        <v>79</v>
      </c>
      <c r="S457" s="1">
        <v>88</v>
      </c>
      <c r="T457" s="1">
        <v>0</v>
      </c>
      <c r="U457" s="1">
        <f>Games[[#This Row],[PointsFor]]-Games[[#This Row],[PointsAgainst]]</f>
        <v>-9</v>
      </c>
      <c r="V457" s="1">
        <f>IF(Games[[#This Row],[MOV]]&gt;0,1,IF(Games[[#This Row],[MOV]]=0,0.5,0))</f>
        <v>0</v>
      </c>
      <c r="W457" s="4">
        <f>((ABS(Games[[#This Row],[MOV]])+5)^0.6)/(12+0.01*(ABS(Games[[#This Row],[PreGmRate]]-Games[[#This Row],[OppPreGmRate]])))*IF(Games[[#This Row],[OT]]=1,0.9,1)</f>
        <v>0.38110083477923545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7" s="9">
        <f>MAX(kmin, kmax - 0.15 * MIN(Games[[#This Row],[GamesPlayed]], 82))</f>
        <v>70.150000000000006</v>
      </c>
      <c r="Z457" s="4">
        <f>Games[[#This Row],[K]]*Games[[#This Row],[POMult]]</f>
        <v>70.150000000000006</v>
      </c>
      <c r="AA457" s="4">
        <f>(Games[[#This Row],[Keff]]*Games[[#This Row],[MOVMult]])*(Games[[#This Row],[Result]]-Games[[#This Row],[ExpectedWin%]])</f>
        <v>-19.682445335301139</v>
      </c>
      <c r="AB457" s="4">
        <f>Games[[#This Row],[PreGmRate]]+Games[[#This Row],[RatingChange]]</f>
        <v>1712.1044495192668</v>
      </c>
      <c r="AC457" s="2">
        <f>IF(Games[[#This Row],[Type]]="R",IF(Games[[#This Row],[Result]]&gt;0.5,1,0),0)</f>
        <v>0</v>
      </c>
      <c r="AD457" s="2">
        <f>IF(Games[[#This Row],[Type]]="R",IF(Games[[#This Row],[Result]]&lt;0.5,1,0),0)</f>
        <v>1</v>
      </c>
      <c r="AE457" s="2">
        <f>IF(AND(Games[[#This Row],[Type]]="P",Games[[#This Row],[Round]]=1),IF(Games[[#This Row],[Result]]&gt;0.5,1,0),0)</f>
        <v>0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45550</v>
      </c>
      <c r="B458" s="2">
        <v>2024</v>
      </c>
      <c r="C458" s="2">
        <f>COUNTIFS(Games[Team],Games[[#This Row],[Team]],Games[Season],Games[[#This Row],[Season]],Games[Date],"&lt;=" &amp; Games[[#This Row],[Date]])</f>
        <v>38</v>
      </c>
      <c r="D458" s="2" t="s">
        <v>79</v>
      </c>
      <c r="E458" s="2" t="s">
        <v>80</v>
      </c>
      <c r="F458" s="1" t="s">
        <v>63</v>
      </c>
      <c r="G458" s="1" t="s">
        <v>71</v>
      </c>
      <c r="H458" s="1" t="s">
        <v>81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8" s="2">
        <f>Games[[#This Row],[DaysOff]]-Games[[#This Row],[OppDaysOff]]</f>
        <v>2</v>
      </c>
      <c r="L458" s="2">
        <f>Games[[#This Row],[OppDaysOff]]-Games[[#This Row],[DaysOff]]</f>
        <v>-2</v>
      </c>
      <c r="M458" s="1">
        <f>MAX(-16, MIN(16, Games[[#This Row],[RestDiff]]*8))</f>
        <v>16</v>
      </c>
      <c r="N458" s="1">
        <f>MAX(-16, MIN(16, Games[[#This Row],[OppRestDiff]]*8))</f>
        <v>-16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1291.1166745027676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1561.0883528449581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0.13547208773065109</v>
      </c>
      <c r="R458" s="1">
        <v>87</v>
      </c>
      <c r="S458" s="1">
        <v>90</v>
      </c>
      <c r="T458" s="1">
        <v>0</v>
      </c>
      <c r="U458" s="1">
        <f>Games[[#This Row],[PointsFor]]-Games[[#This Row],[PointsAgainst]]</f>
        <v>-3</v>
      </c>
      <c r="V458" s="1">
        <f>IF(Games[[#This Row],[MOV]]&gt;0,1,IF(Games[[#This Row],[MOV]]=0,0.5,0))</f>
        <v>0</v>
      </c>
      <c r="W458" s="4">
        <f>((ABS(Games[[#This Row],[MOV]])+5)^0.6)/(12+0.01*(ABS(Games[[#This Row],[PreGmRate]]-Games[[#This Row],[OppPreGmRate]])))*IF(Games[[#This Row],[OT]]=1,0.9,1)</f>
        <v>0.23688907102697829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8" s="9">
        <f>MAX(kmin, kmax - 0.15 * MIN(Games[[#This Row],[GamesPlayed]], 82))</f>
        <v>70.3</v>
      </c>
      <c r="Z458" s="4">
        <f>Games[[#This Row],[K]]*Games[[#This Row],[POMult]]</f>
        <v>70.3</v>
      </c>
      <c r="AA458" s="4">
        <f>(Games[[#This Row],[Keff]]*Games[[#This Row],[MOVMult]])*(Games[[#This Row],[Result]]-Games[[#This Row],[ExpectedWin%]])</f>
        <v>-2.2560575479857263</v>
      </c>
      <c r="AB458" s="4">
        <f>Games[[#This Row],[PreGmRate]]+Games[[#This Row],[RatingChange]]</f>
        <v>1288.860616954782</v>
      </c>
      <c r="AC458" s="2">
        <f>IF(Games[[#This Row],[Type]]="R",IF(Games[[#This Row],[Result]]&gt;0.5,1,0),0)</f>
        <v>0</v>
      </c>
      <c r="AD458" s="2">
        <f>IF(Games[[#This Row],[Type]]="R",IF(Games[[#This Row],[Result]]&lt;0.5,1,0),0)</f>
        <v>1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0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45550</v>
      </c>
      <c r="B459" s="2">
        <v>2024</v>
      </c>
      <c r="C459" s="2">
        <f>COUNTIFS(Games[Team],Games[[#This Row],[Team]],Games[Season],Games[[#This Row],[Season]],Games[Date],"&lt;=" &amp; Games[[#This Row],[Date]])</f>
        <v>38</v>
      </c>
      <c r="D459" s="2" t="s">
        <v>79</v>
      </c>
      <c r="E459" s="2" t="s">
        <v>80</v>
      </c>
      <c r="F459" s="1" t="s">
        <v>71</v>
      </c>
      <c r="G459" s="1" t="s">
        <v>63</v>
      </c>
      <c r="H459" s="1" t="s">
        <v>82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59" s="2">
        <f>Games[[#This Row],[DaysOff]]-Games[[#This Row],[OppDaysOff]]</f>
        <v>-2</v>
      </c>
      <c r="L459" s="2">
        <f>Games[[#This Row],[OppDaysOff]]-Games[[#This Row],[DaysOff]]</f>
        <v>2</v>
      </c>
      <c r="M459" s="1">
        <f>MAX(-16, MIN(16, Games[[#This Row],[RestDiff]]*8))</f>
        <v>-16</v>
      </c>
      <c r="N459" s="1">
        <f>MAX(-16, MIN(16, Games[[#This Row],[OppRestDiff]]*8))</f>
        <v>16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1561.0883528449581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1291.1166745027676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0.864527912269349</v>
      </c>
      <c r="R459" s="1">
        <v>90</v>
      </c>
      <c r="S459" s="1">
        <v>87</v>
      </c>
      <c r="T459" s="1">
        <v>0</v>
      </c>
      <c r="U459" s="1">
        <f>Games[[#This Row],[PointsFor]]-Games[[#This Row],[PointsAgainst]]</f>
        <v>3</v>
      </c>
      <c r="V459" s="1">
        <f>IF(Games[[#This Row],[MOV]]&gt;0,1,IF(Games[[#This Row],[MOV]]=0,0.5,0))</f>
        <v>1</v>
      </c>
      <c r="W459" s="4">
        <f>((ABS(Games[[#This Row],[MOV]])+5)^0.6)/(12+0.01*(ABS(Games[[#This Row],[PreGmRate]]-Games[[#This Row],[OppPreGmRate]])))*IF(Games[[#This Row],[OT]]=1,0.9,1)</f>
        <v>0.23688907102697829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9" s="9">
        <f>MAX(kmin, kmax - 0.15 * MIN(Games[[#This Row],[GamesPlayed]], 82))</f>
        <v>70.3</v>
      </c>
      <c r="Z459" s="4">
        <f>Games[[#This Row],[K]]*Games[[#This Row],[POMult]]</f>
        <v>70.3</v>
      </c>
      <c r="AA459" s="4">
        <f>(Games[[#This Row],[Keff]]*Games[[#This Row],[MOVMult]])*(Games[[#This Row],[Result]]-Games[[#This Row],[ExpectedWin%]])</f>
        <v>2.256057547985725</v>
      </c>
      <c r="AB459" s="4">
        <f>Games[[#This Row],[PreGmRate]]+Games[[#This Row],[RatingChange]]</f>
        <v>1563.3444103929437</v>
      </c>
      <c r="AC459" s="2">
        <f>IF(Games[[#This Row],[Type]]="R",IF(Games[[#This Row],[Result]]&gt;0.5,1,0),0)</f>
        <v>1</v>
      </c>
      <c r="AD459" s="2">
        <f>IF(Games[[#This Row],[Type]]="R",IF(Games[[#This Row],[Result]]&lt;0.5,1,0),0)</f>
        <v>0</v>
      </c>
      <c r="AE459" s="2">
        <f>IF(AND(Games[[#This Row],[Type]]="P",Games[[#This Row],[Round]]=1),IF(Games[[#This Row],[Result]]&gt;0.5,1,0),0)</f>
        <v>0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45550</v>
      </c>
      <c r="B460" s="2">
        <v>2024</v>
      </c>
      <c r="C460" s="2">
        <f>COUNTIFS(Games[Team],Games[[#This Row],[Team]],Games[Season],Games[[#This Row],[Season]],Games[Date],"&lt;=" &amp; Games[[#This Row],[Date]])</f>
        <v>38</v>
      </c>
      <c r="D460" s="2" t="s">
        <v>79</v>
      </c>
      <c r="E460" s="2" t="s">
        <v>80</v>
      </c>
      <c r="F460" s="1" t="s">
        <v>77</v>
      </c>
      <c r="G460" s="1" t="s">
        <v>65</v>
      </c>
      <c r="H460" s="1" t="s">
        <v>81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0" s="2">
        <f>Games[[#This Row],[DaysOff]]-Games[[#This Row],[OppDaysOff]]</f>
        <v>0</v>
      </c>
      <c r="L460" s="2">
        <f>Games[[#This Row],[OppDaysOff]]-Games[[#This Row],[DaysOff]]</f>
        <v>0</v>
      </c>
      <c r="M460" s="1">
        <f>MAX(-16, MIN(16, Games[[#This Row],[RestDiff]]*8))</f>
        <v>0</v>
      </c>
      <c r="N460" s="1">
        <f>MAX(-16, MIN(16, Games[[#This Row],[OppRestDiff]]*8))</f>
        <v>0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1385.1279903103878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1467.3796377740894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0.27747495380619519</v>
      </c>
      <c r="R460" s="1">
        <v>76</v>
      </c>
      <c r="S460" s="1">
        <v>73</v>
      </c>
      <c r="T460" s="1">
        <v>1</v>
      </c>
      <c r="U460" s="1">
        <f>Games[[#This Row],[PointsFor]]-Games[[#This Row],[PointsAgainst]]</f>
        <v>3</v>
      </c>
      <c r="V460" s="1">
        <f>IF(Games[[#This Row],[MOV]]&gt;0,1,IF(Games[[#This Row],[MOV]]=0,0.5,0))</f>
        <v>1</v>
      </c>
      <c r="W460" s="4">
        <f>((ABS(Games[[#This Row],[MOV]])+5)^0.6)/(12+0.01*(ABS(Games[[#This Row],[PreGmRate]]-Games[[#This Row],[OppPreGmRate]])))*IF(Games[[#This Row],[OT]]=1,0.9,1)</f>
        <v>0.24441240017628948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0" s="9">
        <f>MAX(kmin, kmax - 0.15 * MIN(Games[[#This Row],[GamesPlayed]], 82))</f>
        <v>70.3</v>
      </c>
      <c r="Z460" s="4">
        <f>Games[[#This Row],[K]]*Games[[#This Row],[POMult]]</f>
        <v>70.3</v>
      </c>
      <c r="AA460" s="4">
        <f>(Games[[#This Row],[Keff]]*Games[[#This Row],[MOVMult]])*(Games[[#This Row],[Result]]-Games[[#This Row],[ExpectedWin%]])</f>
        <v>12.414563875158173</v>
      </c>
      <c r="AB460" s="4">
        <f>Games[[#This Row],[PreGmRate]]+Games[[#This Row],[RatingChange]]</f>
        <v>1397.5425541855459</v>
      </c>
      <c r="AC460" s="2">
        <f>IF(Games[[#This Row],[Type]]="R",IF(Games[[#This Row],[Result]]&gt;0.5,1,0),0)</f>
        <v>1</v>
      </c>
      <c r="AD460" s="2">
        <f>IF(Games[[#This Row],[Type]]="R",IF(Games[[#This Row],[Result]]&lt;0.5,1,0),0)</f>
        <v>0</v>
      </c>
      <c r="AE460" s="2">
        <f>IF(AND(Games[[#This Row],[Type]]="P",Games[[#This Row],[Round]]=1),IF(Games[[#This Row],[Result]]&gt;0.5,1,0),0)</f>
        <v>0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45550</v>
      </c>
      <c r="B461" s="2">
        <v>2024</v>
      </c>
      <c r="C461" s="2">
        <f>COUNTIFS(Games[Team],Games[[#This Row],[Team]],Games[Season],Games[[#This Row],[Season]],Games[Date],"&lt;=" &amp; Games[[#This Row],[Date]])</f>
        <v>38</v>
      </c>
      <c r="D461" s="2" t="s">
        <v>79</v>
      </c>
      <c r="E461" s="2" t="s">
        <v>80</v>
      </c>
      <c r="F461" s="1" t="s">
        <v>65</v>
      </c>
      <c r="G461" s="1" t="s">
        <v>77</v>
      </c>
      <c r="H461" s="1" t="s">
        <v>82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1" s="2">
        <f>Games[[#This Row],[DaysOff]]-Games[[#This Row],[OppDaysOff]]</f>
        <v>0</v>
      </c>
      <c r="L461" s="2">
        <f>Games[[#This Row],[OppDaysOff]]-Games[[#This Row],[DaysOff]]</f>
        <v>0</v>
      </c>
      <c r="M461" s="1">
        <f>MAX(-16, MIN(16, Games[[#This Row],[RestDiff]]*8))</f>
        <v>0</v>
      </c>
      <c r="N461" s="1">
        <f>MAX(-16, MIN(16, Games[[#This Row],[OppRestDiff]]*8))</f>
        <v>0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1467.3796377740894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1385.1279903103878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0.72252504619380475</v>
      </c>
      <c r="R461" s="1">
        <v>73</v>
      </c>
      <c r="S461" s="1">
        <v>76</v>
      </c>
      <c r="T461" s="1">
        <v>1</v>
      </c>
      <c r="U461" s="1">
        <f>Games[[#This Row],[PointsFor]]-Games[[#This Row],[PointsAgainst]]</f>
        <v>-3</v>
      </c>
      <c r="V461" s="1">
        <f>IF(Games[[#This Row],[MOV]]&gt;0,1,IF(Games[[#This Row],[MOV]]=0,0.5,0))</f>
        <v>0</v>
      </c>
      <c r="W461" s="4">
        <f>((ABS(Games[[#This Row],[MOV]])+5)^0.6)/(12+0.01*(ABS(Games[[#This Row],[PreGmRate]]-Games[[#This Row],[OppPreGmRate]])))*IF(Games[[#This Row],[OT]]=1,0.9,1)</f>
        <v>0.24441240017628948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1" s="9">
        <f>MAX(kmin, kmax - 0.15 * MIN(Games[[#This Row],[GamesPlayed]], 82))</f>
        <v>70.3</v>
      </c>
      <c r="Z461" s="4">
        <f>Games[[#This Row],[K]]*Games[[#This Row],[POMult]]</f>
        <v>70.3</v>
      </c>
      <c r="AA461" s="4">
        <f>(Games[[#This Row],[Keff]]*Games[[#This Row],[MOVMult]])*(Games[[#This Row],[Result]]-Games[[#This Row],[ExpectedWin%]])</f>
        <v>-12.414563875158171</v>
      </c>
      <c r="AB461" s="4">
        <f>Games[[#This Row],[PreGmRate]]+Games[[#This Row],[RatingChange]]</f>
        <v>1454.9650738989312</v>
      </c>
      <c r="AC461" s="2">
        <f>IF(Games[[#This Row],[Type]]="R",IF(Games[[#This Row],[Result]]&gt;0.5,1,0),0)</f>
        <v>0</v>
      </c>
      <c r="AD461" s="2">
        <f>IF(Games[[#This Row],[Type]]="R",IF(Games[[#This Row],[Result]]&lt;0.5,1,0),0)</f>
        <v>1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0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45552</v>
      </c>
      <c r="B462" s="2">
        <v>2024</v>
      </c>
      <c r="C462" s="2">
        <f>COUNTIFS(Games[Team],Games[[#This Row],[Team]],Games[Season],Games[[#This Row],[Season]],Games[Date],"&lt;=" &amp; Games[[#This Row],[Date]])</f>
        <v>39</v>
      </c>
      <c r="D462" s="2" t="s">
        <v>79</v>
      </c>
      <c r="E462" s="2" t="s">
        <v>80</v>
      </c>
      <c r="F462" s="1" t="s">
        <v>75</v>
      </c>
      <c r="G462" s="1" t="s">
        <v>77</v>
      </c>
      <c r="H462" s="1" t="s">
        <v>81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2" s="2">
        <f>Games[[#This Row],[DaysOff]]-Games[[#This Row],[OppDaysOff]]</f>
        <v>0</v>
      </c>
      <c r="L462" s="2">
        <f>Games[[#This Row],[OppDaysOff]]-Games[[#This Row],[DaysOff]]</f>
        <v>0</v>
      </c>
      <c r="M462" s="1">
        <f>MAX(-16, MIN(16, Games[[#This Row],[RestDiff]]*8))</f>
        <v>0</v>
      </c>
      <c r="N462" s="1">
        <f>MAX(-16, MIN(16, Games[[#This Row],[OppRestDiff]]*8))</f>
        <v>0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1367.7686055833087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1397.5425541855459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0.34187819825471155</v>
      </c>
      <c r="R462" s="1">
        <v>70</v>
      </c>
      <c r="S462" s="1">
        <v>86</v>
      </c>
      <c r="T462" s="1">
        <v>0</v>
      </c>
      <c r="U462" s="1">
        <f>Games[[#This Row],[PointsFor]]-Games[[#This Row],[PointsAgainst]]</f>
        <v>-16</v>
      </c>
      <c r="V462" s="1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0.50524996032180858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2" s="9">
        <f>MAX(kmin, kmax - 0.15 * MIN(Games[[#This Row],[GamesPlayed]], 82))</f>
        <v>70.150000000000006</v>
      </c>
      <c r="Z462" s="4">
        <f>Games[[#This Row],[K]]*Games[[#This Row],[POMult]]</f>
        <v>70.150000000000006</v>
      </c>
      <c r="AA462" s="4">
        <f>(Games[[#This Row],[Keff]]*Games[[#This Row],[MOVMult]])*(Games[[#This Row],[Result]]-Games[[#This Row],[ExpectedWin%]])</f>
        <v>-12.117286319131372</v>
      </c>
      <c r="AB462" s="4">
        <f>Games[[#This Row],[PreGmRate]]+Games[[#This Row],[RatingChange]]</f>
        <v>1355.6513192641773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1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0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45552</v>
      </c>
      <c r="B463" s="2">
        <v>2024</v>
      </c>
      <c r="C463" s="2">
        <f>COUNTIFS(Games[Team],Games[[#This Row],[Team]],Games[Season],Games[[#This Row],[Season]],Games[Date],"&lt;=" &amp; Games[[#This Row],[Date]])</f>
        <v>39</v>
      </c>
      <c r="D463" s="2" t="s">
        <v>79</v>
      </c>
      <c r="E463" s="2" t="s">
        <v>80</v>
      </c>
      <c r="F463" s="1" t="s">
        <v>77</v>
      </c>
      <c r="G463" s="1" t="s">
        <v>75</v>
      </c>
      <c r="H463" s="1" t="s">
        <v>82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3" s="2">
        <f>Games[[#This Row],[DaysOff]]-Games[[#This Row],[OppDaysOff]]</f>
        <v>0</v>
      </c>
      <c r="L463" s="2">
        <f>Games[[#This Row],[OppDaysOff]]-Games[[#This Row],[DaysOff]]</f>
        <v>0</v>
      </c>
      <c r="M463" s="1">
        <f>MAX(-16, MIN(16, Games[[#This Row],[RestDiff]]*8))</f>
        <v>0</v>
      </c>
      <c r="N463" s="1">
        <f>MAX(-16, MIN(16, Games[[#This Row],[OppRestDiff]]*8))</f>
        <v>0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1397.5425541855459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1367.7686055833087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0.65812180174528856</v>
      </c>
      <c r="R463" s="1">
        <v>86</v>
      </c>
      <c r="S463" s="1">
        <v>70</v>
      </c>
      <c r="T463" s="1">
        <v>0</v>
      </c>
      <c r="U463" s="1">
        <f>Games[[#This Row],[PointsFor]]-Games[[#This Row],[PointsAgainst]]</f>
        <v>16</v>
      </c>
      <c r="V463" s="1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0.50524996032180858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3" s="9">
        <f>MAX(kmin, kmax - 0.15 * MIN(Games[[#This Row],[GamesPlayed]], 82))</f>
        <v>70.150000000000006</v>
      </c>
      <c r="Z463" s="4">
        <f>Games[[#This Row],[K]]*Games[[#This Row],[POMult]]</f>
        <v>70.150000000000006</v>
      </c>
      <c r="AA463" s="4">
        <f>(Games[[#This Row],[Keff]]*Games[[#This Row],[MOVMult]])*(Games[[#This Row],[Result]]-Games[[#This Row],[ExpectedWin%]])</f>
        <v>12.117286319131368</v>
      </c>
      <c r="AB463" s="4">
        <f>Games[[#This Row],[PreGmRate]]+Games[[#This Row],[RatingChange]]</f>
        <v>1409.6598405046773</v>
      </c>
      <c r="AC463" s="2">
        <f>IF(Games[[#This Row],[Type]]="R",IF(Games[[#This Row],[Result]]&gt;0.5,1,0),0)</f>
        <v>1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0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45552</v>
      </c>
      <c r="B464" s="2">
        <v>2024</v>
      </c>
      <c r="C464" s="2">
        <f>COUNTIFS(Games[Team],Games[[#This Row],[Team]],Games[Season],Games[[#This Row],[Season]],Games[Date],"&lt;=" &amp; Games[[#This Row],[Date]])</f>
        <v>40</v>
      </c>
      <c r="D464" s="2" t="s">
        <v>79</v>
      </c>
      <c r="E464" s="2" t="s">
        <v>80</v>
      </c>
      <c r="F464" s="1" t="s">
        <v>67</v>
      </c>
      <c r="G464" s="1" t="s">
        <v>74</v>
      </c>
      <c r="H464" s="1" t="s">
        <v>81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4" s="2">
        <f>Games[[#This Row],[DaysOff]]-Games[[#This Row],[OppDaysOff]]</f>
        <v>0</v>
      </c>
      <c r="L464" s="2">
        <f>Games[[#This Row],[OppDaysOff]]-Games[[#This Row],[DaysOff]]</f>
        <v>0</v>
      </c>
      <c r="M464" s="1">
        <f>MAX(-16, MIN(16, Games[[#This Row],[RestDiff]]*8))</f>
        <v>0</v>
      </c>
      <c r="N464" s="1">
        <f>MAX(-16, MIN(16, Games[[#This Row],[OppRestDiff]]*8))</f>
        <v>0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1673.1571767990504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1619.9637192016196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0.4557816437067902</v>
      </c>
      <c r="R464" s="1">
        <v>78</v>
      </c>
      <c r="S464" s="1">
        <v>76</v>
      </c>
      <c r="T464" s="1">
        <v>0</v>
      </c>
      <c r="U464" s="1">
        <f>Games[[#This Row],[PointsFor]]-Games[[#This Row],[PointsAgainst]]</f>
        <v>2</v>
      </c>
      <c r="V464" s="1">
        <f>IF(Games[[#This Row],[MOV]]&gt;0,1,IF(Games[[#This Row],[MOV]]=0,0.5,0))</f>
        <v>1</v>
      </c>
      <c r="W464" s="4">
        <f>((ABS(Games[[#This Row],[MOV]])+5)^0.6)/(12+0.01*(ABS(Games[[#This Row],[PreGmRate]]-Games[[#This Row],[OppPreGmRate]])))*IF(Games[[#This Row],[OT]]=1,0.9,1)</f>
        <v>0.25647244088538146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4" s="9">
        <f>MAX(kmin, kmax - 0.15 * MIN(Games[[#This Row],[GamesPlayed]], 82))</f>
        <v>70</v>
      </c>
      <c r="Z464" s="4">
        <f>Games[[#This Row],[K]]*Games[[#This Row],[POMult]]</f>
        <v>70</v>
      </c>
      <c r="AA464" s="4">
        <f>(Games[[#This Row],[Keff]]*Games[[#This Row],[MOVMult]])*(Games[[#This Row],[Result]]-Games[[#This Row],[ExpectedWin%]])</f>
        <v>9.7703907149204792</v>
      </c>
      <c r="AB464" s="4">
        <f>Games[[#This Row],[PreGmRate]]+Games[[#This Row],[RatingChange]]</f>
        <v>1682.9275675139709</v>
      </c>
      <c r="AC464" s="2">
        <f>IF(Games[[#This Row],[Type]]="R",IF(Games[[#This Row],[Result]]&gt;0.5,1,0),0)</f>
        <v>1</v>
      </c>
      <c r="AD464" s="2">
        <f>IF(Games[[#This Row],[Type]]="R",IF(Games[[#This Row],[Result]]&lt;0.5,1,0),0)</f>
        <v>0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45552</v>
      </c>
      <c r="B465" s="2">
        <v>2024</v>
      </c>
      <c r="C465" s="2">
        <f>COUNTIFS(Games[Team],Games[[#This Row],[Team]],Games[Season],Games[[#This Row],[Season]],Games[Date],"&lt;=" &amp; Games[[#This Row],[Date]])</f>
        <v>39</v>
      </c>
      <c r="D465" s="2" t="s">
        <v>79</v>
      </c>
      <c r="E465" s="2" t="s">
        <v>80</v>
      </c>
      <c r="F465" s="1" t="s">
        <v>74</v>
      </c>
      <c r="G465" s="1" t="s">
        <v>67</v>
      </c>
      <c r="H465" s="1" t="s">
        <v>82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5" s="2">
        <f>Games[[#This Row],[DaysOff]]-Games[[#This Row],[OppDaysOff]]</f>
        <v>0</v>
      </c>
      <c r="L465" s="2">
        <f>Games[[#This Row],[OppDaysOff]]-Games[[#This Row],[DaysOff]]</f>
        <v>0</v>
      </c>
      <c r="M465" s="1">
        <f>MAX(-16, MIN(16, Games[[#This Row],[RestDiff]]*8))</f>
        <v>0</v>
      </c>
      <c r="N465" s="1">
        <f>MAX(-16, MIN(16, Games[[#This Row],[OppRestDiff]]*8))</f>
        <v>0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1619.9637192016196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1673.1571767990504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0.54421835629320969</v>
      </c>
      <c r="R465" s="1">
        <v>76</v>
      </c>
      <c r="S465" s="1">
        <v>78</v>
      </c>
      <c r="T465" s="1">
        <v>0</v>
      </c>
      <c r="U465" s="1">
        <f>Games[[#This Row],[PointsFor]]-Games[[#This Row],[PointsAgainst]]</f>
        <v>-2</v>
      </c>
      <c r="V465" s="1">
        <f>IF(Games[[#This Row],[MOV]]&gt;0,1,IF(Games[[#This Row],[MOV]]=0,0.5,0))</f>
        <v>0</v>
      </c>
      <c r="W465" s="4">
        <f>((ABS(Games[[#This Row],[MOV]])+5)^0.6)/(12+0.01*(ABS(Games[[#This Row],[PreGmRate]]-Games[[#This Row],[OppPreGmRate]])))*IF(Games[[#This Row],[OT]]=1,0.9,1)</f>
        <v>0.25647244088538146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5" s="9">
        <f>MAX(kmin, kmax - 0.15 * MIN(Games[[#This Row],[GamesPlayed]], 82))</f>
        <v>70.150000000000006</v>
      </c>
      <c r="Z465" s="4">
        <f>Games[[#This Row],[K]]*Games[[#This Row],[POMult]]</f>
        <v>70.150000000000006</v>
      </c>
      <c r="AA465" s="4">
        <f>(Games[[#This Row],[Keff]]*Games[[#This Row],[MOVMult]])*(Games[[#This Row],[Result]]-Games[[#This Row],[ExpectedWin%]])</f>
        <v>-9.7913272664524502</v>
      </c>
      <c r="AB465" s="4">
        <f>Games[[#This Row],[PreGmRate]]+Games[[#This Row],[RatingChange]]</f>
        <v>1610.1723919351671</v>
      </c>
      <c r="AC465" s="2">
        <f>IF(Games[[#This Row],[Type]]="R",IF(Games[[#This Row],[Result]]&gt;0.5,1,0),0)</f>
        <v>0</v>
      </c>
      <c r="AD465" s="2">
        <f>IF(Games[[#This Row],[Type]]="R",IF(Games[[#This Row],[Result]]&lt;0.5,1,0),0)</f>
        <v>1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45552</v>
      </c>
      <c r="B466" s="2">
        <v>2024</v>
      </c>
      <c r="C466" s="2">
        <f>COUNTIFS(Games[Team],Games[[#This Row],[Team]],Games[Season],Games[[#This Row],[Season]],Games[Date],"&lt;=" &amp; Games[[#This Row],[Date]])</f>
        <v>39</v>
      </c>
      <c r="D466" s="2" t="s">
        <v>79</v>
      </c>
      <c r="E466" s="2" t="s">
        <v>80</v>
      </c>
      <c r="F466" s="1" t="s">
        <v>40</v>
      </c>
      <c r="G466" s="1" t="s">
        <v>63</v>
      </c>
      <c r="H466" s="1" t="s">
        <v>81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6" s="2">
        <f>Games[[#This Row],[DaysOff]]-Games[[#This Row],[OppDaysOff]]</f>
        <v>0</v>
      </c>
      <c r="L466" s="2">
        <f>Games[[#This Row],[OppDaysOff]]-Games[[#This Row],[DaysOff]]</f>
        <v>0</v>
      </c>
      <c r="M466" s="1">
        <f>MAX(-16, MIN(16, Games[[#This Row],[RestDiff]]*8))</f>
        <v>0</v>
      </c>
      <c r="N466" s="1">
        <f>MAX(-16, MIN(16, Games[[#This Row],[OppRestDiff]]*8))</f>
        <v>0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1427.9982158349655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1288.860616954782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0.57868988042464664</v>
      </c>
      <c r="R466" s="1">
        <v>85</v>
      </c>
      <c r="S466" s="1">
        <v>81</v>
      </c>
      <c r="T466" s="1">
        <v>0</v>
      </c>
      <c r="U466" s="1">
        <f>Games[[#This Row],[PointsFor]]-Games[[#This Row],[PointsAgainst]]</f>
        <v>4</v>
      </c>
      <c r="V466" s="1">
        <f>IF(Games[[#This Row],[MOV]]&gt;0,1,IF(Games[[#This Row],[MOV]]=0,0.5,0))</f>
        <v>1</v>
      </c>
      <c r="W466" s="4">
        <f>((ABS(Games[[#This Row],[MOV]])+5)^0.6)/(12+0.01*(ABS(Games[[#This Row],[PreGmRate]]-Games[[#This Row],[OppPreGmRate]])))*IF(Games[[#This Row],[OT]]=1,0.9,1)</f>
        <v>0.2790745941247319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6" s="9">
        <f>MAX(kmin, kmax - 0.15 * MIN(Games[[#This Row],[GamesPlayed]], 82))</f>
        <v>70.150000000000006</v>
      </c>
      <c r="Z466" s="4">
        <f>Games[[#This Row],[K]]*Games[[#This Row],[POMult]]</f>
        <v>70.150000000000006</v>
      </c>
      <c r="AA466" s="4">
        <f>(Games[[#This Row],[Keff]]*Games[[#This Row],[MOVMult]])*(Games[[#This Row],[Result]]-Games[[#This Row],[ExpectedWin%]])</f>
        <v>8.2480230860725516</v>
      </c>
      <c r="AB466" s="4">
        <f>Games[[#This Row],[PreGmRate]]+Games[[#This Row],[RatingChange]]</f>
        <v>1436.2462389210382</v>
      </c>
      <c r="AC466" s="2">
        <f>IF(Games[[#This Row],[Type]]="R",IF(Games[[#This Row],[Result]]&gt;0.5,1,0),0)</f>
        <v>1</v>
      </c>
      <c r="AD466" s="2">
        <f>IF(Games[[#This Row],[Type]]="R",IF(Games[[#This Row],[Result]]&lt;0.5,1,0),0)</f>
        <v>0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0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45552</v>
      </c>
      <c r="B467" s="2">
        <v>2024</v>
      </c>
      <c r="C467" s="2">
        <f>COUNTIFS(Games[Team],Games[[#This Row],[Team]],Games[Season],Games[[#This Row],[Season]],Games[Date],"&lt;=" &amp; Games[[#This Row],[Date]])</f>
        <v>39</v>
      </c>
      <c r="D467" s="2" t="s">
        <v>79</v>
      </c>
      <c r="E467" s="2" t="s">
        <v>80</v>
      </c>
      <c r="F467" s="1" t="s">
        <v>63</v>
      </c>
      <c r="G467" s="1" t="s">
        <v>40</v>
      </c>
      <c r="H467" s="1" t="s">
        <v>82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7" s="2">
        <f>Games[[#This Row],[DaysOff]]-Games[[#This Row],[OppDaysOff]]</f>
        <v>0</v>
      </c>
      <c r="L467" s="2">
        <f>Games[[#This Row],[OppDaysOff]]-Games[[#This Row],[DaysOff]]</f>
        <v>0</v>
      </c>
      <c r="M467" s="1">
        <f>MAX(-16, MIN(16, Games[[#This Row],[RestDiff]]*8))</f>
        <v>0</v>
      </c>
      <c r="N467" s="1">
        <f>MAX(-16, MIN(16, Games[[#This Row],[OppRestDiff]]*8))</f>
        <v>0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1288.860616954782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1427.9982158349655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0.42131011957535336</v>
      </c>
      <c r="R467" s="1">
        <v>81</v>
      </c>
      <c r="S467" s="1">
        <v>85</v>
      </c>
      <c r="T467" s="1">
        <v>0</v>
      </c>
      <c r="U467" s="1">
        <f>Games[[#This Row],[PointsFor]]-Games[[#This Row],[PointsAgainst]]</f>
        <v>-4</v>
      </c>
      <c r="V467" s="1">
        <f>IF(Games[[#This Row],[MOV]]&gt;0,1,IF(Games[[#This Row],[MOV]]=0,0.5,0))</f>
        <v>0</v>
      </c>
      <c r="W467" s="4">
        <f>((ABS(Games[[#This Row],[MOV]])+5)^0.6)/(12+0.01*(ABS(Games[[#This Row],[PreGmRate]]-Games[[#This Row],[OppPreGmRate]])))*IF(Games[[#This Row],[OT]]=1,0.9,1)</f>
        <v>0.2790745941247319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7" s="9">
        <f>MAX(kmin, kmax - 0.15 * MIN(Games[[#This Row],[GamesPlayed]], 82))</f>
        <v>70.150000000000006</v>
      </c>
      <c r="Z467" s="4">
        <f>Games[[#This Row],[K]]*Games[[#This Row],[POMult]]</f>
        <v>70.150000000000006</v>
      </c>
      <c r="AA467" s="4">
        <f>(Games[[#This Row],[Keff]]*Games[[#This Row],[MOVMult]])*(Games[[#This Row],[Result]]-Games[[#This Row],[ExpectedWin%]])</f>
        <v>-8.2480230860725516</v>
      </c>
      <c r="AB467" s="4">
        <f>Games[[#This Row],[PreGmRate]]+Games[[#This Row],[RatingChange]]</f>
        <v>1280.6125938687094</v>
      </c>
      <c r="AC467" s="2">
        <f>IF(Games[[#This Row],[Type]]="R",IF(Games[[#This Row],[Result]]&gt;0.5,1,0),0)</f>
        <v>0</v>
      </c>
      <c r="AD467" s="2">
        <f>IF(Games[[#This Row],[Type]]="R",IF(Games[[#This Row],[Result]]&lt;0.5,1,0),0)</f>
        <v>1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0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45552</v>
      </c>
      <c r="B468" s="2">
        <v>2024</v>
      </c>
      <c r="C468" s="2">
        <f>COUNTIFS(Games[Team],Games[[#This Row],[Team]],Games[Season],Games[[#This Row],[Season]],Games[Date],"&lt;=" &amp; Games[[#This Row],[Date]])</f>
        <v>39</v>
      </c>
      <c r="D468" s="2" t="s">
        <v>79</v>
      </c>
      <c r="E468" s="2" t="s">
        <v>80</v>
      </c>
      <c r="F468" s="1" t="s">
        <v>86</v>
      </c>
      <c r="G468" s="1" t="s">
        <v>71</v>
      </c>
      <c r="H468" s="1" t="s">
        <v>81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8" s="2">
        <f>Games[[#This Row],[DaysOff]]-Games[[#This Row],[OppDaysOff]]</f>
        <v>0</v>
      </c>
      <c r="L468" s="2">
        <f>Games[[#This Row],[OppDaysOff]]-Games[[#This Row],[DaysOff]]</f>
        <v>0</v>
      </c>
      <c r="M468" s="1">
        <f>MAX(-16, MIN(16, Games[[#This Row],[RestDiff]]*8))</f>
        <v>0</v>
      </c>
      <c r="N468" s="1">
        <f>MAX(-16, MIN(16, Games[[#This Row],[OppRestDiff]]*8))</f>
        <v>0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1656.0958322322322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1563.3444103929437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0.51259164553908065</v>
      </c>
      <c r="R468" s="1">
        <v>85</v>
      </c>
      <c r="S468" s="1">
        <v>72</v>
      </c>
      <c r="T468" s="1">
        <v>0</v>
      </c>
      <c r="U468" s="1">
        <f>Games[[#This Row],[PointsFor]]-Games[[#This Row],[PointsAgainst]]</f>
        <v>13</v>
      </c>
      <c r="V468" s="1">
        <f>IF(Games[[#This Row],[MOV]]&gt;0,1,IF(Games[[#This Row],[MOV]]=0,0.5,0))</f>
        <v>1</v>
      </c>
      <c r="W468" s="4">
        <f>((ABS(Games[[#This Row],[MOV]])+5)^0.6)/(12+0.01*(ABS(Games[[#This Row],[PreGmRate]]-Games[[#This Row],[OppPreGmRate]])))*IF(Games[[#This Row],[OT]]=1,0.9,1)</f>
        <v>0.43817589151904335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8" s="9">
        <f>MAX(kmin, kmax - 0.15 * MIN(Games[[#This Row],[GamesPlayed]], 82))</f>
        <v>70.150000000000006</v>
      </c>
      <c r="Z468" s="4">
        <f>Games[[#This Row],[K]]*Games[[#This Row],[POMult]]</f>
        <v>70.150000000000006</v>
      </c>
      <c r="AA468" s="4">
        <f>(Games[[#This Row],[Keff]]*Games[[#This Row],[MOVMult]])*(Games[[#This Row],[Result]]-Games[[#This Row],[ExpectedWin%]])</f>
        <v>14.981976906019488</v>
      </c>
      <c r="AB468" s="4">
        <f>Games[[#This Row],[PreGmRate]]+Games[[#This Row],[RatingChange]]</f>
        <v>1671.0778091382517</v>
      </c>
      <c r="AC468" s="2">
        <f>IF(Games[[#This Row],[Type]]="R",IF(Games[[#This Row],[Result]]&gt;0.5,1,0),0)</f>
        <v>1</v>
      </c>
      <c r="AD468" s="2">
        <f>IF(Games[[#This Row],[Type]]="R",IF(Games[[#This Row],[Result]]&lt;0.5,1,0),0)</f>
        <v>0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0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45552</v>
      </c>
      <c r="B469" s="2">
        <v>2024</v>
      </c>
      <c r="C469" s="2">
        <f>COUNTIFS(Games[Team],Games[[#This Row],[Team]],Games[Season],Games[[#This Row],[Season]],Games[Date],"&lt;=" &amp; Games[[#This Row],[Date]])</f>
        <v>39</v>
      </c>
      <c r="D469" s="2" t="s">
        <v>79</v>
      </c>
      <c r="E469" s="2" t="s">
        <v>80</v>
      </c>
      <c r="F469" s="1" t="s">
        <v>71</v>
      </c>
      <c r="G469" s="1" t="s">
        <v>86</v>
      </c>
      <c r="H469" s="1" t="s">
        <v>82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9" s="2">
        <f>Games[[#This Row],[DaysOff]]-Games[[#This Row],[OppDaysOff]]</f>
        <v>0</v>
      </c>
      <c r="L469" s="2">
        <f>Games[[#This Row],[OppDaysOff]]-Games[[#This Row],[DaysOff]]</f>
        <v>0</v>
      </c>
      <c r="M469" s="1">
        <f>MAX(-16, MIN(16, Games[[#This Row],[RestDiff]]*8))</f>
        <v>0</v>
      </c>
      <c r="N469" s="1">
        <f>MAX(-16, MIN(16, Games[[#This Row],[OppRestDiff]]*8))</f>
        <v>0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1563.3444103929437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1656.0958322322322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0.4874083544609194</v>
      </c>
      <c r="R469" s="1">
        <v>72</v>
      </c>
      <c r="S469" s="1">
        <v>85</v>
      </c>
      <c r="T469" s="1">
        <v>0</v>
      </c>
      <c r="U469" s="1">
        <f>Games[[#This Row],[PointsFor]]-Games[[#This Row],[PointsAgainst]]</f>
        <v>-13</v>
      </c>
      <c r="V469" s="1">
        <f>IF(Games[[#This Row],[MOV]]&gt;0,1,IF(Games[[#This Row],[MOV]]=0,0.5,0))</f>
        <v>0</v>
      </c>
      <c r="W469" s="4">
        <f>((ABS(Games[[#This Row],[MOV]])+5)^0.6)/(12+0.01*(ABS(Games[[#This Row],[PreGmRate]]-Games[[#This Row],[OppPreGmRate]])))*IF(Games[[#This Row],[OT]]=1,0.9,1)</f>
        <v>0.43817589151904335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9" s="9">
        <f>MAX(kmin, kmax - 0.15 * MIN(Games[[#This Row],[GamesPlayed]], 82))</f>
        <v>70.150000000000006</v>
      </c>
      <c r="Z469" s="4">
        <f>Games[[#This Row],[K]]*Games[[#This Row],[POMult]]</f>
        <v>70.150000000000006</v>
      </c>
      <c r="AA469" s="4">
        <f>(Games[[#This Row],[Keff]]*Games[[#This Row],[MOVMult]])*(Games[[#This Row],[Result]]-Games[[#This Row],[ExpectedWin%]])</f>
        <v>-14.98197690601949</v>
      </c>
      <c r="AB469" s="4">
        <f>Games[[#This Row],[PreGmRate]]+Games[[#This Row],[RatingChange]]</f>
        <v>1548.3624334869241</v>
      </c>
      <c r="AC469" s="2">
        <f>IF(Games[[#This Row],[Type]]="R",IF(Games[[#This Row],[Result]]&gt;0.5,1,0),0)</f>
        <v>0</v>
      </c>
      <c r="AD469" s="2">
        <f>IF(Games[[#This Row],[Type]]="R",IF(Games[[#This Row],[Result]]&lt;0.5,1,0),0)</f>
        <v>1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0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45552</v>
      </c>
      <c r="B470" s="2">
        <v>2024</v>
      </c>
      <c r="C470" s="2">
        <f>COUNTIFS(Games[Team],Games[[#This Row],[Team]],Games[Season],Games[[#This Row],[Season]],Games[Date],"&lt;=" &amp; Games[[#This Row],[Date]])</f>
        <v>40</v>
      </c>
      <c r="D470" s="2" t="s">
        <v>79</v>
      </c>
      <c r="E470" s="2" t="s">
        <v>80</v>
      </c>
      <c r="F470" s="1" t="s">
        <v>60</v>
      </c>
      <c r="G470" s="1" t="s">
        <v>65</v>
      </c>
      <c r="H470" s="1" t="s">
        <v>81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0" s="2">
        <f>Games[[#This Row],[DaysOff]]-Games[[#This Row],[OppDaysOff]]</f>
        <v>0</v>
      </c>
      <c r="L470" s="2">
        <f>Games[[#This Row],[OppDaysOff]]-Games[[#This Row],[DaysOff]]</f>
        <v>0</v>
      </c>
      <c r="M470" s="1">
        <f>MAX(-16, MIN(16, Games[[#This Row],[RestDiff]]*8))</f>
        <v>0</v>
      </c>
      <c r="N470" s="1">
        <f>MAX(-16, MIN(16, Games[[#This Row],[OppRestDiff]]*8))</f>
        <v>0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1712.1044495192668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1454.9650738989312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0.73040342888995635</v>
      </c>
      <c r="R470" s="1">
        <v>87</v>
      </c>
      <c r="S470" s="1">
        <v>71</v>
      </c>
      <c r="T470" s="1">
        <v>0</v>
      </c>
      <c r="U470" s="1">
        <f>Games[[#This Row],[PointsFor]]-Games[[#This Row],[PointsAgainst]]</f>
        <v>16</v>
      </c>
      <c r="V470" s="1">
        <f>IF(Games[[#This Row],[MOV]]&gt;0,1,IF(Games[[#This Row],[MOV]]=0,0.5,0))</f>
        <v>1</v>
      </c>
      <c r="W470" s="4">
        <f>((ABS(Games[[#This Row],[MOV]])+5)^0.6)/(12+0.01*(ABS(Games[[#This Row],[PreGmRate]]-Games[[#This Row],[OppPreGmRate]])))*IF(Games[[#This Row],[OT]]=1,0.9,1)</f>
        <v>0.42641304540381048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0" s="9">
        <f>MAX(kmin, kmax - 0.15 * MIN(Games[[#This Row],[GamesPlayed]], 82))</f>
        <v>70</v>
      </c>
      <c r="Z470" s="4">
        <f>Games[[#This Row],[K]]*Games[[#This Row],[POMult]]</f>
        <v>70</v>
      </c>
      <c r="AA470" s="4">
        <f>(Games[[#This Row],[Keff]]*Games[[#This Row],[MOVMult]])*(Games[[#This Row],[Result]]-Games[[#This Row],[ExpectedWin%]])</f>
        <v>8.0471646442221072</v>
      </c>
      <c r="AB470" s="4">
        <f>Games[[#This Row],[PreGmRate]]+Games[[#This Row],[RatingChange]]</f>
        <v>1720.1516141634888</v>
      </c>
      <c r="AC470" s="2">
        <f>IF(Games[[#This Row],[Type]]="R",IF(Games[[#This Row],[Result]]&gt;0.5,1,0),0)</f>
        <v>1</v>
      </c>
      <c r="AD470" s="2">
        <f>IF(Games[[#This Row],[Type]]="R",IF(Games[[#This Row],[Result]]&lt;0.5,1,0),0)</f>
        <v>0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45552</v>
      </c>
      <c r="B471" s="2">
        <v>2024</v>
      </c>
      <c r="C471" s="2">
        <f>COUNTIFS(Games[Team],Games[[#This Row],[Team]],Games[Season],Games[[#This Row],[Season]],Games[Date],"&lt;=" &amp; Games[[#This Row],[Date]])</f>
        <v>39</v>
      </c>
      <c r="D471" s="2" t="s">
        <v>79</v>
      </c>
      <c r="E471" s="2" t="s">
        <v>80</v>
      </c>
      <c r="F471" s="1" t="s">
        <v>65</v>
      </c>
      <c r="G471" s="1" t="s">
        <v>60</v>
      </c>
      <c r="H471" s="1" t="s">
        <v>82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1" s="2">
        <f>Games[[#This Row],[DaysOff]]-Games[[#This Row],[OppDaysOff]]</f>
        <v>0</v>
      </c>
      <c r="L471" s="2">
        <f>Games[[#This Row],[OppDaysOff]]-Games[[#This Row],[DaysOff]]</f>
        <v>0</v>
      </c>
      <c r="M471" s="1">
        <f>MAX(-16, MIN(16, Games[[#This Row],[RestDiff]]*8))</f>
        <v>0</v>
      </c>
      <c r="N471" s="1">
        <f>MAX(-16, MIN(16, Games[[#This Row],[OppRestDiff]]*8))</f>
        <v>0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1454.9650738989312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1712.1044495192668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0.26959657111004365</v>
      </c>
      <c r="R471" s="1">
        <v>71</v>
      </c>
      <c r="S471" s="1">
        <v>87</v>
      </c>
      <c r="T471" s="1">
        <v>0</v>
      </c>
      <c r="U471" s="1">
        <f>Games[[#This Row],[PointsFor]]-Games[[#This Row],[PointsAgainst]]</f>
        <v>-16</v>
      </c>
      <c r="V471" s="1">
        <f>IF(Games[[#This Row],[MOV]]&gt;0,1,IF(Games[[#This Row],[MOV]]=0,0.5,0))</f>
        <v>0</v>
      </c>
      <c r="W471" s="4">
        <f>((ABS(Games[[#This Row],[MOV]])+5)^0.6)/(12+0.01*(ABS(Games[[#This Row],[PreGmRate]]-Games[[#This Row],[OppPreGmRate]])))*IF(Games[[#This Row],[OT]]=1,0.9,1)</f>
        <v>0.42641304540381048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1" s="9">
        <f>MAX(kmin, kmax - 0.15 * MIN(Games[[#This Row],[GamesPlayed]], 82))</f>
        <v>70.150000000000006</v>
      </c>
      <c r="Z471" s="4">
        <f>Games[[#This Row],[K]]*Games[[#This Row],[POMult]]</f>
        <v>70.150000000000006</v>
      </c>
      <c r="AA471" s="4">
        <f>(Games[[#This Row],[Keff]]*Games[[#This Row],[MOVMult]])*(Games[[#This Row],[Result]]-Games[[#This Row],[ExpectedWin%]])</f>
        <v>-8.0644085684597258</v>
      </c>
      <c r="AB471" s="4">
        <f>Games[[#This Row],[PreGmRate]]+Games[[#This Row],[RatingChange]]</f>
        <v>1446.9006653304714</v>
      </c>
      <c r="AC471" s="2">
        <f>IF(Games[[#This Row],[Type]]="R",IF(Games[[#This Row],[Result]]&gt;0.5,1,0),0)</f>
        <v>0</v>
      </c>
      <c r="AD471" s="2">
        <f>IF(Games[[#This Row],[Type]]="R",IF(Games[[#This Row],[Result]]&lt;0.5,1,0),0)</f>
        <v>1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45554</v>
      </c>
      <c r="B472" s="2">
        <v>2024</v>
      </c>
      <c r="C472" s="2">
        <f>COUNTIFS(Games[Team],Games[[#This Row],[Team]],Games[Season],Games[[#This Row],[Season]],Games[Date],"&lt;=" &amp; Games[[#This Row],[Date]])</f>
        <v>40</v>
      </c>
      <c r="D472" s="2" t="s">
        <v>79</v>
      </c>
      <c r="E472" s="2" t="s">
        <v>80</v>
      </c>
      <c r="F472" s="1" t="s">
        <v>75</v>
      </c>
      <c r="G472" s="1" t="s">
        <v>74</v>
      </c>
      <c r="H472" s="1" t="s">
        <v>81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2" s="2">
        <f>Games[[#This Row],[DaysOff]]-Games[[#This Row],[OppDaysOff]]</f>
        <v>0</v>
      </c>
      <c r="L472" s="2">
        <f>Games[[#This Row],[OppDaysOff]]-Games[[#This Row],[DaysOff]]</f>
        <v>0</v>
      </c>
      <c r="M472" s="1">
        <f>MAX(-16, MIN(16, Games[[#This Row],[RestDiff]]*8))</f>
        <v>0</v>
      </c>
      <c r="N472" s="1">
        <f>MAX(-16, MIN(16, Games[[#This Row],[OppRestDiff]]*8))</f>
        <v>0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1355.6513192641773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1610.1723919351671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0.12469693216249524</v>
      </c>
      <c r="R472" s="1">
        <v>54</v>
      </c>
      <c r="S472" s="1">
        <v>87</v>
      </c>
      <c r="T472" s="1">
        <v>0</v>
      </c>
      <c r="U472" s="1">
        <f>Games[[#This Row],[PointsFor]]-Games[[#This Row],[PointsAgainst]]</f>
        <v>-33</v>
      </c>
      <c r="V472" s="1">
        <f>IF(Games[[#This Row],[MOV]]&gt;0,1,IF(Games[[#This Row],[MOV]]=0,0.5,0))</f>
        <v>0</v>
      </c>
      <c r="W472" s="4">
        <f>((ABS(Games[[#This Row],[MOV]])+5)^0.6)/(12+0.01*(ABS(Games[[#This Row],[PreGmRate]]-Games[[#This Row],[OppPreGmRate]])))*IF(Games[[#This Row],[OT]]=1,0.9,1)</f>
        <v>0.60974765732406755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2" s="9">
        <f>MAX(kmin, kmax - 0.15 * MIN(Games[[#This Row],[GamesPlayed]], 82))</f>
        <v>70</v>
      </c>
      <c r="Z472" s="4">
        <f>Games[[#This Row],[K]]*Games[[#This Row],[POMult]]</f>
        <v>70</v>
      </c>
      <c r="AA472" s="4">
        <f>(Games[[#This Row],[Keff]]*Games[[#This Row],[MOVMult]])*(Games[[#This Row],[Result]]-Games[[#This Row],[ExpectedWin%]])</f>
        <v>-5.3223563583105751</v>
      </c>
      <c r="AB472" s="4">
        <f>Games[[#This Row],[PreGmRate]]+Games[[#This Row],[RatingChange]]</f>
        <v>1350.3289629058668</v>
      </c>
      <c r="AC472" s="2">
        <f>IF(Games[[#This Row],[Type]]="R",IF(Games[[#This Row],[Result]]&gt;0.5,1,0),0)</f>
        <v>0</v>
      </c>
      <c r="AD472" s="2">
        <f>IF(Games[[#This Row],[Type]]="R",IF(Games[[#This Row],[Result]]&lt;0.5,1,0),0)</f>
        <v>1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0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45554</v>
      </c>
      <c r="B473" s="2">
        <v>2024</v>
      </c>
      <c r="C473" s="2">
        <f>COUNTIFS(Games[Team],Games[[#This Row],[Team]],Games[Season],Games[[#This Row],[Season]],Games[Date],"&lt;=" &amp; Games[[#This Row],[Date]])</f>
        <v>40</v>
      </c>
      <c r="D473" s="2" t="s">
        <v>79</v>
      </c>
      <c r="E473" s="2" t="s">
        <v>80</v>
      </c>
      <c r="F473" s="1" t="s">
        <v>74</v>
      </c>
      <c r="G473" s="1" t="s">
        <v>75</v>
      </c>
      <c r="H473" s="1" t="s">
        <v>82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3" s="2">
        <f>Games[[#This Row],[DaysOff]]-Games[[#This Row],[OppDaysOff]]</f>
        <v>0</v>
      </c>
      <c r="L473" s="2">
        <f>Games[[#This Row],[OppDaysOff]]-Games[[#This Row],[DaysOff]]</f>
        <v>0</v>
      </c>
      <c r="M473" s="1">
        <f>MAX(-16, MIN(16, Games[[#This Row],[RestDiff]]*8))</f>
        <v>0</v>
      </c>
      <c r="N473" s="1">
        <f>MAX(-16, MIN(16, Games[[#This Row],[OppRestDiff]]*8))</f>
        <v>0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1610.1723919351671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1355.6513192641773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0.87530306783750478</v>
      </c>
      <c r="R473" s="1">
        <v>87</v>
      </c>
      <c r="S473" s="1">
        <v>54</v>
      </c>
      <c r="T473" s="1">
        <v>0</v>
      </c>
      <c r="U473" s="1">
        <f>Games[[#This Row],[PointsFor]]-Games[[#This Row],[PointsAgainst]]</f>
        <v>33</v>
      </c>
      <c r="V473" s="1">
        <f>IF(Games[[#This Row],[MOV]]&gt;0,1,IF(Games[[#This Row],[MOV]]=0,0.5,0))</f>
        <v>1</v>
      </c>
      <c r="W473" s="4">
        <f>((ABS(Games[[#This Row],[MOV]])+5)^0.6)/(12+0.01*(ABS(Games[[#This Row],[PreGmRate]]-Games[[#This Row],[OppPreGmRate]])))*IF(Games[[#This Row],[OT]]=1,0.9,1)</f>
        <v>0.60974765732406755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3" s="9">
        <f>MAX(kmin, kmax - 0.15 * MIN(Games[[#This Row],[GamesPlayed]], 82))</f>
        <v>70</v>
      </c>
      <c r="Z473" s="4">
        <f>Games[[#This Row],[K]]*Games[[#This Row],[POMult]]</f>
        <v>70</v>
      </c>
      <c r="AA473" s="4">
        <f>(Games[[#This Row],[Keff]]*Games[[#This Row],[MOVMult]])*(Games[[#This Row],[Result]]-Games[[#This Row],[ExpectedWin%]])</f>
        <v>5.3223563583105742</v>
      </c>
      <c r="AB473" s="4">
        <f>Games[[#This Row],[PreGmRate]]+Games[[#This Row],[RatingChange]]</f>
        <v>1615.4947482934776</v>
      </c>
      <c r="AC473" s="2">
        <f>IF(Games[[#This Row],[Type]]="R",IF(Games[[#This Row],[Result]]&gt;0.5,1,0),0)</f>
        <v>1</v>
      </c>
      <c r="AD473" s="2">
        <f>IF(Games[[#This Row],[Type]]="R",IF(Games[[#This Row],[Result]]&lt;0.5,1,0),0)</f>
        <v>0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0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45554</v>
      </c>
      <c r="B474" s="2">
        <v>2024</v>
      </c>
      <c r="C474" s="2">
        <f>COUNTIFS(Games[Team],Games[[#This Row],[Team]],Games[Season],Games[[#This Row],[Season]],Games[Date],"&lt;=" &amp; Games[[#This Row],[Date]])</f>
        <v>40</v>
      </c>
      <c r="D474" s="2" t="s">
        <v>79</v>
      </c>
      <c r="E474" s="2" t="s">
        <v>80</v>
      </c>
      <c r="F474" s="1" t="s">
        <v>85</v>
      </c>
      <c r="G474" s="1" t="s">
        <v>86</v>
      </c>
      <c r="H474" s="1" t="s">
        <v>81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4" s="2">
        <f>Games[[#This Row],[DaysOff]]-Games[[#This Row],[OppDaysOff]]</f>
        <v>2</v>
      </c>
      <c r="L474" s="2">
        <f>Games[[#This Row],[OppDaysOff]]-Games[[#This Row],[DaysOff]]</f>
        <v>-2</v>
      </c>
      <c r="M474" s="1">
        <f>MAX(-16, MIN(16, Games[[#This Row],[RestDiff]]*8))</f>
        <v>16</v>
      </c>
      <c r="N474" s="1">
        <f>MAX(-16, MIN(16, Games[[#This Row],[OppRestDiff]]*8))</f>
        <v>-16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1335.6601111712666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1671.0778091382517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9.7075006803447911E-2</v>
      </c>
      <c r="R474" s="1">
        <v>84</v>
      </c>
      <c r="S474" s="1">
        <v>98</v>
      </c>
      <c r="T474" s="1">
        <v>0</v>
      </c>
      <c r="U474" s="1">
        <f>Games[[#This Row],[PointsFor]]-Games[[#This Row],[PointsAgainst]]</f>
        <v>-14</v>
      </c>
      <c r="V474" s="1">
        <f>IF(Games[[#This Row],[MOV]]&gt;0,1,IF(Games[[#This Row],[MOV]]=0,0.5,0))</f>
        <v>0</v>
      </c>
      <c r="W474" s="4">
        <f>((ABS(Games[[#This Row],[MOV]])+5)^0.6)/(12+0.01*(ABS(Games[[#This Row],[PreGmRate]]-Games[[#This Row],[OppPreGmRate]])))*IF(Games[[#This Row],[OT]]=1,0.9,1)</f>
        <v>0.38108830256136794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4" s="9">
        <f>MAX(kmin, kmax - 0.15 * MIN(Games[[#This Row],[GamesPlayed]], 82))</f>
        <v>70</v>
      </c>
      <c r="Z474" s="4">
        <f>Games[[#This Row],[K]]*Games[[#This Row],[POMult]]</f>
        <v>70</v>
      </c>
      <c r="AA474" s="4">
        <f>(Games[[#This Row],[Keff]]*Games[[#This Row],[MOVMult]])*(Games[[#This Row],[Result]]-Games[[#This Row],[ExpectedWin%]])</f>
        <v>-2.5895904694701448</v>
      </c>
      <c r="AB474" s="4">
        <f>Games[[#This Row],[PreGmRate]]+Games[[#This Row],[RatingChange]]</f>
        <v>1333.0705207017966</v>
      </c>
      <c r="AC474" s="2">
        <f>IF(Games[[#This Row],[Type]]="R",IF(Games[[#This Row],[Result]]&gt;0.5,1,0),0)</f>
        <v>0</v>
      </c>
      <c r="AD474" s="2">
        <f>IF(Games[[#This Row],[Type]]="R",IF(Games[[#This Row],[Result]]&lt;0.5,1,0),0)</f>
        <v>1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0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45554</v>
      </c>
      <c r="B475" s="2">
        <v>2024</v>
      </c>
      <c r="C475" s="2">
        <f>COUNTIFS(Games[Team],Games[[#This Row],[Team]],Games[Season],Games[[#This Row],[Season]],Games[Date],"&lt;=" &amp; Games[[#This Row],[Date]])</f>
        <v>40</v>
      </c>
      <c r="D475" s="2" t="s">
        <v>79</v>
      </c>
      <c r="E475" s="2" t="s">
        <v>80</v>
      </c>
      <c r="F475" s="1" t="s">
        <v>86</v>
      </c>
      <c r="G475" s="1" t="s">
        <v>85</v>
      </c>
      <c r="H475" s="1" t="s">
        <v>82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75" s="2">
        <f>Games[[#This Row],[DaysOff]]-Games[[#This Row],[OppDaysOff]]</f>
        <v>-2</v>
      </c>
      <c r="L475" s="2">
        <f>Games[[#This Row],[OppDaysOff]]-Games[[#This Row],[DaysOff]]</f>
        <v>2</v>
      </c>
      <c r="M475" s="1">
        <f>MAX(-16, MIN(16, Games[[#This Row],[RestDiff]]*8))</f>
        <v>-16</v>
      </c>
      <c r="N475" s="1">
        <f>MAX(-16, MIN(16, Games[[#This Row],[OppRestDiff]]*8))</f>
        <v>16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1671.0778091382517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1335.6601111712666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0.90292499319655206</v>
      </c>
      <c r="R475" s="1">
        <v>98</v>
      </c>
      <c r="S475" s="1">
        <v>84</v>
      </c>
      <c r="T475" s="1">
        <v>0</v>
      </c>
      <c r="U475" s="1">
        <f>Games[[#This Row],[PointsFor]]-Games[[#This Row],[PointsAgainst]]</f>
        <v>14</v>
      </c>
      <c r="V475" s="1">
        <f>IF(Games[[#This Row],[MOV]]&gt;0,1,IF(Games[[#This Row],[MOV]]=0,0.5,0))</f>
        <v>1</v>
      </c>
      <c r="W475" s="4">
        <f>((ABS(Games[[#This Row],[MOV]])+5)^0.6)/(12+0.01*(ABS(Games[[#This Row],[PreGmRate]]-Games[[#This Row],[OppPreGmRate]])))*IF(Games[[#This Row],[OT]]=1,0.9,1)</f>
        <v>0.38108830256136794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5" s="9">
        <f>MAX(kmin, kmax - 0.15 * MIN(Games[[#This Row],[GamesPlayed]], 82))</f>
        <v>70</v>
      </c>
      <c r="Z475" s="4">
        <f>Games[[#This Row],[K]]*Games[[#This Row],[POMult]]</f>
        <v>70</v>
      </c>
      <c r="AA475" s="4">
        <f>(Games[[#This Row],[Keff]]*Games[[#This Row],[MOVMult]])*(Games[[#This Row],[Result]]-Games[[#This Row],[ExpectedWin%]])</f>
        <v>2.5895904694701453</v>
      </c>
      <c r="AB475" s="4">
        <f>Games[[#This Row],[PreGmRate]]+Games[[#This Row],[RatingChange]]</f>
        <v>1673.6673996077218</v>
      </c>
      <c r="AC475" s="2">
        <f>IF(Games[[#This Row],[Type]]="R",IF(Games[[#This Row],[Result]]&gt;0.5,1,0),0)</f>
        <v>1</v>
      </c>
      <c r="AD475" s="2">
        <f>IF(Games[[#This Row],[Type]]="R",IF(Games[[#This Row],[Result]]&lt;0.5,1,0),0)</f>
        <v>0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0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45554</v>
      </c>
      <c r="B476" s="2">
        <v>2024</v>
      </c>
      <c r="C476" s="2">
        <f>COUNTIFS(Games[Team],Games[[#This Row],[Team]],Games[Season],Games[[#This Row],[Season]],Games[Date],"&lt;=" &amp; Games[[#This Row],[Date]])</f>
        <v>40</v>
      </c>
      <c r="D476" s="2" t="s">
        <v>79</v>
      </c>
      <c r="E476" s="2" t="s">
        <v>80</v>
      </c>
      <c r="F476" s="1" t="s">
        <v>63</v>
      </c>
      <c r="G476" s="1" t="s">
        <v>67</v>
      </c>
      <c r="H476" s="1" t="s">
        <v>81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6" s="2">
        <f>Games[[#This Row],[DaysOff]]-Games[[#This Row],[OppDaysOff]]</f>
        <v>0</v>
      </c>
      <c r="L476" s="2">
        <f>Games[[#This Row],[OppDaysOff]]-Games[[#This Row],[DaysOff]]</f>
        <v>0</v>
      </c>
      <c r="M476" s="1">
        <f>MAX(-16, MIN(16, Games[[#This Row],[RestDiff]]*8))</f>
        <v>0</v>
      </c>
      <c r="N476" s="1">
        <f>MAX(-16, MIN(16, Games[[#This Row],[OppRestDiff]]*8))</f>
        <v>0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1280.6125938687094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1682.9275675139709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5.7353686650367761E-2</v>
      </c>
      <c r="R476" s="1">
        <v>68</v>
      </c>
      <c r="S476" s="1">
        <v>51</v>
      </c>
      <c r="T476" s="1">
        <v>0</v>
      </c>
      <c r="U476" s="1">
        <f>Games[[#This Row],[PointsFor]]-Games[[#This Row],[PointsAgainst]]</f>
        <v>17</v>
      </c>
      <c r="V476" s="1">
        <f>IF(Games[[#This Row],[MOV]]&gt;0,1,IF(Games[[#This Row],[MOV]]=0,0.5,0))</f>
        <v>1</v>
      </c>
      <c r="W476" s="4">
        <f>((ABS(Games[[#This Row],[MOV]])+5)^0.6)/(12+0.01*(ABS(Games[[#This Row],[PreGmRate]]-Games[[#This Row],[OppPreGmRate]])))*IF(Games[[#This Row],[OT]]=1,0.9,1)</f>
        <v>0.39875461030288689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6" s="9">
        <f>MAX(kmin, kmax - 0.15 * MIN(Games[[#This Row],[GamesPlayed]], 82))</f>
        <v>70</v>
      </c>
      <c r="Z476" s="4">
        <f>Games[[#This Row],[K]]*Games[[#This Row],[POMult]]</f>
        <v>70</v>
      </c>
      <c r="AA476" s="4">
        <f>(Games[[#This Row],[Keff]]*Games[[#This Row],[MOVMult]])*(Games[[#This Row],[Result]]-Games[[#This Row],[ExpectedWin%]])</f>
        <v>26.311919433322991</v>
      </c>
      <c r="AB476" s="4">
        <f>Games[[#This Row],[PreGmRate]]+Games[[#This Row],[RatingChange]]</f>
        <v>1306.9245133020324</v>
      </c>
      <c r="AC476" s="2">
        <f>IF(Games[[#This Row],[Type]]="R",IF(Games[[#This Row],[Result]]&gt;0.5,1,0),0)</f>
        <v>1</v>
      </c>
      <c r="AD476" s="2">
        <f>IF(Games[[#This Row],[Type]]="R",IF(Games[[#This Row],[Result]]&lt;0.5,1,0),0)</f>
        <v>0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0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45554</v>
      </c>
      <c r="B477" s="2">
        <v>2024</v>
      </c>
      <c r="C477" s="2">
        <f>COUNTIFS(Games[Team],Games[[#This Row],[Team]],Games[Season],Games[[#This Row],[Season]],Games[Date],"&lt;=" &amp; Games[[#This Row],[Date]])</f>
        <v>41</v>
      </c>
      <c r="D477" s="2" t="s">
        <v>79</v>
      </c>
      <c r="E477" s="2" t="s">
        <v>80</v>
      </c>
      <c r="F477" s="1" t="s">
        <v>67</v>
      </c>
      <c r="G477" s="1" t="s">
        <v>63</v>
      </c>
      <c r="H477" s="1" t="s">
        <v>82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7" s="2">
        <f>Games[[#This Row],[DaysOff]]-Games[[#This Row],[OppDaysOff]]</f>
        <v>0</v>
      </c>
      <c r="L477" s="2">
        <f>Games[[#This Row],[OppDaysOff]]-Games[[#This Row],[DaysOff]]</f>
        <v>0</v>
      </c>
      <c r="M477" s="1">
        <f>MAX(-16, MIN(16, Games[[#This Row],[RestDiff]]*8))</f>
        <v>0</v>
      </c>
      <c r="N477" s="1">
        <f>MAX(-16, MIN(16, Games[[#This Row],[OppRestDiff]]*8))</f>
        <v>0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1682.9275675139709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1280.6125938687094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0.94264631334963223</v>
      </c>
      <c r="R477" s="1">
        <v>51</v>
      </c>
      <c r="S477" s="1">
        <v>68</v>
      </c>
      <c r="T477" s="1">
        <v>0</v>
      </c>
      <c r="U477" s="1">
        <f>Games[[#This Row],[PointsFor]]-Games[[#This Row],[PointsAgainst]]</f>
        <v>-17</v>
      </c>
      <c r="V477" s="1">
        <f>IF(Games[[#This Row],[MOV]]&gt;0,1,IF(Games[[#This Row],[MOV]]=0,0.5,0))</f>
        <v>0</v>
      </c>
      <c r="W477" s="4">
        <f>((ABS(Games[[#This Row],[MOV]])+5)^0.6)/(12+0.01*(ABS(Games[[#This Row],[PreGmRate]]-Games[[#This Row],[OppPreGmRate]])))*IF(Games[[#This Row],[OT]]=1,0.9,1)</f>
        <v>0.39875461030288689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7" s="9">
        <f>MAX(kmin, kmax - 0.15 * MIN(Games[[#This Row],[GamesPlayed]], 82))</f>
        <v>69.849999999999994</v>
      </c>
      <c r="Z477" s="4">
        <f>Games[[#This Row],[K]]*Games[[#This Row],[POMult]]</f>
        <v>69.849999999999994</v>
      </c>
      <c r="AA477" s="4">
        <f>(Games[[#This Row],[Keff]]*Games[[#This Row],[MOVMult]])*(Games[[#This Row],[Result]]-Games[[#This Row],[ExpectedWin%]])</f>
        <v>-26.255536748823012</v>
      </c>
      <c r="AB477" s="4">
        <f>Games[[#This Row],[PreGmRate]]+Games[[#This Row],[RatingChange]]</f>
        <v>1656.6720307651478</v>
      </c>
      <c r="AC477" s="2">
        <f>IF(Games[[#This Row],[Type]]="R",IF(Games[[#This Row],[Result]]&gt;0.5,1,0),0)</f>
        <v>0</v>
      </c>
      <c r="AD477" s="2">
        <f>IF(Games[[#This Row],[Type]]="R",IF(Games[[#This Row],[Result]]&lt;0.5,1,0),0)</f>
        <v>1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0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45554</v>
      </c>
      <c r="B478" s="2">
        <v>2024</v>
      </c>
      <c r="C478" s="2">
        <f>COUNTIFS(Games[Team],Games[[#This Row],[Team]],Games[Season],Games[[#This Row],[Season]],Games[Date],"&lt;=" &amp; Games[[#This Row],[Date]])</f>
        <v>40</v>
      </c>
      <c r="D478" s="2" t="s">
        <v>79</v>
      </c>
      <c r="E478" s="2" t="s">
        <v>80</v>
      </c>
      <c r="F478" s="1" t="s">
        <v>77</v>
      </c>
      <c r="G478" s="1" t="s">
        <v>60</v>
      </c>
      <c r="H478" s="1" t="s">
        <v>81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8" s="2">
        <f>Games[[#This Row],[DaysOff]]-Games[[#This Row],[OppDaysOff]]</f>
        <v>0</v>
      </c>
      <c r="L478" s="2">
        <f>Games[[#This Row],[OppDaysOff]]-Games[[#This Row],[DaysOff]]</f>
        <v>0</v>
      </c>
      <c r="M478" s="1">
        <f>MAX(-16, MIN(16, Games[[#This Row],[RestDiff]]*8))</f>
        <v>0</v>
      </c>
      <c r="N478" s="1">
        <f>MAX(-16, MIN(16, Games[[#This Row],[OppRestDiff]]*8))</f>
        <v>0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1409.6598405046773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1720.1516141634888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9.3563791286288195E-2</v>
      </c>
      <c r="R478" s="1">
        <v>78</v>
      </c>
      <c r="S478" s="1">
        <v>67</v>
      </c>
      <c r="T478" s="1">
        <v>0</v>
      </c>
      <c r="U478" s="1">
        <f>Games[[#This Row],[PointsFor]]-Games[[#This Row],[PointsAgainst]]</f>
        <v>11</v>
      </c>
      <c r="V478" s="1">
        <f>IF(Games[[#This Row],[MOV]]&gt;0,1,IF(Games[[#This Row],[MOV]]=0,0.5,0))</f>
        <v>1</v>
      </c>
      <c r="W478" s="4">
        <f>((ABS(Games[[#This Row],[MOV]])+5)^0.6)/(12+0.01*(ABS(Games[[#This Row],[PreGmRate]]-Games[[#This Row],[OppPreGmRate]])))*IF(Games[[#This Row],[OT]]=1,0.9,1)</f>
        <v>0.34942471949428661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8" s="9">
        <f>MAX(kmin, kmax - 0.15 * MIN(Games[[#This Row],[GamesPlayed]], 82))</f>
        <v>70</v>
      </c>
      <c r="Z478" s="4">
        <f>Games[[#This Row],[K]]*Games[[#This Row],[POMult]]</f>
        <v>70</v>
      </c>
      <c r="AA478" s="4">
        <f>(Games[[#This Row],[Keff]]*Games[[#This Row],[MOVMult]])*(Games[[#This Row],[Result]]-Games[[#This Row],[ExpectedWin%]])</f>
        <v>22.171185257847736</v>
      </c>
      <c r="AB478" s="4">
        <f>Games[[#This Row],[PreGmRate]]+Games[[#This Row],[RatingChange]]</f>
        <v>1431.8310257625251</v>
      </c>
      <c r="AC478" s="2">
        <f>IF(Games[[#This Row],[Type]]="R",IF(Games[[#This Row],[Result]]&gt;0.5,1,0),0)</f>
        <v>1</v>
      </c>
      <c r="AD478" s="2">
        <f>IF(Games[[#This Row],[Type]]="R",IF(Games[[#This Row],[Result]]&lt;0.5,1,0),0)</f>
        <v>0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0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0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45554</v>
      </c>
      <c r="B479" s="2">
        <v>2024</v>
      </c>
      <c r="C479" s="2">
        <f>COUNTIFS(Games[Team],Games[[#This Row],[Team]],Games[Season],Games[[#This Row],[Season]],Games[Date],"&lt;=" &amp; Games[[#This Row],[Date]])</f>
        <v>41</v>
      </c>
      <c r="D479" s="2" t="s">
        <v>79</v>
      </c>
      <c r="E479" s="2" t="s">
        <v>80</v>
      </c>
      <c r="F479" s="1" t="s">
        <v>60</v>
      </c>
      <c r="G479" s="1" t="s">
        <v>77</v>
      </c>
      <c r="H479" s="1" t="s">
        <v>82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9" s="2">
        <f>Games[[#This Row],[DaysOff]]-Games[[#This Row],[OppDaysOff]]</f>
        <v>0</v>
      </c>
      <c r="L479" s="2">
        <f>Games[[#This Row],[OppDaysOff]]-Games[[#This Row],[DaysOff]]</f>
        <v>0</v>
      </c>
      <c r="M479" s="1">
        <f>MAX(-16, MIN(16, Games[[#This Row],[RestDiff]]*8))</f>
        <v>0</v>
      </c>
      <c r="N479" s="1">
        <f>MAX(-16, MIN(16, Games[[#This Row],[OppRestDiff]]*8))</f>
        <v>0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1720.1516141634888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1409.6598405046773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0.90643620871371189</v>
      </c>
      <c r="R479" s="1">
        <v>67</v>
      </c>
      <c r="S479" s="1">
        <v>78</v>
      </c>
      <c r="T479" s="1">
        <v>0</v>
      </c>
      <c r="U479" s="1">
        <f>Games[[#This Row],[PointsFor]]-Games[[#This Row],[PointsAgainst]]</f>
        <v>-11</v>
      </c>
      <c r="V479" s="1">
        <f>IF(Games[[#This Row],[MOV]]&gt;0,1,IF(Games[[#This Row],[MOV]]=0,0.5,0))</f>
        <v>0</v>
      </c>
      <c r="W479" s="4">
        <f>((ABS(Games[[#This Row],[MOV]])+5)^0.6)/(12+0.01*(ABS(Games[[#This Row],[PreGmRate]]-Games[[#This Row],[OppPreGmRate]])))*IF(Games[[#This Row],[OT]]=1,0.9,1)</f>
        <v>0.34942471949428661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9" s="9">
        <f>MAX(kmin, kmax - 0.15 * MIN(Games[[#This Row],[GamesPlayed]], 82))</f>
        <v>69.849999999999994</v>
      </c>
      <c r="Z479" s="4">
        <f>Games[[#This Row],[K]]*Games[[#This Row],[POMult]]</f>
        <v>69.849999999999994</v>
      </c>
      <c r="AA479" s="4">
        <f>(Games[[#This Row],[Keff]]*Games[[#This Row],[MOVMult]])*(Games[[#This Row],[Result]]-Games[[#This Row],[ExpectedWin%]])</f>
        <v>-22.123675575152348</v>
      </c>
      <c r="AB479" s="4">
        <f>Games[[#This Row],[PreGmRate]]+Games[[#This Row],[RatingChange]]</f>
        <v>1698.0279385883364</v>
      </c>
      <c r="AC479" s="2">
        <f>IF(Games[[#This Row],[Type]]="R",IF(Games[[#This Row],[Result]]&gt;0.5,1,0),0)</f>
        <v>0</v>
      </c>
      <c r="AD479" s="2">
        <f>IF(Games[[#This Row],[Type]]="R",IF(Games[[#This Row],[Result]]&lt;0.5,1,0),0)</f>
        <v>1</v>
      </c>
      <c r="AE479" s="2">
        <f>IF(AND(Games[[#This Row],[Type]]="P",Games[[#This Row],[Round]]=1),IF(Games[[#This Row],[Result]]&gt;0.5,1,0),0)</f>
        <v>0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0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45554</v>
      </c>
      <c r="B480" s="2">
        <v>2024</v>
      </c>
      <c r="C480" s="2">
        <f>COUNTIFS(Games[Team],Games[[#This Row],[Team]],Games[Season],Games[[#This Row],[Season]],Games[Date],"&lt;=" &amp; Games[[#This Row],[Date]])</f>
        <v>40</v>
      </c>
      <c r="D480" s="2" t="s">
        <v>79</v>
      </c>
      <c r="E480" s="2" t="s">
        <v>80</v>
      </c>
      <c r="F480" s="1" t="s">
        <v>71</v>
      </c>
      <c r="G480" s="1" t="s">
        <v>40</v>
      </c>
      <c r="H480" s="1" t="s">
        <v>81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0" s="2">
        <f>Games[[#This Row],[DaysOff]]-Games[[#This Row],[OppDaysOff]]</f>
        <v>0</v>
      </c>
      <c r="L480" s="2">
        <f>Games[[#This Row],[OppDaysOff]]-Games[[#This Row],[DaysOff]]</f>
        <v>0</v>
      </c>
      <c r="M480" s="1">
        <f>MAX(-16, MIN(16, Games[[#This Row],[RestDiff]]*8))</f>
        <v>0</v>
      </c>
      <c r="N480" s="1">
        <f>MAX(-16, MIN(16, Games[[#This Row],[OppRestDiff]]*8))</f>
        <v>0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1548.3624334869241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1436.2462389210382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0.54037435990894633</v>
      </c>
      <c r="R480" s="1">
        <v>89</v>
      </c>
      <c r="S480" s="1">
        <v>70</v>
      </c>
      <c r="T480" s="1">
        <v>0</v>
      </c>
      <c r="U480" s="1">
        <f>Games[[#This Row],[PointsFor]]-Games[[#This Row],[PointsAgainst]]</f>
        <v>19</v>
      </c>
      <c r="V480" s="1">
        <f>IF(Games[[#This Row],[MOV]]&gt;0,1,IF(Games[[#This Row],[MOV]]=0,0.5,0))</f>
        <v>1</v>
      </c>
      <c r="W480" s="4">
        <f>((ABS(Games[[#This Row],[MOV]])+5)^0.6)/(12+0.01*(ABS(Games[[#This Row],[PreGmRate]]-Games[[#This Row],[OppPreGmRate]])))*IF(Games[[#This Row],[OT]]=1,0.9,1)</f>
        <v>0.51304380668088556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0" s="9">
        <f>MAX(kmin, kmax - 0.15 * MIN(Games[[#This Row],[GamesPlayed]], 82))</f>
        <v>70</v>
      </c>
      <c r="Z480" s="4">
        <f>Games[[#This Row],[K]]*Games[[#This Row],[POMult]]</f>
        <v>70</v>
      </c>
      <c r="AA480" s="4">
        <f>(Games[[#This Row],[Keff]]*Games[[#This Row],[MOVMult]])*(Games[[#This Row],[Result]]-Games[[#This Row],[ExpectedWin%]])</f>
        <v>16.5065661628317</v>
      </c>
      <c r="AB480" s="4">
        <f>Games[[#This Row],[PreGmRate]]+Games[[#This Row],[RatingChange]]</f>
        <v>1564.8689996497558</v>
      </c>
      <c r="AC480" s="2">
        <f>IF(Games[[#This Row],[Type]]="R",IF(Games[[#This Row],[Result]]&gt;0.5,1,0),0)</f>
        <v>1</v>
      </c>
      <c r="AD480" s="2">
        <f>IF(Games[[#This Row],[Type]]="R",IF(Games[[#This Row],[Result]]&lt;0.5,1,0),0)</f>
        <v>0</v>
      </c>
      <c r="AE480" s="2">
        <f>IF(AND(Games[[#This Row],[Type]]="P",Games[[#This Row],[Round]]=1),IF(Games[[#This Row],[Result]]&gt;0.5,1,0),0)</f>
        <v>0</v>
      </c>
      <c r="AF480" s="2">
        <f>IF(AND(Games[[#This Row],[Type]]="P",Games[[#This Row],[Round]]=1),IF(Games[[#This Row],[Result]]&lt;0.5,1,0),0)</f>
        <v>0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0</v>
      </c>
      <c r="AJ480" s="2">
        <f>IF(AND(Games[[#This Row],[Type]]="P",Games[[#This Row],[Round]]=3),IF(Games[[#This Row],[Result]]&lt;0.5,1,0),0)</f>
        <v>0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45554</v>
      </c>
      <c r="B481" s="2">
        <v>2024</v>
      </c>
      <c r="C481" s="2">
        <f>COUNTIFS(Games[Team],Games[[#This Row],[Team]],Games[Season],Games[[#This Row],[Season]],Games[Date],"&lt;=" &amp; Games[[#This Row],[Date]])</f>
        <v>40</v>
      </c>
      <c r="D481" s="2" t="s">
        <v>79</v>
      </c>
      <c r="E481" s="2" t="s">
        <v>80</v>
      </c>
      <c r="F481" s="1" t="s">
        <v>40</v>
      </c>
      <c r="G481" s="1" t="s">
        <v>71</v>
      </c>
      <c r="H481" s="1" t="s">
        <v>82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1" s="2">
        <f>Games[[#This Row],[DaysOff]]-Games[[#This Row],[OppDaysOff]]</f>
        <v>0</v>
      </c>
      <c r="L481" s="2">
        <f>Games[[#This Row],[OppDaysOff]]-Games[[#This Row],[DaysOff]]</f>
        <v>0</v>
      </c>
      <c r="M481" s="1">
        <f>MAX(-16, MIN(16, Games[[#This Row],[RestDiff]]*8))</f>
        <v>0</v>
      </c>
      <c r="N481" s="1">
        <f>MAX(-16, MIN(16, Games[[#This Row],[OppRestDiff]]*8))</f>
        <v>0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1436.2462389210382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1548.3624334869241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0.45962564009105367</v>
      </c>
      <c r="R481" s="1">
        <v>70</v>
      </c>
      <c r="S481" s="1">
        <v>89</v>
      </c>
      <c r="T481" s="1">
        <v>0</v>
      </c>
      <c r="U481" s="1">
        <f>Games[[#This Row],[PointsFor]]-Games[[#This Row],[PointsAgainst]]</f>
        <v>-19</v>
      </c>
      <c r="V481" s="1">
        <f>IF(Games[[#This Row],[MOV]]&gt;0,1,IF(Games[[#This Row],[MOV]]=0,0.5,0))</f>
        <v>0</v>
      </c>
      <c r="W481" s="4">
        <f>((ABS(Games[[#This Row],[MOV]])+5)^0.6)/(12+0.01*(ABS(Games[[#This Row],[PreGmRate]]-Games[[#This Row],[OppPreGmRate]])))*IF(Games[[#This Row],[OT]]=1,0.9,1)</f>
        <v>0.51304380668088556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1" s="9">
        <f>MAX(kmin, kmax - 0.15 * MIN(Games[[#This Row],[GamesPlayed]], 82))</f>
        <v>70</v>
      </c>
      <c r="Z481" s="4">
        <f>Games[[#This Row],[K]]*Games[[#This Row],[POMult]]</f>
        <v>70</v>
      </c>
      <c r="AA481" s="4">
        <f>(Games[[#This Row],[Keff]]*Games[[#This Row],[MOVMult]])*(Games[[#This Row],[Result]]-Games[[#This Row],[ExpectedWin%]])</f>
        <v>-16.5065661628317</v>
      </c>
      <c r="AB481" s="4">
        <f>Games[[#This Row],[PreGmRate]]+Games[[#This Row],[RatingChange]]</f>
        <v>1419.7396727582066</v>
      </c>
      <c r="AC481" s="2">
        <f>IF(Games[[#This Row],[Type]]="R",IF(Games[[#This Row],[Result]]&gt;0.5,1,0),0)</f>
        <v>0</v>
      </c>
      <c r="AD481" s="2">
        <f>IF(Games[[#This Row],[Type]]="R",IF(Games[[#This Row],[Result]]&lt;0.5,1,0),0)</f>
        <v>1</v>
      </c>
      <c r="AE481" s="2">
        <f>IF(AND(Games[[#This Row],[Type]]="P",Games[[#This Row],[Round]]=1),IF(Games[[#This Row],[Result]]&gt;0.5,1,0),0)</f>
        <v>0</v>
      </c>
      <c r="AF481" s="2">
        <f>IF(AND(Games[[#This Row],[Type]]="P",Games[[#This Row],[Round]]=1),IF(Games[[#This Row],[Result]]&lt;0.5,1,0),0)</f>
        <v>0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0</v>
      </c>
      <c r="AJ481" s="2">
        <f>IF(AND(Games[[#This Row],[Type]]="P",Games[[#This Row],[Round]]=3),IF(Games[[#This Row],[Result]]&lt;0.5,1,0),0)</f>
        <v>0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  <row r="482" spans="1:38" x14ac:dyDescent="0.35">
      <c r="A482" s="10">
        <v>45554</v>
      </c>
      <c r="B482" s="2">
        <v>2024</v>
      </c>
      <c r="C482" s="2">
        <f>COUNTIFS(Games[Team],Games[[#This Row],[Team]],Games[Season],Games[[#This Row],[Season]],Games[Date],"&lt;=" &amp; Games[[#This Row],[Date]])</f>
        <v>40</v>
      </c>
      <c r="D482" s="2" t="s">
        <v>79</v>
      </c>
      <c r="E482" s="2" t="s">
        <v>80</v>
      </c>
      <c r="F482" s="1" t="s">
        <v>69</v>
      </c>
      <c r="G482" s="1" t="s">
        <v>65</v>
      </c>
      <c r="H482" s="1" t="s">
        <v>81</v>
      </c>
      <c r="I482" s="2" cm="1">
        <f t="array" ref="I4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82" s="2" cm="1">
        <f t="array" ref="J4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2" s="2">
        <f>Games[[#This Row],[DaysOff]]-Games[[#This Row],[OppDaysOff]]</f>
        <v>2</v>
      </c>
      <c r="L482" s="2">
        <f>Games[[#This Row],[OppDaysOff]]-Games[[#This Row],[DaysOff]]</f>
        <v>-2</v>
      </c>
      <c r="M482" s="1">
        <f>MAX(-16, MIN(16, Games[[#This Row],[RestDiff]]*8))</f>
        <v>16</v>
      </c>
      <c r="N482" s="1">
        <f>MAX(-16, MIN(16, Games[[#This Row],[OppRestDiff]]*8))</f>
        <v>-16</v>
      </c>
      <c r="O482" s="4" cm="1">
        <f t="array" ref="O4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1501.6543896290696</v>
      </c>
      <c r="P482" s="4" cm="1">
        <f t="array" ref="P4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1446.9006653304714</v>
      </c>
      <c r="Q482" s="4">
        <f>1/(1+10^(((Games[[#This Row],[OppPreGmRate]]+IF(Games[[#This Row],[HomeAway]]="A",HCA,0)+Games[[#This Row],[OppRestAdj]])-(Games[[#This Row],[PreGmRate]]+IF(Games[[#This Row],[HomeAway]]="H",HCA,0)+Games[[#This Row],[RestAdj]]))/400))</f>
        <v>0.50396284484455411</v>
      </c>
      <c r="R482" s="1">
        <v>91</v>
      </c>
      <c r="S482" s="1">
        <v>92</v>
      </c>
      <c r="T482" s="1">
        <v>0</v>
      </c>
      <c r="U482" s="1">
        <f>Games[[#This Row],[PointsFor]]-Games[[#This Row],[PointsAgainst]]</f>
        <v>-1</v>
      </c>
      <c r="V482" s="1">
        <f>IF(Games[[#This Row],[MOV]]&gt;0,1,IF(Games[[#This Row],[MOV]]=0,0.5,0))</f>
        <v>0</v>
      </c>
      <c r="W482" s="4">
        <f>((ABS(Games[[#This Row],[MOV]])+5)^0.6)/(12+0.01*(ABS(Games[[#This Row],[PreGmRate]]-Games[[#This Row],[OppPreGmRate]])))*IF(Games[[#This Row],[OT]]=1,0.9,1)</f>
        <v>0.23352439565154234</v>
      </c>
      <c r="X482" s="7" cm="1">
        <f t="array" ref="X4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2" s="9">
        <f>MAX(kmin, kmax - 0.15 * MIN(Games[[#This Row],[GamesPlayed]], 82))</f>
        <v>70</v>
      </c>
      <c r="Z482" s="4">
        <f>Games[[#This Row],[K]]*Games[[#This Row],[POMult]]</f>
        <v>70</v>
      </c>
      <c r="AA482" s="4">
        <f>(Games[[#This Row],[Keff]]*Games[[#This Row],[MOVMult]])*(Games[[#This Row],[Result]]-Games[[#This Row],[ExpectedWin%]])</f>
        <v>-8.2381333141209545</v>
      </c>
      <c r="AB482" s="4">
        <f>Games[[#This Row],[PreGmRate]]+Games[[#This Row],[RatingChange]]</f>
        <v>1493.4162563149487</v>
      </c>
      <c r="AC482" s="2">
        <f>IF(Games[[#This Row],[Type]]="R",IF(Games[[#This Row],[Result]]&gt;0.5,1,0),0)</f>
        <v>0</v>
      </c>
      <c r="AD482" s="2">
        <f>IF(Games[[#This Row],[Type]]="R",IF(Games[[#This Row],[Result]]&lt;0.5,1,0),0)</f>
        <v>1</v>
      </c>
      <c r="AE482" s="2">
        <f>IF(AND(Games[[#This Row],[Type]]="P",Games[[#This Row],[Round]]=1),IF(Games[[#This Row],[Result]]&gt;0.5,1,0),0)</f>
        <v>0</v>
      </c>
      <c r="AF482" s="2">
        <f>IF(AND(Games[[#This Row],[Type]]="P",Games[[#This Row],[Round]]=1),IF(Games[[#This Row],[Result]]&lt;0.5,1,0),0)</f>
        <v>0</v>
      </c>
      <c r="AG482" s="2">
        <f>IF(AND(Games[[#This Row],[Type]]="P",Games[[#This Row],[Round]]=2),IF(Games[[#This Row],[Result]]&gt;0.5,1,0),0)</f>
        <v>0</v>
      </c>
      <c r="AH482" s="2">
        <f>IF(AND(Games[[#This Row],[Type]]="P",Games[[#This Row],[Round]]=2),IF(Games[[#This Row],[Result]]&lt;0.5,1,0),0)</f>
        <v>0</v>
      </c>
      <c r="AI482" s="2">
        <f>IF(AND(Games[[#This Row],[Type]]="P",Games[[#This Row],[Round]]=3),IF(Games[[#This Row],[Result]]&gt;0.5,1,0),0)</f>
        <v>0</v>
      </c>
      <c r="AJ482" s="2">
        <f>IF(AND(Games[[#This Row],[Type]]="P",Games[[#This Row],[Round]]=3),IF(Games[[#This Row],[Result]]&lt;0.5,1,0),0)</f>
        <v>0</v>
      </c>
      <c r="AK482" s="2">
        <f>IF(AND(Games[[#This Row],[Type]]="P",Games[[#This Row],[Round]]=4),IF(Games[[#This Row],[Result]]&gt;0.5,1,0),0)</f>
        <v>0</v>
      </c>
      <c r="AL482" s="2">
        <f>IF(AND(Games[[#This Row],[Type]]="P",Games[[#This Row],[Round]]=4),IF(Games[[#This Row],[Result]]&lt;0.5,1,0),0)</f>
        <v>0</v>
      </c>
    </row>
    <row r="483" spans="1:38" x14ac:dyDescent="0.35">
      <c r="A483" s="10">
        <v>45554</v>
      </c>
      <c r="B483" s="2">
        <v>2024</v>
      </c>
      <c r="C483" s="2">
        <f>COUNTIFS(Games[Team],Games[[#This Row],[Team]],Games[Season],Games[[#This Row],[Season]],Games[Date],"&lt;=" &amp; Games[[#This Row],[Date]])</f>
        <v>40</v>
      </c>
      <c r="D483" s="2" t="s">
        <v>79</v>
      </c>
      <c r="E483" s="2" t="s">
        <v>80</v>
      </c>
      <c r="F483" s="1" t="s">
        <v>65</v>
      </c>
      <c r="G483" s="1" t="s">
        <v>69</v>
      </c>
      <c r="H483" s="1" t="s">
        <v>82</v>
      </c>
      <c r="I483" s="2" cm="1">
        <f t="array" ref="I4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3" s="2" cm="1">
        <f t="array" ref="J4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3" s="2">
        <f>Games[[#This Row],[DaysOff]]-Games[[#This Row],[OppDaysOff]]</f>
        <v>-2</v>
      </c>
      <c r="L483" s="2">
        <f>Games[[#This Row],[OppDaysOff]]-Games[[#This Row],[DaysOff]]</f>
        <v>2</v>
      </c>
      <c r="M483" s="1">
        <f>MAX(-16, MIN(16, Games[[#This Row],[RestDiff]]*8))</f>
        <v>-16</v>
      </c>
      <c r="N483" s="1">
        <f>MAX(-16, MIN(16, Games[[#This Row],[OppRestDiff]]*8))</f>
        <v>16</v>
      </c>
      <c r="O483" s="4" cm="1">
        <f t="array" ref="O4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1446.9006653304714</v>
      </c>
      <c r="P483" s="4" cm="1">
        <f t="array" ref="P4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1501.6543896290696</v>
      </c>
      <c r="Q483" s="4">
        <f>1/(1+10^(((Games[[#This Row],[OppPreGmRate]]+IF(Games[[#This Row],[HomeAway]]="A",HCA,0)+Games[[#This Row],[OppRestAdj]])-(Games[[#This Row],[PreGmRate]]+IF(Games[[#This Row],[HomeAway]]="H",HCA,0)+Games[[#This Row],[RestAdj]]))/400))</f>
        <v>0.49603715515544589</v>
      </c>
      <c r="R483" s="1">
        <v>92</v>
      </c>
      <c r="S483" s="1">
        <v>91</v>
      </c>
      <c r="T483" s="1">
        <v>0</v>
      </c>
      <c r="U483" s="1">
        <f>Games[[#This Row],[PointsFor]]-Games[[#This Row],[PointsAgainst]]</f>
        <v>1</v>
      </c>
      <c r="V483" s="1">
        <f>IF(Games[[#This Row],[MOV]]&gt;0,1,IF(Games[[#This Row],[MOV]]=0,0.5,0))</f>
        <v>1</v>
      </c>
      <c r="W483" s="4">
        <f>((ABS(Games[[#This Row],[MOV]])+5)^0.6)/(12+0.01*(ABS(Games[[#This Row],[PreGmRate]]-Games[[#This Row],[OppPreGmRate]])))*IF(Games[[#This Row],[OT]]=1,0.9,1)</f>
        <v>0.23352439565154234</v>
      </c>
      <c r="X483" s="7" cm="1">
        <f t="array" ref="X4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3" s="9">
        <f>MAX(kmin, kmax - 0.15 * MIN(Games[[#This Row],[GamesPlayed]], 82))</f>
        <v>70</v>
      </c>
      <c r="Z483" s="4">
        <f>Games[[#This Row],[K]]*Games[[#This Row],[POMult]]</f>
        <v>70</v>
      </c>
      <c r="AA483" s="4">
        <f>(Games[[#This Row],[Keff]]*Games[[#This Row],[MOVMult]])*(Games[[#This Row],[Result]]-Games[[#This Row],[ExpectedWin%]])</f>
        <v>8.2381333141209545</v>
      </c>
      <c r="AB483" s="4">
        <f>Games[[#This Row],[PreGmRate]]+Games[[#This Row],[RatingChange]]</f>
        <v>1455.1387986445923</v>
      </c>
      <c r="AC483" s="2">
        <f>IF(Games[[#This Row],[Type]]="R",IF(Games[[#This Row],[Result]]&gt;0.5,1,0),0)</f>
        <v>1</v>
      </c>
      <c r="AD483" s="2">
        <f>IF(Games[[#This Row],[Type]]="R",IF(Games[[#This Row],[Result]]&lt;0.5,1,0),0)</f>
        <v>0</v>
      </c>
      <c r="AE483" s="2">
        <f>IF(AND(Games[[#This Row],[Type]]="P",Games[[#This Row],[Round]]=1),IF(Games[[#This Row],[Result]]&gt;0.5,1,0),0)</f>
        <v>0</v>
      </c>
      <c r="AF483" s="2">
        <f>IF(AND(Games[[#This Row],[Type]]="P",Games[[#This Row],[Round]]=1),IF(Games[[#This Row],[Result]]&lt;0.5,1,0),0)</f>
        <v>0</v>
      </c>
      <c r="AG483" s="2">
        <f>IF(AND(Games[[#This Row],[Type]]="P",Games[[#This Row],[Round]]=2),IF(Games[[#This Row],[Result]]&gt;0.5,1,0),0)</f>
        <v>0</v>
      </c>
      <c r="AH483" s="2">
        <f>IF(AND(Games[[#This Row],[Type]]="P",Games[[#This Row],[Round]]=2),IF(Games[[#This Row],[Result]]&lt;0.5,1,0),0)</f>
        <v>0</v>
      </c>
      <c r="AI483" s="2">
        <f>IF(AND(Games[[#This Row],[Type]]="P",Games[[#This Row],[Round]]=3),IF(Games[[#This Row],[Result]]&gt;0.5,1,0),0)</f>
        <v>0</v>
      </c>
      <c r="AJ483" s="2">
        <f>IF(AND(Games[[#This Row],[Type]]="P",Games[[#This Row],[Round]]=3),IF(Games[[#This Row],[Result]]&lt;0.5,1,0),0)</f>
        <v>0</v>
      </c>
      <c r="AK483" s="2">
        <f>IF(AND(Games[[#This Row],[Type]]="P",Games[[#This Row],[Round]]=4),IF(Games[[#This Row],[Result]]&gt;0.5,1,0),0)</f>
        <v>0</v>
      </c>
      <c r="AL483" s="2">
        <f>IF(AND(Games[[#This Row],[Type]]="P",Games[[#This Row],[Round]]=4),IF(Games[[#This Row],[Result]]&lt;0.5,1,0),0)</f>
        <v>0</v>
      </c>
    </row>
    <row r="484" spans="1:38" x14ac:dyDescent="0.35">
      <c r="A484" s="10">
        <v>45557</v>
      </c>
      <c r="B484" s="2">
        <v>2024</v>
      </c>
      <c r="C484" s="2">
        <f>COUNTIFS(Games[Team],Games[[#This Row],[Team]],Games[Season],Games[[#This Row],[Season]],Games[Date],"&lt;=" &amp; Games[[#This Row],[Date]])</f>
        <v>41</v>
      </c>
      <c r="D484" s="2" t="s">
        <v>83</v>
      </c>
      <c r="E484" s="2">
        <v>1</v>
      </c>
      <c r="F484" s="1" t="s">
        <v>69</v>
      </c>
      <c r="G484" s="1" t="s">
        <v>74</v>
      </c>
      <c r="H484" s="1" t="s">
        <v>81</v>
      </c>
      <c r="I484" s="2" cm="1">
        <f t="array" ref="I4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4" s="2" cm="1">
        <f t="array" ref="J4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4" s="2">
        <f>Games[[#This Row],[DaysOff]]-Games[[#This Row],[OppDaysOff]]</f>
        <v>0</v>
      </c>
      <c r="L484" s="2">
        <f>Games[[#This Row],[OppDaysOff]]-Games[[#This Row],[DaysOff]]</f>
        <v>0</v>
      </c>
      <c r="M484" s="1">
        <f>MAX(-16, MIN(16, Games[[#This Row],[RestDiff]]*8))</f>
        <v>0</v>
      </c>
      <c r="N484" s="1">
        <f>MAX(-16, MIN(16, Games[[#This Row],[OppRestDiff]]*8))</f>
        <v>0</v>
      </c>
      <c r="O484" s="4" cm="1">
        <f t="array" ref="O4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1493.4162563149487</v>
      </c>
      <c r="P484" s="4" cm="1">
        <f t="array" ref="P4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1615.4947482934776</v>
      </c>
      <c r="Q484" s="4">
        <f>1/(1+10^(((Games[[#This Row],[OppPreGmRate]]+IF(Games[[#This Row],[HomeAway]]="A",HCA,0)+Games[[#This Row],[OppRestAdj]])-(Games[[#This Row],[PreGmRate]]+IF(Games[[#This Row],[HomeAway]]="H",HCA,0)+Games[[#This Row],[RestAdj]]))/400))</f>
        <v>0.23392434876786899</v>
      </c>
      <c r="R484" s="1">
        <v>69</v>
      </c>
      <c r="S484" s="1">
        <v>93</v>
      </c>
      <c r="T484" s="1">
        <v>0</v>
      </c>
      <c r="U484" s="1">
        <f>Games[[#This Row],[PointsFor]]-Games[[#This Row],[PointsAgainst]]</f>
        <v>-24</v>
      </c>
      <c r="V484" s="1">
        <f>IF(Games[[#This Row],[MOV]]&gt;0,1,IF(Games[[#This Row],[MOV]]=0,0.5,0))</f>
        <v>0</v>
      </c>
      <c r="W484" s="4">
        <f>((ABS(Games[[#This Row],[MOV]])+5)^0.6)/(12+0.01*(ABS(Games[[#This Row],[PreGmRate]]-Games[[#This Row],[OppPreGmRate]])))*IF(Games[[#This Row],[OT]]=1,0.9,1)</f>
        <v>0.57040268177209796</v>
      </c>
      <c r="X484" s="7" cm="1">
        <f t="array" ref="X4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4" s="9">
        <f>MAX(kmin, kmax - 0.15 * MIN(Games[[#This Row],[GamesPlayed]], 82))</f>
        <v>69.849999999999994</v>
      </c>
      <c r="Z484" s="4">
        <f>Games[[#This Row],[K]]*Games[[#This Row],[POMult]]</f>
        <v>76.834999999999994</v>
      </c>
      <c r="AA484" s="4">
        <f>(Games[[#This Row],[Keff]]*Games[[#This Row],[MOVMult]])*(Games[[#This Row],[Result]]-Games[[#This Row],[ExpectedWin%]])</f>
        <v>-10.252176714393388</v>
      </c>
      <c r="AB484" s="4">
        <f>Games[[#This Row],[PreGmRate]]+Games[[#This Row],[RatingChange]]</f>
        <v>1483.1640796005552</v>
      </c>
      <c r="AC484" s="2">
        <f>IF(Games[[#This Row],[Type]]="R",IF(Games[[#This Row],[Result]]&gt;0.5,1,0),0)</f>
        <v>0</v>
      </c>
      <c r="AD484" s="2">
        <f>IF(Games[[#This Row],[Type]]="R",IF(Games[[#This Row],[Result]]&lt;0.5,1,0),0)</f>
        <v>0</v>
      </c>
      <c r="AE484" s="2">
        <f>IF(AND(Games[[#This Row],[Type]]="P",Games[[#This Row],[Round]]=1),IF(Games[[#This Row],[Result]]&gt;0.5,1,0),0)</f>
        <v>0</v>
      </c>
      <c r="AF484" s="2">
        <f>IF(AND(Games[[#This Row],[Type]]="P",Games[[#This Row],[Round]]=1),IF(Games[[#This Row],[Result]]&lt;0.5,1,0),0)</f>
        <v>1</v>
      </c>
      <c r="AG484" s="2">
        <f>IF(AND(Games[[#This Row],[Type]]="P",Games[[#This Row],[Round]]=2),IF(Games[[#This Row],[Result]]&gt;0.5,1,0),0)</f>
        <v>0</v>
      </c>
      <c r="AH484" s="2">
        <f>IF(AND(Games[[#This Row],[Type]]="P",Games[[#This Row],[Round]]=2),IF(Games[[#This Row],[Result]]&lt;0.5,1,0),0)</f>
        <v>0</v>
      </c>
      <c r="AI484" s="2">
        <f>IF(AND(Games[[#This Row],[Type]]="P",Games[[#This Row],[Round]]=3),IF(Games[[#This Row],[Result]]&gt;0.5,1,0),0)</f>
        <v>0</v>
      </c>
      <c r="AJ484" s="2">
        <f>IF(AND(Games[[#This Row],[Type]]="P",Games[[#This Row],[Round]]=3),IF(Games[[#This Row],[Result]]&lt;0.5,1,0),0)</f>
        <v>0</v>
      </c>
      <c r="AK484" s="2">
        <f>IF(AND(Games[[#This Row],[Type]]="P",Games[[#This Row],[Round]]=4),IF(Games[[#This Row],[Result]]&gt;0.5,1,0),0)</f>
        <v>0</v>
      </c>
      <c r="AL484" s="2">
        <f>IF(AND(Games[[#This Row],[Type]]="P",Games[[#This Row],[Round]]=4),IF(Games[[#This Row],[Result]]&lt;0.5,1,0),0)</f>
        <v>0</v>
      </c>
    </row>
    <row r="485" spans="1:38" x14ac:dyDescent="0.35">
      <c r="A485" s="10">
        <v>45557</v>
      </c>
      <c r="B485" s="2">
        <v>2024</v>
      </c>
      <c r="C485" s="2">
        <f>COUNTIFS(Games[Team],Games[[#This Row],[Team]],Games[Season],Games[[#This Row],[Season]],Games[Date],"&lt;=" &amp; Games[[#This Row],[Date]])</f>
        <v>41</v>
      </c>
      <c r="D485" s="2" t="s">
        <v>83</v>
      </c>
      <c r="E485" s="2">
        <v>1</v>
      </c>
      <c r="F485" s="1" t="s">
        <v>74</v>
      </c>
      <c r="G485" s="1" t="s">
        <v>69</v>
      </c>
      <c r="H485" s="1" t="s">
        <v>82</v>
      </c>
      <c r="I485" s="2" cm="1">
        <f t="array" ref="I4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5" s="2" cm="1">
        <f t="array" ref="J4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5" s="2">
        <f>Games[[#This Row],[DaysOff]]-Games[[#This Row],[OppDaysOff]]</f>
        <v>0</v>
      </c>
      <c r="L485" s="2">
        <f>Games[[#This Row],[OppDaysOff]]-Games[[#This Row],[DaysOff]]</f>
        <v>0</v>
      </c>
      <c r="M485" s="1">
        <f>MAX(-16, MIN(16, Games[[#This Row],[RestDiff]]*8))</f>
        <v>0</v>
      </c>
      <c r="N485" s="1">
        <f>MAX(-16, MIN(16, Games[[#This Row],[OppRestDiff]]*8))</f>
        <v>0</v>
      </c>
      <c r="O485" s="4" cm="1">
        <f t="array" ref="O4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1615.4947482934776</v>
      </c>
      <c r="P485" s="4" cm="1">
        <f t="array" ref="P4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1493.4162563149487</v>
      </c>
      <c r="Q485" s="4">
        <f>1/(1+10^(((Games[[#This Row],[OppPreGmRate]]+IF(Games[[#This Row],[HomeAway]]="A",HCA,0)+Games[[#This Row],[OppRestAdj]])-(Games[[#This Row],[PreGmRate]]+IF(Games[[#This Row],[HomeAway]]="H",HCA,0)+Games[[#This Row],[RestAdj]]))/400))</f>
        <v>0.76607565123213095</v>
      </c>
      <c r="R485" s="1">
        <v>93</v>
      </c>
      <c r="S485" s="1">
        <v>69</v>
      </c>
      <c r="T485" s="1">
        <v>0</v>
      </c>
      <c r="U485" s="1">
        <f>Games[[#This Row],[PointsFor]]-Games[[#This Row],[PointsAgainst]]</f>
        <v>24</v>
      </c>
      <c r="V485" s="1">
        <f>IF(Games[[#This Row],[MOV]]&gt;0,1,IF(Games[[#This Row],[MOV]]=0,0.5,0))</f>
        <v>1</v>
      </c>
      <c r="W485" s="4">
        <f>((ABS(Games[[#This Row],[MOV]])+5)^0.6)/(12+0.01*(ABS(Games[[#This Row],[PreGmRate]]-Games[[#This Row],[OppPreGmRate]])))*IF(Games[[#This Row],[OT]]=1,0.9,1)</f>
        <v>0.57040268177209796</v>
      </c>
      <c r="X485" s="7" cm="1">
        <f t="array" ref="X4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5" s="9">
        <f>MAX(kmin, kmax - 0.15 * MIN(Games[[#This Row],[GamesPlayed]], 82))</f>
        <v>69.849999999999994</v>
      </c>
      <c r="Z485" s="4">
        <f>Games[[#This Row],[K]]*Games[[#This Row],[POMult]]</f>
        <v>76.834999999999994</v>
      </c>
      <c r="AA485" s="4">
        <f>(Games[[#This Row],[Keff]]*Games[[#This Row],[MOVMult]])*(Games[[#This Row],[Result]]-Games[[#This Row],[ExpectedWin%]])</f>
        <v>10.252176714393389</v>
      </c>
      <c r="AB485" s="4">
        <f>Games[[#This Row],[PreGmRate]]+Games[[#This Row],[RatingChange]]</f>
        <v>1625.7469250078711</v>
      </c>
      <c r="AC485" s="2">
        <f>IF(Games[[#This Row],[Type]]="R",IF(Games[[#This Row],[Result]]&gt;0.5,1,0),0)</f>
        <v>0</v>
      </c>
      <c r="AD485" s="2">
        <f>IF(Games[[#This Row],[Type]]="R",IF(Games[[#This Row],[Result]]&lt;0.5,1,0),0)</f>
        <v>0</v>
      </c>
      <c r="AE485" s="2">
        <f>IF(AND(Games[[#This Row],[Type]]="P",Games[[#This Row],[Round]]=1),IF(Games[[#This Row],[Result]]&gt;0.5,1,0),0)</f>
        <v>1</v>
      </c>
      <c r="AF485" s="2">
        <f>IF(AND(Games[[#This Row],[Type]]="P",Games[[#This Row],[Round]]=1),IF(Games[[#This Row],[Result]]&lt;0.5,1,0),0)</f>
        <v>0</v>
      </c>
      <c r="AG485" s="2">
        <f>IF(AND(Games[[#This Row],[Type]]="P",Games[[#This Row],[Round]]=2),IF(Games[[#This Row],[Result]]&gt;0.5,1,0),0)</f>
        <v>0</v>
      </c>
      <c r="AH485" s="2">
        <f>IF(AND(Games[[#This Row],[Type]]="P",Games[[#This Row],[Round]]=2),IF(Games[[#This Row],[Result]]&lt;0.5,1,0),0)</f>
        <v>0</v>
      </c>
      <c r="AI485" s="2">
        <f>IF(AND(Games[[#This Row],[Type]]="P",Games[[#This Row],[Round]]=3),IF(Games[[#This Row],[Result]]&gt;0.5,1,0),0)</f>
        <v>0</v>
      </c>
      <c r="AJ485" s="2">
        <f>IF(AND(Games[[#This Row],[Type]]="P",Games[[#This Row],[Round]]=3),IF(Games[[#This Row],[Result]]&lt;0.5,1,0),0)</f>
        <v>0</v>
      </c>
      <c r="AK485" s="2">
        <f>IF(AND(Games[[#This Row],[Type]]="P",Games[[#This Row],[Round]]=4),IF(Games[[#This Row],[Result]]&gt;0.5,1,0),0)</f>
        <v>0</v>
      </c>
      <c r="AL485" s="2">
        <f>IF(AND(Games[[#This Row],[Type]]="P",Games[[#This Row],[Round]]=4),IF(Games[[#This Row],[Result]]&lt;0.5,1,0),0)</f>
        <v>0</v>
      </c>
    </row>
    <row r="486" spans="1:38" x14ac:dyDescent="0.35">
      <c r="A486" s="10">
        <v>45557</v>
      </c>
      <c r="B486" s="2">
        <v>2024</v>
      </c>
      <c r="C486" s="2">
        <f>COUNTIFS(Games[Team],Games[[#This Row],[Team]],Games[Season],Games[[#This Row],[Season]],Games[Date],"&lt;=" &amp; Games[[#This Row],[Date]])</f>
        <v>41</v>
      </c>
      <c r="D486" s="2" t="s">
        <v>83</v>
      </c>
      <c r="E486" s="2">
        <v>1</v>
      </c>
      <c r="F486" s="1" t="s">
        <v>71</v>
      </c>
      <c r="G486" s="1" t="s">
        <v>86</v>
      </c>
      <c r="H486" s="1" t="s">
        <v>81</v>
      </c>
      <c r="I486" s="2" cm="1">
        <f t="array" ref="I4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6" s="2" cm="1">
        <f t="array" ref="J4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6" s="2">
        <f>Games[[#This Row],[DaysOff]]-Games[[#This Row],[OppDaysOff]]</f>
        <v>0</v>
      </c>
      <c r="L486" s="2">
        <f>Games[[#This Row],[OppDaysOff]]-Games[[#This Row],[DaysOff]]</f>
        <v>0</v>
      </c>
      <c r="M486" s="1">
        <f>MAX(-16, MIN(16, Games[[#This Row],[RestDiff]]*8))</f>
        <v>0</v>
      </c>
      <c r="N486" s="1">
        <f>MAX(-16, MIN(16, Games[[#This Row],[OppRestDiff]]*8))</f>
        <v>0</v>
      </c>
      <c r="O486" s="4" cm="1">
        <f t="array" ref="O4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1564.8689996497558</v>
      </c>
      <c r="P486" s="4" cm="1">
        <f t="array" ref="P4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1673.6673996077218</v>
      </c>
      <c r="Q486" s="4">
        <f>1/(1+10^(((Games[[#This Row],[OppPreGmRate]]+IF(Games[[#This Row],[HomeAway]]="A",HCA,0)+Games[[#This Row],[OppRestAdj]])-(Games[[#This Row],[PreGmRate]]+IF(Games[[#This Row],[HomeAway]]="H",HCA,0)+Games[[#This Row],[RestAdj]]))/400))</f>
        <v>0.24790131454636971</v>
      </c>
      <c r="R486" s="1">
        <v>67</v>
      </c>
      <c r="S486" s="1">
        <v>78</v>
      </c>
      <c r="T486" s="1">
        <v>0</v>
      </c>
      <c r="U486" s="1">
        <f>Games[[#This Row],[PointsFor]]-Games[[#This Row],[PointsAgainst]]</f>
        <v>-11</v>
      </c>
      <c r="V486" s="1">
        <f>IF(Games[[#This Row],[MOV]]&gt;0,1,IF(Games[[#This Row],[MOV]]=0,0.5,0))</f>
        <v>0</v>
      </c>
      <c r="W486" s="4">
        <f>((ABS(Games[[#This Row],[MOV]])+5)^0.6)/(12+0.01*(ABS(Games[[#This Row],[PreGmRate]]-Games[[#This Row],[OppPreGmRate]])))*IF(Games[[#This Row],[OT]]=1,0.9,1)</f>
        <v>0.40327308187885075</v>
      </c>
      <c r="X486" s="7" cm="1">
        <f t="array" ref="X4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6" s="9">
        <f>MAX(kmin, kmax - 0.15 * MIN(Games[[#This Row],[GamesPlayed]], 82))</f>
        <v>69.849999999999994</v>
      </c>
      <c r="Z486" s="4">
        <f>Games[[#This Row],[K]]*Games[[#This Row],[POMult]]</f>
        <v>76.834999999999994</v>
      </c>
      <c r="AA486" s="4">
        <f>(Games[[#This Row],[Keff]]*Games[[#This Row],[MOVMult]])*(Games[[#This Row],[Result]]-Games[[#This Row],[ExpectedWin%]])</f>
        <v>-7.6813430201832071</v>
      </c>
      <c r="AB486" s="4">
        <f>Games[[#This Row],[PreGmRate]]+Games[[#This Row],[RatingChange]]</f>
        <v>1557.1876566295725</v>
      </c>
      <c r="AC486" s="2">
        <f>IF(Games[[#This Row],[Type]]="R",IF(Games[[#This Row],[Result]]&gt;0.5,1,0),0)</f>
        <v>0</v>
      </c>
      <c r="AD486" s="2">
        <f>IF(Games[[#This Row],[Type]]="R",IF(Games[[#This Row],[Result]]&lt;0.5,1,0),0)</f>
        <v>0</v>
      </c>
      <c r="AE486" s="2">
        <f>IF(AND(Games[[#This Row],[Type]]="P",Games[[#This Row],[Round]]=1),IF(Games[[#This Row],[Result]]&gt;0.5,1,0),0)</f>
        <v>0</v>
      </c>
      <c r="AF486" s="2">
        <f>IF(AND(Games[[#This Row],[Type]]="P",Games[[#This Row],[Round]]=1),IF(Games[[#This Row],[Result]]&lt;0.5,1,0),0)</f>
        <v>1</v>
      </c>
      <c r="AG486" s="2">
        <f>IF(AND(Games[[#This Row],[Type]]="P",Games[[#This Row],[Round]]=2),IF(Games[[#This Row],[Result]]&gt;0.5,1,0),0)</f>
        <v>0</v>
      </c>
      <c r="AH486" s="2">
        <f>IF(AND(Games[[#This Row],[Type]]="P",Games[[#This Row],[Round]]=2),IF(Games[[#This Row],[Result]]&lt;0.5,1,0),0)</f>
        <v>0</v>
      </c>
      <c r="AI486" s="2">
        <f>IF(AND(Games[[#This Row],[Type]]="P",Games[[#This Row],[Round]]=3),IF(Games[[#This Row],[Result]]&gt;0.5,1,0),0)</f>
        <v>0</v>
      </c>
      <c r="AJ486" s="2">
        <f>IF(AND(Games[[#This Row],[Type]]="P",Games[[#This Row],[Round]]=3),IF(Games[[#This Row],[Result]]&lt;0.5,1,0),0)</f>
        <v>0</v>
      </c>
      <c r="AK486" s="2">
        <f>IF(AND(Games[[#This Row],[Type]]="P",Games[[#This Row],[Round]]=4),IF(Games[[#This Row],[Result]]&gt;0.5,1,0),0)</f>
        <v>0</v>
      </c>
      <c r="AL486" s="2">
        <f>IF(AND(Games[[#This Row],[Type]]="P",Games[[#This Row],[Round]]=4),IF(Games[[#This Row],[Result]]&lt;0.5,1,0),0)</f>
        <v>0</v>
      </c>
    </row>
    <row r="487" spans="1:38" x14ac:dyDescent="0.35">
      <c r="A487" s="10">
        <v>45557</v>
      </c>
      <c r="B487" s="2">
        <v>2024</v>
      </c>
      <c r="C487" s="2">
        <f>COUNTIFS(Games[Team],Games[[#This Row],[Team]],Games[Season],Games[[#This Row],[Season]],Games[Date],"&lt;=" &amp; Games[[#This Row],[Date]])</f>
        <v>41</v>
      </c>
      <c r="D487" s="2" t="s">
        <v>83</v>
      </c>
      <c r="E487" s="2">
        <v>1</v>
      </c>
      <c r="F487" s="1" t="s">
        <v>86</v>
      </c>
      <c r="G487" s="1" t="s">
        <v>71</v>
      </c>
      <c r="H487" s="1" t="s">
        <v>82</v>
      </c>
      <c r="I487" s="2" cm="1">
        <f t="array" ref="I4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7" s="2" cm="1">
        <f t="array" ref="J4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7" s="2">
        <f>Games[[#This Row],[DaysOff]]-Games[[#This Row],[OppDaysOff]]</f>
        <v>0</v>
      </c>
      <c r="L487" s="2">
        <f>Games[[#This Row],[OppDaysOff]]-Games[[#This Row],[DaysOff]]</f>
        <v>0</v>
      </c>
      <c r="M487" s="1">
        <f>MAX(-16, MIN(16, Games[[#This Row],[RestDiff]]*8))</f>
        <v>0</v>
      </c>
      <c r="N487" s="1">
        <f>MAX(-16, MIN(16, Games[[#This Row],[OppRestDiff]]*8))</f>
        <v>0</v>
      </c>
      <c r="O487" s="4" cm="1">
        <f t="array" ref="O4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1673.6673996077218</v>
      </c>
      <c r="P487" s="4" cm="1">
        <f t="array" ref="P4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1564.8689996497558</v>
      </c>
      <c r="Q487" s="4">
        <f>1/(1+10^(((Games[[#This Row],[OppPreGmRate]]+IF(Games[[#This Row],[HomeAway]]="A",HCA,0)+Games[[#This Row],[OppRestAdj]])-(Games[[#This Row],[PreGmRate]]+IF(Games[[#This Row],[HomeAway]]="H",HCA,0)+Games[[#This Row],[RestAdj]]))/400))</f>
        <v>0.75209868545363034</v>
      </c>
      <c r="R487" s="1">
        <v>78</v>
      </c>
      <c r="S487" s="1">
        <v>67</v>
      </c>
      <c r="T487" s="1">
        <v>0</v>
      </c>
      <c r="U487" s="1">
        <f>Games[[#This Row],[PointsFor]]-Games[[#This Row],[PointsAgainst]]</f>
        <v>11</v>
      </c>
      <c r="V487" s="1">
        <f>IF(Games[[#This Row],[MOV]]&gt;0,1,IF(Games[[#This Row],[MOV]]=0,0.5,0))</f>
        <v>1</v>
      </c>
      <c r="W487" s="4">
        <f>((ABS(Games[[#This Row],[MOV]])+5)^0.6)/(12+0.01*(ABS(Games[[#This Row],[PreGmRate]]-Games[[#This Row],[OppPreGmRate]])))*IF(Games[[#This Row],[OT]]=1,0.9,1)</f>
        <v>0.40327308187885075</v>
      </c>
      <c r="X487" s="7" cm="1">
        <f t="array" ref="X4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7" s="9">
        <f>MAX(kmin, kmax - 0.15 * MIN(Games[[#This Row],[GamesPlayed]], 82))</f>
        <v>69.849999999999994</v>
      </c>
      <c r="Z487" s="4">
        <f>Games[[#This Row],[K]]*Games[[#This Row],[POMult]]</f>
        <v>76.834999999999994</v>
      </c>
      <c r="AA487" s="4">
        <f>(Games[[#This Row],[Keff]]*Games[[#This Row],[MOVMult]])*(Games[[#This Row],[Result]]-Games[[#This Row],[ExpectedWin%]])</f>
        <v>7.6813430201832054</v>
      </c>
      <c r="AB487" s="4">
        <f>Games[[#This Row],[PreGmRate]]+Games[[#This Row],[RatingChange]]</f>
        <v>1681.348742627905</v>
      </c>
      <c r="AC487" s="2">
        <f>IF(Games[[#This Row],[Type]]="R",IF(Games[[#This Row],[Result]]&gt;0.5,1,0),0)</f>
        <v>0</v>
      </c>
      <c r="AD487" s="2">
        <f>IF(Games[[#This Row],[Type]]="R",IF(Games[[#This Row],[Result]]&lt;0.5,1,0),0)</f>
        <v>0</v>
      </c>
      <c r="AE487" s="2">
        <f>IF(AND(Games[[#This Row],[Type]]="P",Games[[#This Row],[Round]]=1),IF(Games[[#This Row],[Result]]&gt;0.5,1,0),0)</f>
        <v>1</v>
      </c>
      <c r="AF487" s="2">
        <f>IF(AND(Games[[#This Row],[Type]]="P",Games[[#This Row],[Round]]=1),IF(Games[[#This Row],[Result]]&lt;0.5,1,0),0)</f>
        <v>0</v>
      </c>
      <c r="AG487" s="2">
        <f>IF(AND(Games[[#This Row],[Type]]="P",Games[[#This Row],[Round]]=2),IF(Games[[#This Row],[Result]]&gt;0.5,1,0),0)</f>
        <v>0</v>
      </c>
      <c r="AH487" s="2">
        <f>IF(AND(Games[[#This Row],[Type]]="P",Games[[#This Row],[Round]]=2),IF(Games[[#This Row],[Result]]&lt;0.5,1,0),0)</f>
        <v>0</v>
      </c>
      <c r="AI487" s="2">
        <f>IF(AND(Games[[#This Row],[Type]]="P",Games[[#This Row],[Round]]=3),IF(Games[[#This Row],[Result]]&gt;0.5,1,0),0)</f>
        <v>0</v>
      </c>
      <c r="AJ487" s="2">
        <f>IF(AND(Games[[#This Row],[Type]]="P",Games[[#This Row],[Round]]=3),IF(Games[[#This Row],[Result]]&lt;0.5,1,0),0)</f>
        <v>0</v>
      </c>
      <c r="AK487" s="2">
        <f>IF(AND(Games[[#This Row],[Type]]="P",Games[[#This Row],[Round]]=4),IF(Games[[#This Row],[Result]]&gt;0.5,1,0),0)</f>
        <v>0</v>
      </c>
      <c r="AL487" s="2">
        <f>IF(AND(Games[[#This Row],[Type]]="P",Games[[#This Row],[Round]]=4),IF(Games[[#This Row],[Result]]&lt;0.5,1,0),0)</f>
        <v>0</v>
      </c>
    </row>
    <row r="488" spans="1:38" x14ac:dyDescent="0.35">
      <c r="A488" s="10">
        <v>45557</v>
      </c>
      <c r="B488" s="2">
        <v>2024</v>
      </c>
      <c r="C488" s="2">
        <f>COUNTIFS(Games[Team],Games[[#This Row],[Team]],Games[Season],Games[[#This Row],[Season]],Games[Date],"&lt;=" &amp; Games[[#This Row],[Date]])</f>
        <v>41</v>
      </c>
      <c r="D488" s="2" t="s">
        <v>83</v>
      </c>
      <c r="E488" s="2">
        <v>1</v>
      </c>
      <c r="F488" s="1" t="s">
        <v>40</v>
      </c>
      <c r="G488" s="1" t="s">
        <v>67</v>
      </c>
      <c r="H488" s="1" t="s">
        <v>81</v>
      </c>
      <c r="I488" s="2" cm="1">
        <f t="array" ref="I4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8" s="2" cm="1">
        <f t="array" ref="J4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8" s="2">
        <f>Games[[#This Row],[DaysOff]]-Games[[#This Row],[OppDaysOff]]</f>
        <v>0</v>
      </c>
      <c r="L488" s="2">
        <f>Games[[#This Row],[OppDaysOff]]-Games[[#This Row],[DaysOff]]</f>
        <v>0</v>
      </c>
      <c r="M488" s="1">
        <f>MAX(-16, MIN(16, Games[[#This Row],[RestDiff]]*8))</f>
        <v>0</v>
      </c>
      <c r="N488" s="1">
        <f>MAX(-16, MIN(16, Games[[#This Row],[OppRestDiff]]*8))</f>
        <v>0</v>
      </c>
      <c r="O488" s="4" cm="1">
        <f t="array" ref="O4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1419.7396727582066</v>
      </c>
      <c r="P488" s="4" cm="1">
        <f t="array" ref="P4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1656.6720307651478</v>
      </c>
      <c r="Q488" s="4">
        <f>1/(1+10^(((Games[[#This Row],[OppPreGmRate]]+IF(Games[[#This Row],[HomeAway]]="A",HCA,0)+Games[[#This Row],[OppRestAdj]])-(Games[[#This Row],[PreGmRate]]+IF(Games[[#This Row],[HomeAway]]="H",HCA,0)+Games[[#This Row],[RestAdj]]))/400))</f>
        <v>0.13617432011649044</v>
      </c>
      <c r="R488" s="1">
        <v>95</v>
      </c>
      <c r="S488" s="1">
        <v>102</v>
      </c>
      <c r="T488" s="1">
        <v>0</v>
      </c>
      <c r="U488" s="1">
        <f>Games[[#This Row],[PointsFor]]-Games[[#This Row],[PointsAgainst]]</f>
        <v>-7</v>
      </c>
      <c r="V488" s="1">
        <f>IF(Games[[#This Row],[MOV]]&gt;0,1,IF(Games[[#This Row],[MOV]]=0,0.5,0))</f>
        <v>0</v>
      </c>
      <c r="W488" s="4">
        <f>((ABS(Games[[#This Row],[MOV]])+5)^0.6)/(12+0.01*(ABS(Games[[#This Row],[PreGmRate]]-Games[[#This Row],[OppPreGmRate]])))*IF(Games[[#This Row],[OT]]=1,0.9,1)</f>
        <v>0.30908108131171935</v>
      </c>
      <c r="X488" s="7" cm="1">
        <f t="array" ref="X4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8" s="9">
        <f>MAX(kmin, kmax - 0.15 * MIN(Games[[#This Row],[GamesPlayed]], 82))</f>
        <v>69.849999999999994</v>
      </c>
      <c r="Z488" s="4">
        <f>Games[[#This Row],[K]]*Games[[#This Row],[POMult]]</f>
        <v>76.834999999999994</v>
      </c>
      <c r="AA488" s="4">
        <f>(Games[[#This Row],[Keff]]*Games[[#This Row],[MOVMult]])*(Games[[#This Row],[Result]]-Games[[#This Row],[ExpectedWin%]])</f>
        <v>-3.2339011008460656</v>
      </c>
      <c r="AB488" s="4">
        <f>Games[[#This Row],[PreGmRate]]+Games[[#This Row],[RatingChange]]</f>
        <v>1416.5057716573606</v>
      </c>
      <c r="AC488" s="2">
        <f>IF(Games[[#This Row],[Type]]="R",IF(Games[[#This Row],[Result]]&gt;0.5,1,0),0)</f>
        <v>0</v>
      </c>
      <c r="AD488" s="2">
        <f>IF(Games[[#This Row],[Type]]="R",IF(Games[[#This Row],[Result]]&lt;0.5,1,0),0)</f>
        <v>0</v>
      </c>
      <c r="AE488" s="2">
        <f>IF(AND(Games[[#This Row],[Type]]="P",Games[[#This Row],[Round]]=1),IF(Games[[#This Row],[Result]]&gt;0.5,1,0),0)</f>
        <v>0</v>
      </c>
      <c r="AF488" s="2">
        <f>IF(AND(Games[[#This Row],[Type]]="P",Games[[#This Row],[Round]]=1),IF(Games[[#This Row],[Result]]&lt;0.5,1,0),0)</f>
        <v>1</v>
      </c>
      <c r="AG488" s="2">
        <f>IF(AND(Games[[#This Row],[Type]]="P",Games[[#This Row],[Round]]=2),IF(Games[[#This Row],[Result]]&gt;0.5,1,0),0)</f>
        <v>0</v>
      </c>
      <c r="AH488" s="2">
        <f>IF(AND(Games[[#This Row],[Type]]="P",Games[[#This Row],[Round]]=2),IF(Games[[#This Row],[Result]]&lt;0.5,1,0),0)</f>
        <v>0</v>
      </c>
      <c r="AI488" s="2">
        <f>IF(AND(Games[[#This Row],[Type]]="P",Games[[#This Row],[Round]]=3),IF(Games[[#This Row],[Result]]&gt;0.5,1,0),0)</f>
        <v>0</v>
      </c>
      <c r="AJ488" s="2">
        <f>IF(AND(Games[[#This Row],[Type]]="P",Games[[#This Row],[Round]]=3),IF(Games[[#This Row],[Result]]&lt;0.5,1,0),0)</f>
        <v>0</v>
      </c>
      <c r="AK488" s="2">
        <f>IF(AND(Games[[#This Row],[Type]]="P",Games[[#This Row],[Round]]=4),IF(Games[[#This Row],[Result]]&gt;0.5,1,0),0)</f>
        <v>0</v>
      </c>
      <c r="AL488" s="2">
        <f>IF(AND(Games[[#This Row],[Type]]="P",Games[[#This Row],[Round]]=4),IF(Games[[#This Row],[Result]]&lt;0.5,1,0),0)</f>
        <v>0</v>
      </c>
    </row>
    <row r="489" spans="1:38" x14ac:dyDescent="0.35">
      <c r="A489" s="10">
        <v>45557</v>
      </c>
      <c r="B489" s="2">
        <v>2024</v>
      </c>
      <c r="C489" s="2">
        <f>COUNTIFS(Games[Team],Games[[#This Row],[Team]],Games[Season],Games[[#This Row],[Season]],Games[Date],"&lt;=" &amp; Games[[#This Row],[Date]])</f>
        <v>42</v>
      </c>
      <c r="D489" s="2" t="s">
        <v>83</v>
      </c>
      <c r="E489" s="2">
        <v>1</v>
      </c>
      <c r="F489" s="1" t="s">
        <v>67</v>
      </c>
      <c r="G489" s="1" t="s">
        <v>40</v>
      </c>
      <c r="H489" s="1" t="s">
        <v>82</v>
      </c>
      <c r="I489" s="2" cm="1">
        <f t="array" ref="I4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9" s="2" cm="1">
        <f t="array" ref="J4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9" s="2">
        <f>Games[[#This Row],[DaysOff]]-Games[[#This Row],[OppDaysOff]]</f>
        <v>0</v>
      </c>
      <c r="L489" s="2">
        <f>Games[[#This Row],[OppDaysOff]]-Games[[#This Row],[DaysOff]]</f>
        <v>0</v>
      </c>
      <c r="M489" s="1">
        <f>MAX(-16, MIN(16, Games[[#This Row],[RestDiff]]*8))</f>
        <v>0</v>
      </c>
      <c r="N489" s="1">
        <f>MAX(-16, MIN(16, Games[[#This Row],[OppRestDiff]]*8))</f>
        <v>0</v>
      </c>
      <c r="O489" s="4" cm="1">
        <f t="array" ref="O4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1656.6720307651478</v>
      </c>
      <c r="P489" s="4" cm="1">
        <f t="array" ref="P4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1419.7396727582066</v>
      </c>
      <c r="Q489" s="4">
        <f>1/(1+10^(((Games[[#This Row],[OppPreGmRate]]+IF(Games[[#This Row],[HomeAway]]="A",HCA,0)+Games[[#This Row],[OppRestAdj]])-(Games[[#This Row],[PreGmRate]]+IF(Games[[#This Row],[HomeAway]]="H",HCA,0)+Games[[#This Row],[RestAdj]]))/400))</f>
        <v>0.86382567988350967</v>
      </c>
      <c r="R489" s="1">
        <v>102</v>
      </c>
      <c r="S489" s="1">
        <v>95</v>
      </c>
      <c r="T489" s="1">
        <v>0</v>
      </c>
      <c r="U489" s="1">
        <f>Games[[#This Row],[PointsFor]]-Games[[#This Row],[PointsAgainst]]</f>
        <v>7</v>
      </c>
      <c r="V489" s="1">
        <f>IF(Games[[#This Row],[MOV]]&gt;0,1,IF(Games[[#This Row],[MOV]]=0,0.5,0))</f>
        <v>1</v>
      </c>
      <c r="W489" s="4">
        <f>((ABS(Games[[#This Row],[MOV]])+5)^0.6)/(12+0.01*(ABS(Games[[#This Row],[PreGmRate]]-Games[[#This Row],[OppPreGmRate]])))*IF(Games[[#This Row],[OT]]=1,0.9,1)</f>
        <v>0.30908108131171935</v>
      </c>
      <c r="X489" s="7" cm="1">
        <f t="array" ref="X4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9" s="9">
        <f>MAX(kmin, kmax - 0.15 * MIN(Games[[#This Row],[GamesPlayed]], 82))</f>
        <v>69.7</v>
      </c>
      <c r="Z489" s="4">
        <f>Games[[#This Row],[K]]*Games[[#This Row],[POMult]]</f>
        <v>76.670000000000016</v>
      </c>
      <c r="AA489" s="4">
        <f>(Games[[#This Row],[Keff]]*Games[[#This Row],[MOVMult]])*(Games[[#This Row],[Result]]-Games[[#This Row],[ExpectedWin%]])</f>
        <v>3.2269564313381625</v>
      </c>
      <c r="AB489" s="4">
        <f>Games[[#This Row],[PreGmRate]]+Games[[#This Row],[RatingChange]]</f>
        <v>1659.8989871964859</v>
      </c>
      <c r="AC489" s="2">
        <f>IF(Games[[#This Row],[Type]]="R",IF(Games[[#This Row],[Result]]&gt;0.5,1,0),0)</f>
        <v>0</v>
      </c>
      <c r="AD489" s="2">
        <f>IF(Games[[#This Row],[Type]]="R",IF(Games[[#This Row],[Result]]&lt;0.5,1,0),0)</f>
        <v>0</v>
      </c>
      <c r="AE489" s="2">
        <f>IF(AND(Games[[#This Row],[Type]]="P",Games[[#This Row],[Round]]=1),IF(Games[[#This Row],[Result]]&gt;0.5,1,0),0)</f>
        <v>1</v>
      </c>
      <c r="AF489" s="2">
        <f>IF(AND(Games[[#This Row],[Type]]="P",Games[[#This Row],[Round]]=1),IF(Games[[#This Row],[Result]]&lt;0.5,1,0),0)</f>
        <v>0</v>
      </c>
      <c r="AG489" s="2">
        <f>IF(AND(Games[[#This Row],[Type]]="P",Games[[#This Row],[Round]]=2),IF(Games[[#This Row],[Result]]&gt;0.5,1,0),0)</f>
        <v>0</v>
      </c>
      <c r="AH489" s="2">
        <f>IF(AND(Games[[#This Row],[Type]]="P",Games[[#This Row],[Round]]=2),IF(Games[[#This Row],[Result]]&lt;0.5,1,0),0)</f>
        <v>0</v>
      </c>
      <c r="AI489" s="2">
        <f>IF(AND(Games[[#This Row],[Type]]="P",Games[[#This Row],[Round]]=3),IF(Games[[#This Row],[Result]]&gt;0.5,1,0),0)</f>
        <v>0</v>
      </c>
      <c r="AJ489" s="2">
        <f>IF(AND(Games[[#This Row],[Type]]="P",Games[[#This Row],[Round]]=3),IF(Games[[#This Row],[Result]]&lt;0.5,1,0),0)</f>
        <v>0</v>
      </c>
      <c r="AK489" s="2">
        <f>IF(AND(Games[[#This Row],[Type]]="P",Games[[#This Row],[Round]]=4),IF(Games[[#This Row],[Result]]&gt;0.5,1,0),0)</f>
        <v>0</v>
      </c>
      <c r="AL489" s="2">
        <f>IF(AND(Games[[#This Row],[Type]]="P",Games[[#This Row],[Round]]=4),IF(Games[[#This Row],[Result]]&lt;0.5,1,0),0)</f>
        <v>0</v>
      </c>
    </row>
    <row r="490" spans="1:38" x14ac:dyDescent="0.35">
      <c r="A490" s="10">
        <v>45557</v>
      </c>
      <c r="B490" s="2">
        <v>2024</v>
      </c>
      <c r="C490" s="2">
        <f>COUNTIFS(Games[Team],Games[[#This Row],[Team]],Games[Season],Games[[#This Row],[Season]],Games[Date],"&lt;=" &amp; Games[[#This Row],[Date]])</f>
        <v>41</v>
      </c>
      <c r="D490" s="2" t="s">
        <v>83</v>
      </c>
      <c r="E490" s="2">
        <v>1</v>
      </c>
      <c r="F490" s="1" t="s">
        <v>77</v>
      </c>
      <c r="G490" s="1" t="s">
        <v>60</v>
      </c>
      <c r="H490" s="1" t="s">
        <v>81</v>
      </c>
      <c r="I490" s="2" cm="1">
        <f t="array" ref="I4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0" s="2" cm="1">
        <f t="array" ref="J4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0" s="2">
        <f>Games[[#This Row],[DaysOff]]-Games[[#This Row],[OppDaysOff]]</f>
        <v>0</v>
      </c>
      <c r="L490" s="2">
        <f>Games[[#This Row],[OppDaysOff]]-Games[[#This Row],[DaysOff]]</f>
        <v>0</v>
      </c>
      <c r="M490" s="1">
        <f>MAX(-16, MIN(16, Games[[#This Row],[RestDiff]]*8))</f>
        <v>0</v>
      </c>
      <c r="N490" s="1">
        <f>MAX(-16, MIN(16, Games[[#This Row],[OppRestDiff]]*8))</f>
        <v>0</v>
      </c>
      <c r="O490" s="4" cm="1">
        <f t="array" ref="O4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1431.8310257625251</v>
      </c>
      <c r="P490" s="4" cm="1">
        <f t="array" ref="P4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1698.0279385883364</v>
      </c>
      <c r="Q490" s="4">
        <f>1/(1+10^(((Games[[#This Row],[OppPreGmRate]]+IF(Games[[#This Row],[HomeAway]]="A",HCA,0)+Games[[#This Row],[OppRestAdj]])-(Games[[#This Row],[PreGmRate]]+IF(Games[[#This Row],[HomeAway]]="H",HCA,0)+Games[[#This Row],[RestAdj]]))/400))</f>
        <v>0.11754407467553665</v>
      </c>
      <c r="R490" s="1">
        <v>69</v>
      </c>
      <c r="S490" s="1">
        <v>83</v>
      </c>
      <c r="T490" s="1">
        <v>0</v>
      </c>
      <c r="U490" s="1">
        <f>Games[[#This Row],[PointsFor]]-Games[[#This Row],[PointsAgainst]]</f>
        <v>-14</v>
      </c>
      <c r="V490" s="1">
        <f>IF(Games[[#This Row],[MOV]]&gt;0,1,IF(Games[[#This Row],[MOV]]=0,0.5,0))</f>
        <v>0</v>
      </c>
      <c r="W490" s="4">
        <f>((ABS(Games[[#This Row],[MOV]])+5)^0.6)/(12+0.01*(ABS(Games[[#This Row],[PreGmRate]]-Games[[#This Row],[OppPreGmRate]])))*IF(Games[[#This Row],[OT]]=1,0.9,1)</f>
        <v>0.39907990469929244</v>
      </c>
      <c r="X490" s="7" cm="1">
        <f t="array" ref="X4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0" s="9">
        <f>MAX(kmin, kmax - 0.15 * MIN(Games[[#This Row],[GamesPlayed]], 82))</f>
        <v>69.849999999999994</v>
      </c>
      <c r="Z490" s="4">
        <f>Games[[#This Row],[K]]*Games[[#This Row],[POMult]]</f>
        <v>76.834999999999994</v>
      </c>
      <c r="AA490" s="4">
        <f>(Games[[#This Row],[Keff]]*Games[[#This Row],[MOVMult]])*(Games[[#This Row],[Result]]-Games[[#This Row],[ExpectedWin%]])</f>
        <v>-3.6042897513102212</v>
      </c>
      <c r="AB490" s="4">
        <f>Games[[#This Row],[PreGmRate]]+Games[[#This Row],[RatingChange]]</f>
        <v>1428.2267360112148</v>
      </c>
      <c r="AC490" s="2">
        <f>IF(Games[[#This Row],[Type]]="R",IF(Games[[#This Row],[Result]]&gt;0.5,1,0),0)</f>
        <v>0</v>
      </c>
      <c r="AD490" s="2">
        <f>IF(Games[[#This Row],[Type]]="R",IF(Games[[#This Row],[Result]]&lt;0.5,1,0),0)</f>
        <v>0</v>
      </c>
      <c r="AE490" s="2">
        <f>IF(AND(Games[[#This Row],[Type]]="P",Games[[#This Row],[Round]]=1),IF(Games[[#This Row],[Result]]&gt;0.5,1,0),0)</f>
        <v>0</v>
      </c>
      <c r="AF490" s="2">
        <f>IF(AND(Games[[#This Row],[Type]]="P",Games[[#This Row],[Round]]=1),IF(Games[[#This Row],[Result]]&lt;0.5,1,0),0)</f>
        <v>1</v>
      </c>
      <c r="AG490" s="2">
        <f>IF(AND(Games[[#This Row],[Type]]="P",Games[[#This Row],[Round]]=2),IF(Games[[#This Row],[Result]]&gt;0.5,1,0),0)</f>
        <v>0</v>
      </c>
      <c r="AH490" s="2">
        <f>IF(AND(Games[[#This Row],[Type]]="P",Games[[#This Row],[Round]]=2),IF(Games[[#This Row],[Result]]&lt;0.5,1,0),0)</f>
        <v>0</v>
      </c>
      <c r="AI490" s="2">
        <f>IF(AND(Games[[#This Row],[Type]]="P",Games[[#This Row],[Round]]=3),IF(Games[[#This Row],[Result]]&gt;0.5,1,0),0)</f>
        <v>0</v>
      </c>
      <c r="AJ490" s="2">
        <f>IF(AND(Games[[#This Row],[Type]]="P",Games[[#This Row],[Round]]=3),IF(Games[[#This Row],[Result]]&lt;0.5,1,0),0)</f>
        <v>0</v>
      </c>
      <c r="AK490" s="2">
        <f>IF(AND(Games[[#This Row],[Type]]="P",Games[[#This Row],[Round]]=4),IF(Games[[#This Row],[Result]]&gt;0.5,1,0),0)</f>
        <v>0</v>
      </c>
      <c r="AL490" s="2">
        <f>IF(AND(Games[[#This Row],[Type]]="P",Games[[#This Row],[Round]]=4),IF(Games[[#This Row],[Result]]&lt;0.5,1,0),0)</f>
        <v>0</v>
      </c>
    </row>
    <row r="491" spans="1:38" x14ac:dyDescent="0.35">
      <c r="A491" s="10">
        <v>45557</v>
      </c>
      <c r="B491" s="2">
        <v>2024</v>
      </c>
      <c r="C491" s="2">
        <f>COUNTIFS(Games[Team],Games[[#This Row],[Team]],Games[Season],Games[[#This Row],[Season]],Games[Date],"&lt;=" &amp; Games[[#This Row],[Date]])</f>
        <v>42</v>
      </c>
      <c r="D491" s="2" t="s">
        <v>83</v>
      </c>
      <c r="E491" s="2">
        <v>1</v>
      </c>
      <c r="F491" s="1" t="s">
        <v>60</v>
      </c>
      <c r="G491" s="1" t="s">
        <v>77</v>
      </c>
      <c r="H491" s="1" t="s">
        <v>82</v>
      </c>
      <c r="I491" s="2" cm="1">
        <f t="array" ref="I4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1" s="2" cm="1">
        <f t="array" ref="J4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1" s="2">
        <f>Games[[#This Row],[DaysOff]]-Games[[#This Row],[OppDaysOff]]</f>
        <v>0</v>
      </c>
      <c r="L491" s="2">
        <f>Games[[#This Row],[OppDaysOff]]-Games[[#This Row],[DaysOff]]</f>
        <v>0</v>
      </c>
      <c r="M491" s="1">
        <f>MAX(-16, MIN(16, Games[[#This Row],[RestDiff]]*8))</f>
        <v>0</v>
      </c>
      <c r="N491" s="1">
        <f>MAX(-16, MIN(16, Games[[#This Row],[OppRestDiff]]*8))</f>
        <v>0</v>
      </c>
      <c r="O491" s="4" cm="1">
        <f t="array" ref="O4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1698.0279385883364</v>
      </c>
      <c r="P491" s="4" cm="1">
        <f t="array" ref="P4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1431.8310257625251</v>
      </c>
      <c r="Q491" s="4">
        <f>1/(1+10^(((Games[[#This Row],[OppPreGmRate]]+IF(Games[[#This Row],[HomeAway]]="A",HCA,0)+Games[[#This Row],[OppRestAdj]])-(Games[[#This Row],[PreGmRate]]+IF(Games[[#This Row],[HomeAway]]="H",HCA,0)+Games[[#This Row],[RestAdj]]))/400))</f>
        <v>0.88245592532446326</v>
      </c>
      <c r="R491" s="1">
        <v>83</v>
      </c>
      <c r="S491" s="1">
        <v>69</v>
      </c>
      <c r="T491" s="1">
        <v>0</v>
      </c>
      <c r="U491" s="1">
        <f>Games[[#This Row],[PointsFor]]-Games[[#This Row],[PointsAgainst]]</f>
        <v>14</v>
      </c>
      <c r="V491" s="1">
        <f>IF(Games[[#This Row],[MOV]]&gt;0,1,IF(Games[[#This Row],[MOV]]=0,0.5,0))</f>
        <v>1</v>
      </c>
      <c r="W491" s="4">
        <f>((ABS(Games[[#This Row],[MOV]])+5)^0.6)/(12+0.01*(ABS(Games[[#This Row],[PreGmRate]]-Games[[#This Row],[OppPreGmRate]])))*IF(Games[[#This Row],[OT]]=1,0.9,1)</f>
        <v>0.39907990469929244</v>
      </c>
      <c r="X491" s="7" cm="1">
        <f t="array" ref="X4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1" s="9">
        <f>MAX(kmin, kmax - 0.15 * MIN(Games[[#This Row],[GamesPlayed]], 82))</f>
        <v>69.7</v>
      </c>
      <c r="Z491" s="4">
        <f>Games[[#This Row],[K]]*Games[[#This Row],[POMult]]</f>
        <v>76.670000000000016</v>
      </c>
      <c r="AA491" s="4">
        <f>(Games[[#This Row],[Keff]]*Games[[#This Row],[MOVMult]])*(Games[[#This Row],[Result]]-Games[[#This Row],[ExpectedWin%]])</f>
        <v>3.5965496874205107</v>
      </c>
      <c r="AB491" s="4">
        <f>Games[[#This Row],[PreGmRate]]+Games[[#This Row],[RatingChange]]</f>
        <v>1701.6244882757569</v>
      </c>
      <c r="AC491" s="2">
        <f>IF(Games[[#This Row],[Type]]="R",IF(Games[[#This Row],[Result]]&gt;0.5,1,0),0)</f>
        <v>0</v>
      </c>
      <c r="AD491" s="2">
        <f>IF(Games[[#This Row],[Type]]="R",IF(Games[[#This Row],[Result]]&lt;0.5,1,0),0)</f>
        <v>0</v>
      </c>
      <c r="AE491" s="2">
        <f>IF(AND(Games[[#This Row],[Type]]="P",Games[[#This Row],[Round]]=1),IF(Games[[#This Row],[Result]]&gt;0.5,1,0),0)</f>
        <v>1</v>
      </c>
      <c r="AF491" s="2">
        <f>IF(AND(Games[[#This Row],[Type]]="P",Games[[#This Row],[Round]]=1),IF(Games[[#This Row],[Result]]&lt;0.5,1,0),0)</f>
        <v>0</v>
      </c>
      <c r="AG491" s="2">
        <f>IF(AND(Games[[#This Row],[Type]]="P",Games[[#This Row],[Round]]=2),IF(Games[[#This Row],[Result]]&gt;0.5,1,0),0)</f>
        <v>0</v>
      </c>
      <c r="AH491" s="2">
        <f>IF(AND(Games[[#This Row],[Type]]="P",Games[[#This Row],[Round]]=2),IF(Games[[#This Row],[Result]]&lt;0.5,1,0),0)</f>
        <v>0</v>
      </c>
      <c r="AI491" s="2">
        <f>IF(AND(Games[[#This Row],[Type]]="P",Games[[#This Row],[Round]]=3),IF(Games[[#This Row],[Result]]&gt;0.5,1,0),0)</f>
        <v>0</v>
      </c>
      <c r="AJ491" s="2">
        <f>IF(AND(Games[[#This Row],[Type]]="P",Games[[#This Row],[Round]]=3),IF(Games[[#This Row],[Result]]&lt;0.5,1,0),0)</f>
        <v>0</v>
      </c>
      <c r="AK491" s="2">
        <f>IF(AND(Games[[#This Row],[Type]]="P",Games[[#This Row],[Round]]=4),IF(Games[[#This Row],[Result]]&gt;0.5,1,0),0)</f>
        <v>0</v>
      </c>
      <c r="AL491" s="2">
        <f>IF(AND(Games[[#This Row],[Type]]="P",Games[[#This Row],[Round]]=4),IF(Games[[#This Row],[Result]]&lt;0.5,1,0),0)</f>
        <v>0</v>
      </c>
    </row>
    <row r="492" spans="1:38" x14ac:dyDescent="0.35">
      <c r="A492" s="10">
        <v>45559</v>
      </c>
      <c r="B492" s="2">
        <v>2024</v>
      </c>
      <c r="C492" s="2">
        <f>COUNTIFS(Games[Team],Games[[#This Row],[Team]],Games[Season],Games[[#This Row],[Season]],Games[Date],"&lt;=" &amp; Games[[#This Row],[Date]])</f>
        <v>42</v>
      </c>
      <c r="D492" s="2" t="s">
        <v>83</v>
      </c>
      <c r="E492" s="2">
        <v>1</v>
      </c>
      <c r="F492" s="1" t="s">
        <v>71</v>
      </c>
      <c r="G492" s="1" t="s">
        <v>86</v>
      </c>
      <c r="H492" s="1" t="s">
        <v>81</v>
      </c>
      <c r="I492" s="2" cm="1">
        <f t="array" ref="I4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2" s="2" cm="1">
        <f t="array" ref="J4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2" s="2">
        <f>Games[[#This Row],[DaysOff]]-Games[[#This Row],[OppDaysOff]]</f>
        <v>0</v>
      </c>
      <c r="L492" s="2">
        <f>Games[[#This Row],[OppDaysOff]]-Games[[#This Row],[DaysOff]]</f>
        <v>0</v>
      </c>
      <c r="M492" s="1">
        <f>MAX(-16, MIN(16, Games[[#This Row],[RestDiff]]*8))</f>
        <v>0</v>
      </c>
      <c r="N492" s="1">
        <f>MAX(-16, MIN(16, Games[[#This Row],[OppRestDiff]]*8))</f>
        <v>0</v>
      </c>
      <c r="O492" s="4" cm="1">
        <f t="array" ref="O4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1557.1876566295725</v>
      </c>
      <c r="P492" s="4" cm="1">
        <f t="array" ref="P4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1681.348742627905</v>
      </c>
      <c r="Q492" s="4">
        <f>1/(1+10^(((Games[[#This Row],[OppPreGmRate]]+IF(Games[[#This Row],[HomeAway]]="A",HCA,0)+Games[[#This Row],[OppRestAdj]])-(Games[[#This Row],[PreGmRate]]+IF(Games[[#This Row],[HomeAway]]="H",HCA,0)+Games[[#This Row],[RestAdj]]))/400))</f>
        <v>0.23178284371475075</v>
      </c>
      <c r="R492" s="1">
        <v>76</v>
      </c>
      <c r="S492" s="1">
        <v>83</v>
      </c>
      <c r="T492" s="1">
        <v>0</v>
      </c>
      <c r="U492" s="1">
        <f>Games[[#This Row],[PointsFor]]-Games[[#This Row],[PointsAgainst]]</f>
        <v>-7</v>
      </c>
      <c r="V492" s="1">
        <f>IF(Games[[#This Row],[MOV]]&gt;0,1,IF(Games[[#This Row],[MOV]]=0,0.5,0))</f>
        <v>0</v>
      </c>
      <c r="W492" s="4">
        <f>((ABS(Games[[#This Row],[MOV]])+5)^0.6)/(12+0.01*(ABS(Games[[#This Row],[PreGmRate]]-Games[[#This Row],[OppPreGmRate]])))*IF(Games[[#This Row],[OT]]=1,0.9,1)</f>
        <v>0.33540375992074978</v>
      </c>
      <c r="X492" s="7" cm="1">
        <f t="array" ref="X4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2" s="9">
        <f>MAX(kmin, kmax - 0.15 * MIN(Games[[#This Row],[GamesPlayed]], 82))</f>
        <v>69.7</v>
      </c>
      <c r="Z492" s="4">
        <f>Games[[#This Row],[K]]*Games[[#This Row],[POMult]]</f>
        <v>76.670000000000016</v>
      </c>
      <c r="AA492" s="4">
        <f>(Games[[#This Row],[Keff]]*Games[[#This Row],[MOVMult]])*(Games[[#This Row],[Result]]-Games[[#This Row],[ExpectedWin%]])</f>
        <v>-5.960389993264795</v>
      </c>
      <c r="AB492" s="4">
        <f>Games[[#This Row],[PreGmRate]]+Games[[#This Row],[RatingChange]]</f>
        <v>1551.2272666363078</v>
      </c>
      <c r="AC492" s="2">
        <f>IF(Games[[#This Row],[Type]]="R",IF(Games[[#This Row],[Result]]&gt;0.5,1,0),0)</f>
        <v>0</v>
      </c>
      <c r="AD492" s="2">
        <f>IF(Games[[#This Row],[Type]]="R",IF(Games[[#This Row],[Result]]&lt;0.5,1,0),0)</f>
        <v>0</v>
      </c>
      <c r="AE492" s="2">
        <f>IF(AND(Games[[#This Row],[Type]]="P",Games[[#This Row],[Round]]=1),IF(Games[[#This Row],[Result]]&gt;0.5,1,0),0)</f>
        <v>0</v>
      </c>
      <c r="AF492" s="2">
        <f>IF(AND(Games[[#This Row],[Type]]="P",Games[[#This Row],[Round]]=1),IF(Games[[#This Row],[Result]]&lt;0.5,1,0),0)</f>
        <v>1</v>
      </c>
      <c r="AG492" s="2">
        <f>IF(AND(Games[[#This Row],[Type]]="P",Games[[#This Row],[Round]]=2),IF(Games[[#This Row],[Result]]&gt;0.5,1,0),0)</f>
        <v>0</v>
      </c>
      <c r="AH492" s="2">
        <f>IF(AND(Games[[#This Row],[Type]]="P",Games[[#This Row],[Round]]=2),IF(Games[[#This Row],[Result]]&lt;0.5,1,0),0)</f>
        <v>0</v>
      </c>
      <c r="AI492" s="2">
        <f>IF(AND(Games[[#This Row],[Type]]="P",Games[[#This Row],[Round]]=3),IF(Games[[#This Row],[Result]]&gt;0.5,1,0),0)</f>
        <v>0</v>
      </c>
      <c r="AJ492" s="2">
        <f>IF(AND(Games[[#This Row],[Type]]="P",Games[[#This Row],[Round]]=3),IF(Games[[#This Row],[Result]]&lt;0.5,1,0),0)</f>
        <v>0</v>
      </c>
      <c r="AK492" s="2">
        <f>IF(AND(Games[[#This Row],[Type]]="P",Games[[#This Row],[Round]]=4),IF(Games[[#This Row],[Result]]&gt;0.5,1,0),0)</f>
        <v>0</v>
      </c>
      <c r="AL492" s="2">
        <f>IF(AND(Games[[#This Row],[Type]]="P",Games[[#This Row],[Round]]=4),IF(Games[[#This Row],[Result]]&lt;0.5,1,0),0)</f>
        <v>0</v>
      </c>
    </row>
    <row r="493" spans="1:38" x14ac:dyDescent="0.35">
      <c r="A493" s="10">
        <v>45559</v>
      </c>
      <c r="B493" s="2">
        <v>2024</v>
      </c>
      <c r="C493" s="2">
        <f>COUNTIFS(Games[Team],Games[[#This Row],[Team]],Games[Season],Games[[#This Row],[Season]],Games[Date],"&lt;=" &amp; Games[[#This Row],[Date]])</f>
        <v>42</v>
      </c>
      <c r="D493" s="2" t="s">
        <v>83</v>
      </c>
      <c r="E493" s="2">
        <v>1</v>
      </c>
      <c r="F493" s="1" t="s">
        <v>86</v>
      </c>
      <c r="G493" s="1" t="s">
        <v>71</v>
      </c>
      <c r="H493" s="1" t="s">
        <v>82</v>
      </c>
      <c r="I493" s="2" cm="1">
        <f t="array" ref="I4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3" s="2" cm="1">
        <f t="array" ref="J4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3" s="2">
        <f>Games[[#This Row],[DaysOff]]-Games[[#This Row],[OppDaysOff]]</f>
        <v>0</v>
      </c>
      <c r="L493" s="2">
        <f>Games[[#This Row],[OppDaysOff]]-Games[[#This Row],[DaysOff]]</f>
        <v>0</v>
      </c>
      <c r="M493" s="1">
        <f>MAX(-16, MIN(16, Games[[#This Row],[RestDiff]]*8))</f>
        <v>0</v>
      </c>
      <c r="N493" s="1">
        <f>MAX(-16, MIN(16, Games[[#This Row],[OppRestDiff]]*8))</f>
        <v>0</v>
      </c>
      <c r="O493" s="4" cm="1">
        <f t="array" ref="O4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1681.348742627905</v>
      </c>
      <c r="P493" s="4" cm="1">
        <f t="array" ref="P4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1557.1876566295725</v>
      </c>
      <c r="Q493" s="4">
        <f>1/(1+10^(((Games[[#This Row],[OppPreGmRate]]+IF(Games[[#This Row],[HomeAway]]="A",HCA,0)+Games[[#This Row],[OppRestAdj]])-(Games[[#This Row],[PreGmRate]]+IF(Games[[#This Row],[HomeAway]]="H",HCA,0)+Games[[#This Row],[RestAdj]]))/400))</f>
        <v>0.76821715628524934</v>
      </c>
      <c r="R493" s="1">
        <v>83</v>
      </c>
      <c r="S493" s="1">
        <v>76</v>
      </c>
      <c r="T493" s="1">
        <v>0</v>
      </c>
      <c r="U493" s="1">
        <f>Games[[#This Row],[PointsFor]]-Games[[#This Row],[PointsAgainst]]</f>
        <v>7</v>
      </c>
      <c r="V493" s="1">
        <f>IF(Games[[#This Row],[MOV]]&gt;0,1,IF(Games[[#This Row],[MOV]]=0,0.5,0))</f>
        <v>1</v>
      </c>
      <c r="W493" s="4">
        <f>((ABS(Games[[#This Row],[MOV]])+5)^0.6)/(12+0.01*(ABS(Games[[#This Row],[PreGmRate]]-Games[[#This Row],[OppPreGmRate]])))*IF(Games[[#This Row],[OT]]=1,0.9,1)</f>
        <v>0.33540375992074978</v>
      </c>
      <c r="X493" s="7" cm="1">
        <f t="array" ref="X4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3" s="9">
        <f>MAX(kmin, kmax - 0.15 * MIN(Games[[#This Row],[GamesPlayed]], 82))</f>
        <v>69.7</v>
      </c>
      <c r="Z493" s="4">
        <f>Games[[#This Row],[K]]*Games[[#This Row],[POMult]]</f>
        <v>76.670000000000016</v>
      </c>
      <c r="AA493" s="4">
        <f>(Games[[#This Row],[Keff]]*Games[[#This Row],[MOVMult]])*(Games[[#This Row],[Result]]-Games[[#This Row],[ExpectedWin%]])</f>
        <v>5.9603899932647932</v>
      </c>
      <c r="AB493" s="4">
        <f>Games[[#This Row],[PreGmRate]]+Games[[#This Row],[RatingChange]]</f>
        <v>1687.3091326211697</v>
      </c>
      <c r="AC493" s="2">
        <f>IF(Games[[#This Row],[Type]]="R",IF(Games[[#This Row],[Result]]&gt;0.5,1,0),0)</f>
        <v>0</v>
      </c>
      <c r="AD493" s="2">
        <f>IF(Games[[#This Row],[Type]]="R",IF(Games[[#This Row],[Result]]&lt;0.5,1,0),0)</f>
        <v>0</v>
      </c>
      <c r="AE493" s="2">
        <f>IF(AND(Games[[#This Row],[Type]]="P",Games[[#This Row],[Round]]=1),IF(Games[[#This Row],[Result]]&gt;0.5,1,0),0)</f>
        <v>1</v>
      </c>
      <c r="AF493" s="2">
        <f>IF(AND(Games[[#This Row],[Type]]="P",Games[[#This Row],[Round]]=1),IF(Games[[#This Row],[Result]]&lt;0.5,1,0),0)</f>
        <v>0</v>
      </c>
      <c r="AG493" s="2">
        <f>IF(AND(Games[[#This Row],[Type]]="P",Games[[#This Row],[Round]]=2),IF(Games[[#This Row],[Result]]&gt;0.5,1,0),0)</f>
        <v>0</v>
      </c>
      <c r="AH493" s="2">
        <f>IF(AND(Games[[#This Row],[Type]]="P",Games[[#This Row],[Round]]=2),IF(Games[[#This Row],[Result]]&lt;0.5,1,0),0)</f>
        <v>0</v>
      </c>
      <c r="AI493" s="2">
        <f>IF(AND(Games[[#This Row],[Type]]="P",Games[[#This Row],[Round]]=3),IF(Games[[#This Row],[Result]]&gt;0.5,1,0),0)</f>
        <v>0</v>
      </c>
      <c r="AJ493" s="2">
        <f>IF(AND(Games[[#This Row],[Type]]="P",Games[[#This Row],[Round]]=3),IF(Games[[#This Row],[Result]]&lt;0.5,1,0),0)</f>
        <v>0</v>
      </c>
      <c r="AK493" s="2">
        <f>IF(AND(Games[[#This Row],[Type]]="P",Games[[#This Row],[Round]]=4),IF(Games[[#This Row],[Result]]&gt;0.5,1,0),0)</f>
        <v>0</v>
      </c>
      <c r="AL493" s="2">
        <f>IF(AND(Games[[#This Row],[Type]]="P",Games[[#This Row],[Round]]=4),IF(Games[[#This Row],[Result]]&lt;0.5,1,0),0)</f>
        <v>0</v>
      </c>
    </row>
    <row r="494" spans="1:38" x14ac:dyDescent="0.35">
      <c r="A494" s="10">
        <v>45559</v>
      </c>
      <c r="B494" s="2">
        <v>2024</v>
      </c>
      <c r="C494" s="2">
        <f>COUNTIFS(Games[Team],Games[[#This Row],[Team]],Games[Season],Games[[#This Row],[Season]],Games[Date],"&lt;=" &amp; Games[[#This Row],[Date]])</f>
        <v>42</v>
      </c>
      <c r="D494" s="2" t="s">
        <v>83</v>
      </c>
      <c r="E494" s="2">
        <v>1</v>
      </c>
      <c r="F494" s="1" t="s">
        <v>77</v>
      </c>
      <c r="G494" s="1" t="s">
        <v>60</v>
      </c>
      <c r="H494" s="1" t="s">
        <v>81</v>
      </c>
      <c r="I494" s="2" cm="1">
        <f t="array" ref="I4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4" s="2" cm="1">
        <f t="array" ref="J4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4" s="2">
        <f>Games[[#This Row],[DaysOff]]-Games[[#This Row],[OppDaysOff]]</f>
        <v>0</v>
      </c>
      <c r="L494" s="2">
        <f>Games[[#This Row],[OppDaysOff]]-Games[[#This Row],[DaysOff]]</f>
        <v>0</v>
      </c>
      <c r="M494" s="1">
        <f>MAX(-16, MIN(16, Games[[#This Row],[RestDiff]]*8))</f>
        <v>0</v>
      </c>
      <c r="N494" s="1">
        <f>MAX(-16, MIN(16, Games[[#This Row],[OppRestDiff]]*8))</f>
        <v>0</v>
      </c>
      <c r="O494" s="4" cm="1">
        <f t="array" ref="O4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1428.2267360112148</v>
      </c>
      <c r="P494" s="4" cm="1">
        <f t="array" ref="P4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1701.6244882757569</v>
      </c>
      <c r="Q494" s="4">
        <f>1/(1+10^(((Games[[#This Row],[OppPreGmRate]]+IF(Games[[#This Row],[HomeAway]]="A",HCA,0)+Games[[#This Row],[OppRestAdj]])-(Games[[#This Row],[PreGmRate]]+IF(Games[[#This Row],[HomeAway]]="H",HCA,0)+Games[[#This Row],[RestAdj]]))/400))</f>
        <v>0.11331212613855543</v>
      </c>
      <c r="R494" s="1">
        <v>82</v>
      </c>
      <c r="S494" s="1">
        <v>91</v>
      </c>
      <c r="T494" s="1">
        <v>0</v>
      </c>
      <c r="U494" s="1">
        <f>Games[[#This Row],[PointsFor]]-Games[[#This Row],[PointsAgainst]]</f>
        <v>-9</v>
      </c>
      <c r="V494" s="1">
        <f>IF(Games[[#This Row],[MOV]]&gt;0,1,IF(Games[[#This Row],[MOV]]=0,0.5,0))</f>
        <v>0</v>
      </c>
      <c r="W494" s="4">
        <f>((ABS(Games[[#This Row],[MOV]])+5)^0.6)/(12+0.01*(ABS(Games[[#This Row],[PreGmRate]]-Games[[#This Row],[OppPreGmRate]])))*IF(Games[[#This Row],[OT]]=1,0.9,1)</f>
        <v>0.33064108576787277</v>
      </c>
      <c r="X494" s="7" cm="1">
        <f t="array" ref="X4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4" s="9">
        <f>MAX(kmin, kmax - 0.15 * MIN(Games[[#This Row],[GamesPlayed]], 82))</f>
        <v>69.7</v>
      </c>
      <c r="Z494" s="4">
        <f>Games[[#This Row],[K]]*Games[[#This Row],[POMult]]</f>
        <v>76.670000000000016</v>
      </c>
      <c r="AA494" s="4">
        <f>(Games[[#This Row],[Keff]]*Games[[#This Row],[MOVMult]])*(Games[[#This Row],[Result]]-Games[[#This Row],[ExpectedWin%]])</f>
        <v>-2.8724909574604469</v>
      </c>
      <c r="AB494" s="4">
        <f>Games[[#This Row],[PreGmRate]]+Games[[#This Row],[RatingChange]]</f>
        <v>1425.3542450537543</v>
      </c>
      <c r="AC494" s="2">
        <f>IF(Games[[#This Row],[Type]]="R",IF(Games[[#This Row],[Result]]&gt;0.5,1,0),0)</f>
        <v>0</v>
      </c>
      <c r="AD494" s="2">
        <f>IF(Games[[#This Row],[Type]]="R",IF(Games[[#This Row],[Result]]&lt;0.5,1,0),0)</f>
        <v>0</v>
      </c>
      <c r="AE494" s="2">
        <f>IF(AND(Games[[#This Row],[Type]]="P",Games[[#This Row],[Round]]=1),IF(Games[[#This Row],[Result]]&gt;0.5,1,0),0)</f>
        <v>0</v>
      </c>
      <c r="AF494" s="2">
        <f>IF(AND(Games[[#This Row],[Type]]="P",Games[[#This Row],[Round]]=1),IF(Games[[#This Row],[Result]]&lt;0.5,1,0),0)</f>
        <v>1</v>
      </c>
      <c r="AG494" s="2">
        <f>IF(AND(Games[[#This Row],[Type]]="P",Games[[#This Row],[Round]]=2),IF(Games[[#This Row],[Result]]&gt;0.5,1,0),0)</f>
        <v>0</v>
      </c>
      <c r="AH494" s="2">
        <f>IF(AND(Games[[#This Row],[Type]]="P",Games[[#This Row],[Round]]=2),IF(Games[[#This Row],[Result]]&lt;0.5,1,0),0)</f>
        <v>0</v>
      </c>
      <c r="AI494" s="2">
        <f>IF(AND(Games[[#This Row],[Type]]="P",Games[[#This Row],[Round]]=3),IF(Games[[#This Row],[Result]]&gt;0.5,1,0),0)</f>
        <v>0</v>
      </c>
      <c r="AJ494" s="2">
        <f>IF(AND(Games[[#This Row],[Type]]="P",Games[[#This Row],[Round]]=3),IF(Games[[#This Row],[Result]]&lt;0.5,1,0),0)</f>
        <v>0</v>
      </c>
      <c r="AK494" s="2">
        <f>IF(AND(Games[[#This Row],[Type]]="P",Games[[#This Row],[Round]]=4),IF(Games[[#This Row],[Result]]&gt;0.5,1,0),0)</f>
        <v>0</v>
      </c>
      <c r="AL494" s="2">
        <f>IF(AND(Games[[#This Row],[Type]]="P",Games[[#This Row],[Round]]=4),IF(Games[[#This Row],[Result]]&lt;0.5,1,0),0)</f>
        <v>0</v>
      </c>
    </row>
    <row r="495" spans="1:38" x14ac:dyDescent="0.35">
      <c r="A495" s="10">
        <v>45559</v>
      </c>
      <c r="B495" s="2">
        <v>2024</v>
      </c>
      <c r="C495" s="2">
        <f>COUNTIFS(Games[Team],Games[[#This Row],[Team]],Games[Season],Games[[#This Row],[Season]],Games[Date],"&lt;=" &amp; Games[[#This Row],[Date]])</f>
        <v>43</v>
      </c>
      <c r="D495" s="2" t="s">
        <v>83</v>
      </c>
      <c r="E495" s="2">
        <v>1</v>
      </c>
      <c r="F495" s="1" t="s">
        <v>60</v>
      </c>
      <c r="G495" s="1" t="s">
        <v>77</v>
      </c>
      <c r="H495" s="1" t="s">
        <v>82</v>
      </c>
      <c r="I495" s="2" cm="1">
        <f t="array" ref="I4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5" s="2" cm="1">
        <f t="array" ref="J4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5" s="2">
        <f>Games[[#This Row],[DaysOff]]-Games[[#This Row],[OppDaysOff]]</f>
        <v>0</v>
      </c>
      <c r="L495" s="2">
        <f>Games[[#This Row],[OppDaysOff]]-Games[[#This Row],[DaysOff]]</f>
        <v>0</v>
      </c>
      <c r="M495" s="1">
        <f>MAX(-16, MIN(16, Games[[#This Row],[RestDiff]]*8))</f>
        <v>0</v>
      </c>
      <c r="N495" s="1">
        <f>MAX(-16, MIN(16, Games[[#This Row],[OppRestDiff]]*8))</f>
        <v>0</v>
      </c>
      <c r="O495" s="4" cm="1">
        <f t="array" ref="O4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1701.6244882757569</v>
      </c>
      <c r="P495" s="4" cm="1">
        <f t="array" ref="P4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1428.2267360112148</v>
      </c>
      <c r="Q495" s="4">
        <f>1/(1+10^(((Games[[#This Row],[OppPreGmRate]]+IF(Games[[#This Row],[HomeAway]]="A",HCA,0)+Games[[#This Row],[OppRestAdj]])-(Games[[#This Row],[PreGmRate]]+IF(Games[[#This Row],[HomeAway]]="H",HCA,0)+Games[[#This Row],[RestAdj]]))/400))</f>
        <v>0.88668787386144454</v>
      </c>
      <c r="R495" s="1">
        <v>91</v>
      </c>
      <c r="S495" s="1">
        <v>82</v>
      </c>
      <c r="T495" s="1">
        <v>0</v>
      </c>
      <c r="U495" s="1">
        <f>Games[[#This Row],[PointsFor]]-Games[[#This Row],[PointsAgainst]]</f>
        <v>9</v>
      </c>
      <c r="V495" s="1">
        <f>IF(Games[[#This Row],[MOV]]&gt;0,1,IF(Games[[#This Row],[MOV]]=0,0.5,0))</f>
        <v>1</v>
      </c>
      <c r="W495" s="4">
        <f>((ABS(Games[[#This Row],[MOV]])+5)^0.6)/(12+0.01*(ABS(Games[[#This Row],[PreGmRate]]-Games[[#This Row],[OppPreGmRate]])))*IF(Games[[#This Row],[OT]]=1,0.9,1)</f>
        <v>0.33064108576787277</v>
      </c>
      <c r="X495" s="7" cm="1">
        <f t="array" ref="X4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5" s="9">
        <f>MAX(kmin, kmax - 0.15 * MIN(Games[[#This Row],[GamesPlayed]], 82))</f>
        <v>69.55</v>
      </c>
      <c r="Z495" s="4">
        <f>Games[[#This Row],[K]]*Games[[#This Row],[POMult]]</f>
        <v>76.50500000000001</v>
      </c>
      <c r="AA495" s="4">
        <f>(Games[[#This Row],[Keff]]*Games[[#This Row],[MOVMult]])*(Games[[#This Row],[Result]]-Games[[#This Row],[ExpectedWin%]])</f>
        <v>2.8663091261316231</v>
      </c>
      <c r="AB495" s="4">
        <f>Games[[#This Row],[PreGmRate]]+Games[[#This Row],[RatingChange]]</f>
        <v>1704.4907974018886</v>
      </c>
      <c r="AC495" s="2">
        <f>IF(Games[[#This Row],[Type]]="R",IF(Games[[#This Row],[Result]]&gt;0.5,1,0),0)</f>
        <v>0</v>
      </c>
      <c r="AD495" s="2">
        <f>IF(Games[[#This Row],[Type]]="R",IF(Games[[#This Row],[Result]]&lt;0.5,1,0),0)</f>
        <v>0</v>
      </c>
      <c r="AE495" s="2">
        <f>IF(AND(Games[[#This Row],[Type]]="P",Games[[#This Row],[Round]]=1),IF(Games[[#This Row],[Result]]&gt;0.5,1,0),0)</f>
        <v>1</v>
      </c>
      <c r="AF495" s="2">
        <f>IF(AND(Games[[#This Row],[Type]]="P",Games[[#This Row],[Round]]=1),IF(Games[[#This Row],[Result]]&lt;0.5,1,0),0)</f>
        <v>0</v>
      </c>
      <c r="AG495" s="2">
        <f>IF(AND(Games[[#This Row],[Type]]="P",Games[[#This Row],[Round]]=2),IF(Games[[#This Row],[Result]]&gt;0.5,1,0),0)</f>
        <v>0</v>
      </c>
      <c r="AH495" s="2">
        <f>IF(AND(Games[[#This Row],[Type]]="P",Games[[#This Row],[Round]]=2),IF(Games[[#This Row],[Result]]&lt;0.5,1,0),0)</f>
        <v>0</v>
      </c>
      <c r="AI495" s="2">
        <f>IF(AND(Games[[#This Row],[Type]]="P",Games[[#This Row],[Round]]=3),IF(Games[[#This Row],[Result]]&gt;0.5,1,0),0)</f>
        <v>0</v>
      </c>
      <c r="AJ495" s="2">
        <f>IF(AND(Games[[#This Row],[Type]]="P",Games[[#This Row],[Round]]=3),IF(Games[[#This Row],[Result]]&lt;0.5,1,0),0)</f>
        <v>0</v>
      </c>
      <c r="AK495" s="2">
        <f>IF(AND(Games[[#This Row],[Type]]="P",Games[[#This Row],[Round]]=4),IF(Games[[#This Row],[Result]]&gt;0.5,1,0),0)</f>
        <v>0</v>
      </c>
      <c r="AL495" s="2">
        <f>IF(AND(Games[[#This Row],[Type]]="P",Games[[#This Row],[Round]]=4),IF(Games[[#This Row],[Result]]&lt;0.5,1,0),0)</f>
        <v>0</v>
      </c>
    </row>
    <row r="496" spans="1:38" x14ac:dyDescent="0.35">
      <c r="A496" s="10">
        <v>45560</v>
      </c>
      <c r="B496" s="2">
        <v>2024</v>
      </c>
      <c r="C496" s="2">
        <f>COUNTIFS(Games[Team],Games[[#This Row],[Team]],Games[Season],Games[[#This Row],[Season]],Games[Date],"&lt;=" &amp; Games[[#This Row],[Date]])</f>
        <v>42</v>
      </c>
      <c r="D496" s="2" t="s">
        <v>83</v>
      </c>
      <c r="E496" s="2">
        <v>1</v>
      </c>
      <c r="F496" s="1" t="s">
        <v>69</v>
      </c>
      <c r="G496" s="1" t="s">
        <v>74</v>
      </c>
      <c r="H496" s="1" t="s">
        <v>81</v>
      </c>
      <c r="I496" s="2" cm="1">
        <f t="array" ref="I4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6" s="2" cm="1">
        <f t="array" ref="J4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6" s="2">
        <f>Games[[#This Row],[DaysOff]]-Games[[#This Row],[OppDaysOff]]</f>
        <v>0</v>
      </c>
      <c r="L496" s="2">
        <f>Games[[#This Row],[OppDaysOff]]-Games[[#This Row],[DaysOff]]</f>
        <v>0</v>
      </c>
      <c r="M496" s="1">
        <f>MAX(-16, MIN(16, Games[[#This Row],[RestDiff]]*8))</f>
        <v>0</v>
      </c>
      <c r="N496" s="1">
        <f>MAX(-16, MIN(16, Games[[#This Row],[OppRestDiff]]*8))</f>
        <v>0</v>
      </c>
      <c r="O496" s="4" cm="1">
        <f t="array" ref="O4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1483.1640796005552</v>
      </c>
      <c r="P496" s="4" cm="1">
        <f t="array" ref="P4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1625.7469250078711</v>
      </c>
      <c r="Q496" s="4">
        <f>1/(1+10^(((Games[[#This Row],[OppPreGmRate]]+IF(Games[[#This Row],[HomeAway]]="A",HCA,0)+Games[[#This Row],[OppRestAdj]])-(Games[[#This Row],[PreGmRate]]+IF(Games[[#This Row],[HomeAway]]="H",HCA,0)+Games[[#This Row],[RestAdj]]))/400))</f>
        <v>0.21343958680620428</v>
      </c>
      <c r="R496" s="1">
        <v>81</v>
      </c>
      <c r="S496" s="1">
        <v>87</v>
      </c>
      <c r="T496" s="1">
        <v>0</v>
      </c>
      <c r="U496" s="1">
        <f>Games[[#This Row],[PointsFor]]-Games[[#This Row],[PointsAgainst]]</f>
        <v>-6</v>
      </c>
      <c r="V496" s="1">
        <f>IF(Games[[#This Row],[MOV]]&gt;0,1,IF(Games[[#This Row],[MOV]]=0,0.5,0))</f>
        <v>0</v>
      </c>
      <c r="W496" s="4">
        <f>((ABS(Games[[#This Row],[MOV]])+5)^0.6)/(12+0.01*(ABS(Games[[#This Row],[PreGmRate]]-Games[[#This Row],[OppPreGmRate]])))*IF(Games[[#This Row],[OT]]=1,0.9,1)</f>
        <v>0.31397460108415365</v>
      </c>
      <c r="X496" s="7" cm="1">
        <f t="array" ref="X4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6" s="9">
        <f>MAX(kmin, kmax - 0.15 * MIN(Games[[#This Row],[GamesPlayed]], 82))</f>
        <v>69.7</v>
      </c>
      <c r="Z496" s="4">
        <f>Games[[#This Row],[K]]*Games[[#This Row],[POMult]]</f>
        <v>76.670000000000016</v>
      </c>
      <c r="AA496" s="4">
        <f>(Games[[#This Row],[Keff]]*Games[[#This Row],[MOVMult]])*(Games[[#This Row],[Result]]-Games[[#This Row],[ExpectedWin%]])</f>
        <v>-5.138010081463829</v>
      </c>
      <c r="AB496" s="4">
        <f>Games[[#This Row],[PreGmRate]]+Games[[#This Row],[RatingChange]]</f>
        <v>1478.0260695190914</v>
      </c>
      <c r="AC496" s="2">
        <f>IF(Games[[#This Row],[Type]]="R",IF(Games[[#This Row],[Result]]&gt;0.5,1,0),0)</f>
        <v>0</v>
      </c>
      <c r="AD496" s="2">
        <f>IF(Games[[#This Row],[Type]]="R",IF(Games[[#This Row],[Result]]&lt;0.5,1,0),0)</f>
        <v>0</v>
      </c>
      <c r="AE496" s="2">
        <f>IF(AND(Games[[#This Row],[Type]]="P",Games[[#This Row],[Round]]=1),IF(Games[[#This Row],[Result]]&gt;0.5,1,0),0)</f>
        <v>0</v>
      </c>
      <c r="AF496" s="2">
        <f>IF(AND(Games[[#This Row],[Type]]="P",Games[[#This Row],[Round]]=1),IF(Games[[#This Row],[Result]]&lt;0.5,1,0),0)</f>
        <v>1</v>
      </c>
      <c r="AG496" s="2">
        <f>IF(AND(Games[[#This Row],[Type]]="P",Games[[#This Row],[Round]]=2),IF(Games[[#This Row],[Result]]&gt;0.5,1,0),0)</f>
        <v>0</v>
      </c>
      <c r="AH496" s="2">
        <f>IF(AND(Games[[#This Row],[Type]]="P",Games[[#This Row],[Round]]=2),IF(Games[[#This Row],[Result]]&lt;0.5,1,0),0)</f>
        <v>0</v>
      </c>
      <c r="AI496" s="2">
        <f>IF(AND(Games[[#This Row],[Type]]="P",Games[[#This Row],[Round]]=3),IF(Games[[#This Row],[Result]]&gt;0.5,1,0),0)</f>
        <v>0</v>
      </c>
      <c r="AJ496" s="2">
        <f>IF(AND(Games[[#This Row],[Type]]="P",Games[[#This Row],[Round]]=3),IF(Games[[#This Row],[Result]]&lt;0.5,1,0),0)</f>
        <v>0</v>
      </c>
      <c r="AK496" s="2">
        <f>IF(AND(Games[[#This Row],[Type]]="P",Games[[#This Row],[Round]]=4),IF(Games[[#This Row],[Result]]&gt;0.5,1,0),0)</f>
        <v>0</v>
      </c>
      <c r="AL496" s="2">
        <f>IF(AND(Games[[#This Row],[Type]]="P",Games[[#This Row],[Round]]=4),IF(Games[[#This Row],[Result]]&lt;0.5,1,0),0)</f>
        <v>0</v>
      </c>
    </row>
    <row r="497" spans="1:38" x14ac:dyDescent="0.35">
      <c r="A497" s="10">
        <v>45560</v>
      </c>
      <c r="B497" s="2">
        <v>2024</v>
      </c>
      <c r="C497" s="2">
        <f>COUNTIFS(Games[Team],Games[[#This Row],[Team]],Games[Season],Games[[#This Row],[Season]],Games[Date],"&lt;=" &amp; Games[[#This Row],[Date]])</f>
        <v>42</v>
      </c>
      <c r="D497" s="2" t="s">
        <v>83</v>
      </c>
      <c r="E497" s="2">
        <v>1</v>
      </c>
      <c r="F497" s="1" t="s">
        <v>74</v>
      </c>
      <c r="G497" s="1" t="s">
        <v>69</v>
      </c>
      <c r="H497" s="1" t="s">
        <v>82</v>
      </c>
      <c r="I497" s="2" cm="1">
        <f t="array" ref="I4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7" s="2" cm="1">
        <f t="array" ref="J4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7" s="2">
        <f>Games[[#This Row],[DaysOff]]-Games[[#This Row],[OppDaysOff]]</f>
        <v>0</v>
      </c>
      <c r="L497" s="2">
        <f>Games[[#This Row],[OppDaysOff]]-Games[[#This Row],[DaysOff]]</f>
        <v>0</v>
      </c>
      <c r="M497" s="1">
        <f>MAX(-16, MIN(16, Games[[#This Row],[RestDiff]]*8))</f>
        <v>0</v>
      </c>
      <c r="N497" s="1">
        <f>MAX(-16, MIN(16, Games[[#This Row],[OppRestDiff]]*8))</f>
        <v>0</v>
      </c>
      <c r="O497" s="4" cm="1">
        <f t="array" ref="O4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1625.7469250078711</v>
      </c>
      <c r="P497" s="4" cm="1">
        <f t="array" ref="P4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1483.1640796005552</v>
      </c>
      <c r="Q497" s="4">
        <f>1/(1+10^(((Games[[#This Row],[OppPreGmRate]]+IF(Games[[#This Row],[HomeAway]]="A",HCA,0)+Games[[#This Row],[OppRestAdj]])-(Games[[#This Row],[PreGmRate]]+IF(Games[[#This Row],[HomeAway]]="H",HCA,0)+Games[[#This Row],[RestAdj]]))/400))</f>
        <v>0.78656041319379566</v>
      </c>
      <c r="R497" s="1">
        <v>87</v>
      </c>
      <c r="S497" s="1">
        <v>81</v>
      </c>
      <c r="T497" s="1">
        <v>0</v>
      </c>
      <c r="U497" s="1">
        <f>Games[[#This Row],[PointsFor]]-Games[[#This Row],[PointsAgainst]]</f>
        <v>6</v>
      </c>
      <c r="V497" s="1">
        <f>IF(Games[[#This Row],[MOV]]&gt;0,1,IF(Games[[#This Row],[MOV]]=0,0.5,0))</f>
        <v>1</v>
      </c>
      <c r="W497" s="4">
        <f>((ABS(Games[[#This Row],[MOV]])+5)^0.6)/(12+0.01*(ABS(Games[[#This Row],[PreGmRate]]-Games[[#This Row],[OppPreGmRate]])))*IF(Games[[#This Row],[OT]]=1,0.9,1)</f>
        <v>0.31397460108415365</v>
      </c>
      <c r="X497" s="7" cm="1">
        <f t="array" ref="X4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7" s="9">
        <f>MAX(kmin, kmax - 0.15 * MIN(Games[[#This Row],[GamesPlayed]], 82))</f>
        <v>69.7</v>
      </c>
      <c r="Z497" s="4">
        <f>Games[[#This Row],[K]]*Games[[#This Row],[POMult]]</f>
        <v>76.670000000000016</v>
      </c>
      <c r="AA497" s="4">
        <f>(Games[[#This Row],[Keff]]*Games[[#This Row],[MOVMult]])*(Games[[#This Row],[Result]]-Games[[#This Row],[ExpectedWin%]])</f>
        <v>5.1380100814638299</v>
      </c>
      <c r="AB497" s="4">
        <f>Games[[#This Row],[PreGmRate]]+Games[[#This Row],[RatingChange]]</f>
        <v>1630.8849350893349</v>
      </c>
      <c r="AC497" s="2">
        <f>IF(Games[[#This Row],[Type]]="R",IF(Games[[#This Row],[Result]]&gt;0.5,1,0),0)</f>
        <v>0</v>
      </c>
      <c r="AD497" s="2">
        <f>IF(Games[[#This Row],[Type]]="R",IF(Games[[#This Row],[Result]]&lt;0.5,1,0),0)</f>
        <v>0</v>
      </c>
      <c r="AE497" s="2">
        <f>IF(AND(Games[[#This Row],[Type]]="P",Games[[#This Row],[Round]]=1),IF(Games[[#This Row],[Result]]&gt;0.5,1,0),0)</f>
        <v>1</v>
      </c>
      <c r="AF497" s="2">
        <f>IF(AND(Games[[#This Row],[Type]]="P",Games[[#This Row],[Round]]=1),IF(Games[[#This Row],[Result]]&lt;0.5,1,0),0)</f>
        <v>0</v>
      </c>
      <c r="AG497" s="2">
        <f>IF(AND(Games[[#This Row],[Type]]="P",Games[[#This Row],[Round]]=2),IF(Games[[#This Row],[Result]]&gt;0.5,1,0),0)</f>
        <v>0</v>
      </c>
      <c r="AH497" s="2">
        <f>IF(AND(Games[[#This Row],[Type]]="P",Games[[#This Row],[Round]]=2),IF(Games[[#This Row],[Result]]&lt;0.5,1,0),0)</f>
        <v>0</v>
      </c>
      <c r="AI497" s="2">
        <f>IF(AND(Games[[#This Row],[Type]]="P",Games[[#This Row],[Round]]=3),IF(Games[[#This Row],[Result]]&gt;0.5,1,0),0)</f>
        <v>0</v>
      </c>
      <c r="AJ497" s="2">
        <f>IF(AND(Games[[#This Row],[Type]]="P",Games[[#This Row],[Round]]=3),IF(Games[[#This Row],[Result]]&lt;0.5,1,0),0)</f>
        <v>0</v>
      </c>
      <c r="AK497" s="2">
        <f>IF(AND(Games[[#This Row],[Type]]="P",Games[[#This Row],[Round]]=4),IF(Games[[#This Row],[Result]]&gt;0.5,1,0),0)</f>
        <v>0</v>
      </c>
      <c r="AL497" s="2">
        <f>IF(AND(Games[[#This Row],[Type]]="P",Games[[#This Row],[Round]]=4),IF(Games[[#This Row],[Result]]&lt;0.5,1,0),0)</f>
        <v>0</v>
      </c>
    </row>
    <row r="498" spans="1:38" x14ac:dyDescent="0.35">
      <c r="A498" s="10">
        <v>45560</v>
      </c>
      <c r="B498" s="2">
        <v>2024</v>
      </c>
      <c r="C498" s="2">
        <f>COUNTIFS(Games[Team],Games[[#This Row],[Team]],Games[Season],Games[[#This Row],[Season]],Games[Date],"&lt;=" &amp; Games[[#This Row],[Date]])</f>
        <v>42</v>
      </c>
      <c r="D498" s="2" t="s">
        <v>83</v>
      </c>
      <c r="E498" s="2">
        <v>1</v>
      </c>
      <c r="F498" s="1" t="s">
        <v>40</v>
      </c>
      <c r="G498" s="1" t="s">
        <v>67</v>
      </c>
      <c r="H498" s="1" t="s">
        <v>81</v>
      </c>
      <c r="I498" s="2" cm="1">
        <f t="array" ref="I4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8" s="2" cm="1">
        <f t="array" ref="J4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8" s="2">
        <f>Games[[#This Row],[DaysOff]]-Games[[#This Row],[OppDaysOff]]</f>
        <v>0</v>
      </c>
      <c r="L498" s="2">
        <f>Games[[#This Row],[OppDaysOff]]-Games[[#This Row],[DaysOff]]</f>
        <v>0</v>
      </c>
      <c r="M498" s="1">
        <f>MAX(-16, MIN(16, Games[[#This Row],[RestDiff]]*8))</f>
        <v>0</v>
      </c>
      <c r="N498" s="1">
        <f>MAX(-16, MIN(16, Games[[#This Row],[OppRestDiff]]*8))</f>
        <v>0</v>
      </c>
      <c r="O498" s="4" cm="1">
        <f t="array" ref="O4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1416.5057716573606</v>
      </c>
      <c r="P498" s="4" cm="1">
        <f t="array" ref="P4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1659.8989871964859</v>
      </c>
      <c r="Q498" s="4">
        <f>1/(1+10^(((Games[[#This Row],[OppPreGmRate]]+IF(Games[[#This Row],[HomeAway]]="A",HCA,0)+Games[[#This Row],[OppRestAdj]])-(Games[[#This Row],[PreGmRate]]+IF(Games[[#This Row],[HomeAway]]="H",HCA,0)+Games[[#This Row],[RestAdj]]))/400))</f>
        <v>0.13185832803696357</v>
      </c>
      <c r="R498" s="1">
        <v>88</v>
      </c>
      <c r="S498" s="1">
        <v>101</v>
      </c>
      <c r="T498" s="1">
        <v>0</v>
      </c>
      <c r="U498" s="1">
        <f>Games[[#This Row],[PointsFor]]-Games[[#This Row],[PointsAgainst]]</f>
        <v>-13</v>
      </c>
      <c r="V498" s="1">
        <f>IF(Games[[#This Row],[MOV]]&gt;0,1,IF(Games[[#This Row],[MOV]]=0,0.5,0))</f>
        <v>0</v>
      </c>
      <c r="W498" s="4">
        <f>((ABS(Games[[#This Row],[MOV]])+5)^0.6)/(12+0.01*(ABS(Games[[#This Row],[PreGmRate]]-Games[[#This Row],[OppPreGmRate]])))*IF(Games[[#This Row],[OT]]=1,0.9,1)</f>
        <v>0.3924450390085587</v>
      </c>
      <c r="X498" s="7" cm="1">
        <f t="array" ref="X4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8" s="9">
        <f>MAX(kmin, kmax - 0.15 * MIN(Games[[#This Row],[GamesPlayed]], 82))</f>
        <v>69.7</v>
      </c>
      <c r="Z498" s="4">
        <f>Games[[#This Row],[K]]*Games[[#This Row],[POMult]]</f>
        <v>76.670000000000016</v>
      </c>
      <c r="AA498" s="4">
        <f>(Games[[#This Row],[Keff]]*Games[[#This Row],[MOVMult]])*(Games[[#This Row],[Result]]-Games[[#This Row],[ExpectedWin%]])</f>
        <v>-3.9674537367276295</v>
      </c>
      <c r="AB498" s="4">
        <f>Games[[#This Row],[PreGmRate]]+Games[[#This Row],[RatingChange]]</f>
        <v>1412.5383179206331</v>
      </c>
      <c r="AC498" s="2">
        <f>IF(Games[[#This Row],[Type]]="R",IF(Games[[#This Row],[Result]]&gt;0.5,1,0),0)</f>
        <v>0</v>
      </c>
      <c r="AD498" s="2">
        <f>IF(Games[[#This Row],[Type]]="R",IF(Games[[#This Row],[Result]]&lt;0.5,1,0),0)</f>
        <v>0</v>
      </c>
      <c r="AE498" s="2">
        <f>IF(AND(Games[[#This Row],[Type]]="P",Games[[#This Row],[Round]]=1),IF(Games[[#This Row],[Result]]&gt;0.5,1,0),0)</f>
        <v>0</v>
      </c>
      <c r="AF498" s="2">
        <f>IF(AND(Games[[#This Row],[Type]]="P",Games[[#This Row],[Round]]=1),IF(Games[[#This Row],[Result]]&lt;0.5,1,0),0)</f>
        <v>1</v>
      </c>
      <c r="AG498" s="2">
        <f>IF(AND(Games[[#This Row],[Type]]="P",Games[[#This Row],[Round]]=2),IF(Games[[#This Row],[Result]]&gt;0.5,1,0),0)</f>
        <v>0</v>
      </c>
      <c r="AH498" s="2">
        <f>IF(AND(Games[[#This Row],[Type]]="P",Games[[#This Row],[Round]]=2),IF(Games[[#This Row],[Result]]&lt;0.5,1,0),0)</f>
        <v>0</v>
      </c>
      <c r="AI498" s="2">
        <f>IF(AND(Games[[#This Row],[Type]]="P",Games[[#This Row],[Round]]=3),IF(Games[[#This Row],[Result]]&gt;0.5,1,0),0)</f>
        <v>0</v>
      </c>
      <c r="AJ498" s="2">
        <f>IF(AND(Games[[#This Row],[Type]]="P",Games[[#This Row],[Round]]=3),IF(Games[[#This Row],[Result]]&lt;0.5,1,0),0)</f>
        <v>0</v>
      </c>
      <c r="AK498" s="2">
        <f>IF(AND(Games[[#This Row],[Type]]="P",Games[[#This Row],[Round]]=4),IF(Games[[#This Row],[Result]]&gt;0.5,1,0),0)</f>
        <v>0</v>
      </c>
      <c r="AL498" s="2">
        <f>IF(AND(Games[[#This Row],[Type]]="P",Games[[#This Row],[Round]]=4),IF(Games[[#This Row],[Result]]&lt;0.5,1,0),0)</f>
        <v>0</v>
      </c>
    </row>
    <row r="499" spans="1:38" x14ac:dyDescent="0.35">
      <c r="A499" s="10">
        <v>45560</v>
      </c>
      <c r="B499" s="2">
        <v>2024</v>
      </c>
      <c r="C499" s="2">
        <f>COUNTIFS(Games[Team],Games[[#This Row],[Team]],Games[Season],Games[[#This Row],[Season]],Games[Date],"&lt;=" &amp; Games[[#This Row],[Date]])</f>
        <v>43</v>
      </c>
      <c r="D499" s="2" t="s">
        <v>83</v>
      </c>
      <c r="E499" s="2">
        <v>1</v>
      </c>
      <c r="F499" s="1" t="s">
        <v>67</v>
      </c>
      <c r="G499" s="1" t="s">
        <v>40</v>
      </c>
      <c r="H499" s="1" t="s">
        <v>82</v>
      </c>
      <c r="I499" s="2" cm="1">
        <f t="array" ref="I4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9" s="2" cm="1">
        <f t="array" ref="J4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9" s="2">
        <f>Games[[#This Row],[DaysOff]]-Games[[#This Row],[OppDaysOff]]</f>
        <v>0</v>
      </c>
      <c r="L499" s="2">
        <f>Games[[#This Row],[OppDaysOff]]-Games[[#This Row],[DaysOff]]</f>
        <v>0</v>
      </c>
      <c r="M499" s="1">
        <f>MAX(-16, MIN(16, Games[[#This Row],[RestDiff]]*8))</f>
        <v>0</v>
      </c>
      <c r="N499" s="1">
        <f>MAX(-16, MIN(16, Games[[#This Row],[OppRestDiff]]*8))</f>
        <v>0</v>
      </c>
      <c r="O499" s="4" cm="1">
        <f t="array" ref="O4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1659.8989871964859</v>
      </c>
      <c r="P499" s="4" cm="1">
        <f t="array" ref="P4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1416.5057716573606</v>
      </c>
      <c r="Q499" s="4">
        <f>1/(1+10^(((Games[[#This Row],[OppPreGmRate]]+IF(Games[[#This Row],[HomeAway]]="A",HCA,0)+Games[[#This Row],[OppRestAdj]])-(Games[[#This Row],[PreGmRate]]+IF(Games[[#This Row],[HomeAway]]="H",HCA,0)+Games[[#This Row],[RestAdj]]))/400))</f>
        <v>0.86814167196303649</v>
      </c>
      <c r="R499" s="1">
        <v>101</v>
      </c>
      <c r="S499" s="1">
        <v>88</v>
      </c>
      <c r="T499" s="1">
        <v>0</v>
      </c>
      <c r="U499" s="1">
        <f>Games[[#This Row],[PointsFor]]-Games[[#This Row],[PointsAgainst]]</f>
        <v>13</v>
      </c>
      <c r="V499" s="1">
        <f>IF(Games[[#This Row],[MOV]]&gt;0,1,IF(Games[[#This Row],[MOV]]=0,0.5,0))</f>
        <v>1</v>
      </c>
      <c r="W499" s="4">
        <f>((ABS(Games[[#This Row],[MOV]])+5)^0.6)/(12+0.01*(ABS(Games[[#This Row],[PreGmRate]]-Games[[#This Row],[OppPreGmRate]])))*IF(Games[[#This Row],[OT]]=1,0.9,1)</f>
        <v>0.3924450390085587</v>
      </c>
      <c r="X499" s="7" cm="1">
        <f t="array" ref="X4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9" s="9">
        <f>MAX(kmin, kmax - 0.15 * MIN(Games[[#This Row],[GamesPlayed]], 82))</f>
        <v>69.55</v>
      </c>
      <c r="Z499" s="4">
        <f>Games[[#This Row],[K]]*Games[[#This Row],[POMult]]</f>
        <v>76.50500000000001</v>
      </c>
      <c r="AA499" s="4">
        <f>(Games[[#This Row],[Keff]]*Games[[#This Row],[MOVMult]])*(Games[[#This Row],[Result]]-Games[[#This Row],[ExpectedWin%]])</f>
        <v>3.9589154575237657</v>
      </c>
      <c r="AB499" s="4">
        <f>Games[[#This Row],[PreGmRate]]+Games[[#This Row],[RatingChange]]</f>
        <v>1663.8579026540096</v>
      </c>
      <c r="AC499" s="2">
        <f>IF(Games[[#This Row],[Type]]="R",IF(Games[[#This Row],[Result]]&gt;0.5,1,0),0)</f>
        <v>0</v>
      </c>
      <c r="AD499" s="2">
        <f>IF(Games[[#This Row],[Type]]="R",IF(Games[[#This Row],[Result]]&lt;0.5,1,0),0)</f>
        <v>0</v>
      </c>
      <c r="AE499" s="2">
        <f>IF(AND(Games[[#This Row],[Type]]="P",Games[[#This Row],[Round]]=1),IF(Games[[#This Row],[Result]]&gt;0.5,1,0),0)</f>
        <v>1</v>
      </c>
      <c r="AF499" s="2">
        <f>IF(AND(Games[[#This Row],[Type]]="P",Games[[#This Row],[Round]]=1),IF(Games[[#This Row],[Result]]&lt;0.5,1,0),0)</f>
        <v>0</v>
      </c>
      <c r="AG499" s="2">
        <f>IF(AND(Games[[#This Row],[Type]]="P",Games[[#This Row],[Round]]=2),IF(Games[[#This Row],[Result]]&gt;0.5,1,0),0)</f>
        <v>0</v>
      </c>
      <c r="AH499" s="2">
        <f>IF(AND(Games[[#This Row],[Type]]="P",Games[[#This Row],[Round]]=2),IF(Games[[#This Row],[Result]]&lt;0.5,1,0),0)</f>
        <v>0</v>
      </c>
      <c r="AI499" s="2">
        <f>IF(AND(Games[[#This Row],[Type]]="P",Games[[#This Row],[Round]]=3),IF(Games[[#This Row],[Result]]&gt;0.5,1,0),0)</f>
        <v>0</v>
      </c>
      <c r="AJ499" s="2">
        <f>IF(AND(Games[[#This Row],[Type]]="P",Games[[#This Row],[Round]]=3),IF(Games[[#This Row],[Result]]&lt;0.5,1,0),0)</f>
        <v>0</v>
      </c>
      <c r="AK499" s="2">
        <f>IF(AND(Games[[#This Row],[Type]]="P",Games[[#This Row],[Round]]=4),IF(Games[[#This Row],[Result]]&gt;0.5,1,0),0)</f>
        <v>0</v>
      </c>
      <c r="AL499" s="2">
        <f>IF(AND(Games[[#This Row],[Type]]="P",Games[[#This Row],[Round]]=4),IF(Games[[#This Row],[Result]]&lt;0.5,1,0),0)</f>
        <v>0</v>
      </c>
    </row>
    <row r="500" spans="1:38" x14ac:dyDescent="0.35">
      <c r="A500" s="10">
        <v>45564</v>
      </c>
      <c r="B500" s="2">
        <v>2024</v>
      </c>
      <c r="C500" s="2">
        <f>COUNTIFS(Games[Team],Games[[#This Row],[Team]],Games[Season],Games[[#This Row],[Season]],Games[Date],"&lt;=" &amp; Games[[#This Row],[Date]])</f>
        <v>43</v>
      </c>
      <c r="D500" s="2" t="s">
        <v>83</v>
      </c>
      <c r="E500" s="2">
        <v>2</v>
      </c>
      <c r="F500" s="1" t="s">
        <v>74</v>
      </c>
      <c r="G500" s="1" t="s">
        <v>67</v>
      </c>
      <c r="H500" s="1" t="s">
        <v>81</v>
      </c>
      <c r="I500" s="2" cm="1">
        <f t="array" ref="I500">IFERROR(
    Games[[#This Row],[Date]]
    - LOOKUP(
        2,
        1/((Games[Team]=Games[[#This Row],[Team]]) * (Games[Date] &lt; Games[[#This Row],[Date]])),
        Games[Date]
    )
    - 1,
Games[[#This Row],[Date]]-$A$2)</f>
        <v>3</v>
      </c>
      <c r="J500" s="2" cm="1">
        <f t="array" ref="J5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00" s="2">
        <f>Games[[#This Row],[DaysOff]]-Games[[#This Row],[OppDaysOff]]</f>
        <v>0</v>
      </c>
      <c r="L500" s="2">
        <f>Games[[#This Row],[OppDaysOff]]-Games[[#This Row],[DaysOff]]</f>
        <v>0</v>
      </c>
      <c r="M500" s="1">
        <f>MAX(-16, MIN(16, Games[[#This Row],[RestDiff]]*8))</f>
        <v>0</v>
      </c>
      <c r="N500" s="1">
        <f>MAX(-16, MIN(16, Games[[#This Row],[OppRestDiff]]*8))</f>
        <v>0</v>
      </c>
      <c r="O500" s="4" cm="1">
        <f t="array" ref="O5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1630.8849350893349</v>
      </c>
      <c r="P500" s="4" cm="1">
        <f t="array" ref="P5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1663.8579026540096</v>
      </c>
      <c r="Q500" s="4">
        <f>1/(1+10^(((Games[[#This Row],[OppPreGmRate]]+IF(Games[[#This Row],[HomeAway]]="A",HCA,0)+Games[[#This Row],[OppRestAdj]])-(Games[[#This Row],[PreGmRate]]+IF(Games[[#This Row],[HomeAway]]="H",HCA,0)+Games[[#This Row],[RestAdj]]))/400))</f>
        <v>0.33774700786606388</v>
      </c>
      <c r="R500" s="1">
        <v>73</v>
      </c>
      <c r="S500" s="1">
        <v>70</v>
      </c>
      <c r="T500" s="1">
        <v>0</v>
      </c>
      <c r="U500" s="1">
        <f>Games[[#This Row],[PointsFor]]-Games[[#This Row],[PointsAgainst]]</f>
        <v>3</v>
      </c>
      <c r="V500" s="1">
        <f>IF(Games[[#This Row],[MOV]]&gt;0,1,IF(Games[[#This Row],[MOV]]=0,0.5,0))</f>
        <v>1</v>
      </c>
      <c r="W500" s="4">
        <f>((ABS(Games[[#This Row],[MOV]])+5)^0.6)/(12+0.01*(ABS(Games[[#This Row],[PreGmRate]]-Games[[#This Row],[OppPreGmRate]])))*IF(Games[[#This Row],[OT]]=1,0.9,1)</f>
        <v>0.28242324404422436</v>
      </c>
      <c r="X500" s="7" cm="1">
        <f t="array" ref="X5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0" s="9">
        <f>MAX(kmin, kmax - 0.15 * MIN(Games[[#This Row],[GamesPlayed]], 82))</f>
        <v>69.55</v>
      </c>
      <c r="Z500" s="4">
        <f>Games[[#This Row],[K]]*Games[[#This Row],[POMult]]</f>
        <v>83.46</v>
      </c>
      <c r="AA500" s="4">
        <f>(Games[[#This Row],[Keff]]*Games[[#This Row],[MOVMult]])*(Games[[#This Row],[Result]]-Games[[#This Row],[ExpectedWin%]])</f>
        <v>15.609994382237788</v>
      </c>
      <c r="AB500" s="4">
        <f>Games[[#This Row],[PreGmRate]]+Games[[#This Row],[RatingChange]]</f>
        <v>1646.4949294715727</v>
      </c>
      <c r="AC500" s="2">
        <f>IF(Games[[#This Row],[Type]]="R",IF(Games[[#This Row],[Result]]&gt;0.5,1,0),0)</f>
        <v>0</v>
      </c>
      <c r="AD500" s="2">
        <f>IF(Games[[#This Row],[Type]]="R",IF(Games[[#This Row],[Result]]&lt;0.5,1,0),0)</f>
        <v>0</v>
      </c>
      <c r="AE500" s="2">
        <f>IF(AND(Games[[#This Row],[Type]]="P",Games[[#This Row],[Round]]=1),IF(Games[[#This Row],[Result]]&gt;0.5,1,0),0)</f>
        <v>0</v>
      </c>
      <c r="AF500" s="2">
        <f>IF(AND(Games[[#This Row],[Type]]="P",Games[[#This Row],[Round]]=1),IF(Games[[#This Row],[Result]]&lt;0.5,1,0),0)</f>
        <v>0</v>
      </c>
      <c r="AG500" s="2">
        <f>IF(AND(Games[[#This Row],[Type]]="P",Games[[#This Row],[Round]]=2),IF(Games[[#This Row],[Result]]&gt;0.5,1,0),0)</f>
        <v>1</v>
      </c>
      <c r="AH500" s="2">
        <f>IF(AND(Games[[#This Row],[Type]]="P",Games[[#This Row],[Round]]=2),IF(Games[[#This Row],[Result]]&lt;0.5,1,0),0)</f>
        <v>0</v>
      </c>
      <c r="AI500" s="2">
        <f>IF(AND(Games[[#This Row],[Type]]="P",Games[[#This Row],[Round]]=3),IF(Games[[#This Row],[Result]]&gt;0.5,1,0),0)</f>
        <v>0</v>
      </c>
      <c r="AJ500" s="2">
        <f>IF(AND(Games[[#This Row],[Type]]="P",Games[[#This Row],[Round]]=3),IF(Games[[#This Row],[Result]]&lt;0.5,1,0),0)</f>
        <v>0</v>
      </c>
      <c r="AK500" s="2">
        <f>IF(AND(Games[[#This Row],[Type]]="P",Games[[#This Row],[Round]]=4),IF(Games[[#This Row],[Result]]&gt;0.5,1,0),0)</f>
        <v>0</v>
      </c>
      <c r="AL500" s="2">
        <f>IF(AND(Games[[#This Row],[Type]]="P",Games[[#This Row],[Round]]=4),IF(Games[[#This Row],[Result]]&lt;0.5,1,0),0)</f>
        <v>0</v>
      </c>
    </row>
    <row r="501" spans="1:38" x14ac:dyDescent="0.35">
      <c r="A501" s="10">
        <v>45564</v>
      </c>
      <c r="B501" s="2">
        <v>2024</v>
      </c>
      <c r="C501" s="2">
        <f>COUNTIFS(Games[Team],Games[[#This Row],[Team]],Games[Season],Games[[#This Row],[Season]],Games[Date],"&lt;=" &amp; Games[[#This Row],[Date]])</f>
        <v>44</v>
      </c>
      <c r="D501" s="2" t="s">
        <v>83</v>
      </c>
      <c r="E501" s="2">
        <v>2</v>
      </c>
      <c r="F501" s="1" t="s">
        <v>67</v>
      </c>
      <c r="G501" s="1" t="s">
        <v>74</v>
      </c>
      <c r="H501" s="1" t="s">
        <v>82</v>
      </c>
      <c r="I501" s="2" cm="1">
        <f t="array" ref="I5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501" s="2" cm="1">
        <f t="array" ref="J50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01" s="2">
        <f>Games[[#This Row],[DaysOff]]-Games[[#This Row],[OppDaysOff]]</f>
        <v>0</v>
      </c>
      <c r="L501" s="2">
        <f>Games[[#This Row],[OppDaysOff]]-Games[[#This Row],[DaysOff]]</f>
        <v>0</v>
      </c>
      <c r="M501" s="1">
        <f>MAX(-16, MIN(16, Games[[#This Row],[RestDiff]]*8))</f>
        <v>0</v>
      </c>
      <c r="N501" s="1">
        <f>MAX(-16, MIN(16, Games[[#This Row],[OppRestDiff]]*8))</f>
        <v>0</v>
      </c>
      <c r="O501" s="4" cm="1">
        <f t="array" ref="O5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1663.8579026540096</v>
      </c>
      <c r="P501" s="4" cm="1">
        <f t="array" ref="P5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1630.8849350893349</v>
      </c>
      <c r="Q501" s="4">
        <f>1/(1+10^(((Games[[#This Row],[OppPreGmRate]]+IF(Games[[#This Row],[HomeAway]]="A",HCA,0)+Games[[#This Row],[OppRestAdj]])-(Games[[#This Row],[PreGmRate]]+IF(Games[[#This Row],[HomeAway]]="H",HCA,0)+Games[[#This Row],[RestAdj]]))/400))</f>
        <v>0.66225299213393607</v>
      </c>
      <c r="R501" s="1">
        <v>70</v>
      </c>
      <c r="S501" s="1">
        <v>73</v>
      </c>
      <c r="T501" s="1">
        <v>0</v>
      </c>
      <c r="U501" s="1">
        <f>Games[[#This Row],[PointsFor]]-Games[[#This Row],[PointsAgainst]]</f>
        <v>-3</v>
      </c>
      <c r="V501" s="1">
        <f>IF(Games[[#This Row],[MOV]]&gt;0,1,IF(Games[[#This Row],[MOV]]=0,0.5,0))</f>
        <v>0</v>
      </c>
      <c r="W501" s="4">
        <f>((ABS(Games[[#This Row],[MOV]])+5)^0.6)/(12+0.01*(ABS(Games[[#This Row],[PreGmRate]]-Games[[#This Row],[OppPreGmRate]])))*IF(Games[[#This Row],[OT]]=1,0.9,1)</f>
        <v>0.28242324404422436</v>
      </c>
      <c r="X501" s="7" cm="1">
        <f t="array" ref="X5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1" s="9">
        <f>MAX(kmin, kmax - 0.15 * MIN(Games[[#This Row],[GamesPlayed]], 82))</f>
        <v>69.400000000000006</v>
      </c>
      <c r="Z501" s="4">
        <f>Games[[#This Row],[K]]*Games[[#This Row],[POMult]]</f>
        <v>83.28</v>
      </c>
      <c r="AA501" s="4">
        <f>(Games[[#This Row],[Keff]]*Games[[#This Row],[MOVMult]])*(Games[[#This Row],[Result]]-Games[[#This Row],[ExpectedWin%]])</f>
        <v>-15.576327967322824</v>
      </c>
      <c r="AB501" s="4">
        <f>Games[[#This Row],[PreGmRate]]+Games[[#This Row],[RatingChange]]</f>
        <v>1648.2815746866868</v>
      </c>
      <c r="AC501" s="2">
        <f>IF(Games[[#This Row],[Type]]="R",IF(Games[[#This Row],[Result]]&gt;0.5,1,0),0)</f>
        <v>0</v>
      </c>
      <c r="AD501" s="2">
        <f>IF(Games[[#This Row],[Type]]="R",IF(Games[[#This Row],[Result]]&lt;0.5,1,0),0)</f>
        <v>0</v>
      </c>
      <c r="AE501" s="2">
        <f>IF(AND(Games[[#This Row],[Type]]="P",Games[[#This Row],[Round]]=1),IF(Games[[#This Row],[Result]]&gt;0.5,1,0),0)</f>
        <v>0</v>
      </c>
      <c r="AF501" s="2">
        <f>IF(AND(Games[[#This Row],[Type]]="P",Games[[#This Row],[Round]]=1),IF(Games[[#This Row],[Result]]&lt;0.5,1,0),0)</f>
        <v>0</v>
      </c>
      <c r="AG501" s="2">
        <f>IF(AND(Games[[#This Row],[Type]]="P",Games[[#This Row],[Round]]=2),IF(Games[[#This Row],[Result]]&gt;0.5,1,0),0)</f>
        <v>0</v>
      </c>
      <c r="AH501" s="2">
        <f>IF(AND(Games[[#This Row],[Type]]="P",Games[[#This Row],[Round]]=2),IF(Games[[#This Row],[Result]]&lt;0.5,1,0),0)</f>
        <v>1</v>
      </c>
      <c r="AI501" s="2">
        <f>IF(AND(Games[[#This Row],[Type]]="P",Games[[#This Row],[Round]]=3),IF(Games[[#This Row],[Result]]&gt;0.5,1,0),0)</f>
        <v>0</v>
      </c>
      <c r="AJ501" s="2">
        <f>IF(AND(Games[[#This Row],[Type]]="P",Games[[#This Row],[Round]]=3),IF(Games[[#This Row],[Result]]&lt;0.5,1,0),0)</f>
        <v>0</v>
      </c>
      <c r="AK501" s="2">
        <f>IF(AND(Games[[#This Row],[Type]]="P",Games[[#This Row],[Round]]=4),IF(Games[[#This Row],[Result]]&gt;0.5,1,0),0)</f>
        <v>0</v>
      </c>
      <c r="AL501" s="2">
        <f>IF(AND(Games[[#This Row],[Type]]="P",Games[[#This Row],[Round]]=4),IF(Games[[#This Row],[Result]]&lt;0.5,1,0),0)</f>
        <v>0</v>
      </c>
    </row>
    <row r="502" spans="1:38" x14ac:dyDescent="0.35">
      <c r="A502" s="10">
        <v>45564</v>
      </c>
      <c r="B502" s="2">
        <v>2024</v>
      </c>
      <c r="C502" s="2">
        <f>COUNTIFS(Games[Team],Games[[#This Row],[Team]],Games[Season],Games[[#This Row],[Season]],Games[Date],"&lt;=" &amp; Games[[#This Row],[Date]])</f>
        <v>43</v>
      </c>
      <c r="D502" s="2" t="s">
        <v>83</v>
      </c>
      <c r="E502" s="2">
        <v>2</v>
      </c>
      <c r="F502" s="1" t="s">
        <v>86</v>
      </c>
      <c r="G502" s="1" t="s">
        <v>60</v>
      </c>
      <c r="H502" s="1" t="s">
        <v>81</v>
      </c>
      <c r="I502" s="2" cm="1">
        <f t="array" ref="I502">IFERROR(
    Games[[#This Row],[Date]]
    - LOOKUP(
        2,
        1/((Games[Team]=Games[[#This Row],[Team]]) * (Games[Date] &lt; Games[[#This Row],[Date]])),
        Games[Date]
    )
    - 1,
Games[[#This Row],[Date]]-$A$2)</f>
        <v>4</v>
      </c>
      <c r="J502" s="2" cm="1">
        <f t="array" ref="J50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02" s="2">
        <f>Games[[#This Row],[DaysOff]]-Games[[#This Row],[OppDaysOff]]</f>
        <v>0</v>
      </c>
      <c r="L502" s="2">
        <f>Games[[#This Row],[OppDaysOff]]-Games[[#This Row],[DaysOff]]</f>
        <v>0</v>
      </c>
      <c r="M502" s="1">
        <f>MAX(-16, MIN(16, Games[[#This Row],[RestDiff]]*8))</f>
        <v>0</v>
      </c>
      <c r="N502" s="1">
        <f>MAX(-16, MIN(16, Games[[#This Row],[OppRestDiff]]*8))</f>
        <v>0</v>
      </c>
      <c r="O502" s="4" cm="1">
        <f t="array" ref="O5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1687.3091326211697</v>
      </c>
      <c r="P502" s="4" cm="1">
        <f t="array" ref="P5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1704.4907974018886</v>
      </c>
      <c r="Q502" s="4">
        <f>1/(1+10^(((Games[[#This Row],[OppPreGmRate]]+IF(Games[[#This Row],[HomeAway]]="A",HCA,0)+Games[[#This Row],[OppRestAdj]])-(Games[[#This Row],[PreGmRate]]+IF(Games[[#This Row],[HomeAway]]="H",HCA,0)+Games[[#This Row],[RestAdj]]))/400))</f>
        <v>0.35836939268084367</v>
      </c>
      <c r="R502" s="1">
        <v>77</v>
      </c>
      <c r="S502" s="1">
        <v>87</v>
      </c>
      <c r="T502" s="1">
        <v>0</v>
      </c>
      <c r="U502" s="1">
        <f>Games[[#This Row],[PointsFor]]-Games[[#This Row],[PointsAgainst]]</f>
        <v>-10</v>
      </c>
      <c r="V502" s="1">
        <f>IF(Games[[#This Row],[MOV]]&gt;0,1,IF(Games[[#This Row],[MOV]]=0,0.5,0))</f>
        <v>0</v>
      </c>
      <c r="W502" s="4">
        <f>((ABS(Games[[#This Row],[MOV]])+5)^0.6)/(12+0.01*(ABS(Games[[#This Row],[PreGmRate]]-Games[[#This Row],[OppPreGmRate]])))*IF(Games[[#This Row],[OT]]=1,0.9,1)</f>
        <v>0.41715682538663229</v>
      </c>
      <c r="X502" s="7" cm="1">
        <f t="array" ref="X5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2" s="9">
        <f>MAX(kmin, kmax - 0.15 * MIN(Games[[#This Row],[GamesPlayed]], 82))</f>
        <v>69.55</v>
      </c>
      <c r="Z502" s="4">
        <f>Games[[#This Row],[K]]*Games[[#This Row],[POMult]]</f>
        <v>83.46</v>
      </c>
      <c r="AA502" s="4">
        <f>(Games[[#This Row],[Keff]]*Games[[#This Row],[MOVMult]])*(Games[[#This Row],[Result]]-Games[[#This Row],[ExpectedWin%]])</f>
        <v>-12.4769560373741</v>
      </c>
      <c r="AB502" s="4">
        <f>Games[[#This Row],[PreGmRate]]+Games[[#This Row],[RatingChange]]</f>
        <v>1674.8321765837957</v>
      </c>
      <c r="AC502" s="2">
        <f>IF(Games[[#This Row],[Type]]="R",IF(Games[[#This Row],[Result]]&gt;0.5,1,0),0)</f>
        <v>0</v>
      </c>
      <c r="AD502" s="2">
        <f>IF(Games[[#This Row],[Type]]="R",IF(Games[[#This Row],[Result]]&lt;0.5,1,0),0)</f>
        <v>0</v>
      </c>
      <c r="AE502" s="2">
        <f>IF(AND(Games[[#This Row],[Type]]="P",Games[[#This Row],[Round]]=1),IF(Games[[#This Row],[Result]]&gt;0.5,1,0),0)</f>
        <v>0</v>
      </c>
      <c r="AF502" s="2">
        <f>IF(AND(Games[[#This Row],[Type]]="P",Games[[#This Row],[Round]]=1),IF(Games[[#This Row],[Result]]&lt;0.5,1,0),0)</f>
        <v>0</v>
      </c>
      <c r="AG502" s="2">
        <f>IF(AND(Games[[#This Row],[Type]]="P",Games[[#This Row],[Round]]=2),IF(Games[[#This Row],[Result]]&gt;0.5,1,0),0)</f>
        <v>0</v>
      </c>
      <c r="AH502" s="2">
        <f>IF(AND(Games[[#This Row],[Type]]="P",Games[[#This Row],[Round]]=2),IF(Games[[#This Row],[Result]]&lt;0.5,1,0),0)</f>
        <v>1</v>
      </c>
      <c r="AI502" s="2">
        <f>IF(AND(Games[[#This Row],[Type]]="P",Games[[#This Row],[Round]]=3),IF(Games[[#This Row],[Result]]&gt;0.5,1,0),0)</f>
        <v>0</v>
      </c>
      <c r="AJ502" s="2">
        <f>IF(AND(Games[[#This Row],[Type]]="P",Games[[#This Row],[Round]]=3),IF(Games[[#This Row],[Result]]&lt;0.5,1,0),0)</f>
        <v>0</v>
      </c>
      <c r="AK502" s="2">
        <f>IF(AND(Games[[#This Row],[Type]]="P",Games[[#This Row],[Round]]=4),IF(Games[[#This Row],[Result]]&gt;0.5,1,0),0)</f>
        <v>0</v>
      </c>
      <c r="AL502" s="2">
        <f>IF(AND(Games[[#This Row],[Type]]="P",Games[[#This Row],[Round]]=4),IF(Games[[#This Row],[Result]]&lt;0.5,1,0),0)</f>
        <v>0</v>
      </c>
    </row>
    <row r="503" spans="1:38" x14ac:dyDescent="0.35">
      <c r="A503" s="10">
        <v>45564</v>
      </c>
      <c r="B503" s="2">
        <v>2024</v>
      </c>
      <c r="C503" s="2">
        <f>COUNTIFS(Games[Team],Games[[#This Row],[Team]],Games[Season],Games[[#This Row],[Season]],Games[Date],"&lt;=" &amp; Games[[#This Row],[Date]])</f>
        <v>44</v>
      </c>
      <c r="D503" s="2" t="s">
        <v>83</v>
      </c>
      <c r="E503" s="2">
        <v>2</v>
      </c>
      <c r="F503" s="1" t="s">
        <v>60</v>
      </c>
      <c r="G503" s="1" t="s">
        <v>86</v>
      </c>
      <c r="H503" s="1" t="s">
        <v>82</v>
      </c>
      <c r="I503" s="2" cm="1">
        <f t="array" ref="I503">IFERROR(
    Games[[#This Row],[Date]]
    - LOOKUP(
        2,
        1/((Games[Team]=Games[[#This Row],[Team]]) * (Games[Date] &lt; Games[[#This Row],[Date]])),
        Games[Date]
    )
    - 1,
Games[[#This Row],[Date]]-$A$2)</f>
        <v>4</v>
      </c>
      <c r="J503" s="2" cm="1">
        <f t="array" ref="J50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03" s="2">
        <f>Games[[#This Row],[DaysOff]]-Games[[#This Row],[OppDaysOff]]</f>
        <v>0</v>
      </c>
      <c r="L503" s="2">
        <f>Games[[#This Row],[OppDaysOff]]-Games[[#This Row],[DaysOff]]</f>
        <v>0</v>
      </c>
      <c r="M503" s="1">
        <f>MAX(-16, MIN(16, Games[[#This Row],[RestDiff]]*8))</f>
        <v>0</v>
      </c>
      <c r="N503" s="1">
        <f>MAX(-16, MIN(16, Games[[#This Row],[OppRestDiff]]*8))</f>
        <v>0</v>
      </c>
      <c r="O503" s="4" cm="1">
        <f t="array" ref="O5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1704.4907974018886</v>
      </c>
      <c r="P503" s="4" cm="1">
        <f t="array" ref="P5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1687.3091326211697</v>
      </c>
      <c r="Q503" s="4">
        <f>1/(1+10^(((Games[[#This Row],[OppPreGmRate]]+IF(Games[[#This Row],[HomeAway]]="A",HCA,0)+Games[[#This Row],[OppRestAdj]])-(Games[[#This Row],[PreGmRate]]+IF(Games[[#This Row],[HomeAway]]="H",HCA,0)+Games[[#This Row],[RestAdj]]))/400))</f>
        <v>0.64163060731915622</v>
      </c>
      <c r="R503" s="1">
        <v>87</v>
      </c>
      <c r="S503" s="1">
        <v>77</v>
      </c>
      <c r="T503" s="1">
        <v>0</v>
      </c>
      <c r="U503" s="1">
        <f>Games[[#This Row],[PointsFor]]-Games[[#This Row],[PointsAgainst]]</f>
        <v>10</v>
      </c>
      <c r="V503" s="1">
        <f>IF(Games[[#This Row],[MOV]]&gt;0,1,IF(Games[[#This Row],[MOV]]=0,0.5,0))</f>
        <v>1</v>
      </c>
      <c r="W503" s="4">
        <f>((ABS(Games[[#This Row],[MOV]])+5)^0.6)/(12+0.01*(ABS(Games[[#This Row],[PreGmRate]]-Games[[#This Row],[OppPreGmRate]])))*IF(Games[[#This Row],[OT]]=1,0.9,1)</f>
        <v>0.41715682538663229</v>
      </c>
      <c r="X503" s="7" cm="1">
        <f t="array" ref="X5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3" s="9">
        <f>MAX(kmin, kmax - 0.15 * MIN(Games[[#This Row],[GamesPlayed]], 82))</f>
        <v>69.400000000000006</v>
      </c>
      <c r="Z503" s="4">
        <f>Games[[#This Row],[K]]*Games[[#This Row],[POMult]]</f>
        <v>83.28</v>
      </c>
      <c r="AA503" s="4">
        <f>(Games[[#This Row],[Keff]]*Games[[#This Row],[MOVMult]])*(Games[[#This Row],[Result]]-Games[[#This Row],[ExpectedWin%]])</f>
        <v>12.450046714504138</v>
      </c>
      <c r="AB503" s="4">
        <f>Games[[#This Row],[PreGmRate]]+Games[[#This Row],[RatingChange]]</f>
        <v>1716.9408441163928</v>
      </c>
      <c r="AC503" s="2">
        <f>IF(Games[[#This Row],[Type]]="R",IF(Games[[#This Row],[Result]]&gt;0.5,1,0),0)</f>
        <v>0</v>
      </c>
      <c r="AD503" s="2">
        <f>IF(Games[[#This Row],[Type]]="R",IF(Games[[#This Row],[Result]]&lt;0.5,1,0),0)</f>
        <v>0</v>
      </c>
      <c r="AE503" s="2">
        <f>IF(AND(Games[[#This Row],[Type]]="P",Games[[#This Row],[Round]]=1),IF(Games[[#This Row],[Result]]&gt;0.5,1,0),0)</f>
        <v>0</v>
      </c>
      <c r="AF503" s="2">
        <f>IF(AND(Games[[#This Row],[Type]]="P",Games[[#This Row],[Round]]=1),IF(Games[[#This Row],[Result]]&lt;0.5,1,0),0)</f>
        <v>0</v>
      </c>
      <c r="AG503" s="2">
        <f>IF(AND(Games[[#This Row],[Type]]="P",Games[[#This Row],[Round]]=2),IF(Games[[#This Row],[Result]]&gt;0.5,1,0),0)</f>
        <v>1</v>
      </c>
      <c r="AH503" s="2">
        <f>IF(AND(Games[[#This Row],[Type]]="P",Games[[#This Row],[Round]]=2),IF(Games[[#This Row],[Result]]&lt;0.5,1,0),0)</f>
        <v>0</v>
      </c>
      <c r="AI503" s="2">
        <f>IF(AND(Games[[#This Row],[Type]]="P",Games[[#This Row],[Round]]=3),IF(Games[[#This Row],[Result]]&gt;0.5,1,0),0)</f>
        <v>0</v>
      </c>
      <c r="AJ503" s="2">
        <f>IF(AND(Games[[#This Row],[Type]]="P",Games[[#This Row],[Round]]=3),IF(Games[[#This Row],[Result]]&lt;0.5,1,0),0)</f>
        <v>0</v>
      </c>
      <c r="AK503" s="2">
        <f>IF(AND(Games[[#This Row],[Type]]="P",Games[[#This Row],[Round]]=4),IF(Games[[#This Row],[Result]]&gt;0.5,1,0),0)</f>
        <v>0</v>
      </c>
      <c r="AL503" s="2">
        <f>IF(AND(Games[[#This Row],[Type]]="P",Games[[#This Row],[Round]]=4),IF(Games[[#This Row],[Result]]&lt;0.5,1,0),0)</f>
        <v>0</v>
      </c>
    </row>
    <row r="504" spans="1:38" x14ac:dyDescent="0.35">
      <c r="A504" s="10">
        <v>45566</v>
      </c>
      <c r="B504" s="2">
        <v>2024</v>
      </c>
      <c r="C504" s="2">
        <f>COUNTIFS(Games[Team],Games[[#This Row],[Team]],Games[Season],Games[[#This Row],[Season]],Games[Date],"&lt;=" &amp; Games[[#This Row],[Date]])</f>
        <v>44</v>
      </c>
      <c r="D504" s="2" t="s">
        <v>83</v>
      </c>
      <c r="E504" s="2">
        <v>2</v>
      </c>
      <c r="F504" s="1" t="s">
        <v>74</v>
      </c>
      <c r="G504" s="1" t="s">
        <v>67</v>
      </c>
      <c r="H504" s="1" t="s">
        <v>81</v>
      </c>
      <c r="I504" s="2" cm="1">
        <f t="array" ref="I5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4" s="2" cm="1">
        <f t="array" ref="J5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4" s="2">
        <f>Games[[#This Row],[DaysOff]]-Games[[#This Row],[OppDaysOff]]</f>
        <v>0</v>
      </c>
      <c r="L504" s="2">
        <f>Games[[#This Row],[OppDaysOff]]-Games[[#This Row],[DaysOff]]</f>
        <v>0</v>
      </c>
      <c r="M504" s="1">
        <f>MAX(-16, MIN(16, Games[[#This Row],[RestDiff]]*8))</f>
        <v>0</v>
      </c>
      <c r="N504" s="1">
        <f>MAX(-16, MIN(16, Games[[#This Row],[OppRestDiff]]*8))</f>
        <v>0</v>
      </c>
      <c r="O504" s="4" cm="1">
        <f t="array" ref="O5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1646.4949294715727</v>
      </c>
      <c r="P504" s="4" cm="1">
        <f t="array" ref="P5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1648.2815746866868</v>
      </c>
      <c r="Q504" s="4">
        <f>1/(1+10^(((Games[[#This Row],[OppPreGmRate]]+IF(Games[[#This Row],[HomeAway]]="A",HCA,0)+Games[[#This Row],[OppRestAdj]])-(Games[[#This Row],[PreGmRate]]+IF(Games[[#This Row],[HomeAway]]="H",HCA,0)+Games[[#This Row],[RestAdj]]))/400))</f>
        <v>0.3789922921940061</v>
      </c>
      <c r="R504" s="1">
        <v>70</v>
      </c>
      <c r="S504" s="1">
        <v>77</v>
      </c>
      <c r="T504" s="1">
        <v>0</v>
      </c>
      <c r="U504" s="1">
        <f>Games[[#This Row],[PointsFor]]-Games[[#This Row],[PointsAgainst]]</f>
        <v>-7</v>
      </c>
      <c r="V504" s="1">
        <f>IF(Games[[#This Row],[MOV]]&gt;0,1,IF(Games[[#This Row],[MOV]]=0,0.5,0))</f>
        <v>0</v>
      </c>
      <c r="W504" s="4">
        <f>((ABS(Games[[#This Row],[MOV]])+5)^0.6)/(12+0.01*(ABS(Games[[#This Row],[PreGmRate]]-Games[[#This Row],[OppPreGmRate]])))*IF(Games[[#This Row],[OT]]=1,0.9,1)</f>
        <v>0.36955694985700815</v>
      </c>
      <c r="X504" s="7" cm="1">
        <f t="array" ref="X5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4" s="9">
        <f>MAX(kmin, kmax - 0.15 * MIN(Games[[#This Row],[GamesPlayed]], 82))</f>
        <v>69.400000000000006</v>
      </c>
      <c r="Z504" s="4">
        <f>Games[[#This Row],[K]]*Games[[#This Row],[POMult]]</f>
        <v>83.28</v>
      </c>
      <c r="AA504" s="4">
        <f>(Games[[#This Row],[Keff]]*Games[[#This Row],[MOVMult]])*(Games[[#This Row],[Result]]-Games[[#This Row],[ExpectedWin%]])</f>
        <v>-11.66413313431654</v>
      </c>
      <c r="AB504" s="4">
        <f>Games[[#This Row],[PreGmRate]]+Games[[#This Row],[RatingChange]]</f>
        <v>1634.8307963372563</v>
      </c>
      <c r="AC504" s="2">
        <f>IF(Games[[#This Row],[Type]]="R",IF(Games[[#This Row],[Result]]&gt;0.5,1,0),0)</f>
        <v>0</v>
      </c>
      <c r="AD504" s="2">
        <f>IF(Games[[#This Row],[Type]]="R",IF(Games[[#This Row],[Result]]&lt;0.5,1,0),0)</f>
        <v>0</v>
      </c>
      <c r="AE504" s="2">
        <f>IF(AND(Games[[#This Row],[Type]]="P",Games[[#This Row],[Round]]=1),IF(Games[[#This Row],[Result]]&gt;0.5,1,0),0)</f>
        <v>0</v>
      </c>
      <c r="AF504" s="2">
        <f>IF(AND(Games[[#This Row],[Type]]="P",Games[[#This Row],[Round]]=1),IF(Games[[#This Row],[Result]]&lt;0.5,1,0),0)</f>
        <v>0</v>
      </c>
      <c r="AG504" s="2">
        <f>IF(AND(Games[[#This Row],[Type]]="P",Games[[#This Row],[Round]]=2),IF(Games[[#This Row],[Result]]&gt;0.5,1,0),0)</f>
        <v>0</v>
      </c>
      <c r="AH504" s="2">
        <f>IF(AND(Games[[#This Row],[Type]]="P",Games[[#This Row],[Round]]=2),IF(Games[[#This Row],[Result]]&lt;0.5,1,0),0)</f>
        <v>1</v>
      </c>
      <c r="AI504" s="2">
        <f>IF(AND(Games[[#This Row],[Type]]="P",Games[[#This Row],[Round]]=3),IF(Games[[#This Row],[Result]]&gt;0.5,1,0),0)</f>
        <v>0</v>
      </c>
      <c r="AJ504" s="2">
        <f>IF(AND(Games[[#This Row],[Type]]="P",Games[[#This Row],[Round]]=3),IF(Games[[#This Row],[Result]]&lt;0.5,1,0),0)</f>
        <v>0</v>
      </c>
      <c r="AK504" s="2">
        <f>IF(AND(Games[[#This Row],[Type]]="P",Games[[#This Row],[Round]]=4),IF(Games[[#This Row],[Result]]&gt;0.5,1,0),0)</f>
        <v>0</v>
      </c>
      <c r="AL504" s="2">
        <f>IF(AND(Games[[#This Row],[Type]]="P",Games[[#This Row],[Round]]=4),IF(Games[[#This Row],[Result]]&lt;0.5,1,0),0)</f>
        <v>0</v>
      </c>
    </row>
    <row r="505" spans="1:38" x14ac:dyDescent="0.35">
      <c r="A505" s="10">
        <v>45566</v>
      </c>
      <c r="B505" s="2">
        <v>2024</v>
      </c>
      <c r="C505" s="2">
        <f>COUNTIFS(Games[Team],Games[[#This Row],[Team]],Games[Season],Games[[#This Row],[Season]],Games[Date],"&lt;=" &amp; Games[[#This Row],[Date]])</f>
        <v>45</v>
      </c>
      <c r="D505" s="2" t="s">
        <v>83</v>
      </c>
      <c r="E505" s="2">
        <v>2</v>
      </c>
      <c r="F505" s="1" t="s">
        <v>67</v>
      </c>
      <c r="G505" s="1" t="s">
        <v>74</v>
      </c>
      <c r="H505" s="1" t="s">
        <v>82</v>
      </c>
      <c r="I505" s="2" cm="1">
        <f t="array" ref="I5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5" s="2" cm="1">
        <f t="array" ref="J5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5" s="2">
        <f>Games[[#This Row],[DaysOff]]-Games[[#This Row],[OppDaysOff]]</f>
        <v>0</v>
      </c>
      <c r="L505" s="2">
        <f>Games[[#This Row],[OppDaysOff]]-Games[[#This Row],[DaysOff]]</f>
        <v>0</v>
      </c>
      <c r="M505" s="1">
        <f>MAX(-16, MIN(16, Games[[#This Row],[RestDiff]]*8))</f>
        <v>0</v>
      </c>
      <c r="N505" s="1">
        <f>MAX(-16, MIN(16, Games[[#This Row],[OppRestDiff]]*8))</f>
        <v>0</v>
      </c>
      <c r="O505" s="4" cm="1">
        <f t="array" ref="O5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1648.2815746866868</v>
      </c>
      <c r="P505" s="4" cm="1">
        <f t="array" ref="P5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1646.4949294715727</v>
      </c>
      <c r="Q505" s="4">
        <f>1/(1+10^(((Games[[#This Row],[OppPreGmRate]]+IF(Games[[#This Row],[HomeAway]]="A",HCA,0)+Games[[#This Row],[OppRestAdj]])-(Games[[#This Row],[PreGmRate]]+IF(Games[[#This Row],[HomeAway]]="H",HCA,0)+Games[[#This Row],[RestAdj]]))/400))</f>
        <v>0.6210077078059939</v>
      </c>
      <c r="R505" s="1">
        <v>77</v>
      </c>
      <c r="S505" s="1">
        <v>70</v>
      </c>
      <c r="T505" s="1">
        <v>0</v>
      </c>
      <c r="U505" s="1">
        <f>Games[[#This Row],[PointsFor]]-Games[[#This Row],[PointsAgainst]]</f>
        <v>7</v>
      </c>
      <c r="V505" s="1">
        <f>IF(Games[[#This Row],[MOV]]&gt;0,1,IF(Games[[#This Row],[MOV]]=0,0.5,0))</f>
        <v>1</v>
      </c>
      <c r="W505" s="4">
        <f>((ABS(Games[[#This Row],[MOV]])+5)^0.6)/(12+0.01*(ABS(Games[[#This Row],[PreGmRate]]-Games[[#This Row],[OppPreGmRate]])))*IF(Games[[#This Row],[OT]]=1,0.9,1)</f>
        <v>0.36955694985700815</v>
      </c>
      <c r="X505" s="7" cm="1">
        <f t="array" ref="X5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5" s="9">
        <f>MAX(kmin, kmax - 0.15 * MIN(Games[[#This Row],[GamesPlayed]], 82))</f>
        <v>69.25</v>
      </c>
      <c r="Z505" s="4">
        <f>Games[[#This Row],[K]]*Games[[#This Row],[POMult]]</f>
        <v>83.1</v>
      </c>
      <c r="AA505" s="4">
        <f>(Games[[#This Row],[Keff]]*Games[[#This Row],[MOVMult]])*(Games[[#This Row],[Result]]-Games[[#This Row],[ExpectedWin%]])</f>
        <v>11.638922471922482</v>
      </c>
      <c r="AB505" s="4">
        <f>Games[[#This Row],[PreGmRate]]+Games[[#This Row],[RatingChange]]</f>
        <v>1659.9204971586094</v>
      </c>
      <c r="AC505" s="2">
        <f>IF(Games[[#This Row],[Type]]="R",IF(Games[[#This Row],[Result]]&gt;0.5,1,0),0)</f>
        <v>0</v>
      </c>
      <c r="AD505" s="2">
        <f>IF(Games[[#This Row],[Type]]="R",IF(Games[[#This Row],[Result]]&lt;0.5,1,0),0)</f>
        <v>0</v>
      </c>
      <c r="AE505" s="2">
        <f>IF(AND(Games[[#This Row],[Type]]="P",Games[[#This Row],[Round]]=1),IF(Games[[#This Row],[Result]]&gt;0.5,1,0),0)</f>
        <v>0</v>
      </c>
      <c r="AF505" s="2">
        <f>IF(AND(Games[[#This Row],[Type]]="P",Games[[#This Row],[Round]]=1),IF(Games[[#This Row],[Result]]&lt;0.5,1,0),0)</f>
        <v>0</v>
      </c>
      <c r="AG505" s="2">
        <f>IF(AND(Games[[#This Row],[Type]]="P",Games[[#This Row],[Round]]=2),IF(Games[[#This Row],[Result]]&gt;0.5,1,0),0)</f>
        <v>1</v>
      </c>
      <c r="AH505" s="2">
        <f>IF(AND(Games[[#This Row],[Type]]="P",Games[[#This Row],[Round]]=2),IF(Games[[#This Row],[Result]]&lt;0.5,1,0),0)</f>
        <v>0</v>
      </c>
      <c r="AI505" s="2">
        <f>IF(AND(Games[[#This Row],[Type]]="P",Games[[#This Row],[Round]]=3),IF(Games[[#This Row],[Result]]&gt;0.5,1,0),0)</f>
        <v>0</v>
      </c>
      <c r="AJ505" s="2">
        <f>IF(AND(Games[[#This Row],[Type]]="P",Games[[#This Row],[Round]]=3),IF(Games[[#This Row],[Result]]&lt;0.5,1,0),0)</f>
        <v>0</v>
      </c>
      <c r="AK505" s="2">
        <f>IF(AND(Games[[#This Row],[Type]]="P",Games[[#This Row],[Round]]=4),IF(Games[[#This Row],[Result]]&gt;0.5,1,0),0)</f>
        <v>0</v>
      </c>
      <c r="AL505" s="2">
        <f>IF(AND(Games[[#This Row],[Type]]="P",Games[[#This Row],[Round]]=4),IF(Games[[#This Row],[Result]]&lt;0.5,1,0),0)</f>
        <v>0</v>
      </c>
    </row>
    <row r="506" spans="1:38" x14ac:dyDescent="0.35">
      <c r="A506" s="10">
        <v>45566</v>
      </c>
      <c r="B506" s="2">
        <v>2024</v>
      </c>
      <c r="C506" s="2">
        <f>COUNTIFS(Games[Team],Games[[#This Row],[Team]],Games[Season],Games[[#This Row],[Season]],Games[Date],"&lt;=" &amp; Games[[#This Row],[Date]])</f>
        <v>44</v>
      </c>
      <c r="D506" s="2" t="s">
        <v>83</v>
      </c>
      <c r="E506" s="2">
        <v>2</v>
      </c>
      <c r="F506" s="1" t="s">
        <v>86</v>
      </c>
      <c r="G506" s="1" t="s">
        <v>60</v>
      </c>
      <c r="H506" s="1" t="s">
        <v>81</v>
      </c>
      <c r="I506" s="2" cm="1">
        <f t="array" ref="I5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6" s="2" cm="1">
        <f t="array" ref="J5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6" s="2">
        <f>Games[[#This Row],[DaysOff]]-Games[[#This Row],[OppDaysOff]]</f>
        <v>0</v>
      </c>
      <c r="L506" s="2">
        <f>Games[[#This Row],[OppDaysOff]]-Games[[#This Row],[DaysOff]]</f>
        <v>0</v>
      </c>
      <c r="M506" s="1">
        <f>MAX(-16, MIN(16, Games[[#This Row],[RestDiff]]*8))</f>
        <v>0</v>
      </c>
      <c r="N506" s="1">
        <f>MAX(-16, MIN(16, Games[[#This Row],[OppRestDiff]]*8))</f>
        <v>0</v>
      </c>
      <c r="O506" s="4" cm="1">
        <f t="array" ref="O5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1674.8321765837957</v>
      </c>
      <c r="P506" s="4" cm="1">
        <f t="array" ref="P5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1716.9408441163928</v>
      </c>
      <c r="Q506" s="4">
        <f>1/(1+10^(((Games[[#This Row],[OppPreGmRate]]+IF(Games[[#This Row],[HomeAway]]="A",HCA,0)+Games[[#This Row],[OppRestAdj]])-(Games[[#This Row],[PreGmRate]]+IF(Games[[#This Row],[HomeAway]]="H",HCA,0)+Games[[#This Row],[RestAdj]]))/400))</f>
        <v>0.32608633208774063</v>
      </c>
      <c r="R506" s="1">
        <v>84</v>
      </c>
      <c r="S506" s="1">
        <v>88</v>
      </c>
      <c r="T506" s="1">
        <v>0</v>
      </c>
      <c r="U506" s="1">
        <f>Games[[#This Row],[PointsFor]]-Games[[#This Row],[PointsAgainst]]</f>
        <v>-4</v>
      </c>
      <c r="V506" s="1">
        <f>IF(Games[[#This Row],[MOV]]&gt;0,1,IF(Games[[#This Row],[MOV]]=0,0.5,0))</f>
        <v>0</v>
      </c>
      <c r="W506" s="4">
        <f>((ABS(Games[[#This Row],[MOV]])+5)^0.6)/(12+0.01*(ABS(Games[[#This Row],[PreGmRate]]-Games[[#This Row],[OppPreGmRate]])))*IF(Games[[#This Row],[OT]]=1,0.9,1)</f>
        <v>0.30087486840184019</v>
      </c>
      <c r="X506" s="7" cm="1">
        <f t="array" ref="X5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6" s="9">
        <f>MAX(kmin, kmax - 0.15 * MIN(Games[[#This Row],[GamesPlayed]], 82))</f>
        <v>69.400000000000006</v>
      </c>
      <c r="Z506" s="4">
        <f>Games[[#This Row],[K]]*Games[[#This Row],[POMult]]</f>
        <v>83.28</v>
      </c>
      <c r="AA506" s="4">
        <f>(Games[[#This Row],[Keff]]*Games[[#This Row],[MOVMult]])*(Games[[#This Row],[Result]]-Games[[#This Row],[ExpectedWin%]])</f>
        <v>-8.1706992581579012</v>
      </c>
      <c r="AB506" s="4">
        <f>Games[[#This Row],[PreGmRate]]+Games[[#This Row],[RatingChange]]</f>
        <v>1666.6614773256379</v>
      </c>
      <c r="AC506" s="2">
        <f>IF(Games[[#This Row],[Type]]="R",IF(Games[[#This Row],[Result]]&gt;0.5,1,0),0)</f>
        <v>0</v>
      </c>
      <c r="AD506" s="2">
        <f>IF(Games[[#This Row],[Type]]="R",IF(Games[[#This Row],[Result]]&lt;0.5,1,0),0)</f>
        <v>0</v>
      </c>
      <c r="AE506" s="2">
        <f>IF(AND(Games[[#This Row],[Type]]="P",Games[[#This Row],[Round]]=1),IF(Games[[#This Row],[Result]]&gt;0.5,1,0),0)</f>
        <v>0</v>
      </c>
      <c r="AF506" s="2">
        <f>IF(AND(Games[[#This Row],[Type]]="P",Games[[#This Row],[Round]]=1),IF(Games[[#This Row],[Result]]&lt;0.5,1,0),0)</f>
        <v>0</v>
      </c>
      <c r="AG506" s="2">
        <f>IF(AND(Games[[#This Row],[Type]]="P",Games[[#This Row],[Round]]=2),IF(Games[[#This Row],[Result]]&gt;0.5,1,0),0)</f>
        <v>0</v>
      </c>
      <c r="AH506" s="2">
        <f>IF(AND(Games[[#This Row],[Type]]="P",Games[[#This Row],[Round]]=2),IF(Games[[#This Row],[Result]]&lt;0.5,1,0),0)</f>
        <v>1</v>
      </c>
      <c r="AI506" s="2">
        <f>IF(AND(Games[[#This Row],[Type]]="P",Games[[#This Row],[Round]]=3),IF(Games[[#This Row],[Result]]&gt;0.5,1,0),0)</f>
        <v>0</v>
      </c>
      <c r="AJ506" s="2">
        <f>IF(AND(Games[[#This Row],[Type]]="P",Games[[#This Row],[Round]]=3),IF(Games[[#This Row],[Result]]&lt;0.5,1,0),0)</f>
        <v>0</v>
      </c>
      <c r="AK506" s="2">
        <f>IF(AND(Games[[#This Row],[Type]]="P",Games[[#This Row],[Round]]=4),IF(Games[[#This Row],[Result]]&gt;0.5,1,0),0)</f>
        <v>0</v>
      </c>
      <c r="AL506" s="2">
        <f>IF(AND(Games[[#This Row],[Type]]="P",Games[[#This Row],[Round]]=4),IF(Games[[#This Row],[Result]]&lt;0.5,1,0),0)</f>
        <v>0</v>
      </c>
    </row>
    <row r="507" spans="1:38" x14ac:dyDescent="0.35">
      <c r="A507" s="10">
        <v>45566</v>
      </c>
      <c r="B507" s="2">
        <v>2024</v>
      </c>
      <c r="C507" s="2">
        <f>COUNTIFS(Games[Team],Games[[#This Row],[Team]],Games[Season],Games[[#This Row],[Season]],Games[Date],"&lt;=" &amp; Games[[#This Row],[Date]])</f>
        <v>45</v>
      </c>
      <c r="D507" s="2" t="s">
        <v>83</v>
      </c>
      <c r="E507" s="2">
        <v>2</v>
      </c>
      <c r="F507" s="1" t="s">
        <v>60</v>
      </c>
      <c r="G507" s="1" t="s">
        <v>86</v>
      </c>
      <c r="H507" s="1" t="s">
        <v>82</v>
      </c>
      <c r="I507" s="2" cm="1">
        <f t="array" ref="I5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7" s="2" cm="1">
        <f t="array" ref="J5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7" s="2">
        <f>Games[[#This Row],[DaysOff]]-Games[[#This Row],[OppDaysOff]]</f>
        <v>0</v>
      </c>
      <c r="L507" s="2">
        <f>Games[[#This Row],[OppDaysOff]]-Games[[#This Row],[DaysOff]]</f>
        <v>0</v>
      </c>
      <c r="M507" s="1">
        <f>MAX(-16, MIN(16, Games[[#This Row],[RestDiff]]*8))</f>
        <v>0</v>
      </c>
      <c r="N507" s="1">
        <f>MAX(-16, MIN(16, Games[[#This Row],[OppRestDiff]]*8))</f>
        <v>0</v>
      </c>
      <c r="O507" s="4" cm="1">
        <f t="array" ref="O5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1716.9408441163928</v>
      </c>
      <c r="P507" s="4" cm="1">
        <f t="array" ref="P5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1674.8321765837957</v>
      </c>
      <c r="Q507" s="4">
        <f>1/(1+10^(((Games[[#This Row],[OppPreGmRate]]+IF(Games[[#This Row],[HomeAway]]="A",HCA,0)+Games[[#This Row],[OppRestAdj]])-(Games[[#This Row],[PreGmRate]]+IF(Games[[#This Row],[HomeAway]]="H",HCA,0)+Games[[#This Row],[RestAdj]]))/400))</f>
        <v>0.67391366791225937</v>
      </c>
      <c r="R507" s="1">
        <v>88</v>
      </c>
      <c r="S507" s="1">
        <v>84</v>
      </c>
      <c r="T507" s="1">
        <v>0</v>
      </c>
      <c r="U507" s="1">
        <f>Games[[#This Row],[PointsFor]]-Games[[#This Row],[PointsAgainst]]</f>
        <v>4</v>
      </c>
      <c r="V507" s="1">
        <f>IF(Games[[#This Row],[MOV]]&gt;0,1,IF(Games[[#This Row],[MOV]]=0,0.5,0))</f>
        <v>1</v>
      </c>
      <c r="W507" s="4">
        <f>((ABS(Games[[#This Row],[MOV]])+5)^0.6)/(12+0.01*(ABS(Games[[#This Row],[PreGmRate]]-Games[[#This Row],[OppPreGmRate]])))*IF(Games[[#This Row],[OT]]=1,0.9,1)</f>
        <v>0.30087486840184019</v>
      </c>
      <c r="X507" s="7" cm="1">
        <f t="array" ref="X5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7" s="9">
        <f>MAX(kmin, kmax - 0.15 * MIN(Games[[#This Row],[GamesPlayed]], 82))</f>
        <v>69.25</v>
      </c>
      <c r="Z507" s="4">
        <f>Games[[#This Row],[K]]*Games[[#This Row],[POMult]]</f>
        <v>83.1</v>
      </c>
      <c r="AA507" s="4">
        <f>(Games[[#This Row],[Keff]]*Games[[#This Row],[MOVMult]])*(Games[[#This Row],[Result]]-Games[[#This Row],[ExpectedWin%]])</f>
        <v>8.1530392453520832</v>
      </c>
      <c r="AB507" s="4">
        <f>Games[[#This Row],[PreGmRate]]+Games[[#This Row],[RatingChange]]</f>
        <v>1725.0938833617449</v>
      </c>
      <c r="AC507" s="2">
        <f>IF(Games[[#This Row],[Type]]="R",IF(Games[[#This Row],[Result]]&gt;0.5,1,0),0)</f>
        <v>0</v>
      </c>
      <c r="AD507" s="2">
        <f>IF(Games[[#This Row],[Type]]="R",IF(Games[[#This Row],[Result]]&lt;0.5,1,0),0)</f>
        <v>0</v>
      </c>
      <c r="AE507" s="2">
        <f>IF(AND(Games[[#This Row],[Type]]="P",Games[[#This Row],[Round]]=1),IF(Games[[#This Row],[Result]]&gt;0.5,1,0),0)</f>
        <v>0</v>
      </c>
      <c r="AF507" s="2">
        <f>IF(AND(Games[[#This Row],[Type]]="P",Games[[#This Row],[Round]]=1),IF(Games[[#This Row],[Result]]&lt;0.5,1,0),0)</f>
        <v>0</v>
      </c>
      <c r="AG507" s="2">
        <f>IF(AND(Games[[#This Row],[Type]]="P",Games[[#This Row],[Round]]=2),IF(Games[[#This Row],[Result]]&gt;0.5,1,0),0)</f>
        <v>1</v>
      </c>
      <c r="AH507" s="2">
        <f>IF(AND(Games[[#This Row],[Type]]="P",Games[[#This Row],[Round]]=2),IF(Games[[#This Row],[Result]]&lt;0.5,1,0),0)</f>
        <v>0</v>
      </c>
      <c r="AI507" s="2">
        <f>IF(AND(Games[[#This Row],[Type]]="P",Games[[#This Row],[Round]]=3),IF(Games[[#This Row],[Result]]&gt;0.5,1,0),0)</f>
        <v>0</v>
      </c>
      <c r="AJ507" s="2">
        <f>IF(AND(Games[[#This Row],[Type]]="P",Games[[#This Row],[Round]]=3),IF(Games[[#This Row],[Result]]&lt;0.5,1,0),0)</f>
        <v>0</v>
      </c>
      <c r="AK507" s="2">
        <f>IF(AND(Games[[#This Row],[Type]]="P",Games[[#This Row],[Round]]=4),IF(Games[[#This Row],[Result]]&gt;0.5,1,0),0)</f>
        <v>0</v>
      </c>
      <c r="AL507" s="2">
        <f>IF(AND(Games[[#This Row],[Type]]="P",Games[[#This Row],[Round]]=4),IF(Games[[#This Row],[Result]]&lt;0.5,1,0),0)</f>
        <v>0</v>
      </c>
    </row>
    <row r="508" spans="1:38" x14ac:dyDescent="0.35">
      <c r="A508" s="10">
        <v>45569</v>
      </c>
      <c r="B508" s="2">
        <v>2024</v>
      </c>
      <c r="C508" s="2">
        <f>COUNTIFS(Games[Team],Games[[#This Row],[Team]],Games[Season],Games[[#This Row],[Season]],Games[Date],"&lt;=" &amp; Games[[#This Row],[Date]])</f>
        <v>46</v>
      </c>
      <c r="D508" s="2" t="s">
        <v>83</v>
      </c>
      <c r="E508" s="2">
        <v>2</v>
      </c>
      <c r="F508" s="1" t="s">
        <v>67</v>
      </c>
      <c r="G508" s="1" t="s">
        <v>74</v>
      </c>
      <c r="H508" s="1" t="s">
        <v>81</v>
      </c>
      <c r="I508" s="2" cm="1">
        <f t="array" ref="I5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8" s="2" cm="1">
        <f t="array" ref="J5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8" s="2">
        <f>Games[[#This Row],[DaysOff]]-Games[[#This Row],[OppDaysOff]]</f>
        <v>0</v>
      </c>
      <c r="L508" s="2">
        <f>Games[[#This Row],[OppDaysOff]]-Games[[#This Row],[DaysOff]]</f>
        <v>0</v>
      </c>
      <c r="M508" s="1">
        <f>MAX(-16, MIN(16, Games[[#This Row],[RestDiff]]*8))</f>
        <v>0</v>
      </c>
      <c r="N508" s="1">
        <f>MAX(-16, MIN(16, Games[[#This Row],[OppRestDiff]]*8))</f>
        <v>0</v>
      </c>
      <c r="O508" s="4" cm="1">
        <f t="array" ref="O5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1659.9204971586094</v>
      </c>
      <c r="P508" s="4" cm="1">
        <f t="array" ref="P5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1634.8307963372563</v>
      </c>
      <c r="Q508" s="4">
        <f>1/(1+10^(((Games[[#This Row],[OppPreGmRate]]+IF(Games[[#This Row],[HomeAway]]="A",HCA,0)+Games[[#This Row],[OppRestAdj]])-(Games[[#This Row],[PreGmRate]]+IF(Games[[#This Row],[HomeAway]]="H",HCA,0)+Games[[#This Row],[RestAdj]]))/400))</f>
        <v>0.41602448429441397</v>
      </c>
      <c r="R508" s="1">
        <v>90</v>
      </c>
      <c r="S508" s="1">
        <v>81</v>
      </c>
      <c r="T508" s="1">
        <v>0</v>
      </c>
      <c r="U508" s="1">
        <f>Games[[#This Row],[PointsFor]]-Games[[#This Row],[PointsAgainst]]</f>
        <v>9</v>
      </c>
      <c r="V508" s="1">
        <f>IF(Games[[#This Row],[MOV]]&gt;0,1,IF(Games[[#This Row],[MOV]]=0,0.5,0))</f>
        <v>1</v>
      </c>
      <c r="W508" s="4">
        <f>((ABS(Games[[#This Row],[MOV]])+5)^0.6)/(12+0.01*(ABS(Games[[#This Row],[PreGmRate]]-Games[[#This Row],[OppPreGmRate]])))*IF(Games[[#This Row],[OT]]=1,0.9,1)</f>
        <v>0.39765727542242363</v>
      </c>
      <c r="X508" s="7" cm="1">
        <f t="array" ref="X5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8" s="9">
        <f>MAX(kmin, kmax - 0.15 * MIN(Games[[#This Row],[GamesPlayed]], 82))</f>
        <v>69.099999999999994</v>
      </c>
      <c r="Z508" s="4">
        <f>Games[[#This Row],[K]]*Games[[#This Row],[POMult]]</f>
        <v>82.919999999999987</v>
      </c>
      <c r="AA508" s="4">
        <f>(Games[[#This Row],[Keff]]*Games[[#This Row],[MOVMult]])*(Games[[#This Row],[Result]]-Games[[#This Row],[ExpectedWin%]])</f>
        <v>19.255857567578598</v>
      </c>
      <c r="AB508" s="4">
        <f>Games[[#This Row],[PreGmRate]]+Games[[#This Row],[RatingChange]]</f>
        <v>1679.176354726188</v>
      </c>
      <c r="AC508" s="2">
        <f>IF(Games[[#This Row],[Type]]="R",IF(Games[[#This Row],[Result]]&gt;0.5,1,0),0)</f>
        <v>0</v>
      </c>
      <c r="AD508" s="2">
        <f>IF(Games[[#This Row],[Type]]="R",IF(Games[[#This Row],[Result]]&lt;0.5,1,0),0)</f>
        <v>0</v>
      </c>
      <c r="AE508" s="2">
        <f>IF(AND(Games[[#This Row],[Type]]="P",Games[[#This Row],[Round]]=1),IF(Games[[#This Row],[Result]]&gt;0.5,1,0),0)</f>
        <v>0</v>
      </c>
      <c r="AF508" s="2">
        <f>IF(AND(Games[[#This Row],[Type]]="P",Games[[#This Row],[Round]]=1),IF(Games[[#This Row],[Result]]&lt;0.5,1,0),0)</f>
        <v>0</v>
      </c>
      <c r="AG508" s="2">
        <f>IF(AND(Games[[#This Row],[Type]]="P",Games[[#This Row],[Round]]=2),IF(Games[[#This Row],[Result]]&gt;0.5,1,0),0)</f>
        <v>1</v>
      </c>
      <c r="AH508" s="2">
        <f>IF(AND(Games[[#This Row],[Type]]="P",Games[[#This Row],[Round]]=2),IF(Games[[#This Row],[Result]]&lt;0.5,1,0),0)</f>
        <v>0</v>
      </c>
      <c r="AI508" s="2">
        <f>IF(AND(Games[[#This Row],[Type]]="P",Games[[#This Row],[Round]]=3),IF(Games[[#This Row],[Result]]&gt;0.5,1,0),0)</f>
        <v>0</v>
      </c>
      <c r="AJ508" s="2">
        <f>IF(AND(Games[[#This Row],[Type]]="P",Games[[#This Row],[Round]]=3),IF(Games[[#This Row],[Result]]&lt;0.5,1,0),0)</f>
        <v>0</v>
      </c>
      <c r="AK508" s="2">
        <f>IF(AND(Games[[#This Row],[Type]]="P",Games[[#This Row],[Round]]=4),IF(Games[[#This Row],[Result]]&gt;0.5,1,0),0)</f>
        <v>0</v>
      </c>
      <c r="AL508" s="2">
        <f>IF(AND(Games[[#This Row],[Type]]="P",Games[[#This Row],[Round]]=4),IF(Games[[#This Row],[Result]]&lt;0.5,1,0),0)</f>
        <v>0</v>
      </c>
    </row>
    <row r="509" spans="1:38" x14ac:dyDescent="0.35">
      <c r="A509" s="10">
        <v>45569</v>
      </c>
      <c r="B509" s="2">
        <v>2024</v>
      </c>
      <c r="C509" s="2">
        <f>COUNTIFS(Games[Team],Games[[#This Row],[Team]],Games[Season],Games[[#This Row],[Season]],Games[Date],"&lt;=" &amp; Games[[#This Row],[Date]])</f>
        <v>45</v>
      </c>
      <c r="D509" s="2" t="s">
        <v>83</v>
      </c>
      <c r="E509" s="2">
        <v>2</v>
      </c>
      <c r="F509" s="1" t="s">
        <v>74</v>
      </c>
      <c r="G509" s="1" t="s">
        <v>67</v>
      </c>
      <c r="H509" s="1" t="s">
        <v>82</v>
      </c>
      <c r="I509" s="2" cm="1">
        <f t="array" ref="I5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9" s="2" cm="1">
        <f t="array" ref="J5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9" s="2">
        <f>Games[[#This Row],[DaysOff]]-Games[[#This Row],[OppDaysOff]]</f>
        <v>0</v>
      </c>
      <c r="L509" s="2">
        <f>Games[[#This Row],[OppDaysOff]]-Games[[#This Row],[DaysOff]]</f>
        <v>0</v>
      </c>
      <c r="M509" s="1">
        <f>MAX(-16, MIN(16, Games[[#This Row],[RestDiff]]*8))</f>
        <v>0</v>
      </c>
      <c r="N509" s="1">
        <f>MAX(-16, MIN(16, Games[[#This Row],[OppRestDiff]]*8))</f>
        <v>0</v>
      </c>
      <c r="O509" s="4" cm="1">
        <f t="array" ref="O5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1634.8307963372563</v>
      </c>
      <c r="P509" s="4" cm="1">
        <f t="array" ref="P5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1659.9204971586094</v>
      </c>
      <c r="Q509" s="4">
        <f>1/(1+10^(((Games[[#This Row],[OppPreGmRate]]+IF(Games[[#This Row],[HomeAway]]="A",HCA,0)+Games[[#This Row],[OppRestAdj]])-(Games[[#This Row],[PreGmRate]]+IF(Games[[#This Row],[HomeAway]]="H",HCA,0)+Games[[#This Row],[RestAdj]]))/400))</f>
        <v>0.58397551570558603</v>
      </c>
      <c r="R509" s="1">
        <v>81</v>
      </c>
      <c r="S509" s="1">
        <v>90</v>
      </c>
      <c r="T509" s="1">
        <v>0</v>
      </c>
      <c r="U509" s="1">
        <f>Games[[#This Row],[PointsFor]]-Games[[#This Row],[PointsAgainst]]</f>
        <v>-9</v>
      </c>
      <c r="V509" s="1">
        <f>IF(Games[[#This Row],[MOV]]&gt;0,1,IF(Games[[#This Row],[MOV]]=0,0.5,0))</f>
        <v>0</v>
      </c>
      <c r="W509" s="4">
        <f>((ABS(Games[[#This Row],[MOV]])+5)^0.6)/(12+0.01*(ABS(Games[[#This Row],[PreGmRate]]-Games[[#This Row],[OppPreGmRate]])))*IF(Games[[#This Row],[OT]]=1,0.9,1)</f>
        <v>0.39765727542242363</v>
      </c>
      <c r="X509" s="7" cm="1">
        <f t="array" ref="X5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9" s="9">
        <f>MAX(kmin, kmax - 0.15 * MIN(Games[[#This Row],[GamesPlayed]], 82))</f>
        <v>69.25</v>
      </c>
      <c r="Z509" s="4">
        <f>Games[[#This Row],[K]]*Games[[#This Row],[POMult]]</f>
        <v>83.1</v>
      </c>
      <c r="AA509" s="4">
        <f>(Games[[#This Row],[Keff]]*Games[[#This Row],[MOVMult]])*(Games[[#This Row],[Result]]-Games[[#This Row],[ExpectedWin%]])</f>
        <v>-19.297657547826599</v>
      </c>
      <c r="AB509" s="4">
        <f>Games[[#This Row],[PreGmRate]]+Games[[#This Row],[RatingChange]]</f>
        <v>1615.5331387894296</v>
      </c>
      <c r="AC509" s="2">
        <f>IF(Games[[#This Row],[Type]]="R",IF(Games[[#This Row],[Result]]&gt;0.5,1,0),0)</f>
        <v>0</v>
      </c>
      <c r="AD509" s="2">
        <f>IF(Games[[#This Row],[Type]]="R",IF(Games[[#This Row],[Result]]&lt;0.5,1,0),0)</f>
        <v>0</v>
      </c>
      <c r="AE509" s="2">
        <f>IF(AND(Games[[#This Row],[Type]]="P",Games[[#This Row],[Round]]=1),IF(Games[[#This Row],[Result]]&gt;0.5,1,0),0)</f>
        <v>0</v>
      </c>
      <c r="AF509" s="2">
        <f>IF(AND(Games[[#This Row],[Type]]="P",Games[[#This Row],[Round]]=1),IF(Games[[#This Row],[Result]]&lt;0.5,1,0),0)</f>
        <v>0</v>
      </c>
      <c r="AG509" s="2">
        <f>IF(AND(Games[[#This Row],[Type]]="P",Games[[#This Row],[Round]]=2),IF(Games[[#This Row],[Result]]&gt;0.5,1,0),0)</f>
        <v>0</v>
      </c>
      <c r="AH509" s="2">
        <f>IF(AND(Games[[#This Row],[Type]]="P",Games[[#This Row],[Round]]=2),IF(Games[[#This Row],[Result]]&lt;0.5,1,0),0)</f>
        <v>1</v>
      </c>
      <c r="AI509" s="2">
        <f>IF(AND(Games[[#This Row],[Type]]="P",Games[[#This Row],[Round]]=3),IF(Games[[#This Row],[Result]]&gt;0.5,1,0),0)</f>
        <v>0</v>
      </c>
      <c r="AJ509" s="2">
        <f>IF(AND(Games[[#This Row],[Type]]="P",Games[[#This Row],[Round]]=3),IF(Games[[#This Row],[Result]]&lt;0.5,1,0),0)</f>
        <v>0</v>
      </c>
      <c r="AK509" s="2">
        <f>IF(AND(Games[[#This Row],[Type]]="P",Games[[#This Row],[Round]]=4),IF(Games[[#This Row],[Result]]&gt;0.5,1,0),0)</f>
        <v>0</v>
      </c>
      <c r="AL509" s="2">
        <f>IF(AND(Games[[#This Row],[Type]]="P",Games[[#This Row],[Round]]=4),IF(Games[[#This Row],[Result]]&lt;0.5,1,0),0)</f>
        <v>0</v>
      </c>
    </row>
    <row r="510" spans="1:38" x14ac:dyDescent="0.35">
      <c r="A510" s="10">
        <v>45569</v>
      </c>
      <c r="B510" s="2">
        <v>2024</v>
      </c>
      <c r="C510" s="2">
        <f>COUNTIFS(Games[Team],Games[[#This Row],[Team]],Games[Season],Games[[#This Row],[Season]],Games[Date],"&lt;=" &amp; Games[[#This Row],[Date]])</f>
        <v>46</v>
      </c>
      <c r="D510" s="2" t="s">
        <v>83</v>
      </c>
      <c r="E510" s="2">
        <v>2</v>
      </c>
      <c r="F510" s="1" t="s">
        <v>60</v>
      </c>
      <c r="G510" s="1" t="s">
        <v>86</v>
      </c>
      <c r="H510" s="1" t="s">
        <v>81</v>
      </c>
      <c r="I510" s="2" cm="1">
        <f t="array" ref="I5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0" s="2" cm="1">
        <f t="array" ref="J5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0" s="2">
        <f>Games[[#This Row],[DaysOff]]-Games[[#This Row],[OppDaysOff]]</f>
        <v>0</v>
      </c>
      <c r="L510" s="2">
        <f>Games[[#This Row],[OppDaysOff]]-Games[[#This Row],[DaysOff]]</f>
        <v>0</v>
      </c>
      <c r="M510" s="1">
        <f>MAX(-16, MIN(16, Games[[#This Row],[RestDiff]]*8))</f>
        <v>0</v>
      </c>
      <c r="N510" s="1">
        <f>MAX(-16, MIN(16, Games[[#This Row],[OppRestDiff]]*8))</f>
        <v>0</v>
      </c>
      <c r="O510" s="4" cm="1">
        <f t="array" ref="O5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1725.0938833617449</v>
      </c>
      <c r="P510" s="4" cm="1">
        <f t="array" ref="P5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1666.6614773256379</v>
      </c>
      <c r="Q510" s="4">
        <f>1/(1+10^(((Games[[#This Row],[OppPreGmRate]]+IF(Games[[#This Row],[HomeAway]]="A",HCA,0)+Games[[#This Row],[OppRestAdj]])-(Games[[#This Row],[PreGmRate]]+IF(Games[[#This Row],[HomeAway]]="H",HCA,0)+Games[[#This Row],[RestAdj]]))/400))</f>
        <v>0.46327155046091117</v>
      </c>
      <c r="R510" s="1">
        <v>81</v>
      </c>
      <c r="S510" s="1">
        <v>95</v>
      </c>
      <c r="T510" s="1">
        <v>0</v>
      </c>
      <c r="U510" s="1">
        <f>Games[[#This Row],[PointsFor]]-Games[[#This Row],[PointsAgainst]]</f>
        <v>-14</v>
      </c>
      <c r="V510" s="1">
        <f>IF(Games[[#This Row],[MOV]]&gt;0,1,IF(Games[[#This Row],[MOV]]=0,0.5,0))</f>
        <v>0</v>
      </c>
      <c r="W510" s="4">
        <f>((ABS(Games[[#This Row],[MOV]])+5)^0.6)/(12+0.01*(ABS(Games[[#This Row],[PreGmRate]]-Games[[#This Row],[OppPreGmRate]])))*IF(Games[[#This Row],[OT]]=1,0.9,1)</f>
        <v>0.46496714597806765</v>
      </c>
      <c r="X510" s="7" cm="1">
        <f t="array" ref="X5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0" s="9">
        <f>MAX(kmin, kmax - 0.15 * MIN(Games[[#This Row],[GamesPlayed]], 82))</f>
        <v>69.099999999999994</v>
      </c>
      <c r="Z510" s="4">
        <f>Games[[#This Row],[K]]*Games[[#This Row],[POMult]]</f>
        <v>82.919999999999987</v>
      </c>
      <c r="AA510" s="4">
        <f>(Games[[#This Row],[Keff]]*Games[[#This Row],[MOVMult]])*(Games[[#This Row],[Result]]-Games[[#This Row],[ExpectedWin%]])</f>
        <v>-17.861469718293016</v>
      </c>
      <c r="AB510" s="4">
        <f>Games[[#This Row],[PreGmRate]]+Games[[#This Row],[RatingChange]]</f>
        <v>1707.232413643452</v>
      </c>
      <c r="AC510" s="2">
        <f>IF(Games[[#This Row],[Type]]="R",IF(Games[[#This Row],[Result]]&gt;0.5,1,0),0)</f>
        <v>0</v>
      </c>
      <c r="AD510" s="2">
        <f>IF(Games[[#This Row],[Type]]="R",IF(Games[[#This Row],[Result]]&lt;0.5,1,0),0)</f>
        <v>0</v>
      </c>
      <c r="AE510" s="2">
        <f>IF(AND(Games[[#This Row],[Type]]="P",Games[[#This Row],[Round]]=1),IF(Games[[#This Row],[Result]]&gt;0.5,1,0),0)</f>
        <v>0</v>
      </c>
      <c r="AF510" s="2">
        <f>IF(AND(Games[[#This Row],[Type]]="P",Games[[#This Row],[Round]]=1),IF(Games[[#This Row],[Result]]&lt;0.5,1,0),0)</f>
        <v>0</v>
      </c>
      <c r="AG510" s="2">
        <f>IF(AND(Games[[#This Row],[Type]]="P",Games[[#This Row],[Round]]=2),IF(Games[[#This Row],[Result]]&gt;0.5,1,0),0)</f>
        <v>0</v>
      </c>
      <c r="AH510" s="2">
        <f>IF(AND(Games[[#This Row],[Type]]="P",Games[[#This Row],[Round]]=2),IF(Games[[#This Row],[Result]]&lt;0.5,1,0),0)</f>
        <v>1</v>
      </c>
      <c r="AI510" s="2">
        <f>IF(AND(Games[[#This Row],[Type]]="P",Games[[#This Row],[Round]]=3),IF(Games[[#This Row],[Result]]&gt;0.5,1,0),0)</f>
        <v>0</v>
      </c>
      <c r="AJ510" s="2">
        <f>IF(AND(Games[[#This Row],[Type]]="P",Games[[#This Row],[Round]]=3),IF(Games[[#This Row],[Result]]&lt;0.5,1,0),0)</f>
        <v>0</v>
      </c>
      <c r="AK510" s="2">
        <f>IF(AND(Games[[#This Row],[Type]]="P",Games[[#This Row],[Round]]=4),IF(Games[[#This Row],[Result]]&gt;0.5,1,0),0)</f>
        <v>0</v>
      </c>
      <c r="AL510" s="2">
        <f>IF(AND(Games[[#This Row],[Type]]="P",Games[[#This Row],[Round]]=4),IF(Games[[#This Row],[Result]]&lt;0.5,1,0),0)</f>
        <v>0</v>
      </c>
    </row>
    <row r="511" spans="1:38" x14ac:dyDescent="0.35">
      <c r="A511" s="10">
        <v>45569</v>
      </c>
      <c r="B511" s="2">
        <v>2024</v>
      </c>
      <c r="C511" s="2">
        <f>COUNTIFS(Games[Team],Games[[#This Row],[Team]],Games[Season],Games[[#This Row],[Season]],Games[Date],"&lt;=" &amp; Games[[#This Row],[Date]])</f>
        <v>45</v>
      </c>
      <c r="D511" s="2" t="s">
        <v>83</v>
      </c>
      <c r="E511" s="2">
        <v>2</v>
      </c>
      <c r="F511" s="1" t="s">
        <v>86</v>
      </c>
      <c r="G511" s="1" t="s">
        <v>60</v>
      </c>
      <c r="H511" s="1" t="s">
        <v>82</v>
      </c>
      <c r="I511" s="2" cm="1">
        <f t="array" ref="I5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1" s="2" cm="1">
        <f t="array" ref="J5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1" s="2">
        <f>Games[[#This Row],[DaysOff]]-Games[[#This Row],[OppDaysOff]]</f>
        <v>0</v>
      </c>
      <c r="L511" s="2">
        <f>Games[[#This Row],[OppDaysOff]]-Games[[#This Row],[DaysOff]]</f>
        <v>0</v>
      </c>
      <c r="M511" s="1">
        <f>MAX(-16, MIN(16, Games[[#This Row],[RestDiff]]*8))</f>
        <v>0</v>
      </c>
      <c r="N511" s="1">
        <f>MAX(-16, MIN(16, Games[[#This Row],[OppRestDiff]]*8))</f>
        <v>0</v>
      </c>
      <c r="O511" s="4" cm="1">
        <f t="array" ref="O5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1666.6614773256379</v>
      </c>
      <c r="P511" s="4" cm="1">
        <f t="array" ref="P5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1725.0938833617449</v>
      </c>
      <c r="Q511" s="4">
        <f>1/(1+10^(((Games[[#This Row],[OppPreGmRate]]+IF(Games[[#This Row],[HomeAway]]="A",HCA,0)+Games[[#This Row],[OppRestAdj]])-(Games[[#This Row],[PreGmRate]]+IF(Games[[#This Row],[HomeAway]]="H",HCA,0)+Games[[#This Row],[RestAdj]]))/400))</f>
        <v>0.53672844953908883</v>
      </c>
      <c r="R511" s="1">
        <v>95</v>
      </c>
      <c r="S511" s="1">
        <v>81</v>
      </c>
      <c r="T511" s="1">
        <v>0</v>
      </c>
      <c r="U511" s="1">
        <f>Games[[#This Row],[PointsFor]]-Games[[#This Row],[PointsAgainst]]</f>
        <v>14</v>
      </c>
      <c r="V511" s="1">
        <f>IF(Games[[#This Row],[MOV]]&gt;0,1,IF(Games[[#This Row],[MOV]]=0,0.5,0))</f>
        <v>1</v>
      </c>
      <c r="W511" s="4">
        <f>((ABS(Games[[#This Row],[MOV]])+5)^0.6)/(12+0.01*(ABS(Games[[#This Row],[PreGmRate]]-Games[[#This Row],[OppPreGmRate]])))*IF(Games[[#This Row],[OT]]=1,0.9,1)</f>
        <v>0.46496714597806765</v>
      </c>
      <c r="X511" s="7" cm="1">
        <f t="array" ref="X5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1" s="9">
        <f>MAX(kmin, kmax - 0.15 * MIN(Games[[#This Row],[GamesPlayed]], 82))</f>
        <v>69.25</v>
      </c>
      <c r="Z511" s="4">
        <f>Games[[#This Row],[K]]*Games[[#This Row],[POMult]]</f>
        <v>83.1</v>
      </c>
      <c r="AA511" s="4">
        <f>(Games[[#This Row],[Keff]]*Games[[#This Row],[MOVMult]])*(Games[[#This Row],[Result]]-Games[[#This Row],[ExpectedWin%]])</f>
        <v>17.900242807406535</v>
      </c>
      <c r="AB511" s="4">
        <f>Games[[#This Row],[PreGmRate]]+Games[[#This Row],[RatingChange]]</f>
        <v>1684.5617201330444</v>
      </c>
      <c r="AC511" s="2">
        <f>IF(Games[[#This Row],[Type]]="R",IF(Games[[#This Row],[Result]]&gt;0.5,1,0),0)</f>
        <v>0</v>
      </c>
      <c r="AD511" s="2">
        <f>IF(Games[[#This Row],[Type]]="R",IF(Games[[#This Row],[Result]]&lt;0.5,1,0),0)</f>
        <v>0</v>
      </c>
      <c r="AE511" s="2">
        <f>IF(AND(Games[[#This Row],[Type]]="P",Games[[#This Row],[Round]]=1),IF(Games[[#This Row],[Result]]&gt;0.5,1,0),0)</f>
        <v>0</v>
      </c>
      <c r="AF511" s="2">
        <f>IF(AND(Games[[#This Row],[Type]]="P",Games[[#This Row],[Round]]=1),IF(Games[[#This Row],[Result]]&lt;0.5,1,0),0)</f>
        <v>0</v>
      </c>
      <c r="AG511" s="2">
        <f>IF(AND(Games[[#This Row],[Type]]="P",Games[[#This Row],[Round]]=2),IF(Games[[#This Row],[Result]]&gt;0.5,1,0),0)</f>
        <v>1</v>
      </c>
      <c r="AH511" s="2">
        <f>IF(AND(Games[[#This Row],[Type]]="P",Games[[#This Row],[Round]]=2),IF(Games[[#This Row],[Result]]&lt;0.5,1,0),0)</f>
        <v>0</v>
      </c>
      <c r="AI511" s="2">
        <f>IF(AND(Games[[#This Row],[Type]]="P",Games[[#This Row],[Round]]=3),IF(Games[[#This Row],[Result]]&gt;0.5,1,0),0)</f>
        <v>0</v>
      </c>
      <c r="AJ511" s="2">
        <f>IF(AND(Games[[#This Row],[Type]]="P",Games[[#This Row],[Round]]=3),IF(Games[[#This Row],[Result]]&lt;0.5,1,0),0)</f>
        <v>0</v>
      </c>
      <c r="AK511" s="2">
        <f>IF(AND(Games[[#This Row],[Type]]="P",Games[[#This Row],[Round]]=4),IF(Games[[#This Row],[Result]]&gt;0.5,1,0),0)</f>
        <v>0</v>
      </c>
      <c r="AL511" s="2">
        <f>IF(AND(Games[[#This Row],[Type]]="P",Games[[#This Row],[Round]]=4),IF(Games[[#This Row],[Result]]&lt;0.5,1,0),0)</f>
        <v>0</v>
      </c>
    </row>
    <row r="512" spans="1:38" x14ac:dyDescent="0.35">
      <c r="A512" s="10">
        <v>45571</v>
      </c>
      <c r="B512" s="2">
        <v>2024</v>
      </c>
      <c r="C512" s="2">
        <f>COUNTIFS(Games[Team],Games[[#This Row],[Team]],Games[Season],Games[[#This Row],[Season]],Games[Date],"&lt;=" &amp; Games[[#This Row],[Date]])</f>
        <v>47</v>
      </c>
      <c r="D512" s="2" t="s">
        <v>83</v>
      </c>
      <c r="E512" s="2">
        <v>2</v>
      </c>
      <c r="F512" s="1" t="s">
        <v>67</v>
      </c>
      <c r="G512" s="1" t="s">
        <v>74</v>
      </c>
      <c r="H512" s="1" t="s">
        <v>81</v>
      </c>
      <c r="I512" s="2" cm="1">
        <f t="array" ref="I5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2" s="2" cm="1">
        <f t="array" ref="J5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2" s="2">
        <f>Games[[#This Row],[DaysOff]]-Games[[#This Row],[OppDaysOff]]</f>
        <v>0</v>
      </c>
      <c r="L512" s="2">
        <f>Games[[#This Row],[OppDaysOff]]-Games[[#This Row],[DaysOff]]</f>
        <v>0</v>
      </c>
      <c r="M512" s="1">
        <f>MAX(-16, MIN(16, Games[[#This Row],[RestDiff]]*8))</f>
        <v>0</v>
      </c>
      <c r="N512" s="1">
        <f>MAX(-16, MIN(16, Games[[#This Row],[OppRestDiff]]*8))</f>
        <v>0</v>
      </c>
      <c r="O512" s="4" cm="1">
        <f t="array" ref="O5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1679.176354726188</v>
      </c>
      <c r="P512" s="4" cm="1">
        <f t="array" ref="P5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1615.5331387894296</v>
      </c>
      <c r="Q512" s="4">
        <f>1/(1+10^(((Games[[#This Row],[OppPreGmRate]]+IF(Games[[#This Row],[HomeAway]]="A",HCA,0)+Games[[#This Row],[OppRestAdj]])-(Games[[#This Row],[PreGmRate]]+IF(Games[[#This Row],[HomeAway]]="H",HCA,0)+Games[[#This Row],[RestAdj]]))/400))</f>
        <v>0.47073771063560055</v>
      </c>
      <c r="R512" s="1">
        <v>82</v>
      </c>
      <c r="S512" s="1">
        <v>92</v>
      </c>
      <c r="T512" s="1">
        <v>0</v>
      </c>
      <c r="U512" s="1">
        <f>Games[[#This Row],[PointsFor]]-Games[[#This Row],[PointsAgainst]]</f>
        <v>-10</v>
      </c>
      <c r="V512" s="1">
        <f>IF(Games[[#This Row],[MOV]]&gt;0,1,IF(Games[[#This Row],[MOV]]=0,0.5,0))</f>
        <v>0</v>
      </c>
      <c r="W512" s="4">
        <f>((ABS(Games[[#This Row],[MOV]])+5)^0.6)/(12+0.01*(ABS(Games[[#This Row],[PreGmRate]]-Games[[#This Row],[OppPreGmRate]])))*IF(Games[[#This Row],[OT]]=1,0.9,1)</f>
        <v>0.40181883050140343</v>
      </c>
      <c r="X512" s="7" cm="1">
        <f t="array" ref="X5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2" s="9">
        <f>MAX(kmin, kmax - 0.15 * MIN(Games[[#This Row],[GamesPlayed]], 82))</f>
        <v>68.95</v>
      </c>
      <c r="Z512" s="4">
        <f>Games[[#This Row],[K]]*Games[[#This Row],[POMult]]</f>
        <v>82.74</v>
      </c>
      <c r="AA512" s="4">
        <f>(Games[[#This Row],[Keff]]*Games[[#This Row],[MOVMult]])*(Games[[#This Row],[Result]]-Games[[#This Row],[ExpectedWin%]])</f>
        <v>-15.650376606068187</v>
      </c>
      <c r="AB512" s="4">
        <f>Games[[#This Row],[PreGmRate]]+Games[[#This Row],[RatingChange]]</f>
        <v>1663.5259781201198</v>
      </c>
      <c r="AC512" s="2">
        <f>IF(Games[[#This Row],[Type]]="R",IF(Games[[#This Row],[Result]]&gt;0.5,1,0),0)</f>
        <v>0</v>
      </c>
      <c r="AD512" s="2">
        <f>IF(Games[[#This Row],[Type]]="R",IF(Games[[#This Row],[Result]]&lt;0.5,1,0),0)</f>
        <v>0</v>
      </c>
      <c r="AE512" s="2">
        <f>IF(AND(Games[[#This Row],[Type]]="P",Games[[#This Row],[Round]]=1),IF(Games[[#This Row],[Result]]&gt;0.5,1,0),0)</f>
        <v>0</v>
      </c>
      <c r="AF512" s="2">
        <f>IF(AND(Games[[#This Row],[Type]]="P",Games[[#This Row],[Round]]=1),IF(Games[[#This Row],[Result]]&lt;0.5,1,0),0)</f>
        <v>0</v>
      </c>
      <c r="AG512" s="2">
        <f>IF(AND(Games[[#This Row],[Type]]="P",Games[[#This Row],[Round]]=2),IF(Games[[#This Row],[Result]]&gt;0.5,1,0),0)</f>
        <v>0</v>
      </c>
      <c r="AH512" s="2">
        <f>IF(AND(Games[[#This Row],[Type]]="P",Games[[#This Row],[Round]]=2),IF(Games[[#This Row],[Result]]&lt;0.5,1,0),0)</f>
        <v>1</v>
      </c>
      <c r="AI512" s="2">
        <f>IF(AND(Games[[#This Row],[Type]]="P",Games[[#This Row],[Round]]=3),IF(Games[[#This Row],[Result]]&gt;0.5,1,0),0)</f>
        <v>0</v>
      </c>
      <c r="AJ512" s="2">
        <f>IF(AND(Games[[#This Row],[Type]]="P",Games[[#This Row],[Round]]=3),IF(Games[[#This Row],[Result]]&lt;0.5,1,0),0)</f>
        <v>0</v>
      </c>
      <c r="AK512" s="2">
        <f>IF(AND(Games[[#This Row],[Type]]="P",Games[[#This Row],[Round]]=4),IF(Games[[#This Row],[Result]]&gt;0.5,1,0),0)</f>
        <v>0</v>
      </c>
      <c r="AL512" s="2">
        <f>IF(AND(Games[[#This Row],[Type]]="P",Games[[#This Row],[Round]]=4),IF(Games[[#This Row],[Result]]&lt;0.5,1,0),0)</f>
        <v>0</v>
      </c>
    </row>
    <row r="513" spans="1:38" x14ac:dyDescent="0.35">
      <c r="A513" s="10">
        <v>45571</v>
      </c>
      <c r="B513" s="2">
        <v>2024</v>
      </c>
      <c r="C513" s="2">
        <f>COUNTIFS(Games[Team],Games[[#This Row],[Team]],Games[Season],Games[[#This Row],[Season]],Games[Date],"&lt;=" &amp; Games[[#This Row],[Date]])</f>
        <v>46</v>
      </c>
      <c r="D513" s="2" t="s">
        <v>83</v>
      </c>
      <c r="E513" s="2">
        <v>2</v>
      </c>
      <c r="F513" s="1" t="s">
        <v>74</v>
      </c>
      <c r="G513" s="1" t="s">
        <v>67</v>
      </c>
      <c r="H513" s="1" t="s">
        <v>82</v>
      </c>
      <c r="I513" s="2" cm="1">
        <f t="array" ref="I5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3" s="2" cm="1">
        <f t="array" ref="J5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3" s="2">
        <f>Games[[#This Row],[DaysOff]]-Games[[#This Row],[OppDaysOff]]</f>
        <v>0</v>
      </c>
      <c r="L513" s="2">
        <f>Games[[#This Row],[OppDaysOff]]-Games[[#This Row],[DaysOff]]</f>
        <v>0</v>
      </c>
      <c r="M513" s="1">
        <f>MAX(-16, MIN(16, Games[[#This Row],[RestDiff]]*8))</f>
        <v>0</v>
      </c>
      <c r="N513" s="1">
        <f>MAX(-16, MIN(16, Games[[#This Row],[OppRestDiff]]*8))</f>
        <v>0</v>
      </c>
      <c r="O513" s="4" cm="1">
        <f t="array" ref="O5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1615.5331387894296</v>
      </c>
      <c r="P513" s="4" cm="1">
        <f t="array" ref="P5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1679.176354726188</v>
      </c>
      <c r="Q513" s="4">
        <f>1/(1+10^(((Games[[#This Row],[OppPreGmRate]]+IF(Games[[#This Row],[HomeAway]]="A",HCA,0)+Games[[#This Row],[OppRestAdj]])-(Games[[#This Row],[PreGmRate]]+IF(Games[[#This Row],[HomeAway]]="H",HCA,0)+Games[[#This Row],[RestAdj]]))/400))</f>
        <v>0.52926228936439956</v>
      </c>
      <c r="R513" s="1">
        <v>92</v>
      </c>
      <c r="S513" s="1">
        <v>82</v>
      </c>
      <c r="T513" s="1">
        <v>0</v>
      </c>
      <c r="U513" s="1">
        <f>Games[[#This Row],[PointsFor]]-Games[[#This Row],[PointsAgainst]]</f>
        <v>10</v>
      </c>
      <c r="V513" s="1">
        <f>IF(Games[[#This Row],[MOV]]&gt;0,1,IF(Games[[#This Row],[MOV]]=0,0.5,0))</f>
        <v>1</v>
      </c>
      <c r="W513" s="4">
        <f>((ABS(Games[[#This Row],[MOV]])+5)^0.6)/(12+0.01*(ABS(Games[[#This Row],[PreGmRate]]-Games[[#This Row],[OppPreGmRate]])))*IF(Games[[#This Row],[OT]]=1,0.9,1)</f>
        <v>0.40181883050140343</v>
      </c>
      <c r="X513" s="7" cm="1">
        <f t="array" ref="X5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3" s="9">
        <f>MAX(kmin, kmax - 0.15 * MIN(Games[[#This Row],[GamesPlayed]], 82))</f>
        <v>69.099999999999994</v>
      </c>
      <c r="Z513" s="4">
        <f>Games[[#This Row],[K]]*Games[[#This Row],[POMult]]</f>
        <v>82.919999999999987</v>
      </c>
      <c r="AA513" s="4">
        <f>(Games[[#This Row],[Keff]]*Games[[#This Row],[MOVMult]])*(Games[[#This Row],[Result]]-Games[[#This Row],[ExpectedWin%]])</f>
        <v>15.684423835813076</v>
      </c>
      <c r="AB513" s="4">
        <f>Games[[#This Row],[PreGmRate]]+Games[[#This Row],[RatingChange]]</f>
        <v>1631.2175626252426</v>
      </c>
      <c r="AC513" s="2">
        <f>IF(Games[[#This Row],[Type]]="R",IF(Games[[#This Row],[Result]]&gt;0.5,1,0),0)</f>
        <v>0</v>
      </c>
      <c r="AD513" s="2">
        <f>IF(Games[[#This Row],[Type]]="R",IF(Games[[#This Row],[Result]]&lt;0.5,1,0),0)</f>
        <v>0</v>
      </c>
      <c r="AE513" s="2">
        <f>IF(AND(Games[[#This Row],[Type]]="P",Games[[#This Row],[Round]]=1),IF(Games[[#This Row],[Result]]&gt;0.5,1,0),0)</f>
        <v>0</v>
      </c>
      <c r="AF513" s="2">
        <f>IF(AND(Games[[#This Row],[Type]]="P",Games[[#This Row],[Round]]=1),IF(Games[[#This Row],[Result]]&lt;0.5,1,0),0)</f>
        <v>0</v>
      </c>
      <c r="AG513" s="2">
        <f>IF(AND(Games[[#This Row],[Type]]="P",Games[[#This Row],[Round]]=2),IF(Games[[#This Row],[Result]]&gt;0.5,1,0),0)</f>
        <v>1</v>
      </c>
      <c r="AH513" s="2">
        <f>IF(AND(Games[[#This Row],[Type]]="P",Games[[#This Row],[Round]]=2),IF(Games[[#This Row],[Result]]&lt;0.5,1,0),0)</f>
        <v>0</v>
      </c>
      <c r="AI513" s="2">
        <f>IF(AND(Games[[#This Row],[Type]]="P",Games[[#This Row],[Round]]=3),IF(Games[[#This Row],[Result]]&gt;0.5,1,0),0)</f>
        <v>0</v>
      </c>
      <c r="AJ513" s="2">
        <f>IF(AND(Games[[#This Row],[Type]]="P",Games[[#This Row],[Round]]=3),IF(Games[[#This Row],[Result]]&lt;0.5,1,0),0)</f>
        <v>0</v>
      </c>
      <c r="AK513" s="2">
        <f>IF(AND(Games[[#This Row],[Type]]="P",Games[[#This Row],[Round]]=4),IF(Games[[#This Row],[Result]]&gt;0.5,1,0),0)</f>
        <v>0</v>
      </c>
      <c r="AL513" s="2">
        <f>IF(AND(Games[[#This Row],[Type]]="P",Games[[#This Row],[Round]]=4),IF(Games[[#This Row],[Result]]&lt;0.5,1,0),0)</f>
        <v>0</v>
      </c>
    </row>
    <row r="514" spans="1:38" x14ac:dyDescent="0.35">
      <c r="A514" s="10">
        <v>45571</v>
      </c>
      <c r="B514" s="2">
        <v>2024</v>
      </c>
      <c r="C514" s="2">
        <f>COUNTIFS(Games[Team],Games[[#This Row],[Team]],Games[Season],Games[[#This Row],[Season]],Games[Date],"&lt;=" &amp; Games[[#This Row],[Date]])</f>
        <v>47</v>
      </c>
      <c r="D514" s="2" t="s">
        <v>83</v>
      </c>
      <c r="E514" s="2">
        <v>2</v>
      </c>
      <c r="F514" s="1" t="s">
        <v>60</v>
      </c>
      <c r="G514" s="1" t="s">
        <v>86</v>
      </c>
      <c r="H514" s="1" t="s">
        <v>81</v>
      </c>
      <c r="I514" s="2" cm="1">
        <f t="array" ref="I5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4" s="2" cm="1">
        <f t="array" ref="J5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4" s="2">
        <f>Games[[#This Row],[DaysOff]]-Games[[#This Row],[OppDaysOff]]</f>
        <v>0</v>
      </c>
      <c r="L514" s="2">
        <f>Games[[#This Row],[OppDaysOff]]-Games[[#This Row],[DaysOff]]</f>
        <v>0</v>
      </c>
      <c r="M514" s="1">
        <f>MAX(-16, MIN(16, Games[[#This Row],[RestDiff]]*8))</f>
        <v>0</v>
      </c>
      <c r="N514" s="1">
        <f>MAX(-16, MIN(16, Games[[#This Row],[OppRestDiff]]*8))</f>
        <v>0</v>
      </c>
      <c r="O514" s="4" cm="1">
        <f t="array" ref="O5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1707.232413643452</v>
      </c>
      <c r="P514" s="4" cm="1">
        <f t="array" ref="P5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1684.5617201330444</v>
      </c>
      <c r="Q514" s="4">
        <f>1/(1+10^(((Games[[#This Row],[OppPreGmRate]]+IF(Games[[#This Row],[HomeAway]]="A",HCA,0)+Games[[#This Row],[OppRestAdj]])-(Games[[#This Row],[PreGmRate]]+IF(Games[[#This Row],[HomeAway]]="H",HCA,0)+Games[[#This Row],[RestAdj]]))/400))</f>
        <v>0.41264545581629825</v>
      </c>
      <c r="R514" s="1">
        <v>76</v>
      </c>
      <c r="S514" s="1">
        <v>62</v>
      </c>
      <c r="T514" s="1">
        <v>0</v>
      </c>
      <c r="U514" s="1">
        <f>Games[[#This Row],[PointsFor]]-Games[[#This Row],[PointsAgainst]]</f>
        <v>14</v>
      </c>
      <c r="V514" s="1">
        <f>IF(Games[[#This Row],[MOV]]&gt;0,1,IF(Games[[#This Row],[MOV]]=0,0.5,0))</f>
        <v>1</v>
      </c>
      <c r="W514" s="4">
        <f>((ABS(Games[[#This Row],[MOV]])+5)^0.6)/(12+0.01*(ABS(Games[[#This Row],[PreGmRate]]-Games[[#This Row],[OppPreGmRate]])))*IF(Games[[#This Row],[OT]]=1,0.9,1)</f>
        <v>0.47856690059443285</v>
      </c>
      <c r="X514" s="7" cm="1">
        <f t="array" ref="X5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4" s="9">
        <f>MAX(kmin, kmax - 0.15 * MIN(Games[[#This Row],[GamesPlayed]], 82))</f>
        <v>68.95</v>
      </c>
      <c r="Z514" s="4">
        <f>Games[[#This Row],[K]]*Games[[#This Row],[POMult]]</f>
        <v>82.74</v>
      </c>
      <c r="AA514" s="4">
        <f>(Games[[#This Row],[Keff]]*Games[[#This Row],[MOVMult]])*(Games[[#This Row],[Result]]-Games[[#This Row],[ExpectedWin%]])</f>
        <v>23.25725783670654</v>
      </c>
      <c r="AB514" s="4">
        <f>Games[[#This Row],[PreGmRate]]+Games[[#This Row],[RatingChange]]</f>
        <v>1730.4896714801584</v>
      </c>
      <c r="AC514" s="2">
        <f>IF(Games[[#This Row],[Type]]="R",IF(Games[[#This Row],[Result]]&gt;0.5,1,0),0)</f>
        <v>0</v>
      </c>
      <c r="AD514" s="2">
        <f>IF(Games[[#This Row],[Type]]="R",IF(Games[[#This Row],[Result]]&lt;0.5,1,0),0)</f>
        <v>0</v>
      </c>
      <c r="AE514" s="2">
        <f>IF(AND(Games[[#This Row],[Type]]="P",Games[[#This Row],[Round]]=1),IF(Games[[#This Row],[Result]]&gt;0.5,1,0),0)</f>
        <v>0</v>
      </c>
      <c r="AF514" s="2">
        <f>IF(AND(Games[[#This Row],[Type]]="P",Games[[#This Row],[Round]]=1),IF(Games[[#This Row],[Result]]&lt;0.5,1,0),0)</f>
        <v>0</v>
      </c>
      <c r="AG514" s="2">
        <f>IF(AND(Games[[#This Row],[Type]]="P",Games[[#This Row],[Round]]=2),IF(Games[[#This Row],[Result]]&gt;0.5,1,0),0)</f>
        <v>1</v>
      </c>
      <c r="AH514" s="2">
        <f>IF(AND(Games[[#This Row],[Type]]="P",Games[[#This Row],[Round]]=2),IF(Games[[#This Row],[Result]]&lt;0.5,1,0),0)</f>
        <v>0</v>
      </c>
      <c r="AI514" s="2">
        <f>IF(AND(Games[[#This Row],[Type]]="P",Games[[#This Row],[Round]]=3),IF(Games[[#This Row],[Result]]&gt;0.5,1,0),0)</f>
        <v>0</v>
      </c>
      <c r="AJ514" s="2">
        <f>IF(AND(Games[[#This Row],[Type]]="P",Games[[#This Row],[Round]]=3),IF(Games[[#This Row],[Result]]&lt;0.5,1,0),0)</f>
        <v>0</v>
      </c>
      <c r="AK514" s="2">
        <f>IF(AND(Games[[#This Row],[Type]]="P",Games[[#This Row],[Round]]=4),IF(Games[[#This Row],[Result]]&gt;0.5,1,0),0)</f>
        <v>0</v>
      </c>
      <c r="AL514" s="2">
        <f>IF(AND(Games[[#This Row],[Type]]="P",Games[[#This Row],[Round]]=4),IF(Games[[#This Row],[Result]]&lt;0.5,1,0),0)</f>
        <v>0</v>
      </c>
    </row>
    <row r="515" spans="1:38" x14ac:dyDescent="0.35">
      <c r="A515" s="10">
        <v>45571</v>
      </c>
      <c r="B515" s="2">
        <v>2024</v>
      </c>
      <c r="C515" s="2">
        <f>COUNTIFS(Games[Team],Games[[#This Row],[Team]],Games[Season],Games[[#This Row],[Season]],Games[Date],"&lt;=" &amp; Games[[#This Row],[Date]])</f>
        <v>46</v>
      </c>
      <c r="D515" s="2" t="s">
        <v>83</v>
      </c>
      <c r="E515" s="2">
        <v>2</v>
      </c>
      <c r="F515" s="1" t="s">
        <v>86</v>
      </c>
      <c r="G515" s="1" t="s">
        <v>60</v>
      </c>
      <c r="H515" s="1" t="s">
        <v>82</v>
      </c>
      <c r="I515" s="2" cm="1">
        <f t="array" ref="I5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5" s="2" cm="1">
        <f t="array" ref="J5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5" s="2">
        <f>Games[[#This Row],[DaysOff]]-Games[[#This Row],[OppDaysOff]]</f>
        <v>0</v>
      </c>
      <c r="L515" s="2">
        <f>Games[[#This Row],[OppDaysOff]]-Games[[#This Row],[DaysOff]]</f>
        <v>0</v>
      </c>
      <c r="M515" s="1">
        <f>MAX(-16, MIN(16, Games[[#This Row],[RestDiff]]*8))</f>
        <v>0</v>
      </c>
      <c r="N515" s="1">
        <f>MAX(-16, MIN(16, Games[[#This Row],[OppRestDiff]]*8))</f>
        <v>0</v>
      </c>
      <c r="O515" s="4" cm="1">
        <f t="array" ref="O5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1684.5617201330444</v>
      </c>
      <c r="P515" s="4" cm="1">
        <f t="array" ref="P5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1707.232413643452</v>
      </c>
      <c r="Q515" s="4">
        <f>1/(1+10^(((Games[[#This Row],[OppPreGmRate]]+IF(Games[[#This Row],[HomeAway]]="A",HCA,0)+Games[[#This Row],[OppRestAdj]])-(Games[[#This Row],[PreGmRate]]+IF(Games[[#This Row],[HomeAway]]="H",HCA,0)+Games[[#This Row],[RestAdj]]))/400))</f>
        <v>0.58735454418370181</v>
      </c>
      <c r="R515" s="1">
        <v>62</v>
      </c>
      <c r="S515" s="1">
        <v>76</v>
      </c>
      <c r="T515" s="1">
        <v>0</v>
      </c>
      <c r="U515" s="1">
        <f>Games[[#This Row],[PointsFor]]-Games[[#This Row],[PointsAgainst]]</f>
        <v>-14</v>
      </c>
      <c r="V515" s="1">
        <f>IF(Games[[#This Row],[MOV]]&gt;0,1,IF(Games[[#This Row],[MOV]]=0,0.5,0))</f>
        <v>0</v>
      </c>
      <c r="W515" s="4">
        <f>((ABS(Games[[#This Row],[MOV]])+5)^0.6)/(12+0.01*(ABS(Games[[#This Row],[PreGmRate]]-Games[[#This Row],[OppPreGmRate]])))*IF(Games[[#This Row],[OT]]=1,0.9,1)</f>
        <v>0.47856690059443285</v>
      </c>
      <c r="X515" s="7" cm="1">
        <f t="array" ref="X5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5" s="9">
        <f>MAX(kmin, kmax - 0.15 * MIN(Games[[#This Row],[GamesPlayed]], 82))</f>
        <v>69.099999999999994</v>
      </c>
      <c r="Z515" s="4">
        <f>Games[[#This Row],[K]]*Games[[#This Row],[POMult]]</f>
        <v>82.919999999999987</v>
      </c>
      <c r="AA515" s="4">
        <f>(Games[[#This Row],[Keff]]*Games[[#This Row],[MOVMult]])*(Games[[#This Row],[Result]]-Games[[#This Row],[ExpectedWin%]])</f>
        <v>-23.307853756583349</v>
      </c>
      <c r="AB515" s="4">
        <f>Games[[#This Row],[PreGmRate]]+Games[[#This Row],[RatingChange]]</f>
        <v>1661.253866376461</v>
      </c>
      <c r="AC515" s="2">
        <f>IF(Games[[#This Row],[Type]]="R",IF(Games[[#This Row],[Result]]&gt;0.5,1,0),0)</f>
        <v>0</v>
      </c>
      <c r="AD515" s="2">
        <f>IF(Games[[#This Row],[Type]]="R",IF(Games[[#This Row],[Result]]&lt;0.5,1,0),0)</f>
        <v>0</v>
      </c>
      <c r="AE515" s="2">
        <f>IF(AND(Games[[#This Row],[Type]]="P",Games[[#This Row],[Round]]=1),IF(Games[[#This Row],[Result]]&gt;0.5,1,0),0)</f>
        <v>0</v>
      </c>
      <c r="AF515" s="2">
        <f>IF(AND(Games[[#This Row],[Type]]="P",Games[[#This Row],[Round]]=1),IF(Games[[#This Row],[Result]]&lt;0.5,1,0),0)</f>
        <v>0</v>
      </c>
      <c r="AG515" s="2">
        <f>IF(AND(Games[[#This Row],[Type]]="P",Games[[#This Row],[Round]]=2),IF(Games[[#This Row],[Result]]&gt;0.5,1,0),0)</f>
        <v>0</v>
      </c>
      <c r="AH515" s="2">
        <f>IF(AND(Games[[#This Row],[Type]]="P",Games[[#This Row],[Round]]=2),IF(Games[[#This Row],[Result]]&lt;0.5,1,0),0)</f>
        <v>1</v>
      </c>
      <c r="AI515" s="2">
        <f>IF(AND(Games[[#This Row],[Type]]="P",Games[[#This Row],[Round]]=3),IF(Games[[#This Row],[Result]]&gt;0.5,1,0),0)</f>
        <v>0</v>
      </c>
      <c r="AJ515" s="2">
        <f>IF(AND(Games[[#This Row],[Type]]="P",Games[[#This Row],[Round]]=3),IF(Games[[#This Row],[Result]]&lt;0.5,1,0),0)</f>
        <v>0</v>
      </c>
      <c r="AK515" s="2">
        <f>IF(AND(Games[[#This Row],[Type]]="P",Games[[#This Row],[Round]]=4),IF(Games[[#This Row],[Result]]&gt;0.5,1,0),0)</f>
        <v>0</v>
      </c>
      <c r="AL515" s="2">
        <f>IF(AND(Games[[#This Row],[Type]]="P",Games[[#This Row],[Round]]=4),IF(Games[[#This Row],[Result]]&lt;0.5,1,0),0)</f>
        <v>0</v>
      </c>
    </row>
    <row r="516" spans="1:38" x14ac:dyDescent="0.35">
      <c r="A516" s="10">
        <v>45573</v>
      </c>
      <c r="B516" s="2">
        <v>2024</v>
      </c>
      <c r="C516" s="2">
        <f>COUNTIFS(Games[Team],Games[[#This Row],[Team]],Games[Season],Games[[#This Row],[Season]],Games[Date],"&lt;=" &amp; Games[[#This Row],[Date]])</f>
        <v>47</v>
      </c>
      <c r="D516" s="2" t="s">
        <v>83</v>
      </c>
      <c r="E516" s="2">
        <v>2</v>
      </c>
      <c r="F516" s="1" t="s">
        <v>74</v>
      </c>
      <c r="G516" s="1" t="s">
        <v>67</v>
      </c>
      <c r="H516" s="1" t="s">
        <v>81</v>
      </c>
      <c r="I516" s="2" cm="1">
        <f t="array" ref="I5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6" s="2" cm="1">
        <f t="array" ref="J5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6" s="2">
        <f>Games[[#This Row],[DaysOff]]-Games[[#This Row],[OppDaysOff]]</f>
        <v>0</v>
      </c>
      <c r="L516" s="2">
        <f>Games[[#This Row],[OppDaysOff]]-Games[[#This Row],[DaysOff]]</f>
        <v>0</v>
      </c>
      <c r="M516" s="1">
        <f>MAX(-16, MIN(16, Games[[#This Row],[RestDiff]]*8))</f>
        <v>0</v>
      </c>
      <c r="N516" s="1">
        <f>MAX(-16, MIN(16, Games[[#This Row],[OppRestDiff]]*8))</f>
        <v>0</v>
      </c>
      <c r="O516" s="4" cm="1">
        <f t="array" ref="O5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1631.2175626252426</v>
      </c>
      <c r="P516" s="4" cm="1">
        <f t="array" ref="P5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1663.5259781201198</v>
      </c>
      <c r="Q516" s="4">
        <f>1/(1+10^(((Games[[#This Row],[OppPreGmRate]]+IF(Games[[#This Row],[HomeAway]]="A",HCA,0)+Games[[#This Row],[OppRestAdj]])-(Games[[#This Row],[PreGmRate]]+IF(Games[[#This Row],[HomeAway]]="H",HCA,0)+Games[[#This Row],[RestAdj]]))/400))</f>
        <v>0.33860319612782658</v>
      </c>
      <c r="R516" s="1">
        <v>77</v>
      </c>
      <c r="S516" s="1">
        <v>88</v>
      </c>
      <c r="T516" s="1">
        <v>0</v>
      </c>
      <c r="U516" s="1">
        <f>Games[[#This Row],[PointsFor]]-Games[[#This Row],[PointsAgainst]]</f>
        <v>-11</v>
      </c>
      <c r="V516" s="1">
        <f>IF(Games[[#This Row],[MOV]]&gt;0,1,IF(Games[[#This Row],[MOV]]=0,0.5,0))</f>
        <v>0</v>
      </c>
      <c r="W516" s="4">
        <f>((ABS(Games[[#This Row],[MOV]])+5)^0.6)/(12+0.01*(ABS(Games[[#This Row],[PreGmRate]]-Games[[#This Row],[OppPreGmRate]])))*IF(Games[[#This Row],[OT]]=1,0.9,1)</f>
        <v>0.42830443878548019</v>
      </c>
      <c r="X516" s="7" cm="1">
        <f t="array" ref="X5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6" s="9">
        <f>MAX(kmin, kmax - 0.15 * MIN(Games[[#This Row],[GamesPlayed]], 82))</f>
        <v>68.95</v>
      </c>
      <c r="Z516" s="4">
        <f>Games[[#This Row],[K]]*Games[[#This Row],[POMult]]</f>
        <v>82.74</v>
      </c>
      <c r="AA516" s="4">
        <f>(Games[[#This Row],[Keff]]*Games[[#This Row],[MOVMult]])*(Games[[#This Row],[Result]]-Games[[#This Row],[ExpectedWin%]])</f>
        <v>-11.999389341254377</v>
      </c>
      <c r="AB516" s="4">
        <f>Games[[#This Row],[PreGmRate]]+Games[[#This Row],[RatingChange]]</f>
        <v>1619.2181732839883</v>
      </c>
      <c r="AC516" s="2">
        <f>IF(Games[[#This Row],[Type]]="R",IF(Games[[#This Row],[Result]]&gt;0.5,1,0),0)</f>
        <v>0</v>
      </c>
      <c r="AD516" s="2">
        <f>IF(Games[[#This Row],[Type]]="R",IF(Games[[#This Row],[Result]]&lt;0.5,1,0),0)</f>
        <v>0</v>
      </c>
      <c r="AE516" s="2">
        <f>IF(AND(Games[[#This Row],[Type]]="P",Games[[#This Row],[Round]]=1),IF(Games[[#This Row],[Result]]&gt;0.5,1,0),0)</f>
        <v>0</v>
      </c>
      <c r="AF516" s="2">
        <f>IF(AND(Games[[#This Row],[Type]]="P",Games[[#This Row],[Round]]=1),IF(Games[[#This Row],[Result]]&lt;0.5,1,0),0)</f>
        <v>0</v>
      </c>
      <c r="AG516" s="2">
        <f>IF(AND(Games[[#This Row],[Type]]="P",Games[[#This Row],[Round]]=2),IF(Games[[#This Row],[Result]]&gt;0.5,1,0),0)</f>
        <v>0</v>
      </c>
      <c r="AH516" s="2">
        <f>IF(AND(Games[[#This Row],[Type]]="P",Games[[#This Row],[Round]]=2),IF(Games[[#This Row],[Result]]&lt;0.5,1,0),0)</f>
        <v>1</v>
      </c>
      <c r="AI516" s="2">
        <f>IF(AND(Games[[#This Row],[Type]]="P",Games[[#This Row],[Round]]=3),IF(Games[[#This Row],[Result]]&gt;0.5,1,0),0)</f>
        <v>0</v>
      </c>
      <c r="AJ516" s="2">
        <f>IF(AND(Games[[#This Row],[Type]]="P",Games[[#This Row],[Round]]=3),IF(Games[[#This Row],[Result]]&lt;0.5,1,0),0)</f>
        <v>0</v>
      </c>
      <c r="AK516" s="2">
        <f>IF(AND(Games[[#This Row],[Type]]="P",Games[[#This Row],[Round]]=4),IF(Games[[#This Row],[Result]]&gt;0.5,1,0),0)</f>
        <v>0</v>
      </c>
      <c r="AL516" s="2">
        <f>IF(AND(Games[[#This Row],[Type]]="P",Games[[#This Row],[Round]]=4),IF(Games[[#This Row],[Result]]&lt;0.5,1,0),0)</f>
        <v>0</v>
      </c>
    </row>
    <row r="517" spans="1:38" x14ac:dyDescent="0.35">
      <c r="A517" s="10">
        <v>45573</v>
      </c>
      <c r="B517" s="2">
        <v>2024</v>
      </c>
      <c r="C517" s="2">
        <f>COUNTIFS(Games[Team],Games[[#This Row],[Team]],Games[Season],Games[[#This Row],[Season]],Games[Date],"&lt;=" &amp; Games[[#This Row],[Date]])</f>
        <v>48</v>
      </c>
      <c r="D517" s="2" t="s">
        <v>83</v>
      </c>
      <c r="E517" s="2">
        <v>2</v>
      </c>
      <c r="F517" s="1" t="s">
        <v>67</v>
      </c>
      <c r="G517" s="1" t="s">
        <v>74</v>
      </c>
      <c r="H517" s="1" t="s">
        <v>82</v>
      </c>
      <c r="I517" s="2" cm="1">
        <f t="array" ref="I5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7" s="2" cm="1">
        <f t="array" ref="J5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7" s="2">
        <f>Games[[#This Row],[DaysOff]]-Games[[#This Row],[OppDaysOff]]</f>
        <v>0</v>
      </c>
      <c r="L517" s="2">
        <f>Games[[#This Row],[OppDaysOff]]-Games[[#This Row],[DaysOff]]</f>
        <v>0</v>
      </c>
      <c r="M517" s="1">
        <f>MAX(-16, MIN(16, Games[[#This Row],[RestDiff]]*8))</f>
        <v>0</v>
      </c>
      <c r="N517" s="1">
        <f>MAX(-16, MIN(16, Games[[#This Row],[OppRestDiff]]*8))</f>
        <v>0</v>
      </c>
      <c r="O517" s="4" cm="1">
        <f t="array" ref="O5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1663.5259781201198</v>
      </c>
      <c r="P517" s="4" cm="1">
        <f t="array" ref="P5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1631.2175626252426</v>
      </c>
      <c r="Q517" s="4">
        <f>1/(1+10^(((Games[[#This Row],[OppPreGmRate]]+IF(Games[[#This Row],[HomeAway]]="A",HCA,0)+Games[[#This Row],[OppRestAdj]])-(Games[[#This Row],[PreGmRate]]+IF(Games[[#This Row],[HomeAway]]="H",HCA,0)+Games[[#This Row],[RestAdj]]))/400))</f>
        <v>0.66139680387217337</v>
      </c>
      <c r="R517" s="1">
        <v>88</v>
      </c>
      <c r="S517" s="1">
        <v>77</v>
      </c>
      <c r="T517" s="1">
        <v>0</v>
      </c>
      <c r="U517" s="1">
        <f>Games[[#This Row],[PointsFor]]-Games[[#This Row],[PointsAgainst]]</f>
        <v>11</v>
      </c>
      <c r="V517" s="1">
        <f>IF(Games[[#This Row],[MOV]]&gt;0,1,IF(Games[[#This Row],[MOV]]=0,0.5,0))</f>
        <v>1</v>
      </c>
      <c r="W517" s="4">
        <f>((ABS(Games[[#This Row],[MOV]])+5)^0.6)/(12+0.01*(ABS(Games[[#This Row],[PreGmRate]]-Games[[#This Row],[OppPreGmRate]])))*IF(Games[[#This Row],[OT]]=1,0.9,1)</f>
        <v>0.42830443878548019</v>
      </c>
      <c r="X517" s="7" cm="1">
        <f t="array" ref="X5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7" s="9">
        <f>MAX(kmin, kmax - 0.15 * MIN(Games[[#This Row],[GamesPlayed]], 82))</f>
        <v>68.8</v>
      </c>
      <c r="Z517" s="4">
        <f>Games[[#This Row],[K]]*Games[[#This Row],[POMult]]</f>
        <v>82.559999999999988</v>
      </c>
      <c r="AA517" s="4">
        <f>(Games[[#This Row],[Keff]]*Games[[#This Row],[MOVMult]])*(Games[[#This Row],[Result]]-Games[[#This Row],[ExpectedWin%]])</f>
        <v>11.973284795914449</v>
      </c>
      <c r="AB517" s="4">
        <f>Games[[#This Row],[PreGmRate]]+Games[[#This Row],[RatingChange]]</f>
        <v>1675.4992629160342</v>
      </c>
      <c r="AC517" s="2">
        <f>IF(Games[[#This Row],[Type]]="R",IF(Games[[#This Row],[Result]]&gt;0.5,1,0),0)</f>
        <v>0</v>
      </c>
      <c r="AD517" s="2">
        <f>IF(Games[[#This Row],[Type]]="R",IF(Games[[#This Row],[Result]]&lt;0.5,1,0),0)</f>
        <v>0</v>
      </c>
      <c r="AE517" s="2">
        <f>IF(AND(Games[[#This Row],[Type]]="P",Games[[#This Row],[Round]]=1),IF(Games[[#This Row],[Result]]&gt;0.5,1,0),0)</f>
        <v>0</v>
      </c>
      <c r="AF517" s="2">
        <f>IF(AND(Games[[#This Row],[Type]]="P",Games[[#This Row],[Round]]=1),IF(Games[[#This Row],[Result]]&lt;0.5,1,0),0)</f>
        <v>0</v>
      </c>
      <c r="AG517" s="2">
        <f>IF(AND(Games[[#This Row],[Type]]="P",Games[[#This Row],[Round]]=2),IF(Games[[#This Row],[Result]]&gt;0.5,1,0),0)</f>
        <v>1</v>
      </c>
      <c r="AH517" s="2">
        <f>IF(AND(Games[[#This Row],[Type]]="P",Games[[#This Row],[Round]]=2),IF(Games[[#This Row],[Result]]&lt;0.5,1,0),0)</f>
        <v>0</v>
      </c>
      <c r="AI517" s="2">
        <f>IF(AND(Games[[#This Row],[Type]]="P",Games[[#This Row],[Round]]=3),IF(Games[[#This Row],[Result]]&gt;0.5,1,0),0)</f>
        <v>0</v>
      </c>
      <c r="AJ517" s="2">
        <f>IF(AND(Games[[#This Row],[Type]]="P",Games[[#This Row],[Round]]=3),IF(Games[[#This Row],[Result]]&lt;0.5,1,0),0)</f>
        <v>0</v>
      </c>
      <c r="AK517" s="2">
        <f>IF(AND(Games[[#This Row],[Type]]="P",Games[[#This Row],[Round]]=4),IF(Games[[#This Row],[Result]]&gt;0.5,1,0),0)</f>
        <v>0</v>
      </c>
      <c r="AL517" s="2">
        <f>IF(AND(Games[[#This Row],[Type]]="P",Games[[#This Row],[Round]]=4),IF(Games[[#This Row],[Result]]&lt;0.5,1,0),0)</f>
        <v>0</v>
      </c>
    </row>
    <row r="518" spans="1:38" x14ac:dyDescent="0.35">
      <c r="A518" s="10">
        <v>45575</v>
      </c>
      <c r="B518" s="2">
        <v>2024</v>
      </c>
      <c r="C518" s="2">
        <f>COUNTIFS(Games[Team],Games[[#This Row],[Team]],Games[Season],Games[[#This Row],[Season]],Games[Date],"&lt;=" &amp; Games[[#This Row],[Date]])</f>
        <v>49</v>
      </c>
      <c r="D518" s="2" t="s">
        <v>83</v>
      </c>
      <c r="E518" s="2">
        <v>3</v>
      </c>
      <c r="F518" s="1" t="s">
        <v>67</v>
      </c>
      <c r="G518" s="1" t="s">
        <v>60</v>
      </c>
      <c r="H518" s="1" t="s">
        <v>81</v>
      </c>
      <c r="I518" s="2" cm="1">
        <f t="array" ref="I5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8" s="2" cm="1">
        <f t="array" ref="J5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18" s="2">
        <f>Games[[#This Row],[DaysOff]]-Games[[#This Row],[OppDaysOff]]</f>
        <v>-2</v>
      </c>
      <c r="L518" s="2">
        <f>Games[[#This Row],[OppDaysOff]]-Games[[#This Row],[DaysOff]]</f>
        <v>2</v>
      </c>
      <c r="M518" s="1">
        <f>MAX(-16, MIN(16, Games[[#This Row],[RestDiff]]*8))</f>
        <v>-16</v>
      </c>
      <c r="N518" s="1">
        <f>MAX(-16, MIN(16, Games[[#This Row],[OppRestDiff]]*8))</f>
        <v>16</v>
      </c>
      <c r="O518" s="4" cm="1">
        <f t="array" ref="O5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1675.4992629160342</v>
      </c>
      <c r="P518" s="4" cm="1">
        <f t="array" ref="P5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1730.4896714801584</v>
      </c>
      <c r="Q518" s="4">
        <f>1/(1+10^(((Games[[#This Row],[OppPreGmRate]]+IF(Games[[#This Row],[HomeAway]]="A",HCA,0)+Games[[#This Row],[OppRestAdj]])-(Games[[#This Row],[PreGmRate]]+IF(Games[[#This Row],[HomeAway]]="H",HCA,0)+Games[[#This Row],[RestAdj]]))/400))</f>
        <v>0.27203942031713535</v>
      </c>
      <c r="R518" s="1">
        <v>95</v>
      </c>
      <c r="S518" s="1">
        <v>93</v>
      </c>
      <c r="T518" s="1">
        <v>1</v>
      </c>
      <c r="U518" s="1">
        <f>Games[[#This Row],[PointsFor]]-Games[[#This Row],[PointsAgainst]]</f>
        <v>2</v>
      </c>
      <c r="V518" s="1">
        <f>IF(Games[[#This Row],[MOV]]&gt;0,1,IF(Games[[#This Row],[MOV]]=0,0.5,0))</f>
        <v>1</v>
      </c>
      <c r="W518" s="4">
        <f>((ABS(Games[[#This Row],[MOV]])+5)^0.6)/(12+0.01*(ABS(Games[[#This Row],[PreGmRate]]-Games[[#This Row],[OppPreGmRate]])))*IF(Games[[#This Row],[OT]]=1,0.9,1)</f>
        <v>0.23049469103545198</v>
      </c>
      <c r="X518" s="7" cm="1">
        <f t="array" ref="X5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18" s="9">
        <f>MAX(kmin, kmax - 0.15 * MIN(Games[[#This Row],[GamesPlayed]], 82))</f>
        <v>68.650000000000006</v>
      </c>
      <c r="Z518" s="4">
        <f>Games[[#This Row],[K]]*Games[[#This Row],[POMult]]</f>
        <v>92.677500000000009</v>
      </c>
      <c r="AA518" s="4">
        <f>(Games[[#This Row],[Keff]]*Games[[#This Row],[MOVMult]])*(Games[[#This Row],[Result]]-Games[[#This Row],[ExpectedWin%]])</f>
        <v>15.550454934428863</v>
      </c>
      <c r="AB518" s="4">
        <f>Games[[#This Row],[PreGmRate]]+Games[[#This Row],[RatingChange]]</f>
        <v>1691.0497178504631</v>
      </c>
      <c r="AC518" s="2">
        <f>IF(Games[[#This Row],[Type]]="R",IF(Games[[#This Row],[Result]]&gt;0.5,1,0),0)</f>
        <v>0</v>
      </c>
      <c r="AD518" s="2">
        <f>IF(Games[[#This Row],[Type]]="R",IF(Games[[#This Row],[Result]]&lt;0.5,1,0),0)</f>
        <v>0</v>
      </c>
      <c r="AE518" s="2">
        <f>IF(AND(Games[[#This Row],[Type]]="P",Games[[#This Row],[Round]]=1),IF(Games[[#This Row],[Result]]&gt;0.5,1,0),0)</f>
        <v>0</v>
      </c>
      <c r="AF518" s="2">
        <f>IF(AND(Games[[#This Row],[Type]]="P",Games[[#This Row],[Round]]=1),IF(Games[[#This Row],[Result]]&lt;0.5,1,0),0)</f>
        <v>0</v>
      </c>
      <c r="AG518" s="2">
        <f>IF(AND(Games[[#This Row],[Type]]="P",Games[[#This Row],[Round]]=2),IF(Games[[#This Row],[Result]]&gt;0.5,1,0),0)</f>
        <v>0</v>
      </c>
      <c r="AH518" s="2">
        <f>IF(AND(Games[[#This Row],[Type]]="P",Games[[#This Row],[Round]]=2),IF(Games[[#This Row],[Result]]&lt;0.5,1,0),0)</f>
        <v>0</v>
      </c>
      <c r="AI518" s="2">
        <f>IF(AND(Games[[#This Row],[Type]]="P",Games[[#This Row],[Round]]=3),IF(Games[[#This Row],[Result]]&gt;0.5,1,0),0)</f>
        <v>1</v>
      </c>
      <c r="AJ518" s="2">
        <f>IF(AND(Games[[#This Row],[Type]]="P",Games[[#This Row],[Round]]=3),IF(Games[[#This Row],[Result]]&lt;0.5,1,0),0)</f>
        <v>0</v>
      </c>
      <c r="AK518" s="2">
        <f>IF(AND(Games[[#This Row],[Type]]="P",Games[[#This Row],[Round]]=4),IF(Games[[#This Row],[Result]]&gt;0.5,1,0),0)</f>
        <v>0</v>
      </c>
      <c r="AL518" s="2">
        <f>IF(AND(Games[[#This Row],[Type]]="P",Games[[#This Row],[Round]]=4),IF(Games[[#This Row],[Result]]&lt;0.5,1,0),0)</f>
        <v>0</v>
      </c>
    </row>
    <row r="519" spans="1:38" x14ac:dyDescent="0.35">
      <c r="A519" s="10">
        <v>45575</v>
      </c>
      <c r="B519" s="2">
        <v>2024</v>
      </c>
      <c r="C519" s="2">
        <f>COUNTIFS(Games[Team],Games[[#This Row],[Team]],Games[Season],Games[[#This Row],[Season]],Games[Date],"&lt;=" &amp; Games[[#This Row],[Date]])</f>
        <v>48</v>
      </c>
      <c r="D519" s="2" t="s">
        <v>83</v>
      </c>
      <c r="E519" s="2">
        <v>3</v>
      </c>
      <c r="F519" s="1" t="s">
        <v>60</v>
      </c>
      <c r="G519" s="1" t="s">
        <v>67</v>
      </c>
      <c r="H519" s="1" t="s">
        <v>82</v>
      </c>
      <c r="I519" s="2" cm="1">
        <f t="array" ref="I5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519" s="2" cm="1">
        <f t="array" ref="J5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9" s="2">
        <f>Games[[#This Row],[DaysOff]]-Games[[#This Row],[OppDaysOff]]</f>
        <v>2</v>
      </c>
      <c r="L519" s="2">
        <f>Games[[#This Row],[OppDaysOff]]-Games[[#This Row],[DaysOff]]</f>
        <v>-2</v>
      </c>
      <c r="M519" s="1">
        <f>MAX(-16, MIN(16, Games[[#This Row],[RestDiff]]*8))</f>
        <v>16</v>
      </c>
      <c r="N519" s="1">
        <f>MAX(-16, MIN(16, Games[[#This Row],[OppRestDiff]]*8))</f>
        <v>-16</v>
      </c>
      <c r="O519" s="4" cm="1">
        <f t="array" ref="O5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1730.4896714801584</v>
      </c>
      <c r="P519" s="4" cm="1">
        <f t="array" ref="P5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1675.4992629160342</v>
      </c>
      <c r="Q519" s="4">
        <f>1/(1+10^(((Games[[#This Row],[OppPreGmRate]]+IF(Games[[#This Row],[HomeAway]]="A",HCA,0)+Games[[#This Row],[OppRestAdj]])-(Games[[#This Row],[PreGmRate]]+IF(Games[[#This Row],[HomeAway]]="H",HCA,0)+Games[[#This Row],[RestAdj]]))/400))</f>
        <v>0.72796057968286465</v>
      </c>
      <c r="R519" s="1">
        <v>93</v>
      </c>
      <c r="S519" s="1">
        <v>95</v>
      </c>
      <c r="T519" s="1">
        <v>1</v>
      </c>
      <c r="U519" s="1">
        <f>Games[[#This Row],[PointsFor]]-Games[[#This Row],[PointsAgainst]]</f>
        <v>-2</v>
      </c>
      <c r="V519" s="1">
        <f>IF(Games[[#This Row],[MOV]]&gt;0,1,IF(Games[[#This Row],[MOV]]=0,0.5,0))</f>
        <v>0</v>
      </c>
      <c r="W519" s="4">
        <f>((ABS(Games[[#This Row],[MOV]])+5)^0.6)/(12+0.01*(ABS(Games[[#This Row],[PreGmRate]]-Games[[#This Row],[OppPreGmRate]])))*IF(Games[[#This Row],[OT]]=1,0.9,1)</f>
        <v>0.23049469103545198</v>
      </c>
      <c r="X519" s="7" cm="1">
        <f t="array" ref="X5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19" s="9">
        <f>MAX(kmin, kmax - 0.15 * MIN(Games[[#This Row],[GamesPlayed]], 82))</f>
        <v>68.8</v>
      </c>
      <c r="Z519" s="4">
        <f>Games[[#This Row],[K]]*Games[[#This Row],[POMult]]</f>
        <v>92.88</v>
      </c>
      <c r="AA519" s="4">
        <f>(Games[[#This Row],[Keff]]*Games[[#This Row],[MOVMult]])*(Games[[#This Row],[Result]]-Games[[#This Row],[ExpectedWin%]])</f>
        <v>-15.584432621831107</v>
      </c>
      <c r="AB519" s="4">
        <f>Games[[#This Row],[PreGmRate]]+Games[[#This Row],[RatingChange]]</f>
        <v>1714.9052388583273</v>
      </c>
      <c r="AC519" s="2">
        <f>IF(Games[[#This Row],[Type]]="R",IF(Games[[#This Row],[Result]]&gt;0.5,1,0),0)</f>
        <v>0</v>
      </c>
      <c r="AD519" s="2">
        <f>IF(Games[[#This Row],[Type]]="R",IF(Games[[#This Row],[Result]]&lt;0.5,1,0),0)</f>
        <v>0</v>
      </c>
      <c r="AE519" s="2">
        <f>IF(AND(Games[[#This Row],[Type]]="P",Games[[#This Row],[Round]]=1),IF(Games[[#This Row],[Result]]&gt;0.5,1,0),0)</f>
        <v>0</v>
      </c>
      <c r="AF519" s="2">
        <f>IF(AND(Games[[#This Row],[Type]]="P",Games[[#This Row],[Round]]=1),IF(Games[[#This Row],[Result]]&lt;0.5,1,0),0)</f>
        <v>0</v>
      </c>
      <c r="AG519" s="2">
        <f>IF(AND(Games[[#This Row],[Type]]="P",Games[[#This Row],[Round]]=2),IF(Games[[#This Row],[Result]]&gt;0.5,1,0),0)</f>
        <v>0</v>
      </c>
      <c r="AH519" s="2">
        <f>IF(AND(Games[[#This Row],[Type]]="P",Games[[#This Row],[Round]]=2),IF(Games[[#This Row],[Result]]&lt;0.5,1,0),0)</f>
        <v>0</v>
      </c>
      <c r="AI519" s="2">
        <f>IF(AND(Games[[#This Row],[Type]]="P",Games[[#This Row],[Round]]=3),IF(Games[[#This Row],[Result]]&gt;0.5,1,0),0)</f>
        <v>0</v>
      </c>
      <c r="AJ519" s="2">
        <f>IF(AND(Games[[#This Row],[Type]]="P",Games[[#This Row],[Round]]=3),IF(Games[[#This Row],[Result]]&lt;0.5,1,0),0)</f>
        <v>1</v>
      </c>
      <c r="AK519" s="2">
        <f>IF(AND(Games[[#This Row],[Type]]="P",Games[[#This Row],[Round]]=4),IF(Games[[#This Row],[Result]]&gt;0.5,1,0),0)</f>
        <v>0</v>
      </c>
      <c r="AL519" s="2">
        <f>IF(AND(Games[[#This Row],[Type]]="P",Games[[#This Row],[Round]]=4),IF(Games[[#This Row],[Result]]&lt;0.5,1,0),0)</f>
        <v>0</v>
      </c>
    </row>
    <row r="520" spans="1:38" x14ac:dyDescent="0.35">
      <c r="A520" s="10">
        <v>45578</v>
      </c>
      <c r="B520" s="2">
        <v>2024</v>
      </c>
      <c r="C520" s="2">
        <f>COUNTIFS(Games[Team],Games[[#This Row],[Team]],Games[Season],Games[[#This Row],[Season]],Games[Date],"&lt;=" &amp; Games[[#This Row],[Date]])</f>
        <v>50</v>
      </c>
      <c r="D520" s="2" t="s">
        <v>83</v>
      </c>
      <c r="E520" s="2">
        <v>3</v>
      </c>
      <c r="F520" s="1" t="s">
        <v>67</v>
      </c>
      <c r="G520" s="1" t="s">
        <v>60</v>
      </c>
      <c r="H520" s="1" t="s">
        <v>81</v>
      </c>
      <c r="I520" s="2" cm="1">
        <f t="array" ref="I5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0" s="2" cm="1">
        <f t="array" ref="J5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0" s="2">
        <f>Games[[#This Row],[DaysOff]]-Games[[#This Row],[OppDaysOff]]</f>
        <v>0</v>
      </c>
      <c r="L520" s="2">
        <f>Games[[#This Row],[OppDaysOff]]-Games[[#This Row],[DaysOff]]</f>
        <v>0</v>
      </c>
      <c r="M520" s="1">
        <f>MAX(-16, MIN(16, Games[[#This Row],[RestDiff]]*8))</f>
        <v>0</v>
      </c>
      <c r="N520" s="1">
        <f>MAX(-16, MIN(16, Games[[#This Row],[OppRestDiff]]*8))</f>
        <v>0</v>
      </c>
      <c r="O520" s="4" cm="1">
        <f t="array" ref="O5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1691.0497178504631</v>
      </c>
      <c r="P520" s="4" cm="1">
        <f t="array" ref="P5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1714.9052388583273</v>
      </c>
      <c r="Q520" s="4">
        <f>1/(1+10^(((Games[[#This Row],[OppPreGmRate]]+IF(Games[[#This Row],[HomeAway]]="A",HCA,0)+Games[[#This Row],[OppRestAdj]])-(Games[[#This Row],[PreGmRate]]+IF(Games[[#This Row],[HomeAway]]="H",HCA,0)+Games[[#This Row],[RestAdj]]))/400))</f>
        <v>0.34958445358121354</v>
      </c>
      <c r="R520" s="1">
        <v>66</v>
      </c>
      <c r="S520" s="1">
        <v>80</v>
      </c>
      <c r="T520" s="1">
        <v>0</v>
      </c>
      <c r="U520" s="1">
        <f>Games[[#This Row],[PointsFor]]-Games[[#This Row],[PointsAgainst]]</f>
        <v>-14</v>
      </c>
      <c r="V520" s="1">
        <f>IF(Games[[#This Row],[MOV]]&gt;0,1,IF(Games[[#This Row],[MOV]]=0,0.5,0))</f>
        <v>0</v>
      </c>
      <c r="W520" s="4">
        <f>((ABS(Games[[#This Row],[MOV]])+5)^0.6)/(12+0.01*(ABS(Games[[#This Row],[PreGmRate]]-Games[[#This Row],[OppPreGmRate]])))*IF(Games[[#This Row],[OT]]=1,0.9,1)</f>
        <v>0.47810359490723064</v>
      </c>
      <c r="X520" s="7" cm="1">
        <f t="array" ref="X5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0" s="9">
        <f>MAX(kmin, kmax - 0.15 * MIN(Games[[#This Row],[GamesPlayed]], 82))</f>
        <v>68.5</v>
      </c>
      <c r="Z520" s="4">
        <f>Games[[#This Row],[K]]*Games[[#This Row],[POMult]]</f>
        <v>92.475000000000009</v>
      </c>
      <c r="AA520" s="4">
        <f>(Games[[#This Row],[Keff]]*Games[[#This Row],[MOVMult]])*(Games[[#This Row],[Result]]-Games[[#This Row],[ExpectedWin%]])</f>
        <v>-15.456048078629854</v>
      </c>
      <c r="AB520" s="4">
        <f>Games[[#This Row],[PreGmRate]]+Games[[#This Row],[RatingChange]]</f>
        <v>1675.5936697718332</v>
      </c>
      <c r="AC520" s="2">
        <f>IF(Games[[#This Row],[Type]]="R",IF(Games[[#This Row],[Result]]&gt;0.5,1,0),0)</f>
        <v>0</v>
      </c>
      <c r="AD520" s="2">
        <f>IF(Games[[#This Row],[Type]]="R",IF(Games[[#This Row],[Result]]&lt;0.5,1,0),0)</f>
        <v>0</v>
      </c>
      <c r="AE520" s="2">
        <f>IF(AND(Games[[#This Row],[Type]]="P",Games[[#This Row],[Round]]=1),IF(Games[[#This Row],[Result]]&gt;0.5,1,0),0)</f>
        <v>0</v>
      </c>
      <c r="AF520" s="2">
        <f>IF(AND(Games[[#This Row],[Type]]="P",Games[[#This Row],[Round]]=1),IF(Games[[#This Row],[Result]]&lt;0.5,1,0),0)</f>
        <v>0</v>
      </c>
      <c r="AG520" s="2">
        <f>IF(AND(Games[[#This Row],[Type]]="P",Games[[#This Row],[Round]]=2),IF(Games[[#This Row],[Result]]&gt;0.5,1,0),0)</f>
        <v>0</v>
      </c>
      <c r="AH520" s="2">
        <f>IF(AND(Games[[#This Row],[Type]]="P",Games[[#This Row],[Round]]=2),IF(Games[[#This Row],[Result]]&lt;0.5,1,0),0)</f>
        <v>0</v>
      </c>
      <c r="AI520" s="2">
        <f>IF(AND(Games[[#This Row],[Type]]="P",Games[[#This Row],[Round]]=3),IF(Games[[#This Row],[Result]]&gt;0.5,1,0),0)</f>
        <v>0</v>
      </c>
      <c r="AJ520" s="2">
        <f>IF(AND(Games[[#This Row],[Type]]="P",Games[[#This Row],[Round]]=3),IF(Games[[#This Row],[Result]]&lt;0.5,1,0),0)</f>
        <v>1</v>
      </c>
      <c r="AK520" s="2">
        <f>IF(AND(Games[[#This Row],[Type]]="P",Games[[#This Row],[Round]]=4),IF(Games[[#This Row],[Result]]&gt;0.5,1,0),0)</f>
        <v>0</v>
      </c>
      <c r="AL520" s="2">
        <f>IF(AND(Games[[#This Row],[Type]]="P",Games[[#This Row],[Round]]=4),IF(Games[[#This Row],[Result]]&lt;0.5,1,0),0)</f>
        <v>0</v>
      </c>
    </row>
    <row r="521" spans="1:38" x14ac:dyDescent="0.35">
      <c r="A521" s="10">
        <v>45578</v>
      </c>
      <c r="B521" s="2">
        <v>2024</v>
      </c>
      <c r="C521" s="2">
        <f>COUNTIFS(Games[Team],Games[[#This Row],[Team]],Games[Season],Games[[#This Row],[Season]],Games[Date],"&lt;=" &amp; Games[[#This Row],[Date]])</f>
        <v>49</v>
      </c>
      <c r="D521" s="2" t="s">
        <v>83</v>
      </c>
      <c r="E521" s="2">
        <v>3</v>
      </c>
      <c r="F521" s="1" t="s">
        <v>60</v>
      </c>
      <c r="G521" s="1" t="s">
        <v>67</v>
      </c>
      <c r="H521" s="1" t="s">
        <v>82</v>
      </c>
      <c r="I521" s="2" cm="1">
        <f t="array" ref="I5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1" s="2" cm="1">
        <f t="array" ref="J5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1" s="2">
        <f>Games[[#This Row],[DaysOff]]-Games[[#This Row],[OppDaysOff]]</f>
        <v>0</v>
      </c>
      <c r="L521" s="2">
        <f>Games[[#This Row],[OppDaysOff]]-Games[[#This Row],[DaysOff]]</f>
        <v>0</v>
      </c>
      <c r="M521" s="1">
        <f>MAX(-16, MIN(16, Games[[#This Row],[RestDiff]]*8))</f>
        <v>0</v>
      </c>
      <c r="N521" s="1">
        <f>MAX(-16, MIN(16, Games[[#This Row],[OppRestDiff]]*8))</f>
        <v>0</v>
      </c>
      <c r="O521" s="4" cm="1">
        <f t="array" ref="O5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1714.9052388583273</v>
      </c>
      <c r="P521" s="4" cm="1">
        <f t="array" ref="P5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1691.0497178504631</v>
      </c>
      <c r="Q521" s="4">
        <f>1/(1+10^(((Games[[#This Row],[OppPreGmRate]]+IF(Games[[#This Row],[HomeAway]]="A",HCA,0)+Games[[#This Row],[OppRestAdj]])-(Games[[#This Row],[PreGmRate]]+IF(Games[[#This Row],[HomeAway]]="H",HCA,0)+Games[[#This Row],[RestAdj]]))/400))</f>
        <v>0.65041554641878641</v>
      </c>
      <c r="R521" s="1">
        <v>80</v>
      </c>
      <c r="S521" s="1">
        <v>66</v>
      </c>
      <c r="T521" s="1">
        <v>0</v>
      </c>
      <c r="U521" s="1">
        <f>Games[[#This Row],[PointsFor]]-Games[[#This Row],[PointsAgainst]]</f>
        <v>14</v>
      </c>
      <c r="V521" s="1">
        <f>IF(Games[[#This Row],[MOV]]&gt;0,1,IF(Games[[#This Row],[MOV]]=0,0.5,0))</f>
        <v>1</v>
      </c>
      <c r="W521" s="4">
        <f>((ABS(Games[[#This Row],[MOV]])+5)^0.6)/(12+0.01*(ABS(Games[[#This Row],[PreGmRate]]-Games[[#This Row],[OppPreGmRate]])))*IF(Games[[#This Row],[OT]]=1,0.9,1)</f>
        <v>0.47810359490723064</v>
      </c>
      <c r="X521" s="7" cm="1">
        <f t="array" ref="X5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1" s="9">
        <f>MAX(kmin, kmax - 0.15 * MIN(Games[[#This Row],[GamesPlayed]], 82))</f>
        <v>68.650000000000006</v>
      </c>
      <c r="Z521" s="4">
        <f>Games[[#This Row],[K]]*Games[[#This Row],[POMult]]</f>
        <v>92.677500000000009</v>
      </c>
      <c r="AA521" s="4">
        <f>(Games[[#This Row],[Keff]]*Games[[#This Row],[MOVMult]])*(Games[[#This Row],[Result]]-Games[[#This Row],[ExpectedWin%]])</f>
        <v>15.489893439385979</v>
      </c>
      <c r="AB521" s="4">
        <f>Games[[#This Row],[PreGmRate]]+Games[[#This Row],[RatingChange]]</f>
        <v>1730.3951322977132</v>
      </c>
      <c r="AC521" s="2">
        <f>IF(Games[[#This Row],[Type]]="R",IF(Games[[#This Row],[Result]]&gt;0.5,1,0),0)</f>
        <v>0</v>
      </c>
      <c r="AD521" s="2">
        <f>IF(Games[[#This Row],[Type]]="R",IF(Games[[#This Row],[Result]]&lt;0.5,1,0),0)</f>
        <v>0</v>
      </c>
      <c r="AE521" s="2">
        <f>IF(AND(Games[[#This Row],[Type]]="P",Games[[#This Row],[Round]]=1),IF(Games[[#This Row],[Result]]&gt;0.5,1,0),0)</f>
        <v>0</v>
      </c>
      <c r="AF521" s="2">
        <f>IF(AND(Games[[#This Row],[Type]]="P",Games[[#This Row],[Round]]=1),IF(Games[[#This Row],[Result]]&lt;0.5,1,0),0)</f>
        <v>0</v>
      </c>
      <c r="AG521" s="2">
        <f>IF(AND(Games[[#This Row],[Type]]="P",Games[[#This Row],[Round]]=2),IF(Games[[#This Row],[Result]]&gt;0.5,1,0),0)</f>
        <v>0</v>
      </c>
      <c r="AH521" s="2">
        <f>IF(AND(Games[[#This Row],[Type]]="P",Games[[#This Row],[Round]]=2),IF(Games[[#This Row],[Result]]&lt;0.5,1,0),0)</f>
        <v>0</v>
      </c>
      <c r="AI521" s="2">
        <f>IF(AND(Games[[#This Row],[Type]]="P",Games[[#This Row],[Round]]=3),IF(Games[[#This Row],[Result]]&gt;0.5,1,0),0)</f>
        <v>1</v>
      </c>
      <c r="AJ521" s="2">
        <f>IF(AND(Games[[#This Row],[Type]]="P",Games[[#This Row],[Round]]=3),IF(Games[[#This Row],[Result]]&lt;0.5,1,0),0)</f>
        <v>0</v>
      </c>
      <c r="AK521" s="2">
        <f>IF(AND(Games[[#This Row],[Type]]="P",Games[[#This Row],[Round]]=4),IF(Games[[#This Row],[Result]]&gt;0.5,1,0),0)</f>
        <v>0</v>
      </c>
      <c r="AL521" s="2">
        <f>IF(AND(Games[[#This Row],[Type]]="P",Games[[#This Row],[Round]]=4),IF(Games[[#This Row],[Result]]&lt;0.5,1,0),0)</f>
        <v>0</v>
      </c>
    </row>
    <row r="522" spans="1:38" x14ac:dyDescent="0.35">
      <c r="A522" s="10">
        <v>45581</v>
      </c>
      <c r="B522" s="2">
        <v>2024</v>
      </c>
      <c r="C522" s="2">
        <f>COUNTIFS(Games[Team],Games[[#This Row],[Team]],Games[Season],Games[[#This Row],[Season]],Games[Date],"&lt;=" &amp; Games[[#This Row],[Date]])</f>
        <v>50</v>
      </c>
      <c r="D522" s="2" t="s">
        <v>83</v>
      </c>
      <c r="E522" s="2">
        <v>3</v>
      </c>
      <c r="F522" s="1" t="s">
        <v>60</v>
      </c>
      <c r="G522" s="1" t="s">
        <v>67</v>
      </c>
      <c r="H522" s="1" t="s">
        <v>81</v>
      </c>
      <c r="I522" s="2" cm="1">
        <f t="array" ref="I5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2" s="2" cm="1">
        <f t="array" ref="J5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2" s="2">
        <f>Games[[#This Row],[DaysOff]]-Games[[#This Row],[OppDaysOff]]</f>
        <v>0</v>
      </c>
      <c r="L522" s="2">
        <f>Games[[#This Row],[OppDaysOff]]-Games[[#This Row],[DaysOff]]</f>
        <v>0</v>
      </c>
      <c r="M522" s="1">
        <f>MAX(-16, MIN(16, Games[[#This Row],[RestDiff]]*8))</f>
        <v>0</v>
      </c>
      <c r="N522" s="1">
        <f>MAX(-16, MIN(16, Games[[#This Row],[OppRestDiff]]*8))</f>
        <v>0</v>
      </c>
      <c r="O522" s="4" cm="1">
        <f t="array" ref="O5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1730.3951322977132</v>
      </c>
      <c r="P522" s="4" cm="1">
        <f t="array" ref="P5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1675.5936697718332</v>
      </c>
      <c r="Q522" s="4">
        <f>1/(1+10^(((Games[[#This Row],[OppPreGmRate]]+IF(Games[[#This Row],[HomeAway]]="A",HCA,0)+Games[[#This Row],[OppRestAdj]])-(Games[[#This Row],[PreGmRate]]+IF(Games[[#This Row],[HomeAway]]="H",HCA,0)+Games[[#This Row],[RestAdj]]))/400))</f>
        <v>0.45807857382282124</v>
      </c>
      <c r="R522" s="1">
        <v>80</v>
      </c>
      <c r="S522" s="1">
        <v>77</v>
      </c>
      <c r="T522" s="1">
        <v>0</v>
      </c>
      <c r="U522" s="1">
        <f>Games[[#This Row],[PointsFor]]-Games[[#This Row],[PointsAgainst]]</f>
        <v>3</v>
      </c>
      <c r="V522" s="1">
        <f>IF(Games[[#This Row],[MOV]]&gt;0,1,IF(Games[[#This Row],[MOV]]=0,0.5,0))</f>
        <v>1</v>
      </c>
      <c r="W522" s="4">
        <f>((ABS(Games[[#This Row],[MOV]])+5)^0.6)/(12+0.01*(ABS(Games[[#This Row],[PreGmRate]]-Games[[#This Row],[OppPreGmRate]])))*IF(Games[[#This Row],[OT]]=1,0.9,1)</f>
        <v>0.27751021633134865</v>
      </c>
      <c r="X522" s="7" cm="1">
        <f t="array" ref="X5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2" s="9">
        <f>MAX(kmin, kmax - 0.15 * MIN(Games[[#This Row],[GamesPlayed]], 82))</f>
        <v>68.5</v>
      </c>
      <c r="Z522" s="4">
        <f>Games[[#This Row],[K]]*Games[[#This Row],[POMult]]</f>
        <v>92.475000000000009</v>
      </c>
      <c r="AA522" s="4">
        <f>(Games[[#This Row],[Keff]]*Games[[#This Row],[MOVMult]])*(Games[[#This Row],[Result]]-Games[[#This Row],[ExpectedWin%]])</f>
        <v>13.907198011399199</v>
      </c>
      <c r="AB522" s="4">
        <f>Games[[#This Row],[PreGmRate]]+Games[[#This Row],[RatingChange]]</f>
        <v>1744.3023303091124</v>
      </c>
      <c r="AC522" s="2">
        <f>IF(Games[[#This Row],[Type]]="R",IF(Games[[#This Row],[Result]]&gt;0.5,1,0),0)</f>
        <v>0</v>
      </c>
      <c r="AD522" s="2">
        <f>IF(Games[[#This Row],[Type]]="R",IF(Games[[#This Row],[Result]]&lt;0.5,1,0),0)</f>
        <v>0</v>
      </c>
      <c r="AE522" s="2">
        <f>IF(AND(Games[[#This Row],[Type]]="P",Games[[#This Row],[Round]]=1),IF(Games[[#This Row],[Result]]&gt;0.5,1,0),0)</f>
        <v>0</v>
      </c>
      <c r="AF522" s="2">
        <f>IF(AND(Games[[#This Row],[Type]]="P",Games[[#This Row],[Round]]=1),IF(Games[[#This Row],[Result]]&lt;0.5,1,0),0)</f>
        <v>0</v>
      </c>
      <c r="AG522" s="2">
        <f>IF(AND(Games[[#This Row],[Type]]="P",Games[[#This Row],[Round]]=2),IF(Games[[#This Row],[Result]]&gt;0.5,1,0),0)</f>
        <v>0</v>
      </c>
      <c r="AH522" s="2">
        <f>IF(AND(Games[[#This Row],[Type]]="P",Games[[#This Row],[Round]]=2),IF(Games[[#This Row],[Result]]&lt;0.5,1,0),0)</f>
        <v>0</v>
      </c>
      <c r="AI522" s="2">
        <f>IF(AND(Games[[#This Row],[Type]]="P",Games[[#This Row],[Round]]=3),IF(Games[[#This Row],[Result]]&gt;0.5,1,0),0)</f>
        <v>1</v>
      </c>
      <c r="AJ522" s="2">
        <f>IF(AND(Games[[#This Row],[Type]]="P",Games[[#This Row],[Round]]=3),IF(Games[[#This Row],[Result]]&lt;0.5,1,0),0)</f>
        <v>0</v>
      </c>
      <c r="AK522" s="2">
        <f>IF(AND(Games[[#This Row],[Type]]="P",Games[[#This Row],[Round]]=4),IF(Games[[#This Row],[Result]]&gt;0.5,1,0),0)</f>
        <v>0</v>
      </c>
      <c r="AL522" s="2">
        <f>IF(AND(Games[[#This Row],[Type]]="P",Games[[#This Row],[Round]]=4),IF(Games[[#This Row],[Result]]&lt;0.5,1,0),0)</f>
        <v>0</v>
      </c>
    </row>
    <row r="523" spans="1:38" x14ac:dyDescent="0.35">
      <c r="A523" s="10">
        <v>45581</v>
      </c>
      <c r="B523" s="2">
        <v>2024</v>
      </c>
      <c r="C523" s="2">
        <f>COUNTIFS(Games[Team],Games[[#This Row],[Team]],Games[Season],Games[[#This Row],[Season]],Games[Date],"&lt;=" &amp; Games[[#This Row],[Date]])</f>
        <v>51</v>
      </c>
      <c r="D523" s="2" t="s">
        <v>83</v>
      </c>
      <c r="E523" s="2">
        <v>3</v>
      </c>
      <c r="F523" s="1" t="s">
        <v>67</v>
      </c>
      <c r="G523" s="1" t="s">
        <v>60</v>
      </c>
      <c r="H523" s="1" t="s">
        <v>82</v>
      </c>
      <c r="I523" s="2" cm="1">
        <f t="array" ref="I5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3" s="2" cm="1">
        <f t="array" ref="J5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3" s="2">
        <f>Games[[#This Row],[DaysOff]]-Games[[#This Row],[OppDaysOff]]</f>
        <v>0</v>
      </c>
      <c r="L523" s="2">
        <f>Games[[#This Row],[OppDaysOff]]-Games[[#This Row],[DaysOff]]</f>
        <v>0</v>
      </c>
      <c r="M523" s="1">
        <f>MAX(-16, MIN(16, Games[[#This Row],[RestDiff]]*8))</f>
        <v>0</v>
      </c>
      <c r="N523" s="1">
        <f>MAX(-16, MIN(16, Games[[#This Row],[OppRestDiff]]*8))</f>
        <v>0</v>
      </c>
      <c r="O523" s="4" cm="1">
        <f t="array" ref="O5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1675.5936697718332</v>
      </c>
      <c r="P523" s="4" cm="1">
        <f t="array" ref="P5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1730.3951322977132</v>
      </c>
      <c r="Q523" s="4">
        <f>1/(1+10^(((Games[[#This Row],[OppPreGmRate]]+IF(Games[[#This Row],[HomeAway]]="A",HCA,0)+Games[[#This Row],[OppRestAdj]])-(Games[[#This Row],[PreGmRate]]+IF(Games[[#This Row],[HomeAway]]="H",HCA,0)+Games[[#This Row],[RestAdj]]))/400))</f>
        <v>0.54192142617717876</v>
      </c>
      <c r="R523" s="1">
        <v>77</v>
      </c>
      <c r="S523" s="1">
        <v>80</v>
      </c>
      <c r="T523" s="1">
        <v>0</v>
      </c>
      <c r="U523" s="1">
        <f>Games[[#This Row],[PointsFor]]-Games[[#This Row],[PointsAgainst]]</f>
        <v>-3</v>
      </c>
      <c r="V523" s="1">
        <f>IF(Games[[#This Row],[MOV]]&gt;0,1,IF(Games[[#This Row],[MOV]]=0,0.5,0))</f>
        <v>0</v>
      </c>
      <c r="W523" s="4">
        <f>((ABS(Games[[#This Row],[MOV]])+5)^0.6)/(12+0.01*(ABS(Games[[#This Row],[PreGmRate]]-Games[[#This Row],[OppPreGmRate]])))*IF(Games[[#This Row],[OT]]=1,0.9,1)</f>
        <v>0.27751021633134865</v>
      </c>
      <c r="X523" s="7" cm="1">
        <f t="array" ref="X5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3" s="9">
        <f>MAX(kmin, kmax - 0.15 * MIN(Games[[#This Row],[GamesPlayed]], 82))</f>
        <v>68.349999999999994</v>
      </c>
      <c r="Z523" s="4">
        <f>Games[[#This Row],[K]]*Games[[#This Row],[POMult]]</f>
        <v>92.272499999999994</v>
      </c>
      <c r="AA523" s="4">
        <f>(Games[[#This Row],[Keff]]*Games[[#This Row],[MOVMult]])*(Games[[#This Row],[Result]]-Games[[#This Row],[ExpectedWin%]])</f>
        <v>-13.876744293126059</v>
      </c>
      <c r="AB523" s="4">
        <f>Games[[#This Row],[PreGmRate]]+Games[[#This Row],[RatingChange]]</f>
        <v>1661.7169254787073</v>
      </c>
      <c r="AC523" s="2">
        <f>IF(Games[[#This Row],[Type]]="R",IF(Games[[#This Row],[Result]]&gt;0.5,1,0),0)</f>
        <v>0</v>
      </c>
      <c r="AD523" s="2">
        <f>IF(Games[[#This Row],[Type]]="R",IF(Games[[#This Row],[Result]]&lt;0.5,1,0),0)</f>
        <v>0</v>
      </c>
      <c r="AE523" s="2">
        <f>IF(AND(Games[[#This Row],[Type]]="P",Games[[#This Row],[Round]]=1),IF(Games[[#This Row],[Result]]&gt;0.5,1,0),0)</f>
        <v>0</v>
      </c>
      <c r="AF523" s="2">
        <f>IF(AND(Games[[#This Row],[Type]]="P",Games[[#This Row],[Round]]=1),IF(Games[[#This Row],[Result]]&lt;0.5,1,0),0)</f>
        <v>0</v>
      </c>
      <c r="AG523" s="2">
        <f>IF(AND(Games[[#This Row],[Type]]="P",Games[[#This Row],[Round]]=2),IF(Games[[#This Row],[Result]]&gt;0.5,1,0),0)</f>
        <v>0</v>
      </c>
      <c r="AH523" s="2">
        <f>IF(AND(Games[[#This Row],[Type]]="P",Games[[#This Row],[Round]]=2),IF(Games[[#This Row],[Result]]&lt;0.5,1,0),0)</f>
        <v>0</v>
      </c>
      <c r="AI523" s="2">
        <f>IF(AND(Games[[#This Row],[Type]]="P",Games[[#This Row],[Round]]=3),IF(Games[[#This Row],[Result]]&gt;0.5,1,0),0)</f>
        <v>0</v>
      </c>
      <c r="AJ523" s="2">
        <f>IF(AND(Games[[#This Row],[Type]]="P",Games[[#This Row],[Round]]=3),IF(Games[[#This Row],[Result]]&lt;0.5,1,0),0)</f>
        <v>1</v>
      </c>
      <c r="AK523" s="2">
        <f>IF(AND(Games[[#This Row],[Type]]="P",Games[[#This Row],[Round]]=4),IF(Games[[#This Row],[Result]]&gt;0.5,1,0),0)</f>
        <v>0</v>
      </c>
      <c r="AL523" s="2">
        <f>IF(AND(Games[[#This Row],[Type]]="P",Games[[#This Row],[Round]]=4),IF(Games[[#This Row],[Result]]&lt;0.5,1,0),0)</f>
        <v>0</v>
      </c>
    </row>
    <row r="524" spans="1:38" x14ac:dyDescent="0.35">
      <c r="A524" s="10">
        <v>45583</v>
      </c>
      <c r="B524" s="2">
        <v>2024</v>
      </c>
      <c r="C524" s="2">
        <f>COUNTIFS(Games[Team],Games[[#This Row],[Team]],Games[Season],Games[[#This Row],[Season]],Games[Date],"&lt;=" &amp; Games[[#This Row],[Date]])</f>
        <v>51</v>
      </c>
      <c r="D524" s="2" t="s">
        <v>83</v>
      </c>
      <c r="E524" s="2">
        <v>3</v>
      </c>
      <c r="F524" s="1" t="s">
        <v>60</v>
      </c>
      <c r="G524" s="1" t="s">
        <v>67</v>
      </c>
      <c r="H524" s="1" t="s">
        <v>81</v>
      </c>
      <c r="I524" s="2" cm="1">
        <f t="array" ref="I5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4" s="2" cm="1">
        <f t="array" ref="J5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4" s="2">
        <f>Games[[#This Row],[DaysOff]]-Games[[#This Row],[OppDaysOff]]</f>
        <v>0</v>
      </c>
      <c r="L524" s="2">
        <f>Games[[#This Row],[OppDaysOff]]-Games[[#This Row],[DaysOff]]</f>
        <v>0</v>
      </c>
      <c r="M524" s="1">
        <f>MAX(-16, MIN(16, Games[[#This Row],[RestDiff]]*8))</f>
        <v>0</v>
      </c>
      <c r="N524" s="1">
        <f>MAX(-16, MIN(16, Games[[#This Row],[OppRestDiff]]*8))</f>
        <v>0</v>
      </c>
      <c r="O524" s="4" cm="1">
        <f t="array" ref="O5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1744.3023303091124</v>
      </c>
      <c r="P524" s="4" cm="1">
        <f t="array" ref="P5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1661.7169254787073</v>
      </c>
      <c r="Q524" s="4">
        <f>1/(1+10^(((Games[[#This Row],[OppPreGmRate]]+IF(Games[[#This Row],[HomeAway]]="A",HCA,0)+Games[[#This Row],[OppRestAdj]])-(Games[[#This Row],[PreGmRate]]+IF(Games[[#This Row],[HomeAway]]="H",HCA,0)+Games[[#This Row],[RestAdj]]))/400))</f>
        <v>0.49796424515531279</v>
      </c>
      <c r="R524" s="1">
        <v>80</v>
      </c>
      <c r="S524" s="1">
        <v>82</v>
      </c>
      <c r="T524" s="1">
        <v>0</v>
      </c>
      <c r="U524" s="1">
        <f>Games[[#This Row],[PointsFor]]-Games[[#This Row],[PointsAgainst]]</f>
        <v>-2</v>
      </c>
      <c r="V524" s="1">
        <f>IF(Games[[#This Row],[MOV]]&gt;0,1,IF(Games[[#This Row],[MOV]]=0,0.5,0))</f>
        <v>0</v>
      </c>
      <c r="W524" s="4">
        <f>((ABS(Games[[#This Row],[MOV]])+5)^0.6)/(12+0.01*(ABS(Games[[#This Row],[PreGmRate]]-Games[[#This Row],[OppPreGmRate]])))*IF(Games[[#This Row],[OT]]=1,0.9,1)</f>
        <v>0.25059507441853623</v>
      </c>
      <c r="X524" s="7" cm="1">
        <f t="array" ref="X5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4" s="9">
        <f>MAX(kmin, kmax - 0.15 * MIN(Games[[#This Row],[GamesPlayed]], 82))</f>
        <v>68.349999999999994</v>
      </c>
      <c r="Z524" s="4">
        <f>Games[[#This Row],[K]]*Games[[#This Row],[POMult]]</f>
        <v>92.272499999999994</v>
      </c>
      <c r="AA524" s="4">
        <f>(Games[[#This Row],[Keff]]*Games[[#This Row],[MOVMult]])*(Games[[#This Row],[Result]]-Games[[#This Row],[ExpectedWin%]])</f>
        <v>-11.514444173644101</v>
      </c>
      <c r="AB524" s="4">
        <f>Games[[#This Row],[PreGmRate]]+Games[[#This Row],[RatingChange]]</f>
        <v>1732.7878861354684</v>
      </c>
      <c r="AC524" s="2">
        <f>IF(Games[[#This Row],[Type]]="R",IF(Games[[#This Row],[Result]]&gt;0.5,1,0),0)</f>
        <v>0</v>
      </c>
      <c r="AD524" s="2">
        <f>IF(Games[[#This Row],[Type]]="R",IF(Games[[#This Row],[Result]]&lt;0.5,1,0),0)</f>
        <v>0</v>
      </c>
      <c r="AE524" s="2">
        <f>IF(AND(Games[[#This Row],[Type]]="P",Games[[#This Row],[Round]]=1),IF(Games[[#This Row],[Result]]&gt;0.5,1,0),0)</f>
        <v>0</v>
      </c>
      <c r="AF524" s="2">
        <f>IF(AND(Games[[#This Row],[Type]]="P",Games[[#This Row],[Round]]=1),IF(Games[[#This Row],[Result]]&lt;0.5,1,0),0)</f>
        <v>0</v>
      </c>
      <c r="AG524" s="2">
        <f>IF(AND(Games[[#This Row],[Type]]="P",Games[[#This Row],[Round]]=2),IF(Games[[#This Row],[Result]]&gt;0.5,1,0),0)</f>
        <v>0</v>
      </c>
      <c r="AH524" s="2">
        <f>IF(AND(Games[[#This Row],[Type]]="P",Games[[#This Row],[Round]]=2),IF(Games[[#This Row],[Result]]&lt;0.5,1,0),0)</f>
        <v>0</v>
      </c>
      <c r="AI524" s="2">
        <f>IF(AND(Games[[#This Row],[Type]]="P",Games[[#This Row],[Round]]=3),IF(Games[[#This Row],[Result]]&gt;0.5,1,0),0)</f>
        <v>0</v>
      </c>
      <c r="AJ524" s="2">
        <f>IF(AND(Games[[#This Row],[Type]]="P",Games[[#This Row],[Round]]=3),IF(Games[[#This Row],[Result]]&lt;0.5,1,0),0)</f>
        <v>1</v>
      </c>
      <c r="AK524" s="2">
        <f>IF(AND(Games[[#This Row],[Type]]="P",Games[[#This Row],[Round]]=4),IF(Games[[#This Row],[Result]]&gt;0.5,1,0),0)</f>
        <v>0</v>
      </c>
      <c r="AL524" s="2">
        <f>IF(AND(Games[[#This Row],[Type]]="P",Games[[#This Row],[Round]]=4),IF(Games[[#This Row],[Result]]&lt;0.5,1,0),0)</f>
        <v>0</v>
      </c>
    </row>
    <row r="525" spans="1:38" x14ac:dyDescent="0.35">
      <c r="A525" s="10">
        <v>45583</v>
      </c>
      <c r="B525" s="2">
        <v>2024</v>
      </c>
      <c r="C525" s="2">
        <f>COUNTIFS(Games[Team],Games[[#This Row],[Team]],Games[Season],Games[[#This Row],[Season]],Games[Date],"&lt;=" &amp; Games[[#This Row],[Date]])</f>
        <v>52</v>
      </c>
      <c r="D525" s="2" t="s">
        <v>83</v>
      </c>
      <c r="E525" s="2">
        <v>3</v>
      </c>
      <c r="F525" s="1" t="s">
        <v>67</v>
      </c>
      <c r="G525" s="1" t="s">
        <v>60</v>
      </c>
      <c r="H525" s="1" t="s">
        <v>82</v>
      </c>
      <c r="I525" s="2" cm="1">
        <f t="array" ref="I5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5" s="2" cm="1">
        <f t="array" ref="J5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5" s="2">
        <f>Games[[#This Row],[DaysOff]]-Games[[#This Row],[OppDaysOff]]</f>
        <v>0</v>
      </c>
      <c r="L525" s="2">
        <f>Games[[#This Row],[OppDaysOff]]-Games[[#This Row],[DaysOff]]</f>
        <v>0</v>
      </c>
      <c r="M525" s="1">
        <f>MAX(-16, MIN(16, Games[[#This Row],[RestDiff]]*8))</f>
        <v>0</v>
      </c>
      <c r="N525" s="1">
        <f>MAX(-16, MIN(16, Games[[#This Row],[OppRestDiff]]*8))</f>
        <v>0</v>
      </c>
      <c r="O525" s="4" cm="1">
        <f t="array" ref="O5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1661.7169254787073</v>
      </c>
      <c r="P525" s="4" cm="1">
        <f t="array" ref="P5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1744.3023303091124</v>
      </c>
      <c r="Q525" s="4">
        <f>1/(1+10^(((Games[[#This Row],[OppPreGmRate]]+IF(Games[[#This Row],[HomeAway]]="A",HCA,0)+Games[[#This Row],[OppRestAdj]])-(Games[[#This Row],[PreGmRate]]+IF(Games[[#This Row],[HomeAway]]="H",HCA,0)+Games[[#This Row],[RestAdj]]))/400))</f>
        <v>0.50203575484468721</v>
      </c>
      <c r="R525" s="1">
        <v>82</v>
      </c>
      <c r="S525" s="1">
        <v>80</v>
      </c>
      <c r="T525" s="1">
        <v>0</v>
      </c>
      <c r="U525" s="1">
        <f>Games[[#This Row],[PointsFor]]-Games[[#This Row],[PointsAgainst]]</f>
        <v>2</v>
      </c>
      <c r="V525" s="1">
        <f>IF(Games[[#This Row],[MOV]]&gt;0,1,IF(Games[[#This Row],[MOV]]=0,0.5,0))</f>
        <v>1</v>
      </c>
      <c r="W525" s="4">
        <f>((ABS(Games[[#This Row],[MOV]])+5)^0.6)/(12+0.01*(ABS(Games[[#This Row],[PreGmRate]]-Games[[#This Row],[OppPreGmRate]])))*IF(Games[[#This Row],[OT]]=1,0.9,1)</f>
        <v>0.25059507441853623</v>
      </c>
      <c r="X525" s="7" cm="1">
        <f t="array" ref="X5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5" s="9">
        <f>MAX(kmin, kmax - 0.15 * MIN(Games[[#This Row],[GamesPlayed]], 82))</f>
        <v>68.2</v>
      </c>
      <c r="Z525" s="4">
        <f>Games[[#This Row],[K]]*Games[[#This Row],[POMult]]</f>
        <v>92.070000000000007</v>
      </c>
      <c r="AA525" s="4">
        <f>(Games[[#This Row],[Keff]]*Games[[#This Row],[MOVMult]])*(Games[[#This Row],[Result]]-Games[[#This Row],[ExpectedWin%]])</f>
        <v>11.489174727761931</v>
      </c>
      <c r="AB525" s="4">
        <f>Games[[#This Row],[PreGmRate]]+Games[[#This Row],[RatingChange]]</f>
        <v>1673.2061002064693</v>
      </c>
      <c r="AC525" s="2">
        <f>IF(Games[[#This Row],[Type]]="R",IF(Games[[#This Row],[Result]]&gt;0.5,1,0),0)</f>
        <v>0</v>
      </c>
      <c r="AD525" s="2">
        <f>IF(Games[[#This Row],[Type]]="R",IF(Games[[#This Row],[Result]]&lt;0.5,1,0),0)</f>
        <v>0</v>
      </c>
      <c r="AE525" s="2">
        <f>IF(AND(Games[[#This Row],[Type]]="P",Games[[#This Row],[Round]]=1),IF(Games[[#This Row],[Result]]&gt;0.5,1,0),0)</f>
        <v>0</v>
      </c>
      <c r="AF525" s="2">
        <f>IF(AND(Games[[#This Row],[Type]]="P",Games[[#This Row],[Round]]=1),IF(Games[[#This Row],[Result]]&lt;0.5,1,0),0)</f>
        <v>0</v>
      </c>
      <c r="AG525" s="2">
        <f>IF(AND(Games[[#This Row],[Type]]="P",Games[[#This Row],[Round]]=2),IF(Games[[#This Row],[Result]]&gt;0.5,1,0),0)</f>
        <v>0</v>
      </c>
      <c r="AH525" s="2">
        <f>IF(AND(Games[[#This Row],[Type]]="P",Games[[#This Row],[Round]]=2),IF(Games[[#This Row],[Result]]&lt;0.5,1,0),0)</f>
        <v>0</v>
      </c>
      <c r="AI525" s="2">
        <f>IF(AND(Games[[#This Row],[Type]]="P",Games[[#This Row],[Round]]=3),IF(Games[[#This Row],[Result]]&gt;0.5,1,0),0)</f>
        <v>1</v>
      </c>
      <c r="AJ525" s="2">
        <f>IF(AND(Games[[#This Row],[Type]]="P",Games[[#This Row],[Round]]=3),IF(Games[[#This Row],[Result]]&lt;0.5,1,0),0)</f>
        <v>0</v>
      </c>
      <c r="AK525" s="2">
        <f>IF(AND(Games[[#This Row],[Type]]="P",Games[[#This Row],[Round]]=4),IF(Games[[#This Row],[Result]]&gt;0.5,1,0),0)</f>
        <v>0</v>
      </c>
      <c r="AL525" s="2">
        <f>IF(AND(Games[[#This Row],[Type]]="P",Games[[#This Row],[Round]]=4),IF(Games[[#This Row],[Result]]&lt;0.5,1,0),0)</f>
        <v>0</v>
      </c>
    </row>
    <row r="526" spans="1:38" x14ac:dyDescent="0.35">
      <c r="A526" s="10">
        <v>45585</v>
      </c>
      <c r="B526" s="2">
        <v>2024</v>
      </c>
      <c r="C526" s="2">
        <f>COUNTIFS(Games[Team],Games[[#This Row],[Team]],Games[Season],Games[[#This Row],[Season]],Games[Date],"&lt;=" &amp; Games[[#This Row],[Date]])</f>
        <v>53</v>
      </c>
      <c r="D526" s="2" t="s">
        <v>83</v>
      </c>
      <c r="E526" s="2">
        <v>3</v>
      </c>
      <c r="F526" s="1" t="s">
        <v>67</v>
      </c>
      <c r="G526" s="1" t="s">
        <v>60</v>
      </c>
      <c r="H526" s="1" t="s">
        <v>81</v>
      </c>
      <c r="I526" s="2" cm="1">
        <f t="array" ref="I5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6" s="2" cm="1">
        <f t="array" ref="J5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6" s="2">
        <f>Games[[#This Row],[DaysOff]]-Games[[#This Row],[OppDaysOff]]</f>
        <v>0</v>
      </c>
      <c r="L526" s="2">
        <f>Games[[#This Row],[OppDaysOff]]-Games[[#This Row],[DaysOff]]</f>
        <v>0</v>
      </c>
      <c r="M526" s="1">
        <f>MAX(-16, MIN(16, Games[[#This Row],[RestDiff]]*8))</f>
        <v>0</v>
      </c>
      <c r="N526" s="1">
        <f>MAX(-16, MIN(16, Games[[#This Row],[OppRestDiff]]*8))</f>
        <v>0</v>
      </c>
      <c r="O526" s="4" cm="1">
        <f t="array" ref="O5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1673.2061002064693</v>
      </c>
      <c r="P526" s="4" cm="1">
        <f t="array" ref="P5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1732.7878861354684</v>
      </c>
      <c r="Q526" s="4">
        <f>1/(1+10^(((Games[[#This Row],[OppPreGmRate]]+IF(Games[[#This Row],[HomeAway]]="A",HCA,0)+Games[[#This Row],[OppRestAdj]])-(Games[[#This Row],[PreGmRate]]+IF(Games[[#This Row],[HomeAway]]="H",HCA,0)+Games[[#This Row],[RestAdj]]))/400))</f>
        <v>0.30438072278276157</v>
      </c>
      <c r="R526" s="1">
        <v>62</v>
      </c>
      <c r="S526" s="1">
        <v>67</v>
      </c>
      <c r="T526" s="1">
        <v>1</v>
      </c>
      <c r="U526" s="1">
        <f>Games[[#This Row],[PointsFor]]-Games[[#This Row],[PointsAgainst]]</f>
        <v>-5</v>
      </c>
      <c r="V526" s="1">
        <f>IF(Games[[#This Row],[MOV]]&gt;0,1,IF(Games[[#This Row],[MOV]]=0,0.5,0))</f>
        <v>0</v>
      </c>
      <c r="W526" s="4">
        <f>((ABS(Games[[#This Row],[MOV]])+5)^0.6)/(12+0.01*(ABS(Games[[#This Row],[PreGmRate]]-Games[[#This Row],[OppPreGmRate]])))*IF(Games[[#This Row],[OT]]=1,0.9,1)</f>
        <v>0.28445668038450361</v>
      </c>
      <c r="X526" s="7" cm="1">
        <f t="array" ref="X5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6" s="9">
        <f>MAX(kmin, kmax - 0.15 * MIN(Games[[#This Row],[GamesPlayed]], 82))</f>
        <v>68.05</v>
      </c>
      <c r="Z526" s="4">
        <f>Games[[#This Row],[K]]*Games[[#This Row],[POMult]]</f>
        <v>91.867500000000007</v>
      </c>
      <c r="AA526" s="4">
        <f>(Games[[#This Row],[Keff]]*Games[[#This Row],[MOVMult]])*(Games[[#This Row],[Result]]-Games[[#This Row],[ExpectedWin%]])</f>
        <v>-7.9541756930536636</v>
      </c>
      <c r="AB526" s="4">
        <f>Games[[#This Row],[PreGmRate]]+Games[[#This Row],[RatingChange]]</f>
        <v>1665.2519245134156</v>
      </c>
      <c r="AC526" s="2">
        <f>IF(Games[[#This Row],[Type]]="R",IF(Games[[#This Row],[Result]]&gt;0.5,1,0),0)</f>
        <v>0</v>
      </c>
      <c r="AD526" s="2">
        <f>IF(Games[[#This Row],[Type]]="R",IF(Games[[#This Row],[Result]]&lt;0.5,1,0),0)</f>
        <v>0</v>
      </c>
      <c r="AE526" s="2">
        <f>IF(AND(Games[[#This Row],[Type]]="P",Games[[#This Row],[Round]]=1),IF(Games[[#This Row],[Result]]&gt;0.5,1,0),0)</f>
        <v>0</v>
      </c>
      <c r="AF526" s="2">
        <f>IF(AND(Games[[#This Row],[Type]]="P",Games[[#This Row],[Round]]=1),IF(Games[[#This Row],[Result]]&lt;0.5,1,0),0)</f>
        <v>0</v>
      </c>
      <c r="AG526" s="2">
        <f>IF(AND(Games[[#This Row],[Type]]="P",Games[[#This Row],[Round]]=2),IF(Games[[#This Row],[Result]]&gt;0.5,1,0),0)</f>
        <v>0</v>
      </c>
      <c r="AH526" s="2">
        <f>IF(AND(Games[[#This Row],[Type]]="P",Games[[#This Row],[Round]]=2),IF(Games[[#This Row],[Result]]&lt;0.5,1,0),0)</f>
        <v>0</v>
      </c>
      <c r="AI526" s="2">
        <f>IF(AND(Games[[#This Row],[Type]]="P",Games[[#This Row],[Round]]=3),IF(Games[[#This Row],[Result]]&gt;0.5,1,0),0)</f>
        <v>0</v>
      </c>
      <c r="AJ526" s="2">
        <f>IF(AND(Games[[#This Row],[Type]]="P",Games[[#This Row],[Round]]=3),IF(Games[[#This Row],[Result]]&lt;0.5,1,0),0)</f>
        <v>1</v>
      </c>
      <c r="AK526" s="2">
        <f>IF(AND(Games[[#This Row],[Type]]="P",Games[[#This Row],[Round]]=4),IF(Games[[#This Row],[Result]]&gt;0.5,1,0),0)</f>
        <v>0</v>
      </c>
      <c r="AL526" s="2">
        <f>IF(AND(Games[[#This Row],[Type]]="P",Games[[#This Row],[Round]]=4),IF(Games[[#This Row],[Result]]&lt;0.5,1,0),0)</f>
        <v>0</v>
      </c>
    </row>
    <row r="527" spans="1:38" x14ac:dyDescent="0.35">
      <c r="A527" s="10">
        <v>45585</v>
      </c>
      <c r="B527" s="2">
        <v>2024</v>
      </c>
      <c r="C527" s="2">
        <f>COUNTIFS(Games[Team],Games[[#This Row],[Team]],Games[Season],Games[[#This Row],[Season]],Games[Date],"&lt;=" &amp; Games[[#This Row],[Date]])</f>
        <v>52</v>
      </c>
      <c r="D527" s="2" t="s">
        <v>83</v>
      </c>
      <c r="E527" s="2">
        <v>3</v>
      </c>
      <c r="F527" s="1" t="s">
        <v>60</v>
      </c>
      <c r="G527" s="1" t="s">
        <v>67</v>
      </c>
      <c r="H527" s="1" t="s">
        <v>82</v>
      </c>
      <c r="I527" s="2" cm="1">
        <f t="array" ref="I5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7" s="2" cm="1">
        <f t="array" ref="J5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7" s="2">
        <f>Games[[#This Row],[DaysOff]]-Games[[#This Row],[OppDaysOff]]</f>
        <v>0</v>
      </c>
      <c r="L527" s="2">
        <f>Games[[#This Row],[OppDaysOff]]-Games[[#This Row],[DaysOff]]</f>
        <v>0</v>
      </c>
      <c r="M527" s="1">
        <f>MAX(-16, MIN(16, Games[[#This Row],[RestDiff]]*8))</f>
        <v>0</v>
      </c>
      <c r="N527" s="1">
        <f>MAX(-16, MIN(16, Games[[#This Row],[OppRestDiff]]*8))</f>
        <v>0</v>
      </c>
      <c r="O527" s="4" cm="1">
        <f t="array" ref="O5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1732.7878861354684</v>
      </c>
      <c r="P527" s="4" cm="1">
        <f t="array" ref="P5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1673.2061002064693</v>
      </c>
      <c r="Q527" s="4">
        <f>1/(1+10^(((Games[[#This Row],[OppPreGmRate]]+IF(Games[[#This Row],[HomeAway]]="A",HCA,0)+Games[[#This Row],[OppRestAdj]])-(Games[[#This Row],[PreGmRate]]+IF(Games[[#This Row],[HomeAway]]="H",HCA,0)+Games[[#This Row],[RestAdj]]))/400))</f>
        <v>0.69561927721723849</v>
      </c>
      <c r="R527" s="1">
        <v>67</v>
      </c>
      <c r="S527" s="1">
        <v>62</v>
      </c>
      <c r="T527" s="1">
        <v>1</v>
      </c>
      <c r="U527" s="1">
        <f>Games[[#This Row],[PointsFor]]-Games[[#This Row],[PointsAgainst]]</f>
        <v>5</v>
      </c>
      <c r="V527" s="1">
        <f>IF(Games[[#This Row],[MOV]]&gt;0,1,IF(Games[[#This Row],[MOV]]=0,0.5,0))</f>
        <v>1</v>
      </c>
      <c r="W527" s="4">
        <f>((ABS(Games[[#This Row],[MOV]])+5)^0.6)/(12+0.01*(ABS(Games[[#This Row],[PreGmRate]]-Games[[#This Row],[OppPreGmRate]])))*IF(Games[[#This Row],[OT]]=1,0.9,1)</f>
        <v>0.28445668038450361</v>
      </c>
      <c r="X527" s="7" cm="1">
        <f t="array" ref="X5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7" s="9">
        <f>MAX(kmin, kmax - 0.15 * MIN(Games[[#This Row],[GamesPlayed]], 82))</f>
        <v>68.2</v>
      </c>
      <c r="Z527" s="4">
        <f>Games[[#This Row],[K]]*Games[[#This Row],[POMult]]</f>
        <v>92.070000000000007</v>
      </c>
      <c r="AA527" s="4">
        <f>(Games[[#This Row],[Keff]]*Games[[#This Row],[MOVMult]])*(Games[[#This Row],[Result]]-Games[[#This Row],[ExpectedWin%]])</f>
        <v>7.9717087768737658</v>
      </c>
      <c r="AB527" s="4">
        <f>Games[[#This Row],[PreGmRate]]+Games[[#This Row],[RatingChange]]</f>
        <v>1740.7595949123422</v>
      </c>
      <c r="AC527" s="2">
        <f>IF(Games[[#This Row],[Type]]="R",IF(Games[[#This Row],[Result]]&gt;0.5,1,0),0)</f>
        <v>0</v>
      </c>
      <c r="AD527" s="2">
        <f>IF(Games[[#This Row],[Type]]="R",IF(Games[[#This Row],[Result]]&lt;0.5,1,0),0)</f>
        <v>0</v>
      </c>
      <c r="AE527" s="2">
        <f>IF(AND(Games[[#This Row],[Type]]="P",Games[[#This Row],[Round]]=1),IF(Games[[#This Row],[Result]]&gt;0.5,1,0),0)</f>
        <v>0</v>
      </c>
      <c r="AF527" s="2">
        <f>IF(AND(Games[[#This Row],[Type]]="P",Games[[#This Row],[Round]]=1),IF(Games[[#This Row],[Result]]&lt;0.5,1,0),0)</f>
        <v>0</v>
      </c>
      <c r="AG527" s="2">
        <f>IF(AND(Games[[#This Row],[Type]]="P",Games[[#This Row],[Round]]=2),IF(Games[[#This Row],[Result]]&gt;0.5,1,0),0)</f>
        <v>0</v>
      </c>
      <c r="AH527" s="2">
        <f>IF(AND(Games[[#This Row],[Type]]="P",Games[[#This Row],[Round]]=2),IF(Games[[#This Row],[Result]]&lt;0.5,1,0),0)</f>
        <v>0</v>
      </c>
      <c r="AI527" s="2">
        <f>IF(AND(Games[[#This Row],[Type]]="P",Games[[#This Row],[Round]]=3),IF(Games[[#This Row],[Result]]&gt;0.5,1,0),0)</f>
        <v>1</v>
      </c>
      <c r="AJ527" s="2">
        <f>IF(AND(Games[[#This Row],[Type]]="P",Games[[#This Row],[Round]]=3),IF(Games[[#This Row],[Result]]&lt;0.5,1,0),0)</f>
        <v>0</v>
      </c>
      <c r="AK527" s="2">
        <f>IF(AND(Games[[#This Row],[Type]]="P",Games[[#This Row],[Round]]=4),IF(Games[[#This Row],[Result]]&gt;0.5,1,0),0)</f>
        <v>0</v>
      </c>
      <c r="AL527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2026-08-26T00:00:23Z</dcterms:modified>
</cp:coreProperties>
</file>
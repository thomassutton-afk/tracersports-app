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\WNBA_Elo\Ratings\"/>
    </mc:Choice>
  </mc:AlternateContent>
  <xr:revisionPtr revIDLastSave="0" documentId="13_ncr:1_{9D3AE977-4775-4640-A70C-C48BEB88E115}" xr6:coauthVersionLast="47" xr6:coauthVersionMax="47" xr10:uidLastSave="{00000000-0000-0000-0000-000000000000}"/>
  <bookViews>
    <workbookView xWindow="-110" yWindow="-110" windowWidth="19420" windowHeight="10300" activeTab="1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5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2" i="2" l="1"/>
  <c r="C523" i="2"/>
  <c r="C524" i="2"/>
  <c r="C525" i="2"/>
  <c r="I522" i="2" a="1"/>
  <c r="I523" i="2" a="1"/>
  <c r="I524" i="2" a="1"/>
  <c r="I525" i="2" a="1"/>
  <c r="J522" i="2" a="1"/>
  <c r="J523" i="2" a="1"/>
  <c r="J524" i="2" a="1"/>
  <c r="J525" i="2" a="1"/>
  <c r="K522" i="2"/>
  <c r="K523" i="2"/>
  <c r="K524" i="2"/>
  <c r="L522" i="2"/>
  <c r="L523" i="2"/>
  <c r="L524" i="2"/>
  <c r="M522" i="2"/>
  <c r="M523" i="2"/>
  <c r="M524" i="2"/>
  <c r="N522" i="2"/>
  <c r="N523" i="2"/>
  <c r="N524" i="2"/>
  <c r="U522" i="2"/>
  <c r="U523" i="2"/>
  <c r="U524" i="2"/>
  <c r="U525" i="2"/>
  <c r="V522" i="2"/>
  <c r="V523" i="2"/>
  <c r="V524" i="2"/>
  <c r="V525" i="2"/>
  <c r="X522" i="2" a="1"/>
  <c r="X523" i="2" a="1"/>
  <c r="X524" i="2" a="1"/>
  <c r="X525" i="2" a="1"/>
  <c r="Y522" i="2"/>
  <c r="Y523" i="2"/>
  <c r="Y524" i="2"/>
  <c r="Y525" i="2"/>
  <c r="Z522" i="2"/>
  <c r="Z523" i="2"/>
  <c r="Z524" i="2"/>
  <c r="Z525" i="2"/>
  <c r="AC522" i="2"/>
  <c r="AC523" i="2"/>
  <c r="AC524" i="2"/>
  <c r="AC525" i="2"/>
  <c r="AD522" i="2"/>
  <c r="AD523" i="2"/>
  <c r="AD524" i="2"/>
  <c r="AD525" i="2"/>
  <c r="AE522" i="2"/>
  <c r="AE523" i="2"/>
  <c r="AE524" i="2"/>
  <c r="AE525" i="2"/>
  <c r="AF522" i="2"/>
  <c r="AF523" i="2"/>
  <c r="AF524" i="2"/>
  <c r="AF525" i="2"/>
  <c r="AG522" i="2"/>
  <c r="AG523" i="2"/>
  <c r="AG524" i="2"/>
  <c r="AG525" i="2"/>
  <c r="AH522" i="2"/>
  <c r="AH523" i="2"/>
  <c r="AH524" i="2"/>
  <c r="AH525" i="2"/>
  <c r="AI522" i="2"/>
  <c r="AI523" i="2"/>
  <c r="AI524" i="2"/>
  <c r="AI525" i="2"/>
  <c r="AJ522" i="2"/>
  <c r="AJ523" i="2"/>
  <c r="AJ524" i="2"/>
  <c r="AJ525" i="2"/>
  <c r="AK522" i="2"/>
  <c r="AK523" i="2"/>
  <c r="AK524" i="2"/>
  <c r="AK525" i="2"/>
  <c r="AL522" i="2"/>
  <c r="AL523" i="2"/>
  <c r="AL524" i="2"/>
  <c r="AL525" i="2"/>
  <c r="C480" i="2"/>
  <c r="Y480" i="2" s="1"/>
  <c r="C481" i="2"/>
  <c r="Y481" i="2" s="1"/>
  <c r="C482" i="2"/>
  <c r="Y482" i="2" s="1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I480" i="2" a="1"/>
  <c r="I481" i="2" a="1"/>
  <c r="I482" i="2" a="1"/>
  <c r="I483" i="2" a="1"/>
  <c r="I484" i="2" a="1"/>
  <c r="I485" i="2" a="1"/>
  <c r="I486" i="2" a="1"/>
  <c r="I487" i="2" a="1"/>
  <c r="I488" i="2" a="1"/>
  <c r="I489" i="2" a="1"/>
  <c r="I490" i="2" a="1"/>
  <c r="I491" i="2" a="1"/>
  <c r="I492" i="2" a="1"/>
  <c r="I493" i="2" a="1"/>
  <c r="I494" i="2" a="1"/>
  <c r="I495" i="2" a="1"/>
  <c r="I496" i="2" a="1"/>
  <c r="I497" i="2" a="1"/>
  <c r="I498" i="2" a="1"/>
  <c r="I499" i="2" a="1"/>
  <c r="I500" i="2" a="1"/>
  <c r="I501" i="2" a="1"/>
  <c r="I502" i="2" a="1"/>
  <c r="I503" i="2" a="1"/>
  <c r="I504" i="2" a="1"/>
  <c r="I505" i="2" a="1"/>
  <c r="I506" i="2" a="1"/>
  <c r="I507" i="2" a="1"/>
  <c r="I508" i="2" a="1"/>
  <c r="I509" i="2" a="1"/>
  <c r="I510" i="2" a="1"/>
  <c r="I511" i="2" a="1"/>
  <c r="I512" i="2" a="1"/>
  <c r="I513" i="2" a="1"/>
  <c r="I514" i="2" a="1"/>
  <c r="I515" i="2" a="1"/>
  <c r="I516" i="2" a="1"/>
  <c r="I517" i="2" a="1"/>
  <c r="I518" i="2" a="1"/>
  <c r="I519" i="2" a="1"/>
  <c r="I520" i="2" a="1"/>
  <c r="I521" i="2" a="1"/>
  <c r="J480" i="2" a="1"/>
  <c r="J481" i="2" a="1"/>
  <c r="J482" i="2" a="1"/>
  <c r="J483" i="2" a="1"/>
  <c r="J484" i="2" a="1"/>
  <c r="J485" i="2" a="1"/>
  <c r="J486" i="2" a="1"/>
  <c r="J487" i="2" a="1"/>
  <c r="J488" i="2" a="1"/>
  <c r="J489" i="2" a="1"/>
  <c r="J490" i="2" a="1"/>
  <c r="J491" i="2" a="1"/>
  <c r="J492" i="2" a="1"/>
  <c r="J493" i="2" a="1"/>
  <c r="J494" i="2" a="1"/>
  <c r="J495" i="2" a="1"/>
  <c r="J496" i="2" a="1"/>
  <c r="J497" i="2" a="1"/>
  <c r="J498" i="2" a="1"/>
  <c r="J499" i="2" a="1"/>
  <c r="J500" i="2" a="1"/>
  <c r="J501" i="2" a="1"/>
  <c r="J502" i="2" a="1"/>
  <c r="J503" i="2" a="1"/>
  <c r="J504" i="2" a="1"/>
  <c r="J505" i="2" a="1"/>
  <c r="J506" i="2" a="1"/>
  <c r="J507" i="2" a="1"/>
  <c r="J508" i="2" a="1"/>
  <c r="J509" i="2" a="1"/>
  <c r="J510" i="2" a="1"/>
  <c r="J511" i="2" a="1"/>
  <c r="J512" i="2" a="1"/>
  <c r="J513" i="2" a="1"/>
  <c r="J514" i="2" a="1"/>
  <c r="J515" i="2" a="1"/>
  <c r="J516" i="2" a="1"/>
  <c r="J517" i="2" a="1"/>
  <c r="J518" i="2" a="1"/>
  <c r="J519" i="2" a="1"/>
  <c r="J520" i="2" a="1"/>
  <c r="J521" i="2" a="1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X480" i="2" a="1"/>
  <c r="X481" i="2" a="1"/>
  <c r="X482" i="2" a="1"/>
  <c r="X483" i="2" a="1"/>
  <c r="X484" i="2" a="1"/>
  <c r="X485" i="2" a="1"/>
  <c r="X486" i="2" a="1"/>
  <c r="X487" i="2" a="1"/>
  <c r="X488" i="2" a="1"/>
  <c r="X489" i="2" a="1"/>
  <c r="X490" i="2" a="1"/>
  <c r="X491" i="2" a="1"/>
  <c r="X492" i="2" a="1"/>
  <c r="X493" i="2" a="1"/>
  <c r="X494" i="2" a="1"/>
  <c r="X495" i="2" a="1"/>
  <c r="X496" i="2" a="1"/>
  <c r="X497" i="2" a="1"/>
  <c r="X498" i="2" a="1"/>
  <c r="X499" i="2" a="1"/>
  <c r="X500" i="2" a="1"/>
  <c r="X501" i="2" a="1"/>
  <c r="X502" i="2" a="1"/>
  <c r="X503" i="2" a="1"/>
  <c r="X504" i="2" a="1"/>
  <c r="X505" i="2" a="1"/>
  <c r="X506" i="2" a="1"/>
  <c r="X507" i="2" a="1"/>
  <c r="X508" i="2" a="1"/>
  <c r="X509" i="2" a="1"/>
  <c r="X510" i="2" a="1"/>
  <c r="X511" i="2" a="1"/>
  <c r="X512" i="2" a="1"/>
  <c r="X513" i="2" a="1"/>
  <c r="X514" i="2" a="1"/>
  <c r="X515" i="2" a="1"/>
  <c r="X516" i="2" a="1"/>
  <c r="X517" i="2" a="1"/>
  <c r="X518" i="2" a="1"/>
  <c r="X519" i="2" a="1"/>
  <c r="X520" i="2" a="1"/>
  <c r="X521" i="2" a="1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C420" i="2"/>
  <c r="Y420" i="2" s="1"/>
  <c r="C421" i="2"/>
  <c r="Y421" i="2" s="1"/>
  <c r="C422" i="2"/>
  <c r="Y422" i="2" s="1"/>
  <c r="C423" i="2"/>
  <c r="Y423" i="2" s="1"/>
  <c r="C424" i="2"/>
  <c r="Y424" i="2" s="1"/>
  <c r="C425" i="2"/>
  <c r="Y425" i="2" s="1"/>
  <c r="C426" i="2"/>
  <c r="Y426" i="2" s="1"/>
  <c r="C427" i="2"/>
  <c r="Y427" i="2" s="1"/>
  <c r="C428" i="2"/>
  <c r="Y428" i="2" s="1"/>
  <c r="C429" i="2"/>
  <c r="Y429" i="2" s="1"/>
  <c r="C430" i="2"/>
  <c r="Y430" i="2" s="1"/>
  <c r="C431" i="2"/>
  <c r="Y431" i="2" s="1"/>
  <c r="C432" i="2"/>
  <c r="Y432" i="2" s="1"/>
  <c r="C433" i="2"/>
  <c r="Y433" i="2" s="1"/>
  <c r="C434" i="2"/>
  <c r="Y434" i="2" s="1"/>
  <c r="C435" i="2"/>
  <c r="Y435" i="2" s="1"/>
  <c r="C436" i="2"/>
  <c r="Y436" i="2" s="1"/>
  <c r="C437" i="2"/>
  <c r="Y437" i="2" s="1"/>
  <c r="C438" i="2"/>
  <c r="Y438" i="2" s="1"/>
  <c r="C439" i="2"/>
  <c r="Y439" i="2" s="1"/>
  <c r="C440" i="2"/>
  <c r="Y440" i="2" s="1"/>
  <c r="C441" i="2"/>
  <c r="Y441" i="2" s="1"/>
  <c r="C442" i="2"/>
  <c r="Y442" i="2" s="1"/>
  <c r="C443" i="2"/>
  <c r="Y443" i="2" s="1"/>
  <c r="C444" i="2"/>
  <c r="Y444" i="2" s="1"/>
  <c r="C445" i="2"/>
  <c r="Y445" i="2" s="1"/>
  <c r="C446" i="2"/>
  <c r="Y446" i="2" s="1"/>
  <c r="C447" i="2"/>
  <c r="Y447" i="2" s="1"/>
  <c r="C448" i="2"/>
  <c r="Y448" i="2" s="1"/>
  <c r="C449" i="2"/>
  <c r="Y449" i="2" s="1"/>
  <c r="C450" i="2"/>
  <c r="Y450" i="2" s="1"/>
  <c r="C451" i="2"/>
  <c r="Y451" i="2" s="1"/>
  <c r="C452" i="2"/>
  <c r="Y452" i="2" s="1"/>
  <c r="C453" i="2"/>
  <c r="Y453" i="2" s="1"/>
  <c r="C454" i="2"/>
  <c r="Y454" i="2" s="1"/>
  <c r="C455" i="2"/>
  <c r="Y455" i="2" s="1"/>
  <c r="C456" i="2"/>
  <c r="Y456" i="2" s="1"/>
  <c r="Z456" i="2" s="1"/>
  <c r="C457" i="2"/>
  <c r="Y457" i="2" s="1"/>
  <c r="Z457" i="2" s="1"/>
  <c r="C458" i="2"/>
  <c r="Y458" i="2" s="1"/>
  <c r="Z458" i="2" s="1"/>
  <c r="C459" i="2"/>
  <c r="Y459" i="2" s="1"/>
  <c r="Z459" i="2" s="1"/>
  <c r="C460" i="2"/>
  <c r="Y460" i="2" s="1"/>
  <c r="Z460" i="2" s="1"/>
  <c r="C461" i="2"/>
  <c r="Y461" i="2" s="1"/>
  <c r="Z461" i="2" s="1"/>
  <c r="C462" i="2"/>
  <c r="Y462" i="2" s="1"/>
  <c r="Z462" i="2" s="1"/>
  <c r="C463" i="2"/>
  <c r="Y463" i="2" s="1"/>
  <c r="Z463" i="2" s="1"/>
  <c r="C464" i="2"/>
  <c r="Y464" i="2" s="1"/>
  <c r="Z464" i="2" s="1"/>
  <c r="C465" i="2"/>
  <c r="Y465" i="2" s="1"/>
  <c r="Z465" i="2" s="1"/>
  <c r="C466" i="2"/>
  <c r="Y466" i="2" s="1"/>
  <c r="Z466" i="2" s="1"/>
  <c r="C467" i="2"/>
  <c r="Y467" i="2" s="1"/>
  <c r="Z467" i="2" s="1"/>
  <c r="C468" i="2"/>
  <c r="Y468" i="2" s="1"/>
  <c r="Z468" i="2" s="1"/>
  <c r="C469" i="2"/>
  <c r="Y469" i="2" s="1"/>
  <c r="Z469" i="2" s="1"/>
  <c r="C470" i="2"/>
  <c r="Y470" i="2" s="1"/>
  <c r="Z470" i="2" s="1"/>
  <c r="C471" i="2"/>
  <c r="Y471" i="2" s="1"/>
  <c r="Z471" i="2" s="1"/>
  <c r="C472" i="2"/>
  <c r="Y472" i="2" s="1"/>
  <c r="Z472" i="2" s="1"/>
  <c r="C473" i="2"/>
  <c r="Y473" i="2" s="1"/>
  <c r="Z473" i="2" s="1"/>
  <c r="C474" i="2"/>
  <c r="Y474" i="2" s="1"/>
  <c r="Z474" i="2" s="1"/>
  <c r="C475" i="2"/>
  <c r="Y475" i="2" s="1"/>
  <c r="Z475" i="2" s="1"/>
  <c r="C476" i="2"/>
  <c r="Y476" i="2" s="1"/>
  <c r="Z476" i="2" s="1"/>
  <c r="C477" i="2"/>
  <c r="Y477" i="2" s="1"/>
  <c r="Z477" i="2" s="1"/>
  <c r="C478" i="2"/>
  <c r="Y478" i="2" s="1"/>
  <c r="Z478" i="2" s="1"/>
  <c r="C479" i="2"/>
  <c r="Y479" i="2" s="1"/>
  <c r="Z479" i="2" s="1"/>
  <c r="I420" i="2" a="1"/>
  <c r="I421" i="2" a="1"/>
  <c r="I422" i="2" a="1"/>
  <c r="I423" i="2" a="1"/>
  <c r="I424" i="2" a="1"/>
  <c r="I425" i="2" a="1"/>
  <c r="I426" i="2" a="1"/>
  <c r="I427" i="2" a="1"/>
  <c r="I428" i="2" a="1"/>
  <c r="I429" i="2" a="1"/>
  <c r="I430" i="2" a="1"/>
  <c r="I431" i="2" a="1"/>
  <c r="I432" i="2" a="1"/>
  <c r="I433" i="2" a="1"/>
  <c r="I434" i="2" a="1"/>
  <c r="I435" i="2" a="1"/>
  <c r="I436" i="2" a="1"/>
  <c r="I437" i="2" a="1"/>
  <c r="I438" i="2" a="1"/>
  <c r="I439" i="2" a="1"/>
  <c r="I440" i="2" a="1"/>
  <c r="I441" i="2" a="1"/>
  <c r="I442" i="2" a="1"/>
  <c r="I443" i="2" a="1"/>
  <c r="I444" i="2" a="1"/>
  <c r="I445" i="2" a="1"/>
  <c r="I446" i="2" a="1"/>
  <c r="I447" i="2" a="1"/>
  <c r="I448" i="2" a="1"/>
  <c r="I449" i="2" a="1"/>
  <c r="I450" i="2" a="1"/>
  <c r="I451" i="2" a="1"/>
  <c r="I452" i="2" a="1"/>
  <c r="I453" i="2" a="1"/>
  <c r="I454" i="2" a="1"/>
  <c r="I455" i="2" a="1"/>
  <c r="I456" i="2" a="1"/>
  <c r="I457" i="2" a="1"/>
  <c r="I458" i="2" a="1"/>
  <c r="I459" i="2" a="1"/>
  <c r="I460" i="2" a="1"/>
  <c r="I461" i="2" a="1"/>
  <c r="I462" i="2" a="1"/>
  <c r="I463" i="2" a="1"/>
  <c r="I464" i="2" a="1"/>
  <c r="I465" i="2" a="1"/>
  <c r="I466" i="2" a="1"/>
  <c r="I467" i="2" a="1"/>
  <c r="I468" i="2" a="1"/>
  <c r="I469" i="2" a="1"/>
  <c r="I470" i="2" a="1"/>
  <c r="I471" i="2" a="1"/>
  <c r="I472" i="2" a="1"/>
  <c r="I473" i="2" a="1"/>
  <c r="I474" i="2" a="1"/>
  <c r="I475" i="2" a="1"/>
  <c r="I476" i="2" a="1"/>
  <c r="I477" i="2" a="1"/>
  <c r="I478" i="2" a="1"/>
  <c r="I479" i="2" a="1"/>
  <c r="J420" i="2" a="1"/>
  <c r="J421" i="2" a="1"/>
  <c r="J422" i="2" a="1"/>
  <c r="J423" i="2" a="1"/>
  <c r="J424" i="2" a="1"/>
  <c r="J425" i="2" a="1"/>
  <c r="J426" i="2" a="1"/>
  <c r="J427" i="2" a="1"/>
  <c r="J428" i="2" a="1"/>
  <c r="J429" i="2" a="1"/>
  <c r="J430" i="2" a="1"/>
  <c r="J431" i="2" a="1"/>
  <c r="J432" i="2" a="1"/>
  <c r="J433" i="2" a="1"/>
  <c r="J434" i="2" a="1"/>
  <c r="J435" i="2" a="1"/>
  <c r="J436" i="2" a="1"/>
  <c r="J437" i="2" a="1"/>
  <c r="J438" i="2" a="1"/>
  <c r="J439" i="2" a="1"/>
  <c r="J440" i="2" a="1"/>
  <c r="J441" i="2" a="1"/>
  <c r="J442" i="2" a="1"/>
  <c r="J443" i="2" a="1"/>
  <c r="J444" i="2" a="1"/>
  <c r="J445" i="2" a="1"/>
  <c r="J446" i="2" a="1"/>
  <c r="J447" i="2" a="1"/>
  <c r="J448" i="2" a="1"/>
  <c r="J449" i="2" a="1"/>
  <c r="J450" i="2" a="1"/>
  <c r="J451" i="2" a="1"/>
  <c r="J452" i="2" a="1"/>
  <c r="J453" i="2" a="1"/>
  <c r="J454" i="2" a="1"/>
  <c r="J455" i="2" a="1"/>
  <c r="J456" i="2" a="1"/>
  <c r="J457" i="2" a="1"/>
  <c r="J458" i="2" a="1"/>
  <c r="J459" i="2" a="1"/>
  <c r="J460" i="2" a="1"/>
  <c r="J461" i="2" a="1"/>
  <c r="J462" i="2" a="1"/>
  <c r="J463" i="2" a="1"/>
  <c r="J464" i="2" a="1"/>
  <c r="J465" i="2" a="1"/>
  <c r="J466" i="2" a="1"/>
  <c r="J467" i="2" a="1"/>
  <c r="J468" i="2" a="1"/>
  <c r="J469" i="2" a="1"/>
  <c r="J470" i="2" a="1"/>
  <c r="J471" i="2" a="1"/>
  <c r="J472" i="2" a="1"/>
  <c r="J473" i="2" a="1"/>
  <c r="J474" i="2" a="1"/>
  <c r="J475" i="2" a="1"/>
  <c r="J476" i="2" a="1"/>
  <c r="J477" i="2" a="1"/>
  <c r="J478" i="2" a="1"/>
  <c r="J479" i="2" a="1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8" i="2"/>
  <c r="K469" i="2"/>
  <c r="K470" i="2"/>
  <c r="K471" i="2"/>
  <c r="K472" i="2"/>
  <c r="K473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8" i="2"/>
  <c r="L469" i="2"/>
  <c r="L470" i="2"/>
  <c r="L471" i="2"/>
  <c r="L472" i="2"/>
  <c r="L473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8" i="2"/>
  <c r="M469" i="2"/>
  <c r="M470" i="2"/>
  <c r="M471" i="2"/>
  <c r="M472" i="2"/>
  <c r="M473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8" i="2"/>
  <c r="N469" i="2"/>
  <c r="N470" i="2"/>
  <c r="N471" i="2"/>
  <c r="N472" i="2"/>
  <c r="N473" i="2"/>
  <c r="U420" i="2"/>
  <c r="V420" i="2" s="1"/>
  <c r="U421" i="2"/>
  <c r="V421" i="2" s="1"/>
  <c r="U422" i="2"/>
  <c r="V422" i="2" s="1"/>
  <c r="U423" i="2"/>
  <c r="V423" i="2" s="1"/>
  <c r="U424" i="2"/>
  <c r="V424" i="2" s="1"/>
  <c r="U425" i="2"/>
  <c r="V425" i="2" s="1"/>
  <c r="U426" i="2"/>
  <c r="V426" i="2" s="1"/>
  <c r="U427" i="2"/>
  <c r="V427" i="2" s="1"/>
  <c r="U428" i="2"/>
  <c r="V428" i="2" s="1"/>
  <c r="U429" i="2"/>
  <c r="V429" i="2" s="1"/>
  <c r="U430" i="2"/>
  <c r="V430" i="2" s="1"/>
  <c r="U431" i="2"/>
  <c r="V431" i="2" s="1"/>
  <c r="U432" i="2"/>
  <c r="V432" i="2" s="1"/>
  <c r="U433" i="2"/>
  <c r="V433" i="2" s="1"/>
  <c r="U434" i="2"/>
  <c r="V434" i="2" s="1"/>
  <c r="U435" i="2"/>
  <c r="V435" i="2" s="1"/>
  <c r="U436" i="2"/>
  <c r="V436" i="2" s="1"/>
  <c r="U437" i="2"/>
  <c r="V437" i="2" s="1"/>
  <c r="U438" i="2"/>
  <c r="V438" i="2" s="1"/>
  <c r="U439" i="2"/>
  <c r="V439" i="2" s="1"/>
  <c r="U440" i="2"/>
  <c r="V440" i="2" s="1"/>
  <c r="U441" i="2"/>
  <c r="V441" i="2" s="1"/>
  <c r="U442" i="2"/>
  <c r="V442" i="2" s="1"/>
  <c r="U443" i="2"/>
  <c r="V443" i="2" s="1"/>
  <c r="U444" i="2"/>
  <c r="V444" i="2" s="1"/>
  <c r="U445" i="2"/>
  <c r="V445" i="2" s="1"/>
  <c r="U446" i="2"/>
  <c r="V446" i="2" s="1"/>
  <c r="U447" i="2"/>
  <c r="V447" i="2" s="1"/>
  <c r="U448" i="2"/>
  <c r="V448" i="2" s="1"/>
  <c r="U449" i="2"/>
  <c r="V449" i="2" s="1"/>
  <c r="U450" i="2"/>
  <c r="V450" i="2" s="1"/>
  <c r="U451" i="2"/>
  <c r="V451" i="2" s="1"/>
  <c r="U452" i="2"/>
  <c r="V452" i="2" s="1"/>
  <c r="U453" i="2"/>
  <c r="V453" i="2" s="1"/>
  <c r="U454" i="2"/>
  <c r="V454" i="2" s="1"/>
  <c r="U455" i="2"/>
  <c r="V455" i="2" s="1"/>
  <c r="U456" i="2"/>
  <c r="V456" i="2" s="1"/>
  <c r="U457" i="2"/>
  <c r="V457" i="2" s="1"/>
  <c r="U458" i="2"/>
  <c r="V458" i="2" s="1"/>
  <c r="U459" i="2"/>
  <c r="V459" i="2" s="1"/>
  <c r="U460" i="2"/>
  <c r="V460" i="2" s="1"/>
  <c r="U461" i="2"/>
  <c r="V461" i="2" s="1"/>
  <c r="U462" i="2"/>
  <c r="V462" i="2" s="1"/>
  <c r="U463" i="2"/>
  <c r="V463" i="2" s="1"/>
  <c r="U464" i="2"/>
  <c r="V464" i="2" s="1"/>
  <c r="U465" i="2"/>
  <c r="V465" i="2" s="1"/>
  <c r="U466" i="2"/>
  <c r="V466" i="2" s="1"/>
  <c r="U467" i="2"/>
  <c r="V467" i="2" s="1"/>
  <c r="U468" i="2"/>
  <c r="U469" i="2"/>
  <c r="U470" i="2"/>
  <c r="U471" i="2"/>
  <c r="U472" i="2"/>
  <c r="U473" i="2"/>
  <c r="U474" i="2"/>
  <c r="U475" i="2"/>
  <c r="U476" i="2"/>
  <c r="U477" i="2"/>
  <c r="U478" i="2"/>
  <c r="U479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X420" i="2" a="1"/>
  <c r="X421" i="2" a="1"/>
  <c r="X422" i="2" a="1"/>
  <c r="X423" i="2" a="1"/>
  <c r="X424" i="2" a="1"/>
  <c r="X425" i="2" a="1"/>
  <c r="X426" i="2" a="1"/>
  <c r="X427" i="2" a="1"/>
  <c r="X428" i="2" a="1"/>
  <c r="X429" i="2" a="1"/>
  <c r="X430" i="2" a="1"/>
  <c r="X431" i="2" a="1"/>
  <c r="X432" i="2" a="1"/>
  <c r="X433" i="2" a="1"/>
  <c r="X434" i="2" a="1"/>
  <c r="X435" i="2" a="1"/>
  <c r="X436" i="2" a="1"/>
  <c r="X437" i="2" a="1"/>
  <c r="X438" i="2" a="1"/>
  <c r="X439" i="2" a="1"/>
  <c r="X440" i="2" a="1"/>
  <c r="X441" i="2" a="1"/>
  <c r="X442" i="2" a="1"/>
  <c r="X443" i="2" a="1"/>
  <c r="X444" i="2" a="1"/>
  <c r="X445" i="2" a="1"/>
  <c r="X446" i="2" a="1"/>
  <c r="X447" i="2" a="1"/>
  <c r="X448" i="2" a="1"/>
  <c r="X449" i="2" a="1"/>
  <c r="X450" i="2" a="1"/>
  <c r="X451" i="2" a="1"/>
  <c r="X452" i="2" a="1"/>
  <c r="X453" i="2" a="1"/>
  <c r="X454" i="2" a="1"/>
  <c r="X455" i="2" a="1"/>
  <c r="X456" i="2" a="1"/>
  <c r="X457" i="2" a="1"/>
  <c r="X458" i="2" a="1"/>
  <c r="X459" i="2" a="1"/>
  <c r="X460" i="2" a="1"/>
  <c r="X461" i="2" a="1"/>
  <c r="X462" i="2" a="1"/>
  <c r="X463" i="2" a="1"/>
  <c r="X464" i="2" a="1"/>
  <c r="X465" i="2" a="1"/>
  <c r="X466" i="2" a="1"/>
  <c r="X467" i="2" a="1"/>
  <c r="X468" i="2" a="1"/>
  <c r="X469" i="2" a="1"/>
  <c r="X470" i="2" a="1"/>
  <c r="X471" i="2" a="1"/>
  <c r="X472" i="2" a="1"/>
  <c r="X473" i="2" a="1"/>
  <c r="X474" i="2" a="1"/>
  <c r="X475" i="2" a="1"/>
  <c r="X476" i="2" a="1"/>
  <c r="X477" i="2" a="1"/>
  <c r="X478" i="2" a="1"/>
  <c r="X479" i="2" a="1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C296" i="2"/>
  <c r="Y296" i="2" s="1"/>
  <c r="C297" i="2"/>
  <c r="Y297" i="2" s="1"/>
  <c r="C298" i="2"/>
  <c r="Y298" i="2" s="1"/>
  <c r="C299" i="2"/>
  <c r="Y299" i="2" s="1"/>
  <c r="C300" i="2"/>
  <c r="Y300" i="2" s="1"/>
  <c r="C301" i="2"/>
  <c r="Y301" i="2" s="1"/>
  <c r="C302" i="2"/>
  <c r="Y302" i="2" s="1"/>
  <c r="C303" i="2"/>
  <c r="Y303" i="2" s="1"/>
  <c r="C304" i="2"/>
  <c r="Y304" i="2" s="1"/>
  <c r="C305" i="2"/>
  <c r="Y305" i="2" s="1"/>
  <c r="C306" i="2"/>
  <c r="Y306" i="2" s="1"/>
  <c r="C307" i="2"/>
  <c r="Y307" i="2" s="1"/>
  <c r="C308" i="2"/>
  <c r="Y308" i="2" s="1"/>
  <c r="C309" i="2"/>
  <c r="Y309" i="2" s="1"/>
  <c r="C310" i="2"/>
  <c r="Y310" i="2" s="1"/>
  <c r="C311" i="2"/>
  <c r="Y311" i="2" s="1"/>
  <c r="C312" i="2"/>
  <c r="Y312" i="2" s="1"/>
  <c r="C313" i="2"/>
  <c r="Y313" i="2" s="1"/>
  <c r="C314" i="2"/>
  <c r="Y314" i="2" s="1"/>
  <c r="C315" i="2"/>
  <c r="Y315" i="2" s="1"/>
  <c r="C316" i="2"/>
  <c r="Y316" i="2" s="1"/>
  <c r="C317" i="2"/>
  <c r="Y317" i="2" s="1"/>
  <c r="C318" i="2"/>
  <c r="Y318" i="2" s="1"/>
  <c r="C319" i="2"/>
  <c r="Y319" i="2" s="1"/>
  <c r="C320" i="2"/>
  <c r="Y320" i="2" s="1"/>
  <c r="C321" i="2"/>
  <c r="Y321" i="2" s="1"/>
  <c r="C322" i="2"/>
  <c r="Y322" i="2" s="1"/>
  <c r="C323" i="2"/>
  <c r="Y323" i="2" s="1"/>
  <c r="C324" i="2"/>
  <c r="Y324" i="2" s="1"/>
  <c r="C325" i="2"/>
  <c r="Y325" i="2" s="1"/>
  <c r="C326" i="2"/>
  <c r="Y326" i="2" s="1"/>
  <c r="C327" i="2"/>
  <c r="Y327" i="2" s="1"/>
  <c r="C328" i="2"/>
  <c r="Y328" i="2" s="1"/>
  <c r="C329" i="2"/>
  <c r="Y329" i="2" s="1"/>
  <c r="C330" i="2"/>
  <c r="Y330" i="2" s="1"/>
  <c r="C331" i="2"/>
  <c r="Y331" i="2" s="1"/>
  <c r="C332" i="2"/>
  <c r="Y332" i="2" s="1"/>
  <c r="C333" i="2"/>
  <c r="Y333" i="2" s="1"/>
  <c r="C334" i="2"/>
  <c r="Y334" i="2" s="1"/>
  <c r="C335" i="2"/>
  <c r="Y335" i="2" s="1"/>
  <c r="C336" i="2"/>
  <c r="Y336" i="2" s="1"/>
  <c r="C337" i="2"/>
  <c r="Y337" i="2" s="1"/>
  <c r="C338" i="2"/>
  <c r="Y338" i="2" s="1"/>
  <c r="C339" i="2"/>
  <c r="Y339" i="2" s="1"/>
  <c r="C340" i="2"/>
  <c r="Y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C408" i="2"/>
  <c r="Y408" i="2" s="1"/>
  <c r="C409" i="2"/>
  <c r="Y409" i="2" s="1"/>
  <c r="C410" i="2"/>
  <c r="Y410" i="2" s="1"/>
  <c r="C411" i="2"/>
  <c r="Y411" i="2" s="1"/>
  <c r="C412" i="2"/>
  <c r="Y412" i="2" s="1"/>
  <c r="C413" i="2"/>
  <c r="Y413" i="2" s="1"/>
  <c r="C414" i="2"/>
  <c r="Y414" i="2" s="1"/>
  <c r="C415" i="2"/>
  <c r="Y415" i="2" s="1"/>
  <c r="C416" i="2"/>
  <c r="Y416" i="2" s="1"/>
  <c r="C417" i="2"/>
  <c r="Y417" i="2" s="1"/>
  <c r="C418" i="2"/>
  <c r="Y418" i="2" s="1"/>
  <c r="C419" i="2"/>
  <c r="Y419" i="2" s="1"/>
  <c r="I296" i="2" a="1"/>
  <c r="I297" i="2" a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38" i="2" a="1"/>
  <c r="I339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I418" i="2" a="1"/>
  <c r="I419" i="2" a="1"/>
  <c r="J296" i="2" a="1"/>
  <c r="J29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38" i="2" a="1"/>
  <c r="J339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J369" i="2" a="1"/>
  <c r="J370" i="2" a="1"/>
  <c r="J371" i="2" a="1"/>
  <c r="J372" i="2" a="1"/>
  <c r="J373" i="2" a="1"/>
  <c r="J374" i="2" a="1"/>
  <c r="J375" i="2" a="1"/>
  <c r="J376" i="2" a="1"/>
  <c r="J377" i="2" a="1"/>
  <c r="J378" i="2" a="1"/>
  <c r="J379" i="2" a="1"/>
  <c r="J380" i="2" a="1"/>
  <c r="J381" i="2" a="1"/>
  <c r="J382" i="2" a="1"/>
  <c r="J383" i="2" a="1"/>
  <c r="J384" i="2" a="1"/>
  <c r="J385" i="2" a="1"/>
  <c r="J386" i="2" a="1"/>
  <c r="J387" i="2" a="1"/>
  <c r="J388" i="2" a="1"/>
  <c r="J389" i="2" a="1"/>
  <c r="J390" i="2" a="1"/>
  <c r="J391" i="2" a="1"/>
  <c r="J392" i="2" a="1"/>
  <c r="J393" i="2" a="1"/>
  <c r="J394" i="2" a="1"/>
  <c r="J395" i="2" a="1"/>
  <c r="J396" i="2" a="1"/>
  <c r="J397" i="2" a="1"/>
  <c r="L397" i="2" s="1"/>
  <c r="N397" i="2" s="1"/>
  <c r="J398" i="2" a="1"/>
  <c r="L398" i="2" s="1"/>
  <c r="N398" i="2" s="1"/>
  <c r="J399" i="2" a="1"/>
  <c r="L399" i="2" s="1"/>
  <c r="N399" i="2" s="1"/>
  <c r="J400" i="2" a="1"/>
  <c r="L400" i="2" s="1"/>
  <c r="N400" i="2" s="1"/>
  <c r="J401" i="2" a="1"/>
  <c r="L401" i="2" s="1"/>
  <c r="N401" i="2" s="1"/>
  <c r="J402" i="2" a="1"/>
  <c r="L402" i="2" s="1"/>
  <c r="N402" i="2" s="1"/>
  <c r="J403" i="2" a="1"/>
  <c r="L403" i="2" s="1"/>
  <c r="N403" i="2" s="1"/>
  <c r="J404" i="2" a="1"/>
  <c r="L404" i="2" s="1"/>
  <c r="N404" i="2" s="1"/>
  <c r="J405" i="2" a="1"/>
  <c r="L405" i="2" s="1"/>
  <c r="N405" i="2" s="1"/>
  <c r="J406" i="2" a="1"/>
  <c r="L406" i="2" s="1"/>
  <c r="N406" i="2" s="1"/>
  <c r="J407" i="2" a="1"/>
  <c r="L407" i="2" s="1"/>
  <c r="N407" i="2" s="1"/>
  <c r="J408" i="2" a="1"/>
  <c r="L408" i="2" s="1"/>
  <c r="N408" i="2" s="1"/>
  <c r="J409" i="2" a="1"/>
  <c r="L409" i="2" s="1"/>
  <c r="N409" i="2" s="1"/>
  <c r="J410" i="2" a="1"/>
  <c r="L410" i="2" s="1"/>
  <c r="N410" i="2" s="1"/>
  <c r="J411" i="2" a="1"/>
  <c r="L411" i="2" s="1"/>
  <c r="N411" i="2" s="1"/>
  <c r="J412" i="2" a="1"/>
  <c r="J413" i="2" a="1"/>
  <c r="L413" i="2" s="1"/>
  <c r="N413" i="2" s="1"/>
  <c r="J414" i="2" a="1"/>
  <c r="J415" i="2" a="1"/>
  <c r="L415" i="2" s="1"/>
  <c r="N415" i="2" s="1"/>
  <c r="J416" i="2" a="1"/>
  <c r="J417" i="2" a="1"/>
  <c r="J418" i="2" a="1"/>
  <c r="J419" i="2" a="1"/>
  <c r="K296" i="2"/>
  <c r="M296" i="2" s="1"/>
  <c r="K297" i="2"/>
  <c r="M297" i="2" s="1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M307" i="2" s="1"/>
  <c r="K308" i="2"/>
  <c r="M308" i="2" s="1"/>
  <c r="K309" i="2"/>
  <c r="M309" i="2" s="1"/>
  <c r="K310" i="2"/>
  <c r="M310" i="2" s="1"/>
  <c r="K311" i="2"/>
  <c r="M311" i="2" s="1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2" i="2"/>
  <c r="M322" i="2" s="1"/>
  <c r="K323" i="2"/>
  <c r="M323" i="2" s="1"/>
  <c r="K324" i="2"/>
  <c r="M324" i="2" s="1"/>
  <c r="K325" i="2"/>
  <c r="M325" i="2" s="1"/>
  <c r="K326" i="2"/>
  <c r="M326" i="2" s="1"/>
  <c r="K327" i="2"/>
  <c r="M327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36" i="2"/>
  <c r="M336" i="2" s="1"/>
  <c r="K337" i="2"/>
  <c r="M337" i="2" s="1"/>
  <c r="K338" i="2"/>
  <c r="M338" i="2" s="1"/>
  <c r="K339" i="2"/>
  <c r="M339" i="2" s="1"/>
  <c r="K340" i="2"/>
  <c r="M340" i="2" s="1"/>
  <c r="K341" i="2"/>
  <c r="M341" i="2" s="1"/>
  <c r="K343" i="2"/>
  <c r="M343" i="2" s="1"/>
  <c r="K344" i="2"/>
  <c r="M344" i="2" s="1"/>
  <c r="K345" i="2"/>
  <c r="M345" i="2" s="1"/>
  <c r="K346" i="2"/>
  <c r="M346" i="2" s="1"/>
  <c r="K347" i="2"/>
  <c r="M347" i="2" s="1"/>
  <c r="K348" i="2"/>
  <c r="M348" i="2" s="1"/>
  <c r="K349" i="2"/>
  <c r="M349" i="2" s="1"/>
  <c r="K350" i="2"/>
  <c r="M350" i="2" s="1"/>
  <c r="K351" i="2"/>
  <c r="M351" i="2" s="1"/>
  <c r="K352" i="2"/>
  <c r="M352" i="2" s="1"/>
  <c r="K353" i="2"/>
  <c r="M353" i="2" s="1"/>
  <c r="K354" i="2"/>
  <c r="M354" i="2" s="1"/>
  <c r="K355" i="2"/>
  <c r="M355" i="2" s="1"/>
  <c r="K356" i="2"/>
  <c r="M356" i="2" s="1"/>
  <c r="K357" i="2"/>
  <c r="M357" i="2" s="1"/>
  <c r="K358" i="2"/>
  <c r="M358" i="2" s="1"/>
  <c r="K359" i="2"/>
  <c r="M359" i="2" s="1"/>
  <c r="K360" i="2"/>
  <c r="M360" i="2" s="1"/>
  <c r="K361" i="2"/>
  <c r="M361" i="2" s="1"/>
  <c r="K362" i="2"/>
  <c r="M362" i="2" s="1"/>
  <c r="K363" i="2"/>
  <c r="M363" i="2" s="1"/>
  <c r="K364" i="2"/>
  <c r="M364" i="2" s="1"/>
  <c r="K365" i="2"/>
  <c r="M365" i="2" s="1"/>
  <c r="K366" i="2"/>
  <c r="M366" i="2" s="1"/>
  <c r="K368" i="2"/>
  <c r="M368" i="2" s="1"/>
  <c r="K369" i="2"/>
  <c r="M369" i="2" s="1"/>
  <c r="K370" i="2"/>
  <c r="M370" i="2" s="1"/>
  <c r="K371" i="2"/>
  <c r="M371" i="2" s="1"/>
  <c r="K372" i="2"/>
  <c r="M372" i="2" s="1"/>
  <c r="K373" i="2"/>
  <c r="M373" i="2" s="1"/>
  <c r="K374" i="2"/>
  <c r="M374" i="2" s="1"/>
  <c r="K375" i="2"/>
  <c r="M375" i="2" s="1"/>
  <c r="K376" i="2"/>
  <c r="M376" i="2" s="1"/>
  <c r="K377" i="2"/>
  <c r="M377" i="2" s="1"/>
  <c r="K378" i="2"/>
  <c r="M378" i="2" s="1"/>
  <c r="K379" i="2"/>
  <c r="M379" i="2" s="1"/>
  <c r="K380" i="2"/>
  <c r="M380" i="2" s="1"/>
  <c r="K381" i="2"/>
  <c r="M381" i="2" s="1"/>
  <c r="K382" i="2"/>
  <c r="M382" i="2" s="1"/>
  <c r="K383" i="2"/>
  <c r="M383" i="2" s="1"/>
  <c r="K384" i="2"/>
  <c r="M384" i="2" s="1"/>
  <c r="K385" i="2"/>
  <c r="M385" i="2" s="1"/>
  <c r="K386" i="2"/>
  <c r="M386" i="2" s="1"/>
  <c r="K387" i="2"/>
  <c r="M387" i="2" s="1"/>
  <c r="K388" i="2"/>
  <c r="M388" i="2" s="1"/>
  <c r="K389" i="2"/>
  <c r="M389" i="2" s="1"/>
  <c r="K390" i="2"/>
  <c r="M390" i="2" s="1"/>
  <c r="K391" i="2"/>
  <c r="M391" i="2" s="1"/>
  <c r="K392" i="2"/>
  <c r="M392" i="2" s="1"/>
  <c r="K393" i="2"/>
  <c r="M393" i="2" s="1"/>
  <c r="K394" i="2"/>
  <c r="M394" i="2" s="1"/>
  <c r="K395" i="2"/>
  <c r="M395" i="2" s="1"/>
  <c r="K396" i="2"/>
  <c r="M396" i="2" s="1"/>
  <c r="K397" i="2"/>
  <c r="M397" i="2" s="1"/>
  <c r="K398" i="2"/>
  <c r="M398" i="2" s="1"/>
  <c r="K399" i="2"/>
  <c r="M399" i="2" s="1"/>
  <c r="K400" i="2"/>
  <c r="M400" i="2" s="1"/>
  <c r="K401" i="2"/>
  <c r="M401" i="2" s="1"/>
  <c r="K402" i="2"/>
  <c r="M402" i="2" s="1"/>
  <c r="K403" i="2"/>
  <c r="M403" i="2" s="1"/>
  <c r="K404" i="2"/>
  <c r="M404" i="2" s="1"/>
  <c r="K405" i="2"/>
  <c r="M405" i="2" s="1"/>
  <c r="K406" i="2"/>
  <c r="M406" i="2" s="1"/>
  <c r="K407" i="2"/>
  <c r="M407" i="2" s="1"/>
  <c r="K408" i="2"/>
  <c r="M408" i="2" s="1"/>
  <c r="K409" i="2"/>
  <c r="M409" i="2" s="1"/>
  <c r="K410" i="2"/>
  <c r="M410" i="2" s="1"/>
  <c r="K411" i="2"/>
  <c r="M411" i="2" s="1"/>
  <c r="K413" i="2"/>
  <c r="M413" i="2" s="1"/>
  <c r="K415" i="2"/>
  <c r="M415" i="2" s="1"/>
  <c r="L296" i="2"/>
  <c r="N296" i="2" s="1"/>
  <c r="L297" i="2"/>
  <c r="N297" i="2" s="1"/>
  <c r="L298" i="2"/>
  <c r="N298" i="2" s="1"/>
  <c r="L299" i="2"/>
  <c r="N299" i="2" s="1"/>
  <c r="L300" i="2"/>
  <c r="N300" i="2" s="1"/>
  <c r="L301" i="2"/>
  <c r="N301" i="2" s="1"/>
  <c r="L302" i="2"/>
  <c r="N302" i="2" s="1"/>
  <c r="L303" i="2"/>
  <c r="N303" i="2" s="1"/>
  <c r="L304" i="2"/>
  <c r="N304" i="2" s="1"/>
  <c r="L305" i="2"/>
  <c r="N305" i="2" s="1"/>
  <c r="L306" i="2"/>
  <c r="N306" i="2" s="1"/>
  <c r="L307" i="2"/>
  <c r="N307" i="2" s="1"/>
  <c r="L308" i="2"/>
  <c r="N308" i="2" s="1"/>
  <c r="L309" i="2"/>
  <c r="N309" i="2" s="1"/>
  <c r="L310" i="2"/>
  <c r="N310" i="2" s="1"/>
  <c r="L311" i="2"/>
  <c r="N311" i="2" s="1"/>
  <c r="L312" i="2"/>
  <c r="N312" i="2" s="1"/>
  <c r="L313" i="2"/>
  <c r="N313" i="2" s="1"/>
  <c r="L314" i="2"/>
  <c r="N314" i="2" s="1"/>
  <c r="L315" i="2"/>
  <c r="N315" i="2" s="1"/>
  <c r="L316" i="2"/>
  <c r="N316" i="2" s="1"/>
  <c r="L317" i="2"/>
  <c r="N317" i="2" s="1"/>
  <c r="L318" i="2"/>
  <c r="N318" i="2" s="1"/>
  <c r="L319" i="2"/>
  <c r="N319" i="2" s="1"/>
  <c r="L320" i="2"/>
  <c r="N320" i="2" s="1"/>
  <c r="L321" i="2"/>
  <c r="N321" i="2" s="1"/>
  <c r="L322" i="2"/>
  <c r="N322" i="2" s="1"/>
  <c r="L323" i="2"/>
  <c r="N323" i="2" s="1"/>
  <c r="L324" i="2"/>
  <c r="N324" i="2" s="1"/>
  <c r="L325" i="2"/>
  <c r="N325" i="2" s="1"/>
  <c r="L326" i="2"/>
  <c r="N326" i="2" s="1"/>
  <c r="L327" i="2"/>
  <c r="N327" i="2" s="1"/>
  <c r="L328" i="2"/>
  <c r="N328" i="2" s="1"/>
  <c r="L329" i="2"/>
  <c r="N329" i="2" s="1"/>
  <c r="L330" i="2"/>
  <c r="N330" i="2" s="1"/>
  <c r="L331" i="2"/>
  <c r="N331" i="2" s="1"/>
  <c r="L332" i="2"/>
  <c r="N332" i="2" s="1"/>
  <c r="L333" i="2"/>
  <c r="N333" i="2" s="1"/>
  <c r="L334" i="2"/>
  <c r="N334" i="2" s="1"/>
  <c r="L335" i="2"/>
  <c r="N335" i="2" s="1"/>
  <c r="L336" i="2"/>
  <c r="N336" i="2" s="1"/>
  <c r="L337" i="2"/>
  <c r="N337" i="2" s="1"/>
  <c r="L338" i="2"/>
  <c r="N338" i="2" s="1"/>
  <c r="L339" i="2"/>
  <c r="N339" i="2" s="1"/>
  <c r="L340" i="2"/>
  <c r="N340" i="2" s="1"/>
  <c r="L341" i="2"/>
  <c r="N341" i="2" s="1"/>
  <c r="L343" i="2"/>
  <c r="N343" i="2" s="1"/>
  <c r="L344" i="2"/>
  <c r="N344" i="2" s="1"/>
  <c r="L345" i="2"/>
  <c r="N345" i="2" s="1"/>
  <c r="L346" i="2"/>
  <c r="N346" i="2" s="1"/>
  <c r="L347" i="2"/>
  <c r="N347" i="2" s="1"/>
  <c r="L348" i="2"/>
  <c r="N348" i="2" s="1"/>
  <c r="L349" i="2"/>
  <c r="N349" i="2" s="1"/>
  <c r="L350" i="2"/>
  <c r="N350" i="2" s="1"/>
  <c r="L351" i="2"/>
  <c r="N351" i="2" s="1"/>
  <c r="L352" i="2"/>
  <c r="N352" i="2" s="1"/>
  <c r="L353" i="2"/>
  <c r="N353" i="2" s="1"/>
  <c r="L354" i="2"/>
  <c r="N354" i="2" s="1"/>
  <c r="L355" i="2"/>
  <c r="N355" i="2" s="1"/>
  <c r="L356" i="2"/>
  <c r="N356" i="2" s="1"/>
  <c r="L357" i="2"/>
  <c r="N357" i="2" s="1"/>
  <c r="L358" i="2"/>
  <c r="N358" i="2" s="1"/>
  <c r="L359" i="2"/>
  <c r="N359" i="2" s="1"/>
  <c r="L360" i="2"/>
  <c r="N360" i="2" s="1"/>
  <c r="L361" i="2"/>
  <c r="N361" i="2" s="1"/>
  <c r="L362" i="2"/>
  <c r="N362" i="2" s="1"/>
  <c r="L363" i="2"/>
  <c r="N363" i="2" s="1"/>
  <c r="L364" i="2"/>
  <c r="N364" i="2" s="1"/>
  <c r="L365" i="2"/>
  <c r="N365" i="2" s="1"/>
  <c r="L366" i="2"/>
  <c r="N366" i="2" s="1"/>
  <c r="L368" i="2"/>
  <c r="N368" i="2" s="1"/>
  <c r="L369" i="2"/>
  <c r="N369" i="2" s="1"/>
  <c r="L370" i="2"/>
  <c r="N370" i="2" s="1"/>
  <c r="L371" i="2"/>
  <c r="N371" i="2" s="1"/>
  <c r="L372" i="2"/>
  <c r="N372" i="2" s="1"/>
  <c r="L373" i="2"/>
  <c r="N373" i="2" s="1"/>
  <c r="L374" i="2"/>
  <c r="N374" i="2" s="1"/>
  <c r="L375" i="2"/>
  <c r="N375" i="2" s="1"/>
  <c r="L376" i="2"/>
  <c r="N376" i="2" s="1"/>
  <c r="L377" i="2"/>
  <c r="N377" i="2" s="1"/>
  <c r="L378" i="2"/>
  <c r="N378" i="2" s="1"/>
  <c r="L379" i="2"/>
  <c r="N379" i="2" s="1"/>
  <c r="L380" i="2"/>
  <c r="N380" i="2" s="1"/>
  <c r="L381" i="2"/>
  <c r="N381" i="2" s="1"/>
  <c r="L382" i="2"/>
  <c r="N382" i="2" s="1"/>
  <c r="L383" i="2"/>
  <c r="N383" i="2" s="1"/>
  <c r="L384" i="2"/>
  <c r="N384" i="2" s="1"/>
  <c r="L385" i="2"/>
  <c r="N385" i="2" s="1"/>
  <c r="L386" i="2"/>
  <c r="N386" i="2" s="1"/>
  <c r="L387" i="2"/>
  <c r="N387" i="2" s="1"/>
  <c r="L388" i="2"/>
  <c r="N388" i="2" s="1"/>
  <c r="L389" i="2"/>
  <c r="N389" i="2" s="1"/>
  <c r="L390" i="2"/>
  <c r="N390" i="2" s="1"/>
  <c r="L391" i="2"/>
  <c r="N391" i="2" s="1"/>
  <c r="L392" i="2"/>
  <c r="N392" i="2" s="1"/>
  <c r="L393" i="2"/>
  <c r="N393" i="2" s="1"/>
  <c r="L394" i="2"/>
  <c r="N394" i="2" s="1"/>
  <c r="L395" i="2"/>
  <c r="N395" i="2" s="1"/>
  <c r="L396" i="2"/>
  <c r="N396" i="2" s="1"/>
  <c r="U296" i="2"/>
  <c r="V296" i="2" s="1"/>
  <c r="U297" i="2"/>
  <c r="V297" i="2" s="1"/>
  <c r="U298" i="2"/>
  <c r="V298" i="2" s="1"/>
  <c r="U299" i="2"/>
  <c r="V299" i="2" s="1"/>
  <c r="U300" i="2"/>
  <c r="V300" i="2" s="1"/>
  <c r="U301" i="2"/>
  <c r="V301" i="2" s="1"/>
  <c r="U302" i="2"/>
  <c r="V302" i="2" s="1"/>
  <c r="U303" i="2"/>
  <c r="V303" i="2" s="1"/>
  <c r="U304" i="2"/>
  <c r="V304" i="2" s="1"/>
  <c r="U305" i="2"/>
  <c r="V305" i="2" s="1"/>
  <c r="U306" i="2"/>
  <c r="V306" i="2" s="1"/>
  <c r="U307" i="2"/>
  <c r="V307" i="2" s="1"/>
  <c r="U308" i="2"/>
  <c r="V308" i="2" s="1"/>
  <c r="U309" i="2"/>
  <c r="V309" i="2" s="1"/>
  <c r="U310" i="2"/>
  <c r="V310" i="2" s="1"/>
  <c r="U311" i="2"/>
  <c r="V311" i="2" s="1"/>
  <c r="AC311" i="2" s="1"/>
  <c r="U312" i="2"/>
  <c r="V312" i="2" s="1"/>
  <c r="AC312" i="2" s="1"/>
  <c r="U313" i="2"/>
  <c r="V313" i="2" s="1"/>
  <c r="AC313" i="2" s="1"/>
  <c r="U314" i="2"/>
  <c r="V314" i="2" s="1"/>
  <c r="AC314" i="2" s="1"/>
  <c r="U315" i="2"/>
  <c r="V315" i="2" s="1"/>
  <c r="AC315" i="2" s="1"/>
  <c r="U316" i="2"/>
  <c r="V316" i="2" s="1"/>
  <c r="AC316" i="2" s="1"/>
  <c r="U317" i="2"/>
  <c r="V317" i="2" s="1"/>
  <c r="AC317" i="2" s="1"/>
  <c r="U318" i="2"/>
  <c r="V318" i="2" s="1"/>
  <c r="AC318" i="2" s="1"/>
  <c r="U319" i="2"/>
  <c r="V319" i="2" s="1"/>
  <c r="AC319" i="2" s="1"/>
  <c r="U320" i="2"/>
  <c r="V320" i="2" s="1"/>
  <c r="AC320" i="2" s="1"/>
  <c r="U321" i="2"/>
  <c r="V321" i="2" s="1"/>
  <c r="AC321" i="2" s="1"/>
  <c r="U322" i="2"/>
  <c r="V322" i="2" s="1"/>
  <c r="AC322" i="2" s="1"/>
  <c r="U323" i="2"/>
  <c r="V323" i="2" s="1"/>
  <c r="AC323" i="2" s="1"/>
  <c r="U324" i="2"/>
  <c r="V324" i="2" s="1"/>
  <c r="AC324" i="2" s="1"/>
  <c r="U325" i="2"/>
  <c r="V325" i="2" s="1"/>
  <c r="AC325" i="2" s="1"/>
  <c r="U326" i="2"/>
  <c r="V326" i="2" s="1"/>
  <c r="AC326" i="2" s="1"/>
  <c r="U327" i="2"/>
  <c r="V327" i="2" s="1"/>
  <c r="AC327" i="2" s="1"/>
  <c r="U328" i="2"/>
  <c r="V328" i="2" s="1"/>
  <c r="AC328" i="2" s="1"/>
  <c r="U329" i="2"/>
  <c r="V329" i="2" s="1"/>
  <c r="AC329" i="2" s="1"/>
  <c r="U330" i="2"/>
  <c r="V330" i="2" s="1"/>
  <c r="AC330" i="2" s="1"/>
  <c r="U331" i="2"/>
  <c r="V331" i="2" s="1"/>
  <c r="AC331" i="2" s="1"/>
  <c r="U332" i="2"/>
  <c r="V332" i="2" s="1"/>
  <c r="AC332" i="2" s="1"/>
  <c r="U333" i="2"/>
  <c r="V333" i="2" s="1"/>
  <c r="AC333" i="2" s="1"/>
  <c r="U334" i="2"/>
  <c r="V334" i="2" s="1"/>
  <c r="AC334" i="2" s="1"/>
  <c r="U335" i="2"/>
  <c r="V335" i="2" s="1"/>
  <c r="AC335" i="2" s="1"/>
  <c r="U336" i="2"/>
  <c r="V336" i="2" s="1"/>
  <c r="AC336" i="2" s="1"/>
  <c r="U337" i="2"/>
  <c r="V337" i="2" s="1"/>
  <c r="AC337" i="2" s="1"/>
  <c r="U338" i="2"/>
  <c r="V338" i="2" s="1"/>
  <c r="AC338" i="2" s="1"/>
  <c r="U339" i="2"/>
  <c r="V339" i="2" s="1"/>
  <c r="AC339" i="2" s="1"/>
  <c r="U340" i="2"/>
  <c r="V340" i="2" s="1"/>
  <c r="AC340" i="2" s="1"/>
  <c r="U341" i="2"/>
  <c r="V341" i="2" s="1"/>
  <c r="AC341" i="2" s="1"/>
  <c r="U342" i="2"/>
  <c r="V342" i="2" s="1"/>
  <c r="AC342" i="2" s="1"/>
  <c r="U343" i="2"/>
  <c r="V343" i="2" s="1"/>
  <c r="AC343" i="2" s="1"/>
  <c r="U344" i="2"/>
  <c r="V344" i="2" s="1"/>
  <c r="AC344" i="2" s="1"/>
  <c r="U345" i="2"/>
  <c r="V345" i="2" s="1"/>
  <c r="AC345" i="2" s="1"/>
  <c r="U346" i="2"/>
  <c r="V346" i="2" s="1"/>
  <c r="AC346" i="2" s="1"/>
  <c r="U347" i="2"/>
  <c r="V347" i="2" s="1"/>
  <c r="AC347" i="2" s="1"/>
  <c r="U348" i="2"/>
  <c r="V348" i="2" s="1"/>
  <c r="AC348" i="2" s="1"/>
  <c r="U349" i="2"/>
  <c r="V349" i="2" s="1"/>
  <c r="AC349" i="2" s="1"/>
  <c r="U350" i="2"/>
  <c r="V350" i="2" s="1"/>
  <c r="AC350" i="2" s="1"/>
  <c r="U351" i="2"/>
  <c r="V351" i="2" s="1"/>
  <c r="AC351" i="2" s="1"/>
  <c r="U352" i="2"/>
  <c r="V352" i="2" s="1"/>
  <c r="AC352" i="2" s="1"/>
  <c r="U353" i="2"/>
  <c r="V353" i="2" s="1"/>
  <c r="AC353" i="2" s="1"/>
  <c r="U354" i="2"/>
  <c r="V354" i="2" s="1"/>
  <c r="AC354" i="2" s="1"/>
  <c r="U355" i="2"/>
  <c r="V355" i="2" s="1"/>
  <c r="AC355" i="2" s="1"/>
  <c r="U356" i="2"/>
  <c r="V356" i="2" s="1"/>
  <c r="AC356" i="2" s="1"/>
  <c r="U357" i="2"/>
  <c r="V357" i="2" s="1"/>
  <c r="AC357" i="2" s="1"/>
  <c r="U358" i="2"/>
  <c r="V358" i="2" s="1"/>
  <c r="AC358" i="2" s="1"/>
  <c r="U359" i="2"/>
  <c r="V359" i="2" s="1"/>
  <c r="AC359" i="2" s="1"/>
  <c r="U360" i="2"/>
  <c r="V360" i="2" s="1"/>
  <c r="AC360" i="2" s="1"/>
  <c r="U361" i="2"/>
  <c r="V361" i="2" s="1"/>
  <c r="AC361" i="2" s="1"/>
  <c r="U362" i="2"/>
  <c r="V362" i="2" s="1"/>
  <c r="AC362" i="2" s="1"/>
  <c r="U363" i="2"/>
  <c r="V363" i="2" s="1"/>
  <c r="AC363" i="2" s="1"/>
  <c r="U364" i="2"/>
  <c r="V364" i="2" s="1"/>
  <c r="AC364" i="2" s="1"/>
  <c r="U365" i="2"/>
  <c r="V365" i="2" s="1"/>
  <c r="AC365" i="2" s="1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38" i="2" a="1"/>
  <c r="X339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H28" i="3"/>
  <c r="H27" i="3"/>
  <c r="H26" i="3"/>
  <c r="H25" i="3"/>
  <c r="E29" i="3"/>
  <c r="D29" i="3"/>
  <c r="C29" i="3"/>
  <c r="B29" i="3"/>
  <c r="E35" i="3"/>
  <c r="D35" i="3"/>
  <c r="C35" i="3"/>
  <c r="B35" i="3"/>
  <c r="E32" i="3"/>
  <c r="D32" i="3"/>
  <c r="C32" i="3"/>
  <c r="B32" i="3"/>
  <c r="E27" i="3"/>
  <c r="D27" i="3"/>
  <c r="C27" i="3"/>
  <c r="B27" i="3"/>
  <c r="E28" i="3"/>
  <c r="D28" i="3"/>
  <c r="C28" i="3"/>
  <c r="B28" i="3"/>
  <c r="E36" i="3"/>
  <c r="D36" i="3"/>
  <c r="C36" i="3"/>
  <c r="B36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0" i="2"/>
  <c r="Y290" i="2" s="1"/>
  <c r="C291" i="2"/>
  <c r="Y291" i="2" s="1"/>
  <c r="C292" i="2"/>
  <c r="Y292" i="2" s="1"/>
  <c r="C293" i="2"/>
  <c r="Y293" i="2" s="1"/>
  <c r="C294" i="2"/>
  <c r="Y294" i="2" s="1"/>
  <c r="C295" i="2"/>
  <c r="Y295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0" i="2" a="1"/>
  <c r="I291" i="2" a="1"/>
  <c r="I292" i="2" a="1"/>
  <c r="I293" i="2" a="1"/>
  <c r="I294" i="2" a="1"/>
  <c r="I295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L248" i="2" s="1"/>
  <c r="N248" i="2" s="1"/>
  <c r="J249" i="2" a="1"/>
  <c r="L249" i="2" s="1"/>
  <c r="N249" i="2" s="1"/>
  <c r="J250" i="2" a="1"/>
  <c r="J251" i="2" a="1"/>
  <c r="L251" i="2" s="1"/>
  <c r="N251" i="2" s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0" i="2" a="1"/>
  <c r="J291" i="2" a="1"/>
  <c r="J292" i="2" a="1"/>
  <c r="J293" i="2" a="1"/>
  <c r="J294" i="2" a="1"/>
  <c r="J295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Z2" i="2" s="1"/>
  <c r="C3" i="2"/>
  <c r="Y3" i="2" s="1"/>
  <c r="Z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AC296" i="2" l="1"/>
  <c r="AD296" i="2"/>
  <c r="AC297" i="2"/>
  <c r="AD297" i="2"/>
  <c r="AC298" i="2"/>
  <c r="AD298" i="2"/>
  <c r="AC299" i="2"/>
  <c r="AD299" i="2"/>
  <c r="AC300" i="2"/>
  <c r="AD300" i="2"/>
  <c r="AC301" i="2"/>
  <c r="AD301" i="2"/>
  <c r="AC302" i="2"/>
  <c r="AD302" i="2"/>
  <c r="AC303" i="2"/>
  <c r="AD303" i="2"/>
  <c r="AC304" i="2"/>
  <c r="AD304" i="2"/>
  <c r="AC305" i="2"/>
  <c r="AD305" i="2"/>
  <c r="AC306" i="2"/>
  <c r="AD306" i="2"/>
  <c r="AC307" i="2"/>
  <c r="AD307" i="2"/>
  <c r="AC308" i="2"/>
  <c r="AD308" i="2"/>
  <c r="AC309" i="2"/>
  <c r="AD309" i="2"/>
  <c r="AC310" i="2"/>
  <c r="AD310" i="2"/>
  <c r="Z482" i="2"/>
  <c r="K525" i="2"/>
  <c r="M525" i="2" s="1"/>
  <c r="L525" i="2"/>
  <c r="N525" i="2" s="1"/>
  <c r="Z442" i="2"/>
  <c r="Z445" i="2"/>
  <c r="Z446" i="2"/>
  <c r="Z449" i="2"/>
  <c r="Z450" i="2"/>
  <c r="Z453" i="2"/>
  <c r="Z455" i="2"/>
  <c r="Z443" i="2"/>
  <c r="Z444" i="2"/>
  <c r="Z447" i="2"/>
  <c r="Z448" i="2"/>
  <c r="Z451" i="2"/>
  <c r="Z452" i="2"/>
  <c r="Z454" i="2"/>
  <c r="Z480" i="2"/>
  <c r="Z433" i="2"/>
  <c r="Z436" i="2"/>
  <c r="Z439" i="2"/>
  <c r="Z481" i="2"/>
  <c r="Z431" i="2"/>
  <c r="Z432" i="2"/>
  <c r="Z434" i="2"/>
  <c r="Z437" i="2"/>
  <c r="Z438" i="2"/>
  <c r="Z440" i="2"/>
  <c r="Z441" i="2"/>
  <c r="K520" i="2"/>
  <c r="M520" i="2" s="1"/>
  <c r="L520" i="2"/>
  <c r="N520" i="2" s="1"/>
  <c r="K474" i="2"/>
  <c r="M474" i="2" s="1"/>
  <c r="L474" i="2"/>
  <c r="N474" i="2" s="1"/>
  <c r="K475" i="2"/>
  <c r="M475" i="2" s="1"/>
  <c r="L475" i="2"/>
  <c r="N475" i="2" s="1"/>
  <c r="K476" i="2"/>
  <c r="M476" i="2" s="1"/>
  <c r="L476" i="2"/>
  <c r="N476" i="2" s="1"/>
  <c r="K477" i="2"/>
  <c r="M477" i="2" s="1"/>
  <c r="L477" i="2"/>
  <c r="N477" i="2" s="1"/>
  <c r="K478" i="2"/>
  <c r="M478" i="2" s="1"/>
  <c r="L478" i="2"/>
  <c r="N478" i="2" s="1"/>
  <c r="L414" i="2"/>
  <c r="N414" i="2" s="1"/>
  <c r="K414" i="2"/>
  <c r="M414" i="2" s="1"/>
  <c r="L416" i="2"/>
  <c r="N416" i="2" s="1"/>
  <c r="K416" i="2"/>
  <c r="M416" i="2" s="1"/>
  <c r="AC420" i="2"/>
  <c r="AD420" i="2"/>
  <c r="AC421" i="2"/>
  <c r="AD421" i="2"/>
  <c r="AC422" i="2"/>
  <c r="AD422" i="2"/>
  <c r="AC423" i="2"/>
  <c r="AD423" i="2"/>
  <c r="AC424" i="2"/>
  <c r="AD424" i="2"/>
  <c r="AC425" i="2"/>
  <c r="AD425" i="2"/>
  <c r="AC426" i="2"/>
  <c r="AD426" i="2"/>
  <c r="AC427" i="2"/>
  <c r="AD427" i="2"/>
  <c r="AC428" i="2"/>
  <c r="AD428" i="2"/>
  <c r="AC429" i="2"/>
  <c r="AD429" i="2"/>
  <c r="AC430" i="2"/>
  <c r="AD430" i="2"/>
  <c r="AC431" i="2"/>
  <c r="AD431" i="2"/>
  <c r="AC432" i="2"/>
  <c r="AD432" i="2"/>
  <c r="AC433" i="2"/>
  <c r="AD433" i="2"/>
  <c r="AC434" i="2"/>
  <c r="AD434" i="2"/>
  <c r="AC435" i="2"/>
  <c r="AD435" i="2"/>
  <c r="AC436" i="2"/>
  <c r="AD436" i="2"/>
  <c r="AC437" i="2"/>
  <c r="AD437" i="2"/>
  <c r="AC438" i="2"/>
  <c r="AD438" i="2"/>
  <c r="AC439" i="2"/>
  <c r="AD439" i="2"/>
  <c r="AC440" i="2"/>
  <c r="AD440" i="2"/>
  <c r="AC441" i="2"/>
  <c r="AD441" i="2"/>
  <c r="AC442" i="2"/>
  <c r="AD442" i="2"/>
  <c r="AC443" i="2"/>
  <c r="AD443" i="2"/>
  <c r="AC444" i="2"/>
  <c r="AD444" i="2"/>
  <c r="AC445" i="2"/>
  <c r="AD445" i="2"/>
  <c r="AC446" i="2"/>
  <c r="AD446" i="2"/>
  <c r="AC447" i="2"/>
  <c r="AD447" i="2"/>
  <c r="AC448" i="2"/>
  <c r="AD448" i="2"/>
  <c r="AC449" i="2"/>
  <c r="AD449" i="2"/>
  <c r="AC450" i="2"/>
  <c r="AD450" i="2"/>
  <c r="AC451" i="2"/>
  <c r="AD451" i="2"/>
  <c r="AC452" i="2"/>
  <c r="AD452" i="2"/>
  <c r="AC453" i="2"/>
  <c r="AD453" i="2"/>
  <c r="AC454" i="2"/>
  <c r="AD454" i="2"/>
  <c r="AC455" i="2"/>
  <c r="AD455" i="2"/>
  <c r="AC456" i="2"/>
  <c r="AD456" i="2"/>
  <c r="AC457" i="2"/>
  <c r="AD457" i="2"/>
  <c r="AC458" i="2"/>
  <c r="AD458" i="2"/>
  <c r="AC459" i="2"/>
  <c r="AD459" i="2"/>
  <c r="AC460" i="2"/>
  <c r="AD460" i="2"/>
  <c r="AC461" i="2"/>
  <c r="AD461" i="2"/>
  <c r="AC462" i="2"/>
  <c r="AD462" i="2"/>
  <c r="AC463" i="2"/>
  <c r="AD463" i="2"/>
  <c r="AC464" i="2"/>
  <c r="AD464" i="2"/>
  <c r="AC465" i="2"/>
  <c r="AD465" i="2"/>
  <c r="AC466" i="2"/>
  <c r="AD466" i="2"/>
  <c r="AC467" i="2"/>
  <c r="AD467" i="2"/>
  <c r="AC468" i="2"/>
  <c r="AD468" i="2"/>
  <c r="AC469" i="2"/>
  <c r="AD469" i="2"/>
  <c r="AC470" i="2"/>
  <c r="AD470" i="2"/>
  <c r="AC471" i="2"/>
  <c r="AD471" i="2"/>
  <c r="AC472" i="2"/>
  <c r="AD472" i="2"/>
  <c r="AC473" i="2"/>
  <c r="AD473" i="2"/>
  <c r="AC474" i="2"/>
  <c r="AD474" i="2"/>
  <c r="AC475" i="2"/>
  <c r="AD475" i="2"/>
  <c r="AC476" i="2"/>
  <c r="AD476" i="2"/>
  <c r="AC477" i="2"/>
  <c r="AD477" i="2"/>
  <c r="AC478" i="2"/>
  <c r="AD478" i="2"/>
  <c r="AC479" i="2"/>
  <c r="AD479" i="2"/>
  <c r="Z420" i="2"/>
  <c r="Z421" i="2"/>
  <c r="Z422" i="2"/>
  <c r="Z423" i="2"/>
  <c r="Z424" i="2"/>
  <c r="Z425" i="2"/>
  <c r="Z426" i="2"/>
  <c r="Z427" i="2"/>
  <c r="Z429" i="2"/>
  <c r="Z428" i="2"/>
  <c r="Z430" i="2"/>
  <c r="K367" i="2"/>
  <c r="M367" i="2" s="1"/>
  <c r="L367" i="2"/>
  <c r="N367" i="2" s="1"/>
  <c r="K417" i="2"/>
  <c r="M417" i="2" s="1"/>
  <c r="L417" i="2"/>
  <c r="N417" i="2" s="1"/>
  <c r="K521" i="2"/>
  <c r="M521" i="2" s="1"/>
  <c r="L521" i="2"/>
  <c r="N521" i="2" s="1"/>
  <c r="K467" i="2"/>
  <c r="M467" i="2" s="1"/>
  <c r="L467" i="2"/>
  <c r="N467" i="2" s="1"/>
  <c r="K412" i="2"/>
  <c r="M412" i="2" s="1"/>
  <c r="L412" i="2"/>
  <c r="N412" i="2" s="1"/>
  <c r="Z435" i="2"/>
  <c r="Z409" i="2"/>
  <c r="Z410" i="2"/>
  <c r="Z411" i="2"/>
  <c r="Z412" i="2"/>
  <c r="Z413" i="2"/>
  <c r="Z414" i="2"/>
  <c r="Z415" i="2"/>
  <c r="Z416" i="2"/>
  <c r="Z417" i="2"/>
  <c r="Z418" i="2"/>
  <c r="Z419" i="2"/>
  <c r="Z306" i="2"/>
  <c r="Z309" i="2"/>
  <c r="Z312" i="2"/>
  <c r="Z315" i="2"/>
  <c r="Z317" i="2"/>
  <c r="Z319" i="2"/>
  <c r="Z322" i="2"/>
  <c r="Z325" i="2"/>
  <c r="Z328" i="2"/>
  <c r="Z331" i="2"/>
  <c r="Z334" i="2"/>
  <c r="Z337" i="2"/>
  <c r="Z340" i="2"/>
  <c r="Z304" i="2"/>
  <c r="Z307" i="2"/>
  <c r="Z310" i="2"/>
  <c r="Z313" i="2"/>
  <c r="Z316" i="2"/>
  <c r="Z318" i="2"/>
  <c r="Z321" i="2"/>
  <c r="Z324" i="2"/>
  <c r="Z327" i="2"/>
  <c r="Z329" i="2"/>
  <c r="Z332" i="2"/>
  <c r="Z335" i="2"/>
  <c r="Z338" i="2"/>
  <c r="Z305" i="2"/>
  <c r="Z308" i="2"/>
  <c r="Z311" i="2"/>
  <c r="Z314" i="2"/>
  <c r="Z320" i="2"/>
  <c r="Z323" i="2"/>
  <c r="Z326" i="2"/>
  <c r="Z330" i="2"/>
  <c r="Z333" i="2"/>
  <c r="Z336" i="2"/>
  <c r="Z339" i="2"/>
  <c r="K479" i="2"/>
  <c r="M479" i="2" s="1"/>
  <c r="L479" i="2"/>
  <c r="N479" i="2" s="1"/>
  <c r="K418" i="2"/>
  <c r="M418" i="2" s="1"/>
  <c r="L418" i="2"/>
  <c r="N418" i="2" s="1"/>
  <c r="Z296" i="2"/>
  <c r="Z299" i="2"/>
  <c r="Z301" i="2"/>
  <c r="Z302" i="2"/>
  <c r="Z297" i="2"/>
  <c r="Z300" i="2"/>
  <c r="Z303" i="2"/>
  <c r="K419" i="2"/>
  <c r="M419" i="2" s="1"/>
  <c r="L419" i="2"/>
  <c r="N419" i="2" s="1"/>
  <c r="Z298" i="2"/>
  <c r="Z341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8" i="2"/>
  <c r="Z390" i="2"/>
  <c r="Z392" i="2"/>
  <c r="Z394" i="2"/>
  <c r="Z396" i="2"/>
  <c r="Z399" i="2"/>
  <c r="Z401" i="2"/>
  <c r="Z403" i="2"/>
  <c r="Z406" i="2"/>
  <c r="Z408" i="2"/>
  <c r="Z342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7" i="2"/>
  <c r="Z389" i="2"/>
  <c r="Z391" i="2"/>
  <c r="Z393" i="2"/>
  <c r="Z395" i="2"/>
  <c r="Z397" i="2"/>
  <c r="Z398" i="2"/>
  <c r="Z400" i="2"/>
  <c r="Z402" i="2"/>
  <c r="Z404" i="2"/>
  <c r="Z405" i="2"/>
  <c r="Z407" i="2"/>
  <c r="L342" i="2"/>
  <c r="N342" i="2" s="1"/>
  <c r="K342" i="2"/>
  <c r="M342" i="2" s="1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F26" i="3"/>
  <c r="F29" i="3"/>
  <c r="Z19" i="2"/>
  <c r="Z20" i="2"/>
  <c r="Z21" i="2"/>
  <c r="Z22" i="2"/>
  <c r="Z23" i="2"/>
  <c r="Z24" i="2"/>
  <c r="Z25" i="2"/>
  <c r="Z26" i="2"/>
  <c r="F25" i="3"/>
  <c r="F28" i="3"/>
  <c r="F35" i="3"/>
  <c r="F36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0" i="2"/>
  <c r="AC290" i="2"/>
  <c r="AD291" i="2"/>
  <c r="AC291" i="2"/>
  <c r="AD292" i="2"/>
  <c r="AC292" i="2"/>
  <c r="AD293" i="2"/>
  <c r="AC293" i="2"/>
  <c r="AD294" i="2"/>
  <c r="AC294" i="2"/>
  <c r="AD295" i="2"/>
  <c r="AC295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0" i="2"/>
  <c r="M290" i="2" s="1"/>
  <c r="L290" i="2"/>
  <c r="N290" i="2" s="1"/>
  <c r="K291" i="2"/>
  <c r="M291" i="2" s="1"/>
  <c r="L291" i="2"/>
  <c r="N291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2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1" i="2"/>
  <c r="Z293" i="2"/>
  <c r="Z294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0" i="2"/>
  <c r="Z292" i="2"/>
  <c r="Z295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6" i="2" l="1"/>
  <c r="AD366" i="2"/>
  <c r="AC367" i="2"/>
  <c r="AD367" i="2"/>
  <c r="AD368" i="2"/>
  <c r="AC368" i="2"/>
  <c r="AD369" i="2"/>
  <c r="AC369" i="2"/>
  <c r="AC370" i="2"/>
  <c r="AD370" i="2"/>
  <c r="AC371" i="2"/>
  <c r="AD371" i="2"/>
  <c r="AD372" i="2"/>
  <c r="AC372" i="2"/>
  <c r="AD373" i="2"/>
  <c r="AC373" i="2"/>
  <c r="AD374" i="2"/>
  <c r="AC374" i="2"/>
  <c r="AD375" i="2"/>
  <c r="AC375" i="2"/>
  <c r="AD376" i="2"/>
  <c r="AC376" i="2"/>
  <c r="AD377" i="2"/>
  <c r="AC377" i="2"/>
  <c r="AD378" i="2"/>
  <c r="AC378" i="2"/>
  <c r="AC379" i="2"/>
  <c r="AD379" i="2"/>
  <c r="AC380" i="2"/>
  <c r="AD380" i="2"/>
  <c r="AD381" i="2"/>
  <c r="AC381" i="2"/>
  <c r="AD382" i="2"/>
  <c r="AC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C391" i="2"/>
  <c r="AD391" i="2"/>
  <c r="AC392" i="2"/>
  <c r="AD392" i="2"/>
  <c r="AD393" i="2"/>
  <c r="AC393" i="2"/>
  <c r="AC394" i="2"/>
  <c r="AD394" i="2"/>
  <c r="AC395" i="2"/>
  <c r="AD395" i="2"/>
  <c r="AC396" i="2"/>
  <c r="AD396" i="2"/>
  <c r="AC397" i="2"/>
  <c r="AD397" i="2"/>
  <c r="AC398" i="2"/>
  <c r="AD398" i="2"/>
  <c r="AC399" i="2"/>
  <c r="AD399" i="2"/>
  <c r="AC400" i="2"/>
  <c r="AD400" i="2"/>
  <c r="AD401" i="2"/>
  <c r="AC401" i="2"/>
  <c r="AC402" i="2"/>
  <c r="AD402" i="2"/>
  <c r="AC403" i="2"/>
  <c r="AD403" i="2"/>
  <c r="AD404" i="2"/>
  <c r="AC404" i="2"/>
  <c r="AD405" i="2"/>
  <c r="AC405" i="2"/>
  <c r="AC406" i="2"/>
  <c r="AD406" i="2"/>
  <c r="AD407" i="2"/>
  <c r="AC407" i="2"/>
  <c r="AD408" i="2"/>
  <c r="AC408" i="2"/>
  <c r="AC409" i="2"/>
  <c r="AD409" i="2"/>
  <c r="AD410" i="2"/>
  <c r="AC410" i="2"/>
  <c r="AD411" i="2"/>
  <c r="AC411" i="2"/>
  <c r="AC412" i="2"/>
  <c r="AD412" i="2"/>
  <c r="AC413" i="2"/>
  <c r="AD413" i="2"/>
  <c r="AD414" i="2"/>
  <c r="AC414" i="2"/>
  <c r="AC415" i="2"/>
  <c r="AD415" i="2"/>
  <c r="AC416" i="2"/>
  <c r="AD416" i="2"/>
  <c r="AD417" i="2"/>
  <c r="AC417" i="2"/>
  <c r="AC418" i="2"/>
  <c r="AD418" i="2"/>
  <c r="AC419" i="2"/>
  <c r="AD419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4" i="3"/>
  <c r="B34" i="3"/>
  <c r="C31" i="3"/>
  <c r="B31" i="3"/>
  <c r="C30" i="3"/>
  <c r="B30" i="3"/>
  <c r="C33" i="3"/>
  <c r="B33" i="3"/>
  <c r="Q16" i="2" l="1"/>
  <c r="Q17" i="2"/>
  <c r="W16" i="2"/>
  <c r="W17" i="2"/>
  <c r="AA16" i="2" l="1"/>
  <c r="AB16" i="2" s="1"/>
  <c r="AA17" i="2"/>
  <c r="AB17" i="2" s="1"/>
  <c r="E34" i="3"/>
  <c r="D34" i="3"/>
  <c r="E31" i="3"/>
  <c r="D31" i="3"/>
  <c r="E30" i="3"/>
  <c r="D30" i="3"/>
  <c r="E33" i="3"/>
  <c r="D33" i="3"/>
  <c r="O19" i="2" l="1" a="1"/>
  <c r="O18" i="2" a="1"/>
  <c r="P19" i="2" a="1"/>
  <c r="P18" i="2" a="1"/>
  <c r="F30" i="3"/>
  <c r="F34" i="3"/>
  <c r="F31" i="3"/>
  <c r="F33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1" i="2" l="1" a="1"/>
  <c r="O31" i="2" a="1"/>
  <c r="P30" i="2" a="1"/>
  <c r="O30" i="2" a="1"/>
  <c r="W30" i="2" l="1"/>
  <c r="Q31" i="2"/>
  <c r="W31" i="2"/>
  <c r="Q30" i="2"/>
  <c r="AA31" i="2" l="1"/>
  <c r="AB31" i="2" s="1"/>
  <c r="AA30" i="2"/>
  <c r="AB30" i="2" s="1"/>
  <c r="P32" i="2" l="1" a="1"/>
  <c r="P33" i="2" a="1"/>
  <c r="O33" i="2" a="1"/>
  <c r="O32" i="2" a="1"/>
  <c r="W33" i="2" l="1"/>
  <c r="Q33" i="2"/>
  <c r="Q32" i="2"/>
  <c r="W32" i="2"/>
  <c r="P39" i="2" a="1"/>
  <c r="P38" i="2" a="1"/>
  <c r="O38" i="2" a="1"/>
  <c r="O39" i="2" a="1"/>
  <c r="AA33" i="2" l="1"/>
  <c r="AB33" i="2" s="1"/>
  <c r="AA32" i="2"/>
  <c r="AB32" i="2" s="1"/>
  <c r="P35" i="2" a="1"/>
  <c r="O35" i="2" a="1"/>
  <c r="O34" i="2" a="1"/>
  <c r="P34" i="2" a="1"/>
  <c r="P36" i="2" a="1"/>
  <c r="O37" i="2" a="1"/>
  <c r="O36" i="2" a="1"/>
  <c r="P37" i="2" a="1"/>
  <c r="W38" i="2"/>
  <c r="Q39" i="2"/>
  <c r="Q38" i="2"/>
  <c r="W39" i="2"/>
  <c r="W34" i="2" l="1"/>
  <c r="Q35" i="2"/>
  <c r="Q34" i="2"/>
  <c r="W35" i="2"/>
  <c r="AA35" i="2" s="1"/>
  <c r="AB35" i="2" s="1"/>
  <c r="Q37" i="2"/>
  <c r="Q36" i="2"/>
  <c r="W37" i="2"/>
  <c r="W36" i="2"/>
  <c r="AA38" i="2"/>
  <c r="AB38" i="2" s="1"/>
  <c r="AA39" i="2"/>
  <c r="AB39" i="2" s="1"/>
  <c r="AA34" i="2" l="1"/>
  <c r="AB34" i="2" s="1"/>
  <c r="AA36" i="2"/>
  <c r="AB36" i="2" s="1"/>
  <c r="AA37" i="2"/>
  <c r="AB37" i="2" s="1"/>
  <c r="P40" i="2" a="1"/>
  <c r="O41" i="2" a="1"/>
  <c r="P41" i="2" a="1"/>
  <c r="O40" i="2" a="1"/>
  <c r="W41" i="2" l="1"/>
  <c r="W40" i="2"/>
  <c r="Q41" i="2"/>
  <c r="Q40" i="2"/>
  <c r="AA41" i="2" l="1"/>
  <c r="AB41" i="2" s="1"/>
  <c r="AA40" i="2"/>
  <c r="AB40" i="2" s="1"/>
  <c r="O43" i="2" l="1" a="1"/>
  <c r="P43" i="2" a="1"/>
  <c r="O42" i="2" a="1"/>
  <c r="P42" i="2" a="1"/>
  <c r="P45" i="2" a="1"/>
  <c r="O44" i="2" a="1"/>
  <c r="P44" i="2" a="1"/>
  <c r="O45" i="2" a="1"/>
  <c r="Q42" i="2" l="1"/>
  <c r="Q43" i="2"/>
  <c r="W42" i="2"/>
  <c r="W43" i="2"/>
  <c r="W44" i="2"/>
  <c r="W45" i="2"/>
  <c r="Q44" i="2"/>
  <c r="Q45" i="2"/>
  <c r="AA42" i="2" l="1"/>
  <c r="AB42" i="2" s="1"/>
  <c r="AA43" i="2"/>
  <c r="AB43" i="2" s="1"/>
  <c r="AA44" i="2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W58" i="2" l="1"/>
  <c r="Q59" i="2"/>
  <c r="W59" i="2"/>
  <c r="Q58" i="2"/>
  <c r="AA58" i="2" l="1"/>
  <c r="AB58" i="2" s="1"/>
  <c r="AA59" i="2"/>
  <c r="AB59" i="2" s="1"/>
  <c r="O61" i="2" l="1" a="1"/>
  <c r="O60" i="2" a="1"/>
  <c r="P60" i="2" a="1"/>
  <c r="P61" i="2" a="1"/>
  <c r="P63" i="2" a="1"/>
  <c r="O62" i="2" a="1"/>
  <c r="O63" i="2" a="1"/>
  <c r="P62" i="2" a="1"/>
  <c r="W60" i="2" l="1"/>
  <c r="W61" i="2"/>
  <c r="Q60" i="2"/>
  <c r="Q61" i="2"/>
  <c r="W62" i="2"/>
  <c r="W63" i="2"/>
  <c r="Q63" i="2"/>
  <c r="Q62" i="2"/>
  <c r="AA60" i="2" l="1"/>
  <c r="AB60" i="2" s="1"/>
  <c r="AA61" i="2"/>
  <c r="AB61" i="2" s="1"/>
  <c r="AA62" i="2"/>
  <c r="AB62" i="2" s="1"/>
  <c r="AA63" i="2"/>
  <c r="AB63" i="2" s="1"/>
  <c r="O67" i="2" a="1"/>
  <c r="P66" i="2" a="1"/>
  <c r="P67" i="2" a="1"/>
  <c r="O66" i="2" a="1"/>
  <c r="P65" i="2" l="1" a="1"/>
  <c r="P64" i="2" a="1"/>
  <c r="O64" i="2" a="1"/>
  <c r="O65" i="2" a="1"/>
  <c r="W67" i="2"/>
  <c r="W66" i="2"/>
  <c r="Q66" i="2"/>
  <c r="Q67" i="2"/>
  <c r="W65" i="2" l="1"/>
  <c r="W64" i="2"/>
  <c r="Q65" i="2"/>
  <c r="Q64" i="2"/>
  <c r="AA67" i="2"/>
  <c r="AB67" i="2" s="1"/>
  <c r="AA66" i="2"/>
  <c r="AB66" i="2" s="1"/>
  <c r="AA64" i="2" l="1"/>
  <c r="AB64" i="2" s="1"/>
  <c r="AA65" i="2"/>
  <c r="AB65" i="2" s="1"/>
  <c r="P68" i="2" a="1"/>
  <c r="O68" i="2" a="1"/>
  <c r="P69" i="2" a="1"/>
  <c r="O69" i="2" a="1"/>
  <c r="W68" i="2" l="1"/>
  <c r="Q69" i="2"/>
  <c r="W69" i="2"/>
  <c r="Q68" i="2"/>
  <c r="AA69" i="2" l="1"/>
  <c r="AB69" i="2" s="1"/>
  <c r="AA68" i="2"/>
  <c r="AB68" i="2" s="1"/>
  <c r="O70" i="2" l="1" a="1"/>
  <c r="P70" i="2" a="1"/>
  <c r="O71" i="2" a="1"/>
  <c r="P71" i="2" a="1"/>
  <c r="W71" i="2" l="1"/>
  <c r="W70" i="2"/>
  <c r="Q70" i="2"/>
  <c r="Q71" i="2"/>
  <c r="AA71" i="2" l="1"/>
  <c r="AB71" i="2" s="1"/>
  <c r="AA70" i="2"/>
  <c r="AB70" i="2" s="1"/>
  <c r="P73" i="2" l="1" a="1"/>
  <c r="O73" i="2" a="1"/>
  <c r="P72" i="2" a="1"/>
  <c r="O72" i="2" a="1"/>
  <c r="P75" i="2" a="1"/>
  <c r="O74" i="2" a="1"/>
  <c r="P74" i="2" a="1"/>
  <c r="O75" i="2" a="1"/>
  <c r="Q72" i="2" l="1"/>
  <c r="Q73" i="2"/>
  <c r="W73" i="2"/>
  <c r="W72" i="2"/>
  <c r="W74" i="2"/>
  <c r="Q75" i="2"/>
  <c r="Q74" i="2"/>
  <c r="W75" i="2"/>
  <c r="AA72" i="2" l="1"/>
  <c r="AB72" i="2" s="1"/>
  <c r="AA73" i="2"/>
  <c r="AB73" i="2" s="1"/>
  <c r="AA74" i="2"/>
  <c r="AB74" i="2" s="1"/>
  <c r="AA75" i="2"/>
  <c r="AB75" i="2" s="1"/>
  <c r="P76" i="2" l="1" a="1"/>
  <c r="P77" i="2" a="1"/>
  <c r="O77" i="2" a="1"/>
  <c r="O76" i="2" a="1"/>
  <c r="Q76" i="2" l="1"/>
  <c r="W77" i="2"/>
  <c r="W76" i="2"/>
  <c r="Q77" i="2"/>
  <c r="AA76" i="2" l="1"/>
  <c r="AB76" i="2" s="1"/>
  <c r="AA77" i="2"/>
  <c r="AB77" i="2" s="1"/>
  <c r="O78" i="2" l="1" a="1"/>
  <c r="O79" i="2" a="1"/>
  <c r="P78" i="2" a="1"/>
  <c r="P79" i="2" a="1"/>
  <c r="W78" i="2" l="1"/>
  <c r="Q79" i="2"/>
  <c r="W79" i="2"/>
  <c r="Q78" i="2"/>
  <c r="AA79" i="2" l="1"/>
  <c r="AB79" i="2" s="1"/>
  <c r="AA78" i="2"/>
  <c r="AB78" i="2" s="1"/>
  <c r="O86" i="2" a="1"/>
  <c r="P87" i="2" a="1"/>
  <c r="O87" i="2" a="1"/>
  <c r="P86" i="2" a="1"/>
  <c r="W87" i="2" l="1"/>
  <c r="P84" i="2" a="1"/>
  <c r="O84" i="2" a="1"/>
  <c r="O85" i="2" a="1"/>
  <c r="P85" i="2" a="1"/>
  <c r="P83" i="2" a="1"/>
  <c r="O83" i="2" a="1"/>
  <c r="O82" i="2" a="1"/>
  <c r="P80" i="2" a="1"/>
  <c r="P82" i="2" a="1"/>
  <c r="P81" i="2" a="1"/>
  <c r="O81" i="2" a="1"/>
  <c r="O80" i="2" a="1"/>
  <c r="W86" i="2"/>
  <c r="Q87" i="2"/>
  <c r="Q86" i="2"/>
  <c r="W84" i="2" l="1"/>
  <c r="Q85" i="2"/>
  <c r="AA87" i="2"/>
  <c r="AB87" i="2" s="1"/>
  <c r="Q83" i="2"/>
  <c r="W82" i="2"/>
  <c r="Q81" i="2"/>
  <c r="W80" i="2"/>
  <c r="W85" i="2"/>
  <c r="W83" i="2"/>
  <c r="Q80" i="2"/>
  <c r="Q82" i="2"/>
  <c r="Q84" i="2"/>
  <c r="W81" i="2"/>
  <c r="AA86" i="2"/>
  <c r="AB86" i="2" s="1"/>
  <c r="O88" i="2" l="1" a="1"/>
  <c r="P89" i="2" a="1"/>
  <c r="O89" i="2" a="1"/>
  <c r="P88" i="2" a="1"/>
  <c r="Q88" i="2" s="1"/>
  <c r="AA85" i="2"/>
  <c r="AB85" i="2" s="1"/>
  <c r="AA84" i="2"/>
  <c r="AB84" i="2" s="1"/>
  <c r="AA81" i="2"/>
  <c r="AB81" i="2" s="1"/>
  <c r="AA80" i="2"/>
  <c r="AB80" i="2" s="1"/>
  <c r="AA83" i="2"/>
  <c r="AB83" i="2" s="1"/>
  <c r="AA82" i="2"/>
  <c r="AB82" i="2" s="1"/>
  <c r="Q89" i="2" l="1"/>
  <c r="W88" i="2"/>
  <c r="AA88" i="2" s="1"/>
  <c r="AB88" i="2" s="1"/>
  <c r="W89" i="2"/>
  <c r="P91" i="2" a="1"/>
  <c r="P93" i="2" a="1"/>
  <c r="P94" i="2" a="1"/>
  <c r="O95" i="2" a="1"/>
  <c r="O97" i="2" a="1"/>
  <c r="P97" i="2" a="1"/>
  <c r="O96" i="2" a="1"/>
  <c r="P96" i="2" a="1"/>
  <c r="AA89" i="2" l="1"/>
  <c r="AB89" i="2" s="1"/>
  <c r="O91" i="2" a="1"/>
  <c r="P92" i="2" a="1"/>
  <c r="O92" i="2" a="1"/>
  <c r="O90" i="2" a="1"/>
  <c r="P90" i="2" a="1"/>
  <c r="Q90" i="2" s="1"/>
  <c r="O93" i="2" a="1"/>
  <c r="W97" i="2"/>
  <c r="W96" i="2"/>
  <c r="Q97" i="2"/>
  <c r="Q96" i="2"/>
  <c r="P95" i="2" l="1" a="1"/>
  <c r="O94" i="2" a="1"/>
  <c r="W92" i="2"/>
  <c r="W90" i="2"/>
  <c r="AA90" i="2" s="1"/>
  <c r="AB90" i="2" s="1"/>
  <c r="Q92" i="2"/>
  <c r="W91" i="2"/>
  <c r="Q91" i="2"/>
  <c r="Q93" i="2"/>
  <c r="W93" i="2"/>
  <c r="AA93" i="2" s="1"/>
  <c r="AB93" i="2" s="1"/>
  <c r="AA96" i="2"/>
  <c r="AB96" i="2" s="1"/>
  <c r="AA97" i="2"/>
  <c r="AB97" i="2" s="1"/>
  <c r="AA91" i="2" l="1"/>
  <c r="AB91" i="2" s="1"/>
  <c r="Q95" i="2"/>
  <c r="W95" i="2"/>
  <c r="W94" i="2"/>
  <c r="AA94" i="2" s="1"/>
  <c r="AB94" i="2" s="1"/>
  <c r="Q94" i="2"/>
  <c r="AA92" i="2"/>
  <c r="AB92" i="2" s="1"/>
  <c r="P98" i="2" a="1"/>
  <c r="O99" i="2" a="1"/>
  <c r="AA95" i="2" l="1"/>
  <c r="AB95" i="2" s="1"/>
  <c r="P99" i="2" l="1" a="1"/>
  <c r="O98" i="2" a="1"/>
  <c r="Q99" i="2" l="1"/>
  <c r="W99" i="2"/>
  <c r="AA99" i="2" s="1"/>
  <c r="AB99" i="2" s="1"/>
  <c r="W98" i="2"/>
  <c r="Q98" i="2"/>
  <c r="O101" i="2" a="1"/>
  <c r="P101" i="2" a="1"/>
  <c r="O100" i="2" a="1"/>
  <c r="P100" i="2" a="1"/>
  <c r="AA98" i="2" l="1"/>
  <c r="AB98" i="2" s="1"/>
  <c r="W100" i="2"/>
  <c r="W101" i="2"/>
  <c r="Q101" i="2"/>
  <c r="Q100" i="2"/>
  <c r="AA100" i="2" l="1"/>
  <c r="AB100" i="2" s="1"/>
  <c r="AA101" i="2"/>
  <c r="AB101" i="2" s="1"/>
  <c r="P102" i="2" l="1" a="1"/>
  <c r="O102" i="2" a="1"/>
  <c r="P103" i="2" a="1"/>
  <c r="O103" i="2" a="1"/>
  <c r="Q103" i="2" l="1"/>
  <c r="W102" i="2"/>
  <c r="Q102" i="2"/>
  <c r="W103" i="2"/>
  <c r="AA102" i="2" l="1"/>
  <c r="AB102" i="2" s="1"/>
  <c r="AA103" i="2"/>
  <c r="AB103" i="2" s="1"/>
  <c r="P104" i="2" l="1" a="1"/>
  <c r="Q104" i="2" s="1"/>
  <c r="O106" i="2" a="1"/>
  <c r="O107" i="2" a="1"/>
  <c r="P106" i="2" a="1"/>
  <c r="P107" i="2" a="1"/>
  <c r="O105" i="2" a="1"/>
  <c r="P105" i="2" a="1"/>
  <c r="O104" i="2" a="1"/>
  <c r="W106" i="2" l="1"/>
  <c r="W107" i="2"/>
  <c r="W105" i="2"/>
  <c r="W104" i="2"/>
  <c r="AA104" i="2" s="1"/>
  <c r="AB104" i="2" s="1"/>
  <c r="Q106" i="2"/>
  <c r="AA106" i="2" s="1"/>
  <c r="AB106" i="2" s="1"/>
  <c r="Q107" i="2"/>
  <c r="AA107" i="2" s="1"/>
  <c r="AB107" i="2" s="1"/>
  <c r="Q105" i="2"/>
  <c r="AA105" i="2" s="1"/>
  <c r="AB105" i="2" s="1"/>
  <c r="O110" i="2" a="1"/>
  <c r="O111" i="2" a="1"/>
  <c r="P110" i="2" a="1"/>
  <c r="P111" i="2" a="1"/>
  <c r="O108" i="2" l="1" a="1"/>
  <c r="P109" i="2" a="1"/>
  <c r="Q109" i="2" s="1"/>
  <c r="P108" i="2" a="1"/>
  <c r="O109" i="2" a="1"/>
  <c r="W110" i="2"/>
  <c r="W111" i="2"/>
  <c r="Q110" i="2"/>
  <c r="Q111" i="2"/>
  <c r="AA110" i="2" l="1"/>
  <c r="AB110" i="2" s="1"/>
  <c r="W108" i="2"/>
  <c r="Q108" i="2"/>
  <c r="AA108" i="2" s="1"/>
  <c r="AB108" i="2" s="1"/>
  <c r="W109" i="2"/>
  <c r="AA109" i="2" s="1"/>
  <c r="AB109" i="2" s="1"/>
  <c r="AA111" i="2"/>
  <c r="AB111" i="2" s="1"/>
  <c r="O113" i="2" l="1" a="1"/>
  <c r="P112" i="2" a="1"/>
  <c r="P113" i="2" a="1"/>
  <c r="Q113" i="2" s="1"/>
  <c r="O112" i="2" a="1"/>
  <c r="W112" i="2" s="1"/>
  <c r="P114" i="2" a="1"/>
  <c r="P115" i="2" a="1"/>
  <c r="O114" i="2" a="1"/>
  <c r="O115" i="2" a="1"/>
  <c r="Q115" i="2" l="1"/>
  <c r="W114" i="2"/>
  <c r="Q112" i="2"/>
  <c r="AA112" i="2" s="1"/>
  <c r="AB112" i="2" s="1"/>
  <c r="Q114" i="2"/>
  <c r="W115" i="2"/>
  <c r="W113" i="2"/>
  <c r="AA113" i="2" s="1"/>
  <c r="AB113" i="2" s="1"/>
  <c r="P116" i="2" a="1"/>
  <c r="O117" i="2" a="1"/>
  <c r="P117" i="2" a="1"/>
  <c r="O116" i="2" a="1"/>
  <c r="AA115" i="2" l="1"/>
  <c r="AB115" i="2" s="1"/>
  <c r="AA114" i="2"/>
  <c r="AB114" i="2" s="1"/>
  <c r="W117" i="2"/>
  <c r="W116" i="2"/>
  <c r="Q116" i="2"/>
  <c r="Q117" i="2"/>
  <c r="AA117" i="2" l="1"/>
  <c r="AB117" i="2" s="1"/>
  <c r="AA116" i="2"/>
  <c r="AB116" i="2" s="1"/>
  <c r="O118" i="2" a="1"/>
  <c r="P118" i="2" a="1"/>
  <c r="O119" i="2" a="1"/>
  <c r="P119" i="2" a="1"/>
  <c r="Q118" i="2" l="1"/>
  <c r="W119" i="2"/>
  <c r="Q119" i="2"/>
  <c r="W118" i="2"/>
  <c r="AA119" i="2" l="1"/>
  <c r="AB119" i="2" s="1"/>
  <c r="O120" i="2" a="1"/>
  <c r="P121" i="2" a="1"/>
  <c r="O121" i="2" a="1"/>
  <c r="P120" i="2" a="1"/>
  <c r="AA118" i="2"/>
  <c r="AB118" i="2" s="1"/>
  <c r="Q121" i="2" l="1"/>
  <c r="Q120" i="2"/>
  <c r="W120" i="2"/>
  <c r="W121" i="2"/>
  <c r="AA121" i="2" l="1"/>
  <c r="AB121" i="2" s="1"/>
  <c r="AA120" i="2"/>
  <c r="AB120" i="2" s="1"/>
  <c r="O123" i="2" a="1"/>
  <c r="P122" i="2" a="1"/>
  <c r="P123" i="2" a="1"/>
  <c r="O122" i="2" a="1"/>
  <c r="Q122" i="2" l="1"/>
  <c r="Q123" i="2"/>
  <c r="W123" i="2"/>
  <c r="W122" i="2"/>
  <c r="AA123" i="2" l="1"/>
  <c r="AB123" i="2" s="1"/>
  <c r="AA122" i="2"/>
  <c r="AB122" i="2" s="1"/>
  <c r="O126" i="2" l="1" a="1"/>
  <c r="O131" i="2" a="1"/>
  <c r="P129" i="2" a="1"/>
  <c r="P128" i="2" a="1"/>
  <c r="Q128" i="2" s="1"/>
  <c r="P124" i="2" a="1"/>
  <c r="O130" i="2" a="1"/>
  <c r="W130" i="2" s="1"/>
  <c r="P130" i="2" a="1"/>
  <c r="O124" i="2" a="1"/>
  <c r="W124" i="2" s="1"/>
  <c r="P131" i="2" a="1"/>
  <c r="P125" i="2" a="1"/>
  <c r="P127" i="2" a="1"/>
  <c r="O125" i="2" a="1"/>
  <c r="W125" i="2" s="1"/>
  <c r="O128" i="2" a="1"/>
  <c r="O127" i="2" a="1"/>
  <c r="O129" i="2" a="1"/>
  <c r="W129" i="2" s="1"/>
  <c r="P126" i="2" a="1"/>
  <c r="W127" i="2" l="1"/>
  <c r="AA127" i="2" s="1"/>
  <c r="AB127" i="2" s="1"/>
  <c r="W126" i="2"/>
  <c r="Q131" i="2"/>
  <c r="Q127" i="2"/>
  <c r="W131" i="2"/>
  <c r="AA131" i="2" s="1"/>
  <c r="AB131" i="2" s="1"/>
  <c r="Q129" i="2"/>
  <c r="AA129" i="2" s="1"/>
  <c r="AB129" i="2" s="1"/>
  <c r="Q124" i="2"/>
  <c r="AA124" i="2" s="1"/>
  <c r="AB124" i="2" s="1"/>
  <c r="Q130" i="2"/>
  <c r="AA130" i="2" s="1"/>
  <c r="AB130" i="2" s="1"/>
  <c r="W128" i="2"/>
  <c r="AA128" i="2" s="1"/>
  <c r="AB128" i="2" s="1"/>
  <c r="Q126" i="2"/>
  <c r="AA126" i="2" s="1"/>
  <c r="AB126" i="2" s="1"/>
  <c r="Q125" i="2"/>
  <c r="AA125" i="2" s="1"/>
  <c r="AB125" i="2" s="1"/>
  <c r="O132" i="2" l="1" a="1"/>
  <c r="P132" i="2" a="1"/>
  <c r="O133" i="2" a="1"/>
  <c r="W133" i="2" s="1"/>
  <c r="P133" i="2" a="1"/>
  <c r="W132" i="2" l="1"/>
  <c r="Q132" i="2"/>
  <c r="Q133" i="2"/>
  <c r="AA133" i="2" s="1"/>
  <c r="AB133" i="2" s="1"/>
  <c r="AA132" i="2" l="1"/>
  <c r="AB132" i="2" s="1"/>
  <c r="P138" i="2" a="1"/>
  <c r="O139" i="2" a="1"/>
  <c r="P134" i="2" a="1"/>
  <c r="O137" i="2" a="1"/>
  <c r="O135" i="2" a="1"/>
  <c r="W135" i="2" s="1"/>
  <c r="P137" i="2" a="1"/>
  <c r="O136" i="2" a="1"/>
  <c r="P136" i="2" a="1"/>
  <c r="Q136" i="2" s="1"/>
  <c r="P135" i="2" a="1"/>
  <c r="O134" i="2" a="1"/>
  <c r="W134" i="2" s="1"/>
  <c r="O138" i="2" a="1"/>
  <c r="P139" i="2" a="1"/>
  <c r="W138" i="2" l="1"/>
  <c r="Q139" i="2"/>
  <c r="Q137" i="2"/>
  <c r="Q138" i="2"/>
  <c r="AA138" i="2" s="1"/>
  <c r="AB138" i="2" s="1"/>
  <c r="Q134" i="2"/>
  <c r="AA134" i="2" s="1"/>
  <c r="AB134" i="2" s="1"/>
  <c r="W136" i="2"/>
  <c r="AA136" i="2" s="1"/>
  <c r="AB136" i="2" s="1"/>
  <c r="Q135" i="2"/>
  <c r="AA135" i="2" s="1"/>
  <c r="AB135" i="2" s="1"/>
  <c r="W137" i="2"/>
  <c r="W139" i="2"/>
  <c r="AA139" i="2" l="1"/>
  <c r="AB139" i="2" s="1"/>
  <c r="AA137" i="2"/>
  <c r="AB137" i="2" s="1"/>
  <c r="O141" i="2" a="1"/>
  <c r="P141" i="2" a="1"/>
  <c r="P140" i="2" a="1"/>
  <c r="O140" i="2" a="1"/>
  <c r="Q140" i="2" l="1"/>
  <c r="W141" i="2"/>
  <c r="W140" i="2"/>
  <c r="AA140" i="2" s="1"/>
  <c r="AB140" i="2" s="1"/>
  <c r="Q141" i="2"/>
  <c r="AA141" i="2" l="1"/>
  <c r="AB141" i="2" s="1"/>
  <c r="O147" i="2" a="1"/>
  <c r="O146" i="2" a="1"/>
  <c r="P147" i="2" a="1"/>
  <c r="P146" i="2" a="1"/>
  <c r="O142" i="2" a="1"/>
  <c r="O143" i="2" a="1"/>
  <c r="W143" i="2" s="1"/>
  <c r="O144" i="2" a="1"/>
  <c r="P142" i="2" a="1"/>
  <c r="O145" i="2" a="1"/>
  <c r="P143" i="2" a="1"/>
  <c r="P144" i="2" a="1"/>
  <c r="Q144" i="2" s="1"/>
  <c r="P145" i="2" a="1"/>
  <c r="Q146" i="2" l="1"/>
  <c r="Q142" i="2"/>
  <c r="W147" i="2"/>
  <c r="Q145" i="2"/>
  <c r="Q147" i="2"/>
  <c r="W142" i="2"/>
  <c r="AA142" i="2" s="1"/>
  <c r="AB142" i="2" s="1"/>
  <c r="W144" i="2"/>
  <c r="AA144" i="2" s="1"/>
  <c r="AB144" i="2" s="1"/>
  <c r="W145" i="2"/>
  <c r="AA145" i="2" s="1"/>
  <c r="AB145" i="2" s="1"/>
  <c r="Q143" i="2"/>
  <c r="AA143" i="2" s="1"/>
  <c r="AB143" i="2" s="1"/>
  <c r="W146" i="2"/>
  <c r="AA146" i="2" s="1"/>
  <c r="AB146" i="2" s="1"/>
  <c r="AA147" i="2" l="1"/>
  <c r="AB147" i="2" s="1"/>
  <c r="O151" i="2" a="1"/>
  <c r="O150" i="2" a="1"/>
  <c r="P150" i="2" a="1"/>
  <c r="P148" i="2" a="1"/>
  <c r="Q148" i="2" s="1"/>
  <c r="O148" i="2" a="1"/>
  <c r="P149" i="2" a="1"/>
  <c r="O149" i="2" a="1"/>
  <c r="P151" i="2" a="1"/>
  <c r="Q151" i="2" s="1"/>
  <c r="Q149" i="2" l="1"/>
  <c r="W150" i="2"/>
  <c r="W148" i="2"/>
  <c r="AA148" i="2" s="1"/>
  <c r="AB148" i="2" s="1"/>
  <c r="W151" i="2"/>
  <c r="AA151" i="2" s="1"/>
  <c r="AB151" i="2" s="1"/>
  <c r="W149" i="2"/>
  <c r="Q150" i="2"/>
  <c r="AA149" i="2" l="1"/>
  <c r="AB149" i="2" s="1"/>
  <c r="AA150" i="2"/>
  <c r="AB150" i="2" s="1"/>
  <c r="O153" i="2" a="1"/>
  <c r="O152" i="2" a="1"/>
  <c r="P152" i="2" a="1"/>
  <c r="P153" i="2" a="1"/>
  <c r="P155" i="2" a="1"/>
  <c r="O155" i="2" a="1"/>
  <c r="W155" i="2" s="1"/>
  <c r="O154" i="2" a="1"/>
  <c r="P154" i="2" a="1"/>
  <c r="Q153" i="2" l="1"/>
  <c r="W154" i="2"/>
  <c r="W152" i="2"/>
  <c r="W153" i="2"/>
  <c r="AA153" i="2" s="1"/>
  <c r="AB153" i="2" s="1"/>
  <c r="Q152" i="2"/>
  <c r="Q155" i="2"/>
  <c r="AA155" i="2" s="1"/>
  <c r="AB155" i="2" s="1"/>
  <c r="Q154" i="2"/>
  <c r="AA154" i="2" l="1"/>
  <c r="AB154" i="2" s="1"/>
  <c r="AA152" i="2"/>
  <c r="AB152" i="2" s="1"/>
  <c r="P160" i="2" a="1"/>
  <c r="P161" i="2" a="1"/>
  <c r="P156" i="2" a="1"/>
  <c r="P158" i="2" a="1"/>
  <c r="O156" i="2" a="1"/>
  <c r="O157" i="2" a="1"/>
  <c r="P157" i="2" a="1"/>
  <c r="P159" i="2" a="1"/>
  <c r="Q159" i="2" s="1"/>
  <c r="O158" i="2" a="1"/>
  <c r="W158" i="2" s="1"/>
  <c r="O159" i="2" a="1"/>
  <c r="O161" i="2" a="1"/>
  <c r="O160" i="2" a="1"/>
  <c r="W157" i="2" l="1"/>
  <c r="Q160" i="2"/>
  <c r="W156" i="2"/>
  <c r="W161" i="2"/>
  <c r="Q156" i="2"/>
  <c r="AA156" i="2" s="1"/>
  <c r="AB156" i="2" s="1"/>
  <c r="Q157" i="2"/>
  <c r="W159" i="2"/>
  <c r="AA159" i="2" s="1"/>
  <c r="AB159" i="2" s="1"/>
  <c r="W160" i="2"/>
  <c r="Q158" i="2"/>
  <c r="AA158" i="2" s="1"/>
  <c r="AB158" i="2" s="1"/>
  <c r="Q161" i="2"/>
  <c r="AA157" i="2" l="1"/>
  <c r="AB157" i="2" s="1"/>
  <c r="AA160" i="2"/>
  <c r="AB160" i="2" s="1"/>
  <c r="AA161" i="2"/>
  <c r="AB161" i="2" s="1"/>
  <c r="P163" i="2" a="1"/>
  <c r="O162" i="2" a="1"/>
  <c r="P162" i="2" a="1"/>
  <c r="O163" i="2" a="1"/>
  <c r="W163" i="2" s="1"/>
  <c r="W162" i="2" l="1"/>
  <c r="Q163" i="2"/>
  <c r="AA163" i="2" s="1"/>
  <c r="AB163" i="2" s="1"/>
  <c r="Q162" i="2"/>
  <c r="AA162" i="2" l="1"/>
  <c r="AB162" i="2" s="1"/>
  <c r="P167" i="2" a="1"/>
  <c r="P166" i="2" a="1"/>
  <c r="P164" i="2" a="1"/>
  <c r="O164" i="2" a="1"/>
  <c r="P165" i="2" a="1"/>
  <c r="O166" i="2" a="1"/>
  <c r="O165" i="2" a="1"/>
  <c r="O167" i="2" a="1"/>
  <c r="W167" i="2" l="1"/>
  <c r="Q165" i="2"/>
  <c r="W166" i="2"/>
  <c r="W164" i="2"/>
  <c r="Q164" i="2"/>
  <c r="AA164" i="2" s="1"/>
  <c r="AB164" i="2" s="1"/>
  <c r="W165" i="2"/>
  <c r="Q167" i="2"/>
  <c r="AA167" i="2" s="1"/>
  <c r="AB167" i="2" s="1"/>
  <c r="Q166" i="2"/>
  <c r="AA166" i="2" l="1"/>
  <c r="AB166" i="2" s="1"/>
  <c r="AA165" i="2"/>
  <c r="AB165" i="2" s="1"/>
  <c r="P168" i="2" a="1"/>
  <c r="P169" i="2" a="1"/>
  <c r="O171" i="2" a="1"/>
  <c r="W171" i="2" s="1"/>
  <c r="P170" i="2" a="1"/>
  <c r="P171" i="2" a="1"/>
  <c r="O170" i="2" a="1"/>
  <c r="W170" i="2" s="1"/>
  <c r="O169" i="2" a="1"/>
  <c r="W169" i="2" s="1"/>
  <c r="O168" i="2" a="1"/>
  <c r="W168" i="2" s="1"/>
  <c r="P172" i="2" a="1"/>
  <c r="P173" i="2" a="1"/>
  <c r="O173" i="2" a="1"/>
  <c r="O172" i="2" a="1"/>
  <c r="Q172" i="2" l="1"/>
  <c r="W173" i="2"/>
  <c r="Q169" i="2"/>
  <c r="AA169" i="2" s="1"/>
  <c r="AB169" i="2" s="1"/>
  <c r="Q170" i="2"/>
  <c r="AA170" i="2" s="1"/>
  <c r="AB170" i="2" s="1"/>
  <c r="Q171" i="2"/>
  <c r="AA171" i="2" s="1"/>
  <c r="AB171" i="2" s="1"/>
  <c r="Q173" i="2"/>
  <c r="W172" i="2"/>
  <c r="AA172" i="2" s="1"/>
  <c r="AB172" i="2" s="1"/>
  <c r="Q168" i="2"/>
  <c r="AA168" i="2" s="1"/>
  <c r="AB168" i="2" s="1"/>
  <c r="AA173" i="2" l="1"/>
  <c r="AB173" i="2" s="1"/>
  <c r="O175" i="2" a="1"/>
  <c r="P174" i="2" a="1"/>
  <c r="P175" i="2" a="1"/>
  <c r="O174" i="2" a="1"/>
  <c r="P176" i="2" a="1"/>
  <c r="O177" i="2" a="1"/>
  <c r="P177" i="2" a="1"/>
  <c r="O176" i="2" a="1"/>
  <c r="W176" i="2" l="1"/>
  <c r="Q174" i="2"/>
  <c r="Q175" i="2"/>
  <c r="W177" i="2"/>
  <c r="W175" i="2"/>
  <c r="W174" i="2"/>
  <c r="Q176" i="2"/>
  <c r="AA176" i="2" s="1"/>
  <c r="AB176" i="2" s="1"/>
  <c r="Q177" i="2"/>
  <c r="AA177" i="2" s="1"/>
  <c r="AB177" i="2" s="1"/>
  <c r="AA175" i="2" l="1"/>
  <c r="AB175" i="2" s="1"/>
  <c r="AA174" i="2"/>
  <c r="AB174" i="2" s="1"/>
  <c r="O179" i="2" a="1"/>
  <c r="O181" i="2" a="1"/>
  <c r="P180" i="2" a="1"/>
  <c r="O178" i="2" a="1"/>
  <c r="P178" i="2" a="1"/>
  <c r="P181" i="2" a="1"/>
  <c r="Q181" i="2" s="1"/>
  <c r="P179" i="2" a="1"/>
  <c r="O180" i="2" a="1"/>
  <c r="Q178" i="2" l="1"/>
  <c r="Q179" i="2"/>
  <c r="W178" i="2"/>
  <c r="AA178" i="2" s="1"/>
  <c r="AB178" i="2" s="1"/>
  <c r="W180" i="2"/>
  <c r="W181" i="2"/>
  <c r="AA181" i="2" s="1"/>
  <c r="AB181" i="2" s="1"/>
  <c r="Q180" i="2"/>
  <c r="W179" i="2"/>
  <c r="AA180" i="2" l="1"/>
  <c r="AB180" i="2" s="1"/>
  <c r="AA179" i="2"/>
  <c r="AB179" i="2" s="1"/>
  <c r="P184" i="2" a="1"/>
  <c r="O185" i="2" a="1"/>
  <c r="P182" i="2" a="1"/>
  <c r="P185" i="2" a="1"/>
  <c r="Q185" i="2" s="1"/>
  <c r="O184" i="2" a="1"/>
  <c r="W184" i="2" s="1"/>
  <c r="O182" i="2" a="1"/>
  <c r="P183" i="2" a="1"/>
  <c r="O183" i="2" a="1"/>
  <c r="W183" i="2" s="1"/>
  <c r="P186" i="2" a="1"/>
  <c r="O186" i="2" a="1"/>
  <c r="P187" i="2" a="1"/>
  <c r="O187" i="2" a="1"/>
  <c r="W182" i="2" l="1"/>
  <c r="Q184" i="2"/>
  <c r="AA184" i="2" s="1"/>
  <c r="AB184" i="2" s="1"/>
  <c r="W185" i="2"/>
  <c r="AA185" i="2" s="1"/>
  <c r="AB185" i="2" s="1"/>
  <c r="Q182" i="2"/>
  <c r="Q183" i="2"/>
  <c r="AA183" i="2" s="1"/>
  <c r="AB183" i="2" s="1"/>
  <c r="Q186" i="2"/>
  <c r="W187" i="2"/>
  <c r="Q187" i="2"/>
  <c r="AA187" i="2" s="1"/>
  <c r="AB187" i="2" s="1"/>
  <c r="W186" i="2"/>
  <c r="AA182" i="2" l="1"/>
  <c r="AB182" i="2" s="1"/>
  <c r="O192" i="2" a="1"/>
  <c r="O193" i="2" a="1"/>
  <c r="O190" i="2" a="1"/>
  <c r="P191" i="2" a="1"/>
  <c r="O188" i="2" a="1"/>
  <c r="P192" i="2" a="1"/>
  <c r="Q192" i="2" s="1"/>
  <c r="P188" i="2" a="1"/>
  <c r="P193" i="2" a="1"/>
  <c r="O189" i="2" a="1"/>
  <c r="P189" i="2" a="1"/>
  <c r="Q189" i="2" s="1"/>
  <c r="O191" i="2" a="1"/>
  <c r="P190" i="2" a="1"/>
  <c r="AA186" i="2"/>
  <c r="AB186" i="2" s="1"/>
  <c r="O194" i="2" a="1"/>
  <c r="P194" i="2" a="1"/>
  <c r="P195" i="2" a="1"/>
  <c r="O195" i="2" a="1"/>
  <c r="Q190" i="2" l="1"/>
  <c r="W193" i="2"/>
  <c r="Q191" i="2"/>
  <c r="Q188" i="2"/>
  <c r="W192" i="2"/>
  <c r="AA192" i="2" s="1"/>
  <c r="AB192" i="2" s="1"/>
  <c r="W190" i="2"/>
  <c r="W188" i="2"/>
  <c r="Q193" i="2"/>
  <c r="W189" i="2"/>
  <c r="AA189" i="2" s="1"/>
  <c r="AB189" i="2" s="1"/>
  <c r="W191" i="2"/>
  <c r="Q194" i="2"/>
  <c r="Q195" i="2"/>
  <c r="W194" i="2"/>
  <c r="W195" i="2"/>
  <c r="AA190" i="2" l="1"/>
  <c r="AB190" i="2" s="1"/>
  <c r="AA188" i="2"/>
  <c r="AB188" i="2" s="1"/>
  <c r="AA193" i="2"/>
  <c r="AB193" i="2" s="1"/>
  <c r="AA191" i="2"/>
  <c r="AB191" i="2" s="1"/>
  <c r="AA194" i="2"/>
  <c r="AB194" i="2" s="1"/>
  <c r="AA195" i="2"/>
  <c r="AB195" i="2" s="1"/>
  <c r="P203" i="2" a="1"/>
  <c r="P202" i="2" a="1"/>
  <c r="O203" i="2" a="1"/>
  <c r="O202" i="2" a="1"/>
  <c r="O197" i="2" l="1" a="1"/>
  <c r="P200" i="2" a="1"/>
  <c r="P196" i="2" a="1"/>
  <c r="P198" i="2" a="1"/>
  <c r="P197" i="2" a="1"/>
  <c r="Q197" i="2" s="1"/>
  <c r="O198" i="2" a="1"/>
  <c r="O200" i="2" a="1"/>
  <c r="O196" i="2" a="1"/>
  <c r="W196" i="2" s="1"/>
  <c r="O199" i="2" a="1"/>
  <c r="P201" i="2" a="1"/>
  <c r="Q201" i="2" s="1"/>
  <c r="P199" i="2" a="1"/>
  <c r="O201" i="2" a="1"/>
  <c r="Q202" i="2"/>
  <c r="Q203" i="2"/>
  <c r="W203" i="2"/>
  <c r="W202" i="2"/>
  <c r="Q198" i="2" l="1"/>
  <c r="W200" i="2"/>
  <c r="W199" i="2"/>
  <c r="W201" i="2"/>
  <c r="AA201" i="2" s="1"/>
  <c r="AB201" i="2" s="1"/>
  <c r="W197" i="2"/>
  <c r="AA197" i="2" s="1"/>
  <c r="AB197" i="2" s="1"/>
  <c r="W198" i="2"/>
  <c r="Q199" i="2"/>
  <c r="Q196" i="2"/>
  <c r="AA196" i="2" s="1"/>
  <c r="AB196" i="2" s="1"/>
  <c r="Q200" i="2"/>
  <c r="AA203" i="2"/>
  <c r="AB203" i="2" s="1"/>
  <c r="AA202" i="2"/>
  <c r="AB202" i="2" s="1"/>
  <c r="AA199" i="2" l="1"/>
  <c r="AB199" i="2" s="1"/>
  <c r="AA200" i="2"/>
  <c r="AB200" i="2" s="1"/>
  <c r="AA198" i="2"/>
  <c r="AB198" i="2" s="1"/>
  <c r="P206" i="2" a="1"/>
  <c r="O207" i="2" a="1"/>
  <c r="P207" i="2" a="1"/>
  <c r="O204" i="2" a="1"/>
  <c r="O206" i="2" a="1"/>
  <c r="P205" i="2" a="1"/>
  <c r="O205" i="2" a="1"/>
  <c r="P204" i="2" a="1"/>
  <c r="W204" i="2" l="1"/>
  <c r="W205" i="2"/>
  <c r="Q206" i="2"/>
  <c r="Q207" i="2"/>
  <c r="W207" i="2"/>
  <c r="W206" i="2"/>
  <c r="Q205" i="2"/>
  <c r="Q204" i="2"/>
  <c r="AA206" i="2" l="1"/>
  <c r="AB206" i="2" s="1"/>
  <c r="AA204" i="2"/>
  <c r="AB204" i="2" s="1"/>
  <c r="AA207" i="2"/>
  <c r="AB207" i="2" s="1"/>
  <c r="AA205" i="2"/>
  <c r="AB205" i="2" s="1"/>
  <c r="O211" i="2" a="1"/>
  <c r="O210" i="2" a="1"/>
  <c r="P211" i="2" a="1"/>
  <c r="P210" i="2" a="1"/>
  <c r="P208" i="2" l="1" a="1"/>
  <c r="O208" i="2" a="1"/>
  <c r="W208" i="2" s="1"/>
  <c r="O209" i="2" a="1"/>
  <c r="P209" i="2" a="1"/>
  <c r="Q209" i="2" s="1"/>
  <c r="W210" i="2"/>
  <c r="Q211" i="2"/>
  <c r="W211" i="2"/>
  <c r="Q210" i="2"/>
  <c r="Q208" i="2" l="1"/>
  <c r="AA208" i="2" s="1"/>
  <c r="AB208" i="2" s="1"/>
  <c r="W209" i="2"/>
  <c r="AA209" i="2" s="1"/>
  <c r="AB209" i="2" s="1"/>
  <c r="AA210" i="2"/>
  <c r="AB210" i="2" s="1"/>
  <c r="AA211" i="2"/>
  <c r="AB211" i="2" s="1"/>
  <c r="P212" i="2" l="1" a="1"/>
  <c r="O212" i="2" a="1"/>
  <c r="O213" i="2" a="1"/>
  <c r="P213" i="2" a="1"/>
  <c r="W213" i="2" l="1"/>
  <c r="W212" i="2"/>
  <c r="Q213" i="2"/>
  <c r="Q212" i="2"/>
  <c r="AA213" i="2" l="1"/>
  <c r="AB213" i="2" s="1"/>
  <c r="AA212" i="2"/>
  <c r="AB212" i="2" s="1"/>
  <c r="O217" i="2" l="1" a="1"/>
  <c r="P216" i="2" a="1"/>
  <c r="O215" i="2" a="1"/>
  <c r="P214" i="2" a="1"/>
  <c r="P215" i="2" a="1"/>
  <c r="O214" i="2" a="1"/>
  <c r="O216" i="2" a="1"/>
  <c r="P217" i="2" a="1"/>
  <c r="Q214" i="2" l="1"/>
  <c r="W215" i="2"/>
  <c r="Q215" i="2"/>
  <c r="W214" i="2"/>
  <c r="Q216" i="2"/>
  <c r="W216" i="2"/>
  <c r="Q217" i="2"/>
  <c r="W217" i="2"/>
  <c r="AA214" i="2" l="1"/>
  <c r="AB214" i="2" s="1"/>
  <c r="AA217" i="2"/>
  <c r="AB217" i="2" s="1"/>
  <c r="AA215" i="2"/>
  <c r="AB215" i="2" s="1"/>
  <c r="O220" i="2" a="1"/>
  <c r="P221" i="2" a="1"/>
  <c r="P220" i="2" a="1"/>
  <c r="O221" i="2" a="1"/>
  <c r="AA216" i="2"/>
  <c r="AB216" i="2" s="1"/>
  <c r="P218" i="2" l="1" a="1"/>
  <c r="O219" i="2" a="1"/>
  <c r="W219" i="2" s="1"/>
  <c r="P219" i="2" a="1"/>
  <c r="O218" i="2" a="1"/>
  <c r="W218" i="2" s="1"/>
  <c r="W220" i="2"/>
  <c r="Q221" i="2"/>
  <c r="W221" i="2"/>
  <c r="Q220" i="2"/>
  <c r="Q219" i="2" l="1"/>
  <c r="AA219" i="2" s="1"/>
  <c r="AB219" i="2" s="1"/>
  <c r="Q218" i="2"/>
  <c r="AA218" i="2" s="1"/>
  <c r="AB218" i="2" s="1"/>
  <c r="AA221" i="2"/>
  <c r="AB221" i="2" s="1"/>
  <c r="AA220" i="2"/>
  <c r="AB220" i="2" s="1"/>
  <c r="O226" i="2" a="1"/>
  <c r="O224" i="2" a="1"/>
  <c r="P225" i="2" a="1"/>
  <c r="O225" i="2" a="1"/>
  <c r="P224" i="2" a="1"/>
  <c r="P227" i="2" a="1"/>
  <c r="P226" i="2" a="1"/>
  <c r="O227" i="2" a="1"/>
  <c r="O223" i="2" l="1" a="1"/>
  <c r="P222" i="2" a="1"/>
  <c r="O222" i="2" a="1"/>
  <c r="W222" i="2" s="1"/>
  <c r="P223" i="2" a="1"/>
  <c r="W226" i="2"/>
  <c r="W224" i="2"/>
  <c r="W225" i="2"/>
  <c r="Q227" i="2"/>
  <c r="Q226" i="2"/>
  <c r="Q225" i="2"/>
  <c r="Q224" i="2"/>
  <c r="W227" i="2"/>
  <c r="W223" i="2" l="1"/>
  <c r="Q222" i="2"/>
  <c r="AA222" i="2" s="1"/>
  <c r="AB222" i="2" s="1"/>
  <c r="Q223" i="2"/>
  <c r="AA226" i="2"/>
  <c r="AB226" i="2" s="1"/>
  <c r="AA225" i="2"/>
  <c r="AB225" i="2" s="1"/>
  <c r="AA224" i="2"/>
  <c r="AB224" i="2" s="1"/>
  <c r="AA227" i="2"/>
  <c r="AB227" i="2" s="1"/>
  <c r="AA223" i="2" l="1"/>
  <c r="AB223" i="2" s="1"/>
  <c r="O228" i="2" a="1"/>
  <c r="P229" i="2" a="1"/>
  <c r="O229" i="2" a="1"/>
  <c r="P228" i="2" a="1"/>
  <c r="Q229" i="2" l="1"/>
  <c r="W228" i="2"/>
  <c r="W229" i="2"/>
  <c r="Q228" i="2"/>
  <c r="AA229" i="2" l="1"/>
  <c r="AB229" i="2" s="1"/>
  <c r="AA228" i="2"/>
  <c r="AB228" i="2" s="1"/>
  <c r="P231" i="2" l="1" a="1"/>
  <c r="O230" i="2" a="1"/>
  <c r="W230" i="2" s="1"/>
  <c r="P230" i="2" a="1"/>
  <c r="O231" i="2" a="1"/>
  <c r="W231" i="2" l="1"/>
  <c r="Q231" i="2"/>
  <c r="AA231" i="2" s="1"/>
  <c r="AB231" i="2" s="1"/>
  <c r="Q230" i="2"/>
  <c r="AA230" i="2" s="1"/>
  <c r="AB230" i="2" s="1"/>
  <c r="P234" i="2" l="1" a="1"/>
  <c r="Q234" i="2" s="1"/>
  <c r="O235" i="2" a="1"/>
  <c r="P235" i="2" a="1"/>
  <c r="O234" i="2" a="1"/>
  <c r="O233" i="2" a="1"/>
  <c r="P232" i="2" a="1"/>
  <c r="P233" i="2" a="1"/>
  <c r="O232" i="2" a="1"/>
  <c r="W235" i="2" l="1"/>
  <c r="W232" i="2"/>
  <c r="W234" i="2"/>
  <c r="AA234" i="2" s="1"/>
  <c r="AB234" i="2" s="1"/>
  <c r="W233" i="2"/>
  <c r="Q235" i="2"/>
  <c r="Q232" i="2"/>
  <c r="Q233" i="2"/>
  <c r="AA233" i="2" s="1"/>
  <c r="AB233" i="2" s="1"/>
  <c r="P236" i="2" a="1"/>
  <c r="P237" i="2" a="1"/>
  <c r="O236" i="2" a="1"/>
  <c r="O237" i="2" a="1"/>
  <c r="AA235" i="2" l="1"/>
  <c r="AB235" i="2" s="1"/>
  <c r="AA232" i="2"/>
  <c r="AB232" i="2" s="1"/>
  <c r="Q237" i="2"/>
  <c r="W236" i="2"/>
  <c r="Q236" i="2"/>
  <c r="W237" i="2"/>
  <c r="AA237" i="2" l="1"/>
  <c r="AB237" i="2" s="1"/>
  <c r="AA236" i="2"/>
  <c r="AB236" i="2" s="1"/>
  <c r="P239" i="2" l="1" a="1"/>
  <c r="P238" i="2" a="1"/>
  <c r="O239" i="2" a="1"/>
  <c r="O238" i="2" a="1"/>
  <c r="Q238" i="2" l="1"/>
  <c r="W239" i="2"/>
  <c r="W238" i="2"/>
  <c r="Q239" i="2"/>
  <c r="AA238" i="2" l="1"/>
  <c r="AB238" i="2" s="1"/>
  <c r="AA239" i="2"/>
  <c r="AB239" i="2" s="1"/>
  <c r="O240" i="2" a="1"/>
  <c r="P240" i="2" a="1"/>
  <c r="O241" i="2" a="1"/>
  <c r="P241" i="2" a="1"/>
  <c r="W240" i="2" l="1"/>
  <c r="Q241" i="2"/>
  <c r="W241" i="2"/>
  <c r="Q240" i="2"/>
  <c r="AA240" i="2" l="1"/>
  <c r="AB240" i="2" s="1"/>
  <c r="AA241" i="2"/>
  <c r="AB241" i="2" s="1"/>
  <c r="P242" i="2" l="1" a="1"/>
  <c r="O242" i="2" a="1"/>
  <c r="O245" i="2" a="1"/>
  <c r="O243" i="2" a="1"/>
  <c r="P245" i="2" a="1"/>
  <c r="O244" i="2" a="1"/>
  <c r="P244" i="2" a="1"/>
  <c r="P243" i="2" a="1"/>
  <c r="W242" i="2" l="1"/>
  <c r="Q245" i="2"/>
  <c r="Q244" i="2"/>
  <c r="Q243" i="2"/>
  <c r="W245" i="2"/>
  <c r="W243" i="2"/>
  <c r="W244" i="2"/>
  <c r="Q242" i="2"/>
  <c r="AA242" i="2" l="1"/>
  <c r="AB242" i="2" s="1"/>
  <c r="AA245" i="2"/>
  <c r="AB245" i="2" s="1"/>
  <c r="AA244" i="2"/>
  <c r="AB244" i="2" s="1"/>
  <c r="AA243" i="2"/>
  <c r="AB243" i="2" s="1"/>
  <c r="P246" i="2" a="1"/>
  <c r="P247" i="2" a="1"/>
  <c r="O247" i="2" a="1"/>
  <c r="O246" i="2" a="1"/>
  <c r="O248" i="2" a="1"/>
  <c r="P250" i="2" a="1"/>
  <c r="P249" i="2" a="1"/>
  <c r="O249" i="2" a="1"/>
  <c r="O250" i="2" a="1"/>
  <c r="P248" i="2" a="1"/>
  <c r="P251" i="2" a="1"/>
  <c r="P253" i="2" a="1"/>
  <c r="O253" i="2" l="1" a="1"/>
  <c r="O251" i="2" a="1"/>
  <c r="O252" i="2" a="1"/>
  <c r="P252" i="2" a="1"/>
  <c r="Q249" i="2"/>
  <c r="W250" i="2"/>
  <c r="W247" i="2"/>
  <c r="W246" i="2"/>
  <c r="Q250" i="2"/>
  <c r="AA250" i="2" s="1"/>
  <c r="AB250" i="2" s="1"/>
  <c r="W249" i="2"/>
  <c r="Q246" i="2"/>
  <c r="Q247" i="2"/>
  <c r="W248" i="2"/>
  <c r="Q248" i="2"/>
  <c r="Q252" i="2" l="1"/>
  <c r="W252" i="2"/>
  <c r="AA252" i="2" s="1"/>
  <c r="AB252" i="2" s="1"/>
  <c r="Q253" i="2"/>
  <c r="W253" i="2"/>
  <c r="AA253" i="2" s="1"/>
  <c r="AB253" i="2" s="1"/>
  <c r="Q251" i="2"/>
  <c r="W251" i="2"/>
  <c r="AA251" i="2" s="1"/>
  <c r="AB251" i="2" s="1"/>
  <c r="AA249" i="2"/>
  <c r="AB249" i="2" s="1"/>
  <c r="AA246" i="2"/>
  <c r="AB246" i="2" s="1"/>
  <c r="AA247" i="2"/>
  <c r="AB247" i="2" s="1"/>
  <c r="AA248" i="2"/>
  <c r="AB248" i="2" s="1"/>
  <c r="O254" i="2" a="1"/>
  <c r="O255" i="2" a="1"/>
  <c r="P254" i="2" a="1"/>
  <c r="P255" i="2" a="1"/>
  <c r="Q255" i="2" l="1"/>
  <c r="Q254" i="2"/>
  <c r="W255" i="2"/>
  <c r="W254" i="2"/>
  <c r="AA255" i="2" l="1"/>
  <c r="AB255" i="2" s="1"/>
  <c r="AA254" i="2"/>
  <c r="AB254" i="2" s="1"/>
  <c r="O256" i="2" a="1"/>
  <c r="P256" i="2" a="1"/>
  <c r="O257" i="2" a="1"/>
  <c r="P257" i="2" a="1"/>
  <c r="P261" i="2" l="1" a="1"/>
  <c r="P258" i="2" a="1"/>
  <c r="O261" i="2" a="1"/>
  <c r="W261" i="2" s="1"/>
  <c r="O260" i="2" a="1"/>
  <c r="O259" i="2" a="1"/>
  <c r="P259" i="2" a="1"/>
  <c r="P260" i="2" a="1"/>
  <c r="O258" i="2" a="1"/>
  <c r="W257" i="2"/>
  <c r="Q256" i="2"/>
  <c r="Q257" i="2"/>
  <c r="W256" i="2"/>
  <c r="P262" i="2" a="1"/>
  <c r="O262" i="2" a="1"/>
  <c r="P263" i="2" a="1"/>
  <c r="O263" i="2" a="1"/>
  <c r="Q261" i="2" l="1"/>
  <c r="AA261" i="2" s="1"/>
  <c r="AB261" i="2" s="1"/>
  <c r="Q258" i="2"/>
  <c r="W260" i="2"/>
  <c r="Q259" i="2"/>
  <c r="W259" i="2"/>
  <c r="AA259" i="2" s="1"/>
  <c r="AB259" i="2" s="1"/>
  <c r="Q260" i="2"/>
  <c r="AA260" i="2" s="1"/>
  <c r="AB260" i="2" s="1"/>
  <c r="W258" i="2"/>
  <c r="AA257" i="2"/>
  <c r="AB257" i="2" s="1"/>
  <c r="AA256" i="2"/>
  <c r="AB256" i="2" s="1"/>
  <c r="W262" i="2"/>
  <c r="W263" i="2"/>
  <c r="Q262" i="2"/>
  <c r="Q263" i="2"/>
  <c r="AA258" i="2" l="1"/>
  <c r="AB258" i="2" s="1"/>
  <c r="AA262" i="2"/>
  <c r="AB262" i="2" s="1"/>
  <c r="AA263" i="2"/>
  <c r="AB263" i="2" s="1"/>
  <c r="O264" i="2" l="1" a="1"/>
  <c r="O265" i="2" a="1"/>
  <c r="P264" i="2" a="1"/>
  <c r="P265" i="2" a="1"/>
  <c r="W265" i="2" l="1"/>
  <c r="W264" i="2"/>
  <c r="Q264" i="2"/>
  <c r="Q265" i="2"/>
  <c r="AA265" i="2" l="1"/>
  <c r="AB265" i="2" s="1"/>
  <c r="AA264" i="2"/>
  <c r="AB264" i="2" s="1"/>
  <c r="P266" i="2" l="1" a="1"/>
  <c r="O266" i="2" a="1"/>
  <c r="W266" i="2" s="1"/>
  <c r="P267" i="2" a="1"/>
  <c r="O267" i="2" a="1"/>
  <c r="W267" i="2" l="1"/>
  <c r="Q267" i="2"/>
  <c r="AA267" i="2" s="1"/>
  <c r="AB267" i="2" s="1"/>
  <c r="O270" i="2" a="1"/>
  <c r="P269" i="2" a="1"/>
  <c r="P272" i="2" a="1"/>
  <c r="O273" i="2" a="1"/>
  <c r="O272" i="2" a="1"/>
  <c r="P273" i="2" a="1"/>
  <c r="Q273" i="2" s="1"/>
  <c r="P268" i="2" a="1"/>
  <c r="P270" i="2" a="1"/>
  <c r="O269" i="2" a="1"/>
  <c r="W269" i="2" s="1"/>
  <c r="P271" i="2" a="1"/>
  <c r="O271" i="2" a="1"/>
  <c r="O268" i="2" a="1"/>
  <c r="Q266" i="2"/>
  <c r="AA266" i="2" s="1"/>
  <c r="AB266" i="2" s="1"/>
  <c r="W272" i="2" l="1"/>
  <c r="Q268" i="2"/>
  <c r="Q270" i="2"/>
  <c r="W271" i="2"/>
  <c r="W270" i="2"/>
  <c r="AA270" i="2" s="1"/>
  <c r="AB270" i="2" s="1"/>
  <c r="W273" i="2"/>
  <c r="AA273" i="2" s="1"/>
  <c r="AB273" i="2" s="1"/>
  <c r="Q271" i="2"/>
  <c r="AA271" i="2" s="1"/>
  <c r="AB271" i="2" s="1"/>
  <c r="W268" i="2"/>
  <c r="Q269" i="2"/>
  <c r="AA269" i="2" s="1"/>
  <c r="AB269" i="2" s="1"/>
  <c r="Q272" i="2"/>
  <c r="AA272" i="2" s="1"/>
  <c r="AB272" i="2" s="1"/>
  <c r="AA268" i="2" l="1"/>
  <c r="AB268" i="2" s="1"/>
  <c r="P274" i="2" a="1"/>
  <c r="P275" i="2" a="1"/>
  <c r="O274" i="2" a="1"/>
  <c r="W274" i="2" s="1"/>
  <c r="O275" i="2" a="1"/>
  <c r="O276" i="2" a="1"/>
  <c r="P276" i="2" a="1"/>
  <c r="P277" i="2" a="1"/>
  <c r="O277" i="2" a="1"/>
  <c r="Q275" i="2" l="1"/>
  <c r="W276" i="2"/>
  <c r="W277" i="2"/>
  <c r="Q274" i="2"/>
  <c r="AA274" i="2" s="1"/>
  <c r="AB274" i="2" s="1"/>
  <c r="W275" i="2"/>
  <c r="Q276" i="2"/>
  <c r="Q277" i="2"/>
  <c r="O280" i="2" a="1"/>
  <c r="P281" i="2" a="1"/>
  <c r="P280" i="2" a="1"/>
  <c r="O281" i="2" a="1"/>
  <c r="O283" i="2" a="1"/>
  <c r="P282" i="2" a="1"/>
  <c r="O282" i="2" a="1"/>
  <c r="P283" i="2" a="1"/>
  <c r="AA275" i="2" l="1"/>
  <c r="AB275" i="2" s="1"/>
  <c r="AA276" i="2"/>
  <c r="AB276" i="2" s="1"/>
  <c r="AA277" i="2"/>
  <c r="AB277" i="2" s="1"/>
  <c r="P279" i="2" a="1"/>
  <c r="O279" i="2" a="1"/>
  <c r="W279" i="2" s="1"/>
  <c r="O278" i="2" a="1"/>
  <c r="P278" i="2" a="1"/>
  <c r="W280" i="2"/>
  <c r="W281" i="2"/>
  <c r="Q281" i="2"/>
  <c r="Q280" i="2"/>
  <c r="W282" i="2"/>
  <c r="Q283" i="2"/>
  <c r="W283" i="2"/>
  <c r="Q282" i="2"/>
  <c r="W278" i="2" l="1"/>
  <c r="Q279" i="2"/>
  <c r="AA279" i="2" s="1"/>
  <c r="AB279" i="2" s="1"/>
  <c r="Q278" i="2"/>
  <c r="AA278" i="2" s="1"/>
  <c r="AB278" i="2" s="1"/>
  <c r="AA280" i="2"/>
  <c r="AB280" i="2" s="1"/>
  <c r="AA281" i="2"/>
  <c r="AB281" i="2" s="1"/>
  <c r="AA282" i="2"/>
  <c r="AB282" i="2" s="1"/>
  <c r="AA283" i="2"/>
  <c r="AB283" i="2" s="1"/>
  <c r="P285" i="2" l="1" a="1"/>
  <c r="O284" i="2" a="1"/>
  <c r="O285" i="2" a="1"/>
  <c r="P284" i="2" a="1"/>
  <c r="W284" i="2" l="1"/>
  <c r="Q285" i="2"/>
  <c r="Q284" i="2"/>
  <c r="W285" i="2"/>
  <c r="AA284" i="2" l="1"/>
  <c r="AB284" i="2" s="1"/>
  <c r="AA285" i="2"/>
  <c r="AB285" i="2" s="1"/>
  <c r="O288" i="2" a="1"/>
  <c r="P288" i="2" a="1"/>
  <c r="O289" i="2" a="1"/>
  <c r="O287" i="2" a="1"/>
  <c r="P286" i="2" a="1"/>
  <c r="O286" i="2" a="1"/>
  <c r="P287" i="2" a="1"/>
  <c r="P289" i="2" a="1"/>
  <c r="W289" i="2" l="1"/>
  <c r="Q288" i="2"/>
  <c r="W286" i="2"/>
  <c r="Q287" i="2"/>
  <c r="W288" i="2"/>
  <c r="W287" i="2"/>
  <c r="Q286" i="2"/>
  <c r="Q289" i="2"/>
  <c r="AA287" i="2" l="1"/>
  <c r="AB287" i="2" s="1"/>
  <c r="AA289" i="2"/>
  <c r="AB289" i="2" s="1"/>
  <c r="AA288" i="2"/>
  <c r="AB288" i="2" s="1"/>
  <c r="AA286" i="2"/>
  <c r="AB286" i="2" s="1"/>
  <c r="P292" i="2" a="1"/>
  <c r="O293" i="2" a="1"/>
  <c r="P293" i="2" a="1"/>
  <c r="O292" i="2" a="1"/>
  <c r="O291" i="2" l="1" a="1"/>
  <c r="P290" i="2" a="1"/>
  <c r="O290" i="2" a="1"/>
  <c r="P291" i="2" a="1"/>
  <c r="Q293" i="2"/>
  <c r="Q292" i="2"/>
  <c r="W293" i="2"/>
  <c r="W292" i="2"/>
  <c r="W290" i="2" l="1"/>
  <c r="Q291" i="2"/>
  <c r="W291" i="2"/>
  <c r="Q290" i="2"/>
  <c r="AA293" i="2"/>
  <c r="AB293" i="2" s="1"/>
  <c r="O297" i="2" a="1"/>
  <c r="P296" i="2" a="1"/>
  <c r="P297" i="2" a="1"/>
  <c r="O296" i="2" a="1"/>
  <c r="AA292" i="2"/>
  <c r="AB292" i="2" s="1"/>
  <c r="P295" i="2" l="1" a="1"/>
  <c r="Q295" i="2" s="1"/>
  <c r="O295" i="2" a="1"/>
  <c r="P294" i="2" a="1"/>
  <c r="O294" i="2" a="1"/>
  <c r="AA290" i="2"/>
  <c r="AB290" i="2" s="1"/>
  <c r="AA291" i="2"/>
  <c r="AB291" i="2" s="1"/>
  <c r="Q297" i="2"/>
  <c r="W296" i="2"/>
  <c r="W297" i="2"/>
  <c r="Q296" i="2"/>
  <c r="Q294" i="2" l="1"/>
  <c r="W295" i="2"/>
  <c r="AA295" i="2" s="1"/>
  <c r="AB295" i="2" s="1"/>
  <c r="W294" i="2"/>
  <c r="AA297" i="2"/>
  <c r="AB297" i="2" s="1"/>
  <c r="AA296" i="2"/>
  <c r="AB296" i="2" s="1"/>
  <c r="P299" i="2" a="1"/>
  <c r="O298" i="2" a="1"/>
  <c r="O299" i="2" a="1"/>
  <c r="P298" i="2" a="1"/>
  <c r="AA294" i="2" l="1"/>
  <c r="AB294" i="2" s="1"/>
  <c r="Q299" i="2"/>
  <c r="W298" i="2"/>
  <c r="W299" i="2"/>
  <c r="Q298" i="2"/>
  <c r="AA298" i="2" l="1"/>
  <c r="AB298" i="2" s="1"/>
  <c r="AA299" i="2"/>
  <c r="AB299" i="2" s="1"/>
  <c r="P301" i="2" a="1"/>
  <c r="P300" i="2" a="1"/>
  <c r="O300" i="2" a="1"/>
  <c r="O301" i="2" a="1"/>
  <c r="W301" i="2" l="1"/>
  <c r="W300" i="2"/>
  <c r="Q301" i="2"/>
  <c r="Q300" i="2"/>
  <c r="AA301" i="2" l="1"/>
  <c r="AB301" i="2" s="1"/>
  <c r="O302" i="2" a="1"/>
  <c r="O303" i="2" a="1"/>
  <c r="P302" i="2" a="1"/>
  <c r="P303" i="2" a="1"/>
  <c r="AA300" i="2"/>
  <c r="AB300" i="2" s="1"/>
  <c r="W302" i="2" l="1"/>
  <c r="Q303" i="2"/>
  <c r="W303" i="2"/>
  <c r="Q302" i="2"/>
  <c r="AA303" i="2" l="1"/>
  <c r="AB303" i="2" s="1"/>
  <c r="AA302" i="2"/>
  <c r="AB302" i="2" s="1"/>
  <c r="P309" i="2" l="1" a="1"/>
  <c r="O308" i="2" a="1"/>
  <c r="P304" i="2" a="1"/>
  <c r="Q304" i="2" s="1"/>
  <c r="P305" i="2" a="1"/>
  <c r="O307" i="2" a="1"/>
  <c r="P307" i="2" a="1"/>
  <c r="O304" i="2" a="1"/>
  <c r="O306" i="2" a="1"/>
  <c r="O305" i="2" a="1"/>
  <c r="P306" i="2" a="1"/>
  <c r="O309" i="2" a="1"/>
  <c r="P308" i="2" a="1"/>
  <c r="W308" i="2" l="1"/>
  <c r="W307" i="2"/>
  <c r="W305" i="2"/>
  <c r="Q306" i="2"/>
  <c r="W309" i="2"/>
  <c r="Q309" i="2"/>
  <c r="AA309" i="2" s="1"/>
  <c r="AB309" i="2" s="1"/>
  <c r="Q305" i="2"/>
  <c r="AA305" i="2" s="1"/>
  <c r="AB305" i="2" s="1"/>
  <c r="Q307" i="2"/>
  <c r="W304" i="2"/>
  <c r="AA304" i="2" s="1"/>
  <c r="AB304" i="2" s="1"/>
  <c r="W306" i="2"/>
  <c r="Q308" i="2"/>
  <c r="AA308" i="2" s="1"/>
  <c r="AB308" i="2" s="1"/>
  <c r="P313" i="2" a="1"/>
  <c r="P310" i="2" a="1"/>
  <c r="O310" i="2" a="1"/>
  <c r="W310" i="2" s="1"/>
  <c r="P312" i="2" a="1"/>
  <c r="Q312" i="2" s="1"/>
  <c r="O312" i="2" a="1"/>
  <c r="AA307" i="2" l="1"/>
  <c r="AB307" i="2" s="1"/>
  <c r="W312" i="2"/>
  <c r="AA312" i="2" s="1"/>
  <c r="AB312" i="2" s="1"/>
  <c r="AA306" i="2"/>
  <c r="AB306" i="2" s="1"/>
  <c r="Q310" i="2"/>
  <c r="AA310" i="2" s="1"/>
  <c r="AB310" i="2" s="1"/>
  <c r="O311" i="2" a="1"/>
  <c r="P311" i="2" a="1"/>
  <c r="O313" i="2" a="1"/>
  <c r="O314" i="2" a="1"/>
  <c r="P315" i="2" a="1"/>
  <c r="P314" i="2" a="1"/>
  <c r="O315" i="2" a="1"/>
  <c r="Q311" i="2" l="1"/>
  <c r="Q313" i="2"/>
  <c r="W313" i="2"/>
  <c r="W311" i="2"/>
  <c r="AA311" i="2" s="1"/>
  <c r="AB311" i="2" s="1"/>
  <c r="Q315" i="2"/>
  <c r="Q314" i="2"/>
  <c r="W314" i="2"/>
  <c r="W315" i="2"/>
  <c r="AA313" i="2" l="1"/>
  <c r="AB313" i="2" s="1"/>
  <c r="AA314" i="2"/>
  <c r="AB314" i="2" s="1"/>
  <c r="AA315" i="2"/>
  <c r="AB315" i="2" s="1"/>
  <c r="O322" i="2" a="1"/>
  <c r="O323" i="2" a="1"/>
  <c r="P323" i="2" a="1"/>
  <c r="P322" i="2" a="1"/>
  <c r="O316" i="2" l="1" a="1"/>
  <c r="P319" i="2" a="1"/>
  <c r="P317" i="2" a="1"/>
  <c r="P318" i="2" a="1"/>
  <c r="P320" i="2" a="1"/>
  <c r="O321" i="2" a="1"/>
  <c r="W321" i="2" s="1"/>
  <c r="O320" i="2" a="1"/>
  <c r="O317" i="2" a="1"/>
  <c r="P316" i="2" a="1"/>
  <c r="Q316" i="2" s="1"/>
  <c r="O319" i="2" a="1"/>
  <c r="P321" i="2" a="1"/>
  <c r="O318" i="2" a="1"/>
  <c r="W323" i="2"/>
  <c r="Q322" i="2"/>
  <c r="W322" i="2"/>
  <c r="Q323" i="2"/>
  <c r="Q320" i="2" l="1"/>
  <c r="Q319" i="2"/>
  <c r="Q317" i="2"/>
  <c r="Q318" i="2"/>
  <c r="W316" i="2"/>
  <c r="AA316" i="2" s="1"/>
  <c r="AB316" i="2" s="1"/>
  <c r="W320" i="2"/>
  <c r="W317" i="2"/>
  <c r="W319" i="2"/>
  <c r="W318" i="2"/>
  <c r="Q321" i="2"/>
  <c r="AA321" i="2" s="1"/>
  <c r="AB321" i="2" s="1"/>
  <c r="AA322" i="2"/>
  <c r="AB322" i="2" s="1"/>
  <c r="AA323" i="2"/>
  <c r="AB323" i="2" s="1"/>
  <c r="AA320" i="2" l="1"/>
  <c r="AB320" i="2" s="1"/>
  <c r="AA319" i="2"/>
  <c r="AB319" i="2" s="1"/>
  <c r="AA317" i="2"/>
  <c r="AB317" i="2" s="1"/>
  <c r="AA318" i="2"/>
  <c r="AB318" i="2" s="1"/>
  <c r="O325" i="2" a="1"/>
  <c r="P327" i="2" a="1"/>
  <c r="P324" i="2" a="1"/>
  <c r="P325" i="2" a="1"/>
  <c r="O324" i="2" a="1"/>
  <c r="P326" i="2" a="1"/>
  <c r="O327" i="2" a="1"/>
  <c r="O326" i="2" a="1"/>
  <c r="O328" i="2" a="1"/>
  <c r="P328" i="2" a="1"/>
  <c r="O329" i="2" a="1"/>
  <c r="P329" i="2" a="1"/>
  <c r="Q329" i="2" s="1"/>
  <c r="Q326" i="2" l="1"/>
  <c r="W324" i="2"/>
  <c r="Q325" i="2"/>
  <c r="W327" i="2"/>
  <c r="Q328" i="2"/>
  <c r="W325" i="2"/>
  <c r="Q327" i="2"/>
  <c r="Q324" i="2"/>
  <c r="W326" i="2"/>
  <c r="AA326" i="2" s="1"/>
  <c r="AB326" i="2" s="1"/>
  <c r="W328" i="2"/>
  <c r="W329" i="2"/>
  <c r="AA329" i="2" s="1"/>
  <c r="AB329" i="2" s="1"/>
  <c r="O331" i="2" l="1" a="1"/>
  <c r="P330" i="2" a="1"/>
  <c r="P331" i="2" a="1"/>
  <c r="Q331" i="2" s="1"/>
  <c r="O330" i="2" a="1"/>
  <c r="AA327" i="2"/>
  <c r="AB327" i="2" s="1"/>
  <c r="AA324" i="2"/>
  <c r="AB324" i="2" s="1"/>
  <c r="AA328" i="2"/>
  <c r="AB328" i="2" s="1"/>
  <c r="AA325" i="2"/>
  <c r="AB325" i="2" s="1"/>
  <c r="Q330" i="2" l="1"/>
  <c r="W331" i="2"/>
  <c r="AA331" i="2" s="1"/>
  <c r="AB331" i="2" s="1"/>
  <c r="W330" i="2"/>
  <c r="P333" i="2" a="1"/>
  <c r="O332" i="2" a="1"/>
  <c r="P332" i="2" a="1"/>
  <c r="O333" i="2" a="1"/>
  <c r="AA330" i="2" l="1"/>
  <c r="AB330" i="2" s="1"/>
  <c r="W333" i="2"/>
  <c r="Q332" i="2"/>
  <c r="Q333" i="2"/>
  <c r="W332" i="2"/>
  <c r="AA333" i="2" l="1"/>
  <c r="AB333" i="2" s="1"/>
  <c r="AA332" i="2"/>
  <c r="AB332" i="2" s="1"/>
  <c r="O334" i="2" l="1" a="1"/>
  <c r="P334" i="2" a="1"/>
  <c r="Q334" i="2" s="1"/>
  <c r="O335" i="2" a="1"/>
  <c r="P335" i="2" a="1"/>
  <c r="Q335" i="2" l="1"/>
  <c r="W334" i="2"/>
  <c r="AA334" i="2" s="1"/>
  <c r="AB334" i="2" s="1"/>
  <c r="W335" i="2"/>
  <c r="AA335" i="2" s="1"/>
  <c r="AB335" i="2" s="1"/>
  <c r="P336" i="2" l="1" a="1"/>
  <c r="O336" i="2" a="1"/>
  <c r="W336" i="2" s="1"/>
  <c r="O337" i="2" a="1"/>
  <c r="P337" i="2" a="1"/>
  <c r="Q337" i="2" s="1"/>
  <c r="O340" i="2" a="1"/>
  <c r="O341" i="2" a="1"/>
  <c r="P341" i="2" a="1"/>
  <c r="P340" i="2" a="1"/>
  <c r="P339" i="2" a="1"/>
  <c r="P338" i="2" a="1"/>
  <c r="Q338" i="2" s="1"/>
  <c r="O339" i="2" a="1"/>
  <c r="O338" i="2" a="1"/>
  <c r="P342" i="2" a="1"/>
  <c r="Q342" i="2" s="1"/>
  <c r="O343" i="2" a="1"/>
  <c r="O342" i="2" a="1"/>
  <c r="P343" i="2" a="1"/>
  <c r="W341" i="2" l="1"/>
  <c r="W340" i="2"/>
  <c r="Q341" i="2"/>
  <c r="AA341" i="2" s="1"/>
  <c r="AB341" i="2" s="1"/>
  <c r="W339" i="2"/>
  <c r="W343" i="2"/>
  <c r="W337" i="2"/>
  <c r="AA337" i="2" s="1"/>
  <c r="AB337" i="2" s="1"/>
  <c r="Q339" i="2"/>
  <c r="Q340" i="2"/>
  <c r="W338" i="2"/>
  <c r="AA338" i="2" s="1"/>
  <c r="AB338" i="2" s="1"/>
  <c r="W342" i="2"/>
  <c r="AA342" i="2" s="1"/>
  <c r="AB342" i="2" s="1"/>
  <c r="Q343" i="2"/>
  <c r="Q336" i="2"/>
  <c r="AA336" i="2" s="1"/>
  <c r="AB336" i="2" s="1"/>
  <c r="P346" i="2" a="1"/>
  <c r="O347" i="2" a="1"/>
  <c r="P345" i="2" a="1"/>
  <c r="O344" i="2" a="1"/>
  <c r="O345" i="2" a="1"/>
  <c r="W345" i="2" s="1"/>
  <c r="P344" i="2" a="1"/>
  <c r="W344" i="2" l="1"/>
  <c r="AA339" i="2"/>
  <c r="AB339" i="2" s="1"/>
  <c r="Q345" i="2"/>
  <c r="AA345" i="2" s="1"/>
  <c r="AB345" i="2" s="1"/>
  <c r="AA340" i="2"/>
  <c r="AB340" i="2" s="1"/>
  <c r="AA343" i="2"/>
  <c r="AB343" i="2" s="1"/>
  <c r="Q344" i="2"/>
  <c r="P349" i="2" a="1"/>
  <c r="O348" i="2" a="1"/>
  <c r="O349" i="2" a="1"/>
  <c r="P348" i="2" a="1"/>
  <c r="O350" i="2" a="1"/>
  <c r="P350" i="2" a="1"/>
  <c r="O351" i="2" a="1"/>
  <c r="P351" i="2" a="1"/>
  <c r="O346" i="2" l="1" a="1"/>
  <c r="P347" i="2" a="1"/>
  <c r="AA344" i="2"/>
  <c r="AB344" i="2" s="1"/>
  <c r="Q348" i="2"/>
  <c r="Q349" i="2"/>
  <c r="W348" i="2"/>
  <c r="W349" i="2"/>
  <c r="Q350" i="2"/>
  <c r="W350" i="2"/>
  <c r="W351" i="2"/>
  <c r="Q351" i="2"/>
  <c r="Q346" i="2" l="1"/>
  <c r="W346" i="2"/>
  <c r="Q347" i="2"/>
  <c r="W347" i="2"/>
  <c r="AA349" i="2"/>
  <c r="AB349" i="2" s="1"/>
  <c r="AA348" i="2"/>
  <c r="AB348" i="2" s="1"/>
  <c r="AA350" i="2"/>
  <c r="AB350" i="2" s="1"/>
  <c r="AA351" i="2"/>
  <c r="AB351" i="2" s="1"/>
  <c r="AA347" i="2" l="1"/>
  <c r="AB347" i="2" s="1"/>
  <c r="P355" i="2" s="1" a="1"/>
  <c r="AA346" i="2"/>
  <c r="AB346" i="2" s="1"/>
  <c r="O355" i="2" a="1"/>
  <c r="P354" i="2" a="1"/>
  <c r="O354" i="2" a="1"/>
  <c r="P353" i="2" a="1"/>
  <c r="O352" i="2" a="1"/>
  <c r="P352" i="2" a="1"/>
  <c r="O353" i="2" a="1"/>
  <c r="Q354" i="2" l="1"/>
  <c r="Q353" i="2"/>
  <c r="W354" i="2"/>
  <c r="Q352" i="2"/>
  <c r="W353" i="2"/>
  <c r="W352" i="2"/>
  <c r="Q355" i="2"/>
  <c r="W355" i="2"/>
  <c r="AA354" i="2" l="1"/>
  <c r="AB354" i="2" s="1"/>
  <c r="AA353" i="2"/>
  <c r="AB353" i="2" s="1"/>
  <c r="AA352" i="2"/>
  <c r="AB352" i="2" s="1"/>
  <c r="AA355" i="2"/>
  <c r="AB355" i="2" s="1"/>
  <c r="P357" i="2" a="1"/>
  <c r="P356" i="2" a="1"/>
  <c r="O357" i="2" a="1"/>
  <c r="O356" i="2" a="1"/>
  <c r="W356" i="2" l="1"/>
  <c r="W357" i="2"/>
  <c r="Q357" i="2"/>
  <c r="Q356" i="2"/>
  <c r="AA356" i="2" l="1"/>
  <c r="AB356" i="2" s="1"/>
  <c r="AA357" i="2"/>
  <c r="AB357" i="2" s="1"/>
  <c r="O358" i="2" l="1" a="1"/>
  <c r="O359" i="2" a="1"/>
  <c r="P358" i="2" a="1"/>
  <c r="P359" i="2" a="1"/>
  <c r="W359" i="2" l="1"/>
  <c r="Q358" i="2"/>
  <c r="Q359" i="2"/>
  <c r="AA359" i="2" s="1"/>
  <c r="AB359" i="2" s="1"/>
  <c r="W358" i="2"/>
  <c r="O365" i="2" a="1"/>
  <c r="O364" i="2" a="1"/>
  <c r="P364" i="2" a="1"/>
  <c r="P365" i="2" a="1"/>
  <c r="AA358" i="2" l="1"/>
  <c r="AB358" i="2" s="1"/>
  <c r="O363" i="2" a="1"/>
  <c r="P362" i="2" a="1"/>
  <c r="P363" i="2" a="1"/>
  <c r="O362" i="2" a="1"/>
  <c r="O360" i="2" a="1"/>
  <c r="O361" i="2" a="1"/>
  <c r="P360" i="2" a="1"/>
  <c r="P361" i="2" a="1"/>
  <c r="Q364" i="2"/>
  <c r="Q365" i="2"/>
  <c r="W365" i="2"/>
  <c r="W364" i="2"/>
  <c r="W361" i="2" l="1"/>
  <c r="Q363" i="2"/>
  <c r="Q360" i="2"/>
  <c r="W362" i="2"/>
  <c r="W363" i="2"/>
  <c r="Q362" i="2"/>
  <c r="W360" i="2"/>
  <c r="Q361" i="2"/>
  <c r="AA365" i="2"/>
  <c r="AB365" i="2" s="1"/>
  <c r="AA364" i="2"/>
  <c r="AB364" i="2" s="1"/>
  <c r="P367" i="2" a="1"/>
  <c r="O367" i="2" a="1"/>
  <c r="P366" i="2" a="1"/>
  <c r="O366" i="2" a="1"/>
  <c r="AA363" i="2" l="1"/>
  <c r="AB363" i="2" s="1"/>
  <c r="AA361" i="2"/>
  <c r="AB361" i="2" s="1"/>
  <c r="AA362" i="2"/>
  <c r="AB362" i="2" s="1"/>
  <c r="AA360" i="2"/>
  <c r="AB360" i="2" s="1"/>
  <c r="W367" i="2"/>
  <c r="W366" i="2"/>
  <c r="Q366" i="2"/>
  <c r="Q367" i="2"/>
  <c r="AA367" i="2" l="1"/>
  <c r="AB367" i="2" s="1"/>
  <c r="P369" i="2" a="1"/>
  <c r="P368" i="2" a="1"/>
  <c r="O369" i="2" a="1"/>
  <c r="O368" i="2" a="1"/>
  <c r="AA366" i="2"/>
  <c r="AB366" i="2" s="1"/>
  <c r="Q368" i="2" l="1"/>
  <c r="W369" i="2"/>
  <c r="W368" i="2"/>
  <c r="Q369" i="2"/>
  <c r="AA369" i="2" l="1"/>
  <c r="AB369" i="2" s="1"/>
  <c r="AA368" i="2"/>
  <c r="AB368" i="2" s="1"/>
  <c r="P370" i="2" l="1" a="1"/>
  <c r="O370" i="2" a="1"/>
  <c r="W370" i="2" s="1"/>
  <c r="P371" i="2" a="1"/>
  <c r="O371" i="2" a="1"/>
  <c r="W371" i="2" s="1"/>
  <c r="O373" i="2" a="1"/>
  <c r="P372" i="2" a="1"/>
  <c r="O372" i="2" a="1"/>
  <c r="O374" i="2" a="1"/>
  <c r="O375" i="2" a="1"/>
  <c r="P374" i="2" a="1"/>
  <c r="P375" i="2" a="1"/>
  <c r="P373" i="2" a="1"/>
  <c r="Q370" i="2" l="1"/>
  <c r="AA370" i="2" s="1"/>
  <c r="AB370" i="2" s="1"/>
  <c r="Q371" i="2"/>
  <c r="AA371" i="2" s="1"/>
  <c r="AB371" i="2" s="1"/>
  <c r="Q375" i="2"/>
  <c r="Q372" i="2"/>
  <c r="W373" i="2"/>
  <c r="W374" i="2"/>
  <c r="W372" i="2"/>
  <c r="W375" i="2"/>
  <c r="Q374" i="2"/>
  <c r="Q373" i="2"/>
  <c r="AA375" i="2" l="1"/>
  <c r="AB375" i="2" s="1"/>
  <c r="P377" i="2" a="1"/>
  <c r="P376" i="2" a="1"/>
  <c r="O377" i="2" a="1"/>
  <c r="O376" i="2" a="1"/>
  <c r="AA372" i="2"/>
  <c r="AB372" i="2" s="1"/>
  <c r="AA374" i="2"/>
  <c r="AB374" i="2" s="1"/>
  <c r="AA373" i="2"/>
  <c r="AB373" i="2" s="1"/>
  <c r="Q376" i="2" l="1"/>
  <c r="W377" i="2"/>
  <c r="Q377" i="2"/>
  <c r="W376" i="2"/>
  <c r="AA377" i="2" l="1"/>
  <c r="AB377" i="2" s="1"/>
  <c r="AA376" i="2"/>
  <c r="AB376" i="2" s="1"/>
  <c r="O379" i="2" a="1"/>
  <c r="P379" i="2" a="1"/>
  <c r="P378" i="2" a="1"/>
  <c r="Q378" i="2" s="1"/>
  <c r="O378" i="2" a="1"/>
  <c r="W379" i="2" l="1"/>
  <c r="Q379" i="2"/>
  <c r="W378" i="2"/>
  <c r="AA378" i="2" s="1"/>
  <c r="AB378" i="2" s="1"/>
  <c r="AA379" i="2" l="1"/>
  <c r="AB379" i="2" s="1"/>
  <c r="P386" i="2" a="1"/>
  <c r="P387" i="2" a="1"/>
  <c r="O386" i="2" a="1"/>
  <c r="O389" i="2" a="1"/>
  <c r="P389" i="2" a="1"/>
  <c r="P388" i="2" a="1"/>
  <c r="O387" i="2" a="1"/>
  <c r="O388" i="2" a="1"/>
  <c r="O380" i="2" l="1" a="1"/>
  <c r="O383" i="2" a="1"/>
  <c r="P381" i="2" a="1"/>
  <c r="O381" i="2" a="1"/>
  <c r="O384" i="2" a="1"/>
  <c r="W384" i="2" s="1"/>
  <c r="P380" i="2" a="1"/>
  <c r="P384" i="2" a="1"/>
  <c r="O382" i="2" a="1"/>
  <c r="P383" i="2" a="1"/>
  <c r="Q383" i="2" s="1"/>
  <c r="O385" i="2" a="1"/>
  <c r="P382" i="2" a="1"/>
  <c r="Q382" i="2" s="1"/>
  <c r="P385" i="2" a="1"/>
  <c r="Q389" i="2"/>
  <c r="Q388" i="2"/>
  <c r="Q387" i="2"/>
  <c r="W386" i="2"/>
  <c r="Q386" i="2"/>
  <c r="W389" i="2"/>
  <c r="W387" i="2"/>
  <c r="W388" i="2"/>
  <c r="W381" i="2" l="1"/>
  <c r="W380" i="2"/>
  <c r="Q385" i="2"/>
  <c r="Q381" i="2"/>
  <c r="AA381" i="2" s="1"/>
  <c r="AB381" i="2" s="1"/>
  <c r="Q380" i="2"/>
  <c r="Q384" i="2"/>
  <c r="AA384" i="2" s="1"/>
  <c r="AB384" i="2" s="1"/>
  <c r="W382" i="2"/>
  <c r="AA382" i="2" s="1"/>
  <c r="AB382" i="2" s="1"/>
  <c r="W385" i="2"/>
  <c r="W383" i="2"/>
  <c r="AA383" i="2" s="1"/>
  <c r="AB383" i="2" s="1"/>
  <c r="AA388" i="2"/>
  <c r="AB388" i="2" s="1"/>
  <c r="AA389" i="2"/>
  <c r="AB389" i="2" s="1"/>
  <c r="AA386" i="2"/>
  <c r="AB386" i="2" s="1"/>
  <c r="AA387" i="2"/>
  <c r="AB387" i="2" s="1"/>
  <c r="P393" i="2" a="1"/>
  <c r="O393" i="2" a="1"/>
  <c r="O392" i="2" a="1"/>
  <c r="P390" i="2" a="1"/>
  <c r="P392" i="2" a="1"/>
  <c r="O391" i="2" a="1"/>
  <c r="AA380" i="2" l="1"/>
  <c r="AB380" i="2" s="1"/>
  <c r="AA385" i="2"/>
  <c r="AB385" i="2" s="1"/>
  <c r="W393" i="2"/>
  <c r="Q392" i="2"/>
  <c r="Q393" i="2"/>
  <c r="W392" i="2"/>
  <c r="O390" i="2" l="1" a="1"/>
  <c r="P391" i="2" a="1"/>
  <c r="AA393" i="2"/>
  <c r="AB393" i="2" s="1"/>
  <c r="O394" i="2" a="1"/>
  <c r="P394" i="2" a="1"/>
  <c r="P395" i="2" a="1"/>
  <c r="O395" i="2" a="1"/>
  <c r="AA392" i="2"/>
  <c r="AB392" i="2" s="1"/>
  <c r="W390" i="2" l="1"/>
  <c r="AA390" i="2" s="1"/>
  <c r="AB390" i="2" s="1"/>
  <c r="Q390" i="2"/>
  <c r="W391" i="2"/>
  <c r="Q391" i="2"/>
  <c r="Q394" i="2"/>
  <c r="Q395" i="2"/>
  <c r="W394" i="2"/>
  <c r="W395" i="2"/>
  <c r="AA391" i="2" l="1"/>
  <c r="AB391" i="2" s="1"/>
  <c r="AA394" i="2"/>
  <c r="AB394" i="2" s="1"/>
  <c r="AA395" i="2"/>
  <c r="AB395" i="2" s="1"/>
  <c r="O397" i="2" a="1"/>
  <c r="P397" i="2" a="1"/>
  <c r="P396" i="2" a="1"/>
  <c r="O396" i="2" a="1"/>
  <c r="W397" i="2" l="1"/>
  <c r="Q397" i="2"/>
  <c r="W396" i="2"/>
  <c r="Q396" i="2"/>
  <c r="AA397" i="2" l="1"/>
  <c r="AB397" i="2" s="1"/>
  <c r="O399" i="2" a="1"/>
  <c r="P398" i="2" a="1"/>
  <c r="P399" i="2" a="1"/>
  <c r="O398" i="2" a="1"/>
  <c r="AA396" i="2"/>
  <c r="AB396" i="2" s="1"/>
  <c r="W399" i="2" l="1"/>
  <c r="Q398" i="2"/>
  <c r="Q399" i="2"/>
  <c r="AA399" i="2" s="1"/>
  <c r="AB399" i="2" s="1"/>
  <c r="W398" i="2"/>
  <c r="O402" i="2" a="1"/>
  <c r="W402" i="2" s="1"/>
  <c r="P402" i="2" a="1"/>
  <c r="O403" i="2" a="1"/>
  <c r="P400" i="2" a="1"/>
  <c r="O401" i="2" a="1"/>
  <c r="O400" i="2" a="1"/>
  <c r="W400" i="2" s="1"/>
  <c r="P403" i="2" a="1"/>
  <c r="P401" i="2" a="1"/>
  <c r="AA398" i="2" l="1"/>
  <c r="AB398" i="2" s="1"/>
  <c r="P407" i="2" s="1" a="1"/>
  <c r="Q403" i="2"/>
  <c r="Q401" i="2"/>
  <c r="Q402" i="2"/>
  <c r="AA402" i="2" s="1"/>
  <c r="AB402" i="2" s="1"/>
  <c r="W403" i="2"/>
  <c r="Q400" i="2"/>
  <c r="AA400" i="2" s="1"/>
  <c r="AB400" i="2" s="1"/>
  <c r="W401" i="2"/>
  <c r="O409" i="2" a="1"/>
  <c r="O407" i="2" a="1"/>
  <c r="O406" i="2" a="1"/>
  <c r="P409" i="2" a="1"/>
  <c r="P406" i="2" a="1"/>
  <c r="O408" i="2" a="1"/>
  <c r="P408" i="2" a="1"/>
  <c r="AA403" i="2" l="1"/>
  <c r="AB403" i="2" s="1"/>
  <c r="AA401" i="2"/>
  <c r="AB401" i="2" s="1"/>
  <c r="P404" i="2" a="1"/>
  <c r="O405" i="2" a="1"/>
  <c r="P405" i="2" a="1"/>
  <c r="O404" i="2" a="1"/>
  <c r="W404" i="2" s="1"/>
  <c r="W409" i="2"/>
  <c r="Q408" i="2"/>
  <c r="Q406" i="2"/>
  <c r="W407" i="2"/>
  <c r="W406" i="2"/>
  <c r="Q409" i="2"/>
  <c r="W408" i="2"/>
  <c r="Q407" i="2"/>
  <c r="W405" i="2" l="1"/>
  <c r="Q404" i="2"/>
  <c r="AA404" i="2" s="1"/>
  <c r="AB404" i="2" s="1"/>
  <c r="Q405" i="2"/>
  <c r="AA406" i="2"/>
  <c r="AB406" i="2" s="1"/>
  <c r="AA409" i="2"/>
  <c r="AB409" i="2" s="1"/>
  <c r="AA408" i="2"/>
  <c r="AB408" i="2" s="1"/>
  <c r="AA407" i="2"/>
  <c r="AB407" i="2" s="1"/>
  <c r="O410" i="2" a="1"/>
  <c r="P410" i="2" a="1"/>
  <c r="P411" i="2" a="1"/>
  <c r="O411" i="2" a="1"/>
  <c r="AA405" i="2" l="1"/>
  <c r="AB405" i="2" s="1"/>
  <c r="Q410" i="2"/>
  <c r="W411" i="2"/>
  <c r="W410" i="2"/>
  <c r="Q411" i="2"/>
  <c r="AA410" i="2" l="1"/>
  <c r="AB410" i="2" s="1"/>
  <c r="AA411" i="2"/>
  <c r="AB411" i="2" s="1"/>
  <c r="P413" i="2" l="1" a="1"/>
  <c r="P412" i="2" a="1"/>
  <c r="O413" i="2" a="1"/>
  <c r="O412" i="2" a="1"/>
  <c r="Q412" i="2" l="1"/>
  <c r="W413" i="2"/>
  <c r="Q413" i="2"/>
  <c r="AA413" i="2" s="1"/>
  <c r="AB413" i="2" s="1"/>
  <c r="W412" i="2"/>
  <c r="AA412" i="2" s="1"/>
  <c r="AB412" i="2" s="1"/>
  <c r="O415" i="2" l="1" a="1"/>
  <c r="O414" i="2" a="1"/>
  <c r="P415" i="2" a="1"/>
  <c r="Q415" i="2" s="1"/>
  <c r="P414" i="2" a="1"/>
  <c r="P416" i="2" a="1"/>
  <c r="O416" i="2" a="1"/>
  <c r="P417" i="2" a="1"/>
  <c r="O417" i="2" a="1"/>
  <c r="P418" i="2" a="1"/>
  <c r="O419" i="2" a="1"/>
  <c r="P419" i="2" a="1"/>
  <c r="O418" i="2" a="1"/>
  <c r="AX5" i="3" a="1"/>
  <c r="Q417" i="2" l="1"/>
  <c r="W415" i="2"/>
  <c r="AA415" i="2" s="1"/>
  <c r="AB415" i="2" s="1"/>
  <c r="Q416" i="2"/>
  <c r="W414" i="2"/>
  <c r="Q414" i="2"/>
  <c r="W416" i="2"/>
  <c r="W417" i="2"/>
  <c r="AA417" i="2" s="1"/>
  <c r="AB417" i="2" s="1"/>
  <c r="Q419" i="2"/>
  <c r="W419" i="2"/>
  <c r="W418" i="2"/>
  <c r="Q418" i="2"/>
  <c r="AA414" i="2" l="1"/>
  <c r="AB414" i="2" s="1"/>
  <c r="AA416" i="2"/>
  <c r="AB416" i="2" s="1"/>
  <c r="AA419" i="2"/>
  <c r="AB419" i="2" s="1"/>
  <c r="AA418" i="2"/>
  <c r="AB418" i="2" s="1"/>
  <c r="O420" i="2" l="1" a="1"/>
  <c r="P420" i="2" a="1"/>
  <c r="O421" i="2" a="1"/>
  <c r="W421" i="2" s="1"/>
  <c r="P421" i="2" a="1"/>
  <c r="O423" i="2" a="1"/>
  <c r="P422" i="2" a="1"/>
  <c r="P423" i="2" a="1"/>
  <c r="O422" i="2" a="1"/>
  <c r="W420" i="2" l="1"/>
  <c r="Q420" i="2"/>
  <c r="Q421" i="2"/>
  <c r="AA421" i="2" s="1"/>
  <c r="AB421" i="2" s="1"/>
  <c r="Q423" i="2"/>
  <c r="W423" i="2"/>
  <c r="W422" i="2"/>
  <c r="Q422" i="2"/>
  <c r="AA420" i="2" l="1"/>
  <c r="AB420" i="2" s="1"/>
  <c r="O427" i="2" a="1"/>
  <c r="O429" i="2" a="1"/>
  <c r="P427" i="2" a="1"/>
  <c r="AA423" i="2"/>
  <c r="AB423" i="2" s="1"/>
  <c r="AA422" i="2"/>
  <c r="AB422" i="2" s="1"/>
  <c r="AX2" i="3" a="1"/>
  <c r="P428" i="2" l="1" a="1"/>
  <c r="P429" i="2" a="1"/>
  <c r="O428" i="2" a="1"/>
  <c r="O426" i="2" a="1"/>
  <c r="P426" i="2" a="1"/>
  <c r="P425" i="2" a="1"/>
  <c r="O425" i="2" a="1"/>
  <c r="W425" i="2" s="1"/>
  <c r="P424" i="2" a="1"/>
  <c r="O424" i="2" a="1"/>
  <c r="W424" i="2" s="1"/>
  <c r="W427" i="2"/>
  <c r="Q427" i="2"/>
  <c r="AX9" i="3" a="1"/>
  <c r="W426" i="2" l="1"/>
  <c r="Q426" i="2"/>
  <c r="Q424" i="2"/>
  <c r="AA424" i="2" s="1"/>
  <c r="AB424" i="2" s="1"/>
  <c r="Q425" i="2"/>
  <c r="AA425" i="2" s="1"/>
  <c r="AB425" i="2" s="1"/>
  <c r="W429" i="2"/>
  <c r="Q429" i="2"/>
  <c r="AA429" i="2" s="1"/>
  <c r="AB429" i="2" s="1"/>
  <c r="W428" i="2"/>
  <c r="Q428" i="2"/>
  <c r="AA427" i="2"/>
  <c r="AB427" i="2" s="1"/>
  <c r="AA426" i="2"/>
  <c r="AB426" i="2" s="1"/>
  <c r="P433" i="2" a="1"/>
  <c r="O433" i="2" a="1"/>
  <c r="O432" i="2" a="1"/>
  <c r="P432" i="2" a="1"/>
  <c r="Q432" i="2" s="1"/>
  <c r="P435" i="2" a="1"/>
  <c r="O434" i="2" a="1"/>
  <c r="AX4" i="3" a="1"/>
  <c r="AA428" i="2" l="1"/>
  <c r="AB428" i="2" s="1"/>
  <c r="P434" i="2" a="1"/>
  <c r="O435" i="2" a="1"/>
  <c r="O430" i="2" a="1"/>
  <c r="O431" i="2" a="1"/>
  <c r="P430" i="2" a="1"/>
  <c r="P431" i="2" a="1"/>
  <c r="W433" i="2"/>
  <c r="Q433" i="2"/>
  <c r="W432" i="2"/>
  <c r="AA432" i="2" s="1"/>
  <c r="AB432" i="2" s="1"/>
  <c r="Q431" i="2" l="1"/>
  <c r="Q430" i="2"/>
  <c r="W434" i="2"/>
  <c r="AA434" i="2" s="1"/>
  <c r="AB434" i="2" s="1"/>
  <c r="Q434" i="2"/>
  <c r="W435" i="2"/>
  <c r="Q435" i="2"/>
  <c r="AA435" i="2" s="1"/>
  <c r="AB435" i="2" s="1"/>
  <c r="W430" i="2"/>
  <c r="W431" i="2"/>
  <c r="AA431" i="2" s="1"/>
  <c r="AB431" i="2" s="1"/>
  <c r="AA433" i="2"/>
  <c r="AB433" i="2" s="1"/>
  <c r="AA430" i="2" l="1"/>
  <c r="AB430" i="2" s="1"/>
  <c r="O437" i="2" a="1"/>
  <c r="P437" i="2" a="1"/>
  <c r="P436" i="2" a="1"/>
  <c r="O436" i="2" a="1"/>
  <c r="W436" i="2" s="1"/>
  <c r="W437" i="2" l="1"/>
  <c r="Q437" i="2"/>
  <c r="AA437" i="2" s="1"/>
  <c r="AB437" i="2" s="1"/>
  <c r="Q436" i="2"/>
  <c r="AA436" i="2" s="1"/>
  <c r="AB436" i="2" s="1"/>
  <c r="P443" i="2" a="1"/>
  <c r="O443" i="2" a="1"/>
  <c r="O442" i="2" a="1"/>
  <c r="P445" i="2" a="1"/>
  <c r="O445" i="2" a="1"/>
  <c r="O444" i="2" a="1"/>
  <c r="P444" i="2" a="1"/>
  <c r="P442" i="2" a="1"/>
  <c r="O441" i="2" a="1"/>
  <c r="O440" i="2" a="1"/>
  <c r="P441" i="2" a="1"/>
  <c r="P440" i="2" a="1"/>
  <c r="O446" i="2" a="1"/>
  <c r="P446" i="2" a="1"/>
  <c r="O447" i="2" a="1"/>
  <c r="P447" i="2" a="1"/>
  <c r="O438" i="2" l="1" a="1"/>
  <c r="O439" i="2" a="1"/>
  <c r="P439" i="2" a="1"/>
  <c r="P438" i="2" a="1"/>
  <c r="Q438" i="2" s="1"/>
  <c r="Q446" i="2"/>
  <c r="W445" i="2"/>
  <c r="Q442" i="2"/>
  <c r="W440" i="2"/>
  <c r="W443" i="2"/>
  <c r="Q444" i="2"/>
  <c r="Q441" i="2"/>
  <c r="W447" i="2"/>
  <c r="Q443" i="2"/>
  <c r="W442" i="2"/>
  <c r="Q445" i="2"/>
  <c r="W444" i="2"/>
  <c r="W441" i="2"/>
  <c r="Q440" i="2"/>
  <c r="W446" i="2"/>
  <c r="Q447" i="2"/>
  <c r="AX8" i="3" a="1"/>
  <c r="W438" i="2" l="1"/>
  <c r="Q439" i="2"/>
  <c r="AA438" i="2"/>
  <c r="AB438" i="2" s="1"/>
  <c r="W439" i="2"/>
  <c r="AA446" i="2"/>
  <c r="AB446" i="2" s="1"/>
  <c r="AA445" i="2"/>
  <c r="AB445" i="2" s="1"/>
  <c r="AA442" i="2"/>
  <c r="AB442" i="2" s="1"/>
  <c r="AA440" i="2"/>
  <c r="AB440" i="2" s="1"/>
  <c r="AA443" i="2"/>
  <c r="AB443" i="2" s="1"/>
  <c r="AA444" i="2"/>
  <c r="AB444" i="2" s="1"/>
  <c r="AA441" i="2"/>
  <c r="AB441" i="2" s="1"/>
  <c r="AA447" i="2"/>
  <c r="AB447" i="2" s="1"/>
  <c r="P453" i="2" a="1"/>
  <c r="O453" i="2" a="1"/>
  <c r="P452" i="2" a="1"/>
  <c r="O452" i="2" a="1"/>
  <c r="AA439" i="2" l="1"/>
  <c r="AB439" i="2" s="1"/>
  <c r="P451" i="2" a="1"/>
  <c r="P449" i="2" a="1"/>
  <c r="Q449" i="2" s="1"/>
  <c r="O449" i="2" a="1"/>
  <c r="O448" i="2" a="1"/>
  <c r="P448" i="2" a="1"/>
  <c r="O450" i="2" a="1"/>
  <c r="P450" i="2" a="1"/>
  <c r="O451" i="2" a="1"/>
  <c r="W453" i="2"/>
  <c r="W452" i="2"/>
  <c r="Q453" i="2"/>
  <c r="Q452" i="2"/>
  <c r="Q448" i="2" l="1"/>
  <c r="W449" i="2"/>
  <c r="AA449" i="2" s="1"/>
  <c r="AB449" i="2" s="1"/>
  <c r="W448" i="2"/>
  <c r="W450" i="2"/>
  <c r="Q450" i="2"/>
  <c r="Q451" i="2"/>
  <c r="W451" i="2"/>
  <c r="AA453" i="2"/>
  <c r="AB453" i="2" s="1"/>
  <c r="P455" i="2" a="1"/>
  <c r="O455" i="2" a="1"/>
  <c r="P454" i="2" a="1"/>
  <c r="O454" i="2" a="1"/>
  <c r="AA452" i="2"/>
  <c r="AB452" i="2" s="1"/>
  <c r="AA448" i="2" l="1"/>
  <c r="AB448" i="2" s="1"/>
  <c r="AA450" i="2"/>
  <c r="AB450" i="2" s="1"/>
  <c r="AA451" i="2"/>
  <c r="AB451" i="2" s="1"/>
  <c r="W455" i="2"/>
  <c r="W454" i="2"/>
  <c r="Q455" i="2"/>
  <c r="Q454" i="2"/>
  <c r="AA455" i="2" l="1"/>
  <c r="AB455" i="2" s="1"/>
  <c r="AA454" i="2"/>
  <c r="AB454" i="2" s="1"/>
  <c r="P457" i="2" l="1" a="1"/>
  <c r="O457" i="2" a="1"/>
  <c r="O456" i="2" a="1"/>
  <c r="P456" i="2" a="1"/>
  <c r="Q457" i="2" l="1"/>
  <c r="W456" i="2"/>
  <c r="W457" i="2"/>
  <c r="Q456" i="2"/>
  <c r="AA457" i="2" l="1"/>
  <c r="AB457" i="2" s="1"/>
  <c r="AA456" i="2"/>
  <c r="AB456" i="2" s="1"/>
  <c r="O459" i="2" a="1"/>
  <c r="P458" i="2" a="1"/>
  <c r="P459" i="2" a="1"/>
  <c r="O458" i="2" a="1"/>
  <c r="W459" i="2" l="1"/>
  <c r="W458" i="2"/>
  <c r="Q458" i="2"/>
  <c r="AA458" i="2" s="1"/>
  <c r="AB458" i="2" s="1"/>
  <c r="Q459" i="2"/>
  <c r="AA459" i="2" l="1"/>
  <c r="AB459" i="2" s="1"/>
  <c r="P461" i="2" a="1"/>
  <c r="O460" i="2" a="1"/>
  <c r="P460" i="2" a="1"/>
  <c r="O461" i="2" a="1"/>
  <c r="O462" i="2" a="1"/>
  <c r="P464" i="2" a="1"/>
  <c r="P463" i="2" a="1"/>
  <c r="P462" i="2" a="1"/>
  <c r="P465" i="2" a="1"/>
  <c r="O463" i="2" a="1"/>
  <c r="O464" i="2" a="1"/>
  <c r="O465" i="2" a="1"/>
  <c r="P469" i="2" a="1"/>
  <c r="P467" i="2" a="1"/>
  <c r="O468" i="2" a="1"/>
  <c r="O466" i="2" a="1"/>
  <c r="P468" i="2" a="1"/>
  <c r="O469" i="2" a="1"/>
  <c r="O467" i="2" a="1"/>
  <c r="W460" i="2" l="1"/>
  <c r="W461" i="2"/>
  <c r="Q462" i="2"/>
  <c r="W463" i="2"/>
  <c r="W464" i="2"/>
  <c r="W465" i="2"/>
  <c r="Q461" i="2"/>
  <c r="Q460" i="2"/>
  <c r="W462" i="2"/>
  <c r="Q464" i="2"/>
  <c r="Q463" i="2"/>
  <c r="Q465" i="2"/>
  <c r="Q468" i="2"/>
  <c r="W468" i="2"/>
  <c r="W469" i="2"/>
  <c r="W467" i="2"/>
  <c r="Q469" i="2"/>
  <c r="Q467" i="2"/>
  <c r="AA460" i="2" l="1"/>
  <c r="AB460" i="2" s="1"/>
  <c r="AA461" i="2"/>
  <c r="AB461" i="2" s="1"/>
  <c r="AA462" i="2"/>
  <c r="AB462" i="2" s="1"/>
  <c r="AA464" i="2"/>
  <c r="AB464" i="2" s="1"/>
  <c r="AA463" i="2"/>
  <c r="AB463" i="2" s="1"/>
  <c r="P466" i="2" s="1" a="1"/>
  <c r="AA465" i="2"/>
  <c r="AB465" i="2" s="1"/>
  <c r="AA468" i="2"/>
  <c r="AB468" i="2" s="1"/>
  <c r="AA467" i="2"/>
  <c r="AB467" i="2" s="1"/>
  <c r="AA469" i="2"/>
  <c r="AB469" i="2" s="1"/>
  <c r="Q466" i="2" l="1"/>
  <c r="W466" i="2"/>
  <c r="P481" i="2" a="1"/>
  <c r="O480" i="2" a="1"/>
  <c r="O481" i="2" a="1"/>
  <c r="P480" i="2" a="1"/>
  <c r="O470" i="2" a="1"/>
  <c r="P471" i="2" a="1"/>
  <c r="O471" i="2" a="1"/>
  <c r="P470" i="2" a="1"/>
  <c r="AA466" i="2" l="1"/>
  <c r="AB466" i="2" s="1"/>
  <c r="W480" i="2"/>
  <c r="W481" i="2"/>
  <c r="Q481" i="2"/>
  <c r="Q480" i="2"/>
  <c r="W470" i="2"/>
  <c r="W471" i="2"/>
  <c r="Q471" i="2"/>
  <c r="Q470" i="2"/>
  <c r="AA480" i="2" l="1"/>
  <c r="AB480" i="2" s="1"/>
  <c r="AA481" i="2"/>
  <c r="AB481" i="2" s="1"/>
  <c r="AA471" i="2"/>
  <c r="AB471" i="2" s="1"/>
  <c r="AA470" i="2"/>
  <c r="AB470" i="2" s="1"/>
  <c r="P473" i="2" a="1"/>
  <c r="O473" i="2" a="1"/>
  <c r="P472" i="2" a="1"/>
  <c r="O472" i="2" a="1"/>
  <c r="Q473" i="2" l="1"/>
  <c r="W473" i="2"/>
  <c r="W472" i="2"/>
  <c r="Q472" i="2"/>
  <c r="AA473" i="2" l="1"/>
  <c r="AB473" i="2" s="1"/>
  <c r="P475" i="2" a="1"/>
  <c r="O475" i="2" a="1"/>
  <c r="P474" i="2" a="1"/>
  <c r="O474" i="2" a="1"/>
  <c r="AA472" i="2"/>
  <c r="AB472" i="2" s="1"/>
  <c r="O483" i="2" l="1" a="1"/>
  <c r="P482" i="2" a="1"/>
  <c r="Q475" i="2"/>
  <c r="W475" i="2"/>
  <c r="W474" i="2"/>
  <c r="Q474" i="2"/>
  <c r="AA474" i="2" l="1"/>
  <c r="AB474" i="2" s="1"/>
  <c r="AA475" i="2"/>
  <c r="AB475" i="2" s="1"/>
  <c r="P477" i="2" a="1"/>
  <c r="O477" i="2" a="1"/>
  <c r="P476" i="2" a="1"/>
  <c r="O476" i="2" a="1"/>
  <c r="G30" i="3" l="1" a="1"/>
  <c r="AX7" i="3" a="1"/>
  <c r="P486" i="2" a="1"/>
  <c r="O487" i="2" a="1"/>
  <c r="O482" i="2" a="1"/>
  <c r="P483" i="2" a="1"/>
  <c r="Q477" i="2"/>
  <c r="Q476" i="2"/>
  <c r="W477" i="2"/>
  <c r="W476" i="2"/>
  <c r="Q482" i="2" l="1"/>
  <c r="W482" i="2"/>
  <c r="W483" i="2"/>
  <c r="Q483" i="2"/>
  <c r="AA477" i="2"/>
  <c r="AB477" i="2" s="1"/>
  <c r="AA476" i="2"/>
  <c r="AB476" i="2" s="1"/>
  <c r="P478" i="2" a="1"/>
  <c r="O479" i="2" a="1"/>
  <c r="P479" i="2" a="1"/>
  <c r="O478" i="2" a="1"/>
  <c r="AA482" i="2" l="1"/>
  <c r="AB482" i="2" s="1"/>
  <c r="AA483" i="2"/>
  <c r="AB483" i="2" s="1"/>
  <c r="O485" i="2" a="1"/>
  <c r="P484" i="2" a="1"/>
  <c r="W479" i="2"/>
  <c r="W478" i="2"/>
  <c r="Q479" i="2"/>
  <c r="Q478" i="2"/>
  <c r="AA479" i="2" l="1"/>
  <c r="AB479" i="2" s="1"/>
  <c r="AA478" i="2"/>
  <c r="AB478" i="2" s="1"/>
  <c r="P487" i="2" l="1" a="1"/>
  <c r="O486" i="2" a="1"/>
  <c r="O484" i="2" a="1"/>
  <c r="P485" i="2" a="1"/>
  <c r="O489" i="2" a="1"/>
  <c r="P488" i="2" a="1"/>
  <c r="O488" i="2" a="1"/>
  <c r="P489" i="2" a="1"/>
  <c r="W487" i="2" l="1"/>
  <c r="Q487" i="2"/>
  <c r="Q486" i="2"/>
  <c r="W486" i="2"/>
  <c r="AA486" i="2" s="1"/>
  <c r="AB486" i="2" s="1"/>
  <c r="Q484" i="2"/>
  <c r="W484" i="2"/>
  <c r="Q485" i="2"/>
  <c r="W485" i="2"/>
  <c r="AA485" i="2" s="1"/>
  <c r="AB485" i="2" s="1"/>
  <c r="Q489" i="2"/>
  <c r="Q488" i="2"/>
  <c r="W489" i="2"/>
  <c r="W488" i="2"/>
  <c r="AA487" i="2" l="1"/>
  <c r="AB487" i="2" s="1"/>
  <c r="AA484" i="2"/>
  <c r="AB484" i="2" s="1"/>
  <c r="AA489" i="2"/>
  <c r="AB489" i="2" s="1"/>
  <c r="AA488" i="2"/>
  <c r="AB488" i="2" s="1"/>
  <c r="P491" i="2" l="1" a="1"/>
  <c r="O490" i="2" a="1"/>
  <c r="P490" i="2" a="1"/>
  <c r="O491" i="2" a="1"/>
  <c r="W491" i="2" s="1"/>
  <c r="O492" i="2" a="1"/>
  <c r="W492" i="2" s="1"/>
  <c r="P493" i="2" a="1"/>
  <c r="P492" i="2" a="1"/>
  <c r="O493" i="2" a="1"/>
  <c r="W490" i="2" l="1"/>
  <c r="W493" i="2"/>
  <c r="Q491" i="2"/>
  <c r="AA491" i="2" s="1"/>
  <c r="AB491" i="2" s="1"/>
  <c r="Q490" i="2"/>
  <c r="Q492" i="2"/>
  <c r="AA492" i="2" s="1"/>
  <c r="AB492" i="2" s="1"/>
  <c r="G26" i="3" s="1" a="1"/>
  <c r="Q493" i="2"/>
  <c r="O496" i="2" a="1"/>
  <c r="P497" i="2" a="1"/>
  <c r="P496" i="2" a="1"/>
  <c r="Q496" i="2" s="1"/>
  <c r="O497" i="2" a="1"/>
  <c r="W497" i="2" s="1"/>
  <c r="P495" i="2" a="1"/>
  <c r="O495" i="2" a="1"/>
  <c r="O494" i="2" a="1"/>
  <c r="P494" i="2" a="1"/>
  <c r="AA490" i="2" l="1"/>
  <c r="AB490" i="2" s="1"/>
  <c r="G35" i="3" s="1" a="1"/>
  <c r="W495" i="2"/>
  <c r="AA493" i="2"/>
  <c r="AB493" i="2" s="1"/>
  <c r="W494" i="2"/>
  <c r="W496" i="2"/>
  <c r="AA496" i="2" s="1"/>
  <c r="AB496" i="2" s="1"/>
  <c r="Q497" i="2"/>
  <c r="AA497" i="2" s="1"/>
  <c r="AB497" i="2" s="1"/>
  <c r="Q495" i="2"/>
  <c r="AA495" i="2" s="1"/>
  <c r="AB495" i="2" s="1"/>
  <c r="Q494" i="2"/>
  <c r="O500" i="2" a="1"/>
  <c r="P501" i="2" a="1"/>
  <c r="O501" i="2" a="1"/>
  <c r="P500" i="2" a="1"/>
  <c r="P498" i="2" a="1"/>
  <c r="O499" i="2" a="1"/>
  <c r="P499" i="2" a="1"/>
  <c r="Q499" i="2" s="1"/>
  <c r="O498" i="2" a="1"/>
  <c r="W501" i="2" l="1"/>
  <c r="AA494" i="2"/>
  <c r="AB494" i="2" s="1"/>
  <c r="W500" i="2"/>
  <c r="Q498" i="2"/>
  <c r="G36" i="3" a="1"/>
  <c r="AX6" i="3" a="1"/>
  <c r="G34" i="3" a="1"/>
  <c r="Q501" i="2"/>
  <c r="Q500" i="2"/>
  <c r="W499" i="2"/>
  <c r="AA499" i="2" s="1"/>
  <c r="AB499" i="2" s="1"/>
  <c r="W498" i="2"/>
  <c r="P502" i="2" a="1"/>
  <c r="O503" i="2" a="1"/>
  <c r="G29" i="3" l="1" a="1"/>
  <c r="G25" i="3" a="1"/>
  <c r="AA501" i="2"/>
  <c r="AB501" i="2" s="1"/>
  <c r="AA500" i="2"/>
  <c r="AB500" i="2" s="1"/>
  <c r="AA498" i="2"/>
  <c r="AB498" i="2" s="1"/>
  <c r="O505" i="2" l="1" a="1"/>
  <c r="P504" i="2" a="1"/>
  <c r="O504" i="2" a="1"/>
  <c r="P505" i="2" a="1"/>
  <c r="Q505" i="2" s="1"/>
  <c r="P503" i="2" a="1"/>
  <c r="O502" i="2" a="1"/>
  <c r="W504" i="2" l="1"/>
  <c r="W503" i="2"/>
  <c r="Q503" i="2"/>
  <c r="Q502" i="2"/>
  <c r="W502" i="2"/>
  <c r="W505" i="2"/>
  <c r="AA505" i="2" s="1"/>
  <c r="AB505" i="2" s="1"/>
  <c r="Q504" i="2"/>
  <c r="AA502" i="2" l="1"/>
  <c r="AB502" i="2" s="1"/>
  <c r="AA504" i="2"/>
  <c r="AB504" i="2" s="1"/>
  <c r="O508" i="2" a="1"/>
  <c r="P509" i="2" a="1"/>
  <c r="AA503" i="2"/>
  <c r="AB503" i="2" s="1"/>
  <c r="P506" i="2" l="1" a="1"/>
  <c r="O507" i="2" a="1"/>
  <c r="O509" i="2" a="1"/>
  <c r="P508" i="2" a="1"/>
  <c r="P507" i="2" a="1"/>
  <c r="O506" i="2" a="1"/>
  <c r="W509" i="2" l="1"/>
  <c r="Q509" i="2"/>
  <c r="Q508" i="2"/>
  <c r="W508" i="2"/>
  <c r="Q507" i="2"/>
  <c r="AA507" i="2" s="1"/>
  <c r="AB507" i="2" s="1"/>
  <c r="W507" i="2"/>
  <c r="Q506" i="2"/>
  <c r="W506" i="2"/>
  <c r="AA508" i="2" l="1"/>
  <c r="AB508" i="2" s="1"/>
  <c r="AA506" i="2"/>
  <c r="AB506" i="2" s="1"/>
  <c r="AA509" i="2"/>
  <c r="AB509" i="2" s="1"/>
  <c r="O511" i="2" a="1"/>
  <c r="P510" i="2" a="1"/>
  <c r="O510" i="2" a="1"/>
  <c r="P511" i="2" a="1"/>
  <c r="Q511" i="2" s="1"/>
  <c r="P513" i="2" l="1" a="1"/>
  <c r="Q513" i="2" s="1"/>
  <c r="O512" i="2" a="1"/>
  <c r="O513" i="2" a="1"/>
  <c r="P512" i="2" a="1"/>
  <c r="Q512" i="2" s="1"/>
  <c r="W511" i="2"/>
  <c r="AA511" i="2" s="1"/>
  <c r="AB511" i="2" s="1"/>
  <c r="W510" i="2"/>
  <c r="Q510" i="2"/>
  <c r="G28" i="3" a="1"/>
  <c r="P515" i="2" a="1"/>
  <c r="O514" i="2" a="1"/>
  <c r="W512" i="2" l="1"/>
  <c r="AA512" i="2" s="1"/>
  <c r="AB512" i="2" s="1"/>
  <c r="W513" i="2"/>
  <c r="AA513" i="2" s="1"/>
  <c r="AB513" i="2" s="1"/>
  <c r="AA510" i="2"/>
  <c r="AB510" i="2" s="1"/>
  <c r="O515" i="2" a="1"/>
  <c r="P514" i="2" a="1"/>
  <c r="O517" i="2" a="1"/>
  <c r="P516" i="2" a="1"/>
  <c r="Q515" i="2" l="1"/>
  <c r="W515" i="2"/>
  <c r="W514" i="2"/>
  <c r="AA514" i="2" s="1"/>
  <c r="AB514" i="2" s="1"/>
  <c r="G27" i="3" s="1" a="1"/>
  <c r="Q514" i="2"/>
  <c r="AA515" i="2" l="1"/>
  <c r="AB515" i="2" s="1"/>
  <c r="P517" i="2" l="1" a="1"/>
  <c r="O516" i="2" a="1"/>
  <c r="Q517" i="2" l="1"/>
  <c r="W517" i="2"/>
  <c r="AA517" i="2" s="1"/>
  <c r="AB517" i="2" s="1"/>
  <c r="W516" i="2"/>
  <c r="Q516" i="2"/>
  <c r="P518" i="2" l="1" a="1"/>
  <c r="O519" i="2" a="1"/>
  <c r="AA516" i="2"/>
  <c r="AB516" i="2" s="1"/>
  <c r="P519" i="2" l="1" a="1"/>
  <c r="O518" i="2" a="1"/>
  <c r="W519" i="2" l="1"/>
  <c r="AA519" i="2" s="1"/>
  <c r="AB519" i="2" s="1"/>
  <c r="Q519" i="2"/>
  <c r="Q518" i="2"/>
  <c r="W518" i="2"/>
  <c r="AA518" i="2" l="1"/>
  <c r="AB518" i="2" s="1"/>
  <c r="O520" i="2" a="1"/>
  <c r="W520" i="2" s="1"/>
  <c r="P521" i="2" a="1"/>
  <c r="O521" i="2" a="1"/>
  <c r="W521" i="2" s="1"/>
  <c r="P520" i="2" a="1"/>
  <c r="Q520" i="2" l="1"/>
  <c r="AA520" i="2" s="1"/>
  <c r="AB520" i="2" s="1"/>
  <c r="P523" i="2" a="1"/>
  <c r="O522" i="2" a="1"/>
  <c r="G31" i="3" a="1"/>
  <c r="Q521" i="2"/>
  <c r="AA521" i="2" s="1"/>
  <c r="AB521" i="2" s="1"/>
  <c r="P522" i="2" l="1" a="1"/>
  <c r="O523" i="2" a="1"/>
  <c r="W522" i="2" l="1"/>
  <c r="Q522" i="2"/>
  <c r="Q523" i="2"/>
  <c r="W523" i="2"/>
  <c r="AA522" i="2" l="1"/>
  <c r="AB522" i="2" s="1"/>
  <c r="AA523" i="2"/>
  <c r="AB523" i="2" s="1"/>
  <c r="P524" i="2" a="1"/>
  <c r="Q524" i="2" s="1"/>
  <c r="O525" i="2" a="1"/>
  <c r="O524" i="2" a="1"/>
  <c r="P525" i="2" a="1"/>
  <c r="Q525" i="2" s="1"/>
  <c r="W524" i="2" l="1"/>
  <c r="AA524" i="2" s="1"/>
  <c r="AB524" i="2" s="1"/>
  <c r="G32" i="3" s="1" a="1"/>
  <c r="W525" i="2"/>
  <c r="AA525" i="2" s="1"/>
  <c r="AB525" i="2" s="1"/>
  <c r="G33" i="3" l="1" a="1"/>
  <c r="A2" i="3" s="1" a="1"/>
  <c r="AX3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<sst xmlns="http://schemas.openxmlformats.org/spreadsheetml/2006/main" count="2688" uniqueCount="88">
  <si>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</si>
  <si>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</si>
  <si>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</si>
  <si>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</si>
  <si>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</si>
  <si>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</si>
  <si>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</si>
  <si>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</si>
  <si>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</si>
  <si>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</si>
  <si>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</si>
  <si>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</si>
  <si>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</si>
  <si>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</si>
  <si>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</si>
  <si>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</si>
  <si>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</si>
  <si>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</si>
  <si>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</si>
  <si>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</si>
  <si>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</si>
  <si>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</si>
  <si>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</si>
  <si>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</si>
  <si>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</si>
  <si>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</si>
  <si>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</si>
  <si>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</si>
  <si>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</si>
  <si>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</si>
  <si>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</si>
  <si>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</si>
  <si>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</si>
  <si>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</si>
  <si>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</si>
  <si>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</si>
  <si>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</si>
  <si>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</si>
  <si>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</si>
  <si>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</si>
  <si>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</si>
  <si>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</si>
  <si>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</si>
  <si>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</si>
  <si>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</si>
  <si>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</si>
  <si>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</si>
  <si>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</si>
  <si>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</si>
  <si>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</si>
  <si>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</si>
  <si>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</si>
  <si>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</si>
  <si>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</si>
  <si>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</si>
  <si>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</si>
  <si>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</si>
  <si>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</si>
  <si>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</si>
  <si>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</si>
  <si>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</si>
  <si>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</si>
  <si>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</si>
  <si>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</si>
  <si>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</si>
  <si>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</si>
  <si>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</si>
  <si>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</si>
  <si>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</si>
  <si>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</si>
  <si>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</si>
  <si>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</si>
  <si>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</si>
  <si>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</si>
  <si>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</si>
  <si>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</si>
  <si>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</si>
  <si>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</si>
  <si>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</si>
  <si>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</si>
  <si>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</si>
  <si>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</si>
  <si>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</si>
  <si>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P</t>
  </si>
  <si>
    <t>Dallas Wings</t>
  </si>
  <si>
    <t>DAL</t>
  </si>
  <si>
    <t>LVA</t>
  </si>
  <si>
    <t>Las Vegas 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</si>
</sst>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7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31.623758680558" createdVersion="8" refreshedVersion="8" minRefreshableVersion="3" recordCount="524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4-05-14T00:00:00" maxDate="2024-10-21T00:00:00"/>
    </cacheField>
    <cacheField name="Season" numFmtId="1">
      <sharedItems containsSemiMixedTypes="0" containsString="0" containsNumber="1" containsInteger="1" minValue="2024" maxValue="2024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1">
      <sharedItems containsMixedTypes="1" containsNumber="1" containsInteger="1" minValue="1" maxValue="3"/>
    </cacheField>
    <cacheField name="Team" numFmtId="0">
      <sharedItems containsBlank="1" count="59">
        <s v="IND"/>
        <s v="CON"/>
        <s v="PHX"/>
        <s v="LVA"/>
        <s v="MIN"/>
        <s v="SEA"/>
        <s v="NYL"/>
        <s v="WAS"/>
        <s v="CHI"/>
        <s v="DAL"/>
        <s v="ATL"/>
        <s v="LAS"/>
        <s v="SAS" u="1"/>
        <s v="TUL" u="1"/>
        <s v="DET" u="1"/>
        <s v="SAC" u="1"/>
        <s v="HOU" u="1"/>
        <s v="CHA" u="1"/>
        <s v="CLE" u="1"/>
        <s v="UTA" u="1"/>
        <s v="MIA" u="1"/>
        <s v="POR" u="1"/>
        <s v="ORL" u="1"/>
        <s v="NO" u="1"/>
        <s v="TOR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31"/>
    </cacheField>
    <cacheField name="OppDaysOff" numFmtId="1">
      <sharedItems containsSemiMixedTypes="0" containsString="0" containsNumber="1" containsInteger="1" minValue="0" maxValue="31"/>
    </cacheField>
    <cacheField name="RestDiff" numFmtId="1">
      <sharedItems containsSemiMixedTypes="0" containsString="0" containsNumber="1" containsInteger="1" minValue="-30" maxValue="30"/>
    </cacheField>
    <cacheField name="OppRestDiff" numFmtId="1">
      <sharedItems containsSemiMixedTypes="0" containsString="0" containsNumber="1" containsInteger="1" minValue="-30" maxValue="30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280.644243096021" maxValue="1748.8593183441085"/>
    </cacheField>
    <cacheField name="OppPreGmRate" numFmtId="165">
      <sharedItems containsSemiMixedTypes="0" containsString="0" containsNumber="1" minValue="1280.644243096021" maxValue="1748.8593183441085"/>
    </cacheField>
    <cacheField name="ExpectedWin%" numFmtId="165">
      <sharedItems containsSemiMixedTypes="0" containsString="0" containsNumber="1" minValue="5.9746468537630035E-2" maxValue="0.9402535314623699"/>
    </cacheField>
    <cacheField name="PointsFor" numFmtId="0">
      <sharedItems containsSemiMixedTypes="0" containsString="0" containsNumber="1" containsInteger="1" minValue="47" maxValue="113"/>
    </cacheField>
    <cacheField name="PointsAgainst" numFmtId="0">
      <sharedItems containsSemiMixedTypes="0" containsString="0" containsNumber="1" containsInteger="1" minValue="47" maxValue="113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36" maxValue="36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20698235067716839" maxValue="0.7230143612324702"/>
    </cacheField>
    <cacheField name="POMult" numFmtId="166">
      <sharedItems containsSemiMixedTypes="0" containsString="0" containsNumber="1" minValue="1" maxValue="1.35"/>
    </cacheField>
    <cacheField name="K" numFmtId="2">
      <sharedItems containsSemiMixedTypes="0" containsString="0" containsNumber="1" minValue="68.2" maxValue="75.849999999999994"/>
    </cacheField>
    <cacheField name="Keff" numFmtId="165">
      <sharedItems containsSemiMixedTypes="0" containsString="0" containsNumber="1" minValue="70" maxValue="93.08250000000001"/>
    </cacheField>
    <cacheField name="RatingChange" numFmtId="165">
      <sharedItems containsSemiMixedTypes="0" containsString="0" containsNumber="1" minValue="-30.225410277840776" maxValue="30.225410277840776"/>
    </cacheField>
    <cacheField name="PostGmRate" numFmtId="165">
      <sharedItems containsSemiMixedTypes="0" containsString="0" containsNumber="1" minValue="1280.644243096021" maxValue="1748.8593183441085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1"/>
    </cacheField>
    <cacheField name="R1L" numFmtId="1">
      <sharedItems containsSemiMixedTypes="0" containsString="0" containsNumber="1" containsInteger="1" minValue="0" maxValue="1"/>
    </cacheField>
    <cacheField name="R2W" numFmtId="1">
      <sharedItems containsSemiMixedTypes="0" containsString="0" containsNumber="1" containsInteger="1" minValue="0" maxValue="1"/>
    </cacheField>
    <cacheField name="R2L" numFmtId="1">
      <sharedItems containsSemiMixedTypes="0" containsString="0" containsNumber="1" containsInteger="1" minValue="0" maxValue="1"/>
    </cacheField>
    <cacheField name="R3W" numFmtId="1">
      <sharedItems containsSemiMixedTypes="0" containsString="0" containsNumber="1" containsInteger="1" minValue="0" maxValue="1"/>
    </cacheField>
    <cacheField name="R3L" numFmtId="1">
      <sharedItems containsSemiMixedTypes="0" containsString="0" containsNumber="1" containsInteger="1" minValue="0" maxValue="1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d v="2024-05-14T00:00:00"/>
    <n v="2024"/>
    <x v="0"/>
    <s v="R"/>
    <s v="RS"/>
    <x v="0"/>
    <s v="CON"/>
    <s v="A"/>
    <n v="0"/>
    <n v="0"/>
    <n v="0"/>
    <n v="0"/>
    <n v="0"/>
    <n v="0"/>
    <n v="1428.7093324074958"/>
    <n v="1548.9282798296449"/>
    <n v="0.23584807793350882"/>
    <n v="71"/>
    <n v="92"/>
    <n v="0"/>
    <n v="-21"/>
    <n v="0"/>
    <n v="0.53498061719534085"/>
    <n v="1"/>
    <n v="75.849999999999994"/>
    <n v="75.849999999999994"/>
    <n v="-9.5703093000428776"/>
    <n v="1419.1390231074529"/>
    <n v="0"/>
    <n v="1"/>
    <n v="0"/>
    <n v="0"/>
    <n v="0"/>
    <n v="0"/>
    <n v="0"/>
    <n v="0"/>
    <n v="0"/>
    <n v="0"/>
  </r>
  <r>
    <d v="2024-05-14T00:00:00"/>
    <n v="2024"/>
    <x v="0"/>
    <s v="R"/>
    <s v="RS"/>
    <x v="1"/>
    <s v="IND"/>
    <s v="H"/>
    <n v="0"/>
    <n v="0"/>
    <n v="0"/>
    <n v="0"/>
    <n v="0"/>
    <n v="0"/>
    <n v="1548.9282798296449"/>
    <n v="1428.7093324074958"/>
    <n v="0.76415192206649118"/>
    <n v="92"/>
    <n v="71"/>
    <n v="0"/>
    <n v="21"/>
    <n v="1"/>
    <n v="0.53498061719534085"/>
    <n v="1"/>
    <n v="75.849999999999994"/>
    <n v="75.849999999999994"/>
    <n v="9.5703093000428776"/>
    <n v="1558.4985891296878"/>
    <n v="1"/>
    <n v="0"/>
    <n v="0"/>
    <n v="0"/>
    <n v="0"/>
    <n v="0"/>
    <n v="0"/>
    <n v="0"/>
    <n v="0"/>
    <n v="0"/>
  </r>
  <r>
    <d v="2024-05-14T00:00:00"/>
    <n v="2024"/>
    <x v="0"/>
    <s v="R"/>
    <s v="RS"/>
    <x v="2"/>
    <s v="LVA"/>
    <s v="A"/>
    <n v="0"/>
    <n v="0"/>
    <n v="0"/>
    <n v="0"/>
    <n v="0"/>
    <n v="0"/>
    <n v="1400.9722042267863"/>
    <n v="1642.4669269748367"/>
    <n v="0.13311438486296415"/>
    <n v="80"/>
    <n v="89"/>
    <n v="0"/>
    <n v="-9"/>
    <n v="0"/>
    <n v="0.3379588040724586"/>
    <n v="1"/>
    <n v="75.849999999999994"/>
    <n v="75.849999999999994"/>
    <n v="-3.4122774750507849"/>
    <n v="1397.5599267517355"/>
    <n v="0"/>
    <n v="1"/>
    <n v="0"/>
    <n v="0"/>
    <n v="0"/>
    <n v="0"/>
    <n v="0"/>
    <n v="0"/>
    <n v="0"/>
    <n v="0"/>
  </r>
  <r>
    <d v="2024-05-14T00:00:00"/>
    <n v="2024"/>
    <x v="0"/>
    <s v="R"/>
    <s v="RS"/>
    <x v="3"/>
    <s v="PHX"/>
    <s v="H"/>
    <n v="0"/>
    <n v="0"/>
    <n v="0"/>
    <n v="0"/>
    <n v="0"/>
    <n v="0"/>
    <n v="1642.4669269748367"/>
    <n v="1400.9722042267863"/>
    <n v="0.86688561513703588"/>
    <n v="89"/>
    <n v="80"/>
    <n v="0"/>
    <n v="9"/>
    <n v="1"/>
    <n v="0.3379588040724586"/>
    <n v="1"/>
    <n v="75.849999999999994"/>
    <n v="75.849999999999994"/>
    <n v="3.412277475050784"/>
    <n v="1645.8792044498875"/>
    <n v="1"/>
    <n v="0"/>
    <n v="0"/>
    <n v="0"/>
    <n v="0"/>
    <n v="0"/>
    <n v="0"/>
    <n v="0"/>
    <n v="0"/>
    <n v="0"/>
  </r>
  <r>
    <d v="2024-05-14T00:00:00"/>
    <n v="2024"/>
    <x v="0"/>
    <s v="R"/>
    <s v="RS"/>
    <x v="4"/>
    <s v="SEA"/>
    <s v="A"/>
    <n v="0"/>
    <n v="0"/>
    <n v="0"/>
    <n v="0"/>
    <n v="0"/>
    <n v="0"/>
    <n v="1470.8350225845936"/>
    <n v="1445.945211461845"/>
    <n v="0.41574496124224042"/>
    <n v="83"/>
    <n v="70"/>
    <n v="0"/>
    <n v="13"/>
    <n v="1"/>
    <n v="0.46245180720192613"/>
    <n v="1"/>
    <n v="75.849999999999994"/>
    <n v="75.849999999999994"/>
    <n v="20.493896219286103"/>
    <n v="1491.3289188038798"/>
    <n v="1"/>
    <n v="0"/>
    <n v="0"/>
    <n v="0"/>
    <n v="0"/>
    <n v="0"/>
    <n v="0"/>
    <n v="0"/>
    <n v="0"/>
    <n v="0"/>
  </r>
  <r>
    <d v="2024-05-14T00:00:00"/>
    <n v="2024"/>
    <x v="0"/>
    <s v="R"/>
    <s v="RS"/>
    <x v="5"/>
    <s v="MIN"/>
    <s v="H"/>
    <n v="0"/>
    <n v="0"/>
    <n v="0"/>
    <n v="0"/>
    <n v="0"/>
    <n v="0"/>
    <n v="1445.945211461845"/>
    <n v="1470.8350225845936"/>
    <n v="0.58425503875775964"/>
    <n v="70"/>
    <n v="83"/>
    <n v="0"/>
    <n v="-13"/>
    <n v="0"/>
    <n v="0.46245180720192613"/>
    <n v="1"/>
    <n v="75.849999999999994"/>
    <n v="75.849999999999994"/>
    <n v="-20.493896219286103"/>
    <n v="1425.4513152425588"/>
    <n v="0"/>
    <n v="1"/>
    <n v="0"/>
    <n v="0"/>
    <n v="0"/>
    <n v="0"/>
    <n v="0"/>
    <n v="0"/>
    <n v="0"/>
    <n v="0"/>
  </r>
  <r>
    <d v="2024-05-14T00:00:00"/>
    <n v="2024"/>
    <x v="0"/>
    <s v="R"/>
    <s v="RS"/>
    <x v="6"/>
    <s v="WAS"/>
    <s v="A"/>
    <n v="0"/>
    <n v="0"/>
    <n v="0"/>
    <n v="0"/>
    <n v="0"/>
    <n v="0"/>
    <n v="1605.7232794358938"/>
    <n v="1486.23126744808"/>
    <n v="0.55090017811575442"/>
    <n v="85"/>
    <n v="80"/>
    <n v="0"/>
    <n v="5"/>
    <n v="1"/>
    <n v="0.30171245216842885"/>
    <n v="1"/>
    <n v="75.849999999999994"/>
    <n v="75.849999999999994"/>
    <n v="10.277599796932261"/>
    <n v="1616.000879232826"/>
    <n v="1"/>
    <n v="0"/>
    <n v="0"/>
    <n v="0"/>
    <n v="0"/>
    <n v="0"/>
    <n v="0"/>
    <n v="0"/>
    <n v="0"/>
    <n v="0"/>
  </r>
  <r>
    <d v="2024-05-14T00:00:00"/>
    <n v="2024"/>
    <x v="0"/>
    <s v="R"/>
    <s v="RS"/>
    <x v="7"/>
    <s v="NYL"/>
    <s v="H"/>
    <n v="0"/>
    <n v="0"/>
    <n v="0"/>
    <n v="0"/>
    <n v="0"/>
    <n v="0"/>
    <n v="1486.23126744808"/>
    <n v="1605.7232794358938"/>
    <n v="0.44909982188424563"/>
    <n v="80"/>
    <n v="85"/>
    <n v="0"/>
    <n v="-5"/>
    <n v="0"/>
    <n v="0.30171245216842885"/>
    <n v="1"/>
    <n v="75.849999999999994"/>
    <n v="75.849999999999994"/>
    <n v="-10.277599796932263"/>
    <n v="1475.9536676511477"/>
    <n v="0"/>
    <n v="1"/>
    <n v="0"/>
    <n v="0"/>
    <n v="0"/>
    <n v="0"/>
    <n v="0"/>
    <n v="0"/>
    <n v="0"/>
    <n v="0"/>
  </r>
  <r>
    <d v="2024-05-15T00:00:00"/>
    <n v="2024"/>
    <x v="0"/>
    <s v="R"/>
    <s v="RS"/>
    <x v="8"/>
    <s v="DAL"/>
    <s v="A"/>
    <n v="1"/>
    <n v="1"/>
    <n v="0"/>
    <n v="0"/>
    <n v="0"/>
    <n v="0"/>
    <n v="1499.9999954083705"/>
    <n v="1531.0743140656996"/>
    <n v="0.34019597133592205"/>
    <n v="79"/>
    <n v="87"/>
    <n v="0"/>
    <n v="-8"/>
    <n v="0"/>
    <n v="0.37851381914280047"/>
    <n v="1"/>
    <n v="75.849999999999994"/>
    <n v="75.849999999999994"/>
    <n v="-9.7671192724638409"/>
    <n v="1490.2328761359067"/>
    <n v="0"/>
    <n v="1"/>
    <n v="0"/>
    <n v="0"/>
    <n v="0"/>
    <n v="0"/>
    <n v="0"/>
    <n v="0"/>
    <n v="0"/>
    <n v="0"/>
  </r>
  <r>
    <d v="2024-05-15T00:00:00"/>
    <n v="2024"/>
    <x v="0"/>
    <s v="R"/>
    <s v="RS"/>
    <x v="9"/>
    <s v="CHI"/>
    <s v="H"/>
    <n v="1"/>
    <n v="1"/>
    <n v="0"/>
    <n v="0"/>
    <n v="0"/>
    <n v="0"/>
    <n v="1531.0743140656996"/>
    <n v="1499.9999954083705"/>
    <n v="0.65980402866407795"/>
    <n v="87"/>
    <n v="79"/>
    <n v="0"/>
    <n v="8"/>
    <n v="1"/>
    <n v="0.37851381914280047"/>
    <n v="1"/>
    <n v="75.849999999999994"/>
    <n v="75.849999999999994"/>
    <n v="9.7671192724638409"/>
    <n v="1540.8414333381634"/>
    <n v="1"/>
    <n v="0"/>
    <n v="0"/>
    <n v="0"/>
    <n v="0"/>
    <n v="0"/>
    <n v="0"/>
    <n v="0"/>
    <n v="0"/>
    <n v="0"/>
  </r>
  <r>
    <d v="2024-05-15T00:00:00"/>
    <n v="2024"/>
    <x v="0"/>
    <s v="R"/>
    <s v="RS"/>
    <x v="10"/>
    <s v="LAS"/>
    <s v="A"/>
    <n v="1"/>
    <n v="1"/>
    <n v="0"/>
    <n v="0"/>
    <n v="0"/>
    <n v="0"/>
    <n v="1468.3371032607965"/>
    <n v="1471.156178602092"/>
    <n v="0.37759453981839119"/>
    <n v="92"/>
    <n v="81"/>
    <n v="0"/>
    <n v="11"/>
    <n v="1"/>
    <n v="0.4388051163550058"/>
    <n v="1"/>
    <n v="75.849999999999994"/>
    <n v="75.849999999999994"/>
    <n v="20.715750023442364"/>
    <n v="1489.0528532842388"/>
    <n v="1"/>
    <n v="0"/>
    <n v="0"/>
    <n v="0"/>
    <n v="0"/>
    <n v="0"/>
    <n v="0"/>
    <n v="0"/>
    <n v="0"/>
    <n v="0"/>
  </r>
  <r>
    <d v="2024-05-15T00:00:00"/>
    <n v="2024"/>
    <x v="0"/>
    <s v="R"/>
    <s v="RS"/>
    <x v="11"/>
    <s v="ATL"/>
    <s v="H"/>
    <n v="1"/>
    <n v="1"/>
    <n v="0"/>
    <n v="0"/>
    <n v="0"/>
    <n v="0"/>
    <n v="1471.156178602092"/>
    <n v="1468.3371032607965"/>
    <n v="0.62240546018160869"/>
    <n v="81"/>
    <n v="92"/>
    <n v="0"/>
    <n v="-11"/>
    <n v="0"/>
    <n v="0.4388051163550058"/>
    <n v="1"/>
    <n v="75.849999999999994"/>
    <n v="75.849999999999994"/>
    <n v="-20.715750023442361"/>
    <n v="1450.4404285786497"/>
    <n v="0"/>
    <n v="1"/>
    <n v="0"/>
    <n v="0"/>
    <n v="0"/>
    <n v="0"/>
    <n v="0"/>
    <n v="0"/>
    <n v="0"/>
    <n v="0"/>
  </r>
  <r>
    <d v="2024-05-16T00:00:00"/>
    <n v="2024"/>
    <x v="1"/>
    <s v="R"/>
    <s v="RS"/>
    <x v="6"/>
    <s v="IND"/>
    <s v="A"/>
    <n v="1"/>
    <n v="1"/>
    <n v="0"/>
    <n v="0"/>
    <n v="0"/>
    <n v="0"/>
    <n v="1616.000879232826"/>
    <n v="1419.1390231074529"/>
    <n v="0.65693949011703812"/>
    <n v="102"/>
    <n v="66"/>
    <n v="0"/>
    <n v="36"/>
    <n v="1"/>
    <n v="0.6645334641103936"/>
    <n v="1"/>
    <n v="75.7"/>
    <n v="75.7"/>
    <n v="17.257721809722597"/>
    <n v="1633.2586010425487"/>
    <n v="1"/>
    <n v="0"/>
    <n v="0"/>
    <n v="0"/>
    <n v="0"/>
    <n v="0"/>
    <n v="0"/>
    <n v="0"/>
    <n v="0"/>
    <n v="0"/>
  </r>
  <r>
    <d v="2024-05-16T00:00:00"/>
    <n v="2024"/>
    <x v="1"/>
    <s v="R"/>
    <s v="RS"/>
    <x v="0"/>
    <s v="NYL"/>
    <s v="H"/>
    <n v="1"/>
    <n v="1"/>
    <n v="0"/>
    <n v="0"/>
    <n v="0"/>
    <n v="0"/>
    <n v="1419.1390231074529"/>
    <n v="1616.000879232826"/>
    <n v="0.34306050988296183"/>
    <n v="66"/>
    <n v="102"/>
    <n v="0"/>
    <n v="-36"/>
    <n v="0"/>
    <n v="0.6645334641103936"/>
    <n v="1"/>
    <n v="75.7"/>
    <n v="75.7"/>
    <n v="-17.257721809722593"/>
    <n v="1401.8813012977303"/>
    <n v="0"/>
    <n v="1"/>
    <n v="0"/>
    <n v="0"/>
    <n v="0"/>
    <n v="0"/>
    <n v="0"/>
    <n v="0"/>
    <n v="0"/>
    <n v="0"/>
  </r>
  <r>
    <d v="2024-05-17T00:00:00"/>
    <n v="2024"/>
    <x v="1"/>
    <s v="R"/>
    <s v="RS"/>
    <x v="7"/>
    <s v="CON"/>
    <s v="A"/>
    <n v="2"/>
    <n v="2"/>
    <n v="0"/>
    <n v="0"/>
    <n v="0"/>
    <n v="0"/>
    <n v="1475.9536676511477"/>
    <n v="1558.4985891296878"/>
    <n v="0.27713662205889494"/>
    <n v="77"/>
    <n v="84"/>
    <n v="0"/>
    <n v="-7"/>
    <n v="0"/>
    <n v="0.34628697954110244"/>
    <n v="1"/>
    <n v="75.7"/>
    <n v="75.7"/>
    <n v="-7.2648384456160082"/>
    <n v="1468.6888292055316"/>
    <n v="0"/>
    <n v="1"/>
    <n v="0"/>
    <n v="0"/>
    <n v="0"/>
    <n v="0"/>
    <n v="0"/>
    <n v="0"/>
    <n v="0"/>
    <n v="0"/>
  </r>
  <r>
    <d v="2024-05-17T00:00:00"/>
    <n v="2024"/>
    <x v="1"/>
    <s v="R"/>
    <s v="RS"/>
    <x v="1"/>
    <s v="WAS"/>
    <s v="H"/>
    <n v="2"/>
    <n v="2"/>
    <n v="0"/>
    <n v="0"/>
    <n v="0"/>
    <n v="0"/>
    <n v="1558.4985891296878"/>
    <n v="1475.9536676511477"/>
    <n v="0.722863377941105"/>
    <n v="84"/>
    <n v="77"/>
    <n v="0"/>
    <n v="7"/>
    <n v="1"/>
    <n v="0.34628697954110244"/>
    <n v="1"/>
    <n v="75.7"/>
    <n v="75.7"/>
    <n v="7.26483844561601"/>
    <n v="1565.7634275753039"/>
    <n v="1"/>
    <n v="0"/>
    <n v="0"/>
    <n v="0"/>
    <n v="0"/>
    <n v="0"/>
    <n v="0"/>
    <n v="0"/>
    <n v="0"/>
    <n v="0"/>
  </r>
  <r>
    <d v="2024-05-17T00:00:00"/>
    <n v="2024"/>
    <x v="1"/>
    <s v="R"/>
    <s v="RS"/>
    <x v="5"/>
    <s v="MIN"/>
    <s v="A"/>
    <n v="2"/>
    <n v="2"/>
    <n v="0"/>
    <n v="0"/>
    <n v="0"/>
    <n v="0"/>
    <n v="1425.4513152425588"/>
    <n v="1491.3289188038798"/>
    <n v="0.29676201534006647"/>
    <n v="93"/>
    <n v="102"/>
    <n v="1"/>
    <n v="-9"/>
    <n v="0"/>
    <n v="0.34635990721814136"/>
    <n v="1"/>
    <n v="75.7"/>
    <n v="75.7"/>
    <n v="-7.7809353322983936"/>
    <n v="1417.6703799102604"/>
    <n v="0"/>
    <n v="1"/>
    <n v="0"/>
    <n v="0"/>
    <n v="0"/>
    <n v="0"/>
    <n v="0"/>
    <n v="0"/>
    <n v="0"/>
    <n v="0"/>
  </r>
  <r>
    <d v="2024-05-17T00:00:00"/>
    <n v="2024"/>
    <x v="1"/>
    <s v="R"/>
    <s v="RS"/>
    <x v="4"/>
    <s v="SEA"/>
    <s v="H"/>
    <n v="2"/>
    <n v="2"/>
    <n v="0"/>
    <n v="0"/>
    <n v="0"/>
    <n v="0"/>
    <n v="1491.3289188038798"/>
    <n v="1425.4513152425588"/>
    <n v="0.70323798465993348"/>
    <n v="102"/>
    <n v="93"/>
    <n v="1"/>
    <n v="9"/>
    <n v="1"/>
    <n v="0.34635990721814136"/>
    <n v="1"/>
    <n v="75.7"/>
    <n v="75.7"/>
    <n v="7.7809353322983945"/>
    <n v="1499.1098541361782"/>
    <n v="1"/>
    <n v="0"/>
    <n v="0"/>
    <n v="0"/>
    <n v="0"/>
    <n v="0"/>
    <n v="0"/>
    <n v="0"/>
    <n v="0"/>
    <n v="0"/>
  </r>
  <r>
    <d v="2024-05-18T00:00:00"/>
    <n v="2024"/>
    <x v="1"/>
    <s v="R"/>
    <s v="RS"/>
    <x v="8"/>
    <s v="DAL"/>
    <s v="A"/>
    <n v="2"/>
    <n v="2"/>
    <n v="0"/>
    <n v="0"/>
    <n v="0"/>
    <n v="0"/>
    <n v="1490.2328761359067"/>
    <n v="1540.8414333381634"/>
    <n v="0.31542675529986264"/>
    <n v="83"/>
    <n v="74"/>
    <n v="0"/>
    <n v="9"/>
    <n v="1"/>
    <n v="0.38954301869366126"/>
    <n v="1"/>
    <n v="75.7"/>
    <n v="75.7"/>
    <n v="20.18697412908563"/>
    <n v="1510.4198502649924"/>
    <n v="1"/>
    <n v="0"/>
    <n v="0"/>
    <n v="0"/>
    <n v="0"/>
    <n v="0"/>
    <n v="0"/>
    <n v="0"/>
    <n v="0"/>
    <n v="0"/>
  </r>
  <r>
    <d v="2024-05-18T00:00:00"/>
    <n v="2024"/>
    <x v="1"/>
    <s v="R"/>
    <s v="RS"/>
    <x v="9"/>
    <s v="CHI"/>
    <s v="H"/>
    <n v="2"/>
    <n v="2"/>
    <n v="0"/>
    <n v="0"/>
    <n v="0"/>
    <n v="0"/>
    <n v="1540.8414333381634"/>
    <n v="1490.2328761359067"/>
    <n v="0.68457324470013736"/>
    <n v="74"/>
    <n v="83"/>
    <n v="0"/>
    <n v="-9"/>
    <n v="0"/>
    <n v="0.38954301869366126"/>
    <n v="1"/>
    <n v="75.7"/>
    <n v="75.7"/>
    <n v="-20.18697412908563"/>
    <n v="1520.6544592090777"/>
    <n v="0"/>
    <n v="1"/>
    <n v="0"/>
    <n v="0"/>
    <n v="0"/>
    <n v="0"/>
    <n v="0"/>
    <n v="0"/>
    <n v="0"/>
    <n v="0"/>
  </r>
  <r>
    <d v="2024-05-18T00:00:00"/>
    <n v="2024"/>
    <x v="1"/>
    <s v="R"/>
    <s v="RS"/>
    <x v="11"/>
    <s v="LVA"/>
    <s v="A"/>
    <n v="2"/>
    <n v="3"/>
    <n v="-1"/>
    <n v="1"/>
    <n v="-8"/>
    <n v="8"/>
    <n v="1450.4404285786497"/>
    <n v="1645.8792044498875"/>
    <n v="0.15437617339380699"/>
    <n v="82"/>
    <n v="89"/>
    <n v="0"/>
    <n v="-7"/>
    <n v="0"/>
    <n v="0.31827165380816774"/>
    <n v="1"/>
    <n v="75.7"/>
    <n v="75.7"/>
    <n v="-3.7194104931069925"/>
    <n v="1446.7210180855427"/>
    <n v="0"/>
    <n v="1"/>
    <n v="0"/>
    <n v="0"/>
    <n v="0"/>
    <n v="0"/>
    <n v="0"/>
    <n v="0"/>
    <n v="0"/>
    <n v="0"/>
  </r>
  <r>
    <d v="2024-05-18T00:00:00"/>
    <n v="2024"/>
    <x v="1"/>
    <s v="R"/>
    <s v="RS"/>
    <x v="3"/>
    <s v="LAS"/>
    <s v="H"/>
    <n v="3"/>
    <n v="2"/>
    <n v="1"/>
    <n v="-1"/>
    <n v="8"/>
    <n v="-8"/>
    <n v="1645.8792044498875"/>
    <n v="1450.4404285786497"/>
    <n v="0.84562382660619295"/>
    <n v="89"/>
    <n v="82"/>
    <n v="0"/>
    <n v="7"/>
    <n v="1"/>
    <n v="0.31827165380816774"/>
    <n v="1"/>
    <n v="75.7"/>
    <n v="75.7"/>
    <n v="3.7194104931069938"/>
    <n v="1649.5986149429946"/>
    <n v="1"/>
    <n v="0"/>
    <n v="0"/>
    <n v="0"/>
    <n v="0"/>
    <n v="0"/>
    <n v="0"/>
    <n v="0"/>
    <n v="0"/>
    <n v="0"/>
  </r>
  <r>
    <d v="2024-05-18T00:00:00"/>
    <n v="2024"/>
    <x v="2"/>
    <s v="R"/>
    <s v="RS"/>
    <x v="0"/>
    <s v="NYL"/>
    <s v="A"/>
    <n v="1"/>
    <n v="1"/>
    <n v="0"/>
    <n v="0"/>
    <n v="0"/>
    <n v="0"/>
    <n v="1401.8813012977303"/>
    <n v="1633.2586010425487"/>
    <n v="0.13997980941488097"/>
    <n v="80"/>
    <n v="91"/>
    <n v="0"/>
    <n v="-11"/>
    <n v="0"/>
    <n v="0.36873797314184931"/>
    <n v="1"/>
    <n v="75.55"/>
    <n v="75.55"/>
    <n v="-3.8995790694943513"/>
    <n v="1397.9817222282359"/>
    <n v="0"/>
    <n v="1"/>
    <n v="0"/>
    <n v="0"/>
    <n v="0"/>
    <n v="0"/>
    <n v="0"/>
    <n v="0"/>
    <n v="0"/>
    <n v="0"/>
  </r>
  <r>
    <d v="2024-05-18T00:00:00"/>
    <n v="2024"/>
    <x v="2"/>
    <s v="R"/>
    <s v="RS"/>
    <x v="6"/>
    <s v="IND"/>
    <s v="H"/>
    <n v="1"/>
    <n v="1"/>
    <n v="0"/>
    <n v="0"/>
    <n v="0"/>
    <n v="0"/>
    <n v="1633.2586010425487"/>
    <n v="1401.8813012977303"/>
    <n v="0.86002019058511903"/>
    <n v="91"/>
    <n v="80"/>
    <n v="0"/>
    <n v="11"/>
    <n v="1"/>
    <n v="0.36873797314184931"/>
    <n v="1"/>
    <n v="75.55"/>
    <n v="75.55"/>
    <n v="3.8995790694943513"/>
    <n v="1637.1581801120431"/>
    <n v="1"/>
    <n v="0"/>
    <n v="0"/>
    <n v="0"/>
    <n v="0"/>
    <n v="0"/>
    <n v="0"/>
    <n v="0"/>
    <n v="0"/>
    <n v="0"/>
  </r>
  <r>
    <d v="2024-05-18T00:00:00"/>
    <n v="2024"/>
    <x v="1"/>
    <s v="R"/>
    <s v="RS"/>
    <x v="10"/>
    <s v="PHX"/>
    <s v="A"/>
    <n v="2"/>
    <n v="3"/>
    <n v="-1"/>
    <n v="1"/>
    <n v="-8"/>
    <n v="8"/>
    <n v="1489.0528532842388"/>
    <n v="1397.5599267517355"/>
    <n v="0.48775978318821622"/>
    <n v="85"/>
    <n v="88"/>
    <n v="0"/>
    <n v="-3"/>
    <n v="0"/>
    <n v="0.26962611886181775"/>
    <n v="1"/>
    <n v="75.7"/>
    <n v="75.7"/>
    <n v="-9.9555172399385778"/>
    <n v="1479.0973360443002"/>
    <n v="0"/>
    <n v="1"/>
    <n v="0"/>
    <n v="0"/>
    <n v="0"/>
    <n v="0"/>
    <n v="0"/>
    <n v="0"/>
    <n v="0"/>
    <n v="0"/>
  </r>
  <r>
    <d v="2024-05-18T00:00:00"/>
    <n v="2024"/>
    <x v="1"/>
    <s v="R"/>
    <s v="RS"/>
    <x v="2"/>
    <s v="ATL"/>
    <s v="H"/>
    <n v="3"/>
    <n v="2"/>
    <n v="1"/>
    <n v="-1"/>
    <n v="8"/>
    <n v="-8"/>
    <n v="1397.5599267517355"/>
    <n v="1489.0528532842388"/>
    <n v="0.51224021681178367"/>
    <n v="88"/>
    <n v="85"/>
    <n v="0"/>
    <n v="3"/>
    <n v="1"/>
    <n v="0.26962611886181775"/>
    <n v="1"/>
    <n v="75.7"/>
    <n v="75.7"/>
    <n v="9.9555172399385796"/>
    <n v="1407.5154439916741"/>
    <n v="1"/>
    <n v="0"/>
    <n v="0"/>
    <n v="0"/>
    <n v="0"/>
    <n v="0"/>
    <n v="0"/>
    <n v="0"/>
    <n v="0"/>
    <n v="0"/>
  </r>
  <r>
    <d v="2024-05-19T00:00:00"/>
    <n v="2024"/>
    <x v="2"/>
    <s v="R"/>
    <s v="RS"/>
    <x v="5"/>
    <s v="WAS"/>
    <s v="A"/>
    <n v="1"/>
    <n v="1"/>
    <n v="0"/>
    <n v="0"/>
    <n v="0"/>
    <n v="0"/>
    <n v="1417.6703799102604"/>
    <n v="1468.6888292055316"/>
    <n v="0.31491747791629193"/>
    <n v="84"/>
    <n v="75"/>
    <n v="0"/>
    <n v="9"/>
    <n v="1"/>
    <n v="0.38941538620083793"/>
    <n v="1"/>
    <n v="75.55"/>
    <n v="75.55"/>
    <n v="20.15535553995451"/>
    <n v="1437.825735450215"/>
    <n v="1"/>
    <n v="0"/>
    <n v="0"/>
    <n v="0"/>
    <n v="0"/>
    <n v="0"/>
    <n v="0"/>
    <n v="0"/>
    <n v="0"/>
    <n v="0"/>
  </r>
  <r>
    <d v="2024-05-19T00:00:00"/>
    <n v="2024"/>
    <x v="2"/>
    <s v="R"/>
    <s v="RS"/>
    <x v="7"/>
    <s v="SEA"/>
    <s v="H"/>
    <n v="1"/>
    <n v="1"/>
    <n v="0"/>
    <n v="0"/>
    <n v="0"/>
    <n v="0"/>
    <n v="1468.6888292055316"/>
    <n v="1417.6703799102604"/>
    <n v="0.68508252208370812"/>
    <n v="75"/>
    <n v="84"/>
    <n v="0"/>
    <n v="-9"/>
    <n v="0"/>
    <n v="0.38941538620083793"/>
    <n v="1"/>
    <n v="75.55"/>
    <n v="75.55"/>
    <n v="-20.155355539954513"/>
    <n v="1448.533473665577"/>
    <n v="0"/>
    <n v="1"/>
    <n v="0"/>
    <n v="0"/>
    <n v="0"/>
    <n v="0"/>
    <n v="0"/>
    <n v="0"/>
    <n v="0"/>
    <n v="0"/>
  </r>
  <r>
    <d v="2024-05-20T00:00:00"/>
    <n v="2024"/>
    <x v="2"/>
    <s v="R"/>
    <s v="RS"/>
    <x v="1"/>
    <s v="IND"/>
    <s v="A"/>
    <n v="2"/>
    <n v="1"/>
    <n v="1"/>
    <n v="-1"/>
    <n v="8"/>
    <n v="-8"/>
    <n v="1565.7634275753039"/>
    <n v="1397.9817222282359"/>
    <n v="0.63977544995391233"/>
    <n v="88"/>
    <n v="84"/>
    <n v="0"/>
    <n v="4"/>
    <n v="1"/>
    <n v="0.27323020948713866"/>
    <n v="1"/>
    <n v="75.55"/>
    <n v="75.55"/>
    <n v="7.4359505214620363"/>
    <n v="1573.1993780967659"/>
    <n v="1"/>
    <n v="0"/>
    <n v="0"/>
    <n v="0"/>
    <n v="0"/>
    <n v="0"/>
    <n v="0"/>
    <n v="0"/>
    <n v="0"/>
    <n v="0"/>
  </r>
  <r>
    <d v="2024-05-20T00:00:00"/>
    <n v="2024"/>
    <x v="3"/>
    <s v="R"/>
    <s v="RS"/>
    <x v="0"/>
    <s v="CON"/>
    <s v="H"/>
    <n v="1"/>
    <n v="2"/>
    <n v="-1"/>
    <n v="1"/>
    <n v="-8"/>
    <n v="8"/>
    <n v="1397.9817222282359"/>
    <n v="1565.7634275753039"/>
    <n v="0.36022455004608767"/>
    <n v="84"/>
    <n v="88"/>
    <n v="0"/>
    <n v="-4"/>
    <n v="0"/>
    <n v="0.27323020948713866"/>
    <n v="1"/>
    <n v="75.400000000000006"/>
    <n v="75.400000000000006"/>
    <n v="-7.421186887071312"/>
    <n v="1390.5605353411645"/>
    <n v="0"/>
    <n v="1"/>
    <n v="0"/>
    <n v="0"/>
    <n v="0"/>
    <n v="0"/>
    <n v="0"/>
    <n v="0"/>
    <n v="0"/>
    <n v="0"/>
  </r>
  <r>
    <d v="2024-05-20T00:00:00"/>
    <n v="2024"/>
    <x v="3"/>
    <s v="R"/>
    <s v="RS"/>
    <x v="5"/>
    <s v="NYL"/>
    <s v="A"/>
    <n v="0"/>
    <n v="1"/>
    <n v="-1"/>
    <n v="1"/>
    <n v="-8"/>
    <n v="8"/>
    <n v="1437.825735450215"/>
    <n v="1637.1581801120431"/>
    <n v="0.15147280096842097"/>
    <n v="63"/>
    <n v="74"/>
    <n v="0"/>
    <n v="-11"/>
    <n v="0"/>
    <n v="0.37718211017161835"/>
    <n v="1"/>
    <n v="75.400000000000006"/>
    <n v="75.400000000000006"/>
    <n v="-4.3078154349967441"/>
    <n v="1433.5179200152184"/>
    <n v="0"/>
    <n v="1"/>
    <n v="0"/>
    <n v="0"/>
    <n v="0"/>
    <n v="0"/>
    <n v="0"/>
    <n v="0"/>
    <n v="0"/>
    <n v="0"/>
  </r>
  <r>
    <d v="2024-05-20T00:00:00"/>
    <n v="2024"/>
    <x v="3"/>
    <s v="R"/>
    <s v="RS"/>
    <x v="6"/>
    <s v="SEA"/>
    <s v="H"/>
    <n v="1"/>
    <n v="0"/>
    <n v="1"/>
    <n v="-1"/>
    <n v="8"/>
    <n v="-8"/>
    <n v="1637.1581801120431"/>
    <n v="1437.825735450215"/>
    <n v="0.84852719903157903"/>
    <n v="74"/>
    <n v="63"/>
    <n v="0"/>
    <n v="11"/>
    <n v="1"/>
    <n v="0.37718211017161835"/>
    <n v="1"/>
    <n v="75.400000000000006"/>
    <n v="75.400000000000006"/>
    <n v="4.3078154349967441"/>
    <n v="1641.4659955470397"/>
    <n v="1"/>
    <n v="0"/>
    <n v="0"/>
    <n v="0"/>
    <n v="0"/>
    <n v="0"/>
    <n v="0"/>
    <n v="0"/>
    <n v="0"/>
    <n v="0"/>
  </r>
  <r>
    <d v="2024-05-21T00:00:00"/>
    <n v="2024"/>
    <x v="2"/>
    <s v="R"/>
    <s v="RS"/>
    <x v="9"/>
    <s v="ATL"/>
    <s v="A"/>
    <n v="2"/>
    <n v="2"/>
    <n v="0"/>
    <n v="0"/>
    <n v="0"/>
    <n v="0"/>
    <n v="1520.6544592090777"/>
    <n v="1479.0973360443002"/>
    <n v="0.43922182426116402"/>
    <n v="78"/>
    <n v="83"/>
    <n v="0"/>
    <n v="-5"/>
    <n v="0"/>
    <n v="0.32065151343073656"/>
    <n v="1"/>
    <n v="75.55"/>
    <n v="75.55"/>
    <n v="-10.640246129560976"/>
    <n v="1510.0142130795168"/>
    <n v="0"/>
    <n v="1"/>
    <n v="0"/>
    <n v="0"/>
    <n v="0"/>
    <n v="0"/>
    <n v="0"/>
    <n v="0"/>
    <n v="0"/>
    <n v="0"/>
  </r>
  <r>
    <d v="2024-05-21T00:00:00"/>
    <n v="2024"/>
    <x v="2"/>
    <s v="R"/>
    <s v="RS"/>
    <x v="10"/>
    <s v="DAL"/>
    <s v="H"/>
    <n v="2"/>
    <n v="2"/>
    <n v="0"/>
    <n v="0"/>
    <n v="0"/>
    <n v="0"/>
    <n v="1479.0973360443002"/>
    <n v="1520.6544592090777"/>
    <n v="0.56077817573883593"/>
    <n v="83"/>
    <n v="78"/>
    <n v="0"/>
    <n v="5"/>
    <n v="1"/>
    <n v="0.32065151343073656"/>
    <n v="1"/>
    <n v="75.55"/>
    <n v="75.55"/>
    <n v="10.640246129560978"/>
    <n v="1489.737582173861"/>
    <n v="1"/>
    <n v="0"/>
    <n v="0"/>
    <n v="0"/>
    <n v="0"/>
    <n v="0"/>
    <n v="0"/>
    <n v="0"/>
    <n v="0"/>
    <n v="0"/>
  </r>
  <r>
    <d v="2024-05-21T00:00:00"/>
    <n v="2024"/>
    <x v="3"/>
    <s v="R"/>
    <s v="RS"/>
    <x v="7"/>
    <s v="LAS"/>
    <s v="A"/>
    <n v="1"/>
    <n v="2"/>
    <n v="-1"/>
    <n v="1"/>
    <n v="-8"/>
    <n v="8"/>
    <n v="1448.533473665577"/>
    <n v="1446.7210180855427"/>
    <n v="0.36234214602465487"/>
    <n v="68"/>
    <n v="70"/>
    <n v="0"/>
    <n v="-2"/>
    <n v="0"/>
    <n v="0.26743738881993945"/>
    <n v="1"/>
    <n v="75.400000000000006"/>
    <n v="75.400000000000006"/>
    <n v="-7.3065493393754171"/>
    <n v="1441.2269243262017"/>
    <n v="0"/>
    <n v="1"/>
    <n v="0"/>
    <n v="0"/>
    <n v="0"/>
    <n v="0"/>
    <n v="0"/>
    <n v="0"/>
    <n v="0"/>
    <n v="0"/>
  </r>
  <r>
    <d v="2024-05-21T00:00:00"/>
    <n v="2024"/>
    <x v="2"/>
    <s v="R"/>
    <s v="RS"/>
    <x v="11"/>
    <s v="WAS"/>
    <s v="H"/>
    <n v="2"/>
    <n v="1"/>
    <n v="1"/>
    <n v="-1"/>
    <n v="8"/>
    <n v="-8"/>
    <n v="1446.7210180855427"/>
    <n v="1448.533473665577"/>
    <n v="0.63765785397534513"/>
    <n v="70"/>
    <n v="68"/>
    <n v="0"/>
    <n v="2"/>
    <n v="1"/>
    <n v="0.26743738881993945"/>
    <n v="1"/>
    <n v="75.55"/>
    <n v="75.55"/>
    <n v="7.3210849149842527"/>
    <n v="1454.042103000527"/>
    <n v="1"/>
    <n v="0"/>
    <n v="0"/>
    <n v="0"/>
    <n v="0"/>
    <n v="0"/>
    <n v="0"/>
    <n v="0"/>
    <n v="0"/>
    <n v="0"/>
  </r>
  <r>
    <d v="2024-05-21T00:00:00"/>
    <n v="2024"/>
    <x v="2"/>
    <s v="R"/>
    <s v="RS"/>
    <x v="2"/>
    <s v="LVA"/>
    <s v="A"/>
    <n v="2"/>
    <n v="2"/>
    <n v="0"/>
    <n v="0"/>
    <n v="0"/>
    <n v="0"/>
    <n v="1407.5154439916741"/>
    <n v="1649.5986149429946"/>
    <n v="0.13272398387149628"/>
    <n v="98"/>
    <n v="88"/>
    <n v="0"/>
    <n v="10"/>
    <n v="1"/>
    <n v="0.352098720397508"/>
    <n v="1"/>
    <n v="75.55"/>
    <n v="75.55"/>
    <n v="23.070459889802763"/>
    <n v="1430.585903881477"/>
    <n v="1"/>
    <n v="0"/>
    <n v="0"/>
    <n v="0"/>
    <n v="0"/>
    <n v="0"/>
    <n v="0"/>
    <n v="0"/>
    <n v="0"/>
    <n v="0"/>
  </r>
  <r>
    <d v="2024-05-21T00:00:00"/>
    <n v="2024"/>
    <x v="2"/>
    <s v="R"/>
    <s v="RS"/>
    <x v="3"/>
    <s v="PHX"/>
    <s v="H"/>
    <n v="2"/>
    <n v="2"/>
    <n v="0"/>
    <n v="0"/>
    <n v="0"/>
    <n v="0"/>
    <n v="1649.5986149429946"/>
    <n v="1407.5154439916741"/>
    <n v="0.86727601612850369"/>
    <n v="88"/>
    <n v="98"/>
    <n v="0"/>
    <n v="-10"/>
    <n v="0"/>
    <n v="0.352098720397508"/>
    <n v="1"/>
    <n v="75.55"/>
    <n v="75.55"/>
    <n v="-23.070459889802763"/>
    <n v="1626.5281550531918"/>
    <n v="0"/>
    <n v="1"/>
    <n v="0"/>
    <n v="0"/>
    <n v="0"/>
    <n v="0"/>
    <n v="0"/>
    <n v="0"/>
    <n v="0"/>
    <n v="0"/>
  </r>
  <r>
    <d v="2024-05-22T00:00:00"/>
    <n v="2024"/>
    <x v="4"/>
    <s v="R"/>
    <s v="RS"/>
    <x v="0"/>
    <s v="SEA"/>
    <s v="A"/>
    <n v="1"/>
    <n v="1"/>
    <n v="0"/>
    <n v="0"/>
    <n v="0"/>
    <n v="0"/>
    <n v="1390.5605353411645"/>
    <n v="1433.5179200152184"/>
    <n v="0.32501361347504631"/>
    <n v="83"/>
    <n v="85"/>
    <n v="0"/>
    <n v="-2"/>
    <n v="0"/>
    <n v="0.25858455722992341"/>
    <n v="1"/>
    <n v="75.25"/>
    <n v="75.25"/>
    <n v="-6.32427347539421"/>
    <n v="1384.2362618657703"/>
    <n v="0"/>
    <n v="1"/>
    <n v="0"/>
    <n v="0"/>
    <n v="0"/>
    <n v="0"/>
    <n v="0"/>
    <n v="0"/>
    <n v="0"/>
    <n v="0"/>
  </r>
  <r>
    <d v="2024-05-22T00:00:00"/>
    <n v="2024"/>
    <x v="4"/>
    <s v="R"/>
    <s v="RS"/>
    <x v="5"/>
    <s v="IND"/>
    <s v="H"/>
    <n v="1"/>
    <n v="1"/>
    <n v="0"/>
    <n v="0"/>
    <n v="0"/>
    <n v="0"/>
    <n v="1433.5179200152184"/>
    <n v="1390.5605353411645"/>
    <n v="0.67498638652495369"/>
    <n v="85"/>
    <n v="83"/>
    <n v="0"/>
    <n v="2"/>
    <n v="1"/>
    <n v="0.25858455722992341"/>
    <n v="1"/>
    <n v="75.25"/>
    <n v="75.25"/>
    <n v="6.32427347539421"/>
    <n v="1439.8421934906125"/>
    <n v="1"/>
    <n v="0"/>
    <n v="0"/>
    <n v="0"/>
    <n v="0"/>
    <n v="0"/>
    <n v="0"/>
    <n v="0"/>
    <n v="0"/>
    <n v="0"/>
  </r>
  <r>
    <d v="2024-05-23T00:00:00"/>
    <n v="2024"/>
    <x v="2"/>
    <s v="R"/>
    <s v="RS"/>
    <x v="4"/>
    <s v="CON"/>
    <s v="A"/>
    <n v="5"/>
    <n v="2"/>
    <n v="3"/>
    <n v="-3"/>
    <n v="16"/>
    <n v="-16"/>
    <n v="1499.1098541361782"/>
    <n v="1573.1993780967659"/>
    <n v="0.326110549283749"/>
    <n v="82"/>
    <n v="83"/>
    <n v="1"/>
    <n v="-1"/>
    <n v="0"/>
    <n v="0.20698235067716839"/>
    <n v="1"/>
    <n v="75.55"/>
    <n v="75.55"/>
    <n v="-5.0995591257922248"/>
    <n v="1494.010295010386"/>
    <n v="0"/>
    <n v="1"/>
    <n v="0"/>
    <n v="0"/>
    <n v="0"/>
    <n v="0"/>
    <n v="0"/>
    <n v="0"/>
    <n v="0"/>
    <n v="0"/>
  </r>
  <r>
    <d v="2024-05-23T00:00:00"/>
    <n v="2024"/>
    <x v="3"/>
    <s v="R"/>
    <s v="RS"/>
    <x v="1"/>
    <s v="MIN"/>
    <s v="H"/>
    <n v="2"/>
    <n v="5"/>
    <n v="-3"/>
    <n v="3"/>
    <n v="-16"/>
    <n v="16"/>
    <n v="1573.1993780967659"/>
    <n v="1499.1098541361782"/>
    <n v="0.67388945071625095"/>
    <n v="83"/>
    <n v="82"/>
    <n v="1"/>
    <n v="1"/>
    <n v="1"/>
    <n v="0.20698235067716839"/>
    <n v="1"/>
    <n v="75.400000000000006"/>
    <n v="75.400000000000006"/>
    <n v="5.0894342565815212"/>
    <n v="1578.2888123533476"/>
    <n v="1"/>
    <n v="0"/>
    <n v="0"/>
    <n v="0"/>
    <n v="0"/>
    <n v="0"/>
    <n v="0"/>
    <n v="0"/>
    <n v="0"/>
    <n v="0"/>
  </r>
  <r>
    <d v="2024-05-23T00:00:00"/>
    <n v="2024"/>
    <x v="2"/>
    <s v="R"/>
    <s v="RS"/>
    <x v="8"/>
    <s v="NYL"/>
    <s v="A"/>
    <n v="4"/>
    <n v="2"/>
    <n v="2"/>
    <n v="-2"/>
    <n v="16"/>
    <n v="-16"/>
    <n v="1510.4198502649924"/>
    <n v="1641.4659955470397"/>
    <n v="0.25851555571875201"/>
    <n v="90"/>
    <n v="81"/>
    <n v="0"/>
    <n v="9"/>
    <n v="1"/>
    <n v="0.36600221134591954"/>
    <n v="1"/>
    <n v="75.55"/>
    <n v="75.55"/>
    <n v="20.503132691872324"/>
    <n v="1530.9229829568646"/>
    <n v="1"/>
    <n v="0"/>
    <n v="0"/>
    <n v="0"/>
    <n v="0"/>
    <n v="0"/>
    <n v="0"/>
    <n v="0"/>
    <n v="0"/>
    <n v="0"/>
  </r>
  <r>
    <d v="2024-05-23T00:00:00"/>
    <n v="2024"/>
    <x v="4"/>
    <s v="R"/>
    <s v="RS"/>
    <x v="6"/>
    <s v="CHI"/>
    <s v="H"/>
    <n v="2"/>
    <n v="4"/>
    <n v="-2"/>
    <n v="2"/>
    <n v="-16"/>
    <n v="16"/>
    <n v="1641.4659955470397"/>
    <n v="1510.4198502649924"/>
    <n v="0.74148444428124793"/>
    <n v="81"/>
    <n v="90"/>
    <n v="0"/>
    <n v="-9"/>
    <n v="0"/>
    <n v="0.36600221134591954"/>
    <n v="1"/>
    <n v="75.25"/>
    <n v="75.25"/>
    <n v="-20.42171720798666"/>
    <n v="1621.0442783390531"/>
    <n v="0"/>
    <n v="1"/>
    <n v="0"/>
    <n v="0"/>
    <n v="0"/>
    <n v="0"/>
    <n v="0"/>
    <n v="0"/>
    <n v="0"/>
    <n v="0"/>
  </r>
  <r>
    <d v="2024-05-23T00:00:00"/>
    <n v="2024"/>
    <x v="4"/>
    <s v="R"/>
    <s v="RS"/>
    <x v="7"/>
    <s v="PHX"/>
    <s v="A"/>
    <n v="1"/>
    <n v="1"/>
    <n v="0"/>
    <n v="0"/>
    <n v="0"/>
    <n v="0"/>
    <n v="1441.2269243262017"/>
    <n v="1430.585903881477"/>
    <n v="0.39596932620379682"/>
    <n v="80"/>
    <n v="83"/>
    <n v="0"/>
    <n v="-3"/>
    <n v="0"/>
    <n v="0.2876329311809806"/>
    <n v="1"/>
    <n v="75.25"/>
    <n v="75.25"/>
    <n v="-8.570509801020135"/>
    <n v="1432.6564145251816"/>
    <n v="0"/>
    <n v="1"/>
    <n v="0"/>
    <n v="0"/>
    <n v="0"/>
    <n v="0"/>
    <n v="0"/>
    <n v="0"/>
    <n v="0"/>
    <n v="0"/>
  </r>
  <r>
    <d v="2024-05-23T00:00:00"/>
    <n v="2024"/>
    <x v="3"/>
    <s v="R"/>
    <s v="RS"/>
    <x v="2"/>
    <s v="WAS"/>
    <s v="H"/>
    <n v="1"/>
    <n v="1"/>
    <n v="0"/>
    <n v="0"/>
    <n v="0"/>
    <n v="0"/>
    <n v="1430.585903881477"/>
    <n v="1441.2269243262017"/>
    <n v="0.60403067379620312"/>
    <n v="83"/>
    <n v="80"/>
    <n v="0"/>
    <n v="3"/>
    <n v="1"/>
    <n v="0.2876329311809806"/>
    <n v="1"/>
    <n v="75.400000000000006"/>
    <n v="75.400000000000006"/>
    <n v="8.5875938737132014"/>
    <n v="1439.1734977551901"/>
    <n v="1"/>
    <n v="0"/>
    <n v="0"/>
    <n v="0"/>
    <n v="0"/>
    <n v="0"/>
    <n v="0"/>
    <n v="0"/>
    <n v="0"/>
    <n v="0"/>
  </r>
  <r>
    <d v="2024-05-24T00:00:00"/>
    <n v="2024"/>
    <x v="5"/>
    <s v="R"/>
    <s v="RS"/>
    <x v="0"/>
    <s v="LAS"/>
    <s v="A"/>
    <n v="1"/>
    <n v="2"/>
    <n v="-1"/>
    <n v="1"/>
    <n v="-8"/>
    <n v="8"/>
    <n v="1384.2362618657703"/>
    <n v="1454.042103000527"/>
    <n v="0.27339189490574689"/>
    <n v="78"/>
    <n v="73"/>
    <n v="0"/>
    <n v="5"/>
    <n v="1"/>
    <n v="0.31351814400044847"/>
    <n v="1"/>
    <n v="75.099999999999994"/>
    <n v="75.099999999999994"/>
    <n v="17.108142321814963"/>
    <n v="1401.3444041875853"/>
    <n v="1"/>
    <n v="0"/>
    <n v="0"/>
    <n v="0"/>
    <n v="0"/>
    <n v="0"/>
    <n v="0"/>
    <n v="0"/>
    <n v="0"/>
    <n v="0"/>
  </r>
  <r>
    <d v="2024-05-24T00:00:00"/>
    <n v="2024"/>
    <x v="3"/>
    <s v="R"/>
    <s v="RS"/>
    <x v="11"/>
    <s v="IND"/>
    <s v="H"/>
    <n v="2"/>
    <n v="1"/>
    <n v="1"/>
    <n v="-1"/>
    <n v="8"/>
    <n v="-8"/>
    <n v="1454.042103000527"/>
    <n v="1384.2362618657703"/>
    <n v="0.72660810509425311"/>
    <n v="73"/>
    <n v="78"/>
    <n v="0"/>
    <n v="-5"/>
    <n v="0"/>
    <n v="0.31351814400044847"/>
    <n v="1"/>
    <n v="75.400000000000006"/>
    <n v="75.400000000000006"/>
    <n v="-17.176483769172414"/>
    <n v="1436.8656192313547"/>
    <n v="0"/>
    <n v="1"/>
    <n v="0"/>
    <n v="0"/>
    <n v="0"/>
    <n v="0"/>
    <n v="0"/>
    <n v="0"/>
    <n v="0"/>
    <n v="0"/>
  </r>
  <r>
    <d v="2024-05-25T00:00:00"/>
    <n v="2024"/>
    <x v="4"/>
    <s v="R"/>
    <s v="RS"/>
    <x v="1"/>
    <s v="CHI"/>
    <s v="A"/>
    <n v="1"/>
    <n v="1"/>
    <n v="0"/>
    <n v="0"/>
    <n v="0"/>
    <n v="0"/>
    <n v="1578.2888123533476"/>
    <n v="1530.9229829568646"/>
    <n v="0.44747370771791806"/>
    <n v="86"/>
    <n v="82"/>
    <n v="0"/>
    <n v="4"/>
    <n v="1"/>
    <n v="0.29960679784331834"/>
    <n v="1"/>
    <n v="75.25"/>
    <n v="75.25"/>
    <n v="12.456932644904414"/>
    <n v="1590.7457449982519"/>
    <n v="1"/>
    <n v="0"/>
    <n v="0"/>
    <n v="0"/>
    <n v="0"/>
    <n v="0"/>
    <n v="0"/>
    <n v="0"/>
    <n v="0"/>
    <n v="0"/>
  </r>
  <r>
    <d v="2024-05-25T00:00:00"/>
    <n v="2024"/>
    <x v="3"/>
    <s v="R"/>
    <s v="RS"/>
    <x v="8"/>
    <s v="CON"/>
    <s v="H"/>
    <n v="1"/>
    <n v="1"/>
    <n v="0"/>
    <n v="0"/>
    <n v="0"/>
    <n v="0"/>
    <n v="1530.9229829568646"/>
    <n v="1578.2888123533476"/>
    <n v="0.55252629228208205"/>
    <n v="82"/>
    <n v="86"/>
    <n v="0"/>
    <n v="-4"/>
    <n v="0"/>
    <n v="0.29960679784331834"/>
    <n v="1"/>
    <n v="75.400000000000006"/>
    <n v="75.400000000000006"/>
    <n v="-12.48176373987765"/>
    <n v="1518.4412192169871"/>
    <n v="0"/>
    <n v="1"/>
    <n v="0"/>
    <n v="0"/>
    <n v="0"/>
    <n v="0"/>
    <n v="0"/>
    <n v="0"/>
    <n v="0"/>
    <n v="0"/>
  </r>
  <r>
    <d v="2024-05-25T00:00:00"/>
    <n v="2024"/>
    <x v="6"/>
    <s v="R"/>
    <s v="RS"/>
    <x v="0"/>
    <s v="LVA"/>
    <s v="A"/>
    <n v="0"/>
    <n v="3"/>
    <n v="-3"/>
    <n v="3"/>
    <n v="-16"/>
    <n v="16"/>
    <n v="1401.3444041875853"/>
    <n v="1626.5281550531918"/>
    <n v="0.1230335615481651"/>
    <n v="80"/>
    <n v="99"/>
    <n v="0"/>
    <n v="-19"/>
    <n v="0"/>
    <n v="0.47234125905439073"/>
    <n v="1"/>
    <n v="74.95"/>
    <n v="74.95"/>
    <n v="-4.3556313612020832"/>
    <n v="1396.9887728263832"/>
    <n v="0"/>
    <n v="1"/>
    <n v="0"/>
    <n v="0"/>
    <n v="0"/>
    <n v="0"/>
    <n v="0"/>
    <n v="0"/>
    <n v="0"/>
    <n v="0"/>
  </r>
  <r>
    <d v="2024-05-25T00:00:00"/>
    <n v="2024"/>
    <x v="3"/>
    <s v="R"/>
    <s v="RS"/>
    <x v="3"/>
    <s v="IND"/>
    <s v="H"/>
    <n v="3"/>
    <n v="0"/>
    <n v="3"/>
    <n v="-3"/>
    <n v="16"/>
    <n v="-16"/>
    <n v="1626.5281550531918"/>
    <n v="1401.3444041875853"/>
    <n v="0.87696643845183486"/>
    <n v="99"/>
    <n v="80"/>
    <n v="0"/>
    <n v="19"/>
    <n v="1"/>
    <n v="0.47234125905439073"/>
    <n v="1"/>
    <n v="75.400000000000006"/>
    <n v="75.400000000000006"/>
    <n v="4.3817825835175075"/>
    <n v="1630.9099376367092"/>
    <n v="1"/>
    <n v="0"/>
    <n v="0"/>
    <n v="0"/>
    <n v="0"/>
    <n v="0"/>
    <n v="0"/>
    <n v="0"/>
    <n v="0"/>
    <n v="0"/>
  </r>
  <r>
    <d v="2024-05-25T00:00:00"/>
    <n v="2024"/>
    <x v="5"/>
    <s v="R"/>
    <s v="RS"/>
    <x v="6"/>
    <s v="MIN"/>
    <s v="A"/>
    <n v="1"/>
    <n v="1"/>
    <n v="0"/>
    <n v="0"/>
    <n v="0"/>
    <n v="0"/>
    <n v="1621.0442783390531"/>
    <n v="1494.010295010386"/>
    <n v="0.56161610280103258"/>
    <n v="67"/>
    <n v="84"/>
    <n v="0"/>
    <n v="-17"/>
    <n v="0"/>
    <n v="0.48147258542372429"/>
    <n v="1"/>
    <n v="75.099999999999994"/>
    <n v="75.099999999999994"/>
    <n v="-20.307247053043813"/>
    <n v="1600.7370312860094"/>
    <n v="0"/>
    <n v="1"/>
    <n v="0"/>
    <n v="0"/>
    <n v="0"/>
    <n v="0"/>
    <n v="0"/>
    <n v="0"/>
    <n v="0"/>
    <n v="0"/>
  </r>
  <r>
    <d v="2024-05-25T00:00:00"/>
    <n v="2024"/>
    <x v="3"/>
    <s v="R"/>
    <s v="RS"/>
    <x v="4"/>
    <s v="NYL"/>
    <s v="H"/>
    <n v="1"/>
    <n v="1"/>
    <n v="0"/>
    <n v="0"/>
    <n v="0"/>
    <n v="0"/>
    <n v="1494.010295010386"/>
    <n v="1621.0442783390531"/>
    <n v="0.43838389719896736"/>
    <n v="84"/>
    <n v="67"/>
    <n v="0"/>
    <n v="17"/>
    <n v="1"/>
    <n v="0.48147258542372429"/>
    <n v="1"/>
    <n v="75.400000000000006"/>
    <n v="75.400000000000006"/>
    <n v="20.388367880153183"/>
    <n v="1514.3986628905393"/>
    <n v="1"/>
    <n v="0"/>
    <n v="0"/>
    <n v="0"/>
    <n v="0"/>
    <n v="0"/>
    <n v="0"/>
    <n v="0"/>
    <n v="0"/>
    <n v="0"/>
  </r>
  <r>
    <d v="2024-05-25T00:00:00"/>
    <n v="2024"/>
    <x v="3"/>
    <s v="R"/>
    <s v="RS"/>
    <x v="9"/>
    <s v="PHX"/>
    <s v="A"/>
    <n v="3"/>
    <n v="1"/>
    <n v="2"/>
    <n v="-2"/>
    <n v="16"/>
    <n v="-16"/>
    <n v="1510.0142130795168"/>
    <n v="1439.1734977551901"/>
    <n v="0.52708742239172868"/>
    <n v="107"/>
    <n v="92"/>
    <n v="0"/>
    <n v="15"/>
    <n v="1"/>
    <n v="0.47481767492830135"/>
    <n v="1"/>
    <n v="75.400000000000006"/>
    <n v="75.400000000000006"/>
    <n v="16.930862691040918"/>
    <n v="1526.9450757705577"/>
    <n v="1"/>
    <n v="0"/>
    <n v="0"/>
    <n v="0"/>
    <n v="0"/>
    <n v="0"/>
    <n v="0"/>
    <n v="0"/>
    <n v="0"/>
    <n v="0"/>
  </r>
  <r>
    <d v="2024-05-25T00:00:00"/>
    <n v="2024"/>
    <x v="4"/>
    <s v="R"/>
    <s v="RS"/>
    <x v="2"/>
    <s v="DAL"/>
    <s v="H"/>
    <n v="1"/>
    <n v="3"/>
    <n v="-2"/>
    <n v="2"/>
    <n v="-16"/>
    <n v="16"/>
    <n v="1439.1734977551901"/>
    <n v="1510.0142130795168"/>
    <n v="0.47291257760827138"/>
    <n v="92"/>
    <n v="107"/>
    <n v="0"/>
    <n v="-15"/>
    <n v="0"/>
    <n v="0.47481767492830135"/>
    <n v="1"/>
    <n v="75.25"/>
    <n v="75.25"/>
    <n v="-16.897180603459272"/>
    <n v="1422.2763171517308"/>
    <n v="0"/>
    <n v="1"/>
    <n v="0"/>
    <n v="0"/>
    <n v="0"/>
    <n v="0"/>
    <n v="0"/>
    <n v="0"/>
    <n v="0"/>
    <n v="0"/>
  </r>
  <r>
    <d v="2024-05-25T00:00:00"/>
    <n v="2024"/>
    <x v="5"/>
    <s v="R"/>
    <s v="RS"/>
    <x v="7"/>
    <s v="SEA"/>
    <s v="A"/>
    <n v="1"/>
    <n v="2"/>
    <n v="-1"/>
    <n v="1"/>
    <n v="-8"/>
    <n v="8"/>
    <n v="1432.6564145251816"/>
    <n v="1439.8421934906125"/>
    <n v="0.35046157086225815"/>
    <n v="69"/>
    <n v="101"/>
    <n v="0"/>
    <n v="-32"/>
    <n v="0"/>
    <n v="0.7230143612324702"/>
    <n v="1"/>
    <n v="75.099999999999994"/>
    <n v="75.099999999999994"/>
    <n v="-19.029495034392124"/>
    <n v="1413.6269194907895"/>
    <n v="0"/>
    <n v="1"/>
    <n v="0"/>
    <n v="0"/>
    <n v="0"/>
    <n v="0"/>
    <n v="0"/>
    <n v="0"/>
    <n v="0"/>
    <n v="0"/>
  </r>
  <r>
    <d v="2024-05-25T00:00:00"/>
    <n v="2024"/>
    <x v="5"/>
    <s v="R"/>
    <s v="RS"/>
    <x v="5"/>
    <s v="WAS"/>
    <s v="H"/>
    <n v="2"/>
    <n v="1"/>
    <n v="1"/>
    <n v="-1"/>
    <n v="8"/>
    <n v="-8"/>
    <n v="1439.8421934906125"/>
    <n v="1432.6564145251816"/>
    <n v="0.64953842913774196"/>
    <n v="101"/>
    <n v="69"/>
    <n v="0"/>
    <n v="32"/>
    <n v="1"/>
    <n v="0.7230143612324702"/>
    <n v="1"/>
    <n v="75.099999999999994"/>
    <n v="75.099999999999994"/>
    <n v="19.02949503439212"/>
    <n v="1458.8716885250046"/>
    <n v="1"/>
    <n v="0"/>
    <n v="0"/>
    <n v="0"/>
    <n v="0"/>
    <n v="0"/>
    <n v="0"/>
    <n v="0"/>
    <n v="0"/>
    <n v="0"/>
  </r>
  <r>
    <d v="2024-05-26T00:00:00"/>
    <n v="2024"/>
    <x v="4"/>
    <s v="R"/>
    <s v="RS"/>
    <x v="4"/>
    <s v="ATL"/>
    <s v="A"/>
    <n v="0"/>
    <n v="4"/>
    <n v="-4"/>
    <n v="4"/>
    <n v="-16"/>
    <n v="16"/>
    <n v="1514.3986628905393"/>
    <n v="1489.737582173861"/>
    <n v="0.37149955146841068"/>
    <n v="92"/>
    <n v="79"/>
    <n v="0"/>
    <n v="13"/>
    <n v="1"/>
    <n v="0.46253817949815967"/>
    <n v="1"/>
    <n v="75.25"/>
    <n v="75.25"/>
    <n v="21.875585359137755"/>
    <n v="1536.2742482496772"/>
    <n v="1"/>
    <n v="0"/>
    <n v="0"/>
    <n v="0"/>
    <n v="0"/>
    <n v="0"/>
    <n v="0"/>
    <n v="0"/>
    <n v="0"/>
    <n v="0"/>
  </r>
  <r>
    <d v="2024-05-26T00:00:00"/>
    <n v="2024"/>
    <x v="3"/>
    <s v="R"/>
    <s v="RS"/>
    <x v="10"/>
    <s v="MIN"/>
    <s v="H"/>
    <n v="4"/>
    <n v="0"/>
    <n v="4"/>
    <n v="-4"/>
    <n v="16"/>
    <n v="-16"/>
    <n v="1489.737582173861"/>
    <n v="1514.3986628905393"/>
    <n v="0.62850044853158926"/>
    <n v="79"/>
    <n v="92"/>
    <n v="0"/>
    <n v="-13"/>
    <n v="0"/>
    <n v="0.46253817949815967"/>
    <n v="1"/>
    <n v="75.400000000000006"/>
    <n v="75.400000000000006"/>
    <n v="-21.919191177129392"/>
    <n v="1467.8183909967315"/>
    <n v="0"/>
    <n v="1"/>
    <n v="0"/>
    <n v="0"/>
    <n v="0"/>
    <n v="0"/>
    <n v="0"/>
    <n v="0"/>
    <n v="0"/>
    <n v="0"/>
  </r>
  <r>
    <d v="2024-05-26T00:00:00"/>
    <n v="2024"/>
    <x v="4"/>
    <s v="R"/>
    <s v="RS"/>
    <x v="9"/>
    <s v="LAS"/>
    <s v="A"/>
    <n v="0"/>
    <n v="1"/>
    <n v="-1"/>
    <n v="1"/>
    <n v="-8"/>
    <n v="8"/>
    <n v="1526.9450757705577"/>
    <n v="1436.8656192313547"/>
    <n v="0.48572706906019403"/>
    <n v="84"/>
    <n v="83"/>
    <n v="0"/>
    <n v="1"/>
    <n v="1"/>
    <n v="0.22712989008010606"/>
    <n v="1"/>
    <n v="75.25"/>
    <n v="75.25"/>
    <n v="8.789708259233791"/>
    <n v="1535.7347840297914"/>
    <n v="1"/>
    <n v="0"/>
    <n v="0"/>
    <n v="0"/>
    <n v="0"/>
    <n v="0"/>
    <n v="0"/>
    <n v="0"/>
    <n v="0"/>
    <n v="0"/>
  </r>
  <r>
    <d v="2024-05-26T00:00:00"/>
    <n v="2024"/>
    <x v="4"/>
    <s v="R"/>
    <s v="RS"/>
    <x v="11"/>
    <s v="DAL"/>
    <s v="H"/>
    <n v="1"/>
    <n v="0"/>
    <n v="1"/>
    <n v="-1"/>
    <n v="8"/>
    <n v="-8"/>
    <n v="1436.8656192313547"/>
    <n v="1526.9450757705577"/>
    <n v="0.51427293093980608"/>
    <n v="83"/>
    <n v="84"/>
    <n v="0"/>
    <n v="-1"/>
    <n v="0"/>
    <n v="0.22712989008010606"/>
    <n v="1"/>
    <n v="75.25"/>
    <n v="75.25"/>
    <n v="-8.7897082592337927"/>
    <n v="1428.0759109721209"/>
    <n v="0"/>
    <n v="1"/>
    <n v="0"/>
    <n v="0"/>
    <n v="0"/>
    <n v="0"/>
    <n v="0"/>
    <n v="0"/>
    <n v="0"/>
    <n v="0"/>
  </r>
  <r>
    <d v="2024-05-28T00:00:00"/>
    <n v="2024"/>
    <x v="6"/>
    <s v="R"/>
    <s v="RS"/>
    <x v="5"/>
    <s v="CHI"/>
    <s v="A"/>
    <n v="2"/>
    <n v="2"/>
    <n v="0"/>
    <n v="0"/>
    <n v="0"/>
    <n v="0"/>
    <n v="1458.8716885250046"/>
    <n v="1518.4412192169871"/>
    <n v="0.30439566008465058"/>
    <n v="77"/>
    <n v="68"/>
    <n v="0"/>
    <n v="9"/>
    <n v="1"/>
    <n v="0.38677168723591798"/>
    <n v="1"/>
    <n v="74.95"/>
    <n v="74.95"/>
    <n v="20.16455281161662"/>
    <n v="1479.0362413366213"/>
    <n v="1"/>
    <n v="0"/>
    <n v="0"/>
    <n v="0"/>
    <n v="0"/>
    <n v="0"/>
    <n v="0"/>
    <n v="0"/>
    <n v="0"/>
    <n v="0"/>
  </r>
  <r>
    <d v="2024-05-28T00:00:00"/>
    <n v="2024"/>
    <x v="4"/>
    <s v="R"/>
    <s v="RS"/>
    <x v="8"/>
    <s v="SEA"/>
    <s v="H"/>
    <n v="2"/>
    <n v="2"/>
    <n v="0"/>
    <n v="0"/>
    <n v="0"/>
    <n v="0"/>
    <n v="1518.4412192169871"/>
    <n v="1458.8716885250046"/>
    <n v="0.69560433991534942"/>
    <n v="68"/>
    <n v="77"/>
    <n v="0"/>
    <n v="-9"/>
    <n v="0"/>
    <n v="0.38677168723591798"/>
    <n v="1"/>
    <n v="75.25"/>
    <n v="75.25"/>
    <n v="-20.245264830875925"/>
    <n v="1498.1959543861112"/>
    <n v="0"/>
    <n v="1"/>
    <n v="0"/>
    <n v="0"/>
    <n v="0"/>
    <n v="0"/>
    <n v="0"/>
    <n v="0"/>
    <n v="0"/>
    <n v="0"/>
  </r>
  <r>
    <d v="2024-05-28T00:00:00"/>
    <n v="2024"/>
    <x v="5"/>
    <s v="R"/>
    <s v="RS"/>
    <x v="2"/>
    <s v="CON"/>
    <s v="A"/>
    <n v="2"/>
    <n v="2"/>
    <n v="0"/>
    <n v="0"/>
    <n v="0"/>
    <n v="0"/>
    <n v="1422.2763171517308"/>
    <n v="1590.7457449982519"/>
    <n v="0.18948947382192075"/>
    <n v="47"/>
    <n v="70"/>
    <n v="0"/>
    <n v="-23"/>
    <n v="0"/>
    <n v="0.53958481501213118"/>
    <n v="1"/>
    <n v="75.099999999999994"/>
    <n v="75.099999999999994"/>
    <n v="-7.6786477651889333"/>
    <n v="1414.5976693865418"/>
    <n v="0"/>
    <n v="1"/>
    <n v="0"/>
    <n v="0"/>
    <n v="0"/>
    <n v="0"/>
    <n v="0"/>
    <n v="0"/>
    <n v="0"/>
    <n v="0"/>
  </r>
  <r>
    <d v="2024-05-28T00:00:00"/>
    <n v="2024"/>
    <x v="5"/>
    <s v="R"/>
    <s v="RS"/>
    <x v="1"/>
    <s v="PHX"/>
    <s v="H"/>
    <n v="2"/>
    <n v="2"/>
    <n v="0"/>
    <n v="0"/>
    <n v="0"/>
    <n v="0"/>
    <n v="1590.7457449982519"/>
    <n v="1422.2763171517308"/>
    <n v="0.81051052617807917"/>
    <n v="70"/>
    <n v="47"/>
    <n v="0"/>
    <n v="23"/>
    <n v="1"/>
    <n v="0.53958481501213118"/>
    <n v="1"/>
    <n v="75.099999999999994"/>
    <n v="75.099999999999994"/>
    <n v="7.6786477651889369"/>
    <n v="1598.4243927634409"/>
    <n v="1"/>
    <n v="0"/>
    <n v="0"/>
    <n v="0"/>
    <n v="0"/>
    <n v="0"/>
    <n v="0"/>
    <n v="0"/>
    <n v="0"/>
    <n v="0"/>
  </r>
  <r>
    <d v="2024-05-28T00:00:00"/>
    <n v="2024"/>
    <x v="5"/>
    <s v="R"/>
    <s v="RS"/>
    <x v="11"/>
    <s v="IND"/>
    <s v="A"/>
    <n v="1"/>
    <n v="2"/>
    <n v="-1"/>
    <n v="1"/>
    <n v="-8"/>
    <n v="8"/>
    <n v="1428.0759109721209"/>
    <n v="1396.9887728263832"/>
    <n v="0.4021068232371508"/>
    <n v="88"/>
    <n v="82"/>
    <n v="0"/>
    <n v="6"/>
    <n v="1"/>
    <n v="0.34241029757171249"/>
    <n v="1"/>
    <n v="75.099999999999994"/>
    <n v="75.099999999999994"/>
    <n v="15.374831020916922"/>
    <n v="1443.4507419930378"/>
    <n v="1"/>
    <n v="0"/>
    <n v="0"/>
    <n v="0"/>
    <n v="0"/>
    <n v="0"/>
    <n v="0"/>
    <n v="0"/>
    <n v="0"/>
    <n v="0"/>
  </r>
  <r>
    <d v="2024-05-28T00:00:00"/>
    <n v="2024"/>
    <x v="7"/>
    <s v="R"/>
    <s v="RS"/>
    <x v="0"/>
    <s v="LAS"/>
    <s v="H"/>
    <n v="2"/>
    <n v="1"/>
    <n v="1"/>
    <n v="-1"/>
    <n v="8"/>
    <n v="-8"/>
    <n v="1396.9887728263832"/>
    <n v="1428.0759109721209"/>
    <n v="0.59789317676284914"/>
    <n v="82"/>
    <n v="88"/>
    <n v="0"/>
    <n v="-6"/>
    <n v="0"/>
    <n v="0.34241029757171249"/>
    <n v="1"/>
    <n v="74.8"/>
    <n v="74.8"/>
    <n v="-15.313413586745483"/>
    <n v="1381.6753592396376"/>
    <n v="0"/>
    <n v="1"/>
    <n v="0"/>
    <n v="0"/>
    <n v="0"/>
    <n v="0"/>
    <n v="0"/>
    <n v="0"/>
    <n v="0"/>
    <n v="0"/>
  </r>
  <r>
    <d v="2024-05-29T00:00:00"/>
    <n v="2024"/>
    <x v="4"/>
    <s v="R"/>
    <s v="RS"/>
    <x v="3"/>
    <s v="MIN"/>
    <s v="A"/>
    <n v="3"/>
    <n v="2"/>
    <n v="1"/>
    <n v="-1"/>
    <n v="8"/>
    <n v="-8"/>
    <n v="1630.9099376367092"/>
    <n v="1536.2742482496772"/>
    <n v="0.53825691830295697"/>
    <n v="80"/>
    <n v="66"/>
    <n v="0"/>
    <n v="14"/>
    <n v="1"/>
    <n v="0.45196477204947244"/>
    <n v="1"/>
    <n v="75.25"/>
    <n v="75.25"/>
    <n v="15.704043401513029"/>
    <n v="1646.6139810382222"/>
    <n v="1"/>
    <n v="0"/>
    <n v="0"/>
    <n v="0"/>
    <n v="0"/>
    <n v="0"/>
    <n v="0"/>
    <n v="0"/>
    <n v="0"/>
    <n v="0"/>
  </r>
  <r>
    <d v="2024-05-29T00:00:00"/>
    <n v="2024"/>
    <x v="5"/>
    <s v="R"/>
    <s v="RS"/>
    <x v="4"/>
    <s v="LVA"/>
    <s v="H"/>
    <n v="2"/>
    <n v="3"/>
    <n v="-1"/>
    <n v="1"/>
    <n v="-8"/>
    <n v="8"/>
    <n v="1536.2742482496772"/>
    <n v="1630.9099376367092"/>
    <n v="0.46174308169704309"/>
    <n v="66"/>
    <n v="80"/>
    <n v="0"/>
    <n v="-14"/>
    <n v="0"/>
    <n v="0.45196477204947244"/>
    <n v="1"/>
    <n v="75.099999999999994"/>
    <n v="75.099999999999994"/>
    <n v="-15.672739660513336"/>
    <n v="1520.6015085891638"/>
    <n v="0"/>
    <n v="1"/>
    <n v="0"/>
    <n v="0"/>
    <n v="0"/>
    <n v="0"/>
    <n v="0"/>
    <n v="0"/>
    <n v="0"/>
    <n v="0"/>
  </r>
  <r>
    <d v="2024-05-29T00:00:00"/>
    <n v="2024"/>
    <x v="6"/>
    <s v="R"/>
    <s v="RS"/>
    <x v="2"/>
    <s v="NYL"/>
    <s v="A"/>
    <n v="0"/>
    <n v="3"/>
    <n v="-3"/>
    <n v="3"/>
    <n v="-16"/>
    <n v="16"/>
    <n v="1414.5976693865418"/>
    <n v="1600.7370312860094"/>
    <n v="0.14940771813401474"/>
    <n v="78"/>
    <n v="81"/>
    <n v="0"/>
    <n v="-3"/>
    <n v="0"/>
    <n v="0.25121588412385404"/>
    <n v="1"/>
    <n v="74.95"/>
    <n v="74.95"/>
    <n v="-2.8131427208470088"/>
    <n v="1411.7845266656948"/>
    <n v="0"/>
    <n v="1"/>
    <n v="0"/>
    <n v="0"/>
    <n v="0"/>
    <n v="0"/>
    <n v="0"/>
    <n v="0"/>
    <n v="0"/>
    <n v="0"/>
  </r>
  <r>
    <d v="2024-05-29T00:00:00"/>
    <n v="2024"/>
    <x v="6"/>
    <s v="R"/>
    <s v="RS"/>
    <x v="6"/>
    <s v="PHX"/>
    <s v="H"/>
    <n v="3"/>
    <n v="0"/>
    <n v="3"/>
    <n v="-3"/>
    <n v="16"/>
    <n v="-16"/>
    <n v="1600.7370312860094"/>
    <n v="1414.5976693865418"/>
    <n v="0.85059228186598523"/>
    <n v="81"/>
    <n v="78"/>
    <n v="0"/>
    <n v="3"/>
    <n v="1"/>
    <n v="0.25121588412385404"/>
    <n v="1"/>
    <n v="74.95"/>
    <n v="74.95"/>
    <n v="2.8131427208470092"/>
    <n v="1603.5501740068564"/>
    <n v="1"/>
    <n v="0"/>
    <n v="0"/>
    <n v="0"/>
    <n v="0"/>
    <n v="0"/>
    <n v="0"/>
    <n v="0"/>
    <n v="0"/>
    <n v="0"/>
  </r>
  <r>
    <d v="2024-05-29T00:00:00"/>
    <n v="2024"/>
    <x v="4"/>
    <s v="R"/>
    <s v="RS"/>
    <x v="10"/>
    <s v="WAS"/>
    <s v="A"/>
    <n v="2"/>
    <n v="3"/>
    <n v="-1"/>
    <n v="1"/>
    <n v="-8"/>
    <n v="8"/>
    <n v="1467.8183909967315"/>
    <n v="1413.6269194907895"/>
    <n v="0.43445559186572896"/>
    <n v="73"/>
    <n v="67"/>
    <n v="0"/>
    <n v="6"/>
    <n v="1"/>
    <n v="0.33610251934103741"/>
    <n v="1"/>
    <n v="75.25"/>
    <n v="75.25"/>
    <n v="14.30358775308062"/>
    <n v="1482.1219787498121"/>
    <n v="1"/>
    <n v="0"/>
    <n v="0"/>
    <n v="0"/>
    <n v="0"/>
    <n v="0"/>
    <n v="0"/>
    <n v="0"/>
    <n v="0"/>
    <n v="0"/>
  </r>
  <r>
    <d v="2024-05-29T00:00:00"/>
    <n v="2024"/>
    <x v="6"/>
    <s v="R"/>
    <s v="RS"/>
    <x v="7"/>
    <s v="ATL"/>
    <s v="H"/>
    <n v="3"/>
    <n v="2"/>
    <n v="1"/>
    <n v="-1"/>
    <n v="8"/>
    <n v="-8"/>
    <n v="1413.6269194907895"/>
    <n v="1467.8183909967315"/>
    <n v="0.56554440813427109"/>
    <n v="67"/>
    <n v="73"/>
    <n v="0"/>
    <n v="-6"/>
    <n v="0"/>
    <n v="0.33610251934103741"/>
    <n v="1"/>
    <n v="74.95"/>
    <n v="74.95"/>
    <n v="-14.246563482968673"/>
    <n v="1399.3803560078209"/>
    <n v="0"/>
    <n v="1"/>
    <n v="0"/>
    <n v="0"/>
    <n v="0"/>
    <n v="0"/>
    <n v="0"/>
    <n v="0"/>
    <n v="0"/>
    <n v="0"/>
  </r>
  <r>
    <d v="2024-05-30T00:00:00"/>
    <n v="2024"/>
    <x v="6"/>
    <s v="R"/>
    <s v="RS"/>
    <x v="11"/>
    <s v="CHI"/>
    <s v="A"/>
    <n v="1"/>
    <n v="1"/>
    <n v="0"/>
    <n v="0"/>
    <n v="0"/>
    <n v="0"/>
    <n v="1443.4507419930378"/>
    <n v="1498.1959543861112"/>
    <n v="0.31030759851477557"/>
    <n v="73"/>
    <n v="83"/>
    <n v="0"/>
    <n v="-10"/>
    <n v="0"/>
    <n v="0.40466832165100652"/>
    <n v="1"/>
    <n v="74.95"/>
    <n v="74.95"/>
    <n v="-9.4115955487353187"/>
    <n v="1434.0391464443026"/>
    <n v="0"/>
    <n v="1"/>
    <n v="0"/>
    <n v="0"/>
    <n v="0"/>
    <n v="0"/>
    <n v="0"/>
    <n v="0"/>
    <n v="0"/>
    <n v="0"/>
  </r>
  <r>
    <d v="2024-05-30T00:00:00"/>
    <n v="2024"/>
    <x v="5"/>
    <s v="R"/>
    <s v="RS"/>
    <x v="8"/>
    <s v="LAS"/>
    <s v="H"/>
    <n v="1"/>
    <n v="1"/>
    <n v="0"/>
    <n v="0"/>
    <n v="0"/>
    <n v="0"/>
    <n v="1498.1959543861112"/>
    <n v="1443.4507419930378"/>
    <n v="0.68969240148522448"/>
    <n v="83"/>
    <n v="73"/>
    <n v="0"/>
    <n v="10"/>
    <n v="1"/>
    <n v="0.40466832165100652"/>
    <n v="1"/>
    <n v="75.099999999999994"/>
    <n v="75.099999999999994"/>
    <n v="9.4304312969982949"/>
    <n v="1507.6263856831094"/>
    <n v="1"/>
    <n v="0"/>
    <n v="0"/>
    <n v="0"/>
    <n v="0"/>
    <n v="0"/>
    <n v="0"/>
    <n v="0"/>
    <n v="0"/>
    <n v="0"/>
  </r>
  <r>
    <d v="2024-05-30T00:00:00"/>
    <n v="2024"/>
    <x v="7"/>
    <s v="R"/>
    <s v="RS"/>
    <x v="5"/>
    <s v="IND"/>
    <s v="A"/>
    <n v="1"/>
    <n v="1"/>
    <n v="0"/>
    <n v="0"/>
    <n v="0"/>
    <n v="0"/>
    <n v="1479.0362413366213"/>
    <n v="1381.6753592396376"/>
    <n v="0.51921838225208494"/>
    <n v="103"/>
    <n v="88"/>
    <n v="0"/>
    <n v="15"/>
    <n v="1"/>
    <n v="0.46511162929406713"/>
    <n v="1"/>
    <n v="74.8"/>
    <n v="74.8"/>
    <n v="16.726560693089688"/>
    <n v="1495.7628020297109"/>
    <n v="1"/>
    <n v="0"/>
    <n v="0"/>
    <n v="0"/>
    <n v="0"/>
    <n v="0"/>
    <n v="0"/>
    <n v="0"/>
    <n v="0"/>
    <n v="0"/>
  </r>
  <r>
    <d v="2024-05-30T00:00:00"/>
    <n v="2024"/>
    <x v="8"/>
    <s v="R"/>
    <s v="RS"/>
    <x v="0"/>
    <s v="SEA"/>
    <s v="H"/>
    <n v="1"/>
    <n v="1"/>
    <n v="0"/>
    <n v="0"/>
    <n v="0"/>
    <n v="0"/>
    <n v="1381.6753592396376"/>
    <n v="1479.0362413366213"/>
    <n v="0.480781617747915"/>
    <n v="88"/>
    <n v="103"/>
    <n v="0"/>
    <n v="-15"/>
    <n v="0"/>
    <n v="0.46511162929406713"/>
    <n v="1"/>
    <n v="74.650000000000006"/>
    <n v="74.650000000000006"/>
    <n v="-16.693018124854881"/>
    <n v="1364.9823411147827"/>
    <n v="0"/>
    <n v="1"/>
    <n v="0"/>
    <n v="0"/>
    <n v="0"/>
    <n v="0"/>
    <n v="0"/>
    <n v="0"/>
    <n v="0"/>
    <n v="0"/>
  </r>
  <r>
    <d v="2024-05-31T00:00:00"/>
    <n v="2024"/>
    <x v="5"/>
    <s v="R"/>
    <s v="RS"/>
    <x v="3"/>
    <s v="ATL"/>
    <s v="A"/>
    <n v="1"/>
    <n v="1"/>
    <n v="0"/>
    <n v="0"/>
    <n v="0"/>
    <n v="0"/>
    <n v="1646.6139810382222"/>
    <n v="1482.1219787498121"/>
    <n v="0.61380840082358046"/>
    <n v="74"/>
    <n v="78"/>
    <n v="0"/>
    <n v="-4"/>
    <n v="0"/>
    <n v="0.27388895006924552"/>
    <n v="1"/>
    <n v="75.099999999999994"/>
    <n v="75.099999999999994"/>
    <n v="-12.625461917238503"/>
    <n v="1633.9885191209837"/>
    <n v="0"/>
    <n v="1"/>
    <n v="0"/>
    <n v="0"/>
    <n v="0"/>
    <n v="0"/>
    <n v="0"/>
    <n v="0"/>
    <n v="0"/>
    <n v="0"/>
  </r>
  <r>
    <d v="2024-05-31T00:00:00"/>
    <n v="2024"/>
    <x v="5"/>
    <s v="R"/>
    <s v="RS"/>
    <x v="10"/>
    <s v="LVA"/>
    <s v="H"/>
    <n v="1"/>
    <n v="1"/>
    <n v="0"/>
    <n v="0"/>
    <n v="0"/>
    <n v="0"/>
    <n v="1482.1219787498121"/>
    <n v="1646.6139810382222"/>
    <n v="0.38619159917641954"/>
    <n v="78"/>
    <n v="74"/>
    <n v="0"/>
    <n v="4"/>
    <n v="1"/>
    <n v="0.27388895006924552"/>
    <n v="1"/>
    <n v="75.099999999999994"/>
    <n v="75.099999999999994"/>
    <n v="12.625461917238503"/>
    <n v="1494.7474406670506"/>
    <n v="1"/>
    <n v="0"/>
    <n v="0"/>
    <n v="0"/>
    <n v="0"/>
    <n v="0"/>
    <n v="0"/>
    <n v="0"/>
    <n v="0"/>
    <n v="0"/>
  </r>
  <r>
    <d v="2024-05-31T00:00:00"/>
    <n v="2024"/>
    <x v="5"/>
    <s v="R"/>
    <s v="RS"/>
    <x v="9"/>
    <s v="CON"/>
    <s v="A"/>
    <n v="4"/>
    <n v="2"/>
    <n v="2"/>
    <n v="-2"/>
    <n v="16"/>
    <n v="-16"/>
    <n v="1535.7347840297914"/>
    <n v="1598.4243927634409"/>
    <n v="0.34069323504031618"/>
    <n v="72"/>
    <n v="74"/>
    <n v="0"/>
    <n v="-2"/>
    <n v="0"/>
    <n v="0.25454362081425952"/>
    <n v="1"/>
    <n v="75.099999999999994"/>
    <n v="75.099999999999994"/>
    <n v="-6.512768851519831"/>
    <n v="1529.2220151782715"/>
    <n v="0"/>
    <n v="1"/>
    <n v="0"/>
    <n v="0"/>
    <n v="0"/>
    <n v="0"/>
    <n v="0"/>
    <n v="0"/>
    <n v="0"/>
    <n v="0"/>
  </r>
  <r>
    <d v="2024-05-31T00:00:00"/>
    <n v="2024"/>
    <x v="6"/>
    <s v="R"/>
    <s v="RS"/>
    <x v="1"/>
    <s v="DAL"/>
    <s v="H"/>
    <n v="2"/>
    <n v="4"/>
    <n v="-2"/>
    <n v="2"/>
    <n v="-16"/>
    <n v="16"/>
    <n v="1598.4243927634409"/>
    <n v="1535.7347840297914"/>
    <n v="0.65930676495968388"/>
    <n v="74"/>
    <n v="72"/>
    <n v="0"/>
    <n v="2"/>
    <n v="1"/>
    <n v="0.25454362081425952"/>
    <n v="1"/>
    <n v="74.95"/>
    <n v="74.95"/>
    <n v="6.4997606580747167"/>
    <n v="1604.9241534215157"/>
    <n v="1"/>
    <n v="0"/>
    <n v="0"/>
    <n v="0"/>
    <n v="0"/>
    <n v="0"/>
    <n v="0"/>
    <n v="0"/>
    <n v="0"/>
    <n v="0"/>
  </r>
  <r>
    <d v="2024-05-31T00:00:00"/>
    <n v="2024"/>
    <x v="7"/>
    <s v="R"/>
    <s v="RS"/>
    <x v="2"/>
    <s v="MIN"/>
    <s v="A"/>
    <n v="1"/>
    <n v="1"/>
    <n v="0"/>
    <n v="0"/>
    <n v="0"/>
    <n v="0"/>
    <n v="1411.7845266656948"/>
    <n v="1520.6015085891638"/>
    <n v="0.2478813716012247"/>
    <n v="71"/>
    <n v="95"/>
    <n v="0"/>
    <n v="-24"/>
    <n v="0"/>
    <n v="0.57618225294532421"/>
    <n v="1"/>
    <n v="74.8"/>
    <n v="74.8"/>
    <n v="-10.683298566997331"/>
    <n v="1401.1012280986974"/>
    <n v="0"/>
    <n v="1"/>
    <n v="0"/>
    <n v="0"/>
    <n v="0"/>
    <n v="0"/>
    <n v="0"/>
    <n v="0"/>
    <n v="0"/>
    <n v="0"/>
  </r>
  <r>
    <d v="2024-05-31T00:00:00"/>
    <n v="2024"/>
    <x v="6"/>
    <s v="R"/>
    <s v="RS"/>
    <x v="4"/>
    <s v="PHX"/>
    <s v="H"/>
    <n v="1"/>
    <n v="1"/>
    <n v="0"/>
    <n v="0"/>
    <n v="0"/>
    <n v="0"/>
    <n v="1520.6015085891638"/>
    <n v="1411.7845266656948"/>
    <n v="0.75211862839877519"/>
    <n v="95"/>
    <n v="71"/>
    <n v="0"/>
    <n v="24"/>
    <n v="1"/>
    <n v="0.57618225294532421"/>
    <n v="1"/>
    <n v="74.95"/>
    <n v="74.95"/>
    <n v="10.704722294070194"/>
    <n v="1531.3062308832341"/>
    <n v="1"/>
    <n v="0"/>
    <n v="0"/>
    <n v="0"/>
    <n v="0"/>
    <n v="0"/>
    <n v="0"/>
    <n v="0"/>
    <n v="0"/>
    <n v="0"/>
  </r>
  <r>
    <d v="2024-05-31T00:00:00"/>
    <n v="2024"/>
    <x v="7"/>
    <s v="R"/>
    <s v="RS"/>
    <x v="7"/>
    <s v="NYL"/>
    <s v="A"/>
    <n v="1"/>
    <n v="1"/>
    <n v="0"/>
    <n v="0"/>
    <n v="0"/>
    <n v="0"/>
    <n v="1399.3803560078209"/>
    <n v="1603.5501740068564"/>
    <n v="0.15991793340843208"/>
    <n v="79"/>
    <n v="90"/>
    <n v="0"/>
    <n v="-11"/>
    <n v="0"/>
    <n v="0.37588271556875197"/>
    <n v="1"/>
    <n v="74.8"/>
    <n v="74.8"/>
    <n v="-4.4962569534122814"/>
    <n v="1394.8840990544086"/>
    <n v="0"/>
    <n v="1"/>
    <n v="0"/>
    <n v="0"/>
    <n v="0"/>
    <n v="0"/>
    <n v="0"/>
    <n v="0"/>
    <n v="0"/>
    <n v="0"/>
  </r>
  <r>
    <d v="2024-05-31T00:00:00"/>
    <n v="2024"/>
    <x v="7"/>
    <s v="R"/>
    <s v="RS"/>
    <x v="6"/>
    <s v="WAS"/>
    <s v="H"/>
    <n v="1"/>
    <n v="1"/>
    <n v="0"/>
    <n v="0"/>
    <n v="0"/>
    <n v="0"/>
    <n v="1603.5501740068564"/>
    <n v="1399.3803560078209"/>
    <n v="0.84008206659156792"/>
    <n v="90"/>
    <n v="79"/>
    <n v="0"/>
    <n v="11"/>
    <n v="1"/>
    <n v="0.37588271556875197"/>
    <n v="1"/>
    <n v="74.8"/>
    <n v="74.8"/>
    <n v="4.4962569534122814"/>
    <n v="1608.0464309602687"/>
    <n v="1"/>
    <n v="0"/>
    <n v="0"/>
    <n v="0"/>
    <n v="0"/>
    <n v="0"/>
    <n v="0"/>
    <n v="0"/>
    <n v="0"/>
    <n v="0"/>
  </r>
  <r>
    <d v="2024-06-01T00:00:00"/>
    <n v="2024"/>
    <x v="6"/>
    <s v="R"/>
    <s v="RS"/>
    <x v="8"/>
    <s v="IND"/>
    <s v="A"/>
    <n v="1"/>
    <n v="1"/>
    <n v="0"/>
    <n v="0"/>
    <n v="0"/>
    <n v="0"/>
    <n v="1507.6263856831094"/>
    <n v="1364.9823411147827"/>
    <n v="0.58360310498080736"/>
    <n v="70"/>
    <n v="71"/>
    <n v="0"/>
    <n v="-1"/>
    <n v="0"/>
    <n v="0.21823774241858684"/>
    <n v="1"/>
    <n v="74.95"/>
    <n v="74.95"/>
    <n v="-9.5459485962566966"/>
    <n v="1498.0804370868527"/>
    <n v="0"/>
    <n v="1"/>
    <n v="0"/>
    <n v="0"/>
    <n v="0"/>
    <n v="0"/>
    <n v="0"/>
    <n v="0"/>
    <n v="0"/>
    <n v="0"/>
  </r>
  <r>
    <d v="2024-06-01T00:00:00"/>
    <n v="2024"/>
    <x v="9"/>
    <s v="R"/>
    <s v="RS"/>
    <x v="0"/>
    <s v="CHI"/>
    <s v="H"/>
    <n v="1"/>
    <n v="1"/>
    <n v="0"/>
    <n v="0"/>
    <n v="0"/>
    <n v="0"/>
    <n v="1364.9823411147827"/>
    <n v="1507.6263856831094"/>
    <n v="0.41639689501919269"/>
    <n v="71"/>
    <n v="70"/>
    <n v="0"/>
    <n v="1"/>
    <n v="1"/>
    <n v="0.21823774241858684"/>
    <n v="1"/>
    <n v="74.5"/>
    <n v="74.5"/>
    <n v="9.4886346954119247"/>
    <n v="1374.4709758101947"/>
    <n v="1"/>
    <n v="0"/>
    <n v="0"/>
    <n v="0"/>
    <n v="0"/>
    <n v="0"/>
    <n v="0"/>
    <n v="0"/>
    <n v="0"/>
    <n v="0"/>
  </r>
  <r>
    <d v="2024-06-02T00:00:00"/>
    <n v="2024"/>
    <x v="7"/>
    <s v="R"/>
    <s v="RS"/>
    <x v="1"/>
    <s v="ATL"/>
    <s v="A"/>
    <n v="1"/>
    <n v="1"/>
    <n v="0"/>
    <n v="0"/>
    <n v="0"/>
    <n v="0"/>
    <n v="1604.9241534215157"/>
    <n v="1494.7474406670506"/>
    <n v="0.53760019876439935"/>
    <n v="69"/>
    <n v="50"/>
    <n v="0"/>
    <n v="19"/>
    <n v="1"/>
    <n v="0.51380327608820531"/>
    <n v="1"/>
    <n v="74.8"/>
    <n v="74.8"/>
    <n v="17.771173448756514"/>
    <n v="1622.6953268702723"/>
    <n v="1"/>
    <n v="0"/>
    <n v="0"/>
    <n v="0"/>
    <n v="0"/>
    <n v="0"/>
    <n v="0"/>
    <n v="0"/>
    <n v="0"/>
    <n v="0"/>
  </r>
  <r>
    <d v="2024-06-02T00:00:00"/>
    <n v="2024"/>
    <x v="6"/>
    <s v="R"/>
    <s v="RS"/>
    <x v="10"/>
    <s v="CON"/>
    <s v="H"/>
    <n v="1"/>
    <n v="1"/>
    <n v="0"/>
    <n v="0"/>
    <n v="0"/>
    <n v="0"/>
    <n v="1494.7474406670506"/>
    <n v="1604.9241534215157"/>
    <n v="0.46239980123560065"/>
    <n v="50"/>
    <n v="69"/>
    <n v="0"/>
    <n v="-19"/>
    <n v="0"/>
    <n v="0.51380327608820531"/>
    <n v="1"/>
    <n v="74.95"/>
    <n v="74.95"/>
    <n v="-17.806810828667125"/>
    <n v="1476.9406298383835"/>
    <n v="0"/>
    <n v="1"/>
    <n v="0"/>
    <n v="0"/>
    <n v="0"/>
    <n v="0"/>
    <n v="0"/>
    <n v="0"/>
    <n v="0"/>
    <n v="0"/>
  </r>
  <r>
    <d v="2024-06-02T00:00:00"/>
    <n v="2024"/>
    <x v="6"/>
    <s v="R"/>
    <s v="RS"/>
    <x v="9"/>
    <s v="MIN"/>
    <s v="A"/>
    <n v="1"/>
    <n v="1"/>
    <n v="0"/>
    <n v="0"/>
    <n v="0"/>
    <n v="0"/>
    <n v="1529.2220151782715"/>
    <n v="1531.3062308832341"/>
    <n v="0.378589220029315"/>
    <n v="76"/>
    <n v="87"/>
    <n v="0"/>
    <n v="-11"/>
    <n v="0"/>
    <n v="0.43907336725125146"/>
    <n v="1"/>
    <n v="74.95"/>
    <n v="74.95"/>
    <n v="-12.458821851065057"/>
    <n v="1516.7631933272064"/>
    <n v="0"/>
    <n v="1"/>
    <n v="0"/>
    <n v="0"/>
    <n v="0"/>
    <n v="0"/>
    <n v="0"/>
    <n v="0"/>
    <n v="0"/>
    <n v="0"/>
  </r>
  <r>
    <d v="2024-06-02T00:00:00"/>
    <n v="2024"/>
    <x v="7"/>
    <s v="R"/>
    <s v="RS"/>
    <x v="4"/>
    <s v="DAL"/>
    <s v="H"/>
    <n v="1"/>
    <n v="1"/>
    <n v="0"/>
    <n v="0"/>
    <n v="0"/>
    <n v="0"/>
    <n v="1531.3062308832341"/>
    <n v="1529.2220151782715"/>
    <n v="0.62141077997068506"/>
    <n v="87"/>
    <n v="76"/>
    <n v="0"/>
    <n v="11"/>
    <n v="1"/>
    <n v="0.43907336725125146"/>
    <n v="1"/>
    <n v="74.8"/>
    <n v="74.8"/>
    <n v="12.43388758451856"/>
    <n v="1543.7401184677526"/>
    <n v="1"/>
    <n v="0"/>
    <n v="0"/>
    <n v="0"/>
    <n v="0"/>
    <n v="0"/>
    <n v="0"/>
    <n v="0"/>
    <n v="0"/>
    <n v="0"/>
  </r>
  <r>
    <d v="2024-06-02T00:00:00"/>
    <n v="2024"/>
    <x v="10"/>
    <s v="R"/>
    <s v="RS"/>
    <x v="0"/>
    <s v="NYL"/>
    <s v="A"/>
    <n v="0"/>
    <n v="1"/>
    <n v="-1"/>
    <n v="1"/>
    <n v="-8"/>
    <n v="8"/>
    <n v="1374.4709758101947"/>
    <n v="1608.0464309602687"/>
    <n v="0.12783762906486784"/>
    <n v="68"/>
    <n v="104"/>
    <n v="0"/>
    <n v="-36"/>
    <n v="0"/>
    <n v="0.64751488650277789"/>
    <n v="1"/>
    <n v="74.349999999999994"/>
    <n v="74.349999999999994"/>
    <n v="-6.1544526914855888"/>
    <n v="1368.316523118709"/>
    <n v="0"/>
    <n v="1"/>
    <n v="0"/>
    <n v="0"/>
    <n v="0"/>
    <n v="0"/>
    <n v="0"/>
    <n v="0"/>
    <n v="0"/>
    <n v="0"/>
  </r>
  <r>
    <d v="2024-06-02T00:00:00"/>
    <n v="2024"/>
    <x v="8"/>
    <s v="R"/>
    <s v="RS"/>
    <x v="6"/>
    <s v="IND"/>
    <s v="H"/>
    <n v="1"/>
    <n v="0"/>
    <n v="1"/>
    <n v="-1"/>
    <n v="8"/>
    <n v="-8"/>
    <n v="1608.0464309602687"/>
    <n v="1374.4709758101947"/>
    <n v="0.87216237093513216"/>
    <n v="104"/>
    <n v="68"/>
    <n v="0"/>
    <n v="36"/>
    <n v="1"/>
    <n v="0.64751488650277789"/>
    <n v="1"/>
    <n v="74.650000000000006"/>
    <n v="74.650000000000006"/>
    <n v="6.1792857218480064"/>
    <n v="1614.2257166821166"/>
    <n v="1"/>
    <n v="0"/>
    <n v="0"/>
    <n v="0"/>
    <n v="0"/>
    <n v="0"/>
    <n v="0"/>
    <n v="0"/>
    <n v="0"/>
    <n v="0"/>
  </r>
  <r>
    <d v="2024-06-02T00:00:00"/>
    <n v="2024"/>
    <x v="7"/>
    <s v="R"/>
    <s v="RS"/>
    <x v="11"/>
    <s v="PHX"/>
    <s v="A"/>
    <n v="2"/>
    <n v="1"/>
    <n v="1"/>
    <n v="-1"/>
    <n v="8"/>
    <n v="-8"/>
    <n v="1434.0391464443026"/>
    <n v="1401.1012280986974"/>
    <n v="0.44971220621686314"/>
    <n v="68"/>
    <n v="87"/>
    <n v="0"/>
    <n v="-19"/>
    <n v="0"/>
    <n v="0.54599106512273099"/>
    <n v="1"/>
    <n v="74.8"/>
    <n v="74.8"/>
    <n v="-18.366305716033668"/>
    <n v="1415.672840728269"/>
    <n v="0"/>
    <n v="1"/>
    <n v="0"/>
    <n v="0"/>
    <n v="0"/>
    <n v="0"/>
    <n v="0"/>
    <n v="0"/>
    <n v="0"/>
    <n v="0"/>
  </r>
  <r>
    <d v="2024-06-02T00:00:00"/>
    <n v="2024"/>
    <x v="8"/>
    <s v="R"/>
    <s v="RS"/>
    <x v="2"/>
    <s v="LAS"/>
    <s v="H"/>
    <n v="1"/>
    <n v="2"/>
    <n v="-1"/>
    <n v="1"/>
    <n v="-8"/>
    <n v="8"/>
    <n v="1401.1012280986974"/>
    <n v="1434.0391464443026"/>
    <n v="0.55028779378313686"/>
    <n v="87"/>
    <n v="68"/>
    <n v="0"/>
    <n v="19"/>
    <n v="1"/>
    <n v="0.54599106512273099"/>
    <n v="1"/>
    <n v="74.650000000000006"/>
    <n v="74.650000000000006"/>
    <n v="18.329474889063015"/>
    <n v="1419.4307029877605"/>
    <n v="1"/>
    <n v="0"/>
    <n v="0"/>
    <n v="0"/>
    <n v="0"/>
    <n v="0"/>
    <n v="0"/>
    <n v="0"/>
    <n v="0"/>
    <n v="0"/>
  </r>
  <r>
    <d v="2024-06-04T00:00:00"/>
    <n v="2024"/>
    <x v="9"/>
    <s v="R"/>
    <s v="RS"/>
    <x v="6"/>
    <s v="CHI"/>
    <s v="A"/>
    <n v="1"/>
    <n v="2"/>
    <n v="-1"/>
    <n v="1"/>
    <n v="-8"/>
    <n v="8"/>
    <n v="1614.2257166821166"/>
    <n v="1498.0804370868527"/>
    <n v="0.52321821464501683"/>
    <n v="88"/>
    <n v="75"/>
    <n v="0"/>
    <n v="13"/>
    <n v="1"/>
    <n v="0.43038752298768601"/>
    <n v="1"/>
    <n v="74.5"/>
    <n v="74.5"/>
    <n v="15.287469404541046"/>
    <n v="1629.5131860866577"/>
    <n v="1"/>
    <n v="0"/>
    <n v="0"/>
    <n v="0"/>
    <n v="0"/>
    <n v="0"/>
    <n v="0"/>
    <n v="0"/>
    <n v="0"/>
    <n v="0"/>
  </r>
  <r>
    <d v="2024-06-04T00:00:00"/>
    <n v="2024"/>
    <x v="7"/>
    <s v="R"/>
    <s v="RS"/>
    <x v="8"/>
    <s v="NYL"/>
    <s v="H"/>
    <n v="2"/>
    <n v="1"/>
    <n v="1"/>
    <n v="-1"/>
    <n v="8"/>
    <n v="-8"/>
    <n v="1498.0804370868527"/>
    <n v="1614.2257166821166"/>
    <n v="0.47678178535498322"/>
    <n v="75"/>
    <n v="88"/>
    <n v="0"/>
    <n v="-13"/>
    <n v="0"/>
    <n v="0.43038752298768601"/>
    <n v="1"/>
    <n v="74.8"/>
    <n v="74.8"/>
    <n v="-15.349029684022419"/>
    <n v="1482.7314074028302"/>
    <n v="0"/>
    <n v="1"/>
    <n v="0"/>
    <n v="0"/>
    <n v="0"/>
    <n v="0"/>
    <n v="0"/>
    <n v="0"/>
    <n v="0"/>
    <n v="0"/>
  </r>
  <r>
    <d v="2024-06-04T00:00:00"/>
    <n v="2024"/>
    <x v="8"/>
    <s v="R"/>
    <s v="RS"/>
    <x v="7"/>
    <s v="CON"/>
    <s v="A"/>
    <n v="3"/>
    <n v="1"/>
    <n v="2"/>
    <n v="-2"/>
    <n v="16"/>
    <n v="-16"/>
    <n v="1394.8840990544086"/>
    <n v="1622.6953268702723"/>
    <n v="0.16648827190613888"/>
    <n v="59"/>
    <n v="76"/>
    <n v="0"/>
    <n v="-17"/>
    <n v="0"/>
    <n v="0.44748946530962269"/>
    <n v="1"/>
    <n v="74.650000000000006"/>
    <n v="74.650000000000006"/>
    <n v="-5.5615554714486279"/>
    <n v="1389.32254358296"/>
    <n v="0"/>
    <n v="1"/>
    <n v="0"/>
    <n v="0"/>
    <n v="0"/>
    <n v="0"/>
    <n v="0"/>
    <n v="0"/>
    <n v="0"/>
    <n v="0"/>
  </r>
  <r>
    <d v="2024-06-04T00:00:00"/>
    <n v="2024"/>
    <x v="8"/>
    <s v="R"/>
    <s v="RS"/>
    <x v="1"/>
    <s v="WAS"/>
    <s v="H"/>
    <n v="1"/>
    <n v="3"/>
    <n v="-2"/>
    <n v="2"/>
    <n v="-16"/>
    <n v="16"/>
    <n v="1622.6953268702723"/>
    <n v="1394.8840990544086"/>
    <n v="0.83351172809386109"/>
    <n v="76"/>
    <n v="59"/>
    <n v="0"/>
    <n v="17"/>
    <n v="1"/>
    <n v="0.44748946530962269"/>
    <n v="1"/>
    <n v="74.650000000000006"/>
    <n v="74.650000000000006"/>
    <n v="5.5615554714486288"/>
    <n v="1628.2568823417209"/>
    <n v="1"/>
    <n v="0"/>
    <n v="0"/>
    <n v="0"/>
    <n v="0"/>
    <n v="0"/>
    <n v="0"/>
    <n v="0"/>
    <n v="0"/>
    <n v="0"/>
  </r>
  <r>
    <d v="2024-06-04T00:00:00"/>
    <n v="2024"/>
    <x v="9"/>
    <s v="R"/>
    <s v="RS"/>
    <x v="2"/>
    <s v="SEA"/>
    <s v="A"/>
    <n v="1"/>
    <n v="4"/>
    <n v="-3"/>
    <n v="3"/>
    <n v="-16"/>
    <n v="16"/>
    <n v="1419.4307029877605"/>
    <n v="1495.7628020297109"/>
    <n v="0.24840212034463519"/>
    <n v="62"/>
    <n v="80"/>
    <n v="0"/>
    <n v="-18"/>
    <n v="0"/>
    <n v="0.51413007558467538"/>
    <n v="1"/>
    <n v="74.5"/>
    <n v="74.5"/>
    <n v="-9.5144695676594786"/>
    <n v="1409.916233420101"/>
    <n v="0"/>
    <n v="1"/>
    <n v="0"/>
    <n v="0"/>
    <n v="0"/>
    <n v="0"/>
    <n v="0"/>
    <n v="0"/>
    <n v="0"/>
    <n v="0"/>
  </r>
  <r>
    <d v="2024-06-04T00:00:00"/>
    <n v="2024"/>
    <x v="8"/>
    <s v="R"/>
    <s v="RS"/>
    <x v="5"/>
    <s v="PHX"/>
    <s v="H"/>
    <n v="4"/>
    <n v="1"/>
    <n v="3"/>
    <n v="-3"/>
    <n v="16"/>
    <n v="-16"/>
    <n v="1495.7628020297109"/>
    <n v="1419.4307029877605"/>
    <n v="0.75159787965536473"/>
    <n v="80"/>
    <n v="62"/>
    <n v="0"/>
    <n v="18"/>
    <n v="1"/>
    <n v="0.51413007558467538"/>
    <n v="1"/>
    <n v="74.650000000000006"/>
    <n v="74.650000000000006"/>
    <n v="9.5336262177957085"/>
    <n v="1505.2964282475066"/>
    <n v="1"/>
    <n v="0"/>
    <n v="0"/>
    <n v="0"/>
    <n v="0"/>
    <n v="0"/>
    <n v="0"/>
    <n v="0"/>
    <n v="0"/>
    <n v="0"/>
  </r>
  <r>
    <d v="2024-06-05T00:00:00"/>
    <n v="2024"/>
    <x v="6"/>
    <s v="R"/>
    <s v="RS"/>
    <x v="3"/>
    <s v="DAL"/>
    <s v="A"/>
    <n v="4"/>
    <n v="2"/>
    <n v="2"/>
    <n v="-2"/>
    <n v="16"/>
    <n v="-16"/>
    <n v="1633.9885191209837"/>
    <n v="1516.7631933272064"/>
    <n v="0.59277937283207227"/>
    <n v="95"/>
    <n v="81"/>
    <n v="0"/>
    <n v="14"/>
    <n v="1"/>
    <n v="0.44421384313144346"/>
    <n v="1"/>
    <n v="74.95"/>
    <n v="74.95"/>
    <n v="13.557933332759809"/>
    <n v="1647.5464524537435"/>
    <n v="1"/>
    <n v="0"/>
    <n v="0"/>
    <n v="0"/>
    <n v="0"/>
    <n v="0"/>
    <n v="0"/>
    <n v="0"/>
    <n v="0"/>
    <n v="0"/>
  </r>
  <r>
    <d v="2024-06-05T00:00:00"/>
    <n v="2024"/>
    <x v="7"/>
    <s v="R"/>
    <s v="RS"/>
    <x v="9"/>
    <s v="LVA"/>
    <s v="H"/>
    <n v="2"/>
    <n v="4"/>
    <n v="-2"/>
    <n v="2"/>
    <n v="-16"/>
    <n v="16"/>
    <n v="1516.7631933272064"/>
    <n v="1633.9885191209837"/>
    <n v="0.40722062716792778"/>
    <n v="81"/>
    <n v="95"/>
    <n v="0"/>
    <n v="-14"/>
    <n v="0"/>
    <n v="0.44421384313144346"/>
    <n v="1"/>
    <n v="74.8"/>
    <n v="74.8"/>
    <n v="-13.530799376790309"/>
    <n v="1503.2323939504161"/>
    <n v="0"/>
    <n v="1"/>
    <n v="0"/>
    <n v="0"/>
    <n v="0"/>
    <n v="0"/>
    <n v="0"/>
    <n v="0"/>
    <n v="0"/>
    <n v="0"/>
  </r>
  <r>
    <d v="2024-06-05T00:00:00"/>
    <n v="2024"/>
    <x v="8"/>
    <s v="R"/>
    <s v="RS"/>
    <x v="4"/>
    <s v="LAS"/>
    <s v="A"/>
    <n v="2"/>
    <n v="2"/>
    <n v="0"/>
    <n v="0"/>
    <n v="0"/>
    <n v="0"/>
    <n v="1543.7401184677526"/>
    <n v="1415.672840728269"/>
    <n v="0.5630800098519041"/>
    <n v="86"/>
    <n v="62"/>
    <n v="0"/>
    <n v="24"/>
    <n v="1"/>
    <n v="0.56783050827165482"/>
    <n v="1"/>
    <n v="74.650000000000006"/>
    <n v="74.650000000000006"/>
    <n v="18.520403730960037"/>
    <n v="1562.2605221987126"/>
    <n v="1"/>
    <n v="0"/>
    <n v="0"/>
    <n v="0"/>
    <n v="0"/>
    <n v="0"/>
    <n v="0"/>
    <n v="0"/>
    <n v="0"/>
    <n v="0"/>
  </r>
  <r>
    <d v="2024-06-05T00:00:00"/>
    <n v="2024"/>
    <x v="8"/>
    <s v="R"/>
    <s v="RS"/>
    <x v="11"/>
    <s v="MIN"/>
    <s v="H"/>
    <n v="2"/>
    <n v="2"/>
    <n v="0"/>
    <n v="0"/>
    <n v="0"/>
    <n v="0"/>
    <n v="1415.672840728269"/>
    <n v="1543.7401184677526"/>
    <n v="0.43691999014809596"/>
    <n v="62"/>
    <n v="86"/>
    <n v="0"/>
    <n v="-24"/>
    <n v="0"/>
    <n v="0.56783050827165482"/>
    <n v="1"/>
    <n v="74.650000000000006"/>
    <n v="74.650000000000006"/>
    <n v="-18.520403730960041"/>
    <n v="1397.152436997309"/>
    <n v="0"/>
    <n v="1"/>
    <n v="0"/>
    <n v="0"/>
    <n v="0"/>
    <n v="0"/>
    <n v="0"/>
    <n v="0"/>
    <n v="0"/>
    <n v="0"/>
  </r>
  <r>
    <d v="2024-06-06T00:00:00"/>
    <n v="2024"/>
    <x v="10"/>
    <s v="R"/>
    <s v="RS"/>
    <x v="6"/>
    <s v="ATL"/>
    <s v="A"/>
    <n v="1"/>
    <n v="3"/>
    <n v="-2"/>
    <n v="2"/>
    <n v="-16"/>
    <n v="16"/>
    <n v="1629.5131860866577"/>
    <n v="1476.9406298383835"/>
    <n v="0.55243859903253245"/>
    <n v="78"/>
    <n v="61"/>
    <n v="0"/>
    <n v="17"/>
    <n v="1"/>
    <n v="0.47238166998644665"/>
    <n v="1"/>
    <n v="74.349999999999994"/>
    <n v="74.349999999999994"/>
    <n v="15.719062279479632"/>
    <n v="1645.2322483661374"/>
    <n v="1"/>
    <n v="0"/>
    <n v="0"/>
    <n v="0"/>
    <n v="0"/>
    <n v="0"/>
    <n v="0"/>
    <n v="0"/>
    <n v="0"/>
    <n v="0"/>
  </r>
  <r>
    <d v="2024-06-06T00:00:00"/>
    <n v="2024"/>
    <x v="7"/>
    <s v="R"/>
    <s v="RS"/>
    <x v="10"/>
    <s v="NYL"/>
    <s v="H"/>
    <n v="3"/>
    <n v="1"/>
    <n v="2"/>
    <n v="-2"/>
    <n v="16"/>
    <n v="-16"/>
    <n v="1476.9406298383835"/>
    <n v="1629.5131860866577"/>
    <n v="0.44756140096746749"/>
    <n v="61"/>
    <n v="78"/>
    <n v="0"/>
    <n v="-17"/>
    <n v="0"/>
    <n v="0.47238166998644665"/>
    <n v="1"/>
    <n v="74.8"/>
    <n v="74.8"/>
    <n v="-15.814201190384349"/>
    <n v="1461.1264286479991"/>
    <n v="0"/>
    <n v="1"/>
    <n v="0"/>
    <n v="0"/>
    <n v="0"/>
    <n v="0"/>
    <n v="0"/>
    <n v="0"/>
    <n v="0"/>
    <n v="0"/>
  </r>
  <r>
    <d v="2024-06-06T00:00:00"/>
    <n v="2024"/>
    <x v="8"/>
    <s v="R"/>
    <s v="RS"/>
    <x v="8"/>
    <s v="WAS"/>
    <s v="A"/>
    <n v="1"/>
    <n v="1"/>
    <n v="0"/>
    <n v="0"/>
    <n v="0"/>
    <n v="0"/>
    <n v="1482.7314074028302"/>
    <n v="1389.32254358296"/>
    <n v="0.51353713438253412"/>
    <n v="79"/>
    <n v="71"/>
    <n v="0"/>
    <n v="8"/>
    <n v="1"/>
    <n v="0.36027172461723772"/>
    <n v="1"/>
    <n v="74.650000000000006"/>
    <n v="74.650000000000006"/>
    <n v="13.083070581423213"/>
    <n v="1495.8144779842535"/>
    <n v="1"/>
    <n v="0"/>
    <n v="0"/>
    <n v="0"/>
    <n v="0"/>
    <n v="0"/>
    <n v="0"/>
    <n v="0"/>
    <n v="0"/>
    <n v="0"/>
  </r>
  <r>
    <d v="2024-06-06T00:00:00"/>
    <n v="2024"/>
    <x v="9"/>
    <s v="R"/>
    <s v="RS"/>
    <x v="7"/>
    <s v="CHI"/>
    <s v="H"/>
    <n v="1"/>
    <n v="1"/>
    <n v="0"/>
    <n v="0"/>
    <n v="0"/>
    <n v="0"/>
    <n v="1389.32254358296"/>
    <n v="1482.7314074028302"/>
    <n v="0.48646286561746588"/>
    <n v="71"/>
    <n v="79"/>
    <n v="0"/>
    <n v="-8"/>
    <n v="0"/>
    <n v="0.36027172461723772"/>
    <n v="1"/>
    <n v="74.5"/>
    <n v="74.5"/>
    <n v="-13.056781759089475"/>
    <n v="1376.2657618238704"/>
    <n v="0"/>
    <n v="1"/>
    <n v="0"/>
    <n v="0"/>
    <n v="0"/>
    <n v="0"/>
    <n v="0"/>
    <n v="0"/>
    <n v="0"/>
    <n v="0"/>
  </r>
  <r>
    <d v="2024-06-07T00:00:00"/>
    <n v="2024"/>
    <x v="8"/>
    <s v="R"/>
    <s v="RS"/>
    <x v="9"/>
    <s v="LAS"/>
    <s v="A"/>
    <n v="1"/>
    <n v="1"/>
    <n v="0"/>
    <n v="0"/>
    <n v="0"/>
    <n v="0"/>
    <n v="1503.2323939504161"/>
    <n v="1397.152436997309"/>
    <n v="0.53173290332457634"/>
    <n v="72"/>
    <n v="81"/>
    <n v="0"/>
    <n v="-9"/>
    <n v="0"/>
    <n v="0.37299847531017766"/>
    <n v="1"/>
    <n v="74.650000000000006"/>
    <n v="74.650000000000006"/>
    <n v="-14.80574971914977"/>
    <n v="1488.4266442312662"/>
    <n v="0"/>
    <n v="1"/>
    <n v="0"/>
    <n v="0"/>
    <n v="0"/>
    <n v="0"/>
    <n v="0"/>
    <n v="0"/>
    <n v="0"/>
    <n v="0"/>
  </r>
  <r>
    <d v="2024-06-07T00:00:00"/>
    <n v="2024"/>
    <x v="9"/>
    <s v="R"/>
    <s v="RS"/>
    <x v="11"/>
    <s v="DAL"/>
    <s v="H"/>
    <n v="1"/>
    <n v="1"/>
    <n v="0"/>
    <n v="0"/>
    <n v="0"/>
    <n v="0"/>
    <n v="1397.152436997309"/>
    <n v="1503.2323939504161"/>
    <n v="0.46826709667542366"/>
    <n v="81"/>
    <n v="72"/>
    <n v="0"/>
    <n v="9"/>
    <n v="1"/>
    <n v="0.37299847531017766"/>
    <n v="1"/>
    <n v="74.5"/>
    <n v="74.5"/>
    <n v="14.77599938481792"/>
    <n v="1411.9284363821268"/>
    <n v="1"/>
    <n v="0"/>
    <n v="0"/>
    <n v="0"/>
    <n v="0"/>
    <n v="0"/>
    <n v="0"/>
    <n v="0"/>
    <n v="0"/>
    <n v="0"/>
  </r>
  <r>
    <d v="2024-06-07T00:00:00"/>
    <n v="2024"/>
    <x v="9"/>
    <s v="R"/>
    <s v="RS"/>
    <x v="5"/>
    <s v="LVA"/>
    <s v="A"/>
    <n v="2"/>
    <n v="1"/>
    <n v="1"/>
    <n v="-1"/>
    <n v="8"/>
    <n v="-8"/>
    <n v="1505.2964282475066"/>
    <n v="1647.5464524537435"/>
    <n v="0.22964860548682531"/>
    <n v="78"/>
    <n v="65"/>
    <n v="0"/>
    <n v="13"/>
    <n v="1"/>
    <n v="0.42201713284521836"/>
    <n v="1"/>
    <n v="74.5"/>
    <n v="74.5"/>
    <n v="24.22006076628454"/>
    <n v="1529.5164890137912"/>
    <n v="1"/>
    <n v="0"/>
    <n v="0"/>
    <n v="0"/>
    <n v="0"/>
    <n v="0"/>
    <n v="0"/>
    <n v="0"/>
    <n v="0"/>
    <n v="0"/>
  </r>
  <r>
    <d v="2024-06-07T00:00:00"/>
    <n v="2024"/>
    <x v="7"/>
    <s v="R"/>
    <s v="RS"/>
    <x v="3"/>
    <s v="SEA"/>
    <s v="H"/>
    <n v="1"/>
    <n v="2"/>
    <n v="-1"/>
    <n v="1"/>
    <n v="-8"/>
    <n v="8"/>
    <n v="1647.5464524537435"/>
    <n v="1505.2964282475066"/>
    <n v="0.7703513945131748"/>
    <n v="65"/>
    <n v="78"/>
    <n v="0"/>
    <n v="-13"/>
    <n v="0"/>
    <n v="0.42201713284521836"/>
    <n v="1"/>
    <n v="74.8"/>
    <n v="74.8"/>
    <n v="-24.317591212323276"/>
    <n v="1623.2288612414202"/>
    <n v="0"/>
    <n v="1"/>
    <n v="0"/>
    <n v="0"/>
    <n v="0"/>
    <n v="0"/>
    <n v="0"/>
    <n v="0"/>
    <n v="0"/>
    <n v="0"/>
  </r>
  <r>
    <d v="2024-06-07T00:00:00"/>
    <n v="2024"/>
    <x v="9"/>
    <s v="R"/>
    <s v="RS"/>
    <x v="4"/>
    <s v="PHX"/>
    <s v="A"/>
    <n v="1"/>
    <n v="2"/>
    <n v="-1"/>
    <n v="1"/>
    <n v="-8"/>
    <n v="8"/>
    <n v="1562.2605221987126"/>
    <n v="1409.916233420101"/>
    <n v="0.57476466840655682"/>
    <n v="80"/>
    <n v="81"/>
    <n v="0"/>
    <n v="-1"/>
    <n v="0"/>
    <n v="0.21667234267909188"/>
    <n v="1"/>
    <n v="74.5"/>
    <n v="74.5"/>
    <n v="-9.2779027358650961"/>
    <n v="1552.9826194628474"/>
    <n v="0"/>
    <n v="1"/>
    <n v="0"/>
    <n v="0"/>
    <n v="0"/>
    <n v="0"/>
    <n v="0"/>
    <n v="0"/>
    <n v="0"/>
    <n v="0"/>
  </r>
  <r>
    <d v="2024-06-07T00:00:00"/>
    <n v="2024"/>
    <x v="10"/>
    <s v="R"/>
    <s v="RS"/>
    <x v="2"/>
    <s v="MIN"/>
    <s v="H"/>
    <n v="2"/>
    <n v="1"/>
    <n v="1"/>
    <n v="-1"/>
    <n v="8"/>
    <n v="-8"/>
    <n v="1409.916233420101"/>
    <n v="1562.2605221987126"/>
    <n v="0.42523533159344323"/>
    <n v="81"/>
    <n v="80"/>
    <n v="0"/>
    <n v="1"/>
    <n v="1"/>
    <n v="0.21667234267909188"/>
    <n v="1"/>
    <n v="74.349999999999994"/>
    <n v="74.349999999999994"/>
    <n v="9.2592223947861729"/>
    <n v="1419.1754558148871"/>
    <n v="1"/>
    <n v="0"/>
    <n v="0"/>
    <n v="0"/>
    <n v="0"/>
    <n v="0"/>
    <n v="0"/>
    <n v="0"/>
    <n v="0"/>
    <n v="0"/>
  </r>
  <r>
    <d v="2024-06-07T00:00:00"/>
    <n v="2024"/>
    <x v="11"/>
    <s v="R"/>
    <s v="RS"/>
    <x v="0"/>
    <s v="WAS"/>
    <s v="A"/>
    <n v="4"/>
    <n v="0"/>
    <n v="4"/>
    <n v="-4"/>
    <n v="16"/>
    <n v="-16"/>
    <n v="1368.316523118709"/>
    <n v="1376.2657618238704"/>
    <n v="0.41457223844567065"/>
    <n v="85"/>
    <n v="83"/>
    <n v="0"/>
    <n v="2"/>
    <n v="1"/>
    <n v="0.2660787181058476"/>
    <n v="1"/>
    <n v="74.2"/>
    <n v="74.2"/>
    <n v="11.558124230676022"/>
    <n v="1379.874647349385"/>
    <n v="1"/>
    <n v="0"/>
    <n v="0"/>
    <n v="0"/>
    <n v="0"/>
    <n v="0"/>
    <n v="0"/>
    <n v="0"/>
    <n v="0"/>
    <n v="0"/>
  </r>
  <r>
    <d v="2024-06-07T00:00:00"/>
    <n v="2024"/>
    <x v="10"/>
    <s v="R"/>
    <s v="RS"/>
    <x v="7"/>
    <s v="IND"/>
    <s v="H"/>
    <n v="0"/>
    <n v="4"/>
    <n v="-4"/>
    <n v="4"/>
    <n v="-16"/>
    <n v="16"/>
    <n v="1376.2657618238704"/>
    <n v="1368.316523118709"/>
    <n v="0.58542776155432941"/>
    <n v="83"/>
    <n v="85"/>
    <n v="0"/>
    <n v="-2"/>
    <n v="0"/>
    <n v="0.2660787181058476"/>
    <n v="1"/>
    <n v="74.349999999999994"/>
    <n v="74.349999999999994"/>
    <n v="-11.581489710926714"/>
    <n v="1364.6842721129437"/>
    <n v="0"/>
    <n v="1"/>
    <n v="0"/>
    <n v="0"/>
    <n v="0"/>
    <n v="0"/>
    <n v="0"/>
    <n v="0"/>
    <n v="0"/>
    <n v="0"/>
  </r>
  <r>
    <d v="2024-06-08T00:00:00"/>
    <n v="2024"/>
    <x v="8"/>
    <s v="R"/>
    <s v="RS"/>
    <x v="10"/>
    <s v="CHI"/>
    <s v="A"/>
    <n v="1"/>
    <n v="1"/>
    <n v="0"/>
    <n v="0"/>
    <n v="0"/>
    <n v="0"/>
    <n v="1461.1264286479991"/>
    <n v="1495.8144779842535"/>
    <n v="0.33554226823034633"/>
    <n v="89"/>
    <n v="80"/>
    <n v="0"/>
    <n v="9"/>
    <n v="1"/>
    <n v="0.39456592524612416"/>
    <n v="1"/>
    <n v="74.650000000000006"/>
    <n v="74.650000000000006"/>
    <n v="19.571168146294657"/>
    <n v="1480.6975967942938"/>
    <n v="1"/>
    <n v="0"/>
    <n v="0"/>
    <n v="0"/>
    <n v="0"/>
    <n v="0"/>
    <n v="0"/>
    <n v="0"/>
    <n v="0"/>
    <n v="0"/>
  </r>
  <r>
    <d v="2024-06-08T00:00:00"/>
    <n v="2024"/>
    <x v="9"/>
    <s v="R"/>
    <s v="RS"/>
    <x v="8"/>
    <s v="ATL"/>
    <s v="H"/>
    <n v="1"/>
    <n v="1"/>
    <n v="0"/>
    <n v="0"/>
    <n v="0"/>
    <n v="0"/>
    <n v="1495.8144779842535"/>
    <n v="1461.1264286479991"/>
    <n v="0.66445773176965373"/>
    <n v="80"/>
    <n v="89"/>
    <n v="0"/>
    <n v="-9"/>
    <n v="0"/>
    <n v="0.39456592524612416"/>
    <n v="1"/>
    <n v="74.5"/>
    <n v="74.5"/>
    <n v="-19.531842289336264"/>
    <n v="1476.2826356949172"/>
    <n v="0"/>
    <n v="1"/>
    <n v="0"/>
    <n v="0"/>
    <n v="0"/>
    <n v="0"/>
    <n v="0"/>
    <n v="0"/>
    <n v="0"/>
    <n v="0"/>
  </r>
  <r>
    <d v="2024-06-08T00:00:00"/>
    <n v="2024"/>
    <x v="11"/>
    <s v="R"/>
    <s v="RS"/>
    <x v="6"/>
    <s v="CON"/>
    <s v="A"/>
    <n v="1"/>
    <n v="3"/>
    <n v="-2"/>
    <n v="2"/>
    <n v="-16"/>
    <n v="16"/>
    <n v="1645.2322483661374"/>
    <n v="1628.2568823417209"/>
    <n v="0.36122952986880702"/>
    <n v="82"/>
    <n v="75"/>
    <n v="0"/>
    <n v="7"/>
    <n v="1"/>
    <n v="0.36494461546534984"/>
    <n v="1"/>
    <n v="74.2"/>
    <n v="74.2"/>
    <n v="17.297195594574553"/>
    <n v="1662.5294439607119"/>
    <n v="1"/>
    <n v="0"/>
    <n v="0"/>
    <n v="0"/>
    <n v="0"/>
    <n v="0"/>
    <n v="0"/>
    <n v="0"/>
    <n v="0"/>
    <n v="0"/>
  </r>
  <r>
    <d v="2024-06-08T00:00:00"/>
    <n v="2024"/>
    <x v="9"/>
    <s v="R"/>
    <s v="RS"/>
    <x v="1"/>
    <s v="NYL"/>
    <s v="H"/>
    <n v="3"/>
    <n v="1"/>
    <n v="2"/>
    <n v="-2"/>
    <n v="16"/>
    <n v="-16"/>
    <n v="1628.2568823417209"/>
    <n v="1645.2322483661374"/>
    <n v="0.63877047013119304"/>
    <n v="75"/>
    <n v="82"/>
    <n v="0"/>
    <n v="-7"/>
    <n v="0"/>
    <n v="0.36494461546534984"/>
    <n v="1"/>
    <n v="74.5"/>
    <n v="74.5"/>
    <n v="-17.367130347652349"/>
    <n v="1610.8897519940685"/>
    <n v="0"/>
    <n v="1"/>
    <n v="0"/>
    <n v="0"/>
    <n v="0"/>
    <n v="0"/>
    <n v="0"/>
    <n v="0"/>
    <n v="0"/>
    <n v="0"/>
  </r>
  <r>
    <d v="2024-06-09T00:00:00"/>
    <n v="2024"/>
    <x v="11"/>
    <s v="R"/>
    <s v="RS"/>
    <x v="2"/>
    <s v="DAL"/>
    <s v="A"/>
    <n v="1"/>
    <n v="1"/>
    <n v="0"/>
    <n v="0"/>
    <n v="0"/>
    <n v="0"/>
    <n v="1419.1754558148871"/>
    <n v="1488.4266442312662"/>
    <n v="0.29272524868756788"/>
    <n v="97"/>
    <n v="90"/>
    <n v="1"/>
    <n v="7"/>
    <n v="1"/>
    <n v="0.31492249125631583"/>
    <n v="1"/>
    <n v="74.2"/>
    <n v="74.2"/>
    <n v="16.527065120101376"/>
    <n v="1435.7025209349883"/>
    <n v="1"/>
    <n v="0"/>
    <n v="0"/>
    <n v="0"/>
    <n v="0"/>
    <n v="0"/>
    <n v="0"/>
    <n v="0"/>
    <n v="0"/>
    <n v="0"/>
  </r>
  <r>
    <d v="2024-06-09T00:00:00"/>
    <n v="2024"/>
    <x v="9"/>
    <s v="R"/>
    <s v="RS"/>
    <x v="9"/>
    <s v="PHX"/>
    <s v="H"/>
    <n v="1"/>
    <n v="1"/>
    <n v="0"/>
    <n v="0"/>
    <n v="0"/>
    <n v="0"/>
    <n v="1488.4266442312662"/>
    <n v="1419.1754558148871"/>
    <n v="0.70727475131243212"/>
    <n v="90"/>
    <n v="97"/>
    <n v="1"/>
    <n v="-7"/>
    <n v="0"/>
    <n v="0.31492249125631583"/>
    <n v="1"/>
    <n v="74.5"/>
    <n v="74.5"/>
    <n v="-16.593886138107173"/>
    <n v="1471.8327580931591"/>
    <n v="0"/>
    <n v="1"/>
    <n v="0"/>
    <n v="0"/>
    <n v="0"/>
    <n v="0"/>
    <n v="0"/>
    <n v="0"/>
    <n v="0"/>
    <n v="0"/>
  </r>
  <r>
    <d v="2024-06-09T00:00:00"/>
    <n v="2024"/>
    <x v="8"/>
    <s v="R"/>
    <s v="RS"/>
    <x v="3"/>
    <s v="LAS"/>
    <s v="A"/>
    <n v="1"/>
    <n v="1"/>
    <n v="0"/>
    <n v="0"/>
    <n v="0"/>
    <n v="0"/>
    <n v="1623.2288612414202"/>
    <n v="1411.9284363821268"/>
    <n v="0.67541944553422584"/>
    <n v="92"/>
    <n v="96"/>
    <n v="0"/>
    <n v="-4"/>
    <n v="0"/>
    <n v="0.26480490992689598"/>
    <n v="1"/>
    <n v="74.650000000000006"/>
    <n v="74.650000000000006"/>
    <n v="-13.351479872914206"/>
    <n v="1609.8773813685059"/>
    <n v="0"/>
    <n v="1"/>
    <n v="0"/>
    <n v="0"/>
    <n v="0"/>
    <n v="0"/>
    <n v="0"/>
    <n v="0"/>
    <n v="0"/>
    <n v="0"/>
  </r>
  <r>
    <d v="2024-06-09T00:00:00"/>
    <n v="2024"/>
    <x v="10"/>
    <s v="R"/>
    <s v="RS"/>
    <x v="11"/>
    <s v="LVA"/>
    <s v="H"/>
    <n v="1"/>
    <n v="1"/>
    <n v="0"/>
    <n v="0"/>
    <n v="0"/>
    <n v="0"/>
    <n v="1411.9284363821268"/>
    <n v="1623.2288612414202"/>
    <n v="0.32458055446577411"/>
    <n v="96"/>
    <n v="92"/>
    <n v="0"/>
    <n v="4"/>
    <n v="1"/>
    <n v="0.26480490992689598"/>
    <n v="1"/>
    <n v="74.349999999999994"/>
    <n v="74.349999999999994"/>
    <n v="13.297823557282937"/>
    <n v="1425.2262599394098"/>
    <n v="1"/>
    <n v="0"/>
    <n v="0"/>
    <n v="0"/>
    <n v="0"/>
    <n v="0"/>
    <n v="0"/>
    <n v="0"/>
    <n v="0"/>
    <n v="0"/>
  </r>
  <r>
    <d v="2024-06-09T00:00:00"/>
    <n v="2024"/>
    <x v="10"/>
    <s v="R"/>
    <s v="RS"/>
    <x v="5"/>
    <s v="MIN"/>
    <s v="A"/>
    <n v="1"/>
    <n v="1"/>
    <n v="0"/>
    <n v="0"/>
    <n v="0"/>
    <n v="0"/>
    <n v="1529.5164890137912"/>
    <n v="1552.9826194628474"/>
    <n v="0.35009428947500293"/>
    <n v="64"/>
    <n v="83"/>
    <n v="0"/>
    <n v="-19"/>
    <n v="0"/>
    <n v="0.55021799992178033"/>
    <n v="1"/>
    <n v="74.349999999999994"/>
    <n v="74.349999999999994"/>
    <n v="-14.321905163592634"/>
    <n v="1515.1945838501986"/>
    <n v="0"/>
    <n v="1"/>
    <n v="0"/>
    <n v="0"/>
    <n v="0"/>
    <n v="0"/>
    <n v="0"/>
    <n v="0"/>
    <n v="0"/>
    <n v="0"/>
  </r>
  <r>
    <d v="2024-06-09T00:00:00"/>
    <n v="2024"/>
    <x v="10"/>
    <s v="R"/>
    <s v="RS"/>
    <x v="4"/>
    <s v="SEA"/>
    <s v="H"/>
    <n v="1"/>
    <n v="1"/>
    <n v="0"/>
    <n v="0"/>
    <n v="0"/>
    <n v="0"/>
    <n v="1552.9826194628474"/>
    <n v="1529.5164890137912"/>
    <n v="0.64990571052499702"/>
    <n v="83"/>
    <n v="64"/>
    <n v="0"/>
    <n v="19"/>
    <n v="1"/>
    <n v="0.55021799992178033"/>
    <n v="1"/>
    <n v="74.349999999999994"/>
    <n v="74.349999999999994"/>
    <n v="14.321905163592637"/>
    <n v="1567.3045246264401"/>
    <n v="1"/>
    <n v="0"/>
    <n v="0"/>
    <n v="0"/>
    <n v="0"/>
    <n v="0"/>
    <n v="0"/>
    <n v="0"/>
    <n v="0"/>
    <n v="0"/>
  </r>
  <r>
    <d v="2024-06-09T00:00:00"/>
    <n v="2024"/>
    <x v="11"/>
    <s v="R"/>
    <s v="RS"/>
    <x v="7"/>
    <s v="NYL"/>
    <s v="A"/>
    <n v="1"/>
    <n v="0"/>
    <n v="1"/>
    <n v="-1"/>
    <n v="8"/>
    <n v="-8"/>
    <n v="1364.6842721129437"/>
    <n v="1662.5294439607119"/>
    <n v="0.10851752509228535"/>
    <n v="88"/>
    <n v="93"/>
    <n v="0"/>
    <n v="-5"/>
    <n v="0"/>
    <n v="0.26578659666298171"/>
    <n v="1"/>
    <n v="74.2"/>
    <n v="74.2"/>
    <n v="-2.1401137725045638"/>
    <n v="1362.5441583404393"/>
    <n v="0"/>
    <n v="1"/>
    <n v="0"/>
    <n v="0"/>
    <n v="0"/>
    <n v="0"/>
    <n v="0"/>
    <n v="0"/>
    <n v="0"/>
    <n v="0"/>
  </r>
  <r>
    <d v="2024-06-09T00:00:00"/>
    <n v="2024"/>
    <x v="12"/>
    <s v="R"/>
    <s v="RS"/>
    <x v="6"/>
    <s v="WAS"/>
    <s v="H"/>
    <n v="0"/>
    <n v="1"/>
    <n v="-1"/>
    <n v="1"/>
    <n v="-8"/>
    <n v="8"/>
    <n v="1662.5294439607119"/>
    <n v="1364.6842721129437"/>
    <n v="0.89148247490771459"/>
    <n v="93"/>
    <n v="88"/>
    <n v="0"/>
    <n v="5"/>
    <n v="1"/>
    <n v="0.26578659666298171"/>
    <n v="1"/>
    <n v="74.05"/>
    <n v="74.05"/>
    <n v="2.1357873969536794"/>
    <n v="1664.6652313576656"/>
    <n v="1"/>
    <n v="0"/>
    <n v="0"/>
    <n v="0"/>
    <n v="0"/>
    <n v="0"/>
    <n v="0"/>
    <n v="0"/>
    <n v="0"/>
    <n v="0"/>
  </r>
  <r>
    <d v="2024-06-10T00:00:00"/>
    <n v="2024"/>
    <x v="12"/>
    <s v="R"/>
    <s v="RS"/>
    <x v="0"/>
    <s v="CON"/>
    <s v="A"/>
    <n v="2"/>
    <n v="1"/>
    <n v="1"/>
    <n v="-1"/>
    <n v="8"/>
    <n v="-8"/>
    <n v="1379.874647349385"/>
    <n v="1610.8897519940685"/>
    <n v="0.15170774122229697"/>
    <n v="72"/>
    <n v="89"/>
    <n v="0"/>
    <n v="-17"/>
    <n v="0"/>
    <n v="0.44648758830329832"/>
    <n v="1"/>
    <n v="74.05"/>
    <n v="74.05"/>
    <n v="-5.0158229205662979"/>
    <n v="1374.8588244288187"/>
    <n v="0"/>
    <n v="1"/>
    <n v="0"/>
    <n v="0"/>
    <n v="0"/>
    <n v="0"/>
    <n v="0"/>
    <n v="0"/>
    <n v="0"/>
    <n v="0"/>
  </r>
  <r>
    <d v="2024-06-10T00:00:00"/>
    <n v="2024"/>
    <x v="10"/>
    <s v="R"/>
    <s v="RS"/>
    <x v="1"/>
    <s v="IND"/>
    <s v="H"/>
    <n v="1"/>
    <n v="2"/>
    <n v="-1"/>
    <n v="1"/>
    <n v="-8"/>
    <n v="8"/>
    <n v="1610.8897519940685"/>
    <n v="1379.874647349385"/>
    <n v="0.84829225877770298"/>
    <n v="89"/>
    <n v="72"/>
    <n v="0"/>
    <n v="17"/>
    <n v="1"/>
    <n v="0.44648758830329832"/>
    <n v="1"/>
    <n v="74.349999999999994"/>
    <n v="74.349999999999994"/>
    <n v="5.0361436076178849"/>
    <n v="1615.9258956016865"/>
    <n v="1"/>
    <n v="0"/>
    <n v="0"/>
    <n v="0"/>
    <n v="0"/>
    <n v="0"/>
    <n v="0"/>
    <n v="0"/>
    <n v="0"/>
    <n v="0"/>
  </r>
  <r>
    <d v="2024-06-11T00:00:00"/>
    <n v="2024"/>
    <x v="12"/>
    <s v="R"/>
    <s v="RS"/>
    <x v="7"/>
    <s v="ATL"/>
    <s v="A"/>
    <n v="1"/>
    <n v="2"/>
    <n v="-1"/>
    <n v="1"/>
    <n v="-8"/>
    <n v="8"/>
    <n v="1362.5441583404393"/>
    <n v="1480.6975967942938"/>
    <n v="0.2216991025595702"/>
    <n v="87"/>
    <n v="68"/>
    <n v="0"/>
    <n v="19"/>
    <n v="1"/>
    <n v="0.51069402668123898"/>
    <n v="1"/>
    <n v="74.05"/>
    <n v="74.05"/>
    <n v="29.432921507941323"/>
    <n v="1391.9770798483805"/>
    <n v="1"/>
    <n v="0"/>
    <n v="0"/>
    <n v="0"/>
    <n v="0"/>
    <n v="0"/>
    <n v="0"/>
    <n v="0"/>
    <n v="0"/>
    <n v="0"/>
  </r>
  <r>
    <d v="2024-06-11T00:00:00"/>
    <n v="2024"/>
    <x v="9"/>
    <s v="R"/>
    <s v="RS"/>
    <x v="10"/>
    <s v="WAS"/>
    <s v="H"/>
    <n v="2"/>
    <n v="1"/>
    <n v="1"/>
    <n v="-1"/>
    <n v="8"/>
    <n v="-8"/>
    <n v="1480.6975967942938"/>
    <n v="1362.5441583404393"/>
    <n v="0.77830089744042985"/>
    <n v="68"/>
    <n v="87"/>
    <n v="0"/>
    <n v="-19"/>
    <n v="0"/>
    <n v="0.51069402668123898"/>
    <n v="1"/>
    <n v="74.5"/>
    <n v="74.5"/>
    <n v="-29.6117846366189"/>
    <n v="1451.0858121576748"/>
    <n v="0"/>
    <n v="1"/>
    <n v="0"/>
    <n v="0"/>
    <n v="0"/>
    <n v="0"/>
    <n v="0"/>
    <n v="0"/>
    <n v="0"/>
    <n v="0"/>
  </r>
  <r>
    <d v="2024-06-11T00:00:00"/>
    <n v="2024"/>
    <x v="11"/>
    <s v="R"/>
    <s v="RS"/>
    <x v="4"/>
    <s v="LVA"/>
    <s v="A"/>
    <n v="1"/>
    <n v="1"/>
    <n v="0"/>
    <n v="0"/>
    <n v="0"/>
    <n v="0"/>
    <n v="1567.3045246264401"/>
    <n v="1609.8773813685059"/>
    <n v="0.32549940309266184"/>
    <n v="100"/>
    <n v="86"/>
    <n v="0"/>
    <n v="14"/>
    <n v="1"/>
    <n v="0.47090174315821481"/>
    <n v="1"/>
    <n v="74.2"/>
    <n v="74.2"/>
    <n v="23.567664207893205"/>
    <n v="1590.8721888343332"/>
    <n v="1"/>
    <n v="0"/>
    <n v="0"/>
    <n v="0"/>
    <n v="0"/>
    <n v="0"/>
    <n v="0"/>
    <n v="0"/>
    <n v="0"/>
    <n v="0"/>
  </r>
  <r>
    <d v="2024-06-11T00:00:00"/>
    <n v="2024"/>
    <x v="9"/>
    <s v="R"/>
    <s v="RS"/>
    <x v="3"/>
    <s v="MIN"/>
    <s v="H"/>
    <n v="1"/>
    <n v="1"/>
    <n v="0"/>
    <n v="0"/>
    <n v="0"/>
    <n v="0"/>
    <n v="1609.8773813685059"/>
    <n v="1567.3045246264401"/>
    <n v="0.6745005969073381"/>
    <n v="86"/>
    <n v="100"/>
    <n v="0"/>
    <n v="-14"/>
    <n v="0"/>
    <n v="0.47090174315821481"/>
    <n v="1"/>
    <n v="74.5"/>
    <n v="74.5"/>
    <n v="-23.662951259946681"/>
    <n v="1586.2144301085591"/>
    <n v="0"/>
    <n v="1"/>
    <n v="0"/>
    <n v="0"/>
    <n v="0"/>
    <n v="0"/>
    <n v="0"/>
    <n v="0"/>
    <n v="0"/>
    <n v="0"/>
  </r>
  <r>
    <d v="2024-06-11T00:00:00"/>
    <n v="2024"/>
    <x v="11"/>
    <s v="R"/>
    <s v="RS"/>
    <x v="11"/>
    <s v="SEA"/>
    <s v="A"/>
    <n v="1"/>
    <n v="1"/>
    <n v="0"/>
    <n v="0"/>
    <n v="0"/>
    <n v="0"/>
    <n v="1425.2262599394098"/>
    <n v="1515.1945838501986"/>
    <n v="0.2686579674075884"/>
    <n v="79"/>
    <n v="95"/>
    <n v="0"/>
    <n v="-16"/>
    <n v="0"/>
    <n v="0.48167325291550722"/>
    <n v="1"/>
    <n v="74.2"/>
    <n v="74.2"/>
    <n v="-9.6018774955498021"/>
    <n v="1415.62438244386"/>
    <n v="0"/>
    <n v="1"/>
    <n v="0"/>
    <n v="0"/>
    <n v="0"/>
    <n v="0"/>
    <n v="0"/>
    <n v="0"/>
    <n v="0"/>
    <n v="0"/>
  </r>
  <r>
    <d v="2024-06-11T00:00:00"/>
    <n v="2024"/>
    <x v="11"/>
    <s v="R"/>
    <s v="RS"/>
    <x v="5"/>
    <s v="LAS"/>
    <s v="H"/>
    <n v="1"/>
    <n v="1"/>
    <n v="0"/>
    <n v="0"/>
    <n v="0"/>
    <n v="0"/>
    <n v="1515.1945838501986"/>
    <n v="1425.2262599394098"/>
    <n v="0.7313420325924116"/>
    <n v="95"/>
    <n v="79"/>
    <n v="0"/>
    <n v="16"/>
    <n v="1"/>
    <n v="0.48167325291550722"/>
    <n v="1"/>
    <n v="74.2"/>
    <n v="74.2"/>
    <n v="9.6018774955498021"/>
    <n v="1524.7964613457484"/>
    <n v="1"/>
    <n v="0"/>
    <n v="0"/>
    <n v="0"/>
    <n v="0"/>
    <n v="0"/>
    <n v="0"/>
    <n v="0"/>
    <n v="0"/>
    <n v="0"/>
  </r>
  <r>
    <d v="2024-06-12T00:00:00"/>
    <n v="2024"/>
    <x v="11"/>
    <s v="R"/>
    <s v="RS"/>
    <x v="1"/>
    <s v="CHI"/>
    <s v="A"/>
    <n v="1"/>
    <n v="3"/>
    <n v="-2"/>
    <n v="2"/>
    <n v="-16"/>
    <n v="16"/>
    <n v="1615.9258956016865"/>
    <n v="1476.2826356949172"/>
    <n v="0.53397296043475195"/>
    <n v="83"/>
    <n v="75"/>
    <n v="0"/>
    <n v="8"/>
    <n v="1"/>
    <n v="0.34783785799514694"/>
    <n v="1"/>
    <n v="74.2"/>
    <n v="74.2"/>
    <n v="12.027957062996505"/>
    <n v="1627.9538526646829"/>
    <n v="1"/>
    <n v="0"/>
    <n v="0"/>
    <n v="0"/>
    <n v="0"/>
    <n v="0"/>
    <n v="0"/>
    <n v="0"/>
    <n v="0"/>
    <n v="0"/>
  </r>
  <r>
    <d v="2024-06-12T00:00:00"/>
    <n v="2024"/>
    <x v="10"/>
    <s v="R"/>
    <s v="RS"/>
    <x v="8"/>
    <s v="CON"/>
    <s v="H"/>
    <n v="3"/>
    <n v="1"/>
    <n v="2"/>
    <n v="-2"/>
    <n v="16"/>
    <n v="-16"/>
    <n v="1476.2826356949172"/>
    <n v="1615.9258956016865"/>
    <n v="0.46602703956524805"/>
    <n v="75"/>
    <n v="83"/>
    <n v="0"/>
    <n v="-8"/>
    <n v="0"/>
    <n v="0.34783785799514694"/>
    <n v="1"/>
    <n v="74.349999999999994"/>
    <n v="74.349999999999994"/>
    <n v="-12.052272340078032"/>
    <n v="1464.2303633548393"/>
    <n v="0"/>
    <n v="1"/>
    <n v="0"/>
    <n v="0"/>
    <n v="0"/>
    <n v="0"/>
    <n v="0"/>
    <n v="0"/>
    <n v="0"/>
    <n v="0"/>
  </r>
  <r>
    <d v="2024-06-13T00:00:00"/>
    <n v="2024"/>
    <x v="12"/>
    <s v="R"/>
    <s v="RS"/>
    <x v="5"/>
    <s v="DAL"/>
    <s v="A"/>
    <n v="1"/>
    <n v="3"/>
    <n v="-2"/>
    <n v="2"/>
    <n v="-16"/>
    <n v="16"/>
    <n v="1524.7964613457484"/>
    <n v="1471.8327580931591"/>
    <n v="0.41026594312785625"/>
    <n v="92"/>
    <n v="84"/>
    <n v="0"/>
    <n v="8"/>
    <n v="1"/>
    <n v="0.37190114988484096"/>
    <n v="1"/>
    <n v="74.05"/>
    <n v="74.05"/>
    <n v="16.240851405592032"/>
    <n v="1541.0373127513406"/>
    <n v="1"/>
    <n v="0"/>
    <n v="0"/>
    <n v="0"/>
    <n v="0"/>
    <n v="0"/>
    <n v="0"/>
    <n v="0"/>
    <n v="0"/>
    <n v="0"/>
  </r>
  <r>
    <d v="2024-06-13T00:00:00"/>
    <n v="2024"/>
    <x v="10"/>
    <s v="R"/>
    <s v="RS"/>
    <x v="9"/>
    <s v="SEA"/>
    <s v="H"/>
    <n v="3"/>
    <n v="1"/>
    <n v="2"/>
    <n v="-2"/>
    <n v="16"/>
    <n v="-16"/>
    <n v="1471.8327580931591"/>
    <n v="1524.7964613457484"/>
    <n v="0.58973405687214375"/>
    <n v="84"/>
    <n v="92"/>
    <n v="0"/>
    <n v="-8"/>
    <n v="0"/>
    <n v="0.37190114988484096"/>
    <n v="1"/>
    <n v="74.349999999999994"/>
    <n v="74.349999999999994"/>
    <n v="-16.30664823775513"/>
    <n v="1455.526109855404"/>
    <n v="0"/>
    <n v="1"/>
    <n v="0"/>
    <n v="0"/>
    <n v="0"/>
    <n v="0"/>
    <n v="0"/>
    <n v="0"/>
    <n v="0"/>
    <n v="0"/>
  </r>
  <r>
    <d v="2024-06-13T00:00:00"/>
    <n v="2024"/>
    <x v="10"/>
    <s v="R"/>
    <s v="RS"/>
    <x v="10"/>
    <s v="IND"/>
    <s v="A"/>
    <n v="1"/>
    <n v="2"/>
    <n v="-1"/>
    <n v="1"/>
    <n v="-8"/>
    <n v="8"/>
    <n v="1451.0858121576748"/>
    <n v="1374.8588244288187"/>
    <n v="0.4658411776881588"/>
    <n v="84"/>
    <n v="91"/>
    <n v="0"/>
    <n v="-7"/>
    <n v="0"/>
    <n v="0.34800126564863271"/>
    <n v="1"/>
    <n v="74.349999999999994"/>
    <n v="74.349999999999994"/>
    <n v="-12.053125299377291"/>
    <n v="1439.0326868582974"/>
    <n v="0"/>
    <n v="1"/>
    <n v="0"/>
    <n v="0"/>
    <n v="0"/>
    <n v="0"/>
    <n v="0"/>
    <n v="0"/>
    <n v="0"/>
    <n v="0"/>
  </r>
  <r>
    <d v="2024-06-13T00:00:00"/>
    <n v="2024"/>
    <x v="13"/>
    <s v="R"/>
    <s v="RS"/>
    <x v="0"/>
    <s v="ATL"/>
    <s v="H"/>
    <n v="2"/>
    <n v="1"/>
    <n v="1"/>
    <n v="-1"/>
    <n v="8"/>
    <n v="-8"/>
    <n v="1374.8588244288187"/>
    <n v="1451.0858121576748"/>
    <n v="0.5341588223118412"/>
    <n v="91"/>
    <n v="84"/>
    <n v="0"/>
    <n v="7"/>
    <n v="1"/>
    <n v="0.34800126564863271"/>
    <n v="1"/>
    <n v="73.900000000000006"/>
    <n v="73.900000000000006"/>
    <n v="11.980174305635265"/>
    <n v="1386.838998734454"/>
    <n v="1"/>
    <n v="0"/>
    <n v="0"/>
    <n v="0"/>
    <n v="0"/>
    <n v="0"/>
    <n v="0"/>
    <n v="0"/>
    <n v="0"/>
    <n v="0"/>
  </r>
  <r>
    <d v="2024-06-13T00:00:00"/>
    <n v="2024"/>
    <x v="10"/>
    <s v="R"/>
    <s v="RS"/>
    <x v="3"/>
    <s v="PHX"/>
    <s v="A"/>
    <n v="1"/>
    <n v="3"/>
    <n v="-2"/>
    <n v="2"/>
    <n v="-16"/>
    <n v="16"/>
    <n v="1586.2144301085591"/>
    <n v="1435.7025209349883"/>
    <n v="0.54950391677593491"/>
    <n v="103"/>
    <n v="99"/>
    <n v="0"/>
    <n v="4"/>
    <n v="1"/>
    <n v="0.27672416610775996"/>
    <n v="1"/>
    <n v="74.349999999999994"/>
    <n v="74.349999999999994"/>
    <n v="9.2687054229471126"/>
    <n v="1595.4831355315062"/>
    <n v="1"/>
    <n v="0"/>
    <n v="0"/>
    <n v="0"/>
    <n v="0"/>
    <n v="0"/>
    <n v="0"/>
    <n v="0"/>
    <n v="0"/>
    <n v="0"/>
  </r>
  <r>
    <d v="2024-06-13T00:00:00"/>
    <n v="2024"/>
    <x v="12"/>
    <s v="R"/>
    <s v="RS"/>
    <x v="2"/>
    <s v="LVA"/>
    <s v="H"/>
    <n v="3"/>
    <n v="1"/>
    <n v="2"/>
    <n v="-2"/>
    <n v="16"/>
    <n v="-16"/>
    <n v="1435.7025209349883"/>
    <n v="1586.2144301085591"/>
    <n v="0.45049608322406498"/>
    <n v="99"/>
    <n v="103"/>
    <n v="0"/>
    <n v="-4"/>
    <n v="0"/>
    <n v="0.27672416610775996"/>
    <n v="1"/>
    <n v="74.05"/>
    <n v="74.05"/>
    <n v="-9.231306477057613"/>
    <n v="1426.4712144579307"/>
    <n v="0"/>
    <n v="1"/>
    <n v="0"/>
    <n v="0"/>
    <n v="0"/>
    <n v="0"/>
    <n v="0"/>
    <n v="0"/>
    <n v="0"/>
    <n v="0"/>
  </r>
  <r>
    <d v="2024-06-14T00:00:00"/>
    <n v="2024"/>
    <x v="12"/>
    <s v="R"/>
    <s v="RS"/>
    <x v="11"/>
    <s v="MIN"/>
    <s v="A"/>
    <n v="2"/>
    <n v="2"/>
    <n v="0"/>
    <n v="0"/>
    <n v="0"/>
    <n v="0"/>
    <n v="1415.62438244386"/>
    <n v="1590.8721888343332"/>
    <n v="0.18356921689665315"/>
    <n v="76"/>
    <n v="81"/>
    <n v="0"/>
    <n v="-5"/>
    <n v="0"/>
    <n v="0.28948031671352686"/>
    <n v="1"/>
    <n v="74.05"/>
    <n v="74.05"/>
    <n v="-3.9349929371635017"/>
    <n v="1411.6893895066964"/>
    <n v="0"/>
    <n v="1"/>
    <n v="0"/>
    <n v="0"/>
    <n v="0"/>
    <n v="0"/>
    <n v="0"/>
    <n v="0"/>
    <n v="0"/>
    <n v="0"/>
  </r>
  <r>
    <d v="2024-06-14T00:00:00"/>
    <n v="2024"/>
    <x v="12"/>
    <s v="R"/>
    <s v="RS"/>
    <x v="4"/>
    <s v="LAS"/>
    <s v="H"/>
    <n v="2"/>
    <n v="2"/>
    <n v="0"/>
    <n v="0"/>
    <n v="0"/>
    <n v="0"/>
    <n v="1590.8721888343332"/>
    <n v="1415.62438244386"/>
    <n v="0.81643078310334694"/>
    <n v="81"/>
    <n v="76"/>
    <n v="0"/>
    <n v="5"/>
    <n v="1"/>
    <n v="0.28948031671352686"/>
    <n v="1"/>
    <n v="74.05"/>
    <n v="74.05"/>
    <n v="3.9349929371635"/>
    <n v="1594.8071817714967"/>
    <n v="1"/>
    <n v="0"/>
    <n v="0"/>
    <n v="0"/>
    <n v="0"/>
    <n v="0"/>
    <n v="0"/>
    <n v="0"/>
    <n v="0"/>
    <n v="0"/>
  </r>
  <r>
    <d v="2024-06-14T00:00:00"/>
    <n v="2024"/>
    <x v="11"/>
    <s v="R"/>
    <s v="RS"/>
    <x v="8"/>
    <s v="WAS"/>
    <s v="A"/>
    <n v="1"/>
    <n v="2"/>
    <n v="-1"/>
    <n v="1"/>
    <n v="-8"/>
    <n v="8"/>
    <n v="1464.2303633548393"/>
    <n v="1391.9770798483805"/>
    <n v="0.46015393993181158"/>
    <n v="81"/>
    <n v="83"/>
    <n v="0"/>
    <n v="-2"/>
    <n v="0"/>
    <n v="0.25263018703773082"/>
    <n v="1"/>
    <n v="74.2"/>
    <n v="74.2"/>
    <n v="-8.6256591726052765"/>
    <n v="1455.6047041822339"/>
    <n v="0"/>
    <n v="1"/>
    <n v="0"/>
    <n v="0"/>
    <n v="0"/>
    <n v="0"/>
    <n v="0"/>
    <n v="0"/>
    <n v="0"/>
    <n v="0"/>
  </r>
  <r>
    <d v="2024-06-14T00:00:00"/>
    <n v="2024"/>
    <x v="13"/>
    <s v="R"/>
    <s v="RS"/>
    <x v="7"/>
    <s v="CHI"/>
    <s v="H"/>
    <n v="2"/>
    <n v="1"/>
    <n v="1"/>
    <n v="-1"/>
    <n v="8"/>
    <n v="-8"/>
    <n v="1391.9770798483805"/>
    <n v="1464.2303633548393"/>
    <n v="0.53984606006818836"/>
    <n v="83"/>
    <n v="81"/>
    <n v="0"/>
    <n v="2"/>
    <n v="1"/>
    <n v="0.25263018703773082"/>
    <n v="1"/>
    <n v="73.900000000000006"/>
    <n v="73.900000000000006"/>
    <n v="8.590784539831942"/>
    <n v="1400.5678643882125"/>
    <n v="1"/>
    <n v="0"/>
    <n v="0"/>
    <n v="0"/>
    <n v="0"/>
    <n v="0"/>
    <n v="0"/>
    <n v="0"/>
    <n v="0"/>
    <n v="0"/>
  </r>
  <r>
    <d v="2024-06-15T00:00:00"/>
    <n v="2024"/>
    <x v="12"/>
    <s v="R"/>
    <s v="RS"/>
    <x v="1"/>
    <s v="DAL"/>
    <s v="A"/>
    <n v="2"/>
    <n v="1"/>
    <n v="1"/>
    <n v="-1"/>
    <n v="8"/>
    <n v="-8"/>
    <n v="1627.9538526646829"/>
    <n v="1455.526109855404"/>
    <n v="0.6459157983870214"/>
    <n v="85"/>
    <n v="67"/>
    <n v="0"/>
    <n v="18"/>
    <n v="1"/>
    <n v="0.47813134206131769"/>
    <n v="1"/>
    <n v="74.05"/>
    <n v="74.05"/>
    <n v="12.536572772200346"/>
    <n v="1640.4904254368832"/>
    <n v="1"/>
    <n v="0"/>
    <n v="0"/>
    <n v="0"/>
    <n v="0"/>
    <n v="0"/>
    <n v="0"/>
    <n v="0"/>
    <n v="0"/>
    <n v="0"/>
  </r>
  <r>
    <d v="2024-06-15T00:00:00"/>
    <n v="2024"/>
    <x v="11"/>
    <s v="R"/>
    <s v="RS"/>
    <x v="9"/>
    <s v="CON"/>
    <s v="H"/>
    <n v="1"/>
    <n v="2"/>
    <n v="-1"/>
    <n v="1"/>
    <n v="-8"/>
    <n v="8"/>
    <n v="1455.526109855404"/>
    <n v="1627.9538526646829"/>
    <n v="0.35408420161297866"/>
    <n v="67"/>
    <n v="85"/>
    <n v="0"/>
    <n v="-18"/>
    <n v="0"/>
    <n v="0.47813134206131769"/>
    <n v="1"/>
    <n v="74.2"/>
    <n v="74.2"/>
    <n v="-12.561967585378337"/>
    <n v="1442.9641422700256"/>
    <n v="0"/>
    <n v="1"/>
    <n v="0"/>
    <n v="0"/>
    <n v="0"/>
    <n v="0"/>
    <n v="0"/>
    <n v="0"/>
    <n v="0"/>
    <n v="0"/>
  </r>
  <r>
    <d v="2024-06-15T00:00:00"/>
    <n v="2024"/>
    <x v="13"/>
    <s v="R"/>
    <s v="RS"/>
    <x v="6"/>
    <s v="LVA"/>
    <s v="A"/>
    <n v="5"/>
    <n v="1"/>
    <n v="4"/>
    <n v="-4"/>
    <n v="16"/>
    <n v="-16"/>
    <n v="1664.6652313576656"/>
    <n v="1595.4831355315062"/>
    <n v="0.52470688495656104"/>
    <n v="90"/>
    <n v="82"/>
    <n v="0"/>
    <n v="8"/>
    <n v="1"/>
    <n v="0.36714876733293594"/>
    <n v="1"/>
    <n v="73.900000000000006"/>
    <n v="73.900000000000006"/>
    <n v="12.895792488811212"/>
    <n v="1677.5610238464767"/>
    <n v="1"/>
    <n v="0"/>
    <n v="0"/>
    <n v="0"/>
    <n v="0"/>
    <n v="0"/>
    <n v="0"/>
    <n v="0"/>
    <n v="0"/>
    <n v="0"/>
  </r>
  <r>
    <d v="2024-06-15T00:00:00"/>
    <n v="2024"/>
    <x v="11"/>
    <s v="R"/>
    <s v="RS"/>
    <x v="3"/>
    <s v="NYL"/>
    <s v="H"/>
    <n v="1"/>
    <n v="5"/>
    <n v="-4"/>
    <n v="4"/>
    <n v="-16"/>
    <n v="16"/>
    <n v="1595.4831355315062"/>
    <n v="1664.6652313576656"/>
    <n v="0.47529311504343891"/>
    <n v="82"/>
    <n v="90"/>
    <n v="0"/>
    <n v="-8"/>
    <n v="0"/>
    <n v="0.36714876733293594"/>
    <n v="1"/>
    <n v="74.2"/>
    <n v="74.2"/>
    <n v="-12.948143473204219"/>
    <n v="1582.5349920583019"/>
    <n v="0"/>
    <n v="1"/>
    <n v="0"/>
    <n v="0"/>
    <n v="0"/>
    <n v="0"/>
    <n v="0"/>
    <n v="0"/>
    <n v="0"/>
    <n v="0"/>
  </r>
  <r>
    <d v="2024-06-16T00:00:00"/>
    <n v="2024"/>
    <x v="13"/>
    <s v="R"/>
    <s v="RS"/>
    <x v="11"/>
    <s v="ATL"/>
    <s v="A"/>
    <n v="1"/>
    <n v="2"/>
    <n v="-1"/>
    <n v="1"/>
    <n v="-8"/>
    <n v="8"/>
    <n v="1411.6893895066964"/>
    <n v="1439.0326868582974"/>
    <n v="0.32452645266974017"/>
    <n v="74"/>
    <n v="87"/>
    <n v="0"/>
    <n v="-13"/>
    <n v="0"/>
    <n v="0.46152735587447263"/>
    <n v="1"/>
    <n v="73.900000000000006"/>
    <n v="73.900000000000006"/>
    <n v="-11.068582051725867"/>
    <n v="1400.6208074549706"/>
    <n v="0"/>
    <n v="1"/>
    <n v="0"/>
    <n v="0"/>
    <n v="0"/>
    <n v="0"/>
    <n v="0"/>
    <n v="0"/>
    <n v="0"/>
    <n v="0"/>
  </r>
  <r>
    <d v="2024-06-16T00:00:00"/>
    <n v="2024"/>
    <x v="11"/>
    <s v="R"/>
    <s v="RS"/>
    <x v="10"/>
    <s v="LAS"/>
    <s v="H"/>
    <n v="2"/>
    <n v="1"/>
    <n v="1"/>
    <n v="-1"/>
    <n v="8"/>
    <n v="-8"/>
    <n v="1439.0326868582974"/>
    <n v="1411.6893895066964"/>
    <n v="0.67547354733025988"/>
    <n v="87"/>
    <n v="74"/>
    <n v="0"/>
    <n v="13"/>
    <n v="1"/>
    <n v="0.46152735587447263"/>
    <n v="1"/>
    <n v="74.2"/>
    <n v="74.2"/>
    <n v="11.113515402409462"/>
    <n v="1450.146202260707"/>
    <n v="1"/>
    <n v="0"/>
    <n v="0"/>
    <n v="0"/>
    <n v="0"/>
    <n v="0"/>
    <n v="0"/>
    <n v="0"/>
    <n v="0"/>
    <n v="0"/>
  </r>
  <r>
    <d v="2024-06-16T00:00:00"/>
    <n v="2024"/>
    <x v="12"/>
    <s v="R"/>
    <s v="RS"/>
    <x v="8"/>
    <s v="IND"/>
    <s v="A"/>
    <n v="1"/>
    <n v="2"/>
    <n v="-1"/>
    <n v="1"/>
    <n v="-8"/>
    <n v="8"/>
    <n v="1455.6047041822339"/>
    <n v="1386.838998734454"/>
    <n v="0.4551709402030894"/>
    <n v="83"/>
    <n v="91"/>
    <n v="0"/>
    <n v="-8"/>
    <n v="0"/>
    <n v="0.36726926019737488"/>
    <n v="1"/>
    <n v="74.05"/>
    <n v="74.05"/>
    <n v="-12.37896030563177"/>
    <n v="1443.2257438766021"/>
    <n v="0"/>
    <n v="1"/>
    <n v="0"/>
    <n v="0"/>
    <n v="0"/>
    <n v="0"/>
    <n v="0"/>
    <n v="0"/>
    <n v="0"/>
    <n v="0"/>
  </r>
  <r>
    <d v="2024-06-16T00:00:00"/>
    <n v="2024"/>
    <x v="14"/>
    <s v="R"/>
    <s v="RS"/>
    <x v="0"/>
    <s v="CHI"/>
    <s v="H"/>
    <n v="2"/>
    <n v="1"/>
    <n v="1"/>
    <n v="-1"/>
    <n v="8"/>
    <n v="-8"/>
    <n v="1386.838998734454"/>
    <n v="1455.6047041822339"/>
    <n v="0.54482905979691054"/>
    <n v="91"/>
    <n v="83"/>
    <n v="0"/>
    <n v="8"/>
    <n v="1"/>
    <n v="0.36726926019737488"/>
    <n v="1"/>
    <n v="73.75"/>
    <n v="73.75"/>
    <n v="12.328809217290253"/>
    <n v="1399.1678079517442"/>
    <n v="1"/>
    <n v="0"/>
    <n v="0"/>
    <n v="0"/>
    <n v="0"/>
    <n v="0"/>
    <n v="0"/>
    <n v="0"/>
    <n v="0"/>
    <n v="0"/>
  </r>
  <r>
    <d v="2024-06-16T00:00:00"/>
    <n v="2024"/>
    <x v="13"/>
    <s v="R"/>
    <s v="RS"/>
    <x v="5"/>
    <s v="PHX"/>
    <s v="A"/>
    <n v="2"/>
    <n v="2"/>
    <n v="0"/>
    <n v="0"/>
    <n v="0"/>
    <n v="0"/>
    <n v="1541.0373127513406"/>
    <n v="1426.4712144579307"/>
    <n v="0.54387501474043143"/>
    <n v="78"/>
    <n v="87"/>
    <n v="0"/>
    <n v="-9"/>
    <n v="0"/>
    <n v="0.37059059503294484"/>
    <n v="1"/>
    <n v="73.900000000000006"/>
    <n v="73.900000000000006"/>
    <n v="-14.894911938345782"/>
    <n v="1526.1424008129948"/>
    <n v="0"/>
    <n v="1"/>
    <n v="0"/>
    <n v="0"/>
    <n v="0"/>
    <n v="0"/>
    <n v="0"/>
    <n v="0"/>
    <n v="0"/>
    <n v="0"/>
  </r>
  <r>
    <d v="2024-06-16T00:00:00"/>
    <n v="2024"/>
    <x v="13"/>
    <s v="R"/>
    <s v="RS"/>
    <x v="2"/>
    <s v="SEA"/>
    <s v="H"/>
    <n v="2"/>
    <n v="2"/>
    <n v="0"/>
    <n v="0"/>
    <n v="0"/>
    <n v="0"/>
    <n v="1426.4712144579307"/>
    <n v="1541.0373127513406"/>
    <n v="0.45612498525956857"/>
    <n v="87"/>
    <n v="78"/>
    <n v="0"/>
    <n v="9"/>
    <n v="1"/>
    <n v="0.37059059503294484"/>
    <n v="1"/>
    <n v="73.900000000000006"/>
    <n v="73.900000000000006"/>
    <n v="14.894911938345782"/>
    <n v="1441.3661263962765"/>
    <n v="1"/>
    <n v="0"/>
    <n v="0"/>
    <n v="0"/>
    <n v="0"/>
    <n v="0"/>
    <n v="0"/>
    <n v="0"/>
    <n v="0"/>
    <n v="0"/>
  </r>
  <r>
    <d v="2024-06-17T00:00:00"/>
    <n v="2024"/>
    <x v="12"/>
    <s v="R"/>
    <s v="RS"/>
    <x v="9"/>
    <s v="MIN"/>
    <s v="A"/>
    <n v="1"/>
    <n v="2"/>
    <n v="-1"/>
    <n v="1"/>
    <n v="-8"/>
    <n v="8"/>
    <n v="1442.9641422700256"/>
    <n v="1594.8071817714967"/>
    <n v="0.19004388141134512"/>
    <n v="78"/>
    <n v="90"/>
    <n v="0"/>
    <n v="-12"/>
    <n v="0"/>
    <n v="0.40489562449032623"/>
    <n v="1"/>
    <n v="74.05"/>
    <n v="74.05"/>
    <n v="-5.6979946641035246"/>
    <n v="1437.266147605922"/>
    <n v="0"/>
    <n v="1"/>
    <n v="0"/>
    <n v="0"/>
    <n v="0"/>
    <n v="0"/>
    <n v="0"/>
    <n v="0"/>
    <n v="0"/>
    <n v="0"/>
  </r>
  <r>
    <d v="2024-06-17T00:00:00"/>
    <n v="2024"/>
    <x v="13"/>
    <s v="R"/>
    <s v="RS"/>
    <x v="4"/>
    <s v="DAL"/>
    <s v="H"/>
    <n v="2"/>
    <n v="1"/>
    <n v="1"/>
    <n v="-1"/>
    <n v="8"/>
    <n v="-8"/>
    <n v="1594.8071817714967"/>
    <n v="1442.9641422700256"/>
    <n v="0.80995611858865491"/>
    <n v="90"/>
    <n v="78"/>
    <n v="0"/>
    <n v="12"/>
    <n v="1"/>
    <n v="0.40489562449032623"/>
    <n v="1"/>
    <n v="73.900000000000006"/>
    <n v="73.900000000000006"/>
    <n v="5.686452473696832"/>
    <n v="1600.4936342451936"/>
    <n v="1"/>
    <n v="0"/>
    <n v="0"/>
    <n v="0"/>
    <n v="0"/>
    <n v="0"/>
    <n v="0"/>
    <n v="0"/>
    <n v="0"/>
    <n v="0"/>
  </r>
  <r>
    <d v="2024-06-18T00:00:00"/>
    <n v="2024"/>
    <x v="14"/>
    <s v="R"/>
    <s v="RS"/>
    <x v="11"/>
    <s v="CON"/>
    <s v="A"/>
    <n v="1"/>
    <n v="2"/>
    <n v="-1"/>
    <n v="1"/>
    <n v="-8"/>
    <n v="8"/>
    <n v="1400.6208074549706"/>
    <n v="1640.4904254368832"/>
    <n v="0.12385210116087987"/>
    <n v="70"/>
    <n v="79"/>
    <n v="0"/>
    <n v="-9"/>
    <n v="0"/>
    <n v="0.33834024031946142"/>
    <n v="1"/>
    <n v="73.75"/>
    <n v="73.75"/>
    <n v="-3.0904310382246227"/>
    <n v="1397.5303764167461"/>
    <n v="0"/>
    <n v="1"/>
    <n v="0"/>
    <n v="0"/>
    <n v="0"/>
    <n v="0"/>
    <n v="0"/>
    <n v="0"/>
    <n v="0"/>
    <n v="0"/>
  </r>
  <r>
    <d v="2024-06-18T00:00:00"/>
    <n v="2024"/>
    <x v="13"/>
    <s v="R"/>
    <s v="RS"/>
    <x v="1"/>
    <s v="LAS"/>
    <s v="H"/>
    <n v="2"/>
    <n v="1"/>
    <n v="1"/>
    <n v="-1"/>
    <n v="8"/>
    <n v="-8"/>
    <n v="1640.4904254368832"/>
    <n v="1400.6208074549706"/>
    <n v="0.87614789883912025"/>
    <n v="79"/>
    <n v="70"/>
    <n v="0"/>
    <n v="9"/>
    <n v="1"/>
    <n v="0.33834024031946142"/>
    <n v="1"/>
    <n v="73.900000000000006"/>
    <n v="73.900000000000006"/>
    <n v="3.0967166606752459"/>
    <n v="1643.5871420975584"/>
    <n v="1"/>
    <n v="0"/>
    <n v="0"/>
    <n v="0"/>
    <n v="0"/>
    <n v="0"/>
    <n v="0"/>
    <n v="0"/>
    <n v="0"/>
    <n v="0"/>
  </r>
  <r>
    <d v="2024-06-18T00:00:00"/>
    <n v="2024"/>
    <x v="14"/>
    <s v="R"/>
    <s v="RS"/>
    <x v="6"/>
    <s v="PHX"/>
    <s v="A"/>
    <n v="2"/>
    <n v="1"/>
    <n v="1"/>
    <n v="-1"/>
    <n v="8"/>
    <n v="-8"/>
    <n v="1677.5610238464767"/>
    <n v="1441.3661263962765"/>
    <n v="0.72476210209292768"/>
    <n v="93"/>
    <n v="99"/>
    <n v="0"/>
    <n v="-6"/>
    <n v="0"/>
    <n v="0.29350954669006313"/>
    <n v="1"/>
    <n v="73.75"/>
    <n v="73.75"/>
    <n v="-15.688438958203143"/>
    <n v="1661.8725848882736"/>
    <n v="0"/>
    <n v="1"/>
    <n v="0"/>
    <n v="0"/>
    <n v="0"/>
    <n v="0"/>
    <n v="0"/>
    <n v="0"/>
    <n v="0"/>
    <n v="0"/>
  </r>
  <r>
    <d v="2024-06-18T00:00:00"/>
    <n v="2024"/>
    <x v="14"/>
    <s v="R"/>
    <s v="RS"/>
    <x v="2"/>
    <s v="NYL"/>
    <s v="H"/>
    <n v="1"/>
    <n v="2"/>
    <n v="-1"/>
    <n v="1"/>
    <n v="-8"/>
    <n v="8"/>
    <n v="1441.3661263962765"/>
    <n v="1677.5610238464767"/>
    <n v="0.27523789790707243"/>
    <n v="99"/>
    <n v="93"/>
    <n v="0"/>
    <n v="6"/>
    <n v="1"/>
    <n v="0.29350954669006313"/>
    <n v="1"/>
    <n v="73.75"/>
    <n v="73.75"/>
    <n v="15.688438958203141"/>
    <n v="1457.0545653544796"/>
    <n v="1"/>
    <n v="0"/>
    <n v="0"/>
    <n v="0"/>
    <n v="0"/>
    <n v="0"/>
    <n v="0"/>
    <n v="0"/>
    <n v="0"/>
    <n v="0"/>
  </r>
  <r>
    <d v="2024-06-19T00:00:00"/>
    <n v="2024"/>
    <x v="14"/>
    <s v="R"/>
    <s v="RS"/>
    <x v="7"/>
    <s v="IND"/>
    <s v="A"/>
    <n v="4"/>
    <n v="2"/>
    <n v="2"/>
    <n v="-2"/>
    <n v="16"/>
    <n v="-16"/>
    <n v="1400.5678643882125"/>
    <n v="1399.1678079517442"/>
    <n v="0.42769134113683177"/>
    <n v="81"/>
    <n v="88"/>
    <n v="0"/>
    <n v="-7"/>
    <n v="0"/>
    <n v="0.36967586659013124"/>
    <n v="1"/>
    <n v="73.75"/>
    <n v="73.75"/>
    <n v="-11.660403578629213"/>
    <n v="1388.9074608095832"/>
    <n v="0"/>
    <n v="1"/>
    <n v="0"/>
    <n v="0"/>
    <n v="0"/>
    <n v="0"/>
    <n v="0"/>
    <n v="0"/>
    <n v="0"/>
    <n v="0"/>
  </r>
  <r>
    <d v="2024-06-19T00:00:00"/>
    <n v="2024"/>
    <x v="15"/>
    <s v="R"/>
    <s v="RS"/>
    <x v="0"/>
    <s v="WAS"/>
    <s v="H"/>
    <n v="2"/>
    <n v="4"/>
    <n v="-2"/>
    <n v="2"/>
    <n v="-16"/>
    <n v="16"/>
    <n v="1399.1678079517442"/>
    <n v="1400.5678643882125"/>
    <n v="0.57230865886316817"/>
    <n v="88"/>
    <n v="81"/>
    <n v="0"/>
    <n v="7"/>
    <n v="1"/>
    <n v="0.36967586659013124"/>
    <n v="1"/>
    <n v="73.599999999999994"/>
    <n v="73.599999999999994"/>
    <n v="11.636687503554036"/>
    <n v="1410.8044954552981"/>
    <n v="1"/>
    <n v="0"/>
    <n v="0"/>
    <n v="0"/>
    <n v="0"/>
    <n v="0"/>
    <n v="0"/>
    <n v="0"/>
    <n v="0"/>
    <n v="0"/>
  </r>
  <r>
    <d v="2024-06-19T00:00:00"/>
    <n v="2024"/>
    <x v="14"/>
    <s v="R"/>
    <s v="RS"/>
    <x v="5"/>
    <s v="LVA"/>
    <s v="A"/>
    <n v="2"/>
    <n v="3"/>
    <n v="-1"/>
    <n v="1"/>
    <n v="-8"/>
    <n v="8"/>
    <n v="1526.1424008129948"/>
    <n v="1582.5349920583019"/>
    <n v="0.28899540110384025"/>
    <n v="83"/>
    <n v="94"/>
    <n v="0"/>
    <n v="-11"/>
    <n v="0"/>
    <n v="0.42009413935337797"/>
    <n v="1"/>
    <n v="73.75"/>
    <n v="73.75"/>
    <n v="-8.9536389799053993"/>
    <n v="1517.1887618330893"/>
    <n v="0"/>
    <n v="1"/>
    <n v="0"/>
    <n v="0"/>
    <n v="0"/>
    <n v="0"/>
    <n v="0"/>
    <n v="0"/>
    <n v="0"/>
    <n v="0"/>
  </r>
  <r>
    <d v="2024-06-19T00:00:00"/>
    <n v="2024"/>
    <x v="12"/>
    <s v="R"/>
    <s v="RS"/>
    <x v="3"/>
    <s v="SEA"/>
    <s v="H"/>
    <n v="3"/>
    <n v="2"/>
    <n v="1"/>
    <n v="-1"/>
    <n v="8"/>
    <n v="-8"/>
    <n v="1582.5349920583019"/>
    <n v="1526.1424008129948"/>
    <n v="0.71100459889615975"/>
    <n v="94"/>
    <n v="83"/>
    <n v="0"/>
    <n v="11"/>
    <n v="1"/>
    <n v="0.42009413935337797"/>
    <n v="1"/>
    <n v="74.05"/>
    <n v="74.05"/>
    <n v="8.9900605621965397"/>
    <n v="1591.5250526204984"/>
    <n v="1"/>
    <n v="0"/>
    <n v="0"/>
    <n v="0"/>
    <n v="0"/>
    <n v="0"/>
    <n v="0"/>
    <n v="0"/>
    <n v="0"/>
    <n v="0"/>
  </r>
  <r>
    <d v="2024-06-19T00:00:00"/>
    <n v="2024"/>
    <x v="12"/>
    <s v="R"/>
    <s v="RS"/>
    <x v="10"/>
    <s v="MIN"/>
    <s v="A"/>
    <n v="2"/>
    <n v="1"/>
    <n v="1"/>
    <n v="-1"/>
    <n v="8"/>
    <n v="-8"/>
    <n v="1450.146202260707"/>
    <n v="1600.4936342451936"/>
    <n v="0.22150647455968001"/>
    <n v="55"/>
    <n v="68"/>
    <n v="0"/>
    <n v="-13"/>
    <n v="0"/>
    <n v="0.41948649166864838"/>
    <n v="1"/>
    <n v="74.05"/>
    <n v="74.05"/>
    <n v="-6.8806500169196312"/>
    <n v="1443.2655522437874"/>
    <n v="0"/>
    <n v="1"/>
    <n v="0"/>
    <n v="0"/>
    <n v="0"/>
    <n v="0"/>
    <n v="0"/>
    <n v="0"/>
    <n v="0"/>
    <n v="0"/>
  </r>
  <r>
    <d v="2024-06-19T00:00:00"/>
    <n v="2024"/>
    <x v="14"/>
    <s v="R"/>
    <s v="RS"/>
    <x v="4"/>
    <s v="ATL"/>
    <s v="H"/>
    <n v="1"/>
    <n v="2"/>
    <n v="-1"/>
    <n v="1"/>
    <n v="-8"/>
    <n v="8"/>
    <n v="1600.4936342451936"/>
    <n v="1450.146202260707"/>
    <n v="0.77849352544032002"/>
    <n v="68"/>
    <n v="55"/>
    <n v="0"/>
    <n v="13"/>
    <n v="1"/>
    <n v="0.41948649166864838"/>
    <n v="1"/>
    <n v="73.75"/>
    <n v="73.75"/>
    <n v="6.8527743247511514"/>
    <n v="1607.3464085699447"/>
    <n v="1"/>
    <n v="0"/>
    <n v="0"/>
    <n v="0"/>
    <n v="0"/>
    <n v="0"/>
    <n v="0"/>
    <n v="0"/>
    <n v="0"/>
    <n v="0"/>
  </r>
  <r>
    <d v="2024-06-20T00:00:00"/>
    <n v="2024"/>
    <x v="13"/>
    <s v="R"/>
    <s v="RS"/>
    <x v="9"/>
    <s v="CHI"/>
    <s v="A"/>
    <n v="2"/>
    <n v="3"/>
    <n v="-1"/>
    <n v="1"/>
    <n v="-8"/>
    <n v="8"/>
    <n v="1437.266147605922"/>
    <n v="1443.2257438766021"/>
    <n v="0.35207004089694416"/>
    <n v="72"/>
    <n v="83"/>
    <n v="0"/>
    <n v="-11"/>
    <n v="0"/>
    <n v="0.43766239428032311"/>
    <n v="1"/>
    <n v="73.900000000000006"/>
    <n v="73.900000000000006"/>
    <n v="-11.38708968024093"/>
    <n v="1425.8790579256811"/>
    <n v="0"/>
    <n v="1"/>
    <n v="0"/>
    <n v="0"/>
    <n v="0"/>
    <n v="0"/>
    <n v="0"/>
    <n v="0"/>
    <n v="0"/>
    <n v="0"/>
  </r>
  <r>
    <d v="2024-06-20T00:00:00"/>
    <n v="2024"/>
    <x v="13"/>
    <s v="R"/>
    <s v="RS"/>
    <x v="8"/>
    <s v="DAL"/>
    <s v="H"/>
    <n v="3"/>
    <n v="2"/>
    <n v="1"/>
    <n v="-1"/>
    <n v="8"/>
    <n v="-8"/>
    <n v="1443.2257438766021"/>
    <n v="1437.266147605922"/>
    <n v="0.64792995910305584"/>
    <n v="83"/>
    <n v="72"/>
    <n v="0"/>
    <n v="11"/>
    <n v="1"/>
    <n v="0.43766239428032311"/>
    <n v="1"/>
    <n v="73.900000000000006"/>
    <n v="73.900000000000006"/>
    <n v="11.38708968024093"/>
    <n v="1454.612833556843"/>
    <n v="1"/>
    <n v="0"/>
    <n v="0"/>
    <n v="0"/>
    <n v="0"/>
    <n v="0"/>
    <n v="0"/>
    <n v="0"/>
    <n v="0"/>
    <n v="0"/>
  </r>
  <r>
    <d v="2024-06-20T00:00:00"/>
    <n v="2024"/>
    <x v="15"/>
    <s v="R"/>
    <s v="RS"/>
    <x v="11"/>
    <s v="NYL"/>
    <s v="A"/>
    <n v="1"/>
    <n v="1"/>
    <n v="0"/>
    <n v="0"/>
    <n v="0"/>
    <n v="0"/>
    <n v="1397.5303764167461"/>
    <n v="1661.8725848882736"/>
    <n v="0.1186560547337495"/>
    <n v="80"/>
    <n v="93"/>
    <n v="0"/>
    <n v="-13"/>
    <n v="0"/>
    <n v="0.3868306899165333"/>
    <n v="1"/>
    <n v="73.599999999999994"/>
    <n v="73.599999999999994"/>
    <n v="-3.3782255387356668"/>
    <n v="1394.1521508780104"/>
    <n v="0"/>
    <n v="1"/>
    <n v="0"/>
    <n v="0"/>
    <n v="0"/>
    <n v="0"/>
    <n v="0"/>
    <n v="0"/>
    <n v="0"/>
    <n v="0"/>
  </r>
  <r>
    <d v="2024-06-20T00:00:00"/>
    <n v="2024"/>
    <x v="15"/>
    <s v="R"/>
    <s v="RS"/>
    <x v="6"/>
    <s v="LAS"/>
    <s v="H"/>
    <n v="1"/>
    <n v="1"/>
    <n v="0"/>
    <n v="0"/>
    <n v="0"/>
    <n v="0"/>
    <n v="1661.8725848882736"/>
    <n v="1397.5303764167461"/>
    <n v="0.88134394526625048"/>
    <n v="93"/>
    <n v="80"/>
    <n v="0"/>
    <n v="13"/>
    <n v="1"/>
    <n v="0.3868306899165333"/>
    <n v="1"/>
    <n v="73.599999999999994"/>
    <n v="73.599999999999994"/>
    <n v="3.3782255387356668"/>
    <n v="1665.2508104270094"/>
    <n v="1"/>
    <n v="0"/>
    <n v="0"/>
    <n v="0"/>
    <n v="0"/>
    <n v="0"/>
    <n v="0"/>
    <n v="0"/>
    <n v="0"/>
    <n v="0"/>
  </r>
  <r>
    <d v="2024-06-21T00:00:00"/>
    <n v="2024"/>
    <x v="16"/>
    <s v="R"/>
    <s v="RS"/>
    <x v="0"/>
    <s v="ATL"/>
    <s v="A"/>
    <n v="1"/>
    <n v="1"/>
    <n v="0"/>
    <n v="0"/>
    <n v="0"/>
    <n v="0"/>
    <n v="1410.8044954552981"/>
    <n v="1443.2655522437874"/>
    <n v="0.33840644407727249"/>
    <n v="91"/>
    <n v="79"/>
    <n v="0"/>
    <n v="12"/>
    <n v="1"/>
    <n v="0.44411572169114316"/>
    <n v="1"/>
    <n v="73.45"/>
    <n v="73.45"/>
    <n v="21.581380112302394"/>
    <n v="1432.3858755676006"/>
    <n v="1"/>
    <n v="0"/>
    <n v="0"/>
    <n v="0"/>
    <n v="0"/>
    <n v="0"/>
    <n v="0"/>
    <n v="0"/>
    <n v="0"/>
    <n v="0"/>
  </r>
  <r>
    <d v="2024-06-21T00:00:00"/>
    <n v="2024"/>
    <x v="13"/>
    <s v="R"/>
    <s v="RS"/>
    <x v="10"/>
    <s v="IND"/>
    <s v="H"/>
    <n v="1"/>
    <n v="1"/>
    <n v="0"/>
    <n v="0"/>
    <n v="0"/>
    <n v="0"/>
    <n v="1443.2655522437874"/>
    <n v="1410.8044954552981"/>
    <n v="0.66159355592272739"/>
    <n v="79"/>
    <n v="91"/>
    <n v="0"/>
    <n v="-12"/>
    <n v="0"/>
    <n v="0.44411572169114316"/>
    <n v="1"/>
    <n v="73.900000000000006"/>
    <n v="73.900000000000006"/>
    <n v="-21.71360095710207"/>
    <n v="1421.5519512866854"/>
    <n v="0"/>
    <n v="1"/>
    <n v="0"/>
    <n v="0"/>
    <n v="0"/>
    <n v="0"/>
    <n v="0"/>
    <n v="0"/>
    <n v="0"/>
    <n v="0"/>
  </r>
  <r>
    <d v="2024-06-21T00:00:00"/>
    <n v="2024"/>
    <x v="14"/>
    <s v="R"/>
    <s v="RS"/>
    <x v="1"/>
    <s v="LVA"/>
    <s v="A"/>
    <n v="2"/>
    <n v="1"/>
    <n v="1"/>
    <n v="-1"/>
    <n v="8"/>
    <n v="-8"/>
    <n v="1643.5871420975584"/>
    <n v="1591.5250526204984"/>
    <n v="0.47707957814438179"/>
    <n v="74"/>
    <n v="85"/>
    <n v="0"/>
    <n v="-11"/>
    <n v="0"/>
    <n v="0.42154711714784171"/>
    <n v="1"/>
    <n v="73.75"/>
    <n v="73.75"/>
    <n v="-14.831974660244356"/>
    <n v="1628.755167437314"/>
    <n v="0"/>
    <n v="1"/>
    <n v="0"/>
    <n v="0"/>
    <n v="0"/>
    <n v="0"/>
    <n v="0"/>
    <n v="0"/>
    <n v="0"/>
    <n v="0"/>
  </r>
  <r>
    <d v="2024-06-21T00:00:00"/>
    <n v="2024"/>
    <x v="13"/>
    <s v="R"/>
    <s v="RS"/>
    <x v="3"/>
    <s v="CON"/>
    <s v="H"/>
    <n v="1"/>
    <n v="2"/>
    <n v="-1"/>
    <n v="1"/>
    <n v="-8"/>
    <n v="8"/>
    <n v="1591.5250526204984"/>
    <n v="1643.5871420975584"/>
    <n v="0.52292042185561827"/>
    <n v="85"/>
    <n v="74"/>
    <n v="0"/>
    <n v="11"/>
    <n v="1"/>
    <n v="0.42154711714784171"/>
    <n v="1"/>
    <n v="73.900000000000006"/>
    <n v="73.900000000000006"/>
    <n v="14.862141388366886"/>
    <n v="1606.3871940088652"/>
    <n v="1"/>
    <n v="0"/>
    <n v="0"/>
    <n v="0"/>
    <n v="0"/>
    <n v="0"/>
    <n v="0"/>
    <n v="0"/>
    <n v="0"/>
    <n v="0"/>
  </r>
  <r>
    <d v="2024-06-22T00:00:00"/>
    <n v="2024"/>
    <x v="15"/>
    <s v="R"/>
    <s v="RS"/>
    <x v="2"/>
    <s v="MIN"/>
    <s v="A"/>
    <n v="3"/>
    <n v="2"/>
    <n v="1"/>
    <n v="-1"/>
    <n v="8"/>
    <n v="-8"/>
    <n v="1457.0545653544796"/>
    <n v="1607.3464085699447"/>
    <n v="0.22156165979326503"/>
    <n v="60"/>
    <n v="73"/>
    <n v="0"/>
    <n v="-13"/>
    <n v="0"/>
    <n v="0.41950376107437737"/>
    <n v="1"/>
    <n v="73.599999999999994"/>
    <n v="73.599999999999994"/>
    <n v="-6.840821890056306"/>
    <n v="1450.2137434644233"/>
    <n v="0"/>
    <n v="1"/>
    <n v="0"/>
    <n v="0"/>
    <n v="0"/>
    <n v="0"/>
    <n v="0"/>
    <n v="0"/>
    <n v="0"/>
    <n v="0"/>
  </r>
  <r>
    <d v="2024-06-22T00:00:00"/>
    <n v="2024"/>
    <x v="15"/>
    <s v="R"/>
    <s v="RS"/>
    <x v="4"/>
    <s v="PHX"/>
    <s v="H"/>
    <n v="2"/>
    <n v="3"/>
    <n v="-1"/>
    <n v="1"/>
    <n v="-8"/>
    <n v="8"/>
    <n v="1607.3464085699447"/>
    <n v="1457.0545653544796"/>
    <n v="0.77843834020673497"/>
    <n v="73"/>
    <n v="60"/>
    <n v="0"/>
    <n v="13"/>
    <n v="1"/>
    <n v="0.41950376107437737"/>
    <n v="1"/>
    <n v="73.599999999999994"/>
    <n v="73.599999999999994"/>
    <n v="6.840821890056306"/>
    <n v="1614.187230460001"/>
    <n v="1"/>
    <n v="0"/>
    <n v="0"/>
    <n v="0"/>
    <n v="0"/>
    <n v="0"/>
    <n v="0"/>
    <n v="0"/>
    <n v="0"/>
    <n v="0"/>
  </r>
  <r>
    <d v="2024-06-22T00:00:00"/>
    <n v="2024"/>
    <x v="16"/>
    <s v="R"/>
    <s v="RS"/>
    <x v="11"/>
    <s v="NYL"/>
    <s v="A"/>
    <n v="1"/>
    <n v="1"/>
    <n v="0"/>
    <n v="0"/>
    <n v="0"/>
    <n v="0"/>
    <n v="1394.1521508780104"/>
    <n v="1665.2508104270094"/>
    <n v="0.11464866396245292"/>
    <n v="88"/>
    <n v="98"/>
    <n v="0"/>
    <n v="-10"/>
    <n v="0"/>
    <n v="0.34515403566094305"/>
    <n v="1"/>
    <n v="73.45"/>
    <n v="73.45"/>
    <n v="-2.9065229327060438"/>
    <n v="1391.2456279453042"/>
    <n v="0"/>
    <n v="1"/>
    <n v="0"/>
    <n v="0"/>
    <n v="0"/>
    <n v="0"/>
    <n v="0"/>
    <n v="0"/>
    <n v="0"/>
    <n v="0"/>
  </r>
  <r>
    <d v="2024-06-22T00:00:00"/>
    <n v="2024"/>
    <x v="16"/>
    <s v="R"/>
    <s v="RS"/>
    <x v="6"/>
    <s v="LAS"/>
    <s v="H"/>
    <n v="1"/>
    <n v="1"/>
    <n v="0"/>
    <n v="0"/>
    <n v="0"/>
    <n v="0"/>
    <n v="1665.2508104270094"/>
    <n v="1394.1521508780104"/>
    <n v="0.88535133603754712"/>
    <n v="98"/>
    <n v="88"/>
    <n v="0"/>
    <n v="10"/>
    <n v="1"/>
    <n v="0.34515403566094305"/>
    <n v="1"/>
    <n v="73.45"/>
    <n v="73.45"/>
    <n v="2.9065229327060429"/>
    <n v="1668.1573333597155"/>
    <n v="1"/>
    <n v="0"/>
    <n v="0"/>
    <n v="0"/>
    <n v="0"/>
    <n v="0"/>
    <n v="0"/>
    <n v="0"/>
    <n v="0"/>
    <n v="0"/>
  </r>
  <r>
    <d v="2024-06-22T00:00:00"/>
    <n v="2024"/>
    <x v="14"/>
    <s v="R"/>
    <s v="RS"/>
    <x v="9"/>
    <s v="WAS"/>
    <s v="A"/>
    <n v="1"/>
    <n v="2"/>
    <n v="-1"/>
    <n v="1"/>
    <n v="-8"/>
    <n v="8"/>
    <n v="1425.8790579256811"/>
    <n v="1388.9074608095832"/>
    <n v="0.4102769374575615"/>
    <n v="69"/>
    <n v="97"/>
    <n v="0"/>
    <n v="-28"/>
    <n v="0"/>
    <n v="0.65879248479526609"/>
    <n v="1"/>
    <n v="73.75"/>
    <n v="73.75"/>
    <n v="-19.933693027287095"/>
    <n v="1405.945364898394"/>
    <n v="0"/>
    <n v="1"/>
    <n v="0"/>
    <n v="0"/>
    <n v="0"/>
    <n v="0"/>
    <n v="0"/>
    <n v="0"/>
    <n v="0"/>
    <n v="0"/>
  </r>
  <r>
    <d v="2024-06-22T00:00:00"/>
    <n v="2024"/>
    <x v="15"/>
    <s v="R"/>
    <s v="RS"/>
    <x v="7"/>
    <s v="DAL"/>
    <s v="H"/>
    <n v="2"/>
    <n v="1"/>
    <n v="1"/>
    <n v="-1"/>
    <n v="8"/>
    <n v="-8"/>
    <n v="1388.9074608095832"/>
    <n v="1425.8790579256811"/>
    <n v="0.58972306254243845"/>
    <n v="97"/>
    <n v="69"/>
    <n v="0"/>
    <n v="28"/>
    <n v="1"/>
    <n v="0.65879248479526609"/>
    <n v="1"/>
    <n v="73.599999999999994"/>
    <n v="73.599999999999994"/>
    <n v="19.893149922824819"/>
    <n v="1408.8006107324081"/>
    <n v="1"/>
    <n v="0"/>
    <n v="0"/>
    <n v="0"/>
    <n v="0"/>
    <n v="0"/>
    <n v="0"/>
    <n v="0"/>
    <n v="0"/>
    <n v="0"/>
  </r>
  <r>
    <d v="2024-06-23T00:00:00"/>
    <n v="2024"/>
    <x v="17"/>
    <s v="R"/>
    <s v="RS"/>
    <x v="6"/>
    <s v="ATL"/>
    <s v="A"/>
    <n v="0"/>
    <n v="1"/>
    <n v="-1"/>
    <n v="1"/>
    <n v="-8"/>
    <n v="8"/>
    <n v="1668.1573333597155"/>
    <n v="1421.5519512866854"/>
    <n v="0.69929194067547795"/>
    <n v="96"/>
    <n v="75"/>
    <n v="0"/>
    <n v="21"/>
    <n v="1"/>
    <n v="0.48824064674275369"/>
    <n v="1"/>
    <n v="73.3"/>
    <n v="73.3"/>
    <n v="10.761751876881107"/>
    <n v="1678.9190852365966"/>
    <n v="1"/>
    <n v="0"/>
    <n v="0"/>
    <n v="0"/>
    <n v="0"/>
    <n v="0"/>
    <n v="0"/>
    <n v="0"/>
    <n v="0"/>
    <n v="0"/>
  </r>
  <r>
    <d v="2024-06-23T00:00:00"/>
    <n v="2024"/>
    <x v="14"/>
    <s v="R"/>
    <s v="RS"/>
    <x v="10"/>
    <s v="NYL"/>
    <s v="H"/>
    <n v="1"/>
    <n v="0"/>
    <n v="1"/>
    <n v="-1"/>
    <n v="8"/>
    <n v="-8"/>
    <n v="1421.5519512866854"/>
    <n v="1668.1573333597155"/>
    <n v="0.30070805932452205"/>
    <n v="75"/>
    <n v="96"/>
    <n v="0"/>
    <n v="-21"/>
    <n v="0"/>
    <n v="0.48824064674275369"/>
    <n v="1"/>
    <n v="73.75"/>
    <n v="73.75"/>
    <n v="-10.827819930695521"/>
    <n v="1410.7241313559898"/>
    <n v="0"/>
    <n v="1"/>
    <n v="0"/>
    <n v="0"/>
    <n v="0"/>
    <n v="0"/>
    <n v="0"/>
    <n v="0"/>
    <n v="0"/>
    <n v="0"/>
  </r>
  <r>
    <d v="2024-06-23T00:00:00"/>
    <n v="2024"/>
    <x v="17"/>
    <s v="R"/>
    <s v="RS"/>
    <x v="0"/>
    <s v="CHI"/>
    <s v="A"/>
    <n v="1"/>
    <n v="2"/>
    <n v="-1"/>
    <n v="1"/>
    <n v="-8"/>
    <n v="8"/>
    <n v="1432.3858755676006"/>
    <n v="1454.612833556843"/>
    <n v="0.33101566836533197"/>
    <n v="87"/>
    <n v="88"/>
    <n v="0"/>
    <n v="-1"/>
    <n v="0"/>
    <n v="0.23973911166254208"/>
    <n v="1"/>
    <n v="73.3"/>
    <n v="73.3"/>
    <n v="-5.8168975871450606"/>
    <n v="1426.5689779804554"/>
    <n v="0"/>
    <n v="1"/>
    <n v="0"/>
    <n v="0"/>
    <n v="0"/>
    <n v="0"/>
    <n v="0"/>
    <n v="0"/>
    <n v="0"/>
    <n v="0"/>
  </r>
  <r>
    <d v="2024-06-23T00:00:00"/>
    <n v="2024"/>
    <x v="14"/>
    <s v="R"/>
    <s v="RS"/>
    <x v="8"/>
    <s v="IND"/>
    <s v="H"/>
    <n v="2"/>
    <n v="1"/>
    <n v="1"/>
    <n v="-1"/>
    <n v="8"/>
    <n v="-8"/>
    <n v="1454.612833556843"/>
    <n v="1432.3858755676006"/>
    <n v="0.66898433163466797"/>
    <n v="88"/>
    <n v="87"/>
    <n v="0"/>
    <n v="1"/>
    <n v="1"/>
    <n v="0.23973911166254208"/>
    <n v="1"/>
    <n v="73.75"/>
    <n v="73.75"/>
    <n v="5.852608418171191"/>
    <n v="1460.4654419750143"/>
    <n v="1"/>
    <n v="0"/>
    <n v="0"/>
    <n v="0"/>
    <n v="0"/>
    <n v="0"/>
    <n v="0"/>
    <n v="0"/>
    <n v="0"/>
    <n v="0"/>
  </r>
  <r>
    <d v="2024-06-23T00:00:00"/>
    <n v="2024"/>
    <x v="15"/>
    <s v="R"/>
    <s v="RS"/>
    <x v="1"/>
    <s v="SEA"/>
    <s v="A"/>
    <n v="1"/>
    <n v="3"/>
    <n v="-2"/>
    <n v="2"/>
    <n v="-16"/>
    <n v="16"/>
    <n v="1628.755167437314"/>
    <n v="1517.1887618330893"/>
    <n v="0.49361989108277071"/>
    <n v="61"/>
    <n v="72"/>
    <n v="0"/>
    <n v="-11"/>
    <n v="0"/>
    <n v="0.40242199102835696"/>
    <n v="1"/>
    <n v="73.599999999999994"/>
    <n v="73.599999999999994"/>
    <n v="-14.620161554421674"/>
    <n v="1614.1350058828923"/>
    <n v="0"/>
    <n v="1"/>
    <n v="0"/>
    <n v="0"/>
    <n v="0"/>
    <n v="0"/>
    <n v="0"/>
    <n v="0"/>
    <n v="0"/>
    <n v="0"/>
  </r>
  <r>
    <d v="2024-06-23T00:00:00"/>
    <n v="2024"/>
    <x v="15"/>
    <s v="R"/>
    <s v="RS"/>
    <x v="5"/>
    <s v="CON"/>
    <s v="H"/>
    <n v="3"/>
    <n v="1"/>
    <n v="2"/>
    <n v="-2"/>
    <n v="16"/>
    <n v="-16"/>
    <n v="1517.1887618330893"/>
    <n v="1628.755167437314"/>
    <n v="0.50638010891722929"/>
    <n v="72"/>
    <n v="61"/>
    <n v="0"/>
    <n v="11"/>
    <n v="1"/>
    <n v="0.40242199102835696"/>
    <n v="1"/>
    <n v="73.599999999999994"/>
    <n v="73.599999999999994"/>
    <n v="14.620161554421674"/>
    <n v="1531.808923387511"/>
    <n v="1"/>
    <n v="0"/>
    <n v="0"/>
    <n v="0"/>
    <n v="0"/>
    <n v="0"/>
    <n v="0"/>
    <n v="0"/>
    <n v="0"/>
    <n v="0"/>
  </r>
  <r>
    <d v="2024-06-23T00:00:00"/>
    <n v="2024"/>
    <x v="15"/>
    <s v="R"/>
    <s v="RS"/>
    <x v="9"/>
    <s v="WAS"/>
    <s v="A"/>
    <n v="0"/>
    <n v="0"/>
    <n v="0"/>
    <n v="0"/>
    <n v="0"/>
    <n v="0"/>
    <n v="1405.945364898394"/>
    <n v="1408.8006107324081"/>
    <n v="0.37754560723424402"/>
    <n v="84"/>
    <n v="92"/>
    <n v="0"/>
    <n v="-8"/>
    <n v="0"/>
    <n v="0.38739378126959467"/>
    <n v="1"/>
    <n v="73.599999999999994"/>
    <n v="73.599999999999994"/>
    <n v="-10.764649180571448"/>
    <n v="1395.1807157178225"/>
    <n v="0"/>
    <n v="1"/>
    <n v="0"/>
    <n v="0"/>
    <n v="0"/>
    <n v="0"/>
    <n v="0"/>
    <n v="0"/>
    <n v="0"/>
    <n v="0"/>
  </r>
  <r>
    <d v="2024-06-23T00:00:00"/>
    <n v="2024"/>
    <x v="16"/>
    <s v="R"/>
    <s v="RS"/>
    <x v="7"/>
    <s v="DAL"/>
    <s v="H"/>
    <n v="0"/>
    <n v="0"/>
    <n v="0"/>
    <n v="0"/>
    <n v="0"/>
    <n v="0"/>
    <n v="1408.8006107324081"/>
    <n v="1405.945364898394"/>
    <n v="0.62245439276575598"/>
    <n v="92"/>
    <n v="84"/>
    <n v="0"/>
    <n v="8"/>
    <n v="1"/>
    <n v="0.38739378126959467"/>
    <n v="1"/>
    <n v="73.45"/>
    <n v="73.45"/>
    <n v="10.74271035751322"/>
    <n v="1419.5433210899214"/>
    <n v="1"/>
    <n v="0"/>
    <n v="0"/>
    <n v="0"/>
    <n v="0"/>
    <n v="0"/>
    <n v="0"/>
    <n v="0"/>
    <n v="0"/>
    <n v="0"/>
  </r>
  <r>
    <d v="2024-06-27T00:00:00"/>
    <n v="2024"/>
    <x v="14"/>
    <s v="R"/>
    <s v="RS"/>
    <x v="3"/>
    <s v="CHI"/>
    <s v="A"/>
    <n v="5"/>
    <n v="3"/>
    <n v="2"/>
    <n v="-2"/>
    <n v="16"/>
    <n v="-16"/>
    <n v="1606.3871940088652"/>
    <n v="1460.4654419750143"/>
    <n v="0.63196525464081854"/>
    <n v="95"/>
    <n v="83"/>
    <n v="0"/>
    <n v="12"/>
    <n v="1"/>
    <n v="0.40667693412691236"/>
    <n v="1"/>
    <n v="73.75"/>
    <n v="73.75"/>
    <n v="11.038254089745246"/>
    <n v="1617.4254480986106"/>
    <n v="1"/>
    <n v="0"/>
    <n v="0"/>
    <n v="0"/>
    <n v="0"/>
    <n v="0"/>
    <n v="0"/>
    <n v="0"/>
    <n v="0"/>
    <n v="0"/>
  </r>
  <r>
    <d v="2024-06-27T00:00:00"/>
    <n v="2024"/>
    <x v="15"/>
    <s v="R"/>
    <s v="RS"/>
    <x v="8"/>
    <s v="LVA"/>
    <s v="H"/>
    <n v="3"/>
    <n v="5"/>
    <n v="-2"/>
    <n v="2"/>
    <n v="-16"/>
    <n v="16"/>
    <n v="1460.4654419750143"/>
    <n v="1606.3871940088652"/>
    <n v="0.3680347453591814"/>
    <n v="83"/>
    <n v="95"/>
    <n v="0"/>
    <n v="-12"/>
    <n v="0"/>
    <n v="0.40667693412691236"/>
    <n v="1"/>
    <n v="73.599999999999994"/>
    <n v="73.599999999999994"/>
    <n v="-11.015803403461016"/>
    <n v="1449.4496385715534"/>
    <n v="0"/>
    <n v="1"/>
    <n v="0"/>
    <n v="0"/>
    <n v="0"/>
    <n v="0"/>
    <n v="0"/>
    <n v="0"/>
    <n v="0"/>
    <n v="0"/>
  </r>
  <r>
    <d v="2024-06-27T00:00:00"/>
    <n v="2024"/>
    <x v="16"/>
    <s v="R"/>
    <s v="RS"/>
    <x v="4"/>
    <s v="DAL"/>
    <s v="A"/>
    <n v="4"/>
    <n v="3"/>
    <n v="1"/>
    <n v="-1"/>
    <n v="8"/>
    <n v="-8"/>
    <n v="1614.187230460001"/>
    <n v="1395.1807157178225"/>
    <n v="0.70459239843509691"/>
    <n v="88"/>
    <n v="94"/>
    <n v="0"/>
    <n v="-6"/>
    <n v="0"/>
    <n v="0.29706481889251912"/>
    <n v="1"/>
    <n v="73.45"/>
    <n v="73.45"/>
    <n v="-15.37379109204962"/>
    <n v="1598.8134393679513"/>
    <n v="0"/>
    <n v="1"/>
    <n v="0"/>
    <n v="0"/>
    <n v="0"/>
    <n v="0"/>
    <n v="0"/>
    <n v="0"/>
    <n v="0"/>
    <n v="0"/>
  </r>
  <r>
    <d v="2024-06-27T00:00:00"/>
    <n v="2024"/>
    <x v="16"/>
    <s v="R"/>
    <s v="RS"/>
    <x v="9"/>
    <s v="MIN"/>
    <s v="H"/>
    <n v="3"/>
    <n v="4"/>
    <n v="-1"/>
    <n v="1"/>
    <n v="-8"/>
    <n v="8"/>
    <n v="1395.1807157178225"/>
    <n v="1614.187230460001"/>
    <n v="0.29540760156490309"/>
    <n v="94"/>
    <n v="88"/>
    <n v="0"/>
    <n v="6"/>
    <n v="1"/>
    <n v="0.29706481889251912"/>
    <n v="1"/>
    <n v="73.45"/>
    <n v="73.45"/>
    <n v="15.37379109204962"/>
    <n v="1410.5545068098722"/>
    <n v="1"/>
    <n v="0"/>
    <n v="0"/>
    <n v="0"/>
    <n v="0"/>
    <n v="0"/>
    <n v="0"/>
    <n v="0"/>
    <n v="0"/>
    <n v="0"/>
  </r>
  <r>
    <d v="2024-06-27T00:00:00"/>
    <n v="2024"/>
    <x v="18"/>
    <s v="R"/>
    <s v="RS"/>
    <x v="0"/>
    <s v="SEA"/>
    <s v="A"/>
    <n v="3"/>
    <n v="3"/>
    <n v="0"/>
    <n v="0"/>
    <n v="0"/>
    <n v="0"/>
    <n v="1426.5689779804554"/>
    <n v="1531.808923387511"/>
    <n v="0.25174019007440068"/>
    <n v="77"/>
    <n v="89"/>
    <n v="0"/>
    <n v="-12"/>
    <n v="0"/>
    <n v="0.41935226823076521"/>
    <n v="1"/>
    <n v="73.150000000000006"/>
    <n v="73.150000000000006"/>
    <n v="-7.7222860119725869"/>
    <n v="1418.8466919684829"/>
    <n v="0"/>
    <n v="1"/>
    <n v="0"/>
    <n v="0"/>
    <n v="0"/>
    <n v="0"/>
    <n v="0"/>
    <n v="0"/>
    <n v="0"/>
    <n v="0"/>
  </r>
  <r>
    <d v="2024-06-27T00:00:00"/>
    <n v="2024"/>
    <x v="16"/>
    <s v="R"/>
    <s v="RS"/>
    <x v="5"/>
    <s v="IND"/>
    <s v="H"/>
    <n v="3"/>
    <n v="3"/>
    <n v="0"/>
    <n v="0"/>
    <n v="0"/>
    <n v="0"/>
    <n v="1531.808923387511"/>
    <n v="1426.5689779804554"/>
    <n v="0.74825980992559926"/>
    <n v="89"/>
    <n v="77"/>
    <n v="0"/>
    <n v="12"/>
    <n v="1"/>
    <n v="0.41935226823076521"/>
    <n v="1"/>
    <n v="73.45"/>
    <n v="73.45"/>
    <n v="7.7539563578863513"/>
    <n v="1539.5628797453974"/>
    <n v="1"/>
    <n v="0"/>
    <n v="0"/>
    <n v="0"/>
    <n v="0"/>
    <n v="0"/>
    <n v="0"/>
    <n v="0"/>
    <n v="0"/>
    <n v="0"/>
  </r>
  <r>
    <d v="2024-06-27T00:00:00"/>
    <n v="2024"/>
    <x v="16"/>
    <s v="R"/>
    <s v="RS"/>
    <x v="1"/>
    <s v="WAS"/>
    <s v="A"/>
    <n v="3"/>
    <n v="3"/>
    <n v="0"/>
    <n v="0"/>
    <n v="0"/>
    <n v="0"/>
    <n v="1614.1350058828923"/>
    <n v="1419.5433210899214"/>
    <n v="0.65398830908759076"/>
    <n v="94"/>
    <n v="91"/>
    <n v="1"/>
    <n v="3"/>
    <n v="1"/>
    <n v="0.22472398638539787"/>
    <n v="1"/>
    <n v="73.45"/>
    <n v="73.45"/>
    <n v="5.7112609427315837"/>
    <n v="1619.8462668256238"/>
    <n v="1"/>
    <n v="0"/>
    <n v="0"/>
    <n v="0"/>
    <n v="0"/>
    <n v="0"/>
    <n v="0"/>
    <n v="0"/>
    <n v="0"/>
    <n v="0"/>
  </r>
  <r>
    <d v="2024-06-27T00:00:00"/>
    <n v="2024"/>
    <x v="17"/>
    <s v="R"/>
    <s v="RS"/>
    <x v="7"/>
    <s v="CON"/>
    <s v="H"/>
    <n v="3"/>
    <n v="3"/>
    <n v="0"/>
    <n v="0"/>
    <n v="0"/>
    <n v="0"/>
    <n v="1419.5433210899214"/>
    <n v="1614.1350058828923"/>
    <n v="0.34601169091240913"/>
    <n v="91"/>
    <n v="94"/>
    <n v="1"/>
    <n v="-3"/>
    <n v="0"/>
    <n v="0.22472398638539787"/>
    <n v="1"/>
    <n v="73.3"/>
    <n v="73.3"/>
    <n v="-5.699597373753913"/>
    <n v="1413.8437237161675"/>
    <n v="0"/>
    <n v="1"/>
    <n v="0"/>
    <n v="0"/>
    <n v="0"/>
    <n v="0"/>
    <n v="0"/>
    <n v="0"/>
    <n v="0"/>
    <n v="0"/>
  </r>
  <r>
    <d v="2024-06-28T00:00:00"/>
    <n v="2024"/>
    <x v="15"/>
    <s v="R"/>
    <s v="RS"/>
    <x v="10"/>
    <s v="CON"/>
    <s v="A"/>
    <n v="4"/>
    <n v="0"/>
    <n v="4"/>
    <n v="-4"/>
    <n v="16"/>
    <n v="-16"/>
    <n v="1410.7241313559898"/>
    <n v="1619.8462668256238"/>
    <n v="0.18195769446550683"/>
    <n v="78"/>
    <n v="74"/>
    <n v="0"/>
    <n v="4"/>
    <n v="1"/>
    <n v="0.2652142582091378"/>
    <n v="1"/>
    <n v="73.599999999999994"/>
    <n v="73.599999999999994"/>
    <n v="15.967997166907328"/>
    <n v="1426.6921285228971"/>
    <n v="1"/>
    <n v="0"/>
    <n v="0"/>
    <n v="0"/>
    <n v="0"/>
    <n v="0"/>
    <n v="0"/>
    <n v="0"/>
    <n v="0"/>
    <n v="0"/>
  </r>
  <r>
    <d v="2024-06-28T00:00:00"/>
    <n v="2024"/>
    <x v="17"/>
    <s v="R"/>
    <s v="RS"/>
    <x v="1"/>
    <s v="ATL"/>
    <s v="H"/>
    <n v="0"/>
    <n v="4"/>
    <n v="-4"/>
    <n v="4"/>
    <n v="-16"/>
    <n v="16"/>
    <n v="1619.8462668256238"/>
    <n v="1410.7241313559898"/>
    <n v="0.8180423055344932"/>
    <n v="74"/>
    <n v="78"/>
    <n v="0"/>
    <n v="-4"/>
    <n v="0"/>
    <n v="0.2652142582091378"/>
    <n v="1"/>
    <n v="73.3"/>
    <n v="73.3"/>
    <n v="-15.902910221933521"/>
    <n v="1603.9433566036903"/>
    <n v="0"/>
    <n v="1"/>
    <n v="0"/>
    <n v="0"/>
    <n v="0"/>
    <n v="0"/>
    <n v="0"/>
    <n v="0"/>
    <n v="0"/>
    <n v="0"/>
  </r>
  <r>
    <d v="2024-06-28T00:00:00"/>
    <n v="2024"/>
    <x v="17"/>
    <s v="R"/>
    <s v="RS"/>
    <x v="11"/>
    <s v="PHX"/>
    <s v="A"/>
    <n v="5"/>
    <n v="5"/>
    <n v="0"/>
    <n v="0"/>
    <n v="0"/>
    <n v="0"/>
    <n v="1391.2456279453042"/>
    <n v="1450.2137434644233"/>
    <n v="0.30512920140244343"/>
    <n v="78"/>
    <n v="92"/>
    <n v="0"/>
    <n v="-14"/>
    <n v="0"/>
    <n v="0.46476929560654595"/>
    <n v="1"/>
    <n v="73.3"/>
    <n v="73.3"/>
    <n v="-10.395016337551953"/>
    <n v="1380.8506116077524"/>
    <n v="0"/>
    <n v="1"/>
    <n v="0"/>
    <n v="0"/>
    <n v="0"/>
    <n v="0"/>
    <n v="0"/>
    <n v="0"/>
    <n v="0"/>
    <n v="0"/>
  </r>
  <r>
    <d v="2024-06-28T00:00:00"/>
    <n v="2024"/>
    <x v="16"/>
    <s v="R"/>
    <s v="RS"/>
    <x v="2"/>
    <s v="LAS"/>
    <s v="H"/>
    <n v="5"/>
    <n v="5"/>
    <n v="0"/>
    <n v="0"/>
    <n v="0"/>
    <n v="0"/>
    <n v="1450.2137434644233"/>
    <n v="1391.2456279453042"/>
    <n v="0.69487079859755652"/>
    <n v="92"/>
    <n v="78"/>
    <n v="0"/>
    <n v="14"/>
    <n v="1"/>
    <n v="0.46476929560654595"/>
    <n v="1"/>
    <n v="73.45"/>
    <n v="73.45"/>
    <n v="10.416288540152674"/>
    <n v="1460.6300320045759"/>
    <n v="1"/>
    <n v="0"/>
    <n v="0"/>
    <n v="0"/>
    <n v="0"/>
    <n v="0"/>
    <n v="0"/>
    <n v="0"/>
    <n v="0"/>
    <n v="0"/>
  </r>
  <r>
    <d v="2024-06-29T00:00:00"/>
    <n v="2024"/>
    <x v="17"/>
    <s v="R"/>
    <s v="RS"/>
    <x v="9"/>
    <s v="SEA"/>
    <s v="A"/>
    <n v="1"/>
    <n v="1"/>
    <n v="0"/>
    <n v="0"/>
    <n v="0"/>
    <n v="0"/>
    <n v="1410.5545068098722"/>
    <n v="1539.5628797453974"/>
    <n v="0.22685163328000568"/>
    <n v="76"/>
    <n v="97"/>
    <n v="0"/>
    <n v="-21"/>
    <n v="0"/>
    <n v="0.53144251135515552"/>
    <n v="1"/>
    <n v="73.3"/>
    <n v="73.3"/>
    <n v="-8.8369455042687886"/>
    <n v="1401.7175613056033"/>
    <n v="0"/>
    <n v="1"/>
    <n v="0"/>
    <n v="0"/>
    <n v="0"/>
    <n v="0"/>
    <n v="0"/>
    <n v="0"/>
    <n v="0"/>
    <n v="0"/>
  </r>
  <r>
    <d v="2024-06-29T00:00:00"/>
    <n v="2024"/>
    <x v="17"/>
    <s v="R"/>
    <s v="RS"/>
    <x v="5"/>
    <s v="DAL"/>
    <s v="H"/>
    <n v="1"/>
    <n v="1"/>
    <n v="0"/>
    <n v="0"/>
    <n v="0"/>
    <n v="0"/>
    <n v="1539.5628797453974"/>
    <n v="1410.5545068098722"/>
    <n v="0.77314836671999443"/>
    <n v="97"/>
    <n v="76"/>
    <n v="0"/>
    <n v="21"/>
    <n v="1"/>
    <n v="0.53144251135515552"/>
    <n v="1"/>
    <n v="73.3"/>
    <n v="73.3"/>
    <n v="8.8369455042687832"/>
    <n v="1548.3998252496663"/>
    <n v="1"/>
    <n v="0"/>
    <n v="0"/>
    <n v="0"/>
    <n v="0"/>
    <n v="0"/>
    <n v="0"/>
    <n v="0"/>
    <n v="0"/>
    <n v="0"/>
  </r>
  <r>
    <d v="2024-06-29T00:00:00"/>
    <n v="2024"/>
    <x v="15"/>
    <s v="R"/>
    <s v="RS"/>
    <x v="3"/>
    <s v="WAS"/>
    <s v="A"/>
    <n v="1"/>
    <n v="1"/>
    <n v="0"/>
    <n v="0"/>
    <n v="0"/>
    <n v="0"/>
    <n v="1617.4254480986106"/>
    <n v="1413.8437237161675"/>
    <n v="0.66560372405240997"/>
    <n v="88"/>
    <n v="77"/>
    <n v="0"/>
    <n v="11"/>
    <n v="1"/>
    <n v="0.37604020851823494"/>
    <n v="1"/>
    <n v="73.599999999999994"/>
    <n v="73.599999999999994"/>
    <n v="9.2549383766598989"/>
    <n v="1626.6803864752706"/>
    <n v="1"/>
    <n v="0"/>
    <n v="0"/>
    <n v="0"/>
    <n v="0"/>
    <n v="0"/>
    <n v="0"/>
    <n v="0"/>
    <n v="0"/>
    <n v="0"/>
  </r>
  <r>
    <d v="2024-06-29T00:00:00"/>
    <n v="2024"/>
    <x v="18"/>
    <s v="R"/>
    <s v="RS"/>
    <x v="7"/>
    <s v="LVA"/>
    <s v="H"/>
    <n v="1"/>
    <n v="1"/>
    <n v="0"/>
    <n v="0"/>
    <n v="0"/>
    <n v="0"/>
    <n v="1413.8437237161675"/>
    <n v="1617.4254480986106"/>
    <n v="0.33439627594759008"/>
    <n v="77"/>
    <n v="88"/>
    <n v="0"/>
    <n v="-11"/>
    <n v="0"/>
    <n v="0.37604020851823494"/>
    <n v="1"/>
    <n v="73.150000000000006"/>
    <n v="73.150000000000006"/>
    <n v="-9.198352476259128"/>
    <n v="1404.6453712399084"/>
    <n v="0"/>
    <n v="1"/>
    <n v="0"/>
    <n v="0"/>
    <n v="0"/>
    <n v="0"/>
    <n v="0"/>
    <n v="0"/>
    <n v="0"/>
    <n v="0"/>
  </r>
  <r>
    <d v="2024-06-30T00:00:00"/>
    <n v="2024"/>
    <x v="17"/>
    <s v="R"/>
    <s v="RS"/>
    <x v="4"/>
    <s v="CHI"/>
    <s v="A"/>
    <n v="2"/>
    <n v="2"/>
    <n v="0"/>
    <n v="0"/>
    <n v="0"/>
    <n v="0"/>
    <n v="1598.8134393679513"/>
    <n v="1449.4496385715534"/>
    <n v="0.59297177846831317"/>
    <n v="70"/>
    <n v="62"/>
    <n v="0"/>
    <n v="8"/>
    <n v="1"/>
    <n v="0.34533210519548901"/>
    <n v="1"/>
    <n v="73.3"/>
    <n v="73.3"/>
    <n v="10.303041594717124"/>
    <n v="1609.1164809626684"/>
    <n v="1"/>
    <n v="0"/>
    <n v="0"/>
    <n v="0"/>
    <n v="0"/>
    <n v="0"/>
    <n v="0"/>
    <n v="0"/>
    <n v="0"/>
    <n v="0"/>
  </r>
  <r>
    <d v="2024-06-30T00:00:00"/>
    <n v="2024"/>
    <x v="16"/>
    <s v="R"/>
    <s v="RS"/>
    <x v="8"/>
    <s v="MIN"/>
    <s v="H"/>
    <n v="2"/>
    <n v="2"/>
    <n v="0"/>
    <n v="0"/>
    <n v="0"/>
    <n v="0"/>
    <n v="1449.4496385715534"/>
    <n v="1598.8134393679513"/>
    <n v="0.40702822153168677"/>
    <n v="62"/>
    <n v="70"/>
    <n v="0"/>
    <n v="-8"/>
    <n v="0"/>
    <n v="0.34533210519548901"/>
    <n v="1"/>
    <n v="73.45"/>
    <n v="73.45"/>
    <n v="-10.324125581609449"/>
    <n v="1439.1255129899439"/>
    <n v="0"/>
    <n v="1"/>
    <n v="0"/>
    <n v="0"/>
    <n v="0"/>
    <n v="0"/>
    <n v="0"/>
    <n v="0"/>
    <n v="0"/>
    <n v="0"/>
  </r>
  <r>
    <d v="2024-06-30T00:00:00"/>
    <n v="2024"/>
    <x v="16"/>
    <s v="R"/>
    <s v="RS"/>
    <x v="10"/>
    <s v="NYL"/>
    <s v="A"/>
    <n v="1"/>
    <n v="6"/>
    <n v="-5"/>
    <n v="5"/>
    <n v="-16"/>
    <n v="16"/>
    <n v="1426.6921285228971"/>
    <n v="1678.9190852365966"/>
    <n v="0.107198237984508"/>
    <n v="75"/>
    <n v="81"/>
    <n v="0"/>
    <n v="-6"/>
    <n v="0"/>
    <n v="0.29026930767288756"/>
    <n v="1"/>
    <n v="73.45"/>
    <n v="73.45"/>
    <n v="-2.2854965188622929"/>
    <n v="1424.4066320040347"/>
    <n v="0"/>
    <n v="1"/>
    <n v="0"/>
    <n v="0"/>
    <n v="0"/>
    <n v="0"/>
    <n v="0"/>
    <n v="0"/>
    <n v="0"/>
    <n v="0"/>
  </r>
  <r>
    <d v="2024-06-30T00:00:00"/>
    <n v="2024"/>
    <x v="18"/>
    <s v="R"/>
    <s v="RS"/>
    <x v="6"/>
    <s v="ATL"/>
    <s v="H"/>
    <n v="6"/>
    <n v="1"/>
    <n v="5"/>
    <n v="-5"/>
    <n v="16"/>
    <n v="-16"/>
    <n v="1678.9190852365966"/>
    <n v="1426.6921285228971"/>
    <n v="0.892801762015492"/>
    <n v="81"/>
    <n v="75"/>
    <n v="0"/>
    <n v="6"/>
    <n v="1"/>
    <n v="0.29026930767288756"/>
    <n v="1"/>
    <n v="73.150000000000006"/>
    <n v="73.150000000000006"/>
    <n v="2.2761616113652376"/>
    <n v="1681.1952468479619"/>
    <n v="1"/>
    <n v="0"/>
    <n v="0"/>
    <n v="0"/>
    <n v="0"/>
    <n v="0"/>
    <n v="0"/>
    <n v="0"/>
    <n v="0"/>
    <n v="0"/>
  </r>
  <r>
    <d v="2024-06-30T00:00:00"/>
    <n v="2024"/>
    <x v="19"/>
    <s v="R"/>
    <s v="RS"/>
    <x v="0"/>
    <s v="PHX"/>
    <s v="A"/>
    <n v="2"/>
    <n v="1"/>
    <n v="1"/>
    <n v="-1"/>
    <n v="8"/>
    <n v="-8"/>
    <n v="1418.8466919684829"/>
    <n v="1460.6300320045759"/>
    <n v="0.34706540696722321"/>
    <n v="88"/>
    <n v="82"/>
    <n v="0"/>
    <n v="6"/>
    <n v="1"/>
    <n v="0.33946091859868072"/>
    <n v="1"/>
    <n v="73"/>
    <n v="73"/>
    <n v="16.180141701710639"/>
    <n v="1435.0268336701936"/>
    <n v="1"/>
    <n v="0"/>
    <n v="0"/>
    <n v="0"/>
    <n v="0"/>
    <n v="0"/>
    <n v="0"/>
    <n v="0"/>
    <n v="0"/>
    <n v="0"/>
  </r>
  <r>
    <d v="2024-06-30T00:00:00"/>
    <n v="2024"/>
    <x v="17"/>
    <s v="R"/>
    <s v="RS"/>
    <x v="2"/>
    <s v="IND"/>
    <s v="H"/>
    <n v="1"/>
    <n v="2"/>
    <n v="-1"/>
    <n v="1"/>
    <n v="-8"/>
    <n v="8"/>
    <n v="1460.6300320045759"/>
    <n v="1418.8466919684829"/>
    <n v="0.65293459303277668"/>
    <n v="82"/>
    <n v="88"/>
    <n v="0"/>
    <n v="-6"/>
    <n v="0"/>
    <n v="0.33946091859868072"/>
    <n v="1"/>
    <n v="73.3"/>
    <n v="73.3"/>
    <n v="-16.246635434731363"/>
    <n v="1444.3833965698445"/>
    <n v="0"/>
    <n v="1"/>
    <n v="0"/>
    <n v="0"/>
    <n v="0"/>
    <n v="0"/>
    <n v="0"/>
    <n v="0"/>
    <n v="0"/>
    <n v="0"/>
  </r>
  <r>
    <d v="2024-07-01T00:00:00"/>
    <n v="2024"/>
    <x v="18"/>
    <s v="R"/>
    <s v="RS"/>
    <x v="1"/>
    <s v="PHX"/>
    <s v="A"/>
    <n v="2"/>
    <n v="0"/>
    <n v="2"/>
    <n v="-2"/>
    <n v="16"/>
    <n v="-16"/>
    <n v="1603.9433566036903"/>
    <n v="1444.3833965698445"/>
    <n v="0.65002859462657558"/>
    <n v="83"/>
    <n v="72"/>
    <n v="0"/>
    <n v="11"/>
    <n v="1"/>
    <n v="0.38821617275049658"/>
    <n v="1"/>
    <n v="73.150000000000006"/>
    <n v="73.150000000000006"/>
    <n v="9.9384925322663165"/>
    <n v="1613.8818491359566"/>
    <n v="1"/>
    <n v="0"/>
    <n v="0"/>
    <n v="0"/>
    <n v="0"/>
    <n v="0"/>
    <n v="0"/>
    <n v="0"/>
    <n v="0"/>
    <n v="0"/>
  </r>
  <r>
    <d v="2024-07-01T00:00:00"/>
    <n v="2024"/>
    <x v="18"/>
    <s v="R"/>
    <s v="RS"/>
    <x v="2"/>
    <s v="CON"/>
    <s v="H"/>
    <n v="0"/>
    <n v="2"/>
    <n v="-2"/>
    <n v="2"/>
    <n v="-16"/>
    <n v="16"/>
    <n v="1444.3833965698445"/>
    <n v="1603.9433566036903"/>
    <n v="0.34997140537342436"/>
    <n v="72"/>
    <n v="83"/>
    <n v="0"/>
    <n v="-11"/>
    <n v="0"/>
    <n v="0.38821617275049658"/>
    <n v="1"/>
    <n v="73.150000000000006"/>
    <n v="73.150000000000006"/>
    <n v="-9.9384925322663147"/>
    <n v="1434.4449040375782"/>
    <n v="0"/>
    <n v="1"/>
    <n v="0"/>
    <n v="0"/>
    <n v="0"/>
    <n v="0"/>
    <n v="0"/>
    <n v="0"/>
    <n v="0"/>
    <n v="0"/>
  </r>
  <r>
    <d v="2024-07-01T00:00:00"/>
    <n v="2024"/>
    <x v="18"/>
    <s v="R"/>
    <s v="RS"/>
    <x v="9"/>
    <s v="SEA"/>
    <s v="A"/>
    <n v="1"/>
    <n v="1"/>
    <n v="0"/>
    <n v="0"/>
    <n v="0"/>
    <n v="0"/>
    <n v="1401.7175613056033"/>
    <n v="1548.3998252496663"/>
    <n v="0.20950464735352345"/>
    <n v="71"/>
    <n v="95"/>
    <n v="0"/>
    <n v="-24"/>
    <n v="0"/>
    <n v="0.55998147263717712"/>
    <n v="1"/>
    <n v="73.150000000000006"/>
    <n v="73.150000000000006"/>
    <n v="-8.5818644374455779"/>
    <n v="1393.1356968681578"/>
    <n v="0"/>
    <n v="1"/>
    <n v="0"/>
    <n v="0"/>
    <n v="0"/>
    <n v="0"/>
    <n v="0"/>
    <n v="0"/>
    <n v="0"/>
    <n v="0"/>
  </r>
  <r>
    <d v="2024-07-01T00:00:00"/>
    <n v="2024"/>
    <x v="18"/>
    <s v="R"/>
    <s v="RS"/>
    <x v="5"/>
    <s v="DAL"/>
    <s v="H"/>
    <n v="1"/>
    <n v="1"/>
    <n v="0"/>
    <n v="0"/>
    <n v="0"/>
    <n v="0"/>
    <n v="1548.3998252496663"/>
    <n v="1401.7175613056033"/>
    <n v="0.79049535264647652"/>
    <n v="95"/>
    <n v="71"/>
    <n v="0"/>
    <n v="24"/>
    <n v="1"/>
    <n v="0.55998147263717712"/>
    <n v="1"/>
    <n v="73.150000000000006"/>
    <n v="73.150000000000006"/>
    <n v="8.5818644374455797"/>
    <n v="1556.9816896871118"/>
    <n v="1"/>
    <n v="0"/>
    <n v="0"/>
    <n v="0"/>
    <n v="0"/>
    <n v="0"/>
    <n v="0"/>
    <n v="0"/>
    <n v="0"/>
    <n v="0"/>
  </r>
  <r>
    <d v="2024-07-02T00:00:00"/>
    <n v="2024"/>
    <x v="17"/>
    <s v="R"/>
    <s v="RS"/>
    <x v="8"/>
    <s v="ATL"/>
    <s v="A"/>
    <n v="1"/>
    <n v="1"/>
    <n v="0"/>
    <n v="0"/>
    <n v="0"/>
    <n v="0"/>
    <n v="1439.1255129899439"/>
    <n v="1424.4066320040347"/>
    <n v="0.40159727927635447"/>
    <n v="85"/>
    <n v="77"/>
    <n v="0"/>
    <n v="8"/>
    <n v="1"/>
    <n v="0.38361027337074211"/>
    <n v="1"/>
    <n v="73.3"/>
    <n v="73.3"/>
    <n v="16.826266513014104"/>
    <n v="1455.9517795029581"/>
    <n v="1"/>
    <n v="0"/>
    <n v="0"/>
    <n v="0"/>
    <n v="0"/>
    <n v="0"/>
    <n v="0"/>
    <n v="0"/>
    <n v="0"/>
    <n v="0"/>
  </r>
  <r>
    <d v="2024-07-02T00:00:00"/>
    <n v="2024"/>
    <x v="17"/>
    <s v="R"/>
    <s v="RS"/>
    <x v="10"/>
    <s v="CHI"/>
    <s v="H"/>
    <n v="1"/>
    <n v="1"/>
    <n v="0"/>
    <n v="0"/>
    <n v="0"/>
    <n v="0"/>
    <n v="1424.4066320040347"/>
    <n v="1439.1255129899439"/>
    <n v="0.59840272072364553"/>
    <n v="77"/>
    <n v="85"/>
    <n v="0"/>
    <n v="-8"/>
    <n v="0"/>
    <n v="0.38361027337074211"/>
    <n v="1"/>
    <n v="73.3"/>
    <n v="73.3"/>
    <n v="-16.826266513014104"/>
    <n v="1407.5803654910205"/>
    <n v="0"/>
    <n v="1"/>
    <n v="0"/>
    <n v="0"/>
    <n v="0"/>
    <n v="0"/>
    <n v="0"/>
    <n v="0"/>
    <n v="0"/>
    <n v="0"/>
  </r>
  <r>
    <d v="2024-07-02T00:00:00"/>
    <n v="2024"/>
    <x v="19"/>
    <s v="R"/>
    <s v="RS"/>
    <x v="7"/>
    <s v="LAS"/>
    <s v="A"/>
    <n v="2"/>
    <n v="3"/>
    <n v="-1"/>
    <n v="1"/>
    <n v="-8"/>
    <n v="8"/>
    <n v="1404.6453712399084"/>
    <n v="1380.8506116077524"/>
    <n v="0.39205730127011323"/>
    <n v="82"/>
    <n v="80"/>
    <n v="0"/>
    <n v="2"/>
    <n v="1"/>
    <n v="0.26263356861260956"/>
    <n v="1"/>
    <n v="73"/>
    <n v="73"/>
    <n v="11.655629714996985"/>
    <n v="1416.3010009549055"/>
    <n v="1"/>
    <n v="0"/>
    <n v="0"/>
    <n v="0"/>
    <n v="0"/>
    <n v="0"/>
    <n v="0"/>
    <n v="0"/>
    <n v="0"/>
    <n v="0"/>
  </r>
  <r>
    <d v="2024-07-02T00:00:00"/>
    <n v="2024"/>
    <x v="18"/>
    <s v="R"/>
    <s v="RS"/>
    <x v="11"/>
    <s v="WAS"/>
    <s v="H"/>
    <n v="3"/>
    <n v="2"/>
    <n v="1"/>
    <n v="-1"/>
    <n v="8"/>
    <n v="-8"/>
    <n v="1380.8506116077524"/>
    <n v="1404.6453712399084"/>
    <n v="0.60794269872988682"/>
    <n v="80"/>
    <n v="82"/>
    <n v="0"/>
    <n v="-2"/>
    <n v="0"/>
    <n v="0.26263356861260956"/>
    <n v="1"/>
    <n v="73.150000000000006"/>
    <n v="73.150000000000006"/>
    <n v="-11.679579639068898"/>
    <n v="1369.1710319686836"/>
    <n v="0"/>
    <n v="1"/>
    <n v="0"/>
    <n v="0"/>
    <n v="0"/>
    <n v="0"/>
    <n v="0"/>
    <n v="0"/>
    <n v="0"/>
    <n v="0"/>
  </r>
  <r>
    <d v="2024-07-02T00:00:00"/>
    <n v="2024"/>
    <x v="20"/>
    <s v="R"/>
    <s v="RS"/>
    <x v="0"/>
    <s v="LVA"/>
    <s v="A"/>
    <n v="1"/>
    <n v="2"/>
    <n v="-1"/>
    <n v="1"/>
    <n v="-8"/>
    <n v="8"/>
    <n v="1435.0268336701936"/>
    <n v="1626.6803864752706"/>
    <n v="0.15724213508774315"/>
    <n v="69"/>
    <n v="88"/>
    <n v="0"/>
    <n v="-19"/>
    <n v="0"/>
    <n v="0.48372174663072071"/>
    <n v="1"/>
    <n v="72.849999999999994"/>
    <n v="72.849999999999994"/>
    <n v="-5.5410759206525517"/>
    <n v="1429.4857577495411"/>
    <n v="0"/>
    <n v="1"/>
    <n v="0"/>
    <n v="0"/>
    <n v="0"/>
    <n v="0"/>
    <n v="0"/>
    <n v="0"/>
    <n v="0"/>
    <n v="0"/>
  </r>
  <r>
    <d v="2024-07-02T00:00:00"/>
    <n v="2024"/>
    <x v="16"/>
    <s v="R"/>
    <s v="RS"/>
    <x v="3"/>
    <s v="IND"/>
    <s v="H"/>
    <n v="2"/>
    <n v="1"/>
    <n v="1"/>
    <n v="-1"/>
    <n v="8"/>
    <n v="-8"/>
    <n v="1626.6803864752706"/>
    <n v="1435.0268336701936"/>
    <n v="0.8427578649122569"/>
    <n v="88"/>
    <n v="69"/>
    <n v="0"/>
    <n v="19"/>
    <n v="1"/>
    <n v="0.48372174663072071"/>
    <n v="1"/>
    <n v="73.45"/>
    <n v="73.45"/>
    <n v="5.586712784789702"/>
    <n v="1632.2670992600601"/>
    <n v="1"/>
    <n v="0"/>
    <n v="0"/>
    <n v="0"/>
    <n v="0"/>
    <n v="0"/>
    <n v="0"/>
    <n v="0"/>
    <n v="0"/>
    <n v="0"/>
  </r>
  <r>
    <d v="2024-07-02T00:00:00"/>
    <n v="2024"/>
    <x v="18"/>
    <s v="R"/>
    <s v="RS"/>
    <x v="4"/>
    <s v="NYL"/>
    <s v="A"/>
    <n v="1"/>
    <n v="1"/>
    <n v="0"/>
    <n v="0"/>
    <n v="0"/>
    <n v="0"/>
    <n v="1609.1164809626684"/>
    <n v="1681.1952468479619"/>
    <n v="0.28936674178910343"/>
    <n v="67"/>
    <n v="76"/>
    <n v="0"/>
    <n v="-9"/>
    <n v="0"/>
    <n v="0.38296829224851658"/>
    <n v="1"/>
    <n v="73.150000000000006"/>
    <n v="73.150000000000006"/>
    <n v="-8.1063576894042733"/>
    <n v="1601.0101232732641"/>
    <n v="0"/>
    <n v="1"/>
    <n v="0"/>
    <n v="0"/>
    <n v="0"/>
    <n v="0"/>
    <n v="0"/>
    <n v="0"/>
    <n v="0"/>
    <n v="0"/>
  </r>
  <r>
    <d v="2024-07-02T00:00:00"/>
    <n v="2024"/>
    <x v="19"/>
    <s v="R"/>
    <s v="RS"/>
    <x v="6"/>
    <s v="MIN"/>
    <s v="H"/>
    <n v="1"/>
    <n v="1"/>
    <n v="0"/>
    <n v="0"/>
    <n v="0"/>
    <n v="0"/>
    <n v="1681.1952468479619"/>
    <n v="1609.1164809626684"/>
    <n v="0.71063325821089662"/>
    <n v="76"/>
    <n v="67"/>
    <n v="0"/>
    <n v="9"/>
    <n v="1"/>
    <n v="0.38296829224851658"/>
    <n v="1"/>
    <n v="73"/>
    <n v="73"/>
    <n v="8.089734946363798"/>
    <n v="1689.2849817943256"/>
    <n v="1"/>
    <n v="0"/>
    <n v="0"/>
    <n v="0"/>
    <n v="0"/>
    <n v="0"/>
    <n v="0"/>
    <n v="0"/>
    <n v="0"/>
    <n v="0"/>
  </r>
  <r>
    <d v="2024-07-03T00:00:00"/>
    <n v="2024"/>
    <x v="19"/>
    <s v="R"/>
    <s v="RS"/>
    <x v="2"/>
    <s v="DAL"/>
    <s v="A"/>
    <n v="1"/>
    <n v="1"/>
    <n v="0"/>
    <n v="0"/>
    <n v="0"/>
    <n v="0"/>
    <n v="1434.4449040375782"/>
    <n v="1393.1356968681578"/>
    <n v="0.43887034676937531"/>
    <n v="104"/>
    <n v="96"/>
    <n v="0"/>
    <n v="8"/>
    <n v="1"/>
    <n v="0.37539288302403395"/>
    <n v="1"/>
    <n v="73"/>
    <n v="73"/>
    <n v="15.377017714186007"/>
    <n v="1449.8219217517642"/>
    <n v="1"/>
    <n v="0"/>
    <n v="0"/>
    <n v="0"/>
    <n v="0"/>
    <n v="0"/>
    <n v="0"/>
    <n v="0"/>
    <n v="0"/>
    <n v="0"/>
  </r>
  <r>
    <d v="2024-07-03T00:00:00"/>
    <n v="2024"/>
    <x v="19"/>
    <s v="R"/>
    <s v="RS"/>
    <x v="9"/>
    <s v="PHX"/>
    <s v="H"/>
    <n v="1"/>
    <n v="1"/>
    <n v="0"/>
    <n v="0"/>
    <n v="0"/>
    <n v="0"/>
    <n v="1393.1356968681578"/>
    <n v="1434.4449040375782"/>
    <n v="0.56112965323062469"/>
    <n v="96"/>
    <n v="104"/>
    <n v="0"/>
    <n v="-8"/>
    <n v="0"/>
    <n v="0.37539288302403395"/>
    <n v="1"/>
    <n v="73"/>
    <n v="73"/>
    <n v="-15.377017714186007"/>
    <n v="1377.7586791539718"/>
    <n v="0"/>
    <n v="1"/>
    <n v="0"/>
    <n v="0"/>
    <n v="0"/>
    <n v="0"/>
    <n v="0"/>
    <n v="0"/>
    <n v="0"/>
    <n v="0"/>
  </r>
  <r>
    <d v="2024-07-04T00:00:00"/>
    <n v="2024"/>
    <x v="20"/>
    <s v="R"/>
    <s v="RS"/>
    <x v="7"/>
    <s v="LVA"/>
    <s v="A"/>
    <n v="1"/>
    <n v="1"/>
    <n v="0"/>
    <n v="0"/>
    <n v="0"/>
    <n v="0"/>
    <n v="1416.3010009549055"/>
    <n v="1632.2670992600601"/>
    <n v="0.15100457465801626"/>
    <n v="77"/>
    <n v="98"/>
    <n v="0"/>
    <n v="-21"/>
    <n v="0"/>
    <n v="0.49880540796159073"/>
    <n v="1"/>
    <n v="72.849999999999994"/>
    <n v="72.849999999999994"/>
    <n v="-5.4872003032742009"/>
    <n v="1410.8138006516313"/>
    <n v="0"/>
    <n v="1"/>
    <n v="0"/>
    <n v="0"/>
    <n v="0"/>
    <n v="0"/>
    <n v="0"/>
    <n v="0"/>
    <n v="0"/>
    <n v="0"/>
  </r>
  <r>
    <d v="2024-07-04T00:00:00"/>
    <n v="2024"/>
    <x v="17"/>
    <s v="R"/>
    <s v="RS"/>
    <x v="3"/>
    <s v="WAS"/>
    <s v="H"/>
    <n v="1"/>
    <n v="1"/>
    <n v="0"/>
    <n v="0"/>
    <n v="0"/>
    <n v="0"/>
    <n v="1632.2670992600601"/>
    <n v="1416.3010009549055"/>
    <n v="0.84899542534198369"/>
    <n v="98"/>
    <n v="77"/>
    <n v="0"/>
    <n v="21"/>
    <n v="1"/>
    <n v="0.49880540796159073"/>
    <n v="1"/>
    <n v="73.3"/>
    <n v="73.3"/>
    <n v="5.5210951575840639"/>
    <n v="1637.7881944176443"/>
    <n v="1"/>
    <n v="0"/>
    <n v="0"/>
    <n v="0"/>
    <n v="0"/>
    <n v="0"/>
    <n v="0"/>
    <n v="0"/>
    <n v="0"/>
    <n v="0"/>
  </r>
  <r>
    <d v="2024-07-04T00:00:00"/>
    <n v="2024"/>
    <x v="19"/>
    <s v="R"/>
    <s v="RS"/>
    <x v="1"/>
    <s v="MIN"/>
    <s v="A"/>
    <n v="2"/>
    <n v="1"/>
    <n v="1"/>
    <n v="-1"/>
    <n v="8"/>
    <n v="-8"/>
    <n v="1613.8818491359566"/>
    <n v="1601.0101232732641"/>
    <n v="0.42132320663782474"/>
    <n v="78"/>
    <n v="73"/>
    <n v="0"/>
    <n v="5"/>
    <n v="1"/>
    <n v="0.32823518107022503"/>
    <n v="1"/>
    <n v="73"/>
    <n v="73"/>
    <n v="13.865771989677068"/>
    <n v="1627.7476211256337"/>
    <n v="1"/>
    <n v="0"/>
    <n v="0"/>
    <n v="0"/>
    <n v="0"/>
    <n v="0"/>
    <n v="0"/>
    <n v="0"/>
    <n v="0"/>
    <n v="0"/>
  </r>
  <r>
    <d v="2024-07-04T00:00:00"/>
    <n v="2024"/>
    <x v="19"/>
    <s v="R"/>
    <s v="RS"/>
    <x v="4"/>
    <s v="CON"/>
    <s v="H"/>
    <n v="1"/>
    <n v="2"/>
    <n v="-1"/>
    <n v="1"/>
    <n v="-8"/>
    <n v="8"/>
    <n v="1601.0101232732641"/>
    <n v="1613.8818491359566"/>
    <n v="0.57867679336217526"/>
    <n v="73"/>
    <n v="78"/>
    <n v="0"/>
    <n v="-5"/>
    <n v="0"/>
    <n v="0.32823518107022503"/>
    <n v="1"/>
    <n v="73"/>
    <n v="73"/>
    <n v="-13.865771989677068"/>
    <n v="1587.144351283587"/>
    <n v="0"/>
    <n v="1"/>
    <n v="0"/>
    <n v="0"/>
    <n v="0"/>
    <n v="0"/>
    <n v="0"/>
    <n v="0"/>
    <n v="0"/>
    <n v="0"/>
  </r>
  <r>
    <d v="2024-07-05T00:00:00"/>
    <n v="2024"/>
    <x v="18"/>
    <s v="R"/>
    <s v="RS"/>
    <x v="10"/>
    <s v="DAL"/>
    <s v="A"/>
    <n v="2"/>
    <n v="1"/>
    <n v="1"/>
    <n v="-1"/>
    <n v="8"/>
    <n v="-8"/>
    <n v="1407.5803654910205"/>
    <n v="1377.7586791539718"/>
    <n v="0.44527707159326557"/>
    <n v="82"/>
    <n v="85"/>
    <n v="0"/>
    <n v="-3"/>
    <n v="0"/>
    <n v="0.28314692218154242"/>
    <n v="1"/>
    <n v="73.150000000000006"/>
    <n v="73.150000000000006"/>
    <n v="-9.2226665856449195"/>
    <n v="1398.3576989053756"/>
    <n v="0"/>
    <n v="1"/>
    <n v="0"/>
    <n v="0"/>
    <n v="0"/>
    <n v="0"/>
    <n v="0"/>
    <n v="0"/>
    <n v="0"/>
    <n v="0"/>
  </r>
  <r>
    <d v="2024-07-05T00:00:00"/>
    <n v="2024"/>
    <x v="20"/>
    <s v="R"/>
    <s v="RS"/>
    <x v="9"/>
    <s v="ATL"/>
    <s v="H"/>
    <n v="1"/>
    <n v="2"/>
    <n v="-1"/>
    <n v="1"/>
    <n v="-8"/>
    <n v="8"/>
    <n v="1377.7586791539718"/>
    <n v="1407.5803654910205"/>
    <n v="0.55472292840673443"/>
    <n v="85"/>
    <n v="82"/>
    <n v="0"/>
    <n v="3"/>
    <n v="1"/>
    <n v="0.28314692218154242"/>
    <n v="1"/>
    <n v="72.849999999999994"/>
    <n v="72.849999999999994"/>
    <n v="9.1848429359430241"/>
    <n v="1386.9435220899147"/>
    <n v="1"/>
    <n v="0"/>
    <n v="0"/>
    <n v="0"/>
    <n v="0"/>
    <n v="0"/>
    <n v="0"/>
    <n v="0"/>
    <n v="0"/>
    <n v="0"/>
  </r>
  <r>
    <d v="2024-07-05T00:00:00"/>
    <n v="2024"/>
    <x v="18"/>
    <s v="R"/>
    <s v="RS"/>
    <x v="3"/>
    <s v="LAS"/>
    <s v="A"/>
    <n v="0"/>
    <n v="2"/>
    <n v="-2"/>
    <n v="2"/>
    <n v="-16"/>
    <n v="16"/>
    <n v="1637.7881944176443"/>
    <n v="1369.1710319686836"/>
    <n v="0.70651854679596993"/>
    <n v="93"/>
    <n v="98"/>
    <n v="1"/>
    <n v="-5"/>
    <n v="0"/>
    <n v="0.24396858668100954"/>
    <n v="1"/>
    <n v="73.150000000000006"/>
    <n v="73.150000000000006"/>
    <n v="-12.608743436477406"/>
    <n v="1625.1794509811668"/>
    <n v="0"/>
    <n v="1"/>
    <n v="0"/>
    <n v="0"/>
    <n v="0"/>
    <n v="0"/>
    <n v="0"/>
    <n v="0"/>
    <n v="0"/>
    <n v="0"/>
  </r>
  <r>
    <d v="2024-07-05T00:00:00"/>
    <n v="2024"/>
    <x v="19"/>
    <s v="R"/>
    <s v="RS"/>
    <x v="11"/>
    <s v="LVA"/>
    <s v="H"/>
    <n v="2"/>
    <n v="0"/>
    <n v="2"/>
    <n v="-2"/>
    <n v="16"/>
    <n v="-16"/>
    <n v="1369.1710319686836"/>
    <n v="1637.7881944176443"/>
    <n v="0.29348145320403013"/>
    <n v="98"/>
    <n v="93"/>
    <n v="1"/>
    <n v="5"/>
    <n v="1"/>
    <n v="0.24396858668100954"/>
    <n v="1"/>
    <n v="73"/>
    <n v="73"/>
    <n v="12.582888186778543"/>
    <n v="1381.7539201554621"/>
    <n v="1"/>
    <n v="0"/>
    <n v="0"/>
    <n v="0"/>
    <n v="0"/>
    <n v="0"/>
    <n v="0"/>
    <n v="0"/>
    <n v="0"/>
    <n v="0"/>
  </r>
  <r>
    <d v="2024-07-05T00:00:00"/>
    <n v="2024"/>
    <x v="18"/>
    <s v="R"/>
    <s v="RS"/>
    <x v="8"/>
    <s v="SEA"/>
    <s v="A"/>
    <n v="2"/>
    <n v="3"/>
    <n v="-1"/>
    <n v="1"/>
    <n v="-8"/>
    <n v="8"/>
    <n v="1455.9517795029581"/>
    <n v="1556.9816896871118"/>
    <n v="0.23917257674322343"/>
    <n v="88"/>
    <n v="84"/>
    <n v="0"/>
    <n v="4"/>
    <n v="1"/>
    <n v="0.28724880109155776"/>
    <n v="1"/>
    <n v="73.150000000000006"/>
    <n v="73.150000000000006"/>
    <n v="15.986695872045656"/>
    <n v="1471.9384753750037"/>
    <n v="1"/>
    <n v="0"/>
    <n v="0"/>
    <n v="0"/>
    <n v="0"/>
    <n v="0"/>
    <n v="0"/>
    <n v="0"/>
    <n v="0"/>
    <n v="0"/>
  </r>
  <r>
    <d v="2024-07-05T00:00:00"/>
    <n v="2024"/>
    <x v="19"/>
    <s v="R"/>
    <s v="RS"/>
    <x v="5"/>
    <s v="CHI"/>
    <s v="H"/>
    <n v="3"/>
    <n v="2"/>
    <n v="1"/>
    <n v="-1"/>
    <n v="8"/>
    <n v="-8"/>
    <n v="1556.9816896871118"/>
    <n v="1455.9517795029581"/>
    <n v="0.76082742325677655"/>
    <n v="84"/>
    <n v="88"/>
    <n v="0"/>
    <n v="-4"/>
    <n v="0"/>
    <n v="0.28724880109155776"/>
    <n v="1"/>
    <n v="73"/>
    <n v="73"/>
    <n v="-15.953913857270441"/>
    <n v="1541.0277758298414"/>
    <n v="0"/>
    <n v="1"/>
    <n v="0"/>
    <n v="0"/>
    <n v="0"/>
    <n v="0"/>
    <n v="0"/>
    <n v="0"/>
    <n v="0"/>
    <n v="0"/>
  </r>
  <r>
    <d v="2024-07-06T00:00:00"/>
    <n v="2024"/>
    <x v="20"/>
    <s v="R"/>
    <s v="RS"/>
    <x v="6"/>
    <s v="IND"/>
    <s v="A"/>
    <n v="3"/>
    <n v="3"/>
    <n v="0"/>
    <n v="0"/>
    <n v="0"/>
    <n v="0"/>
    <n v="1689.2849817943256"/>
    <n v="1429.4857577495411"/>
    <n v="0.73340778839357768"/>
    <n v="78"/>
    <n v="83"/>
    <n v="0"/>
    <n v="-5"/>
    <n v="0"/>
    <n v="0.27271364718939178"/>
    <n v="1"/>
    <n v="72.849999999999994"/>
    <n v="72.849999999999994"/>
    <n v="-14.570751291116544"/>
    <n v="1674.7142305032091"/>
    <n v="0"/>
    <n v="1"/>
    <n v="0"/>
    <n v="0"/>
    <n v="0"/>
    <n v="0"/>
    <n v="0"/>
    <n v="0"/>
    <n v="0"/>
    <n v="0"/>
  </r>
  <r>
    <d v="2024-07-06T00:00:00"/>
    <n v="2024"/>
    <x v="21"/>
    <s v="R"/>
    <s v="RS"/>
    <x v="0"/>
    <s v="NYL"/>
    <s v="H"/>
    <n v="3"/>
    <n v="3"/>
    <n v="0"/>
    <n v="0"/>
    <n v="0"/>
    <n v="0"/>
    <n v="1429.4857577495411"/>
    <n v="1689.2849817943256"/>
    <n v="0.26659221160642232"/>
    <n v="83"/>
    <n v="78"/>
    <n v="0"/>
    <n v="5"/>
    <n v="1"/>
    <n v="0.27271364718939178"/>
    <n v="1"/>
    <n v="72.7"/>
    <n v="72.7"/>
    <n v="14.540749744189059"/>
    <n v="1444.0265074937302"/>
    <n v="1"/>
    <n v="0"/>
    <n v="0"/>
    <n v="0"/>
    <n v="0"/>
    <n v="0"/>
    <n v="0"/>
    <n v="0"/>
    <n v="0"/>
    <n v="0"/>
  </r>
  <r>
    <d v="2024-07-06T00:00:00"/>
    <n v="2024"/>
    <x v="21"/>
    <s v="R"/>
    <s v="RS"/>
    <x v="7"/>
    <s v="MIN"/>
    <s v="A"/>
    <n v="1"/>
    <n v="1"/>
    <n v="0"/>
    <n v="0"/>
    <n v="0"/>
    <n v="0"/>
    <n v="1410.8138006516313"/>
    <n v="1587.144351283587"/>
    <n v="0.18263694259537736"/>
    <n v="67"/>
    <n v="74"/>
    <n v="0"/>
    <n v="-7"/>
    <n v="0"/>
    <n v="0.32269036444817562"/>
    <n v="1"/>
    <n v="72.7"/>
    <n v="72.7"/>
    <n v="-4.2845876999792667"/>
    <n v="1406.529212951652"/>
    <n v="0"/>
    <n v="1"/>
    <n v="0"/>
    <n v="0"/>
    <n v="0"/>
    <n v="0"/>
    <n v="0"/>
    <n v="0"/>
    <n v="0"/>
    <n v="0"/>
  </r>
  <r>
    <d v="2024-07-06T00:00:00"/>
    <n v="2024"/>
    <x v="20"/>
    <s v="R"/>
    <s v="RS"/>
    <x v="4"/>
    <s v="WAS"/>
    <s v="H"/>
    <n v="1"/>
    <n v="1"/>
    <n v="0"/>
    <n v="0"/>
    <n v="0"/>
    <n v="0"/>
    <n v="1587.144351283587"/>
    <n v="1410.8138006516313"/>
    <n v="0.81736305740462256"/>
    <n v="74"/>
    <n v="67"/>
    <n v="0"/>
    <n v="7"/>
    <n v="1"/>
    <n v="0.32269036444817562"/>
    <n v="1"/>
    <n v="72.849999999999994"/>
    <n v="72.849999999999994"/>
    <n v="4.2934279772144395"/>
    <n v="1591.4377792608013"/>
    <n v="1"/>
    <n v="0"/>
    <n v="0"/>
    <n v="0"/>
    <n v="0"/>
    <n v="0"/>
    <n v="0"/>
    <n v="0"/>
    <n v="0"/>
    <n v="0"/>
  </r>
  <r>
    <d v="2024-07-07T00:00:00"/>
    <n v="2024"/>
    <x v="19"/>
    <s v="R"/>
    <s v="RS"/>
    <x v="10"/>
    <s v="CON"/>
    <s v="A"/>
    <n v="1"/>
    <n v="2"/>
    <n v="-1"/>
    <n v="1"/>
    <n v="-8"/>
    <n v="8"/>
    <n v="1398.3576989053756"/>
    <n v="1627.7476211256337"/>
    <n v="0.13054815223170863"/>
    <n v="67"/>
    <n v="80"/>
    <n v="0"/>
    <n v="-13"/>
    <n v="0"/>
    <n v="0.39628970232074651"/>
    <n v="1"/>
    <n v="73"/>
    <n v="73"/>
    <n v="-3.7766468522091934"/>
    <n v="1394.5810520531663"/>
    <n v="0"/>
    <n v="1"/>
    <n v="0"/>
    <n v="0"/>
    <n v="0"/>
    <n v="0"/>
    <n v="0"/>
    <n v="0"/>
    <n v="0"/>
    <n v="0"/>
  </r>
  <r>
    <d v="2024-07-07T00:00:00"/>
    <n v="2024"/>
    <x v="20"/>
    <s v="R"/>
    <s v="RS"/>
    <x v="1"/>
    <s v="ATL"/>
    <s v="H"/>
    <n v="2"/>
    <n v="1"/>
    <n v="1"/>
    <n v="-1"/>
    <n v="8"/>
    <n v="-8"/>
    <n v="1627.7476211256337"/>
    <n v="1398.3576989053756"/>
    <n v="0.86945184776829143"/>
    <n v="80"/>
    <n v="67"/>
    <n v="0"/>
    <n v="13"/>
    <n v="1"/>
    <n v="0.39628970232074651"/>
    <n v="1"/>
    <n v="72.849999999999994"/>
    <n v="72.849999999999994"/>
    <n v="3.7688866189512278"/>
    <n v="1631.5165077445849"/>
    <n v="1"/>
    <n v="0"/>
    <n v="0"/>
    <n v="0"/>
    <n v="0"/>
    <n v="0"/>
    <n v="0"/>
    <n v="0"/>
    <n v="0"/>
    <n v="0"/>
  </r>
  <r>
    <d v="2024-07-07T00:00:00"/>
    <n v="2024"/>
    <x v="20"/>
    <s v="R"/>
    <s v="RS"/>
    <x v="2"/>
    <s v="LAS"/>
    <s v="A"/>
    <n v="3"/>
    <n v="1"/>
    <n v="2"/>
    <n v="-2"/>
    <n v="16"/>
    <n v="-16"/>
    <n v="1449.8219217517642"/>
    <n v="1381.7539201554621"/>
    <n v="0.52310724133144459"/>
    <n v="84"/>
    <n v="78"/>
    <n v="0"/>
    <n v="6"/>
    <n v="1"/>
    <n v="0.33242453305228109"/>
    <n v="1"/>
    <n v="72.849999999999994"/>
    <n v="72.849999999999994"/>
    <n v="11.548972613105374"/>
    <n v="1461.3708943648696"/>
    <n v="1"/>
    <n v="0"/>
    <n v="0"/>
    <n v="0"/>
    <n v="0"/>
    <n v="0"/>
    <n v="0"/>
    <n v="0"/>
    <n v="0"/>
    <n v="0"/>
  </r>
  <r>
    <d v="2024-07-07T00:00:00"/>
    <n v="2024"/>
    <x v="20"/>
    <s v="R"/>
    <s v="RS"/>
    <x v="11"/>
    <s v="PHX"/>
    <s v="H"/>
    <n v="1"/>
    <n v="3"/>
    <n v="-2"/>
    <n v="2"/>
    <n v="-16"/>
    <n v="16"/>
    <n v="1381.7539201554621"/>
    <n v="1449.8219217517642"/>
    <n v="0.47689275866855541"/>
    <n v="78"/>
    <n v="84"/>
    <n v="0"/>
    <n v="-6"/>
    <n v="0"/>
    <n v="0.33242453305228109"/>
    <n v="1"/>
    <n v="72.849999999999994"/>
    <n v="72.849999999999994"/>
    <n v="-11.548972613105374"/>
    <n v="1370.2049475423566"/>
    <n v="0"/>
    <n v="1"/>
    <n v="0"/>
    <n v="0"/>
    <n v="0"/>
    <n v="0"/>
    <n v="0"/>
    <n v="0"/>
    <n v="0"/>
    <n v="0"/>
  </r>
  <r>
    <d v="2024-07-07T00:00:00"/>
    <n v="2024"/>
    <x v="21"/>
    <s v="R"/>
    <s v="RS"/>
    <x v="9"/>
    <s v="LVA"/>
    <s v="A"/>
    <n v="1"/>
    <n v="1"/>
    <n v="0"/>
    <n v="0"/>
    <n v="0"/>
    <n v="0"/>
    <n v="1386.9435220899147"/>
    <n v="1625.1794509811668"/>
    <n v="0.13529403050378117"/>
    <n v="85"/>
    <n v="104"/>
    <n v="0"/>
    <n v="-19"/>
    <n v="0"/>
    <n v="0.46805470072401428"/>
    <n v="1"/>
    <n v="72.7"/>
    <n v="72.7"/>
    <n v="-4.6037280057879277"/>
    <n v="1382.3397940841269"/>
    <n v="0"/>
    <n v="1"/>
    <n v="0"/>
    <n v="0"/>
    <n v="0"/>
    <n v="0"/>
    <n v="0"/>
    <n v="0"/>
    <n v="0"/>
    <n v="0"/>
  </r>
  <r>
    <d v="2024-07-07T00:00:00"/>
    <n v="2024"/>
    <x v="19"/>
    <s v="R"/>
    <s v="RS"/>
    <x v="3"/>
    <s v="DAL"/>
    <s v="H"/>
    <n v="1"/>
    <n v="1"/>
    <n v="0"/>
    <n v="0"/>
    <n v="0"/>
    <n v="0"/>
    <n v="1625.1794509811668"/>
    <n v="1386.9435220899147"/>
    <n v="0.86470596949621881"/>
    <n v="104"/>
    <n v="85"/>
    <n v="0"/>
    <n v="19"/>
    <n v="1"/>
    <n v="0.46805470072401428"/>
    <n v="1"/>
    <n v="73"/>
    <n v="73"/>
    <n v="4.6227255078750868"/>
    <n v="1629.8021764890418"/>
    <n v="1"/>
    <n v="0"/>
    <n v="0"/>
    <n v="0"/>
    <n v="0"/>
    <n v="0"/>
    <n v="0"/>
    <n v="0"/>
    <n v="0"/>
    <n v="0"/>
  </r>
  <r>
    <d v="2024-07-07T00:00:00"/>
    <n v="2024"/>
    <x v="19"/>
    <s v="R"/>
    <s v="RS"/>
    <x v="8"/>
    <s v="SEA"/>
    <s v="A"/>
    <n v="1"/>
    <n v="1"/>
    <n v="0"/>
    <n v="0"/>
    <n v="0"/>
    <n v="0"/>
    <n v="1471.9384753750037"/>
    <n v="1541.0277758298414"/>
    <n v="0.29291822431209757"/>
    <n v="71"/>
    <n v="84"/>
    <n v="0"/>
    <n v="-13"/>
    <n v="0"/>
    <n v="0.4463456642286136"/>
    <n v="1"/>
    <n v="73"/>
    <n v="73"/>
    <n v="-9.5442228958531921"/>
    <n v="1462.3942524791505"/>
    <n v="0"/>
    <n v="1"/>
    <n v="0"/>
    <n v="0"/>
    <n v="0"/>
    <n v="0"/>
    <n v="0"/>
    <n v="0"/>
    <n v="0"/>
    <n v="0"/>
  </r>
  <r>
    <d v="2024-07-07T00:00:00"/>
    <n v="2024"/>
    <x v="20"/>
    <s v="R"/>
    <s v="RS"/>
    <x v="5"/>
    <s v="CHI"/>
    <s v="H"/>
    <n v="1"/>
    <n v="1"/>
    <n v="0"/>
    <n v="0"/>
    <n v="0"/>
    <n v="0"/>
    <n v="1541.0277758298414"/>
    <n v="1471.9384753750037"/>
    <n v="0.70708177568790243"/>
    <n v="84"/>
    <n v="71"/>
    <n v="0"/>
    <n v="13"/>
    <n v="1"/>
    <n v="0.4463456642286136"/>
    <n v="1"/>
    <n v="72.849999999999994"/>
    <n v="72.849999999999994"/>
    <n v="9.5246114789439051"/>
    <n v="1550.5523873087852"/>
    <n v="1"/>
    <n v="0"/>
    <n v="0"/>
    <n v="0"/>
    <n v="0"/>
    <n v="0"/>
    <n v="0"/>
    <n v="0"/>
    <n v="0"/>
    <n v="0"/>
  </r>
  <r>
    <d v="2024-07-09T00:00:00"/>
    <n v="2024"/>
    <x v="21"/>
    <s v="R"/>
    <s v="RS"/>
    <x v="4"/>
    <s v="LAS"/>
    <s v="A"/>
    <n v="2"/>
    <n v="1"/>
    <n v="1"/>
    <n v="-1"/>
    <n v="8"/>
    <n v="-8"/>
    <n v="1591.4377792608013"/>
    <n v="1370.2049475423566"/>
    <n v="0.70725287328769271"/>
    <n v="82"/>
    <n v="67"/>
    <n v="0"/>
    <n v="15"/>
    <n v="1"/>
    <n v="0.42457338459097538"/>
    <n v="1"/>
    <n v="72.7"/>
    <n v="72.7"/>
    <n v="9.0360748129542454"/>
    <n v="1600.4738540737555"/>
    <n v="1"/>
    <n v="0"/>
    <n v="0"/>
    <n v="0"/>
    <n v="0"/>
    <n v="0"/>
    <n v="0"/>
    <n v="0"/>
    <n v="0"/>
    <n v="0"/>
  </r>
  <r>
    <d v="2024-07-09T00:00:00"/>
    <n v="2024"/>
    <x v="21"/>
    <s v="R"/>
    <s v="RS"/>
    <x v="11"/>
    <s v="MIN"/>
    <s v="H"/>
    <n v="1"/>
    <n v="2"/>
    <n v="-1"/>
    <n v="1"/>
    <n v="-8"/>
    <n v="8"/>
    <n v="1370.2049475423566"/>
    <n v="1591.4377792608013"/>
    <n v="0.29274712671230735"/>
    <n v="67"/>
    <n v="82"/>
    <n v="0"/>
    <n v="-15"/>
    <n v="0"/>
    <n v="0.42457338459097538"/>
    <n v="1"/>
    <n v="72.7"/>
    <n v="72.7"/>
    <n v="-9.0360748129542472"/>
    <n v="1361.1688727294024"/>
    <n v="0"/>
    <n v="1"/>
    <n v="0"/>
    <n v="0"/>
    <n v="0"/>
    <n v="0"/>
    <n v="0"/>
    <n v="0"/>
    <n v="0"/>
    <n v="0"/>
  </r>
  <r>
    <d v="2024-07-10T00:00:00"/>
    <n v="2024"/>
    <x v="20"/>
    <s v="R"/>
    <s v="RS"/>
    <x v="10"/>
    <s v="CHI"/>
    <s v="A"/>
    <n v="2"/>
    <n v="2"/>
    <n v="0"/>
    <n v="0"/>
    <n v="0"/>
    <n v="0"/>
    <n v="1394.5810520531663"/>
    <n v="1462.3942524791505"/>
    <n v="0.29444198106129726"/>
    <n v="69"/>
    <n v="78"/>
    <n v="0"/>
    <n v="-9"/>
    <n v="0"/>
    <n v="0.38425679146817848"/>
    <n v="1"/>
    <n v="72.849999999999994"/>
    <n v="72.849999999999994"/>
    <n v="-8.2423459572413993"/>
    <n v="1386.3387060959249"/>
    <n v="0"/>
    <n v="1"/>
    <n v="0"/>
    <n v="0"/>
    <n v="0"/>
    <n v="0"/>
    <n v="0"/>
    <n v="0"/>
    <n v="0"/>
    <n v="0"/>
  </r>
  <r>
    <d v="2024-07-10T00:00:00"/>
    <n v="2024"/>
    <x v="20"/>
    <s v="R"/>
    <s v="RS"/>
    <x v="8"/>
    <s v="ATL"/>
    <s v="H"/>
    <n v="2"/>
    <n v="2"/>
    <n v="0"/>
    <n v="0"/>
    <n v="0"/>
    <n v="0"/>
    <n v="1462.3942524791505"/>
    <n v="1394.5810520531663"/>
    <n v="0.70555801893870274"/>
    <n v="78"/>
    <n v="69"/>
    <n v="0"/>
    <n v="9"/>
    <n v="1"/>
    <n v="0.38425679146817848"/>
    <n v="1"/>
    <n v="72.849999999999994"/>
    <n v="72.849999999999994"/>
    <n v="8.2423459572413993"/>
    <n v="1470.636598436392"/>
    <n v="1"/>
    <n v="0"/>
    <n v="0"/>
    <n v="0"/>
    <n v="0"/>
    <n v="0"/>
    <n v="0"/>
    <n v="0"/>
    <n v="0"/>
    <n v="0"/>
  </r>
  <r>
    <d v="2024-07-10T00:00:00"/>
    <n v="2024"/>
    <x v="21"/>
    <s v="R"/>
    <s v="RS"/>
    <x v="6"/>
    <s v="CON"/>
    <s v="A"/>
    <n v="3"/>
    <n v="2"/>
    <n v="1"/>
    <n v="-1"/>
    <n v="8"/>
    <n v="-8"/>
    <n v="1674.7142305032091"/>
    <n v="1631.5165077445849"/>
    <n v="0.46436716231517949"/>
    <n v="71"/>
    <n v="68"/>
    <n v="0"/>
    <n v="3"/>
    <n v="1"/>
    <n v="0.28010043691662967"/>
    <n v="1"/>
    <n v="72.7"/>
    <n v="72.7"/>
    <n v="10.907253108397382"/>
    <n v="1685.6214836116064"/>
    <n v="1"/>
    <n v="0"/>
    <n v="0"/>
    <n v="0"/>
    <n v="0"/>
    <n v="0"/>
    <n v="0"/>
    <n v="0"/>
    <n v="0"/>
    <n v="0"/>
  </r>
  <r>
    <d v="2024-07-10T00:00:00"/>
    <n v="2024"/>
    <x v="21"/>
    <s v="R"/>
    <s v="RS"/>
    <x v="1"/>
    <s v="NYL"/>
    <s v="H"/>
    <n v="2"/>
    <n v="3"/>
    <n v="-1"/>
    <n v="1"/>
    <n v="-8"/>
    <n v="8"/>
    <n v="1631.5165077445849"/>
    <n v="1674.7142305032091"/>
    <n v="0.53563283768482051"/>
    <n v="68"/>
    <n v="71"/>
    <n v="0"/>
    <n v="-3"/>
    <n v="0"/>
    <n v="0.28010043691662967"/>
    <n v="1"/>
    <n v="72.7"/>
    <n v="72.7"/>
    <n v="-10.907253108397382"/>
    <n v="1620.6092546361876"/>
    <n v="0"/>
    <n v="1"/>
    <n v="0"/>
    <n v="0"/>
    <n v="0"/>
    <n v="0"/>
    <n v="0"/>
    <n v="0"/>
    <n v="0"/>
    <n v="0"/>
  </r>
  <r>
    <d v="2024-07-10T00:00:00"/>
    <n v="2024"/>
    <x v="22"/>
    <s v="R"/>
    <s v="RS"/>
    <x v="7"/>
    <s v="IND"/>
    <s v="A"/>
    <n v="3"/>
    <n v="3"/>
    <n v="0"/>
    <n v="0"/>
    <n v="0"/>
    <n v="0"/>
    <n v="1406.529212951652"/>
    <n v="1444.0265074937302"/>
    <n v="0.33194645579647697"/>
    <n v="89"/>
    <n v="84"/>
    <n v="0"/>
    <n v="5"/>
    <n v="1"/>
    <n v="0.32170346740096295"/>
    <n v="1"/>
    <n v="72.55"/>
    <n v="72.55"/>
    <n v="15.592093521612735"/>
    <n v="1422.1213064732647"/>
    <n v="1"/>
    <n v="0"/>
    <n v="0"/>
    <n v="0"/>
    <n v="0"/>
    <n v="0"/>
    <n v="0"/>
    <n v="0"/>
    <n v="0"/>
    <n v="0"/>
  </r>
  <r>
    <d v="2024-07-10T00:00:00"/>
    <n v="2024"/>
    <x v="22"/>
    <s v="R"/>
    <s v="RS"/>
    <x v="0"/>
    <s v="WAS"/>
    <s v="H"/>
    <n v="3"/>
    <n v="3"/>
    <n v="0"/>
    <n v="0"/>
    <n v="0"/>
    <n v="0"/>
    <n v="1444.0265074937302"/>
    <n v="1406.529212951652"/>
    <n v="0.66805354420352303"/>
    <n v="84"/>
    <n v="89"/>
    <n v="0"/>
    <n v="-5"/>
    <n v="0"/>
    <n v="0.32170346740096295"/>
    <n v="1"/>
    <n v="72.55"/>
    <n v="72.55"/>
    <n v="-15.592093521612735"/>
    <n v="1428.4344139721175"/>
    <n v="0"/>
    <n v="1"/>
    <n v="0"/>
    <n v="0"/>
    <n v="0"/>
    <n v="0"/>
    <n v="0"/>
    <n v="0"/>
    <n v="0"/>
    <n v="0"/>
  </r>
  <r>
    <d v="2024-07-10T00:00:00"/>
    <n v="2024"/>
    <x v="22"/>
    <s v="R"/>
    <s v="RS"/>
    <x v="9"/>
    <s v="PHX"/>
    <s v="A"/>
    <n v="2"/>
    <n v="2"/>
    <n v="0"/>
    <n v="0"/>
    <n v="0"/>
    <n v="0"/>
    <n v="1382.3397940841269"/>
    <n v="1461.3708943648696"/>
    <n v="0.28120698190249133"/>
    <n v="84"/>
    <n v="100"/>
    <n v="0"/>
    <n v="-16"/>
    <n v="0"/>
    <n v="0.48579212702466079"/>
    <n v="1"/>
    <n v="72.55"/>
    <n v="72.55"/>
    <n v="-9.9109204026568793"/>
    <n v="1372.4288736814699"/>
    <n v="0"/>
    <n v="1"/>
    <n v="0"/>
    <n v="0"/>
    <n v="0"/>
    <n v="0"/>
    <n v="0"/>
    <n v="0"/>
    <n v="0"/>
    <n v="0"/>
  </r>
  <r>
    <d v="2024-07-10T00:00:00"/>
    <n v="2024"/>
    <x v="21"/>
    <s v="R"/>
    <s v="RS"/>
    <x v="2"/>
    <s v="DAL"/>
    <s v="H"/>
    <n v="2"/>
    <n v="2"/>
    <n v="0"/>
    <n v="0"/>
    <n v="0"/>
    <n v="0"/>
    <n v="1461.3708943648696"/>
    <n v="1382.3397940841269"/>
    <n v="0.71879301809750862"/>
    <n v="100"/>
    <n v="84"/>
    <n v="0"/>
    <n v="16"/>
    <n v="1"/>
    <n v="0.48579212702466079"/>
    <n v="1"/>
    <n v="72.7"/>
    <n v="72.7"/>
    <n v="9.9314116233377714"/>
    <n v="1471.3023059882073"/>
    <n v="1"/>
    <n v="0"/>
    <n v="0"/>
    <n v="0"/>
    <n v="0"/>
    <n v="0"/>
    <n v="0"/>
    <n v="0"/>
    <n v="0"/>
    <n v="0"/>
  </r>
  <r>
    <d v="2024-07-10T00:00:00"/>
    <n v="2024"/>
    <x v="20"/>
    <s v="R"/>
    <s v="RS"/>
    <x v="3"/>
    <s v="SEA"/>
    <s v="A"/>
    <n v="2"/>
    <n v="2"/>
    <n v="0"/>
    <n v="0"/>
    <n v="0"/>
    <n v="0"/>
    <n v="1629.8021764890418"/>
    <n v="1550.5523873087852"/>
    <n v="0.4931643230351006"/>
    <n v="84"/>
    <n v="79"/>
    <n v="0"/>
    <n v="5"/>
    <n v="1"/>
    <n v="0.31120362412457725"/>
    <n v="1"/>
    <n v="72.849999999999994"/>
    <n v="72.849999999999994"/>
    <n v="11.490564899092977"/>
    <n v="1641.2927413881348"/>
    <n v="1"/>
    <n v="0"/>
    <n v="0"/>
    <n v="0"/>
    <n v="0"/>
    <n v="0"/>
    <n v="0"/>
    <n v="0"/>
    <n v="0"/>
    <n v="0"/>
  </r>
  <r>
    <d v="2024-07-10T00:00:00"/>
    <n v="2024"/>
    <x v="21"/>
    <s v="R"/>
    <s v="RS"/>
    <x v="5"/>
    <s v="LVA"/>
    <s v="H"/>
    <n v="2"/>
    <n v="2"/>
    <n v="0"/>
    <n v="0"/>
    <n v="0"/>
    <n v="0"/>
    <n v="1550.5523873087852"/>
    <n v="1629.8021764890418"/>
    <n v="0.5068356769648994"/>
    <n v="79"/>
    <n v="84"/>
    <n v="0"/>
    <n v="-5"/>
    <n v="0"/>
    <n v="0.31120362412457725"/>
    <n v="1"/>
    <n v="72.7"/>
    <n v="72.7"/>
    <n v="-11.466905534166912"/>
    <n v="1539.0854817746183"/>
    <n v="0"/>
    <n v="1"/>
    <n v="0"/>
    <n v="0"/>
    <n v="0"/>
    <n v="0"/>
    <n v="0"/>
    <n v="0"/>
    <n v="0"/>
    <n v="0"/>
  </r>
  <r>
    <d v="2024-07-11T00:00:00"/>
    <n v="2024"/>
    <x v="21"/>
    <s v="R"/>
    <s v="RS"/>
    <x v="8"/>
    <s v="NYL"/>
    <s v="A"/>
    <n v="0"/>
    <n v="0"/>
    <n v="0"/>
    <n v="0"/>
    <n v="0"/>
    <n v="0"/>
    <n v="1470.636598436392"/>
    <n v="1685.6214836116064"/>
    <n v="0.15173012957250481"/>
    <n v="76"/>
    <n v="91"/>
    <n v="0"/>
    <n v="-15"/>
    <n v="0"/>
    <n v="0.426448112609907"/>
    <n v="1"/>
    <n v="72.7"/>
    <n v="72.7"/>
    <n v="-4.7040554906896705"/>
    <n v="1465.9325429457024"/>
    <n v="0"/>
    <n v="1"/>
    <n v="0"/>
    <n v="0"/>
    <n v="0"/>
    <n v="0"/>
    <n v="0"/>
    <n v="0"/>
    <n v="0"/>
    <n v="0"/>
  </r>
  <r>
    <d v="2024-07-11T00:00:00"/>
    <n v="2024"/>
    <x v="22"/>
    <s v="R"/>
    <s v="RS"/>
    <x v="6"/>
    <s v="CHI"/>
    <s v="H"/>
    <n v="0"/>
    <n v="0"/>
    <n v="0"/>
    <n v="0"/>
    <n v="0"/>
    <n v="0"/>
    <n v="1685.6214836116064"/>
    <n v="1470.636598436392"/>
    <n v="0.84826987042749513"/>
    <n v="91"/>
    <n v="76"/>
    <n v="0"/>
    <n v="15"/>
    <n v="1"/>
    <n v="0.426448112609907"/>
    <n v="1"/>
    <n v="72.55"/>
    <n v="72.55"/>
    <n v="4.6943497365823346"/>
    <n v="1690.3158333481888"/>
    <n v="1"/>
    <n v="0"/>
    <n v="0"/>
    <n v="0"/>
    <n v="0"/>
    <n v="0"/>
    <n v="0"/>
    <n v="0"/>
    <n v="0"/>
    <n v="0"/>
  </r>
  <r>
    <d v="2024-07-12T00:00:00"/>
    <n v="2024"/>
    <x v="21"/>
    <s v="R"/>
    <s v="RS"/>
    <x v="3"/>
    <s v="ATL"/>
    <s v="A"/>
    <n v="1"/>
    <n v="1"/>
    <n v="0"/>
    <n v="0"/>
    <n v="0"/>
    <n v="0"/>
    <n v="1641.2927413881348"/>
    <n v="1386.3387060959249"/>
    <n v="0.72791911307616142"/>
    <n v="84"/>
    <n v="70"/>
    <n v="0"/>
    <n v="14"/>
    <n v="1"/>
    <n v="0.40216371792350492"/>
    <n v="1"/>
    <n v="72.7"/>
    <n v="72.7"/>
    <n v="7.9549111391503784"/>
    <n v="1649.2476525272853"/>
    <n v="1"/>
    <n v="0"/>
    <n v="0"/>
    <n v="0"/>
    <n v="0"/>
    <n v="0"/>
    <n v="0"/>
    <n v="0"/>
    <n v="0"/>
    <n v="0"/>
  </r>
  <r>
    <d v="2024-07-12T00:00:00"/>
    <n v="2024"/>
    <x v="21"/>
    <s v="R"/>
    <s v="RS"/>
    <x v="10"/>
    <s v="LVA"/>
    <s v="H"/>
    <n v="1"/>
    <n v="1"/>
    <n v="0"/>
    <n v="0"/>
    <n v="0"/>
    <n v="0"/>
    <n v="1386.3387060959249"/>
    <n v="1641.2927413881348"/>
    <n v="0.27208088692383853"/>
    <n v="70"/>
    <n v="84"/>
    <n v="0"/>
    <n v="-14"/>
    <n v="0"/>
    <n v="0.40216371792350492"/>
    <n v="1"/>
    <n v="72.7"/>
    <n v="72.7"/>
    <n v="-7.9549111391503766"/>
    <n v="1378.3837949567744"/>
    <n v="0"/>
    <n v="1"/>
    <n v="0"/>
    <n v="0"/>
    <n v="0"/>
    <n v="0"/>
    <n v="0"/>
    <n v="0"/>
    <n v="0"/>
    <n v="0"/>
  </r>
  <r>
    <d v="2024-07-12T00:00:00"/>
    <n v="2024"/>
    <x v="22"/>
    <s v="R"/>
    <s v="RS"/>
    <x v="2"/>
    <s v="IND"/>
    <s v="A"/>
    <n v="1"/>
    <n v="1"/>
    <n v="0"/>
    <n v="0"/>
    <n v="0"/>
    <n v="0"/>
    <n v="1471.3023059882073"/>
    <n v="1428.4344139721175"/>
    <n v="0.44108114354805067"/>
    <n v="86"/>
    <n v="95"/>
    <n v="0"/>
    <n v="-9"/>
    <n v="0"/>
    <n v="0.39196911892739172"/>
    <n v="1"/>
    <n v="72.55"/>
    <n v="72.55"/>
    <n v="-12.543183082231746"/>
    <n v="1458.7591229059756"/>
    <n v="0"/>
    <n v="1"/>
    <n v="0"/>
    <n v="0"/>
    <n v="0"/>
    <n v="0"/>
    <n v="0"/>
    <n v="0"/>
    <n v="0"/>
    <n v="0"/>
  </r>
  <r>
    <d v="2024-07-12T00:00:00"/>
    <n v="2024"/>
    <x v="23"/>
    <s v="R"/>
    <s v="RS"/>
    <x v="0"/>
    <s v="PHX"/>
    <s v="H"/>
    <n v="1"/>
    <n v="1"/>
    <n v="0"/>
    <n v="0"/>
    <n v="0"/>
    <n v="0"/>
    <n v="1428.4344139721175"/>
    <n v="1471.3023059882073"/>
    <n v="0.55891885645194939"/>
    <n v="95"/>
    <n v="86"/>
    <n v="0"/>
    <n v="9"/>
    <n v="1"/>
    <n v="0.39196911892739172"/>
    <n v="1"/>
    <n v="72.400000000000006"/>
    <n v="72.400000000000006"/>
    <n v="12.517249554149945"/>
    <n v="1440.9516635262673"/>
    <n v="1"/>
    <n v="0"/>
    <n v="0"/>
    <n v="0"/>
    <n v="0"/>
    <n v="0"/>
    <n v="0"/>
    <n v="0"/>
    <n v="0"/>
    <n v="0"/>
  </r>
  <r>
    <d v="2024-07-12T00:00:00"/>
    <n v="2024"/>
    <x v="22"/>
    <s v="R"/>
    <s v="RS"/>
    <x v="4"/>
    <s v="SEA"/>
    <s v="A"/>
    <n v="2"/>
    <n v="1"/>
    <n v="1"/>
    <n v="-1"/>
    <n v="8"/>
    <n v="-8"/>
    <n v="1600.4738540737555"/>
    <n v="1539.0854817746183"/>
    <n v="0.49048625127134488"/>
    <n v="63"/>
    <n v="91"/>
    <n v="0"/>
    <n v="-28"/>
    <n v="0"/>
    <n v="0.64604019664454948"/>
    <n v="1"/>
    <n v="72.55"/>
    <n v="72.55"/>
    <n v="-22.989196672863233"/>
    <n v="1577.4846574008923"/>
    <n v="0"/>
    <n v="1"/>
    <n v="0"/>
    <n v="0"/>
    <n v="0"/>
    <n v="0"/>
    <n v="0"/>
    <n v="0"/>
    <n v="0"/>
    <n v="0"/>
  </r>
  <r>
    <d v="2024-07-12T00:00:00"/>
    <n v="2024"/>
    <x v="22"/>
    <s v="R"/>
    <s v="RS"/>
    <x v="5"/>
    <s v="MIN"/>
    <s v="H"/>
    <n v="1"/>
    <n v="2"/>
    <n v="-1"/>
    <n v="1"/>
    <n v="-8"/>
    <n v="8"/>
    <n v="1539.0854817746183"/>
    <n v="1600.4738540737555"/>
    <n v="0.50951374872865507"/>
    <n v="91"/>
    <n v="63"/>
    <n v="0"/>
    <n v="28"/>
    <n v="1"/>
    <n v="0.64604019664454948"/>
    <n v="1"/>
    <n v="72.55"/>
    <n v="72.55"/>
    <n v="22.989196672863237"/>
    <n v="1562.0746784474816"/>
    <n v="1"/>
    <n v="0"/>
    <n v="0"/>
    <n v="0"/>
    <n v="0"/>
    <n v="0"/>
    <n v="0"/>
    <n v="0"/>
    <n v="0"/>
    <n v="0"/>
  </r>
  <r>
    <d v="2024-07-13T00:00:00"/>
    <n v="2024"/>
    <x v="23"/>
    <s v="R"/>
    <s v="RS"/>
    <x v="6"/>
    <s v="CHI"/>
    <s v="A"/>
    <n v="1"/>
    <n v="1"/>
    <n v="0"/>
    <n v="0"/>
    <n v="0"/>
    <n v="0"/>
    <n v="1690.3158333481888"/>
    <n v="1465.9325429457024"/>
    <n v="0.69170686211206278"/>
    <n v="81"/>
    <n v="67"/>
    <n v="0"/>
    <n v="14"/>
    <n v="1"/>
    <n v="0.41079513371403148"/>
    <n v="1"/>
    <n v="72.400000000000006"/>
    <n v="72.400000000000006"/>
    <n v="9.1691212260498514"/>
    <n v="1699.4849545742386"/>
    <n v="1"/>
    <n v="0"/>
    <n v="0"/>
    <n v="0"/>
    <n v="0"/>
    <n v="0"/>
    <n v="0"/>
    <n v="0"/>
    <n v="0"/>
    <n v="0"/>
  </r>
  <r>
    <d v="2024-07-13T00:00:00"/>
    <n v="2024"/>
    <x v="22"/>
    <s v="R"/>
    <s v="RS"/>
    <x v="8"/>
    <s v="NYL"/>
    <s v="H"/>
    <n v="1"/>
    <n v="1"/>
    <n v="0"/>
    <n v="0"/>
    <n v="0"/>
    <n v="0"/>
    <n v="1465.9325429457024"/>
    <n v="1690.3158333481888"/>
    <n v="0.30829313788793722"/>
    <n v="67"/>
    <n v="81"/>
    <n v="0"/>
    <n v="-14"/>
    <n v="0"/>
    <n v="0.41079513371403148"/>
    <n v="1"/>
    <n v="72.55"/>
    <n v="72.55"/>
    <n v="-9.1881180241701195"/>
    <n v="1456.7444249215323"/>
    <n v="0"/>
    <n v="1"/>
    <n v="0"/>
    <n v="0"/>
    <n v="0"/>
    <n v="0"/>
    <n v="0"/>
    <n v="0"/>
    <n v="0"/>
    <n v="0"/>
  </r>
  <r>
    <d v="2024-07-13T00:00:00"/>
    <n v="2024"/>
    <x v="22"/>
    <s v="R"/>
    <s v="RS"/>
    <x v="11"/>
    <s v="DAL"/>
    <s v="A"/>
    <n v="3"/>
    <n v="2"/>
    <n v="1"/>
    <n v="-1"/>
    <n v="8"/>
    <n v="-8"/>
    <n v="1361.1688727294024"/>
    <n v="1372.4288736814699"/>
    <n v="0.38787408485717145"/>
    <n v="87"/>
    <n v="81"/>
    <n v="0"/>
    <n v="6"/>
    <n v="1"/>
    <n v="0.34801521801913382"/>
    <n v="1"/>
    <n v="72.55"/>
    <n v="72.55"/>
    <n v="15.455263658176191"/>
    <n v="1376.6241363875786"/>
    <n v="1"/>
    <n v="0"/>
    <n v="0"/>
    <n v="0"/>
    <n v="0"/>
    <n v="0"/>
    <n v="0"/>
    <n v="0"/>
    <n v="0"/>
    <n v="0"/>
  </r>
  <r>
    <d v="2024-07-13T00:00:00"/>
    <n v="2024"/>
    <x v="23"/>
    <s v="R"/>
    <s v="RS"/>
    <x v="9"/>
    <s v="LAS"/>
    <s v="H"/>
    <n v="2"/>
    <n v="3"/>
    <n v="-1"/>
    <n v="1"/>
    <n v="-8"/>
    <n v="8"/>
    <n v="1372.4288736814699"/>
    <n v="1361.1688727294024"/>
    <n v="0.61212591514282855"/>
    <n v="81"/>
    <n v="87"/>
    <n v="0"/>
    <n v="-6"/>
    <n v="0"/>
    <n v="0.34801521801913382"/>
    <n v="1"/>
    <n v="72.400000000000006"/>
    <n v="72.400000000000006"/>
    <n v="-15.423309288104155"/>
    <n v="1357.0055643933658"/>
    <n v="0"/>
    <n v="1"/>
    <n v="0"/>
    <n v="0"/>
    <n v="0"/>
    <n v="0"/>
    <n v="0"/>
    <n v="0"/>
    <n v="0"/>
    <n v="0"/>
  </r>
  <r>
    <d v="2024-07-14T00:00:00"/>
    <n v="2024"/>
    <x v="23"/>
    <s v="R"/>
    <s v="RS"/>
    <x v="2"/>
    <s v="CON"/>
    <s v="A"/>
    <n v="1"/>
    <n v="3"/>
    <n v="-2"/>
    <n v="2"/>
    <n v="-16"/>
    <n v="16"/>
    <n v="1458.7591229059756"/>
    <n v="1620.6092546361876"/>
    <n v="0.1680607460327635"/>
    <n v="69"/>
    <n v="96"/>
    <n v="0"/>
    <n v="-27"/>
    <n v="0"/>
    <n v="0.58743615127724125"/>
    <n v="1"/>
    <n v="72.400000000000006"/>
    <n v="72.400000000000006"/>
    <n v="-7.1476869469114384"/>
    <n v="1451.6114359590642"/>
    <n v="0"/>
    <n v="1"/>
    <n v="0"/>
    <n v="0"/>
    <n v="0"/>
    <n v="0"/>
    <n v="0"/>
    <n v="0"/>
    <n v="0"/>
    <n v="0"/>
  </r>
  <r>
    <d v="2024-07-14T00:00:00"/>
    <n v="2024"/>
    <x v="22"/>
    <s v="R"/>
    <s v="RS"/>
    <x v="1"/>
    <s v="PHX"/>
    <s v="H"/>
    <n v="3"/>
    <n v="1"/>
    <n v="2"/>
    <n v="-2"/>
    <n v="16"/>
    <n v="-16"/>
    <n v="1620.6092546361876"/>
    <n v="1458.7591229059756"/>
    <n v="0.83193925396723645"/>
    <n v="96"/>
    <n v="69"/>
    <n v="0"/>
    <n v="27"/>
    <n v="1"/>
    <n v="0.58743615127724125"/>
    <n v="1"/>
    <n v="72.55"/>
    <n v="72.55"/>
    <n v="7.1624956905859802"/>
    <n v="1627.7717503267736"/>
    <n v="1"/>
    <n v="0"/>
    <n v="0"/>
    <n v="0"/>
    <n v="0"/>
    <n v="0"/>
    <n v="0"/>
    <n v="0"/>
    <n v="0"/>
    <n v="0"/>
  </r>
  <r>
    <d v="2024-07-14T00:00:00"/>
    <n v="2024"/>
    <x v="24"/>
    <s v="R"/>
    <s v="RS"/>
    <x v="0"/>
    <s v="MIN"/>
    <s v="A"/>
    <n v="1"/>
    <n v="1"/>
    <n v="0"/>
    <n v="0"/>
    <n v="0"/>
    <n v="0"/>
    <n v="1440.9516635262673"/>
    <n v="1577.4846574008923"/>
    <n v="0.21934457493744164"/>
    <n v="81"/>
    <n v="74"/>
    <n v="0"/>
    <n v="7"/>
    <n v="1"/>
    <n v="0.33229902218653795"/>
    <n v="1"/>
    <n v="72.25"/>
    <n v="72.25"/>
    <n v="18.742447236332335"/>
    <n v="1459.6941107625996"/>
    <n v="1"/>
    <n v="0"/>
    <n v="0"/>
    <n v="0"/>
    <n v="0"/>
    <n v="0"/>
    <n v="0"/>
    <n v="0"/>
    <n v="0"/>
    <n v="0"/>
  </r>
  <r>
    <d v="2024-07-14T00:00:00"/>
    <n v="2024"/>
    <x v="23"/>
    <s v="R"/>
    <s v="RS"/>
    <x v="4"/>
    <s v="IND"/>
    <s v="H"/>
    <n v="1"/>
    <n v="1"/>
    <n v="0"/>
    <n v="0"/>
    <n v="0"/>
    <n v="0"/>
    <n v="1577.4846574008923"/>
    <n v="1440.9516635262673"/>
    <n v="0.78065542506255836"/>
    <n v="74"/>
    <n v="81"/>
    <n v="0"/>
    <n v="-7"/>
    <n v="0"/>
    <n v="0.33229902218653795"/>
    <n v="1"/>
    <n v="72.400000000000006"/>
    <n v="72.400000000000006"/>
    <n v="-18.781358891494275"/>
    <n v="1558.7032985093981"/>
    <n v="0"/>
    <n v="1"/>
    <n v="0"/>
    <n v="0"/>
    <n v="0"/>
    <n v="0"/>
    <n v="0"/>
    <n v="0"/>
    <n v="0"/>
    <n v="0"/>
  </r>
  <r>
    <d v="2024-07-14T00:00:00"/>
    <n v="2024"/>
    <x v="22"/>
    <s v="R"/>
    <s v="RS"/>
    <x v="10"/>
    <s v="SEA"/>
    <s v="A"/>
    <n v="1"/>
    <n v="1"/>
    <n v="0"/>
    <n v="0"/>
    <n v="0"/>
    <n v="0"/>
    <n v="1378.3837949567744"/>
    <n v="1562.0746784474816"/>
    <n v="0.1763968382188483"/>
    <n v="70"/>
    <n v="81"/>
    <n v="0"/>
    <n v="-11"/>
    <n v="0"/>
    <n v="0.38144586381724355"/>
    <n v="1"/>
    <n v="72.55"/>
    <n v="72.55"/>
    <n v="-4.8815880060703387"/>
    <n v="1373.502206950704"/>
    <n v="0"/>
    <n v="1"/>
    <n v="0"/>
    <n v="0"/>
    <n v="0"/>
    <n v="0"/>
    <n v="0"/>
    <n v="0"/>
    <n v="0"/>
    <n v="0"/>
  </r>
  <r>
    <d v="2024-07-14T00:00:00"/>
    <n v="2024"/>
    <x v="23"/>
    <s v="R"/>
    <s v="RS"/>
    <x v="5"/>
    <s v="ATL"/>
    <s v="H"/>
    <n v="1"/>
    <n v="1"/>
    <n v="0"/>
    <n v="0"/>
    <n v="0"/>
    <n v="0"/>
    <n v="1562.0746784474816"/>
    <n v="1378.3837949567744"/>
    <n v="0.82360316178115178"/>
    <n v="81"/>
    <n v="70"/>
    <n v="0"/>
    <n v="11"/>
    <n v="1"/>
    <n v="0.38144586381724355"/>
    <n v="1"/>
    <n v="72.400000000000006"/>
    <n v="72.400000000000006"/>
    <n v="4.8714951294209845"/>
    <n v="1566.9461735769025"/>
    <n v="1"/>
    <n v="0"/>
    <n v="0"/>
    <n v="0"/>
    <n v="0"/>
    <n v="0"/>
    <n v="0"/>
    <n v="0"/>
    <n v="0"/>
    <n v="0"/>
  </r>
  <r>
    <d v="2024-07-14T00:00:00"/>
    <n v="2024"/>
    <x v="22"/>
    <s v="R"/>
    <s v="RS"/>
    <x v="3"/>
    <s v="WAS"/>
    <s v="A"/>
    <n v="1"/>
    <n v="3"/>
    <n v="-2"/>
    <n v="2"/>
    <n v="-16"/>
    <n v="16"/>
    <n v="1649.2476525272853"/>
    <n v="1422.1213064732647"/>
    <n v="0.65468443700422685"/>
    <n v="89"/>
    <n v="77"/>
    <n v="0"/>
    <n v="12"/>
    <n v="1"/>
    <n v="0.383536701711994"/>
    <n v="1"/>
    <n v="72.55"/>
    <n v="72.55"/>
    <n v="9.6086084854924465"/>
    <n v="1658.8562610127776"/>
    <n v="1"/>
    <n v="0"/>
    <n v="0"/>
    <n v="0"/>
    <n v="0"/>
    <n v="0"/>
    <n v="0"/>
    <n v="0"/>
    <n v="0"/>
    <n v="0"/>
  </r>
  <r>
    <d v="2024-07-14T00:00:00"/>
    <n v="2024"/>
    <x v="23"/>
    <s v="R"/>
    <s v="RS"/>
    <x v="7"/>
    <s v="LVA"/>
    <s v="H"/>
    <n v="3"/>
    <n v="1"/>
    <n v="2"/>
    <n v="-2"/>
    <n v="16"/>
    <n v="-16"/>
    <n v="1422.1213064732647"/>
    <n v="1649.2476525272853"/>
    <n v="0.34531556299577321"/>
    <n v="77"/>
    <n v="89"/>
    <n v="0"/>
    <n v="-12"/>
    <n v="0"/>
    <n v="0.383536701711994"/>
    <n v="1"/>
    <n v="72.400000000000006"/>
    <n v="72.400000000000006"/>
    <n v="-9.5887423066802668"/>
    <n v="1412.5325641665845"/>
    <n v="0"/>
    <n v="1"/>
    <n v="0"/>
    <n v="0"/>
    <n v="0"/>
    <n v="0"/>
    <n v="0"/>
    <n v="0"/>
    <n v="0"/>
    <n v="0"/>
  </r>
  <r>
    <d v="2024-07-16T00:00:00"/>
    <n v="2024"/>
    <x v="24"/>
    <s v="R"/>
    <s v="RS"/>
    <x v="5"/>
    <s v="LAS"/>
    <s v="A"/>
    <n v="1"/>
    <n v="2"/>
    <n v="-1"/>
    <n v="1"/>
    <n v="-8"/>
    <n v="8"/>
    <n v="1566.9461735769025"/>
    <n v="1376.6241363875786"/>
    <n v="0.62713267013645346"/>
    <n v="89"/>
    <n v="83"/>
    <n v="0"/>
    <n v="6"/>
    <n v="1"/>
    <n v="0.30319372205404249"/>
    <n v="1"/>
    <n v="72.25"/>
    <n v="72.25"/>
    <n v="8.1679371756984587"/>
    <n v="1575.1141107526009"/>
    <n v="1"/>
    <n v="0"/>
    <n v="0"/>
    <n v="0"/>
    <n v="0"/>
    <n v="0"/>
    <n v="0"/>
    <n v="0"/>
    <n v="0"/>
    <n v="0"/>
  </r>
  <r>
    <d v="2024-07-16T00:00:00"/>
    <n v="2024"/>
    <x v="23"/>
    <s v="R"/>
    <s v="RS"/>
    <x v="11"/>
    <s v="SEA"/>
    <s v="H"/>
    <n v="2"/>
    <n v="1"/>
    <n v="1"/>
    <n v="-1"/>
    <n v="8"/>
    <n v="-8"/>
    <n v="1376.6241363875786"/>
    <n v="1566.9461735769025"/>
    <n v="0.37286732986354665"/>
    <n v="83"/>
    <n v="89"/>
    <n v="0"/>
    <n v="-6"/>
    <n v="0"/>
    <n v="0.30319372205404249"/>
    <n v="1"/>
    <n v="72.400000000000006"/>
    <n v="72.400000000000006"/>
    <n v="-8.1848948307345157"/>
    <n v="1368.4392415568441"/>
    <n v="0"/>
    <n v="1"/>
    <n v="0"/>
    <n v="0"/>
    <n v="0"/>
    <n v="0"/>
    <n v="0"/>
    <n v="0"/>
    <n v="0"/>
    <n v="0"/>
  </r>
  <r>
    <d v="2024-07-16T00:00:00"/>
    <n v="2024"/>
    <x v="23"/>
    <s v="R"/>
    <s v="RS"/>
    <x v="8"/>
    <s v="LVA"/>
    <s v="A"/>
    <n v="2"/>
    <n v="1"/>
    <n v="1"/>
    <n v="-1"/>
    <n v="8"/>
    <n v="-8"/>
    <n v="1456.7444249215323"/>
    <n v="1658.8562610127776"/>
    <n v="0.17438130657190432"/>
    <n v="93"/>
    <n v="85"/>
    <n v="0"/>
    <n v="8"/>
    <n v="1"/>
    <n v="0.33234056657181094"/>
    <n v="1"/>
    <n v="72.400000000000006"/>
    <n v="72.400000000000006"/>
    <n v="19.865588706662827"/>
    <n v="1476.610013628195"/>
    <n v="1"/>
    <n v="0"/>
    <n v="0"/>
    <n v="0"/>
    <n v="0"/>
    <n v="0"/>
    <n v="0"/>
    <n v="0"/>
    <n v="0"/>
    <n v="0"/>
  </r>
  <r>
    <d v="2024-07-16T00:00:00"/>
    <n v="2024"/>
    <x v="23"/>
    <s v="R"/>
    <s v="RS"/>
    <x v="3"/>
    <s v="CHI"/>
    <s v="H"/>
    <n v="1"/>
    <n v="2"/>
    <n v="-1"/>
    <n v="1"/>
    <n v="-8"/>
    <n v="8"/>
    <n v="1658.8562610127776"/>
    <n v="1456.7444249215323"/>
    <n v="0.82561869342809557"/>
    <n v="85"/>
    <n v="93"/>
    <n v="0"/>
    <n v="-8"/>
    <n v="0"/>
    <n v="0.33234056657181094"/>
    <n v="1"/>
    <n v="72.400000000000006"/>
    <n v="72.400000000000006"/>
    <n v="-19.865588706662823"/>
    <n v="1638.9906723061149"/>
    <n v="0"/>
    <n v="1"/>
    <n v="0"/>
    <n v="0"/>
    <n v="0"/>
    <n v="0"/>
    <n v="0"/>
    <n v="0"/>
    <n v="0"/>
    <n v="0"/>
  </r>
  <r>
    <d v="2024-07-16T00:00:00"/>
    <n v="2024"/>
    <x v="23"/>
    <s v="R"/>
    <s v="RS"/>
    <x v="1"/>
    <s v="NYL"/>
    <s v="A"/>
    <n v="1"/>
    <n v="2"/>
    <n v="-1"/>
    <n v="1"/>
    <n v="-8"/>
    <n v="8"/>
    <n v="1627.7717503267736"/>
    <n v="1699.4849545742386"/>
    <n v="0.2712162331386555"/>
    <n v="74"/>
    <n v="82"/>
    <n v="0"/>
    <n v="-8"/>
    <n v="0"/>
    <n v="0.36641802605120305"/>
    <n v="1"/>
    <n v="72.400000000000006"/>
    <n v="72.400000000000006"/>
    <n v="-7.1950046148509346"/>
    <n v="1620.5767457119227"/>
    <n v="0"/>
    <n v="1"/>
    <n v="0"/>
    <n v="0"/>
    <n v="0"/>
    <n v="0"/>
    <n v="0"/>
    <n v="0"/>
    <n v="0"/>
    <n v="0"/>
  </r>
  <r>
    <d v="2024-07-16T00:00:00"/>
    <n v="2024"/>
    <x v="24"/>
    <s v="R"/>
    <s v="RS"/>
    <x v="6"/>
    <s v="CON"/>
    <s v="H"/>
    <n v="2"/>
    <n v="1"/>
    <n v="1"/>
    <n v="-1"/>
    <n v="8"/>
    <n v="-8"/>
    <n v="1699.4849545742386"/>
    <n v="1627.7717503267736"/>
    <n v="0.72878376686134461"/>
    <n v="82"/>
    <n v="74"/>
    <n v="0"/>
    <n v="8"/>
    <n v="1"/>
    <n v="0.36641802605120305"/>
    <n v="1"/>
    <n v="72.25"/>
    <n v="72.25"/>
    <n v="7.1800978373339746"/>
    <n v="1706.6650524115726"/>
    <n v="1"/>
    <n v="0"/>
    <n v="0"/>
    <n v="0"/>
    <n v="0"/>
    <n v="0"/>
    <n v="0"/>
    <n v="0"/>
    <n v="0"/>
    <n v="0"/>
  </r>
  <r>
    <d v="2024-07-16T00:00:00"/>
    <n v="2024"/>
    <x v="24"/>
    <s v="R"/>
    <s v="RS"/>
    <x v="2"/>
    <s v="WAS"/>
    <s v="A"/>
    <n v="1"/>
    <n v="1"/>
    <n v="0"/>
    <n v="0"/>
    <n v="0"/>
    <n v="0"/>
    <n v="1451.6114359590642"/>
    <n v="1412.5325641665845"/>
    <n v="0.4357111356314689"/>
    <n v="96"/>
    <n v="87"/>
    <n v="0"/>
    <n v="9"/>
    <n v="1"/>
    <n v="0.39316773424757551"/>
    <n v="1"/>
    <n v="72.25"/>
    <n v="72.25"/>
    <n v="16.029397590639952"/>
    <n v="1467.6408335497042"/>
    <n v="1"/>
    <n v="0"/>
    <n v="0"/>
    <n v="0"/>
    <n v="0"/>
    <n v="0"/>
    <n v="0"/>
    <n v="0"/>
    <n v="0"/>
    <n v="0"/>
  </r>
  <r>
    <d v="2024-07-16T00:00:00"/>
    <n v="2024"/>
    <x v="24"/>
    <s v="R"/>
    <s v="RS"/>
    <x v="7"/>
    <s v="PHX"/>
    <s v="H"/>
    <n v="1"/>
    <n v="1"/>
    <n v="0"/>
    <n v="0"/>
    <n v="0"/>
    <n v="0"/>
    <n v="1412.5325641665845"/>
    <n v="1451.6114359590642"/>
    <n v="0.5642888643685311"/>
    <n v="87"/>
    <n v="96"/>
    <n v="0"/>
    <n v="-9"/>
    <n v="0"/>
    <n v="0.39316773424757551"/>
    <n v="1"/>
    <n v="72.25"/>
    <n v="72.25"/>
    <n v="-16.029397590639952"/>
    <n v="1396.5031665759445"/>
    <n v="0"/>
    <n v="1"/>
    <n v="0"/>
    <n v="0"/>
    <n v="0"/>
    <n v="0"/>
    <n v="0"/>
    <n v="0"/>
    <n v="0"/>
    <n v="0"/>
  </r>
  <r>
    <d v="2024-07-17T00:00:00"/>
    <n v="2024"/>
    <x v="25"/>
    <s v="R"/>
    <s v="RS"/>
    <x v="0"/>
    <s v="DAL"/>
    <s v="A"/>
    <n v="2"/>
    <n v="3"/>
    <n v="-1"/>
    <n v="1"/>
    <n v="-8"/>
    <n v="8"/>
    <n v="1459.6941107625996"/>
    <n v="1357.0055643933658"/>
    <n v="0.50386905201796195"/>
    <n v="93"/>
    <n v="101"/>
    <n v="0"/>
    <n v="-8"/>
    <n v="0"/>
    <n v="0.35770533432749602"/>
    <n v="1"/>
    <n v="72.099999999999994"/>
    <n v="72.099999999999994"/>
    <n v="-12.995062299845111"/>
    <n v="1446.6990484627545"/>
    <n v="0"/>
    <n v="1"/>
    <n v="0"/>
    <n v="0"/>
    <n v="0"/>
    <n v="0"/>
    <n v="0"/>
    <n v="0"/>
    <n v="0"/>
    <n v="0"/>
  </r>
  <r>
    <d v="2024-07-17T00:00:00"/>
    <n v="2024"/>
    <x v="24"/>
    <s v="R"/>
    <s v="RS"/>
    <x v="9"/>
    <s v="IND"/>
    <s v="H"/>
    <n v="3"/>
    <n v="2"/>
    <n v="1"/>
    <n v="-1"/>
    <n v="8"/>
    <n v="-8"/>
    <n v="1357.0055643933658"/>
    <n v="1459.6941107625996"/>
    <n v="0.49613094798203794"/>
    <n v="101"/>
    <n v="93"/>
    <n v="0"/>
    <n v="8"/>
    <n v="1"/>
    <n v="0.35770533432749602"/>
    <n v="1"/>
    <n v="72.25"/>
    <n v="72.25"/>
    <n v="13.022097797001519"/>
    <n v="1370.0276621903674"/>
    <n v="1"/>
    <n v="0"/>
    <n v="0"/>
    <n v="0"/>
    <n v="0"/>
    <n v="0"/>
    <n v="0"/>
    <n v="0"/>
    <n v="0"/>
    <n v="0"/>
  </r>
  <r>
    <d v="2024-07-17T00:00:00"/>
    <n v="2024"/>
    <x v="23"/>
    <s v="R"/>
    <s v="RS"/>
    <x v="10"/>
    <s v="MIN"/>
    <s v="A"/>
    <n v="2"/>
    <n v="2"/>
    <n v="0"/>
    <n v="0"/>
    <n v="0"/>
    <n v="0"/>
    <n v="1373.502206950704"/>
    <n v="1558.7032985093981"/>
    <n v="0.17513739526023112"/>
    <n v="79"/>
    <n v="86"/>
    <n v="0"/>
    <n v="-7"/>
    <n v="0"/>
    <n v="0.32062392218073504"/>
    <n v="1"/>
    <n v="72.400000000000006"/>
    <n v="72.400000000000006"/>
    <n v="-4.0654944738329561"/>
    <n v="1369.436712476871"/>
    <n v="0"/>
    <n v="1"/>
    <n v="0"/>
    <n v="0"/>
    <n v="0"/>
    <n v="0"/>
    <n v="0"/>
    <n v="0"/>
    <n v="0"/>
    <n v="0"/>
  </r>
  <r>
    <d v="2024-07-17T00:00:00"/>
    <n v="2024"/>
    <x v="24"/>
    <s v="R"/>
    <s v="RS"/>
    <x v="4"/>
    <s v="ATL"/>
    <s v="H"/>
    <n v="2"/>
    <n v="2"/>
    <n v="0"/>
    <n v="0"/>
    <n v="0"/>
    <n v="0"/>
    <n v="1558.7032985093981"/>
    <n v="1373.502206950704"/>
    <n v="0.8248626047397688"/>
    <n v="86"/>
    <n v="79"/>
    <n v="0"/>
    <n v="7"/>
    <n v="1"/>
    <n v="0.32062392218073504"/>
    <n v="1"/>
    <n v="72.25"/>
    <n v="72.25"/>
    <n v="4.0570714880446292"/>
    <n v="1562.7603699974427"/>
    <n v="1"/>
    <n v="0"/>
    <n v="0"/>
    <n v="0"/>
    <n v="0"/>
    <n v="0"/>
    <n v="0"/>
    <n v="0"/>
    <n v="0"/>
    <n v="0"/>
  </r>
  <r>
    <d v="2024-08-15T00:00:00"/>
    <n v="2024"/>
    <x v="25"/>
    <s v="R"/>
    <s v="RS"/>
    <x v="2"/>
    <s v="CHI"/>
    <s v="A"/>
    <n v="29"/>
    <n v="29"/>
    <n v="0"/>
    <n v="0"/>
    <n v="0"/>
    <n v="0"/>
    <n v="1467.6408335497042"/>
    <n v="1476.610013628195"/>
    <n v="0.36931103370140111"/>
    <n v="85"/>
    <n v="65"/>
    <n v="0"/>
    <n v="20"/>
    <n v="1"/>
    <n v="0.57062234678787971"/>
    <n v="1"/>
    <n v="72.099999999999994"/>
    <n v="72.099999999999994"/>
    <n v="25.947724220866299"/>
    <n v="1493.5885577705706"/>
    <n v="1"/>
    <n v="0"/>
    <n v="0"/>
    <n v="0"/>
    <n v="0"/>
    <n v="0"/>
    <n v="0"/>
    <n v="0"/>
    <n v="0"/>
    <n v="0"/>
  </r>
  <r>
    <d v="2024-08-15T00:00:00"/>
    <n v="2024"/>
    <x v="24"/>
    <s v="R"/>
    <s v="RS"/>
    <x v="8"/>
    <s v="PHX"/>
    <s v="H"/>
    <n v="29"/>
    <n v="29"/>
    <n v="0"/>
    <n v="0"/>
    <n v="0"/>
    <n v="0"/>
    <n v="1476.610013628195"/>
    <n v="1467.6408335497042"/>
    <n v="0.63068896629859883"/>
    <n v="65"/>
    <n v="85"/>
    <n v="0"/>
    <n v="-20"/>
    <n v="0"/>
    <n v="0.57062234678787971"/>
    <n v="1"/>
    <n v="72.25"/>
    <n v="72.25"/>
    <n v="-26.001707003572683"/>
    <n v="1450.6083066246224"/>
    <n v="0"/>
    <n v="1"/>
    <n v="0"/>
    <n v="0"/>
    <n v="0"/>
    <n v="0"/>
    <n v="0"/>
    <n v="0"/>
    <n v="0"/>
    <n v="0"/>
  </r>
  <r>
    <d v="2024-08-15T00:00:00"/>
    <n v="2024"/>
    <x v="25"/>
    <s v="R"/>
    <s v="RS"/>
    <x v="6"/>
    <s v="LAS"/>
    <s v="A"/>
    <n v="29"/>
    <n v="29"/>
    <n v="0"/>
    <n v="0"/>
    <n v="0"/>
    <n v="0"/>
    <n v="1706.6650524115726"/>
    <n v="1368.4392415568441"/>
    <n v="0.81205846460954501"/>
    <n v="103"/>
    <n v="68"/>
    <n v="0"/>
    <n v="35"/>
    <n v="1"/>
    <n v="0.59458767197934437"/>
    <n v="1"/>
    <n v="72.099999999999994"/>
    <n v="72.099999999999994"/>
    <n v="8.0570106117140643"/>
    <n v="1714.7220630232866"/>
    <n v="1"/>
    <n v="0"/>
    <n v="0"/>
    <n v="0"/>
    <n v="0"/>
    <n v="0"/>
    <n v="0"/>
    <n v="0"/>
    <n v="0"/>
    <n v="0"/>
  </r>
  <r>
    <d v="2024-08-15T00:00:00"/>
    <n v="2024"/>
    <x v="24"/>
    <s v="R"/>
    <s v="RS"/>
    <x v="11"/>
    <s v="NYL"/>
    <s v="H"/>
    <n v="29"/>
    <n v="29"/>
    <n v="0"/>
    <n v="0"/>
    <n v="0"/>
    <n v="0"/>
    <n v="1368.4392415568441"/>
    <n v="1706.6650524115726"/>
    <n v="0.18794153539045497"/>
    <n v="68"/>
    <n v="103"/>
    <n v="0"/>
    <n v="-35"/>
    <n v="0"/>
    <n v="0.59458767197934437"/>
    <n v="1"/>
    <n v="72.25"/>
    <n v="72.25"/>
    <n v="-8.0737727697134698"/>
    <n v="1360.3654687871306"/>
    <n v="0"/>
    <n v="1"/>
    <n v="0"/>
    <n v="0"/>
    <n v="0"/>
    <n v="0"/>
    <n v="0"/>
    <n v="0"/>
    <n v="0"/>
    <n v="0"/>
  </r>
  <r>
    <d v="2024-08-15T00:00:00"/>
    <n v="2024"/>
    <x v="25"/>
    <s v="R"/>
    <s v="RS"/>
    <x v="7"/>
    <s v="MIN"/>
    <s v="A"/>
    <n v="29"/>
    <n v="28"/>
    <n v="1"/>
    <n v="-1"/>
    <n v="8"/>
    <n v="-8"/>
    <n v="1396.5031665759445"/>
    <n v="1562.7603699974427"/>
    <n v="0.20611687976066093"/>
    <n v="68"/>
    <n v="79"/>
    <n v="0"/>
    <n v="-11"/>
    <n v="0"/>
    <n v="0.38631317952973115"/>
    <n v="1"/>
    <n v="72.099999999999994"/>
    <n v="72.099999999999994"/>
    <n v="-5.7410106033238595"/>
    <n v="1390.7621559726206"/>
    <n v="0"/>
    <n v="1"/>
    <n v="0"/>
    <n v="0"/>
    <n v="0"/>
    <n v="0"/>
    <n v="0"/>
    <n v="0"/>
    <n v="0"/>
    <n v="0"/>
  </r>
  <r>
    <d v="2024-08-15T00:00:00"/>
    <n v="2024"/>
    <x v="25"/>
    <s v="R"/>
    <s v="RS"/>
    <x v="4"/>
    <s v="WAS"/>
    <s v="H"/>
    <n v="28"/>
    <n v="29"/>
    <n v="-1"/>
    <n v="1"/>
    <n v="-8"/>
    <n v="8"/>
    <n v="1562.7603699974427"/>
    <n v="1396.5031665759445"/>
    <n v="0.79388312023933905"/>
    <n v="79"/>
    <n v="68"/>
    <n v="0"/>
    <n v="11"/>
    <n v="1"/>
    <n v="0.38631317952973115"/>
    <n v="1"/>
    <n v="72.099999999999994"/>
    <n v="72.099999999999994"/>
    <n v="5.7410106033238604"/>
    <n v="1568.5013806007667"/>
    <n v="1"/>
    <n v="0"/>
    <n v="0"/>
    <n v="0"/>
    <n v="0"/>
    <n v="0"/>
    <n v="0"/>
    <n v="0"/>
    <n v="0"/>
    <n v="0"/>
  </r>
  <r>
    <d v="2024-08-16T00:00:00"/>
    <n v="2024"/>
    <x v="25"/>
    <s v="R"/>
    <s v="RS"/>
    <x v="5"/>
    <s v="ATL"/>
    <s v="A"/>
    <n v="30"/>
    <n v="29"/>
    <n v="1"/>
    <n v="-1"/>
    <n v="8"/>
    <n v="-8"/>
    <n v="1575.1141107526009"/>
    <n v="1369.436712476871"/>
    <n v="0.68837534462677508"/>
    <n v="81"/>
    <n v="83"/>
    <n v="0"/>
    <n v="-2"/>
    <n v="0"/>
    <n v="0.22865103000578935"/>
    <n v="1"/>
    <n v="72.099999999999994"/>
    <n v="72.099999999999994"/>
    <n v="-11.348376446882117"/>
    <n v="1563.7657343057188"/>
    <n v="0"/>
    <n v="1"/>
    <n v="0"/>
    <n v="0"/>
    <n v="0"/>
    <n v="0"/>
    <n v="0"/>
    <n v="0"/>
    <n v="0"/>
    <n v="0"/>
  </r>
  <r>
    <d v="2024-08-16T00:00:00"/>
    <n v="2024"/>
    <x v="24"/>
    <s v="R"/>
    <s v="RS"/>
    <x v="10"/>
    <s v="SEA"/>
    <s v="H"/>
    <n v="29"/>
    <n v="30"/>
    <n v="-1"/>
    <n v="1"/>
    <n v="-8"/>
    <n v="8"/>
    <n v="1369.436712476871"/>
    <n v="1575.1141107526009"/>
    <n v="0.31162465537322487"/>
    <n v="83"/>
    <n v="81"/>
    <n v="0"/>
    <n v="2"/>
    <n v="1"/>
    <n v="0.22865103000578935"/>
    <n v="1"/>
    <n v="72.25"/>
    <n v="72.25"/>
    <n v="11.371986106619042"/>
    <n v="1380.80869858349"/>
    <n v="1"/>
    <n v="0"/>
    <n v="0"/>
    <n v="0"/>
    <n v="0"/>
    <n v="0"/>
    <n v="0"/>
    <n v="0"/>
    <n v="0"/>
    <n v="0"/>
  </r>
  <r>
    <d v="2024-08-16T00:00:00"/>
    <n v="2024"/>
    <x v="24"/>
    <s v="R"/>
    <s v="RS"/>
    <x v="1"/>
    <s v="DAL"/>
    <s v="A"/>
    <n v="30"/>
    <n v="29"/>
    <n v="1"/>
    <n v="-1"/>
    <n v="8"/>
    <n v="-8"/>
    <n v="1620.5767457119227"/>
    <n v="1370.0276621903674"/>
    <n v="0.74093559302142531"/>
    <n v="109"/>
    <n v="91"/>
    <n v="0"/>
    <n v="18"/>
    <n v="1"/>
    <n v="0.45238091285990889"/>
    <n v="1"/>
    <n v="72.25"/>
    <n v="72.25"/>
    <n v="8.4673960383600768"/>
    <n v="1629.0441417502827"/>
    <n v="1"/>
    <n v="0"/>
    <n v="0"/>
    <n v="0"/>
    <n v="0"/>
    <n v="0"/>
    <n v="0"/>
    <n v="0"/>
    <n v="0"/>
    <n v="0"/>
  </r>
  <r>
    <d v="2024-08-16T00:00:00"/>
    <n v="2024"/>
    <x v="25"/>
    <s v="R"/>
    <s v="RS"/>
    <x v="9"/>
    <s v="CON"/>
    <s v="H"/>
    <n v="29"/>
    <n v="30"/>
    <n v="-1"/>
    <n v="1"/>
    <n v="-8"/>
    <n v="8"/>
    <n v="1370.0276621903674"/>
    <n v="1620.5767457119227"/>
    <n v="0.25906440697857469"/>
    <n v="91"/>
    <n v="109"/>
    <n v="0"/>
    <n v="-18"/>
    <n v="0"/>
    <n v="0.45238091285990889"/>
    <n v="1"/>
    <n v="72.099999999999994"/>
    <n v="72.099999999999994"/>
    <n v="-8.4498166694223045"/>
    <n v="1361.5778455209452"/>
    <n v="0"/>
    <n v="1"/>
    <n v="0"/>
    <n v="0"/>
    <n v="0"/>
    <n v="0"/>
    <n v="0"/>
    <n v="0"/>
    <n v="0"/>
    <n v="0"/>
  </r>
  <r>
    <d v="2024-08-16T00:00:00"/>
    <n v="2024"/>
    <x v="26"/>
    <s v="R"/>
    <s v="RS"/>
    <x v="2"/>
    <s v="IND"/>
    <s v="A"/>
    <n v="0"/>
    <n v="29"/>
    <n v="-29"/>
    <n v="29"/>
    <n v="-16"/>
    <n v="16"/>
    <n v="1493.5885577705706"/>
    <n v="1446.6990484627545"/>
    <n v="0.40183334508063806"/>
    <n v="89"/>
    <n v="98"/>
    <n v="0"/>
    <n v="-9"/>
    <n v="0"/>
    <n v="0.3907048932083253"/>
    <n v="1"/>
    <n v="71.95"/>
    <n v="71.95"/>
    <n v="-11.296024388054924"/>
    <n v="1482.2925333825156"/>
    <n v="0"/>
    <n v="1"/>
    <n v="0"/>
    <n v="0"/>
    <n v="0"/>
    <n v="0"/>
    <n v="0"/>
    <n v="0"/>
    <n v="0"/>
    <n v="0"/>
  </r>
  <r>
    <d v="2024-08-16T00:00:00"/>
    <n v="2024"/>
    <x v="26"/>
    <s v="R"/>
    <s v="RS"/>
    <x v="0"/>
    <s v="PHX"/>
    <s v="H"/>
    <n v="29"/>
    <n v="0"/>
    <n v="29"/>
    <n v="-29"/>
    <n v="16"/>
    <n v="-16"/>
    <n v="1446.6990484627545"/>
    <n v="1493.5885577705706"/>
    <n v="0.59816665491936183"/>
    <n v="98"/>
    <n v="89"/>
    <n v="0"/>
    <n v="9"/>
    <n v="1"/>
    <n v="0.3907048932083253"/>
    <n v="1"/>
    <n v="71.95"/>
    <n v="71.95"/>
    <n v="11.296024388054926"/>
    <n v="1457.9950728508095"/>
    <n v="1"/>
    <n v="0"/>
    <n v="0"/>
    <n v="0"/>
    <n v="0"/>
    <n v="0"/>
    <n v="0"/>
    <n v="0"/>
    <n v="0"/>
    <n v="0"/>
  </r>
  <r>
    <d v="2024-08-17T00:00:00"/>
    <n v="2024"/>
    <x v="25"/>
    <s v="R"/>
    <s v="RS"/>
    <x v="8"/>
    <s v="LAS"/>
    <s v="A"/>
    <n v="1"/>
    <n v="1"/>
    <n v="0"/>
    <n v="0"/>
    <n v="0"/>
    <n v="0"/>
    <n v="1450.6083066246224"/>
    <n v="1360.3654687871306"/>
    <n v="0.5089831990852155"/>
    <n v="90"/>
    <n v="86"/>
    <n v="0"/>
    <n v="4"/>
    <n v="1"/>
    <n v="0.28965034404765733"/>
    <n v="1"/>
    <n v="72.099999999999994"/>
    <n v="72.099999999999994"/>
    <n v="10.254291661438426"/>
    <n v="1460.8625982860608"/>
    <n v="1"/>
    <n v="0"/>
    <n v="0"/>
    <n v="0"/>
    <n v="0"/>
    <n v="0"/>
    <n v="0"/>
    <n v="0"/>
    <n v="0"/>
    <n v="0"/>
  </r>
  <r>
    <d v="2024-08-17T00:00:00"/>
    <n v="2024"/>
    <x v="25"/>
    <s v="R"/>
    <s v="RS"/>
    <x v="11"/>
    <s v="CHI"/>
    <s v="H"/>
    <n v="1"/>
    <n v="1"/>
    <n v="0"/>
    <n v="0"/>
    <n v="0"/>
    <n v="0"/>
    <n v="1360.3654687871306"/>
    <n v="1450.6083066246224"/>
    <n v="0.4910168009147845"/>
    <n v="86"/>
    <n v="90"/>
    <n v="0"/>
    <n v="-4"/>
    <n v="0"/>
    <n v="0.28965034404765733"/>
    <n v="1"/>
    <n v="72.099999999999994"/>
    <n v="72.099999999999994"/>
    <n v="-10.254291661438426"/>
    <n v="1350.1111771256922"/>
    <n v="0"/>
    <n v="1"/>
    <n v="0"/>
    <n v="0"/>
    <n v="0"/>
    <n v="0"/>
    <n v="0"/>
    <n v="0"/>
    <n v="0"/>
    <n v="0"/>
  </r>
  <r>
    <d v="2024-08-17T00:00:00"/>
    <n v="2024"/>
    <x v="26"/>
    <s v="R"/>
    <s v="RS"/>
    <x v="6"/>
    <s v="LVA"/>
    <s v="A"/>
    <n v="1"/>
    <n v="31"/>
    <n v="-30"/>
    <n v="30"/>
    <n v="-16"/>
    <n v="16"/>
    <n v="1714.7220630232866"/>
    <n v="1638.9906723061149"/>
    <n v="0.44230691909886638"/>
    <n v="79"/>
    <n v="67"/>
    <n v="0"/>
    <n v="12"/>
    <n v="1"/>
    <n v="0.42905217796996026"/>
    <n v="1"/>
    <n v="71.95"/>
    <n v="71.95"/>
    <n v="17.216155060407448"/>
    <n v="1731.938218083694"/>
    <n v="1"/>
    <n v="0"/>
    <n v="0"/>
    <n v="0"/>
    <n v="0"/>
    <n v="0"/>
    <n v="0"/>
    <n v="0"/>
    <n v="0"/>
    <n v="0"/>
  </r>
  <r>
    <d v="2024-08-17T00:00:00"/>
    <n v="2024"/>
    <x v="24"/>
    <s v="R"/>
    <s v="RS"/>
    <x v="3"/>
    <s v="NYL"/>
    <s v="H"/>
    <n v="31"/>
    <n v="1"/>
    <n v="30"/>
    <n v="-30"/>
    <n v="16"/>
    <n v="-16"/>
    <n v="1638.9906723061149"/>
    <n v="1714.7220630232866"/>
    <n v="0.55769308090113356"/>
    <n v="67"/>
    <n v="79"/>
    <n v="0"/>
    <n v="-12"/>
    <n v="0"/>
    <n v="0.42905217796996026"/>
    <n v="1"/>
    <n v="72.25"/>
    <n v="72.25"/>
    <n v="-17.28793888970727"/>
    <n v="1621.7027334164077"/>
    <n v="0"/>
    <n v="1"/>
    <n v="0"/>
    <n v="0"/>
    <n v="0"/>
    <n v="0"/>
    <n v="0"/>
    <n v="0"/>
    <n v="0"/>
    <n v="0"/>
  </r>
  <r>
    <d v="2024-08-17T00:00:00"/>
    <n v="2024"/>
    <x v="26"/>
    <s v="R"/>
    <s v="RS"/>
    <x v="4"/>
    <s v="WAS"/>
    <s v="A"/>
    <n v="1"/>
    <n v="1"/>
    <n v="0"/>
    <n v="0"/>
    <n v="0"/>
    <n v="0"/>
    <n v="1568.5013806007667"/>
    <n v="1390.7621559726206"/>
    <n v="0.63172084069417211"/>
    <n v="99"/>
    <n v="83"/>
    <n v="0"/>
    <n v="16"/>
    <n v="1"/>
    <n v="0.45098755093060205"/>
    <n v="1"/>
    <n v="71.95"/>
    <n v="71.95"/>
    <n v="11.950126294410675"/>
    <n v="1580.4515068951773"/>
    <n v="1"/>
    <n v="0"/>
    <n v="0"/>
    <n v="0"/>
    <n v="0"/>
    <n v="0"/>
    <n v="0"/>
    <n v="0"/>
    <n v="0"/>
    <n v="0"/>
  </r>
  <r>
    <d v="2024-08-17T00:00:00"/>
    <n v="2024"/>
    <x v="26"/>
    <s v="R"/>
    <s v="RS"/>
    <x v="7"/>
    <s v="MIN"/>
    <s v="H"/>
    <n v="1"/>
    <n v="1"/>
    <n v="0"/>
    <n v="0"/>
    <n v="0"/>
    <n v="0"/>
    <n v="1390.7621559726206"/>
    <n v="1568.5013806007667"/>
    <n v="0.36827915930582789"/>
    <n v="83"/>
    <n v="99"/>
    <n v="0"/>
    <n v="-16"/>
    <n v="0"/>
    <n v="0.45098755093060205"/>
    <n v="1"/>
    <n v="71.95"/>
    <n v="71.95"/>
    <n v="-11.950126294410675"/>
    <n v="1378.8120296782099"/>
    <n v="0"/>
    <n v="1"/>
    <n v="0"/>
    <n v="0"/>
    <n v="0"/>
    <n v="0"/>
    <n v="0"/>
    <n v="0"/>
    <n v="0"/>
    <n v="0"/>
  </r>
  <r>
    <d v="2024-08-18T00:00:00"/>
    <n v="2024"/>
    <x v="25"/>
    <s v="R"/>
    <s v="RS"/>
    <x v="1"/>
    <s v="ATL"/>
    <s v="A"/>
    <n v="1"/>
    <n v="1"/>
    <n v="0"/>
    <n v="0"/>
    <n v="0"/>
    <n v="0"/>
    <n v="1629.0441417502827"/>
    <n v="1380.80869858349"/>
    <n v="0.72019220524130756"/>
    <n v="70"/>
    <n v="82"/>
    <n v="0"/>
    <n v="-12"/>
    <n v="0"/>
    <n v="0.37794637210022358"/>
    <n v="1"/>
    <n v="72.099999999999994"/>
    <n v="72.099999999999994"/>
    <n v="-19.625189648497031"/>
    <n v="1609.4189521017856"/>
    <n v="0"/>
    <n v="1"/>
    <n v="0"/>
    <n v="0"/>
    <n v="0"/>
    <n v="0"/>
    <n v="0"/>
    <n v="0"/>
    <n v="0"/>
    <n v="0"/>
  </r>
  <r>
    <d v="2024-08-18T00:00:00"/>
    <n v="2024"/>
    <x v="25"/>
    <s v="R"/>
    <s v="RS"/>
    <x v="10"/>
    <s v="CON"/>
    <s v="H"/>
    <n v="1"/>
    <n v="1"/>
    <n v="0"/>
    <n v="0"/>
    <n v="0"/>
    <n v="0"/>
    <n v="1380.80869858349"/>
    <n v="1629.0441417502827"/>
    <n v="0.27980779475869244"/>
    <n v="82"/>
    <n v="70"/>
    <n v="0"/>
    <n v="12"/>
    <n v="1"/>
    <n v="0.37794637210022358"/>
    <n v="1"/>
    <n v="72.099999999999994"/>
    <n v="72.099999999999994"/>
    <n v="19.625189648497031"/>
    <n v="1400.4338882319871"/>
    <n v="1"/>
    <n v="0"/>
    <n v="0"/>
    <n v="0"/>
    <n v="0"/>
    <n v="0"/>
    <n v="0"/>
    <n v="0"/>
    <n v="0"/>
    <n v="0"/>
  </r>
  <r>
    <d v="2024-08-18T00:00:00"/>
    <n v="2024"/>
    <x v="26"/>
    <s v="R"/>
    <s v="RS"/>
    <x v="5"/>
    <s v="IND"/>
    <s v="A"/>
    <n v="1"/>
    <n v="1"/>
    <n v="0"/>
    <n v="0"/>
    <n v="0"/>
    <n v="0"/>
    <n v="1563.7657343057188"/>
    <n v="1457.9950728508095"/>
    <n v="0.5312895592615845"/>
    <n v="75"/>
    <n v="92"/>
    <n v="0"/>
    <n v="-17"/>
    <n v="0"/>
    <n v="0.48931294120706531"/>
    <n v="1"/>
    <n v="71.95"/>
    <n v="71.95"/>
    <n v="-18.704615352148434"/>
    <n v="1545.0611189535703"/>
    <n v="0"/>
    <n v="1"/>
    <n v="0"/>
    <n v="0"/>
    <n v="0"/>
    <n v="0"/>
    <n v="0"/>
    <n v="0"/>
    <n v="0"/>
    <n v="0"/>
  </r>
  <r>
    <d v="2024-08-18T00:00:00"/>
    <n v="2024"/>
    <x v="27"/>
    <s v="R"/>
    <s v="RS"/>
    <x v="0"/>
    <s v="SEA"/>
    <s v="H"/>
    <n v="1"/>
    <n v="1"/>
    <n v="0"/>
    <n v="0"/>
    <n v="0"/>
    <n v="0"/>
    <n v="1457.9950728508095"/>
    <n v="1563.7657343057188"/>
    <n v="0.4687104407384155"/>
    <n v="92"/>
    <n v="75"/>
    <n v="0"/>
    <n v="17"/>
    <n v="1"/>
    <n v="0.48931294120706531"/>
    <n v="1"/>
    <n v="71.8"/>
    <n v="71.8"/>
    <n v="18.665620323617198"/>
    <n v="1476.6606931744268"/>
    <n v="1"/>
    <n v="0"/>
    <n v="0"/>
    <n v="0"/>
    <n v="0"/>
    <n v="0"/>
    <n v="0"/>
    <n v="0"/>
    <n v="0"/>
    <n v="0"/>
  </r>
  <r>
    <d v="2024-08-18T00:00:00"/>
    <n v="2024"/>
    <x v="26"/>
    <s v="R"/>
    <s v="RS"/>
    <x v="11"/>
    <s v="LVA"/>
    <s v="A"/>
    <n v="0"/>
    <n v="0"/>
    <n v="0"/>
    <n v="0"/>
    <n v="0"/>
    <n v="0"/>
    <n v="1350.1111771256922"/>
    <n v="1621.7027334164077"/>
    <n v="0.11436097618433999"/>
    <n v="71"/>
    <n v="87"/>
    <n v="0"/>
    <n v="-16"/>
    <n v="0"/>
    <n v="0.42222533561026138"/>
    <n v="1"/>
    <n v="71.95"/>
    <n v="71.95"/>
    <n v="-3.4741850065332973"/>
    <n v="1346.6369921191588"/>
    <n v="0"/>
    <n v="1"/>
    <n v="0"/>
    <n v="0"/>
    <n v="0"/>
    <n v="0"/>
    <n v="0"/>
    <n v="0"/>
    <n v="0"/>
    <n v="0"/>
  </r>
  <r>
    <d v="2024-08-18T00:00:00"/>
    <n v="2024"/>
    <x v="25"/>
    <s v="R"/>
    <s v="RS"/>
    <x v="3"/>
    <s v="LAS"/>
    <s v="H"/>
    <n v="0"/>
    <n v="0"/>
    <n v="0"/>
    <n v="0"/>
    <n v="0"/>
    <n v="0"/>
    <n v="1621.7027334164077"/>
    <n v="1350.1111771256922"/>
    <n v="0.88563902381565995"/>
    <n v="87"/>
    <n v="71"/>
    <n v="0"/>
    <n v="16"/>
    <n v="1"/>
    <n v="0.42222533561026138"/>
    <n v="1"/>
    <n v="72.099999999999994"/>
    <n v="72.099999999999994"/>
    <n v="3.4814279217658211"/>
    <n v="1625.1841613381735"/>
    <n v="1"/>
    <n v="0"/>
    <n v="0"/>
    <n v="0"/>
    <n v="0"/>
    <n v="0"/>
    <n v="0"/>
    <n v="0"/>
    <n v="0"/>
    <n v="0"/>
  </r>
  <r>
    <d v="2024-08-18T00:00:00"/>
    <n v="2024"/>
    <x v="26"/>
    <s v="R"/>
    <s v="RS"/>
    <x v="8"/>
    <s v="PHX"/>
    <s v="A"/>
    <n v="0"/>
    <n v="1"/>
    <n v="-1"/>
    <n v="1"/>
    <n v="-8"/>
    <n v="8"/>
    <n v="1460.8625982860608"/>
    <n v="1482.2925333825156"/>
    <n v="0.33203244854010044"/>
    <n v="68"/>
    <n v="86"/>
    <n v="0"/>
    <n v="-18"/>
    <n v="0"/>
    <n v="0.53723975456665563"/>
    <n v="1"/>
    <n v="71.95"/>
    <n v="71.95"/>
    <n v="-12.834515192095056"/>
    <n v="1448.0280830939657"/>
    <n v="0"/>
    <n v="1"/>
    <n v="0"/>
    <n v="0"/>
    <n v="0"/>
    <n v="0"/>
    <n v="0"/>
    <n v="0"/>
    <n v="0"/>
    <n v="0"/>
  </r>
  <r>
    <d v="2024-08-18T00:00:00"/>
    <n v="2024"/>
    <x v="27"/>
    <s v="R"/>
    <s v="RS"/>
    <x v="2"/>
    <s v="CHI"/>
    <s v="H"/>
    <n v="1"/>
    <n v="0"/>
    <n v="1"/>
    <n v="-1"/>
    <n v="8"/>
    <n v="-8"/>
    <n v="1482.2925333825156"/>
    <n v="1460.8625982860608"/>
    <n v="0.6679675514598995"/>
    <n v="86"/>
    <n v="68"/>
    <n v="0"/>
    <n v="18"/>
    <n v="1"/>
    <n v="0.53723975456665563"/>
    <n v="1"/>
    <n v="71.8"/>
    <n v="71.8"/>
    <n v="12.807758037420781"/>
    <n v="1495.1002914199364"/>
    <n v="1"/>
    <n v="0"/>
    <n v="0"/>
    <n v="0"/>
    <n v="0"/>
    <n v="0"/>
    <n v="0"/>
    <n v="0"/>
    <n v="0"/>
    <n v="0"/>
  </r>
  <r>
    <d v="2024-08-20T00:00:00"/>
    <n v="2024"/>
    <x v="27"/>
    <s v="R"/>
    <s v="RS"/>
    <x v="11"/>
    <s v="CON"/>
    <s v="A"/>
    <n v="1"/>
    <n v="1"/>
    <n v="0"/>
    <n v="0"/>
    <n v="0"/>
    <n v="0"/>
    <n v="1346.6369921191588"/>
    <n v="1609.4189521017856"/>
    <n v="0.11959853420518406"/>
    <n v="61"/>
    <n v="69"/>
    <n v="0"/>
    <n v="-8"/>
    <n v="0"/>
    <n v="0.3185564593708422"/>
    <n v="1"/>
    <n v="71.8"/>
    <n v="71.8"/>
    <n v="-2.7354999862484424"/>
    <n v="1343.9014921329103"/>
    <n v="0"/>
    <n v="1"/>
    <n v="0"/>
    <n v="0"/>
    <n v="0"/>
    <n v="0"/>
    <n v="0"/>
    <n v="0"/>
    <n v="0"/>
    <n v="0"/>
  </r>
  <r>
    <d v="2024-08-20T00:00:00"/>
    <n v="2024"/>
    <x v="26"/>
    <s v="R"/>
    <s v="RS"/>
    <x v="1"/>
    <s v="LAS"/>
    <s v="H"/>
    <n v="1"/>
    <n v="1"/>
    <n v="0"/>
    <n v="0"/>
    <n v="0"/>
    <n v="0"/>
    <n v="1609.4189521017856"/>
    <n v="1346.6369921191588"/>
    <n v="0.88040146579481593"/>
    <n v="69"/>
    <n v="61"/>
    <n v="0"/>
    <n v="8"/>
    <n v="1"/>
    <n v="0.3185564593708422"/>
    <n v="1"/>
    <n v="71.95"/>
    <n v="71.95"/>
    <n v="2.7412148190887948"/>
    <n v="1612.1601669208744"/>
    <n v="1"/>
    <n v="0"/>
    <n v="0"/>
    <n v="0"/>
    <n v="0"/>
    <n v="0"/>
    <n v="0"/>
    <n v="0"/>
    <n v="0"/>
    <n v="0"/>
  </r>
  <r>
    <d v="2024-08-20T00:00:00"/>
    <n v="2024"/>
    <x v="26"/>
    <s v="R"/>
    <s v="RS"/>
    <x v="9"/>
    <s v="NYL"/>
    <s v="A"/>
    <n v="3"/>
    <n v="2"/>
    <n v="1"/>
    <n v="-1"/>
    <n v="8"/>
    <n v="-8"/>
    <n v="1361.5778455209452"/>
    <n v="1731.938218083694"/>
    <n v="7.4233593751818025E-2"/>
    <n v="74"/>
    <n v="94"/>
    <n v="0"/>
    <n v="-20"/>
    <n v="0"/>
    <n v="0.43930351452054456"/>
    <n v="1"/>
    <n v="71.95"/>
    <n v="71.95"/>
    <n v="-2.3463671074762744"/>
    <n v="1359.2314784134689"/>
    <n v="0"/>
    <n v="1"/>
    <n v="0"/>
    <n v="0"/>
    <n v="0"/>
    <n v="0"/>
    <n v="0"/>
    <n v="0"/>
    <n v="0"/>
    <n v="0"/>
  </r>
  <r>
    <d v="2024-08-20T00:00:00"/>
    <n v="2024"/>
    <x v="27"/>
    <s v="R"/>
    <s v="RS"/>
    <x v="6"/>
    <s v="DAL"/>
    <s v="H"/>
    <n v="2"/>
    <n v="3"/>
    <n v="-1"/>
    <n v="1"/>
    <n v="-8"/>
    <n v="8"/>
    <n v="1731.938218083694"/>
    <n v="1361.5778455209452"/>
    <n v="0.92576640624818207"/>
    <n v="94"/>
    <n v="74"/>
    <n v="0"/>
    <n v="20"/>
    <n v="1"/>
    <n v="0.43930351452054456"/>
    <n v="1"/>
    <n v="71.8"/>
    <n v="71.8"/>
    <n v="2.341475445681672"/>
    <n v="1734.2796935293757"/>
    <n v="1"/>
    <n v="0"/>
    <n v="0"/>
    <n v="0"/>
    <n v="0"/>
    <n v="0"/>
    <n v="0"/>
    <n v="0"/>
    <n v="0"/>
    <n v="0"/>
  </r>
  <r>
    <d v="2024-08-20T00:00:00"/>
    <n v="2024"/>
    <x v="27"/>
    <s v="R"/>
    <s v="RS"/>
    <x v="5"/>
    <s v="WAS"/>
    <s v="A"/>
    <n v="1"/>
    <n v="2"/>
    <n v="-1"/>
    <n v="1"/>
    <n v="-8"/>
    <n v="8"/>
    <n v="1545.0611189535703"/>
    <n v="1378.8120296782099"/>
    <n v="0.59420117617475665"/>
    <n v="83"/>
    <n v="77"/>
    <n v="0"/>
    <n v="6"/>
    <n v="1"/>
    <n v="0.30853591531597463"/>
    <n v="1"/>
    <n v="71.8"/>
    <n v="71.8"/>
    <n v="8.9896121287922384"/>
    <n v="1554.0507310823625"/>
    <n v="1"/>
    <n v="0"/>
    <n v="0"/>
    <n v="0"/>
    <n v="0"/>
    <n v="0"/>
    <n v="0"/>
    <n v="0"/>
    <n v="0"/>
    <n v="0"/>
  </r>
  <r>
    <d v="2024-08-20T00:00:00"/>
    <n v="2024"/>
    <x v="27"/>
    <s v="R"/>
    <s v="RS"/>
    <x v="7"/>
    <s v="SEA"/>
    <s v="H"/>
    <n v="2"/>
    <n v="1"/>
    <n v="1"/>
    <n v="-1"/>
    <n v="8"/>
    <n v="-8"/>
    <n v="1378.8120296782099"/>
    <n v="1545.0611189535703"/>
    <n v="0.40579882382524335"/>
    <n v="77"/>
    <n v="83"/>
    <n v="0"/>
    <n v="-6"/>
    <n v="0"/>
    <n v="0.30853591531597463"/>
    <n v="1"/>
    <n v="71.8"/>
    <n v="71.8"/>
    <n v="-8.9896121287922384"/>
    <n v="1369.8224175494177"/>
    <n v="0"/>
    <n v="1"/>
    <n v="0"/>
    <n v="0"/>
    <n v="0"/>
    <n v="0"/>
    <n v="0"/>
    <n v="0"/>
    <n v="0"/>
    <n v="0"/>
  </r>
  <r>
    <d v="2024-08-21T00:00:00"/>
    <n v="2024"/>
    <x v="28"/>
    <s v="R"/>
    <s v="RS"/>
    <x v="2"/>
    <s v="ATL"/>
    <s v="A"/>
    <n v="2"/>
    <n v="2"/>
    <n v="0"/>
    <n v="0"/>
    <n v="0"/>
    <n v="0"/>
    <n v="1495.1002914199364"/>
    <n v="1400.4338882319871"/>
    <n v="0.51534536734325798"/>
    <n v="63"/>
    <n v="72"/>
    <n v="0"/>
    <n v="-9"/>
    <n v="0"/>
    <n v="0.37628676497444302"/>
    <n v="1"/>
    <n v="71.650000000000006"/>
    <n v="71.650000000000006"/>
    <n v="-13.894198986402802"/>
    <n v="1481.2060924335335"/>
    <n v="0"/>
    <n v="1"/>
    <n v="0"/>
    <n v="0"/>
    <n v="0"/>
    <n v="0"/>
    <n v="0"/>
    <n v="0"/>
    <n v="0"/>
    <n v="0"/>
  </r>
  <r>
    <d v="2024-08-21T00:00:00"/>
    <n v="2024"/>
    <x v="26"/>
    <s v="R"/>
    <s v="RS"/>
    <x v="10"/>
    <s v="PHX"/>
    <s v="H"/>
    <n v="2"/>
    <n v="2"/>
    <n v="0"/>
    <n v="0"/>
    <n v="0"/>
    <n v="0"/>
    <n v="1400.4338882319871"/>
    <n v="1495.1002914199364"/>
    <n v="0.48465463265674197"/>
    <n v="72"/>
    <n v="63"/>
    <n v="0"/>
    <n v="9"/>
    <n v="1"/>
    <n v="0.37628676497444302"/>
    <n v="1"/>
    <n v="71.95"/>
    <n v="71.95"/>
    <n v="13.95237427873945"/>
    <n v="1414.3862625107265"/>
    <n v="1"/>
    <n v="0"/>
    <n v="0"/>
    <n v="0"/>
    <n v="0"/>
    <n v="0"/>
    <n v="0"/>
    <n v="0"/>
    <n v="0"/>
    <n v="0"/>
  </r>
  <r>
    <d v="2024-08-21T00:00:00"/>
    <n v="2024"/>
    <x v="27"/>
    <s v="R"/>
    <s v="RS"/>
    <x v="4"/>
    <s v="LVA"/>
    <s v="A"/>
    <n v="3"/>
    <n v="2"/>
    <n v="1"/>
    <n v="-1"/>
    <n v="8"/>
    <n v="-8"/>
    <n v="1580.4515068951773"/>
    <n v="1625.1841613381735"/>
    <n v="0.34322814717588324"/>
    <n v="98"/>
    <n v="87"/>
    <n v="0"/>
    <n v="11"/>
    <n v="1"/>
    <n v="0.42402933868987608"/>
    <n v="1"/>
    <n v="71.8"/>
    <n v="71.8"/>
    <n v="19.995620371581083"/>
    <n v="1600.4471272667583"/>
    <n v="1"/>
    <n v="0"/>
    <n v="0"/>
    <n v="0"/>
    <n v="0"/>
    <n v="0"/>
    <n v="0"/>
    <n v="0"/>
    <n v="0"/>
    <n v="0"/>
  </r>
  <r>
    <d v="2024-08-21T00:00:00"/>
    <n v="2024"/>
    <x v="26"/>
    <s v="R"/>
    <s v="RS"/>
    <x v="3"/>
    <s v="MIN"/>
    <s v="H"/>
    <n v="2"/>
    <n v="3"/>
    <n v="-1"/>
    <n v="1"/>
    <n v="-8"/>
    <n v="8"/>
    <n v="1625.1841613381735"/>
    <n v="1580.4515068951773"/>
    <n v="0.65677185282411676"/>
    <n v="87"/>
    <n v="98"/>
    <n v="0"/>
    <n v="-11"/>
    <n v="0"/>
    <n v="0.42402933868987608"/>
    <n v="1"/>
    <n v="71.95"/>
    <n v="71.95"/>
    <n v="-20.037393951744555"/>
    <n v="1605.1467673864288"/>
    <n v="0"/>
    <n v="1"/>
    <n v="0"/>
    <n v="0"/>
    <n v="0"/>
    <n v="0"/>
    <n v="0"/>
    <n v="0"/>
    <n v="0"/>
    <n v="0"/>
  </r>
  <r>
    <d v="2024-08-22T00:00:00"/>
    <n v="2024"/>
    <x v="27"/>
    <s v="R"/>
    <s v="RS"/>
    <x v="9"/>
    <s v="NYL"/>
    <s v="A"/>
    <n v="1"/>
    <n v="1"/>
    <n v="0"/>
    <n v="0"/>
    <n v="0"/>
    <n v="0"/>
    <n v="1359.2314784134689"/>
    <n v="1734.2796935293757"/>
    <n v="6.6453151139094904E-2"/>
    <n v="71"/>
    <n v="79"/>
    <n v="0"/>
    <n v="-8"/>
    <n v="0"/>
    <n v="0.29585039843959032"/>
    <n v="1"/>
    <n v="71.8"/>
    <n v="71.8"/>
    <n v="-1.4116017311804494"/>
    <n v="1357.8198766822884"/>
    <n v="0"/>
    <n v="1"/>
    <n v="0"/>
    <n v="0"/>
    <n v="0"/>
    <n v="0"/>
    <n v="0"/>
    <n v="0"/>
    <n v="0"/>
    <n v="0"/>
  </r>
  <r>
    <d v="2024-08-22T00:00:00"/>
    <n v="2024"/>
    <x v="28"/>
    <s v="R"/>
    <s v="RS"/>
    <x v="6"/>
    <s v="DAL"/>
    <s v="H"/>
    <n v="1"/>
    <n v="1"/>
    <n v="0"/>
    <n v="0"/>
    <n v="0"/>
    <n v="0"/>
    <n v="1734.2796935293757"/>
    <n v="1359.2314784134689"/>
    <n v="0.933546848860905"/>
    <n v="79"/>
    <n v="71"/>
    <n v="0"/>
    <n v="8"/>
    <n v="1"/>
    <n v="0.29585039843959032"/>
    <n v="1"/>
    <n v="71.650000000000006"/>
    <n v="71.650000000000006"/>
    <n v="1.4086527024941418"/>
    <n v="1735.6883462318699"/>
    <n v="1"/>
    <n v="0"/>
    <n v="0"/>
    <n v="0"/>
    <n v="0"/>
    <n v="0"/>
    <n v="0"/>
    <n v="0"/>
    <n v="0"/>
    <n v="0"/>
  </r>
  <r>
    <d v="2024-08-23T00:00:00"/>
    <n v="2024"/>
    <x v="29"/>
    <s v="R"/>
    <s v="RS"/>
    <x v="2"/>
    <s v="ATL"/>
    <s v="A"/>
    <n v="1"/>
    <n v="1"/>
    <n v="0"/>
    <n v="0"/>
    <n v="0"/>
    <n v="0"/>
    <n v="1481.2060924335335"/>
    <n v="1414.3862625107265"/>
    <n v="0.4752958796528105"/>
    <n v="82"/>
    <n v="80"/>
    <n v="0"/>
    <n v="2"/>
    <n v="1"/>
    <n v="0.25371373053987384"/>
    <n v="1"/>
    <n v="71.5"/>
    <n v="71.5"/>
    <n v="9.5184117459093791"/>
    <n v="1490.7245041794429"/>
    <n v="1"/>
    <n v="0"/>
    <n v="0"/>
    <n v="0"/>
    <n v="0"/>
    <n v="0"/>
    <n v="0"/>
    <n v="0"/>
    <n v="0"/>
    <n v="0"/>
  </r>
  <r>
    <d v="2024-08-23T00:00:00"/>
    <n v="2024"/>
    <x v="27"/>
    <s v="R"/>
    <s v="RS"/>
    <x v="10"/>
    <s v="PHX"/>
    <s v="H"/>
    <n v="1"/>
    <n v="1"/>
    <n v="0"/>
    <n v="0"/>
    <n v="0"/>
    <n v="0"/>
    <n v="1414.3862625107265"/>
    <n v="1481.2060924335335"/>
    <n v="0.5247041203471895"/>
    <n v="80"/>
    <n v="82"/>
    <n v="0"/>
    <n v="-2"/>
    <n v="0"/>
    <n v="0.25371373053987384"/>
    <n v="1"/>
    <n v="71.8"/>
    <n v="71.8"/>
    <n v="-9.5583491378502572"/>
    <n v="1404.8279133728763"/>
    <n v="0"/>
    <n v="1"/>
    <n v="0"/>
    <n v="0"/>
    <n v="0"/>
    <n v="0"/>
    <n v="0"/>
    <n v="0"/>
    <n v="0"/>
    <n v="0"/>
  </r>
  <r>
    <d v="2024-08-23T00:00:00"/>
    <n v="2024"/>
    <x v="27"/>
    <s v="R"/>
    <s v="RS"/>
    <x v="8"/>
    <s v="CON"/>
    <s v="A"/>
    <n v="4"/>
    <n v="2"/>
    <n v="2"/>
    <n v="-2"/>
    <n v="16"/>
    <n v="-16"/>
    <n v="1448.0280830939657"/>
    <n v="1612.1601669208744"/>
    <n v="0.22371335270989628"/>
    <n v="80"/>
    <n v="82"/>
    <n v="0"/>
    <n v="-2"/>
    <n v="0"/>
    <n v="0.23561470973538565"/>
    <n v="1"/>
    <n v="71.8"/>
    <n v="71.8"/>
    <n v="-3.7845892483798607"/>
    <n v="1444.2434938455858"/>
    <n v="0"/>
    <n v="1"/>
    <n v="0"/>
    <n v="0"/>
    <n v="0"/>
    <n v="0"/>
    <n v="0"/>
    <n v="0"/>
    <n v="0"/>
    <n v="0"/>
  </r>
  <r>
    <d v="2024-08-23T00:00:00"/>
    <n v="2024"/>
    <x v="27"/>
    <s v="R"/>
    <s v="RS"/>
    <x v="1"/>
    <s v="CHI"/>
    <s v="H"/>
    <n v="2"/>
    <n v="4"/>
    <n v="-2"/>
    <n v="2"/>
    <n v="-16"/>
    <n v="16"/>
    <n v="1612.1601669208744"/>
    <n v="1448.0280830939657"/>
    <n v="0.77628664729010377"/>
    <n v="82"/>
    <n v="80"/>
    <n v="0"/>
    <n v="2"/>
    <n v="1"/>
    <n v="0.23561470973538565"/>
    <n v="1"/>
    <n v="71.8"/>
    <n v="71.8"/>
    <n v="3.7845892483798598"/>
    <n v="1615.9447561692543"/>
    <n v="1"/>
    <n v="0"/>
    <n v="0"/>
    <n v="0"/>
    <n v="0"/>
    <n v="0"/>
    <n v="0"/>
    <n v="0"/>
    <n v="0"/>
    <n v="0"/>
  </r>
  <r>
    <d v="2024-08-23T00:00:00"/>
    <n v="2024"/>
    <x v="27"/>
    <s v="R"/>
    <s v="RS"/>
    <x v="3"/>
    <s v="MIN"/>
    <s v="A"/>
    <n v="1"/>
    <n v="1"/>
    <n v="0"/>
    <n v="0"/>
    <n v="0"/>
    <n v="0"/>
    <n v="1605.1467673864288"/>
    <n v="1600.4471272667583"/>
    <n v="0.38781892596468648"/>
    <n v="74"/>
    <n v="87"/>
    <n v="0"/>
    <n v="-13"/>
    <n v="0"/>
    <n v="0.47020227109943502"/>
    <n v="1"/>
    <n v="71.8"/>
    <n v="71.8"/>
    <n v="-13.092969795050836"/>
    <n v="1592.053797591378"/>
    <n v="0"/>
    <n v="1"/>
    <n v="0"/>
    <n v="0"/>
    <n v="0"/>
    <n v="0"/>
    <n v="0"/>
    <n v="0"/>
    <n v="0"/>
    <n v="0"/>
  </r>
  <r>
    <d v="2024-08-23T00:00:00"/>
    <n v="2024"/>
    <x v="28"/>
    <s v="R"/>
    <s v="RS"/>
    <x v="4"/>
    <s v="LVA"/>
    <s v="H"/>
    <n v="1"/>
    <n v="1"/>
    <n v="0"/>
    <n v="0"/>
    <n v="0"/>
    <n v="0"/>
    <n v="1600.4471272667583"/>
    <n v="1605.1467673864288"/>
    <n v="0.61218107403531352"/>
    <n v="87"/>
    <n v="74"/>
    <n v="0"/>
    <n v="13"/>
    <n v="1"/>
    <n v="0.47020227109943502"/>
    <n v="1"/>
    <n v="71.650000000000006"/>
    <n v="71.650000000000006"/>
    <n v="13.065616794086248"/>
    <n v="1613.5127440608446"/>
    <n v="1"/>
    <n v="0"/>
    <n v="0"/>
    <n v="0"/>
    <n v="0"/>
    <n v="0"/>
    <n v="0"/>
    <n v="0"/>
    <n v="0"/>
    <n v="0"/>
  </r>
  <r>
    <d v="2024-08-23T00:00:00"/>
    <n v="2024"/>
    <x v="28"/>
    <s v="R"/>
    <s v="RS"/>
    <x v="11"/>
    <s v="WAS"/>
    <s v="A"/>
    <n v="2"/>
    <n v="2"/>
    <n v="0"/>
    <n v="0"/>
    <n v="0"/>
    <n v="0"/>
    <n v="1343.9014921329103"/>
    <n v="1369.8224175494177"/>
    <n v="0.34688595163391611"/>
    <n v="74"/>
    <n v="80"/>
    <n v="0"/>
    <n v="-6"/>
    <n v="0"/>
    <n v="0.34385326538575284"/>
    <n v="1"/>
    <n v="71.650000000000006"/>
    <n v="71.650000000000006"/>
    <n v="-8.5462591838601618"/>
    <n v="1335.3552329490501"/>
    <n v="0"/>
    <n v="1"/>
    <n v="0"/>
    <n v="0"/>
    <n v="0"/>
    <n v="0"/>
    <n v="0"/>
    <n v="0"/>
    <n v="0"/>
    <n v="0"/>
  </r>
  <r>
    <d v="2024-08-23T00:00:00"/>
    <n v="2024"/>
    <x v="28"/>
    <s v="R"/>
    <s v="RS"/>
    <x v="7"/>
    <s v="LAS"/>
    <s v="H"/>
    <n v="2"/>
    <n v="2"/>
    <n v="0"/>
    <n v="0"/>
    <n v="0"/>
    <n v="0"/>
    <n v="1369.8224175494177"/>
    <n v="1343.9014921329103"/>
    <n v="0.65311404836608389"/>
    <n v="80"/>
    <n v="74"/>
    <n v="0"/>
    <n v="6"/>
    <n v="1"/>
    <n v="0.34385326538575284"/>
    <n v="1"/>
    <n v="71.650000000000006"/>
    <n v="71.650000000000006"/>
    <n v="8.5462591838601618"/>
    <n v="1378.3686767332779"/>
    <n v="1"/>
    <n v="0"/>
    <n v="0"/>
    <n v="0"/>
    <n v="0"/>
    <n v="0"/>
    <n v="0"/>
    <n v="0"/>
    <n v="0"/>
    <n v="0"/>
  </r>
  <r>
    <d v="2024-08-24T00:00:00"/>
    <n v="2024"/>
    <x v="28"/>
    <s v="R"/>
    <s v="RS"/>
    <x v="0"/>
    <s v="MIN"/>
    <s v="A"/>
    <n v="5"/>
    <n v="0"/>
    <n v="5"/>
    <n v="-5"/>
    <n v="16"/>
    <n v="-16"/>
    <n v="1476.6606931744268"/>
    <n v="1613.5127440608446"/>
    <n v="0.25216102807638441"/>
    <n v="80"/>
    <n v="90"/>
    <n v="0"/>
    <n v="-10"/>
    <n v="0"/>
    <n v="0.37981438474217588"/>
    <n v="1"/>
    <n v="71.650000000000006"/>
    <n v="71.650000000000006"/>
    <n v="-6.8622347378974524"/>
    <n v="1469.7984584365292"/>
    <n v="0"/>
    <n v="1"/>
    <n v="0"/>
    <n v="0"/>
    <n v="0"/>
    <n v="0"/>
    <n v="0"/>
    <n v="0"/>
    <n v="0"/>
    <n v="0"/>
  </r>
  <r>
    <d v="2024-08-24T00:00:00"/>
    <n v="2024"/>
    <x v="29"/>
    <s v="R"/>
    <s v="RS"/>
    <x v="4"/>
    <s v="IND"/>
    <s v="H"/>
    <n v="0"/>
    <n v="5"/>
    <n v="-5"/>
    <n v="5"/>
    <n v="-16"/>
    <n v="16"/>
    <n v="1613.5127440608446"/>
    <n v="1476.6606931744268"/>
    <n v="0.7478389719236157"/>
    <n v="90"/>
    <n v="80"/>
    <n v="0"/>
    <n v="10"/>
    <n v="1"/>
    <n v="0.37981438474217588"/>
    <n v="1"/>
    <n v="71.5"/>
    <n v="71.5"/>
    <n v="6.8478685800372308"/>
    <n v="1620.3606126408818"/>
    <n v="1"/>
    <n v="0"/>
    <n v="0"/>
    <n v="0"/>
    <n v="0"/>
    <n v="0"/>
    <n v="0"/>
    <n v="0"/>
    <n v="0"/>
    <n v="0"/>
  </r>
  <r>
    <d v="2024-08-24T00:00:00"/>
    <n v="2024"/>
    <x v="28"/>
    <s v="R"/>
    <s v="RS"/>
    <x v="1"/>
    <s v="NYL"/>
    <s v="A"/>
    <n v="0"/>
    <n v="1"/>
    <n v="-1"/>
    <n v="1"/>
    <n v="-8"/>
    <n v="8"/>
    <n v="1615.9447561692543"/>
    <n v="1735.6883462318699"/>
    <n v="0.22012367758031834"/>
    <n v="72"/>
    <n v="64"/>
    <n v="0"/>
    <n v="8"/>
    <n v="1"/>
    <n v="0.35308270902948513"/>
    <n v="1"/>
    <n v="71.650000000000006"/>
    <n v="71.650000000000006"/>
    <n v="19.729604517588562"/>
    <n v="1635.6743606868429"/>
    <n v="1"/>
    <n v="0"/>
    <n v="0"/>
    <n v="0"/>
    <n v="0"/>
    <n v="0"/>
    <n v="0"/>
    <n v="0"/>
    <n v="0"/>
    <n v="0"/>
  </r>
  <r>
    <d v="2024-08-24T00:00:00"/>
    <n v="2024"/>
    <x v="29"/>
    <s v="R"/>
    <s v="RS"/>
    <x v="6"/>
    <s v="CON"/>
    <s v="H"/>
    <n v="1"/>
    <n v="0"/>
    <n v="1"/>
    <n v="-1"/>
    <n v="8"/>
    <n v="-8"/>
    <n v="1735.6883462318699"/>
    <n v="1615.9447561692543"/>
    <n v="0.77987632241968163"/>
    <n v="64"/>
    <n v="72"/>
    <n v="0"/>
    <n v="-8"/>
    <n v="0"/>
    <n v="0.35308270902948513"/>
    <n v="1"/>
    <n v="71.5"/>
    <n v="71.5"/>
    <n v="-19.688300390894376"/>
    <n v="1716.0000458409754"/>
    <n v="0"/>
    <n v="1"/>
    <n v="0"/>
    <n v="0"/>
    <n v="0"/>
    <n v="0"/>
    <n v="0"/>
    <n v="0"/>
    <n v="0"/>
    <n v="0"/>
  </r>
  <r>
    <d v="2024-08-25T00:00:00"/>
    <n v="2024"/>
    <x v="28"/>
    <s v="R"/>
    <s v="RS"/>
    <x v="3"/>
    <s v="CHI"/>
    <s v="A"/>
    <n v="1"/>
    <n v="1"/>
    <n v="0"/>
    <n v="0"/>
    <n v="0"/>
    <n v="0"/>
    <n v="1592.053797591378"/>
    <n v="1444.2434938455858"/>
    <n v="0.59081163294668004"/>
    <n v="77"/>
    <n v="75"/>
    <n v="0"/>
    <n v="2"/>
    <n v="1"/>
    <n v="0.2384679684361756"/>
    <n v="1"/>
    <n v="71.650000000000006"/>
    <n v="71.650000000000006"/>
    <n v="6.9914865276127145"/>
    <n v="1599.0452841189908"/>
    <n v="1"/>
    <n v="0"/>
    <n v="0"/>
    <n v="0"/>
    <n v="0"/>
    <n v="0"/>
    <n v="0"/>
    <n v="0"/>
    <n v="0"/>
    <n v="0"/>
  </r>
  <r>
    <d v="2024-08-25T00:00:00"/>
    <n v="2024"/>
    <x v="28"/>
    <s v="R"/>
    <s v="RS"/>
    <x v="8"/>
    <s v="LVA"/>
    <s v="H"/>
    <n v="1"/>
    <n v="1"/>
    <n v="0"/>
    <n v="0"/>
    <n v="0"/>
    <n v="0"/>
    <n v="1444.2434938455858"/>
    <n v="1592.053797591378"/>
    <n v="0.4091883670533199"/>
    <n v="75"/>
    <n v="77"/>
    <n v="0"/>
    <n v="-2"/>
    <n v="0"/>
    <n v="0.2384679684361756"/>
    <n v="1"/>
    <n v="71.650000000000006"/>
    <n v="71.650000000000006"/>
    <n v="-6.9914865276127136"/>
    <n v="1437.252007317973"/>
    <n v="0"/>
    <n v="1"/>
    <n v="0"/>
    <n v="0"/>
    <n v="0"/>
    <n v="0"/>
    <n v="0"/>
    <n v="0"/>
    <n v="0"/>
    <n v="0"/>
  </r>
  <r>
    <d v="2024-08-25T00:00:00"/>
    <n v="2024"/>
    <x v="29"/>
    <s v="R"/>
    <s v="RS"/>
    <x v="11"/>
    <s v="DAL"/>
    <s v="A"/>
    <n v="1"/>
    <n v="2"/>
    <n v="-1"/>
    <n v="1"/>
    <n v="-8"/>
    <n v="8"/>
    <n v="1335.3552329490501"/>
    <n v="1357.8198766822884"/>
    <n v="0.33071275191427285"/>
    <n v="110"/>
    <n v="113"/>
    <n v="0"/>
    <n v="-3"/>
    <n v="0"/>
    <n v="0.28485095835167318"/>
    <n v="1"/>
    <n v="71.5"/>
    <n v="71.5"/>
    <n v="-6.7355748690158324"/>
    <n v="1328.6196580800342"/>
    <n v="0"/>
    <n v="1"/>
    <n v="0"/>
    <n v="0"/>
    <n v="0"/>
    <n v="0"/>
    <n v="0"/>
    <n v="0"/>
    <n v="0"/>
    <n v="0"/>
  </r>
  <r>
    <d v="2024-08-25T00:00:00"/>
    <n v="2024"/>
    <x v="28"/>
    <s v="R"/>
    <s v="RS"/>
    <x v="9"/>
    <s v="LAS"/>
    <s v="H"/>
    <n v="2"/>
    <n v="1"/>
    <n v="1"/>
    <n v="-1"/>
    <n v="8"/>
    <n v="-8"/>
    <n v="1357.8198766822884"/>
    <n v="1335.3552329490501"/>
    <n v="0.66928724808572715"/>
    <n v="113"/>
    <n v="110"/>
    <n v="0"/>
    <n v="3"/>
    <n v="1"/>
    <n v="0.28485095835167318"/>
    <n v="1"/>
    <n v="71.650000000000006"/>
    <n v="71.650000000000006"/>
    <n v="6.7497054456641186"/>
    <n v="1364.5695821279526"/>
    <n v="1"/>
    <n v="0"/>
    <n v="0"/>
    <n v="0"/>
    <n v="0"/>
    <n v="0"/>
    <n v="0"/>
    <n v="0"/>
    <n v="0"/>
    <n v="0"/>
  </r>
  <r>
    <d v="2024-08-26T00:00:00"/>
    <n v="2024"/>
    <x v="29"/>
    <s v="R"/>
    <s v="RS"/>
    <x v="0"/>
    <s v="ATL"/>
    <s v="A"/>
    <n v="1"/>
    <n v="2"/>
    <n v="-1"/>
    <n v="1"/>
    <n v="-8"/>
    <n v="8"/>
    <n v="1469.7984584365292"/>
    <n v="1404.8279133728763"/>
    <n v="0.44975868532038632"/>
    <n v="84"/>
    <n v="79"/>
    <n v="0"/>
    <n v="5"/>
    <n v="1"/>
    <n v="0.31471655376249463"/>
    <n v="1"/>
    <n v="71.5"/>
    <n v="71.5"/>
    <n v="12.381658596000435"/>
    <n v="1482.1801170325298"/>
    <n v="1"/>
    <n v="0"/>
    <n v="0"/>
    <n v="0"/>
    <n v="0"/>
    <n v="0"/>
    <n v="0"/>
    <n v="0"/>
    <n v="0"/>
    <n v="0"/>
  </r>
  <r>
    <d v="2024-08-26T00:00:00"/>
    <n v="2024"/>
    <x v="28"/>
    <s v="R"/>
    <s v="RS"/>
    <x v="10"/>
    <s v="IND"/>
    <s v="H"/>
    <n v="2"/>
    <n v="1"/>
    <n v="1"/>
    <n v="-1"/>
    <n v="8"/>
    <n v="-8"/>
    <n v="1404.8279133728763"/>
    <n v="1469.7984584365292"/>
    <n v="0.55024131467961368"/>
    <n v="79"/>
    <n v="84"/>
    <n v="0"/>
    <n v="-5"/>
    <n v="0"/>
    <n v="0.31471655376249463"/>
    <n v="1"/>
    <n v="71.650000000000006"/>
    <n v="71.650000000000006"/>
    <n v="-12.407634103544492"/>
    <n v="1392.4202792693318"/>
    <n v="0"/>
    <n v="1"/>
    <n v="0"/>
    <n v="0"/>
    <n v="0"/>
    <n v="0"/>
    <n v="0"/>
    <n v="0"/>
    <n v="0"/>
    <n v="0"/>
  </r>
  <r>
    <d v="2024-08-26T00:00:00"/>
    <n v="2024"/>
    <x v="30"/>
    <s v="R"/>
    <s v="RS"/>
    <x v="6"/>
    <s v="PHX"/>
    <s v="A"/>
    <n v="1"/>
    <n v="2"/>
    <n v="-1"/>
    <n v="1"/>
    <n v="-8"/>
    <n v="8"/>
    <n v="1716.0000458409754"/>
    <n v="1490.7245041794429"/>
    <n v="0.6728588810145123"/>
    <n v="84"/>
    <n v="70"/>
    <n v="0"/>
    <n v="14"/>
    <n v="1"/>
    <n v="0.41053796766820211"/>
    <n v="1"/>
    <n v="71.349999999999994"/>
    <n v="71.349999999999994"/>
    <n v="9.5825797067044078"/>
    <n v="1725.5826255476798"/>
    <n v="1"/>
    <n v="0"/>
    <n v="0"/>
    <n v="0"/>
    <n v="0"/>
    <n v="0"/>
    <n v="0"/>
    <n v="0"/>
    <n v="0"/>
    <n v="0"/>
  </r>
  <r>
    <d v="2024-08-26T00:00:00"/>
    <n v="2024"/>
    <x v="30"/>
    <s v="R"/>
    <s v="RS"/>
    <x v="2"/>
    <s v="NYL"/>
    <s v="H"/>
    <n v="2"/>
    <n v="1"/>
    <n v="1"/>
    <n v="-1"/>
    <n v="8"/>
    <n v="-8"/>
    <n v="1490.7245041794429"/>
    <n v="1716.0000458409754"/>
    <n v="0.32714111898548764"/>
    <n v="70"/>
    <n v="84"/>
    <n v="0"/>
    <n v="-14"/>
    <n v="0"/>
    <n v="0.41053796766820211"/>
    <n v="1"/>
    <n v="71.349999999999994"/>
    <n v="71.349999999999994"/>
    <n v="-9.5825797067044061"/>
    <n v="1481.1419244727385"/>
    <n v="0"/>
    <n v="1"/>
    <n v="0"/>
    <n v="0"/>
    <n v="0"/>
    <n v="0"/>
    <n v="0"/>
    <n v="0"/>
    <n v="0"/>
    <n v="0"/>
  </r>
  <r>
    <d v="2024-08-26T00:00:00"/>
    <n v="2024"/>
    <x v="29"/>
    <s v="R"/>
    <s v="RS"/>
    <x v="7"/>
    <s v="SEA"/>
    <s v="A"/>
    <n v="2"/>
    <n v="5"/>
    <n v="-3"/>
    <n v="3"/>
    <n v="-16"/>
    <n v="16"/>
    <n v="1378.3686767332779"/>
    <n v="1554.0507310823625"/>
    <n v="0.15722039449362016"/>
    <n v="74"/>
    <n v="72"/>
    <n v="0"/>
    <n v="2"/>
    <n v="1"/>
    <n v="0.23363653247892474"/>
    <n v="1"/>
    <n v="71.5"/>
    <n v="71.5"/>
    <n v="14.078643484224369"/>
    <n v="1392.4473202175022"/>
    <n v="1"/>
    <n v="0"/>
    <n v="0"/>
    <n v="0"/>
    <n v="0"/>
    <n v="0"/>
    <n v="0"/>
    <n v="0"/>
    <n v="0"/>
    <n v="0"/>
  </r>
  <r>
    <d v="2024-08-26T00:00:00"/>
    <n v="2024"/>
    <x v="28"/>
    <s v="R"/>
    <s v="RS"/>
    <x v="5"/>
    <s v="WAS"/>
    <s v="H"/>
    <n v="5"/>
    <n v="2"/>
    <n v="3"/>
    <n v="-3"/>
    <n v="16"/>
    <n v="-16"/>
    <n v="1554.0507310823625"/>
    <n v="1378.3686767332779"/>
    <n v="0.84277960550637987"/>
    <n v="72"/>
    <n v="74"/>
    <n v="0"/>
    <n v="-2"/>
    <n v="0"/>
    <n v="0.23363653247892474"/>
    <n v="1"/>
    <n v="71.650000000000006"/>
    <n v="71.650000000000006"/>
    <n v="-14.10817909992554"/>
    <n v="1539.942551982437"/>
    <n v="0"/>
    <n v="1"/>
    <n v="0"/>
    <n v="0"/>
    <n v="0"/>
    <n v="0"/>
    <n v="0"/>
    <n v="0"/>
    <n v="0"/>
    <n v="0"/>
  </r>
  <r>
    <d v="2024-08-27T00:00:00"/>
    <n v="2024"/>
    <x v="29"/>
    <s v="R"/>
    <s v="RS"/>
    <x v="3"/>
    <s v="DAL"/>
    <s v="A"/>
    <n v="1"/>
    <n v="1"/>
    <n v="0"/>
    <n v="0"/>
    <n v="0"/>
    <n v="0"/>
    <n v="1599.0452841189908"/>
    <n v="1364.5695821279526"/>
    <n v="0.7039560017457217"/>
    <n v="90"/>
    <n v="93"/>
    <n v="0"/>
    <n v="-3"/>
    <n v="0"/>
    <n v="0.24275087046446545"/>
    <n v="1"/>
    <n v="71.5"/>
    <n v="71.5"/>
    <n v="-12.218344151760796"/>
    <n v="1586.8269399672299"/>
    <n v="0"/>
    <n v="1"/>
    <n v="0"/>
    <n v="0"/>
    <n v="0"/>
    <n v="0"/>
    <n v="0"/>
    <n v="0"/>
    <n v="0"/>
    <n v="0"/>
  </r>
  <r>
    <d v="2024-08-27T00:00:00"/>
    <n v="2024"/>
    <x v="29"/>
    <s v="R"/>
    <s v="RS"/>
    <x v="9"/>
    <s v="LVA"/>
    <s v="H"/>
    <n v="1"/>
    <n v="1"/>
    <n v="0"/>
    <n v="0"/>
    <n v="0"/>
    <n v="0"/>
    <n v="1364.5695821279526"/>
    <n v="1599.0452841189908"/>
    <n v="0.2960439982542783"/>
    <n v="93"/>
    <n v="90"/>
    <n v="0"/>
    <n v="3"/>
    <n v="1"/>
    <n v="0.24275087046446545"/>
    <n v="1"/>
    <n v="71.5"/>
    <n v="71.5"/>
    <n v="12.218344151760796"/>
    <n v="1376.7879262797135"/>
    <n v="1"/>
    <n v="0"/>
    <n v="0"/>
    <n v="0"/>
    <n v="0"/>
    <n v="0"/>
    <n v="0"/>
    <n v="0"/>
    <n v="0"/>
    <n v="0"/>
  </r>
  <r>
    <d v="2024-08-28T00:00:00"/>
    <n v="2024"/>
    <x v="30"/>
    <s v="R"/>
    <s v="RS"/>
    <x v="7"/>
    <s v="CHI"/>
    <s v="A"/>
    <n v="1"/>
    <n v="2"/>
    <n v="-1"/>
    <n v="1"/>
    <n v="-8"/>
    <n v="8"/>
    <n v="1392.4473202175022"/>
    <n v="1437.252007317973"/>
    <n v="0.30289226550471599"/>
    <n v="74"/>
    <n v="70"/>
    <n v="0"/>
    <n v="4"/>
    <n v="1"/>
    <n v="0.30022322839670634"/>
    <n v="1"/>
    <n v="71.349999999999994"/>
    <n v="71.349999999999994"/>
    <n v="14.932694133031331"/>
    <n v="1407.3800143505337"/>
    <n v="1"/>
    <n v="0"/>
    <n v="0"/>
    <n v="0"/>
    <n v="0"/>
    <n v="0"/>
    <n v="0"/>
    <n v="0"/>
    <n v="0"/>
    <n v="0"/>
  </r>
  <r>
    <d v="2024-08-28T00:00:00"/>
    <n v="2024"/>
    <x v="29"/>
    <s v="R"/>
    <s v="RS"/>
    <x v="8"/>
    <s v="WAS"/>
    <s v="H"/>
    <n v="2"/>
    <n v="1"/>
    <n v="1"/>
    <n v="-1"/>
    <n v="8"/>
    <n v="-8"/>
    <n v="1437.252007317973"/>
    <n v="1392.4473202175022"/>
    <n v="0.69710773449528407"/>
    <n v="70"/>
    <n v="74"/>
    <n v="0"/>
    <n v="-4"/>
    <n v="0"/>
    <n v="0.30022322839670634"/>
    <n v="1"/>
    <n v="71.5"/>
    <n v="71.5"/>
    <n v="-14.964087323219907"/>
    <n v="1422.2879199947531"/>
    <n v="0"/>
    <n v="1"/>
    <n v="0"/>
    <n v="0"/>
    <n v="0"/>
    <n v="0"/>
    <n v="0"/>
    <n v="0"/>
    <n v="0"/>
    <n v="0"/>
  </r>
  <r>
    <d v="2024-08-28T00:00:00"/>
    <n v="2024"/>
    <x v="29"/>
    <s v="R"/>
    <s v="RS"/>
    <x v="1"/>
    <s v="IND"/>
    <s v="A"/>
    <n v="3"/>
    <n v="1"/>
    <n v="2"/>
    <n v="-2"/>
    <n v="16"/>
    <n v="-16"/>
    <n v="1635.6743606868429"/>
    <n v="1482.1801170325298"/>
    <n v="0.64204424540782157"/>
    <n v="80"/>
    <n v="84"/>
    <n v="0"/>
    <n v="-4"/>
    <n v="0"/>
    <n v="0.27611442282580134"/>
    <n v="1"/>
    <n v="71.5"/>
    <n v="71.5"/>
    <n v="-12.675353851832659"/>
    <n v="1622.9990068350103"/>
    <n v="0"/>
    <n v="1"/>
    <n v="0"/>
    <n v="0"/>
    <n v="0"/>
    <n v="0"/>
    <n v="0"/>
    <n v="0"/>
    <n v="0"/>
    <n v="0"/>
  </r>
  <r>
    <d v="2024-08-28T00:00:00"/>
    <n v="2024"/>
    <x v="30"/>
    <s v="R"/>
    <s v="RS"/>
    <x v="0"/>
    <s v="CON"/>
    <s v="H"/>
    <n v="1"/>
    <n v="3"/>
    <n v="-2"/>
    <n v="2"/>
    <n v="-16"/>
    <n v="16"/>
    <n v="1482.1801170325298"/>
    <n v="1635.6743606868429"/>
    <n v="0.35795575459217849"/>
    <n v="84"/>
    <n v="80"/>
    <n v="0"/>
    <n v="4"/>
    <n v="1"/>
    <n v="0.27611442282580134"/>
    <n v="1"/>
    <n v="71.349999999999994"/>
    <n v="71.349999999999994"/>
    <n v="12.648762200395243"/>
    <n v="1494.8288792329249"/>
    <n v="1"/>
    <n v="0"/>
    <n v="0"/>
    <n v="0"/>
    <n v="0"/>
    <n v="0"/>
    <n v="0"/>
    <n v="0"/>
    <n v="0"/>
    <n v="0"/>
  </r>
  <r>
    <d v="2024-08-28T00:00:00"/>
    <n v="2024"/>
    <x v="31"/>
    <s v="R"/>
    <s v="RS"/>
    <x v="6"/>
    <s v="LAS"/>
    <s v="A"/>
    <n v="1"/>
    <n v="2"/>
    <n v="-1"/>
    <n v="1"/>
    <n v="-8"/>
    <n v="8"/>
    <n v="1725.5826255476798"/>
    <n v="1328.6196580800342"/>
    <n v="0.84676574473042587"/>
    <n v="88"/>
    <n v="94"/>
    <n v="0"/>
    <n v="-6"/>
    <n v="0"/>
    <n v="0.26396160831308091"/>
    <n v="1"/>
    <n v="71.2"/>
    <n v="71.2"/>
    <n v="-15.914171726454846"/>
    <n v="1709.6684538212248"/>
    <n v="0"/>
    <n v="1"/>
    <n v="0"/>
    <n v="0"/>
    <n v="0"/>
    <n v="0"/>
    <n v="0"/>
    <n v="0"/>
    <n v="0"/>
    <n v="0"/>
  </r>
  <r>
    <d v="2024-08-28T00:00:00"/>
    <n v="2024"/>
    <x v="30"/>
    <s v="R"/>
    <s v="RS"/>
    <x v="11"/>
    <s v="NYL"/>
    <s v="H"/>
    <n v="2"/>
    <n v="1"/>
    <n v="1"/>
    <n v="-1"/>
    <n v="8"/>
    <n v="-8"/>
    <n v="1328.6196580800342"/>
    <n v="1725.5826255476798"/>
    <n v="0.15323425526957407"/>
    <n v="94"/>
    <n v="88"/>
    <n v="0"/>
    <n v="6"/>
    <n v="1"/>
    <n v="0.26396160831308091"/>
    <n v="1"/>
    <n v="71.349999999999994"/>
    <n v="71.349999999999994"/>
    <n v="15.947698773631366"/>
    <n v="1344.5673568536656"/>
    <n v="1"/>
    <n v="0"/>
    <n v="0"/>
    <n v="0"/>
    <n v="0"/>
    <n v="0"/>
    <n v="0"/>
    <n v="0"/>
    <n v="0"/>
    <n v="0"/>
  </r>
  <r>
    <d v="2024-08-28T00:00:00"/>
    <n v="2024"/>
    <x v="30"/>
    <s v="R"/>
    <s v="RS"/>
    <x v="4"/>
    <s v="PHX"/>
    <s v="A"/>
    <n v="3"/>
    <n v="1"/>
    <n v="2"/>
    <n v="-2"/>
    <n v="16"/>
    <n v="-16"/>
    <n v="1620.3606126408818"/>
    <n v="1481.1419244727385"/>
    <n v="0.62294593038451374"/>
    <n v="89"/>
    <n v="76"/>
    <n v="0"/>
    <n v="13"/>
    <n v="1"/>
    <n v="0.42297237320647452"/>
    <n v="1"/>
    <n v="71.349999999999994"/>
    <n v="71.349999999999994"/>
    <n v="11.379144489450272"/>
    <n v="1631.739757130332"/>
    <n v="1"/>
    <n v="0"/>
    <n v="0"/>
    <n v="0"/>
    <n v="0"/>
    <n v="0"/>
    <n v="0"/>
    <n v="0"/>
    <n v="0"/>
    <n v="0"/>
  </r>
  <r>
    <d v="2024-08-28T00:00:00"/>
    <n v="2024"/>
    <x v="31"/>
    <s v="R"/>
    <s v="RS"/>
    <x v="2"/>
    <s v="MIN"/>
    <s v="H"/>
    <n v="1"/>
    <n v="3"/>
    <n v="-2"/>
    <n v="2"/>
    <n v="-16"/>
    <n v="16"/>
    <n v="1481.1419244727385"/>
    <n v="1620.3606126408818"/>
    <n v="0.37705406961548626"/>
    <n v="76"/>
    <n v="89"/>
    <n v="0"/>
    <n v="-13"/>
    <n v="0"/>
    <n v="0.42297237320647452"/>
    <n v="1"/>
    <n v="71.2"/>
    <n v="71.2"/>
    <n v="-11.35522197125241"/>
    <n v="1469.7867025014862"/>
    <n v="0"/>
    <n v="1"/>
    <n v="0"/>
    <n v="0"/>
    <n v="0"/>
    <n v="0"/>
    <n v="0"/>
    <n v="0"/>
    <n v="0"/>
    <n v="0"/>
  </r>
  <r>
    <d v="2024-08-28T00:00:00"/>
    <n v="2024"/>
    <x v="29"/>
    <s v="R"/>
    <s v="RS"/>
    <x v="10"/>
    <s v="SEA"/>
    <s v="A"/>
    <n v="1"/>
    <n v="1"/>
    <n v="0"/>
    <n v="0"/>
    <n v="0"/>
    <n v="0"/>
    <n v="1392.4202792693318"/>
    <n v="1539.942551982437"/>
    <n v="0.20870495667123801"/>
    <n v="81"/>
    <n v="85"/>
    <n v="0"/>
    <n v="-4"/>
    <n v="0"/>
    <n v="0.27733811117808671"/>
    <n v="1"/>
    <n v="71.5"/>
    <n v="71.5"/>
    <n v="-4.1385514510844486"/>
    <n v="1388.2817278182474"/>
    <n v="0"/>
    <n v="1"/>
    <n v="0"/>
    <n v="0"/>
    <n v="0"/>
    <n v="0"/>
    <n v="0"/>
    <n v="0"/>
    <n v="0"/>
    <n v="0"/>
  </r>
  <r>
    <d v="2024-08-28T00:00:00"/>
    <n v="2024"/>
    <x v="29"/>
    <s v="R"/>
    <s v="RS"/>
    <x v="5"/>
    <s v="ATL"/>
    <s v="H"/>
    <n v="1"/>
    <n v="1"/>
    <n v="0"/>
    <n v="0"/>
    <n v="0"/>
    <n v="0"/>
    <n v="1539.942551982437"/>
    <n v="1392.4202792693318"/>
    <n v="0.79129504332876199"/>
    <n v="85"/>
    <n v="81"/>
    <n v="0"/>
    <n v="4"/>
    <n v="1"/>
    <n v="0.27733811117808671"/>
    <n v="1"/>
    <n v="71.5"/>
    <n v="71.5"/>
    <n v="4.1385514510844486"/>
    <n v="1544.0811034335213"/>
    <n v="1"/>
    <n v="0"/>
    <n v="0"/>
    <n v="0"/>
    <n v="0"/>
    <n v="0"/>
    <n v="0"/>
    <n v="0"/>
    <n v="0"/>
    <n v="0"/>
  </r>
  <r>
    <d v="2024-08-30T00:00:00"/>
    <n v="2024"/>
    <x v="31"/>
    <s v="R"/>
    <s v="RS"/>
    <x v="0"/>
    <s v="CHI"/>
    <s v="A"/>
    <n v="1"/>
    <n v="1"/>
    <n v="0"/>
    <n v="0"/>
    <n v="0"/>
    <n v="0"/>
    <n v="1494.8288792329249"/>
    <n v="1422.2879199947531"/>
    <n v="0.48351509170498957"/>
    <n v="100"/>
    <n v="81"/>
    <n v="0"/>
    <n v="19"/>
    <n v="1"/>
    <n v="0.5289991511713118"/>
    <n v="1"/>
    <n v="71.2"/>
    <n v="71.2"/>
    <n v="19.453269559356762"/>
    <n v="1514.2821487922818"/>
    <n v="1"/>
    <n v="0"/>
    <n v="0"/>
    <n v="0"/>
    <n v="0"/>
    <n v="0"/>
    <n v="0"/>
    <n v="0"/>
    <n v="0"/>
    <n v="0"/>
  </r>
  <r>
    <d v="2024-08-30T00:00:00"/>
    <n v="2024"/>
    <x v="30"/>
    <s v="R"/>
    <s v="RS"/>
    <x v="8"/>
    <s v="IND"/>
    <s v="H"/>
    <n v="1"/>
    <n v="1"/>
    <n v="0"/>
    <n v="0"/>
    <n v="0"/>
    <n v="0"/>
    <n v="1422.2879199947531"/>
    <n v="1494.8288792329249"/>
    <n v="0.51648490829501048"/>
    <n v="81"/>
    <n v="100"/>
    <n v="0"/>
    <n v="-19"/>
    <n v="0"/>
    <n v="0.5289991511713118"/>
    <n v="1"/>
    <n v="71.349999999999994"/>
    <n v="71.349999999999994"/>
    <n v="-19.494252571068888"/>
    <n v="1402.7936674236842"/>
    <n v="0"/>
    <n v="1"/>
    <n v="0"/>
    <n v="0"/>
    <n v="0"/>
    <n v="0"/>
    <n v="0"/>
    <n v="0"/>
    <n v="0"/>
    <n v="0"/>
  </r>
  <r>
    <d v="2024-08-30T00:00:00"/>
    <n v="2024"/>
    <x v="31"/>
    <s v="R"/>
    <s v="RS"/>
    <x v="4"/>
    <s v="DAL"/>
    <s v="A"/>
    <n v="1"/>
    <n v="2"/>
    <n v="-1"/>
    <n v="1"/>
    <n v="-8"/>
    <n v="8"/>
    <n v="1631.739757130332"/>
    <n v="1376.7879262797135"/>
    <n v="0.70929745947882239"/>
    <n v="76"/>
    <n v="94"/>
    <n v="0"/>
    <n v="-18"/>
    <n v="0"/>
    <n v="0.45101198860167507"/>
    <n v="1"/>
    <n v="71.2"/>
    <n v="71.2"/>
    <n v="-22.776998028927775"/>
    <n v="1608.9627591014043"/>
    <n v="0"/>
    <n v="1"/>
    <n v="0"/>
    <n v="0"/>
    <n v="0"/>
    <n v="0"/>
    <n v="0"/>
    <n v="0"/>
    <n v="0"/>
    <n v="0"/>
  </r>
  <r>
    <d v="2024-08-30T00:00:00"/>
    <n v="2024"/>
    <x v="30"/>
    <s v="R"/>
    <s v="RS"/>
    <x v="9"/>
    <s v="MIN"/>
    <s v="H"/>
    <n v="2"/>
    <n v="1"/>
    <n v="1"/>
    <n v="-1"/>
    <n v="8"/>
    <n v="-8"/>
    <n v="1376.7879262797135"/>
    <n v="1631.739757130332"/>
    <n v="0.29070254052117761"/>
    <n v="94"/>
    <n v="76"/>
    <n v="0"/>
    <n v="18"/>
    <n v="1"/>
    <n v="0.45101198860167507"/>
    <n v="1"/>
    <n v="71.349999999999994"/>
    <n v="71.349999999999994"/>
    <n v="22.82498327758422"/>
    <n v="1399.6129095572976"/>
    <n v="1"/>
    <n v="0"/>
    <n v="0"/>
    <n v="0"/>
    <n v="0"/>
    <n v="0"/>
    <n v="0"/>
    <n v="0"/>
    <n v="0"/>
    <n v="0"/>
  </r>
  <r>
    <d v="2024-08-30T00:00:00"/>
    <n v="2024"/>
    <x v="30"/>
    <s v="R"/>
    <s v="RS"/>
    <x v="10"/>
    <s v="LVA"/>
    <s v="A"/>
    <n v="1"/>
    <n v="2"/>
    <n v="-1"/>
    <n v="1"/>
    <n v="-8"/>
    <n v="8"/>
    <n v="1388.2817278182474"/>
    <n v="1586.8269399672299"/>
    <n v="0.15205617201602431"/>
    <n v="72"/>
    <n v="83"/>
    <n v="0"/>
    <n v="-11"/>
    <n v="0"/>
    <n v="0.37739442366553433"/>
    <n v="1"/>
    <n v="71.349999999999994"/>
    <n v="71.349999999999994"/>
    <n v="-4.0944305525879843"/>
    <n v="1384.1872972656595"/>
    <n v="0"/>
    <n v="1"/>
    <n v="0"/>
    <n v="0"/>
    <n v="0"/>
    <n v="0"/>
    <n v="0"/>
    <n v="0"/>
    <n v="0"/>
    <n v="0"/>
  </r>
  <r>
    <d v="2024-08-30T00:00:00"/>
    <n v="2024"/>
    <x v="30"/>
    <s v="R"/>
    <s v="RS"/>
    <x v="3"/>
    <s v="ATL"/>
    <s v="H"/>
    <n v="2"/>
    <n v="1"/>
    <n v="1"/>
    <n v="-1"/>
    <n v="8"/>
    <n v="-8"/>
    <n v="1586.8269399672299"/>
    <n v="1388.2817278182474"/>
    <n v="0.84794382798397572"/>
    <n v="83"/>
    <n v="72"/>
    <n v="0"/>
    <n v="11"/>
    <n v="1"/>
    <n v="0.37739442366553433"/>
    <n v="1"/>
    <n v="71.349999999999994"/>
    <n v="71.349999999999994"/>
    <n v="4.0944305525879843"/>
    <n v="1590.9213705198179"/>
    <n v="1"/>
    <n v="0"/>
    <n v="0"/>
    <n v="0"/>
    <n v="0"/>
    <n v="0"/>
    <n v="0"/>
    <n v="0"/>
    <n v="0"/>
    <n v="0"/>
  </r>
  <r>
    <d v="2024-08-30T00:00:00"/>
    <n v="2024"/>
    <x v="32"/>
    <s v="R"/>
    <s v="RS"/>
    <x v="6"/>
    <s v="SEA"/>
    <s v="A"/>
    <n v="1"/>
    <n v="1"/>
    <n v="0"/>
    <n v="0"/>
    <n v="0"/>
    <n v="0"/>
    <n v="1709.6684538212248"/>
    <n v="1544.0811034335213"/>
    <n v="0.61530198784503443"/>
    <n v="98"/>
    <n v="85"/>
    <n v="0"/>
    <n v="13"/>
    <n v="1"/>
    <n v="0.4148050336114491"/>
    <n v="1"/>
    <n v="71.05"/>
    <n v="71.05"/>
    <n v="11.337780435809179"/>
    <n v="1721.0062342570341"/>
    <n v="1"/>
    <n v="0"/>
    <n v="0"/>
    <n v="0"/>
    <n v="0"/>
    <n v="0"/>
    <n v="0"/>
    <n v="0"/>
    <n v="0"/>
    <n v="0"/>
  </r>
  <r>
    <d v="2024-08-30T00:00:00"/>
    <n v="2024"/>
    <x v="30"/>
    <s v="R"/>
    <s v="RS"/>
    <x v="5"/>
    <s v="NYL"/>
    <s v="H"/>
    <n v="1"/>
    <n v="1"/>
    <n v="0"/>
    <n v="0"/>
    <n v="0"/>
    <n v="0"/>
    <n v="1544.0811034335213"/>
    <n v="1709.6684538212248"/>
    <n v="0.38469801215496557"/>
    <n v="85"/>
    <n v="98"/>
    <n v="0"/>
    <n v="-13"/>
    <n v="0"/>
    <n v="0.4148050336114491"/>
    <n v="1"/>
    <n v="71.349999999999994"/>
    <n v="71.349999999999994"/>
    <n v="-11.385652837367838"/>
    <n v="1532.6954505961535"/>
    <n v="0"/>
    <n v="1"/>
    <n v="0"/>
    <n v="0"/>
    <n v="0"/>
    <n v="0"/>
    <n v="0"/>
    <n v="0"/>
    <n v="0"/>
    <n v="0"/>
  </r>
  <r>
    <d v="2024-08-31T00:00:00"/>
    <n v="2024"/>
    <x v="30"/>
    <s v="R"/>
    <s v="RS"/>
    <x v="1"/>
    <s v="WAS"/>
    <s v="A"/>
    <n v="2"/>
    <n v="2"/>
    <n v="0"/>
    <n v="0"/>
    <n v="0"/>
    <n v="0"/>
    <n v="1622.9990068350103"/>
    <n v="1407.3800143505337"/>
    <n v="0.68084544100798872"/>
    <n v="96"/>
    <n v="85"/>
    <n v="0"/>
    <n v="11"/>
    <n v="1"/>
    <n v="0.37284266961044282"/>
    <n v="1"/>
    <n v="71.349999999999994"/>
    <n v="71.349999999999994"/>
    <n v="8.490253136525201"/>
    <n v="1631.4892599715354"/>
    <n v="1"/>
    <n v="0"/>
    <n v="0"/>
    <n v="0"/>
    <n v="0"/>
    <n v="0"/>
    <n v="0"/>
    <n v="0"/>
    <n v="0"/>
    <n v="0"/>
  </r>
  <r>
    <d v="2024-08-31T00:00:00"/>
    <n v="2024"/>
    <x v="31"/>
    <s v="R"/>
    <s v="RS"/>
    <x v="7"/>
    <s v="CON"/>
    <s v="H"/>
    <n v="2"/>
    <n v="2"/>
    <n v="0"/>
    <n v="0"/>
    <n v="0"/>
    <n v="0"/>
    <n v="1407.3800143505337"/>
    <n v="1622.9990068350103"/>
    <n v="0.31915455899201123"/>
    <n v="85"/>
    <n v="96"/>
    <n v="0"/>
    <n v="-11"/>
    <n v="0"/>
    <n v="0.37284266961044282"/>
    <n v="1"/>
    <n v="71.2"/>
    <n v="71.2"/>
    <n v="-8.4724039708562611"/>
    <n v="1398.9076103796774"/>
    <n v="0"/>
    <n v="1"/>
    <n v="0"/>
    <n v="0"/>
    <n v="0"/>
    <n v="0"/>
    <n v="0"/>
    <n v="0"/>
    <n v="0"/>
    <n v="0"/>
  </r>
  <r>
    <d v="2024-09-01T00:00:00"/>
    <n v="2024"/>
    <x v="31"/>
    <s v="R"/>
    <s v="RS"/>
    <x v="5"/>
    <s v="CON"/>
    <s v="A"/>
    <n v="1"/>
    <n v="0"/>
    <n v="1"/>
    <n v="-1"/>
    <n v="8"/>
    <n v="-8"/>
    <n v="1532.6954505961535"/>
    <n v="1631.4892599715354"/>
    <n v="0.27684969540404469"/>
    <n v="86"/>
    <n v="93"/>
    <n v="0"/>
    <n v="-7"/>
    <n v="0"/>
    <n v="0.3419546688463006"/>
    <n v="1"/>
    <n v="71.2"/>
    <n v="71.2"/>
    <n v="-6.7405072689407586"/>
    <n v="1525.9549433272127"/>
    <n v="0"/>
    <n v="1"/>
    <n v="0"/>
    <n v="0"/>
    <n v="0"/>
    <n v="0"/>
    <n v="0"/>
    <n v="0"/>
    <n v="0"/>
    <n v="0"/>
  </r>
  <r>
    <d v="2024-09-01T00:00:00"/>
    <n v="2024"/>
    <x v="31"/>
    <s v="R"/>
    <s v="RS"/>
    <x v="1"/>
    <s v="SEA"/>
    <s v="H"/>
    <n v="0"/>
    <n v="1"/>
    <n v="-1"/>
    <n v="1"/>
    <n v="-8"/>
    <n v="8"/>
    <n v="1631.4892599715354"/>
    <n v="1532.6954505961535"/>
    <n v="0.72315030459595531"/>
    <n v="93"/>
    <n v="86"/>
    <n v="0"/>
    <n v="7"/>
    <n v="1"/>
    <n v="0.3419546688463006"/>
    <n v="1"/>
    <n v="71.2"/>
    <n v="71.2"/>
    <n v="6.7405072689407586"/>
    <n v="1638.2297672404761"/>
    <n v="1"/>
    <n v="0"/>
    <n v="0"/>
    <n v="0"/>
    <n v="0"/>
    <n v="0"/>
    <n v="0"/>
    <n v="0"/>
    <n v="0"/>
    <n v="0"/>
  </r>
  <r>
    <d v="2024-09-01T00:00:00"/>
    <n v="2024"/>
    <x v="32"/>
    <s v="R"/>
    <s v="RS"/>
    <x v="0"/>
    <s v="DAL"/>
    <s v="A"/>
    <n v="1"/>
    <n v="1"/>
    <n v="0"/>
    <n v="0"/>
    <n v="0"/>
    <n v="0"/>
    <n v="1514.2821487922818"/>
    <n v="1399.6129095572976"/>
    <n v="0.54402229971146154"/>
    <n v="100"/>
    <n v="93"/>
    <n v="0"/>
    <n v="7"/>
    <n v="1"/>
    <n v="0.33782535844759382"/>
    <n v="1"/>
    <n v="71.05"/>
    <n v="71.05"/>
    <n v="10.944600974632239"/>
    <n v="1525.2267497669141"/>
    <n v="1"/>
    <n v="0"/>
    <n v="0"/>
    <n v="0"/>
    <n v="0"/>
    <n v="0"/>
    <n v="0"/>
    <n v="0"/>
    <n v="0"/>
    <n v="0"/>
  </r>
  <r>
    <d v="2024-09-01T00:00:00"/>
    <n v="2024"/>
    <x v="31"/>
    <s v="R"/>
    <s v="RS"/>
    <x v="9"/>
    <s v="IND"/>
    <s v="H"/>
    <n v="1"/>
    <n v="1"/>
    <n v="0"/>
    <n v="0"/>
    <n v="0"/>
    <n v="0"/>
    <n v="1399.6129095572976"/>
    <n v="1514.2821487922818"/>
    <n v="0.4559777002885384"/>
    <n v="93"/>
    <n v="100"/>
    <n v="0"/>
    <n v="-7"/>
    <n v="0"/>
    <n v="0.33782535844759382"/>
    <n v="1"/>
    <n v="71.2"/>
    <n v="71.2"/>
    <n v="-10.967707099138853"/>
    <n v="1388.6452024581588"/>
    <n v="0"/>
    <n v="1"/>
    <n v="0"/>
    <n v="0"/>
    <n v="0"/>
    <n v="0"/>
    <n v="0"/>
    <n v="0"/>
    <n v="0"/>
    <n v="0"/>
  </r>
  <r>
    <d v="2024-09-01T00:00:00"/>
    <n v="2024"/>
    <x v="31"/>
    <s v="R"/>
    <s v="RS"/>
    <x v="10"/>
    <s v="LAS"/>
    <s v="A"/>
    <n v="1"/>
    <n v="3"/>
    <n v="-2"/>
    <n v="2"/>
    <n v="-16"/>
    <n v="16"/>
    <n v="1384.1872972656595"/>
    <n v="1344.5673568536656"/>
    <n v="0.39181746776263859"/>
    <n v="80"/>
    <n v="62"/>
    <n v="0"/>
    <n v="18"/>
    <n v="1"/>
    <n v="0.52935637541736691"/>
    <n v="1"/>
    <n v="71.2"/>
    <n v="71.2"/>
    <n v="22.922505421041578"/>
    <n v="1407.109802686701"/>
    <n v="1"/>
    <n v="0"/>
    <n v="0"/>
    <n v="0"/>
    <n v="0"/>
    <n v="0"/>
    <n v="0"/>
    <n v="0"/>
    <n v="0"/>
    <n v="0"/>
  </r>
  <r>
    <d v="2024-09-01T00:00:00"/>
    <n v="2024"/>
    <x v="31"/>
    <s v="R"/>
    <s v="RS"/>
    <x v="11"/>
    <s v="ATL"/>
    <s v="H"/>
    <n v="3"/>
    <n v="1"/>
    <n v="2"/>
    <n v="-2"/>
    <n v="16"/>
    <n v="-16"/>
    <n v="1344.5673568536656"/>
    <n v="1384.1872972656595"/>
    <n v="0.60818253223736141"/>
    <n v="62"/>
    <n v="80"/>
    <n v="0"/>
    <n v="-18"/>
    <n v="0"/>
    <n v="0.52935637541736691"/>
    <n v="1"/>
    <n v="71.2"/>
    <n v="71.2"/>
    <n v="-22.922505421041578"/>
    <n v="1321.6448514326241"/>
    <n v="0"/>
    <n v="1"/>
    <n v="0"/>
    <n v="0"/>
    <n v="0"/>
    <n v="0"/>
    <n v="0"/>
    <n v="0"/>
    <n v="0"/>
    <n v="0"/>
  </r>
  <r>
    <d v="2024-09-01T00:00:00"/>
    <n v="2024"/>
    <x v="31"/>
    <s v="R"/>
    <s v="RS"/>
    <x v="8"/>
    <s v="MIN"/>
    <s v="A"/>
    <n v="1"/>
    <n v="1"/>
    <n v="0"/>
    <n v="0"/>
    <n v="0"/>
    <n v="0"/>
    <n v="1402.7936674236842"/>
    <n v="1608.9627591014043"/>
    <n v="0.15837784526109569"/>
    <n v="74"/>
    <n v="79"/>
    <n v="0"/>
    <n v="-5"/>
    <n v="0"/>
    <n v="0.2831147213444366"/>
    <n v="1"/>
    <n v="71.2"/>
    <n v="71.2"/>
    <n v="-3.1925438864097915"/>
    <n v="1399.6011235372744"/>
    <n v="0"/>
    <n v="1"/>
    <n v="0"/>
    <n v="0"/>
    <n v="0"/>
    <n v="0"/>
    <n v="0"/>
    <n v="0"/>
    <n v="0"/>
    <n v="0"/>
  </r>
  <r>
    <d v="2024-09-01T00:00:00"/>
    <n v="2024"/>
    <x v="32"/>
    <s v="R"/>
    <s v="RS"/>
    <x v="4"/>
    <s v="CHI"/>
    <s v="H"/>
    <n v="1"/>
    <n v="1"/>
    <n v="0"/>
    <n v="0"/>
    <n v="0"/>
    <n v="0"/>
    <n v="1608.9627591014043"/>
    <n v="1402.7936674236842"/>
    <n v="0.84162215473890423"/>
    <n v="79"/>
    <n v="74"/>
    <n v="0"/>
    <n v="5"/>
    <n v="1"/>
    <n v="0.2831147213444366"/>
    <n v="1"/>
    <n v="71.05"/>
    <n v="71.05"/>
    <n v="3.1858180214805585"/>
    <n v="1612.1485771228849"/>
    <n v="1"/>
    <n v="0"/>
    <n v="0"/>
    <n v="0"/>
    <n v="0"/>
    <n v="0"/>
    <n v="0"/>
    <n v="0"/>
    <n v="0"/>
    <n v="0"/>
  </r>
  <r>
    <d v="2024-09-01T00:00:00"/>
    <n v="2024"/>
    <x v="31"/>
    <s v="R"/>
    <s v="RS"/>
    <x v="3"/>
    <s v="PHX"/>
    <s v="A"/>
    <n v="1"/>
    <n v="3"/>
    <n v="-2"/>
    <n v="2"/>
    <n v="-16"/>
    <n v="16"/>
    <n v="1590.9213705198179"/>
    <n v="1469.7867025014862"/>
    <n v="0.5073888433437217"/>
    <n v="97"/>
    <n v="79"/>
    <n v="0"/>
    <n v="18"/>
    <n v="1"/>
    <n v="0.49669479912738179"/>
    <n v="1"/>
    <n v="71.2"/>
    <n v="71.2"/>
    <n v="17.421030844634775"/>
    <n v="1608.3424013644526"/>
    <n v="1"/>
    <n v="0"/>
    <n v="0"/>
    <n v="0"/>
    <n v="0"/>
    <n v="0"/>
    <n v="0"/>
    <n v="0"/>
    <n v="0"/>
    <n v="0"/>
  </r>
  <r>
    <d v="2024-09-01T00:00:00"/>
    <n v="2024"/>
    <x v="32"/>
    <s v="R"/>
    <s v="RS"/>
    <x v="2"/>
    <s v="LVA"/>
    <s v="H"/>
    <n v="3"/>
    <n v="1"/>
    <n v="2"/>
    <n v="-2"/>
    <n v="16"/>
    <n v="-16"/>
    <n v="1469.7867025014862"/>
    <n v="1590.9213705198179"/>
    <n v="0.49261115665627836"/>
    <n v="79"/>
    <n v="97"/>
    <n v="0"/>
    <n v="-18"/>
    <n v="0"/>
    <n v="0.49669479912738179"/>
    <n v="1"/>
    <n v="71.05"/>
    <n v="71.05"/>
    <n v="-17.384329234709277"/>
    <n v="1452.402373266777"/>
    <n v="0"/>
    <n v="1"/>
    <n v="0"/>
    <n v="0"/>
    <n v="0"/>
    <n v="0"/>
    <n v="0"/>
    <n v="0"/>
    <n v="0"/>
    <n v="0"/>
  </r>
  <r>
    <d v="2024-09-03T00:00:00"/>
    <n v="2024"/>
    <x v="32"/>
    <s v="R"/>
    <s v="RS"/>
    <x v="5"/>
    <s v="CON"/>
    <s v="A"/>
    <n v="1"/>
    <n v="1"/>
    <n v="0"/>
    <n v="0"/>
    <n v="0"/>
    <n v="0"/>
    <n v="1525.9549433272127"/>
    <n v="1638.2297672404761"/>
    <n v="0.24418902217045907"/>
    <n v="71"/>
    <n v="64"/>
    <n v="0"/>
    <n v="7"/>
    <n v="1"/>
    <n v="0.33844176455368719"/>
    <n v="1"/>
    <n v="71.05"/>
    <n v="71.05"/>
    <n v="18.174447971453393"/>
    <n v="1544.1293912986662"/>
    <n v="1"/>
    <n v="0"/>
    <n v="0"/>
    <n v="0"/>
    <n v="0"/>
    <n v="0"/>
    <n v="0"/>
    <n v="0"/>
    <n v="0"/>
    <n v="0"/>
  </r>
  <r>
    <d v="2024-09-03T00:00:00"/>
    <n v="2024"/>
    <x v="32"/>
    <s v="R"/>
    <s v="RS"/>
    <x v="1"/>
    <s v="SEA"/>
    <s v="H"/>
    <n v="1"/>
    <n v="1"/>
    <n v="0"/>
    <n v="0"/>
    <n v="0"/>
    <n v="0"/>
    <n v="1638.2297672404761"/>
    <n v="1525.9549433272127"/>
    <n v="0.75581097782954088"/>
    <n v="64"/>
    <n v="71"/>
    <n v="0"/>
    <n v="-7"/>
    <n v="0"/>
    <n v="0.33844176455368719"/>
    <n v="1"/>
    <n v="71.05"/>
    <n v="71.05"/>
    <n v="-18.17444797145339"/>
    <n v="1620.0553192690227"/>
    <n v="0"/>
    <n v="1"/>
    <n v="0"/>
    <n v="0"/>
    <n v="0"/>
    <n v="0"/>
    <n v="0"/>
    <n v="0"/>
    <n v="0"/>
    <n v="0"/>
  </r>
  <r>
    <d v="2024-09-03T00:00:00"/>
    <n v="2024"/>
    <x v="32"/>
    <s v="R"/>
    <s v="RS"/>
    <x v="7"/>
    <s v="DAL"/>
    <s v="A"/>
    <n v="2"/>
    <n v="1"/>
    <n v="1"/>
    <n v="-1"/>
    <n v="8"/>
    <n v="-8"/>
    <n v="1398.9076103796774"/>
    <n v="1388.6452024581588"/>
    <n v="0.41766546471038629"/>
    <n v="90"/>
    <n v="86"/>
    <n v="0"/>
    <n v="4"/>
    <n v="1"/>
    <n v="0.30879194415901384"/>
    <n v="1"/>
    <n v="71.05"/>
    <n v="71.05"/>
    <n v="12.776226155179263"/>
    <n v="1411.6838365348567"/>
    <n v="1"/>
    <n v="0"/>
    <n v="0"/>
    <n v="0"/>
    <n v="0"/>
    <n v="0"/>
    <n v="0"/>
    <n v="0"/>
    <n v="0"/>
    <n v="0"/>
  </r>
  <r>
    <d v="2024-09-03T00:00:00"/>
    <n v="2024"/>
    <x v="32"/>
    <s v="R"/>
    <s v="RS"/>
    <x v="9"/>
    <s v="WAS"/>
    <s v="H"/>
    <n v="1"/>
    <n v="2"/>
    <n v="-1"/>
    <n v="1"/>
    <n v="-8"/>
    <n v="8"/>
    <n v="1388.6452024581588"/>
    <n v="1398.9076103796774"/>
    <n v="0.58233453528961376"/>
    <n v="86"/>
    <n v="90"/>
    <n v="0"/>
    <n v="-4"/>
    <n v="0"/>
    <n v="0.30879194415901384"/>
    <n v="1"/>
    <n v="71.05"/>
    <n v="71.05"/>
    <n v="-12.776226155179264"/>
    <n v="1375.8689763029795"/>
    <n v="0"/>
    <n v="1"/>
    <n v="0"/>
    <n v="0"/>
    <n v="0"/>
    <n v="0"/>
    <n v="0"/>
    <n v="0"/>
    <n v="0"/>
    <n v="0"/>
  </r>
  <r>
    <d v="2024-09-03T00:00:00"/>
    <n v="2024"/>
    <x v="32"/>
    <s v="R"/>
    <s v="RS"/>
    <x v="8"/>
    <s v="LVA"/>
    <s v="A"/>
    <n v="1"/>
    <n v="1"/>
    <n v="0"/>
    <n v="0"/>
    <n v="0"/>
    <n v="0"/>
    <n v="1399.6011235372744"/>
    <n v="1608.3424013644526"/>
    <n v="0.15641416608124048"/>
    <n v="71"/>
    <n v="90"/>
    <n v="0"/>
    <n v="-19"/>
    <n v="0"/>
    <n v="0.47785430714858579"/>
    <n v="1"/>
    <n v="71.05"/>
    <n v="71.05"/>
    <n v="-5.310503149377273"/>
    <n v="1394.290620387897"/>
    <n v="0"/>
    <n v="1"/>
    <n v="0"/>
    <n v="0"/>
    <n v="0"/>
    <n v="0"/>
    <n v="0"/>
    <n v="0"/>
    <n v="0"/>
    <n v="0"/>
  </r>
  <r>
    <d v="2024-09-03T00:00:00"/>
    <n v="2024"/>
    <x v="32"/>
    <s v="R"/>
    <s v="RS"/>
    <x v="3"/>
    <s v="CHI"/>
    <s v="H"/>
    <n v="1"/>
    <n v="1"/>
    <n v="0"/>
    <n v="0"/>
    <n v="0"/>
    <n v="0"/>
    <n v="1608.3424013644526"/>
    <n v="1399.6011235372744"/>
    <n v="0.84358583391875952"/>
    <n v="90"/>
    <n v="71"/>
    <n v="0"/>
    <n v="19"/>
    <n v="1"/>
    <n v="0.47785430714858579"/>
    <n v="1"/>
    <n v="71.05"/>
    <n v="71.05"/>
    <n v="5.310503149377273"/>
    <n v="1613.65290451383"/>
    <n v="1"/>
    <n v="0"/>
    <n v="0"/>
    <n v="0"/>
    <n v="0"/>
    <n v="0"/>
    <n v="0"/>
    <n v="0"/>
    <n v="0"/>
    <n v="0"/>
  </r>
  <r>
    <d v="2024-09-03T00:00:00"/>
    <n v="2024"/>
    <x v="32"/>
    <s v="R"/>
    <s v="RS"/>
    <x v="10"/>
    <s v="PHX"/>
    <s v="A"/>
    <n v="1"/>
    <n v="1"/>
    <n v="0"/>
    <n v="0"/>
    <n v="0"/>
    <n v="0"/>
    <n v="1407.109802686701"/>
    <n v="1452.402373266777"/>
    <n v="0.32207158524845036"/>
    <n v="66"/>
    <n v="74"/>
    <n v="0"/>
    <n v="-8"/>
    <n v="0"/>
    <n v="0.37419209992278901"/>
    <n v="1"/>
    <n v="71.05"/>
    <n v="71.05"/>
    <n v="-8.5627074716206018"/>
    <n v="1398.5470952150804"/>
    <n v="0"/>
    <n v="1"/>
    <n v="0"/>
    <n v="0"/>
    <n v="0"/>
    <n v="0"/>
    <n v="0"/>
    <n v="0"/>
    <n v="0"/>
    <n v="0"/>
  </r>
  <r>
    <d v="2024-09-03T00:00:00"/>
    <n v="2024"/>
    <x v="33"/>
    <s v="R"/>
    <s v="RS"/>
    <x v="2"/>
    <s v="ATL"/>
    <s v="H"/>
    <n v="1"/>
    <n v="1"/>
    <n v="0"/>
    <n v="0"/>
    <n v="0"/>
    <n v="0"/>
    <n v="1452.402373266777"/>
    <n v="1407.109802686701"/>
    <n v="0.67792841475154964"/>
    <n v="74"/>
    <n v="66"/>
    <n v="0"/>
    <n v="8"/>
    <n v="1"/>
    <n v="0.37419209992278901"/>
    <n v="1"/>
    <n v="70.900000000000006"/>
    <n v="70.900000000000006"/>
    <n v="8.5446299751991663"/>
    <n v="1460.9470032419761"/>
    <n v="1"/>
    <n v="0"/>
    <n v="0"/>
    <n v="0"/>
    <n v="0"/>
    <n v="0"/>
    <n v="0"/>
    <n v="0"/>
    <n v="0"/>
    <n v="0"/>
  </r>
  <r>
    <d v="2024-09-04T00:00:00"/>
    <n v="2024"/>
    <x v="32"/>
    <s v="R"/>
    <s v="RS"/>
    <x v="11"/>
    <s v="IND"/>
    <s v="A"/>
    <n v="2"/>
    <n v="2"/>
    <n v="0"/>
    <n v="0"/>
    <n v="0"/>
    <n v="0"/>
    <n v="1321.6448514326241"/>
    <n v="1525.2267497669141"/>
    <n v="0.1603731229676213"/>
    <n v="86"/>
    <n v="93"/>
    <n v="0"/>
    <n v="-7"/>
    <n v="0"/>
    <n v="0.31642514591535881"/>
    <n v="1"/>
    <n v="71.05"/>
    <n v="71.05"/>
    <n v="-3.6055096117929222"/>
    <n v="1318.0393418208312"/>
    <n v="0"/>
    <n v="1"/>
    <n v="0"/>
    <n v="0"/>
    <n v="0"/>
    <n v="0"/>
    <n v="0"/>
    <n v="0"/>
    <n v="0"/>
    <n v="0"/>
  </r>
  <r>
    <d v="2024-09-04T00:00:00"/>
    <n v="2024"/>
    <x v="33"/>
    <s v="R"/>
    <s v="RS"/>
    <x v="0"/>
    <s v="LAS"/>
    <s v="H"/>
    <n v="2"/>
    <n v="2"/>
    <n v="0"/>
    <n v="0"/>
    <n v="0"/>
    <n v="0"/>
    <n v="1525.2267497669141"/>
    <n v="1321.6448514326241"/>
    <n v="0.83962687703237859"/>
    <n v="93"/>
    <n v="86"/>
    <n v="0"/>
    <n v="7"/>
    <n v="1"/>
    <n v="0.31642514591535881"/>
    <n v="1"/>
    <n v="70.900000000000006"/>
    <n v="70.900000000000006"/>
    <n v="3.5978976984675355"/>
    <n v="1528.8246474653815"/>
    <n v="1"/>
    <n v="0"/>
    <n v="0"/>
    <n v="0"/>
    <n v="0"/>
    <n v="0"/>
    <n v="0"/>
    <n v="0"/>
    <n v="0"/>
    <n v="0"/>
  </r>
  <r>
    <d v="2024-09-05T00:00:00"/>
    <n v="2024"/>
    <x v="33"/>
    <s v="R"/>
    <s v="RS"/>
    <x v="5"/>
    <s v="NYL"/>
    <s v="A"/>
    <n v="1"/>
    <n v="5"/>
    <n v="-4"/>
    <n v="4"/>
    <n v="-16"/>
    <n v="16"/>
    <n v="1544.1293912986662"/>
    <n v="1721.0062342570341"/>
    <n v="0.15631122408027617"/>
    <n v="70"/>
    <n v="77"/>
    <n v="0"/>
    <n v="-7"/>
    <n v="0"/>
    <n v="0.3225623331933784"/>
    <n v="1"/>
    <n v="70.900000000000006"/>
    <n v="70.900000000000006"/>
    <n v="-3.574786021884564"/>
    <n v="1540.5546052767816"/>
    <n v="0"/>
    <n v="1"/>
    <n v="0"/>
    <n v="0"/>
    <n v="0"/>
    <n v="0"/>
    <n v="0"/>
    <n v="0"/>
    <n v="0"/>
    <n v="0"/>
  </r>
  <r>
    <d v="2024-09-05T00:00:00"/>
    <n v="2024"/>
    <x v="33"/>
    <s v="R"/>
    <s v="RS"/>
    <x v="6"/>
    <s v="SEA"/>
    <s v="H"/>
    <n v="5"/>
    <n v="1"/>
    <n v="4"/>
    <n v="-4"/>
    <n v="16"/>
    <n v="-16"/>
    <n v="1721.0062342570341"/>
    <n v="1544.1293912986662"/>
    <n v="0.8436887759197238"/>
    <n v="77"/>
    <n v="70"/>
    <n v="0"/>
    <n v="7"/>
    <n v="1"/>
    <n v="0.3225623331933784"/>
    <n v="1"/>
    <n v="70.900000000000006"/>
    <n v="70.900000000000006"/>
    <n v="3.5747860218845644"/>
    <n v="1724.5810202789187"/>
    <n v="1"/>
    <n v="0"/>
    <n v="0"/>
    <n v="0"/>
    <n v="0"/>
    <n v="0"/>
    <n v="0"/>
    <n v="0"/>
    <n v="0"/>
    <n v="0"/>
  </r>
  <r>
    <d v="2024-09-05T00:00:00"/>
    <n v="2024"/>
    <x v="33"/>
    <s v="R"/>
    <s v="RS"/>
    <x v="7"/>
    <s v="PHX"/>
    <s v="A"/>
    <n v="1"/>
    <n v="1"/>
    <n v="0"/>
    <n v="0"/>
    <n v="0"/>
    <n v="0"/>
    <n v="1411.6838365348567"/>
    <n v="1460.9470032419761"/>
    <n v="0.31710147288496926"/>
    <n v="90"/>
    <n v="77"/>
    <n v="0"/>
    <n v="13"/>
    <n v="1"/>
    <n v="0.45342928685717165"/>
    <n v="1"/>
    <n v="70.900000000000006"/>
    <n v="70.900000000000006"/>
    <n v="21.953915023121716"/>
    <n v="1433.6377515579784"/>
    <n v="1"/>
    <n v="0"/>
    <n v="0"/>
    <n v="0"/>
    <n v="0"/>
    <n v="0"/>
    <n v="0"/>
    <n v="0"/>
    <n v="0"/>
    <n v="0"/>
  </r>
  <r>
    <d v="2024-09-05T00:00:00"/>
    <n v="2024"/>
    <x v="34"/>
    <s v="R"/>
    <s v="RS"/>
    <x v="2"/>
    <s v="WAS"/>
    <s v="H"/>
    <n v="1"/>
    <n v="1"/>
    <n v="0"/>
    <n v="0"/>
    <n v="0"/>
    <n v="0"/>
    <n v="1460.9470032419761"/>
    <n v="1411.6838365348567"/>
    <n v="0.68289852711503085"/>
    <n v="77"/>
    <n v="90"/>
    <n v="0"/>
    <n v="-13"/>
    <n v="0"/>
    <n v="0.45342928685717165"/>
    <n v="1"/>
    <n v="70.75"/>
    <n v="70.75"/>
    <n v="-21.90746809429988"/>
    <n v="1439.0395351476761"/>
    <n v="0"/>
    <n v="1"/>
    <n v="0"/>
    <n v="0"/>
    <n v="0"/>
    <n v="0"/>
    <n v="0"/>
    <n v="0"/>
    <n v="0"/>
    <n v="0"/>
  </r>
  <r>
    <d v="2024-09-06T00:00:00"/>
    <n v="2024"/>
    <x v="33"/>
    <s v="R"/>
    <s v="RS"/>
    <x v="9"/>
    <s v="ATL"/>
    <s v="A"/>
    <n v="2"/>
    <n v="2"/>
    <n v="0"/>
    <n v="0"/>
    <n v="0"/>
    <n v="0"/>
    <n v="1375.8689763029795"/>
    <n v="1398.5470952150804"/>
    <n v="0.35112709446351659"/>
    <n v="96"/>
    <n v="107"/>
    <n v="1"/>
    <n v="-11"/>
    <n v="0"/>
    <n v="0.38851014059276839"/>
    <n v="1"/>
    <n v="70.900000000000006"/>
    <n v="70.900000000000006"/>
    <n v="-9.6719253716689337"/>
    <n v="1366.1970509313105"/>
    <n v="0"/>
    <n v="1"/>
    <n v="0"/>
    <n v="0"/>
    <n v="0"/>
    <n v="0"/>
    <n v="0"/>
    <n v="0"/>
    <n v="0"/>
    <n v="0"/>
  </r>
  <r>
    <d v="2024-09-06T00:00:00"/>
    <n v="2024"/>
    <x v="33"/>
    <s v="R"/>
    <s v="RS"/>
    <x v="10"/>
    <s v="DAL"/>
    <s v="H"/>
    <n v="2"/>
    <n v="2"/>
    <n v="0"/>
    <n v="0"/>
    <n v="0"/>
    <n v="0"/>
    <n v="1398.5470952150804"/>
    <n v="1375.8689763029795"/>
    <n v="0.64887290553648347"/>
    <n v="107"/>
    <n v="96"/>
    <n v="1"/>
    <n v="11"/>
    <n v="1"/>
    <n v="0.38851014059276839"/>
    <n v="1"/>
    <n v="70.900000000000006"/>
    <n v="70.900000000000006"/>
    <n v="9.671925371668932"/>
    <n v="1408.2190205867494"/>
    <n v="1"/>
    <n v="0"/>
    <n v="0"/>
    <n v="0"/>
    <n v="0"/>
    <n v="0"/>
    <n v="0"/>
    <n v="0"/>
    <n v="0"/>
    <n v="0"/>
  </r>
  <r>
    <d v="2024-09-06T00:00:00"/>
    <n v="2024"/>
    <x v="33"/>
    <s v="R"/>
    <s v="RS"/>
    <x v="11"/>
    <s v="CHI"/>
    <s v="A"/>
    <n v="1"/>
    <n v="2"/>
    <n v="-1"/>
    <n v="1"/>
    <n v="-8"/>
    <n v="8"/>
    <n v="1318.0393418208312"/>
    <n v="1394.290620387897"/>
    <n v="0.26608372965381599"/>
    <n v="78"/>
    <n v="92"/>
    <n v="0"/>
    <n v="-14"/>
    <n v="0"/>
    <n v="0.45847532854022799"/>
    <n v="1"/>
    <n v="70.900000000000006"/>
    <n v="70.900000000000006"/>
    <n v="-8.6492913188919918"/>
    <n v="1309.3900505019392"/>
    <n v="0"/>
    <n v="1"/>
    <n v="0"/>
    <n v="0"/>
    <n v="0"/>
    <n v="0"/>
    <n v="0"/>
    <n v="0"/>
    <n v="0"/>
    <n v="0"/>
  </r>
  <r>
    <d v="2024-09-06T00:00:00"/>
    <n v="2024"/>
    <x v="33"/>
    <s v="R"/>
    <s v="RS"/>
    <x v="8"/>
    <s v="LAS"/>
    <s v="H"/>
    <n v="2"/>
    <n v="1"/>
    <n v="1"/>
    <n v="-1"/>
    <n v="8"/>
    <n v="-8"/>
    <n v="1394.290620387897"/>
    <n v="1318.0393418208312"/>
    <n v="0.73391627034618401"/>
    <n v="92"/>
    <n v="78"/>
    <n v="0"/>
    <n v="14"/>
    <n v="1"/>
    <n v="0.45847532854022799"/>
    <n v="1"/>
    <n v="70.900000000000006"/>
    <n v="70.900000000000006"/>
    <n v="8.6492913188919918"/>
    <n v="1402.939911706789"/>
    <n v="1"/>
    <n v="0"/>
    <n v="0"/>
    <n v="0"/>
    <n v="0"/>
    <n v="0"/>
    <n v="0"/>
    <n v="0"/>
    <n v="0"/>
    <n v="0"/>
  </r>
  <r>
    <d v="2024-09-06T00:00:00"/>
    <n v="2024"/>
    <x v="33"/>
    <s v="R"/>
    <s v="RS"/>
    <x v="3"/>
    <s v="CON"/>
    <s v="A"/>
    <n v="2"/>
    <n v="2"/>
    <n v="0"/>
    <n v="0"/>
    <n v="0"/>
    <n v="0"/>
    <n v="1613.65290451383"/>
    <n v="1620.0553192690227"/>
    <n v="0.37275914194826504"/>
    <n v="72"/>
    <n v="67"/>
    <n v="0"/>
    <n v="5"/>
    <n v="1"/>
    <n v="0.32999533628609534"/>
    <n v="1"/>
    <n v="70.900000000000006"/>
    <n v="70.900000000000006"/>
    <n v="14.675346954057938"/>
    <n v="1628.3282514678879"/>
    <n v="1"/>
    <n v="0"/>
    <n v="0"/>
    <n v="0"/>
    <n v="0"/>
    <n v="0"/>
    <n v="0"/>
    <n v="0"/>
    <n v="0"/>
    <n v="0"/>
  </r>
  <r>
    <d v="2024-09-06T00:00:00"/>
    <n v="2024"/>
    <x v="33"/>
    <s v="R"/>
    <s v="RS"/>
    <x v="1"/>
    <s v="LVA"/>
    <s v="H"/>
    <n v="2"/>
    <n v="2"/>
    <n v="0"/>
    <n v="0"/>
    <n v="0"/>
    <n v="0"/>
    <n v="1620.0553192690227"/>
    <n v="1613.65290451383"/>
    <n v="0.62724085805173502"/>
    <n v="67"/>
    <n v="72"/>
    <n v="0"/>
    <n v="-5"/>
    <n v="0"/>
    <n v="0.32999533628609534"/>
    <n v="1"/>
    <n v="70.900000000000006"/>
    <n v="70.900000000000006"/>
    <n v="-14.675346954057938"/>
    <n v="1605.3799723149648"/>
    <n v="0"/>
    <n v="1"/>
    <n v="0"/>
    <n v="0"/>
    <n v="0"/>
    <n v="0"/>
    <n v="0"/>
    <n v="0"/>
    <n v="0"/>
    <n v="0"/>
  </r>
  <r>
    <d v="2024-09-06T00:00:00"/>
    <n v="2024"/>
    <x v="33"/>
    <s v="R"/>
    <s v="RS"/>
    <x v="4"/>
    <s v="IND"/>
    <s v="A"/>
    <n v="4"/>
    <n v="1"/>
    <n v="3"/>
    <n v="-3"/>
    <n v="16"/>
    <n v="-16"/>
    <n v="1612.1485771228849"/>
    <n v="1528.8246474653815"/>
    <n v="0.54495701518139472"/>
    <n v="99"/>
    <n v="88"/>
    <n v="0"/>
    <n v="11"/>
    <n v="1"/>
    <n v="0.41127820662552367"/>
    <n v="1"/>
    <n v="70.900000000000006"/>
    <n v="70.900000000000006"/>
    <n v="13.268882727820847"/>
    <n v="1625.4174598507059"/>
    <n v="1"/>
    <n v="0"/>
    <n v="0"/>
    <n v="0"/>
    <n v="0"/>
    <n v="0"/>
    <n v="0"/>
    <n v="0"/>
    <n v="0"/>
    <n v="0"/>
  </r>
  <r>
    <d v="2024-09-06T00:00:00"/>
    <n v="2024"/>
    <x v="34"/>
    <s v="R"/>
    <s v="RS"/>
    <x v="0"/>
    <s v="MIN"/>
    <s v="H"/>
    <n v="1"/>
    <n v="4"/>
    <n v="-3"/>
    <n v="3"/>
    <n v="-16"/>
    <n v="16"/>
    <n v="1528.8246474653815"/>
    <n v="1612.1485771228849"/>
    <n v="0.45504298481860539"/>
    <n v="88"/>
    <n v="99"/>
    <n v="0"/>
    <n v="-11"/>
    <n v="0"/>
    <n v="0.41127820662552367"/>
    <n v="1"/>
    <n v="70.75"/>
    <n v="70.75"/>
    <n v="-13.240810338410791"/>
    <n v="1515.5838371269708"/>
    <n v="0"/>
    <n v="1"/>
    <n v="0"/>
    <n v="0"/>
    <n v="0"/>
    <n v="0"/>
    <n v="0"/>
    <n v="0"/>
    <n v="0"/>
    <n v="0"/>
  </r>
  <r>
    <d v="2024-09-07T00:00:00"/>
    <n v="2024"/>
    <x v="35"/>
    <s v="R"/>
    <s v="RS"/>
    <x v="2"/>
    <s v="SEA"/>
    <s v="A"/>
    <n v="1"/>
    <n v="1"/>
    <n v="0"/>
    <n v="0"/>
    <n v="0"/>
    <n v="0"/>
    <n v="1439.0395351476761"/>
    <n v="1540.5546052767816"/>
    <n v="0.2558006356823801"/>
    <n v="66"/>
    <n v="90"/>
    <n v="0"/>
    <n v="-24"/>
    <n v="0"/>
    <n v="0.57941481788832339"/>
    <n v="1"/>
    <n v="70.599999999999994"/>
    <n v="70.599999999999994"/>
    <n v="-10.463956319017425"/>
    <n v="1428.5755788286588"/>
    <n v="0"/>
    <n v="1"/>
    <n v="0"/>
    <n v="0"/>
    <n v="0"/>
    <n v="0"/>
    <n v="0"/>
    <n v="0"/>
    <n v="0"/>
    <n v="0"/>
  </r>
  <r>
    <d v="2024-09-07T00:00:00"/>
    <n v="2024"/>
    <x v="34"/>
    <s v="R"/>
    <s v="RS"/>
    <x v="5"/>
    <s v="PHX"/>
    <s v="H"/>
    <n v="1"/>
    <n v="1"/>
    <n v="0"/>
    <n v="0"/>
    <n v="0"/>
    <n v="0"/>
    <n v="1540.5546052767816"/>
    <n v="1439.0395351476761"/>
    <n v="0.74419936431762002"/>
    <n v="90"/>
    <n v="66"/>
    <n v="0"/>
    <n v="24"/>
    <n v="1"/>
    <n v="0.57941481788832339"/>
    <n v="1"/>
    <n v="70.75"/>
    <n v="70.75"/>
    <n v="10.486188520828366"/>
    <n v="1551.0407937976099"/>
    <n v="1"/>
    <n v="0"/>
    <n v="0"/>
    <n v="0"/>
    <n v="0"/>
    <n v="0"/>
    <n v="0"/>
    <n v="0"/>
    <n v="0"/>
    <n v="0"/>
  </r>
  <r>
    <d v="2024-09-08T00:00:00"/>
    <n v="2024"/>
    <x v="34"/>
    <s v="R"/>
    <s v="RS"/>
    <x v="9"/>
    <s v="CHI"/>
    <s v="A"/>
    <n v="1"/>
    <n v="1"/>
    <n v="0"/>
    <n v="0"/>
    <n v="0"/>
    <n v="0"/>
    <n v="1366.1970509313105"/>
    <n v="1402.939911706789"/>
    <n v="0.33291022383508007"/>
    <n v="77"/>
    <n v="92"/>
    <n v="0"/>
    <n v="-15"/>
    <n v="0"/>
    <n v="0.4879087260517142"/>
    <n v="1"/>
    <n v="70.75"/>
    <n v="70.75"/>
    <n v="-11.491908576468269"/>
    <n v="1354.7051423548423"/>
    <n v="0"/>
    <n v="1"/>
    <n v="0"/>
    <n v="0"/>
    <n v="0"/>
    <n v="0"/>
    <n v="0"/>
    <n v="0"/>
    <n v="0"/>
    <n v="0"/>
  </r>
  <r>
    <d v="2024-09-08T00:00:00"/>
    <n v="2024"/>
    <x v="34"/>
    <s v="R"/>
    <s v="RS"/>
    <x v="8"/>
    <s v="DAL"/>
    <s v="H"/>
    <n v="1"/>
    <n v="1"/>
    <n v="0"/>
    <n v="0"/>
    <n v="0"/>
    <n v="0"/>
    <n v="1402.939911706789"/>
    <n v="1366.1970509313105"/>
    <n v="0.66708977616491993"/>
    <n v="92"/>
    <n v="77"/>
    <n v="0"/>
    <n v="15"/>
    <n v="1"/>
    <n v="0.4879087260517142"/>
    <n v="1"/>
    <n v="70.75"/>
    <n v="70.75"/>
    <n v="11.491908576468269"/>
    <n v="1414.4318202832571"/>
    <n v="1"/>
    <n v="0"/>
    <n v="0"/>
    <n v="0"/>
    <n v="0"/>
    <n v="0"/>
    <n v="0"/>
    <n v="0"/>
    <n v="0"/>
    <n v="0"/>
  </r>
  <r>
    <d v="2024-09-08T00:00:00"/>
    <n v="2024"/>
    <x v="34"/>
    <s v="R"/>
    <s v="RS"/>
    <x v="10"/>
    <s v="IND"/>
    <s v="A"/>
    <n v="1"/>
    <n v="1"/>
    <n v="0"/>
    <n v="0"/>
    <n v="0"/>
    <n v="0"/>
    <n v="1408.2190205867494"/>
    <n v="1515.5838371269708"/>
    <n v="0.24944313679439908"/>
    <n v="100"/>
    <n v="104"/>
    <n v="1"/>
    <n v="-4"/>
    <n v="0"/>
    <n v="0.25727122945398762"/>
    <n v="1"/>
    <n v="70.75"/>
    <n v="70.75"/>
    <n v="-4.5403488805982644"/>
    <n v="1403.6786717061511"/>
    <n v="0"/>
    <n v="1"/>
    <n v="0"/>
    <n v="0"/>
    <n v="0"/>
    <n v="0"/>
    <n v="0"/>
    <n v="0"/>
    <n v="0"/>
    <n v="0"/>
  </r>
  <r>
    <d v="2024-09-08T00:00:00"/>
    <n v="2024"/>
    <x v="35"/>
    <s v="R"/>
    <s v="RS"/>
    <x v="0"/>
    <s v="ATL"/>
    <s v="H"/>
    <n v="1"/>
    <n v="1"/>
    <n v="0"/>
    <n v="0"/>
    <n v="0"/>
    <n v="0"/>
    <n v="1515.5838371269708"/>
    <n v="1408.2190205867494"/>
    <n v="0.75055686320560089"/>
    <n v="104"/>
    <n v="100"/>
    <n v="1"/>
    <n v="4"/>
    <n v="1"/>
    <n v="0.25727122945398762"/>
    <n v="1"/>
    <n v="70.599999999999994"/>
    <n v="70.599999999999994"/>
    <n v="4.5307226992259713"/>
    <n v="1520.1145598261967"/>
    <n v="1"/>
    <n v="0"/>
    <n v="0"/>
    <n v="0"/>
    <n v="0"/>
    <n v="0"/>
    <n v="0"/>
    <n v="0"/>
    <n v="0"/>
    <n v="0"/>
  </r>
  <r>
    <d v="2024-09-08T00:00:00"/>
    <n v="2024"/>
    <x v="34"/>
    <s v="R"/>
    <s v="RS"/>
    <x v="1"/>
    <s v="LAS"/>
    <s v="A"/>
    <n v="1"/>
    <n v="1"/>
    <n v="0"/>
    <n v="0"/>
    <n v="0"/>
    <n v="0"/>
    <n v="1605.3799723149648"/>
    <n v="1309.3900505019392"/>
    <n v="0.77211846585253407"/>
    <n v="79"/>
    <n v="67"/>
    <n v="0"/>
    <n v="12"/>
    <n v="1"/>
    <n v="0.36588169727005643"/>
    <n v="1"/>
    <n v="70.75"/>
    <n v="70.75"/>
    <n v="5.8989710361943253"/>
    <n v="1611.2789433511591"/>
    <n v="1"/>
    <n v="0"/>
    <n v="0"/>
    <n v="0"/>
    <n v="0"/>
    <n v="0"/>
    <n v="0"/>
    <n v="0"/>
    <n v="0"/>
    <n v="0"/>
  </r>
  <r>
    <d v="2024-09-08T00:00:00"/>
    <n v="2024"/>
    <x v="34"/>
    <s v="R"/>
    <s v="RS"/>
    <x v="11"/>
    <s v="CON"/>
    <s v="H"/>
    <n v="1"/>
    <n v="1"/>
    <n v="0"/>
    <n v="0"/>
    <n v="0"/>
    <n v="0"/>
    <n v="1309.3900505019392"/>
    <n v="1605.3799723149648"/>
    <n v="0.22788153414746601"/>
    <n v="67"/>
    <n v="79"/>
    <n v="0"/>
    <n v="-12"/>
    <n v="0"/>
    <n v="0.36588169727005643"/>
    <n v="1"/>
    <n v="70.75"/>
    <n v="70.75"/>
    <n v="-5.8989710361943271"/>
    <n v="1303.4910794657449"/>
    <n v="0"/>
    <n v="1"/>
    <n v="0"/>
    <n v="0"/>
    <n v="0"/>
    <n v="0"/>
    <n v="0"/>
    <n v="0"/>
    <n v="0"/>
    <n v="0"/>
  </r>
  <r>
    <d v="2024-09-08T00:00:00"/>
    <n v="2024"/>
    <x v="34"/>
    <s v="R"/>
    <s v="RS"/>
    <x v="3"/>
    <s v="NYL"/>
    <s v="A"/>
    <n v="1"/>
    <n v="2"/>
    <n v="-1"/>
    <n v="1"/>
    <n v="-8"/>
    <n v="8"/>
    <n v="1628.3282514678879"/>
    <n v="1724.5810202789187"/>
    <n v="0.24421245464794505"/>
    <n v="71"/>
    <n v="75"/>
    <n v="0"/>
    <n v="-4"/>
    <n v="0"/>
    <n v="0.28830741262558218"/>
    <n v="1"/>
    <n v="70.75"/>
    <n v="70.75"/>
    <n v="-4.9813844608322642"/>
    <n v="1623.3468670070556"/>
    <n v="0"/>
    <n v="1"/>
    <n v="0"/>
    <n v="0"/>
    <n v="0"/>
    <n v="0"/>
    <n v="0"/>
    <n v="0"/>
    <n v="0"/>
    <n v="0"/>
  </r>
  <r>
    <d v="2024-09-08T00:00:00"/>
    <n v="2024"/>
    <x v="34"/>
    <s v="R"/>
    <s v="RS"/>
    <x v="6"/>
    <s v="LVA"/>
    <s v="H"/>
    <n v="2"/>
    <n v="1"/>
    <n v="1"/>
    <n v="-1"/>
    <n v="8"/>
    <n v="-8"/>
    <n v="1724.5810202789187"/>
    <n v="1628.3282514678879"/>
    <n v="0.75578754535205495"/>
    <n v="75"/>
    <n v="71"/>
    <n v="0"/>
    <n v="4"/>
    <n v="1"/>
    <n v="0.28830741262558218"/>
    <n v="1"/>
    <n v="70.75"/>
    <n v="70.75"/>
    <n v="4.9813844608322642"/>
    <n v="1729.5624047397509"/>
    <n v="1"/>
    <n v="0"/>
    <n v="0"/>
    <n v="0"/>
    <n v="0"/>
    <n v="0"/>
    <n v="0"/>
    <n v="0"/>
    <n v="0"/>
    <n v="0"/>
  </r>
  <r>
    <d v="2024-09-08T00:00:00"/>
    <n v="2024"/>
    <x v="34"/>
    <s v="R"/>
    <s v="RS"/>
    <x v="4"/>
    <s v="WAS"/>
    <s v="A"/>
    <n v="1"/>
    <n v="2"/>
    <n v="-1"/>
    <n v="1"/>
    <n v="-8"/>
    <n v="8"/>
    <n v="1625.4174598507059"/>
    <n v="1433.6377515579784"/>
    <n v="0.62909270324619182"/>
    <n v="78"/>
    <n v="71"/>
    <n v="0"/>
    <n v="7"/>
    <n v="1"/>
    <n v="0.31910840798892592"/>
    <n v="1"/>
    <n v="70.75"/>
    <n v="70.75"/>
    <n v="8.3739443162348071"/>
    <n v="1633.7914041669408"/>
    <n v="1"/>
    <n v="0"/>
    <n v="0"/>
    <n v="0"/>
    <n v="0"/>
    <n v="0"/>
    <n v="0"/>
    <n v="0"/>
    <n v="0"/>
    <n v="0"/>
  </r>
  <r>
    <d v="2024-09-08T00:00:00"/>
    <n v="2024"/>
    <x v="34"/>
    <s v="R"/>
    <s v="RS"/>
    <x v="7"/>
    <s v="MIN"/>
    <s v="H"/>
    <n v="2"/>
    <n v="1"/>
    <n v="1"/>
    <n v="-1"/>
    <n v="8"/>
    <n v="-8"/>
    <n v="1433.6377515579784"/>
    <n v="1625.4174598507059"/>
    <n v="0.37090729675380824"/>
    <n v="71"/>
    <n v="78"/>
    <n v="0"/>
    <n v="-7"/>
    <n v="0"/>
    <n v="0.31910840798892592"/>
    <n v="1"/>
    <n v="70.75"/>
    <n v="70.75"/>
    <n v="-8.3739443162348088"/>
    <n v="1425.2638072417435"/>
    <n v="0"/>
    <n v="1"/>
    <n v="0"/>
    <n v="0"/>
    <n v="0"/>
    <n v="0"/>
    <n v="0"/>
    <n v="0"/>
    <n v="0"/>
    <n v="0"/>
  </r>
  <r>
    <d v="2024-09-10T00:00:00"/>
    <n v="2024"/>
    <x v="35"/>
    <s v="R"/>
    <s v="RS"/>
    <x v="4"/>
    <s v="ATL"/>
    <s v="A"/>
    <n v="1"/>
    <n v="1"/>
    <n v="0"/>
    <n v="0"/>
    <n v="0"/>
    <n v="0"/>
    <n v="1633.7914041669408"/>
    <n v="1403.6786717061511"/>
    <n v="0.69869525904959473"/>
    <n v="76"/>
    <n v="64"/>
    <n v="0"/>
    <n v="12"/>
    <n v="1"/>
    <n v="0.3827357936671304"/>
    <n v="1"/>
    <n v="70.599999999999994"/>
    <n v="70.599999999999994"/>
    <n v="8.1415997069305668"/>
    <n v="1641.9330038738713"/>
    <n v="1"/>
    <n v="0"/>
    <n v="0"/>
    <n v="0"/>
    <n v="0"/>
    <n v="0"/>
    <n v="0"/>
    <n v="0"/>
    <n v="0"/>
    <n v="0"/>
  </r>
  <r>
    <d v="2024-09-10T00:00:00"/>
    <n v="2024"/>
    <x v="35"/>
    <s v="R"/>
    <s v="RS"/>
    <x v="10"/>
    <s v="MIN"/>
    <s v="H"/>
    <n v="1"/>
    <n v="1"/>
    <n v="0"/>
    <n v="0"/>
    <n v="0"/>
    <n v="0"/>
    <n v="1403.6786717061511"/>
    <n v="1633.7914041669408"/>
    <n v="0.30130474095040527"/>
    <n v="64"/>
    <n v="76"/>
    <n v="0"/>
    <n v="-12"/>
    <n v="0"/>
    <n v="0.3827357936671304"/>
    <n v="1"/>
    <n v="70.599999999999994"/>
    <n v="70.599999999999994"/>
    <n v="-8.1415997069305668"/>
    <n v="1395.5370719992206"/>
    <n v="0"/>
    <n v="1"/>
    <n v="0"/>
    <n v="0"/>
    <n v="0"/>
    <n v="0"/>
    <n v="0"/>
    <n v="0"/>
    <n v="0"/>
    <n v="0"/>
  </r>
  <r>
    <d v="2024-09-10T00:00:00"/>
    <n v="2024"/>
    <x v="35"/>
    <s v="R"/>
    <s v="RS"/>
    <x v="6"/>
    <s v="DAL"/>
    <s v="A"/>
    <n v="1"/>
    <n v="1"/>
    <n v="0"/>
    <n v="0"/>
    <n v="0"/>
    <n v="0"/>
    <n v="1729.5624047397509"/>
    <n v="1354.7051423548423"/>
    <n v="0.84214947634161674"/>
    <n v="105"/>
    <n v="91"/>
    <n v="0"/>
    <n v="14"/>
    <n v="1"/>
    <n v="0.37154460802042566"/>
    <n v="1"/>
    <n v="70.599999999999994"/>
    <n v="70.599999999999994"/>
    <n v="4.1405848722561887"/>
    <n v="1733.7029896120071"/>
    <n v="1"/>
    <n v="0"/>
    <n v="0"/>
    <n v="0"/>
    <n v="0"/>
    <n v="0"/>
    <n v="0"/>
    <n v="0"/>
    <n v="0"/>
    <n v="0"/>
  </r>
  <r>
    <d v="2024-09-10T00:00:00"/>
    <n v="2024"/>
    <x v="35"/>
    <s v="R"/>
    <s v="RS"/>
    <x v="9"/>
    <s v="NYL"/>
    <s v="H"/>
    <n v="1"/>
    <n v="1"/>
    <n v="0"/>
    <n v="0"/>
    <n v="0"/>
    <n v="0"/>
    <n v="1354.7051423548423"/>
    <n v="1729.5624047397509"/>
    <n v="0.15785052365838328"/>
    <n v="91"/>
    <n v="105"/>
    <n v="0"/>
    <n v="-14"/>
    <n v="0"/>
    <n v="0.37154460802042566"/>
    <n v="1"/>
    <n v="70.599999999999994"/>
    <n v="70.599999999999994"/>
    <n v="-4.1405848722561895"/>
    <n v="1350.5645574825862"/>
    <n v="0"/>
    <n v="1"/>
    <n v="0"/>
    <n v="0"/>
    <n v="0"/>
    <n v="0"/>
    <n v="0"/>
    <n v="0"/>
    <n v="0"/>
    <n v="0"/>
  </r>
  <r>
    <d v="2024-09-10T00:00:00"/>
    <n v="2024"/>
    <x v="35"/>
    <s v="R"/>
    <s v="RS"/>
    <x v="1"/>
    <s v="LAS"/>
    <s v="A"/>
    <n v="1"/>
    <n v="1"/>
    <n v="0"/>
    <n v="0"/>
    <n v="0"/>
    <n v="0"/>
    <n v="1611.2789433511591"/>
    <n v="1303.4910794657449"/>
    <n v="0.78384685436774126"/>
    <n v="86"/>
    <n v="66"/>
    <n v="0"/>
    <n v="20"/>
    <n v="1"/>
    <n v="0.45753441001501133"/>
    <n v="1"/>
    <n v="70.599999999999994"/>
    <n v="70.599999999999994"/>
    <n v="6.9821636383579486"/>
    <n v="1618.261106989517"/>
    <n v="1"/>
    <n v="0"/>
    <n v="0"/>
    <n v="0"/>
    <n v="0"/>
    <n v="0"/>
    <n v="0"/>
    <n v="0"/>
    <n v="0"/>
    <n v="0"/>
  </r>
  <r>
    <d v="2024-09-10T00:00:00"/>
    <n v="2024"/>
    <x v="35"/>
    <s v="R"/>
    <s v="RS"/>
    <x v="11"/>
    <s v="CON"/>
    <s v="H"/>
    <n v="1"/>
    <n v="1"/>
    <n v="0"/>
    <n v="0"/>
    <n v="0"/>
    <n v="0"/>
    <n v="1303.4910794657449"/>
    <n v="1611.2789433511591"/>
    <n v="0.21615314563225863"/>
    <n v="66"/>
    <n v="86"/>
    <n v="0"/>
    <n v="-20"/>
    <n v="0"/>
    <n v="0.45753441001501133"/>
    <n v="1"/>
    <n v="70.599999999999994"/>
    <n v="70.599999999999994"/>
    <n v="-6.9821636383579451"/>
    <n v="1296.508915827387"/>
    <n v="0"/>
    <n v="1"/>
    <n v="0"/>
    <n v="0"/>
    <n v="0"/>
    <n v="0"/>
    <n v="0"/>
    <n v="0"/>
    <n v="0"/>
    <n v="0"/>
  </r>
  <r>
    <d v="2024-09-11T00:00:00"/>
    <n v="2024"/>
    <x v="35"/>
    <s v="R"/>
    <s v="RS"/>
    <x v="7"/>
    <s v="CHI"/>
    <s v="A"/>
    <n v="2"/>
    <n v="2"/>
    <n v="0"/>
    <n v="0"/>
    <n v="0"/>
    <n v="0"/>
    <n v="1425.2638072417435"/>
    <n v="1414.4318202832571"/>
    <n v="0.39623228220104489"/>
    <n v="89"/>
    <n v="58"/>
    <n v="0"/>
    <n v="31"/>
    <n v="1"/>
    <n v="0.70908388439575443"/>
    <n v="1"/>
    <n v="70.599999999999994"/>
    <n v="70.599999999999994"/>
    <n v="30.225410277840776"/>
    <n v="1455.4892175195844"/>
    <n v="1"/>
    <n v="0"/>
    <n v="0"/>
    <n v="0"/>
    <n v="0"/>
    <n v="0"/>
    <n v="0"/>
    <n v="0"/>
    <n v="0"/>
    <n v="0"/>
  </r>
  <r>
    <d v="2024-09-11T00:00:00"/>
    <n v="2024"/>
    <x v="35"/>
    <s v="R"/>
    <s v="RS"/>
    <x v="8"/>
    <s v="WAS"/>
    <s v="H"/>
    <n v="2"/>
    <n v="2"/>
    <n v="0"/>
    <n v="0"/>
    <n v="0"/>
    <n v="0"/>
    <n v="1414.4318202832571"/>
    <n v="1425.2638072417435"/>
    <n v="0.60376771779895511"/>
    <n v="58"/>
    <n v="89"/>
    <n v="0"/>
    <n v="-31"/>
    <n v="0"/>
    <n v="0.70908388439575443"/>
    <n v="1"/>
    <n v="70.599999999999994"/>
    <n v="70.599999999999994"/>
    <n v="-30.225410277840776"/>
    <n v="1384.2064100054163"/>
    <n v="0"/>
    <n v="1"/>
    <n v="0"/>
    <n v="0"/>
    <n v="0"/>
    <n v="0"/>
    <n v="0"/>
    <n v="0"/>
    <n v="0"/>
    <n v="0"/>
  </r>
  <r>
    <d v="2024-09-11T00:00:00"/>
    <n v="2024"/>
    <x v="35"/>
    <s v="R"/>
    <s v="RS"/>
    <x v="3"/>
    <s v="IND"/>
    <s v="A"/>
    <n v="2"/>
    <n v="2"/>
    <n v="0"/>
    <n v="0"/>
    <n v="0"/>
    <n v="0"/>
    <n v="1623.3468670070556"/>
    <n v="1520.1145598261967"/>
    <n v="0.52764927987001098"/>
    <n v="86"/>
    <n v="75"/>
    <n v="0"/>
    <n v="11"/>
    <n v="1"/>
    <n v="0.40499545737236747"/>
    <n v="1"/>
    <n v="70.599999999999994"/>
    <n v="70.599999999999994"/>
    <n v="13.50577265330837"/>
    <n v="1636.852639660364"/>
    <n v="1"/>
    <n v="0"/>
    <n v="0"/>
    <n v="0"/>
    <n v="0"/>
    <n v="0"/>
    <n v="0"/>
    <n v="0"/>
    <n v="0"/>
    <n v="0"/>
  </r>
  <r>
    <d v="2024-09-11T00:00:00"/>
    <n v="2024"/>
    <x v="36"/>
    <s v="R"/>
    <s v="RS"/>
    <x v="0"/>
    <s v="LVA"/>
    <s v="H"/>
    <n v="2"/>
    <n v="2"/>
    <n v="0"/>
    <n v="0"/>
    <n v="0"/>
    <n v="0"/>
    <n v="1520.1145598261967"/>
    <n v="1623.3468670070556"/>
    <n v="0.47235072012998897"/>
    <n v="75"/>
    <n v="86"/>
    <n v="0"/>
    <n v="-11"/>
    <n v="0"/>
    <n v="0.40499545737236747"/>
    <n v="1"/>
    <n v="70.45"/>
    <n v="70.45"/>
    <n v="-13.477077668917488"/>
    <n v="1506.6374821572792"/>
    <n v="0"/>
    <n v="1"/>
    <n v="0"/>
    <n v="0"/>
    <n v="0"/>
    <n v="0"/>
    <n v="0"/>
    <n v="0"/>
    <n v="0"/>
    <n v="0"/>
  </r>
  <r>
    <d v="2024-09-11T00:00:00"/>
    <n v="2024"/>
    <x v="35"/>
    <s v="R"/>
    <s v="RS"/>
    <x v="5"/>
    <s v="LAS"/>
    <s v="A"/>
    <n v="3"/>
    <n v="0"/>
    <n v="3"/>
    <n v="-3"/>
    <n v="16"/>
    <n v="-16"/>
    <n v="1551.0407937976099"/>
    <n v="1296.508915827387"/>
    <n v="0.76239718186461436"/>
    <n v="90"/>
    <n v="82"/>
    <n v="0"/>
    <n v="8"/>
    <n v="1"/>
    <n v="0.32036330661509643"/>
    <n v="1"/>
    <n v="70.599999999999994"/>
    <n v="70.599999999999994"/>
    <n v="5.3740172482115778"/>
    <n v="1556.4148110458216"/>
    <n v="1"/>
    <n v="0"/>
    <n v="0"/>
    <n v="0"/>
    <n v="0"/>
    <n v="0"/>
    <n v="0"/>
    <n v="0"/>
    <n v="0"/>
    <n v="0"/>
  </r>
  <r>
    <d v="2024-09-11T00:00:00"/>
    <n v="2024"/>
    <x v="36"/>
    <s v="R"/>
    <s v="RS"/>
    <x v="11"/>
    <s v="SEA"/>
    <s v="H"/>
    <n v="0"/>
    <n v="3"/>
    <n v="-3"/>
    <n v="3"/>
    <n v="-16"/>
    <n v="16"/>
    <n v="1296.508915827387"/>
    <n v="1551.0407937976099"/>
    <n v="0.23760281813538561"/>
    <n v="82"/>
    <n v="90"/>
    <n v="0"/>
    <n v="-8"/>
    <n v="0"/>
    <n v="0.32036330661509643"/>
    <n v="1"/>
    <n v="70.45"/>
    <n v="70.45"/>
    <n v="-5.3625993645397401"/>
    <n v="1291.1463164628472"/>
    <n v="0"/>
    <n v="1"/>
    <n v="0"/>
    <n v="0"/>
    <n v="0"/>
    <n v="0"/>
    <n v="0"/>
    <n v="0"/>
    <n v="0"/>
    <n v="0"/>
  </r>
  <r>
    <d v="2024-09-12T00:00:00"/>
    <n v="2024"/>
    <x v="36"/>
    <s v="R"/>
    <s v="RS"/>
    <x v="6"/>
    <s v="DAL"/>
    <s v="A"/>
    <n v="1"/>
    <n v="1"/>
    <n v="0"/>
    <n v="0"/>
    <n v="0"/>
    <n v="0"/>
    <n v="1733.7029896120071"/>
    <n v="1350.5645574825862"/>
    <n v="0.84838359886609171"/>
    <n v="99"/>
    <n v="67"/>
    <n v="0"/>
    <n v="32"/>
    <n v="1"/>
    <n v="0.55131796256984611"/>
    <n v="1"/>
    <n v="70.45"/>
    <n v="70.45"/>
    <n v="5.8888341559867108"/>
    <n v="1739.5918237679937"/>
    <n v="1"/>
    <n v="0"/>
    <n v="0"/>
    <n v="0"/>
    <n v="0"/>
    <n v="0"/>
    <n v="0"/>
    <n v="0"/>
    <n v="0"/>
    <n v="0"/>
  </r>
  <r>
    <d v="2024-09-12T00:00:00"/>
    <n v="2024"/>
    <x v="36"/>
    <s v="R"/>
    <s v="RS"/>
    <x v="9"/>
    <s v="NYL"/>
    <s v="H"/>
    <n v="1"/>
    <n v="1"/>
    <n v="0"/>
    <n v="0"/>
    <n v="0"/>
    <n v="0"/>
    <n v="1350.5645574825862"/>
    <n v="1733.7029896120071"/>
    <n v="0.15161640113390823"/>
    <n v="67"/>
    <n v="99"/>
    <n v="0"/>
    <n v="-32"/>
    <n v="0"/>
    <n v="0.55131796256984611"/>
    <n v="1"/>
    <n v="70.45"/>
    <n v="70.45"/>
    <n v="-5.888834155986709"/>
    <n v="1344.6757233265996"/>
    <n v="0"/>
    <n v="1"/>
    <n v="0"/>
    <n v="0"/>
    <n v="0"/>
    <n v="0"/>
    <n v="0"/>
    <n v="0"/>
    <n v="0"/>
    <n v="0"/>
  </r>
  <r>
    <d v="2024-09-13T00:00:00"/>
    <n v="2024"/>
    <x v="36"/>
    <s v="R"/>
    <s v="RS"/>
    <x v="7"/>
    <s v="ATL"/>
    <s v="A"/>
    <n v="1"/>
    <n v="2"/>
    <n v="-1"/>
    <n v="1"/>
    <n v="-8"/>
    <n v="8"/>
    <n v="1455.4892175195844"/>
    <n v="1395.5370719992206"/>
    <n v="0.44262040400246144"/>
    <n v="72"/>
    <n v="69"/>
    <n v="0"/>
    <n v="3"/>
    <n v="1"/>
    <n v="0.27637575487014526"/>
    <n v="1"/>
    <n v="70.45"/>
    <n v="70.45"/>
    <n v="10.852555254479409"/>
    <n v="1466.3417727740639"/>
    <n v="1"/>
    <n v="0"/>
    <n v="0"/>
    <n v="0"/>
    <n v="0"/>
    <n v="0"/>
    <n v="0"/>
    <n v="0"/>
    <n v="0"/>
    <n v="0"/>
  </r>
  <r>
    <d v="2024-09-13T00:00:00"/>
    <n v="2024"/>
    <x v="36"/>
    <s v="R"/>
    <s v="RS"/>
    <x v="10"/>
    <s v="WAS"/>
    <s v="H"/>
    <n v="2"/>
    <n v="1"/>
    <n v="1"/>
    <n v="-1"/>
    <n v="8"/>
    <n v="-8"/>
    <n v="1395.5370719992206"/>
    <n v="1455.4892175195844"/>
    <n v="0.5573795959975385"/>
    <n v="69"/>
    <n v="72"/>
    <n v="0"/>
    <n v="-3"/>
    <n v="0"/>
    <n v="0.27637575487014526"/>
    <n v="1"/>
    <n v="70.45"/>
    <n v="70.45"/>
    <n v="-10.852555254479409"/>
    <n v="1384.6845167447411"/>
    <n v="0"/>
    <n v="1"/>
    <n v="0"/>
    <n v="0"/>
    <n v="0"/>
    <n v="0"/>
    <n v="0"/>
    <n v="0"/>
    <n v="0"/>
    <n v="0"/>
  </r>
  <r>
    <d v="2024-09-13T00:00:00"/>
    <n v="2024"/>
    <x v="36"/>
    <s v="R"/>
    <s v="RS"/>
    <x v="5"/>
    <s v="DAL"/>
    <s v="A"/>
    <n v="1"/>
    <n v="0"/>
    <n v="1"/>
    <n v="-1"/>
    <n v="8"/>
    <n v="-8"/>
    <n v="1556.4148110458216"/>
    <n v="1344.6757233265996"/>
    <n v="0.69581096797069331"/>
    <n v="83"/>
    <n v="81"/>
    <n v="0"/>
    <n v="2"/>
    <n v="1"/>
    <n v="0.22766925401978269"/>
    <n v="1"/>
    <n v="70.45"/>
    <n v="70.45"/>
    <n v="4.8789788207192428"/>
    <n v="1561.2937898665409"/>
    <n v="1"/>
    <n v="0"/>
    <n v="0"/>
    <n v="0"/>
    <n v="0"/>
    <n v="0"/>
    <n v="0"/>
    <n v="0"/>
    <n v="0"/>
    <n v="0"/>
  </r>
  <r>
    <d v="2024-09-13T00:00:00"/>
    <n v="2024"/>
    <x v="37"/>
    <s v="R"/>
    <s v="RS"/>
    <x v="9"/>
    <s v="SEA"/>
    <s v="H"/>
    <n v="0"/>
    <n v="1"/>
    <n v="-1"/>
    <n v="1"/>
    <n v="-8"/>
    <n v="8"/>
    <n v="1344.6757233265996"/>
    <n v="1556.4148110458216"/>
    <n v="0.30418903202930664"/>
    <n v="81"/>
    <n v="83"/>
    <n v="0"/>
    <n v="-2"/>
    <n v="0"/>
    <n v="0.22766925401978269"/>
    <n v="1"/>
    <n v="70.3"/>
    <n v="70.3"/>
    <n v="-4.8685906472187748"/>
    <n v="1339.8071326793809"/>
    <n v="0"/>
    <n v="1"/>
    <n v="0"/>
    <n v="0"/>
    <n v="0"/>
    <n v="0"/>
    <n v="0"/>
    <n v="0"/>
    <n v="0"/>
    <n v="0"/>
  </r>
  <r>
    <d v="2024-09-13T00:00:00"/>
    <n v="2024"/>
    <x v="36"/>
    <s v="R"/>
    <s v="RS"/>
    <x v="3"/>
    <s v="IND"/>
    <s v="A"/>
    <n v="1"/>
    <n v="1"/>
    <n v="0"/>
    <n v="0"/>
    <n v="0"/>
    <n v="0"/>
    <n v="1636.852639660364"/>
    <n v="1506.6374821572792"/>
    <n v="0.56611944982942586"/>
    <n v="78"/>
    <n v="74"/>
    <n v="0"/>
    <n v="4"/>
    <n v="1"/>
    <n v="0.28094649183381337"/>
    <n v="1"/>
    <n v="70.45"/>
    <n v="70.45"/>
    <n v="8.5876590394747421"/>
    <n v="1645.4402986998389"/>
    <n v="1"/>
    <n v="0"/>
    <n v="0"/>
    <n v="0"/>
    <n v="0"/>
    <n v="0"/>
    <n v="0"/>
    <n v="0"/>
    <n v="0"/>
    <n v="0"/>
  </r>
  <r>
    <d v="2024-09-13T00:00:00"/>
    <n v="2024"/>
    <x v="37"/>
    <s v="R"/>
    <s v="RS"/>
    <x v="0"/>
    <s v="LVA"/>
    <s v="H"/>
    <n v="1"/>
    <n v="1"/>
    <n v="0"/>
    <n v="0"/>
    <n v="0"/>
    <n v="0"/>
    <n v="1506.6374821572792"/>
    <n v="1636.852639660364"/>
    <n v="0.4338805501705742"/>
    <n v="74"/>
    <n v="78"/>
    <n v="0"/>
    <n v="-4"/>
    <n v="0"/>
    <n v="0.28094649183381337"/>
    <n v="1"/>
    <n v="70.3"/>
    <n v="70.3"/>
    <n v="-8.5693744567079406"/>
    <n v="1498.0681077005713"/>
    <n v="0"/>
    <n v="1"/>
    <n v="0"/>
    <n v="0"/>
    <n v="0"/>
    <n v="0"/>
    <n v="0"/>
    <n v="0"/>
    <n v="0"/>
    <n v="0"/>
  </r>
  <r>
    <d v="2024-09-13T00:00:00"/>
    <n v="2024"/>
    <x v="36"/>
    <s v="R"/>
    <s v="RS"/>
    <x v="8"/>
    <s v="MIN"/>
    <s v="A"/>
    <n v="1"/>
    <n v="2"/>
    <n v="-1"/>
    <n v="1"/>
    <n v="-8"/>
    <n v="8"/>
    <n v="1384.2064100054163"/>
    <n v="1641.9330038738713"/>
    <n v="0.11312207446338945"/>
    <n v="66"/>
    <n v="83"/>
    <n v="0"/>
    <n v="-17"/>
    <n v="0"/>
    <n v="0.43830611692610294"/>
    <n v="1"/>
    <n v="70.45"/>
    <n v="70.45"/>
    <n v="-3.4930587475056623"/>
    <n v="1380.7133512579105"/>
    <n v="0"/>
    <n v="1"/>
    <n v="0"/>
    <n v="0"/>
    <n v="0"/>
    <n v="0"/>
    <n v="0"/>
    <n v="0"/>
    <n v="0"/>
    <n v="0"/>
  </r>
  <r>
    <d v="2024-09-13T00:00:00"/>
    <n v="2024"/>
    <x v="36"/>
    <s v="R"/>
    <s v="RS"/>
    <x v="4"/>
    <s v="CHI"/>
    <s v="H"/>
    <n v="2"/>
    <n v="1"/>
    <n v="1"/>
    <n v="-1"/>
    <n v="8"/>
    <n v="-8"/>
    <n v="1641.9330038738713"/>
    <n v="1384.2064100054163"/>
    <n v="0.88687792553661049"/>
    <n v="83"/>
    <n v="66"/>
    <n v="0"/>
    <n v="17"/>
    <n v="1"/>
    <n v="0.43830611692610294"/>
    <n v="1"/>
    <n v="70.45"/>
    <n v="70.45"/>
    <n v="3.493058747505664"/>
    <n v="1645.426062621377"/>
    <n v="1"/>
    <n v="0"/>
    <n v="0"/>
    <n v="0"/>
    <n v="0"/>
    <n v="0"/>
    <n v="0"/>
    <n v="0"/>
    <n v="0"/>
    <n v="0"/>
  </r>
  <r>
    <d v="2024-09-13T00:00:00"/>
    <n v="2024"/>
    <x v="36"/>
    <s v="R"/>
    <s v="RS"/>
    <x v="1"/>
    <s v="PHX"/>
    <s v="A"/>
    <n v="2"/>
    <n v="5"/>
    <n v="-3"/>
    <n v="3"/>
    <n v="-16"/>
    <n v="16"/>
    <n v="1618.261106989517"/>
    <n v="1428.5755788286588"/>
    <n v="0.60448018344850807"/>
    <n v="88"/>
    <n v="69"/>
    <n v="0"/>
    <n v="19"/>
    <n v="1"/>
    <n v="0.48440677666019338"/>
    <n v="1"/>
    <n v="70.45"/>
    <n v="70.45"/>
    <n v="13.497690176614167"/>
    <n v="1631.7587971661312"/>
    <n v="1"/>
    <n v="0"/>
    <n v="0"/>
    <n v="0"/>
    <n v="0"/>
    <n v="0"/>
    <n v="0"/>
    <n v="0"/>
    <n v="0"/>
    <n v="0"/>
  </r>
  <r>
    <d v="2024-09-13T00:00:00"/>
    <n v="2024"/>
    <x v="36"/>
    <s v="R"/>
    <s v="RS"/>
    <x v="2"/>
    <s v="CON"/>
    <s v="H"/>
    <n v="5"/>
    <n v="2"/>
    <n v="3"/>
    <n v="-3"/>
    <n v="16"/>
    <n v="-16"/>
    <n v="1428.5755788286588"/>
    <n v="1618.261106989517"/>
    <n v="0.39551981655149193"/>
    <n v="69"/>
    <n v="88"/>
    <n v="0"/>
    <n v="-19"/>
    <n v="0"/>
    <n v="0.48440677666019338"/>
    <n v="1"/>
    <n v="70.45"/>
    <n v="70.45"/>
    <n v="-13.497690176614167"/>
    <n v="1415.0778886520445"/>
    <n v="0"/>
    <n v="1"/>
    <n v="0"/>
    <n v="0"/>
    <n v="0"/>
    <n v="0"/>
    <n v="0"/>
    <n v="0"/>
    <n v="0"/>
    <n v="0"/>
  </r>
  <r>
    <d v="2024-09-15T00:00:00"/>
    <n v="2024"/>
    <x v="37"/>
    <s v="R"/>
    <s v="RS"/>
    <x v="2"/>
    <s v="CHI"/>
    <s v="A"/>
    <n v="1"/>
    <n v="1"/>
    <n v="0"/>
    <n v="0"/>
    <n v="0"/>
    <n v="0"/>
    <n v="1415.0778886520445"/>
    <n v="1380.7133512579105"/>
    <n v="0.42905085424456596"/>
    <n v="93"/>
    <n v="88"/>
    <n v="0"/>
    <n v="5"/>
    <n v="1"/>
    <n v="0.32251993515136218"/>
    <n v="1"/>
    <n v="70.3"/>
    <n v="70.3"/>
    <n v="12.945216446902906"/>
    <n v="1428.0231050989473"/>
    <n v="1"/>
    <n v="0"/>
    <n v="0"/>
    <n v="0"/>
    <n v="0"/>
    <n v="0"/>
    <n v="0"/>
    <n v="0"/>
    <n v="0"/>
    <n v="0"/>
  </r>
  <r>
    <d v="2024-09-15T00:00:00"/>
    <n v="2024"/>
    <x v="37"/>
    <s v="R"/>
    <s v="RS"/>
    <x v="8"/>
    <s v="PHX"/>
    <s v="H"/>
    <n v="1"/>
    <n v="1"/>
    <n v="0"/>
    <n v="0"/>
    <n v="0"/>
    <n v="0"/>
    <n v="1380.7133512579105"/>
    <n v="1415.0778886520445"/>
    <n v="0.57094914575543398"/>
    <n v="88"/>
    <n v="93"/>
    <n v="0"/>
    <n v="-5"/>
    <n v="0"/>
    <n v="0.32251993515136218"/>
    <n v="1"/>
    <n v="70.3"/>
    <n v="70.3"/>
    <n v="-12.945216446902904"/>
    <n v="1367.7681348110077"/>
    <n v="0"/>
    <n v="1"/>
    <n v="0"/>
    <n v="0"/>
    <n v="0"/>
    <n v="0"/>
    <n v="0"/>
    <n v="0"/>
    <n v="0"/>
    <n v="0"/>
  </r>
  <r>
    <d v="2024-09-15T00:00:00"/>
    <n v="2024"/>
    <x v="38"/>
    <s v="R"/>
    <s v="RS"/>
    <x v="9"/>
    <s v="IND"/>
    <s v="A"/>
    <n v="1"/>
    <n v="1"/>
    <n v="0"/>
    <n v="0"/>
    <n v="0"/>
    <n v="0"/>
    <n v="1339.8071326793809"/>
    <n v="1498.0681077005713"/>
    <n v="0.19867977765730083"/>
    <n v="109"/>
    <n v="110"/>
    <n v="0"/>
    <n v="-1"/>
    <n v="0"/>
    <n v="0.21572850177321831"/>
    <n v="1"/>
    <n v="70.150000000000006"/>
    <n v="70.150000000000006"/>
    <n v="-3.0066914872801918"/>
    <n v="1336.8004411921006"/>
    <n v="0"/>
    <n v="1"/>
    <n v="0"/>
    <n v="0"/>
    <n v="0"/>
    <n v="0"/>
    <n v="0"/>
    <n v="0"/>
    <n v="0"/>
    <n v="0"/>
  </r>
  <r>
    <d v="2024-09-15T00:00:00"/>
    <n v="2024"/>
    <x v="38"/>
    <s v="R"/>
    <s v="RS"/>
    <x v="0"/>
    <s v="DAL"/>
    <s v="H"/>
    <n v="1"/>
    <n v="1"/>
    <n v="0"/>
    <n v="0"/>
    <n v="0"/>
    <n v="0"/>
    <n v="1498.0681077005713"/>
    <n v="1339.8071326793809"/>
    <n v="0.80132022234269917"/>
    <n v="110"/>
    <n v="109"/>
    <n v="0"/>
    <n v="1"/>
    <n v="1"/>
    <n v="0.21572850177321831"/>
    <n v="1"/>
    <n v="70.150000000000006"/>
    <n v="70.150000000000006"/>
    <n v="3.0066914872801918"/>
    <n v="1501.0747991878516"/>
    <n v="1"/>
    <n v="0"/>
    <n v="0"/>
    <n v="0"/>
    <n v="0"/>
    <n v="0"/>
    <n v="0"/>
    <n v="0"/>
    <n v="0"/>
    <n v="0"/>
  </r>
  <r>
    <d v="2024-09-15T00:00:00"/>
    <n v="2024"/>
    <x v="37"/>
    <s v="R"/>
    <s v="RS"/>
    <x v="1"/>
    <s v="LVA"/>
    <s v="A"/>
    <n v="1"/>
    <n v="1"/>
    <n v="0"/>
    <n v="0"/>
    <n v="0"/>
    <n v="0"/>
    <n v="1631.7587971661312"/>
    <n v="1645.4402986998389"/>
    <n v="0.36301546905062687"/>
    <n v="71"/>
    <n v="84"/>
    <n v="0"/>
    <n v="-13"/>
    <n v="0"/>
    <n v="0.46672253475160097"/>
    <n v="1"/>
    <n v="70.3"/>
    <n v="70.3"/>
    <n v="-11.910753240815298"/>
    <n v="1619.848043925316"/>
    <n v="0"/>
    <n v="1"/>
    <n v="0"/>
    <n v="0"/>
    <n v="0"/>
    <n v="0"/>
    <n v="0"/>
    <n v="0"/>
    <n v="0"/>
    <n v="0"/>
  </r>
  <r>
    <d v="2024-09-15T00:00:00"/>
    <n v="2024"/>
    <x v="37"/>
    <s v="R"/>
    <s v="RS"/>
    <x v="3"/>
    <s v="CON"/>
    <s v="H"/>
    <n v="1"/>
    <n v="1"/>
    <n v="0"/>
    <n v="0"/>
    <n v="0"/>
    <n v="0"/>
    <n v="1645.4402986998389"/>
    <n v="1631.7587971661312"/>
    <n v="0.63698453094937313"/>
    <n v="84"/>
    <n v="71"/>
    <n v="0"/>
    <n v="13"/>
    <n v="1"/>
    <n v="0.46672253475160097"/>
    <n v="1"/>
    <n v="70.3"/>
    <n v="70.3"/>
    <n v="11.910753240815298"/>
    <n v="1657.3510519406541"/>
    <n v="1"/>
    <n v="0"/>
    <n v="0"/>
    <n v="0"/>
    <n v="0"/>
    <n v="0"/>
    <n v="0"/>
    <n v="0"/>
    <n v="0"/>
    <n v="0"/>
  </r>
  <r>
    <d v="2024-09-15T00:00:00"/>
    <n v="2024"/>
    <x v="37"/>
    <s v="R"/>
    <s v="RS"/>
    <x v="4"/>
    <s v="NYL"/>
    <s v="A"/>
    <n v="1"/>
    <n v="2"/>
    <n v="-1"/>
    <n v="1"/>
    <n v="-8"/>
    <n v="8"/>
    <n v="1645.426062621377"/>
    <n v="1739.5918237679937"/>
    <n v="0.24643667941683736"/>
    <n v="88"/>
    <n v="79"/>
    <n v="0"/>
    <n v="9"/>
    <n v="1"/>
    <n v="0.3764323297697722"/>
    <n v="1"/>
    <n v="70.3"/>
    <n v="70.3"/>
    <n v="19.941691426650447"/>
    <n v="1665.3677540480276"/>
    <n v="1"/>
    <n v="0"/>
    <n v="0"/>
    <n v="0"/>
    <n v="0"/>
    <n v="0"/>
    <n v="0"/>
    <n v="0"/>
    <n v="0"/>
    <n v="0"/>
  </r>
  <r>
    <d v="2024-09-15T00:00:00"/>
    <n v="2024"/>
    <x v="37"/>
    <s v="R"/>
    <s v="RS"/>
    <x v="6"/>
    <s v="MIN"/>
    <s v="H"/>
    <n v="2"/>
    <n v="1"/>
    <n v="1"/>
    <n v="-1"/>
    <n v="8"/>
    <n v="-8"/>
    <n v="1739.5918237679937"/>
    <n v="1645.426062621377"/>
    <n v="0.75356332058316267"/>
    <n v="79"/>
    <n v="88"/>
    <n v="0"/>
    <n v="-9"/>
    <n v="0"/>
    <n v="0.3764323297697722"/>
    <n v="1"/>
    <n v="70.3"/>
    <n v="70.3"/>
    <n v="-19.941691426650447"/>
    <n v="1719.6501323413431"/>
    <n v="0"/>
    <n v="1"/>
    <n v="0"/>
    <n v="0"/>
    <n v="0"/>
    <n v="0"/>
    <n v="0"/>
    <n v="0"/>
    <n v="0"/>
    <n v="0"/>
  </r>
  <r>
    <d v="2024-09-15T00:00:00"/>
    <n v="2024"/>
    <x v="37"/>
    <s v="R"/>
    <s v="RS"/>
    <x v="11"/>
    <s v="SEA"/>
    <s v="A"/>
    <n v="3"/>
    <n v="1"/>
    <n v="2"/>
    <n v="-2"/>
    <n v="16"/>
    <n v="-16"/>
    <n v="1291.1463164628472"/>
    <n v="1561.2937898665409"/>
    <n v="0.13535361156286624"/>
    <n v="87"/>
    <n v="90"/>
    <n v="0"/>
    <n v="-3"/>
    <n v="0"/>
    <n v="0.23686074466546422"/>
    <n v="1"/>
    <n v="70.3"/>
    <n v="70.3"/>
    <n v="-2.253814993124216"/>
    <n v="1288.8925014697229"/>
    <n v="0"/>
    <n v="1"/>
    <n v="0"/>
    <n v="0"/>
    <n v="0"/>
    <n v="0"/>
    <n v="0"/>
    <n v="0"/>
    <n v="0"/>
    <n v="0"/>
  </r>
  <r>
    <d v="2024-09-15T00:00:00"/>
    <n v="2024"/>
    <x v="37"/>
    <s v="R"/>
    <s v="RS"/>
    <x v="5"/>
    <s v="LAS"/>
    <s v="H"/>
    <n v="1"/>
    <n v="3"/>
    <n v="-2"/>
    <n v="2"/>
    <n v="-16"/>
    <n v="16"/>
    <n v="1561.2937898665409"/>
    <n v="1291.1463164628472"/>
    <n v="0.86464638843713382"/>
    <n v="90"/>
    <n v="87"/>
    <n v="0"/>
    <n v="3"/>
    <n v="1"/>
    <n v="0.23686074466546422"/>
    <n v="1"/>
    <n v="70.3"/>
    <n v="70.3"/>
    <n v="2.2538149931242151"/>
    <n v="1563.5476048596652"/>
    <n v="1"/>
    <n v="0"/>
    <n v="0"/>
    <n v="0"/>
    <n v="0"/>
    <n v="0"/>
    <n v="0"/>
    <n v="0"/>
    <n v="0"/>
    <n v="0"/>
  </r>
  <r>
    <d v="2024-09-15T00:00:00"/>
    <n v="2024"/>
    <x v="37"/>
    <s v="R"/>
    <s v="RS"/>
    <x v="10"/>
    <s v="WAS"/>
    <s v="A"/>
    <n v="1"/>
    <n v="1"/>
    <n v="0"/>
    <n v="0"/>
    <n v="0"/>
    <n v="0"/>
    <n v="1384.6845167447411"/>
    <n v="1466.3417727740639"/>
    <n v="0.27816144552587158"/>
    <n v="76"/>
    <n v="73"/>
    <n v="1"/>
    <n v="3"/>
    <n v="1"/>
    <n v="0.24452575079045513"/>
    <n v="1"/>
    <n v="70.3"/>
    <n v="70.3"/>
    <n v="12.4085204481045"/>
    <n v="1397.0930371928457"/>
    <n v="1"/>
    <n v="0"/>
    <n v="0"/>
    <n v="0"/>
    <n v="0"/>
    <n v="0"/>
    <n v="0"/>
    <n v="0"/>
    <n v="0"/>
    <n v="0"/>
  </r>
  <r>
    <d v="2024-09-15T00:00:00"/>
    <n v="2024"/>
    <x v="37"/>
    <s v="R"/>
    <s v="RS"/>
    <x v="7"/>
    <s v="ATL"/>
    <s v="H"/>
    <n v="1"/>
    <n v="1"/>
    <n v="0"/>
    <n v="0"/>
    <n v="0"/>
    <n v="0"/>
    <n v="1466.3417727740639"/>
    <n v="1384.6845167447411"/>
    <n v="0.72183855447412848"/>
    <n v="73"/>
    <n v="76"/>
    <n v="1"/>
    <n v="-3"/>
    <n v="0"/>
    <n v="0.24452575079045513"/>
    <n v="1"/>
    <n v="70.3"/>
    <n v="70.3"/>
    <n v="-12.408520448104502"/>
    <n v="1453.9332523259593"/>
    <n v="0"/>
    <n v="1"/>
    <n v="0"/>
    <n v="0"/>
    <n v="0"/>
    <n v="0"/>
    <n v="0"/>
    <n v="0"/>
    <n v="0"/>
    <n v="0"/>
  </r>
  <r>
    <d v="2024-09-17T00:00:00"/>
    <n v="2024"/>
    <x v="38"/>
    <s v="R"/>
    <s v="RS"/>
    <x v="8"/>
    <s v="ATL"/>
    <s v="A"/>
    <n v="1"/>
    <n v="1"/>
    <n v="0"/>
    <n v="0"/>
    <n v="0"/>
    <n v="0"/>
    <n v="1367.7681348110077"/>
    <n v="1397.0930371928457"/>
    <n v="0.34246003578555628"/>
    <n v="70"/>
    <n v="86"/>
    <n v="0"/>
    <n v="-16"/>
    <n v="0"/>
    <n v="0.50543451737796175"/>
    <n v="1"/>
    <n v="70.150000000000006"/>
    <n v="70.150000000000006"/>
    <n v="-12.142342272032128"/>
    <n v="1355.6257925389755"/>
    <n v="0"/>
    <n v="1"/>
    <n v="0"/>
    <n v="0"/>
    <n v="0"/>
    <n v="0"/>
    <n v="0"/>
    <n v="0"/>
    <n v="0"/>
    <n v="0"/>
  </r>
  <r>
    <d v="2024-09-17T00:00:00"/>
    <n v="2024"/>
    <x v="38"/>
    <s v="R"/>
    <s v="RS"/>
    <x v="10"/>
    <s v="CHI"/>
    <s v="H"/>
    <n v="1"/>
    <n v="1"/>
    <n v="0"/>
    <n v="0"/>
    <n v="0"/>
    <n v="0"/>
    <n v="1397.0930371928457"/>
    <n v="1367.7681348110077"/>
    <n v="0.65753996421444372"/>
    <n v="86"/>
    <n v="70"/>
    <n v="0"/>
    <n v="16"/>
    <n v="1"/>
    <n v="0.50543451737796175"/>
    <n v="1"/>
    <n v="70.150000000000006"/>
    <n v="70.150000000000006"/>
    <n v="12.142342272032128"/>
    <n v="1409.235379464878"/>
    <n v="1"/>
    <n v="0"/>
    <n v="0"/>
    <n v="0"/>
    <n v="0"/>
    <n v="0"/>
    <n v="0"/>
    <n v="0"/>
    <n v="0"/>
    <n v="0"/>
  </r>
  <r>
    <d v="2024-09-17T00:00:00"/>
    <n v="2024"/>
    <x v="38"/>
    <s v="R"/>
    <s v="RS"/>
    <x v="4"/>
    <s v="CON"/>
    <s v="A"/>
    <n v="1"/>
    <n v="1"/>
    <n v="0"/>
    <n v="0"/>
    <n v="0"/>
    <n v="0"/>
    <n v="1665.3677540480276"/>
    <n v="1619.848043925316"/>
    <n v="0.44484773939155892"/>
    <n v="78"/>
    <n v="76"/>
    <n v="0"/>
    <n v="2"/>
    <n v="1"/>
    <n v="0.25805258829660577"/>
    <n v="1"/>
    <n v="70.150000000000006"/>
    <n v="70.150000000000006"/>
    <n v="10.049582214072712"/>
    <n v="1675.4173362621002"/>
    <n v="1"/>
    <n v="0"/>
    <n v="0"/>
    <n v="0"/>
    <n v="0"/>
    <n v="0"/>
    <n v="0"/>
    <n v="0"/>
    <n v="0"/>
    <n v="0"/>
  </r>
  <r>
    <d v="2024-09-17T00:00:00"/>
    <n v="2024"/>
    <x v="38"/>
    <s v="R"/>
    <s v="RS"/>
    <x v="1"/>
    <s v="MIN"/>
    <s v="H"/>
    <n v="1"/>
    <n v="1"/>
    <n v="0"/>
    <n v="0"/>
    <n v="0"/>
    <n v="0"/>
    <n v="1619.848043925316"/>
    <n v="1665.3677540480276"/>
    <n v="0.55515226060844103"/>
    <n v="76"/>
    <n v="78"/>
    <n v="0"/>
    <n v="-2"/>
    <n v="0"/>
    <n v="0.25805258829660577"/>
    <n v="1"/>
    <n v="70.150000000000006"/>
    <n v="70.150000000000006"/>
    <n v="-10.049582214072711"/>
    <n v="1609.7984617112434"/>
    <n v="0"/>
    <n v="1"/>
    <n v="0"/>
    <n v="0"/>
    <n v="0"/>
    <n v="0"/>
    <n v="0"/>
    <n v="0"/>
    <n v="0"/>
    <n v="0"/>
  </r>
  <r>
    <d v="2024-09-17T00:00:00"/>
    <n v="2024"/>
    <x v="38"/>
    <s v="R"/>
    <s v="RS"/>
    <x v="2"/>
    <s v="LAS"/>
    <s v="A"/>
    <n v="1"/>
    <n v="1"/>
    <n v="0"/>
    <n v="0"/>
    <n v="0"/>
    <n v="0"/>
    <n v="1428.0231050989473"/>
    <n v="1288.8925014697229"/>
    <n v="0.57868006276093942"/>
    <n v="85"/>
    <n v="81"/>
    <n v="0"/>
    <n v="4"/>
    <n v="1"/>
    <n v="0.27907605193386337"/>
    <n v="1"/>
    <n v="70.150000000000006"/>
    <n v="70.150000000000006"/>
    <n v="8.248258373701864"/>
    <n v="1436.2713634726492"/>
    <n v="1"/>
    <n v="0"/>
    <n v="0"/>
    <n v="0"/>
    <n v="0"/>
    <n v="0"/>
    <n v="0"/>
    <n v="0"/>
    <n v="0"/>
    <n v="0"/>
  </r>
  <r>
    <d v="2024-09-17T00:00:00"/>
    <n v="2024"/>
    <x v="38"/>
    <s v="R"/>
    <s v="RS"/>
    <x v="11"/>
    <s v="PHX"/>
    <s v="H"/>
    <n v="1"/>
    <n v="1"/>
    <n v="0"/>
    <n v="0"/>
    <n v="0"/>
    <n v="0"/>
    <n v="1288.8925014697229"/>
    <n v="1428.0231050989473"/>
    <n v="0.42131993723906058"/>
    <n v="81"/>
    <n v="85"/>
    <n v="0"/>
    <n v="-4"/>
    <n v="0"/>
    <n v="0.27907605193386337"/>
    <n v="1"/>
    <n v="70.150000000000006"/>
    <n v="70.150000000000006"/>
    <n v="-8.248258373701864"/>
    <n v="1280.644243096021"/>
    <n v="0"/>
    <n v="1"/>
    <n v="0"/>
    <n v="0"/>
    <n v="0"/>
    <n v="0"/>
    <n v="0"/>
    <n v="0"/>
    <n v="0"/>
    <n v="0"/>
  </r>
  <r>
    <d v="2024-09-17T00:00:00"/>
    <n v="2024"/>
    <x v="38"/>
    <s v="R"/>
    <s v="RS"/>
    <x v="3"/>
    <s v="SEA"/>
    <s v="A"/>
    <n v="1"/>
    <n v="1"/>
    <n v="0"/>
    <n v="0"/>
    <n v="0"/>
    <n v="0"/>
    <n v="1657.3510519406541"/>
    <n v="1563.5476048596652"/>
    <n v="0.51410455140698841"/>
    <n v="85"/>
    <n v="72"/>
    <n v="0"/>
    <n v="13"/>
    <n v="1"/>
    <n v="0.43781959930230618"/>
    <n v="1"/>
    <n v="70.150000000000006"/>
    <n v="70.150000000000006"/>
    <n v="14.923328724997338"/>
    <n v="1672.2743806656515"/>
    <n v="1"/>
    <n v="0"/>
    <n v="0"/>
    <n v="0"/>
    <n v="0"/>
    <n v="0"/>
    <n v="0"/>
    <n v="0"/>
    <n v="0"/>
    <n v="0"/>
  </r>
  <r>
    <d v="2024-09-17T00:00:00"/>
    <n v="2024"/>
    <x v="38"/>
    <s v="R"/>
    <s v="RS"/>
    <x v="5"/>
    <s v="LVA"/>
    <s v="H"/>
    <n v="1"/>
    <n v="1"/>
    <n v="0"/>
    <n v="0"/>
    <n v="0"/>
    <n v="0"/>
    <n v="1563.5476048596652"/>
    <n v="1657.3510519406541"/>
    <n v="0.48589544859301159"/>
    <n v="72"/>
    <n v="85"/>
    <n v="0"/>
    <n v="-13"/>
    <n v="0"/>
    <n v="0.43781959930230618"/>
    <n v="1"/>
    <n v="70.150000000000006"/>
    <n v="70.150000000000006"/>
    <n v="-14.923328724997338"/>
    <n v="1548.6242761346678"/>
    <n v="0"/>
    <n v="1"/>
    <n v="0"/>
    <n v="0"/>
    <n v="0"/>
    <n v="0"/>
    <n v="0"/>
    <n v="0"/>
    <n v="0"/>
    <n v="0"/>
  </r>
  <r>
    <d v="2024-09-17T00:00:00"/>
    <n v="2024"/>
    <x v="38"/>
    <s v="R"/>
    <s v="RS"/>
    <x v="6"/>
    <s v="WAS"/>
    <s v="A"/>
    <n v="1"/>
    <n v="1"/>
    <n v="0"/>
    <n v="0"/>
    <n v="0"/>
    <n v="0"/>
    <n v="1719.6501323413431"/>
    <n v="1453.9332523259593"/>
    <n v="0.74001498623478557"/>
    <n v="87"/>
    <n v="71"/>
    <n v="0"/>
    <n v="16"/>
    <n v="1"/>
    <n v="0.42391763867081395"/>
    <n v="1"/>
    <n v="70.150000000000006"/>
    <n v="70.150000000000006"/>
    <n v="7.7313881537291866"/>
    <n v="1727.3815204950722"/>
    <n v="1"/>
    <n v="0"/>
    <n v="0"/>
    <n v="0"/>
    <n v="0"/>
    <n v="0"/>
    <n v="0"/>
    <n v="0"/>
    <n v="0"/>
    <n v="0"/>
  </r>
  <r>
    <d v="2024-09-17T00:00:00"/>
    <n v="2024"/>
    <x v="38"/>
    <s v="R"/>
    <s v="RS"/>
    <x v="7"/>
    <s v="NYL"/>
    <s v="H"/>
    <n v="1"/>
    <n v="1"/>
    <n v="0"/>
    <n v="0"/>
    <n v="0"/>
    <n v="0"/>
    <n v="1453.9332523259593"/>
    <n v="1719.6501323413431"/>
    <n v="0.25998501376521449"/>
    <n v="71"/>
    <n v="87"/>
    <n v="0"/>
    <n v="-16"/>
    <n v="0"/>
    <n v="0.42391763867081395"/>
    <n v="1"/>
    <n v="70.150000000000006"/>
    <n v="70.150000000000006"/>
    <n v="-7.7313881537291875"/>
    <n v="1446.2018641722302"/>
    <n v="0"/>
    <n v="1"/>
    <n v="0"/>
    <n v="0"/>
    <n v="0"/>
    <n v="0"/>
    <n v="0"/>
    <n v="0"/>
    <n v="0"/>
    <n v="0"/>
  </r>
  <r>
    <d v="2024-09-19T00:00:00"/>
    <n v="2024"/>
    <x v="39"/>
    <s v="R"/>
    <s v="RS"/>
    <x v="8"/>
    <s v="CON"/>
    <s v="A"/>
    <n v="1"/>
    <n v="1"/>
    <n v="0"/>
    <n v="0"/>
    <n v="0"/>
    <n v="0"/>
    <n v="1355.6257925389755"/>
    <n v="1609.7984617112434"/>
    <n v="0.12491600033948332"/>
    <n v="54"/>
    <n v="87"/>
    <n v="0"/>
    <n v="-33"/>
    <n v="0"/>
    <n v="0.60989374603942625"/>
    <n v="1"/>
    <n v="70"/>
    <n v="70"/>
    <n v="-5.332984117111681"/>
    <n v="1350.2928084218638"/>
    <n v="0"/>
    <n v="1"/>
    <n v="0"/>
    <n v="0"/>
    <n v="0"/>
    <n v="0"/>
    <n v="0"/>
    <n v="0"/>
    <n v="0"/>
    <n v="0"/>
  </r>
  <r>
    <d v="2024-09-19T00:00:00"/>
    <n v="2024"/>
    <x v="39"/>
    <s v="R"/>
    <s v="RS"/>
    <x v="1"/>
    <s v="CHI"/>
    <s v="H"/>
    <n v="1"/>
    <n v="1"/>
    <n v="0"/>
    <n v="0"/>
    <n v="0"/>
    <n v="0"/>
    <n v="1609.7984617112434"/>
    <n v="1355.6257925389755"/>
    <n v="0.87508399966051664"/>
    <n v="87"/>
    <n v="54"/>
    <n v="0"/>
    <n v="33"/>
    <n v="1"/>
    <n v="0.60989374603942625"/>
    <n v="1"/>
    <n v="70"/>
    <n v="70"/>
    <n v="5.3329841171116827"/>
    <n v="1615.131445828355"/>
    <n v="1"/>
    <n v="0"/>
    <n v="0"/>
    <n v="0"/>
    <n v="0"/>
    <n v="0"/>
    <n v="0"/>
    <n v="0"/>
    <n v="0"/>
    <n v="0"/>
  </r>
  <r>
    <d v="2024-09-19T00:00:00"/>
    <n v="2024"/>
    <x v="39"/>
    <s v="R"/>
    <s v="RS"/>
    <x v="9"/>
    <s v="LVA"/>
    <s v="A"/>
    <n v="3"/>
    <n v="1"/>
    <n v="2"/>
    <n v="-2"/>
    <n v="16"/>
    <n v="-16"/>
    <n v="1336.8004411921006"/>
    <n v="1672.2743806656515"/>
    <n v="9.7046633160811385E-2"/>
    <n v="84"/>
    <n v="98"/>
    <n v="0"/>
    <n v="-14"/>
    <n v="0"/>
    <n v="0.38107434401754664"/>
    <n v="1"/>
    <n v="70"/>
    <n v="70"/>
    <n v="-2.5887387449607382"/>
    <n v="1334.2117024471399"/>
    <n v="0"/>
    <n v="1"/>
    <n v="0"/>
    <n v="0"/>
    <n v="0"/>
    <n v="0"/>
    <n v="0"/>
    <n v="0"/>
    <n v="0"/>
    <n v="0"/>
  </r>
  <r>
    <d v="2024-09-19T00:00:00"/>
    <n v="2024"/>
    <x v="39"/>
    <s v="R"/>
    <s v="RS"/>
    <x v="3"/>
    <s v="DAL"/>
    <s v="H"/>
    <n v="1"/>
    <n v="3"/>
    <n v="-2"/>
    <n v="2"/>
    <n v="-16"/>
    <n v="16"/>
    <n v="1672.2743806656515"/>
    <n v="1336.8004411921006"/>
    <n v="0.90295336683918859"/>
    <n v="98"/>
    <n v="84"/>
    <n v="0"/>
    <n v="14"/>
    <n v="1"/>
    <n v="0.38107434401754664"/>
    <n v="1"/>
    <n v="70"/>
    <n v="70"/>
    <n v="2.5887387449607391"/>
    <n v="1674.8631194106122"/>
    <n v="1"/>
    <n v="0"/>
    <n v="0"/>
    <n v="0"/>
    <n v="0"/>
    <n v="0"/>
    <n v="0"/>
    <n v="0"/>
    <n v="0"/>
    <n v="0"/>
  </r>
  <r>
    <d v="2024-09-19T00:00:00"/>
    <n v="2024"/>
    <x v="39"/>
    <s v="R"/>
    <s v="RS"/>
    <x v="11"/>
    <s v="MIN"/>
    <s v="A"/>
    <n v="1"/>
    <n v="1"/>
    <n v="0"/>
    <n v="0"/>
    <n v="0"/>
    <n v="0"/>
    <n v="1280.644243096021"/>
    <n v="1675.4173362621002"/>
    <n v="5.9746468537630035E-2"/>
    <n v="68"/>
    <n v="51"/>
    <n v="0"/>
    <n v="17"/>
    <n v="1"/>
    <n v="0.40064037049304463"/>
    <n v="1"/>
    <n v="70"/>
    <n v="70"/>
    <n v="26.369246624173424"/>
    <n v="1307.0134897201945"/>
    <n v="1"/>
    <n v="0"/>
    <n v="0"/>
    <n v="0"/>
    <n v="0"/>
    <n v="0"/>
    <n v="0"/>
    <n v="0"/>
    <n v="0"/>
    <n v="0"/>
  </r>
  <r>
    <d v="2024-09-19T00:00:00"/>
    <n v="2024"/>
    <x v="39"/>
    <s v="R"/>
    <s v="RS"/>
    <x v="4"/>
    <s v="LAS"/>
    <s v="H"/>
    <n v="1"/>
    <n v="1"/>
    <n v="0"/>
    <n v="0"/>
    <n v="0"/>
    <n v="0"/>
    <n v="1675.4173362621002"/>
    <n v="1280.644243096021"/>
    <n v="0.9402535314623699"/>
    <n v="51"/>
    <n v="68"/>
    <n v="0"/>
    <n v="-17"/>
    <n v="0"/>
    <n v="0.40064037049304463"/>
    <n v="1"/>
    <n v="70"/>
    <n v="70"/>
    <n v="-26.369246624173424"/>
    <n v="1649.0480896379268"/>
    <n v="0"/>
    <n v="1"/>
    <n v="0"/>
    <n v="0"/>
    <n v="0"/>
    <n v="0"/>
    <n v="0"/>
    <n v="0"/>
    <n v="0"/>
    <n v="0"/>
  </r>
  <r>
    <d v="2024-09-19T00:00:00"/>
    <n v="2024"/>
    <x v="39"/>
    <s v="R"/>
    <s v="RS"/>
    <x v="10"/>
    <s v="NYL"/>
    <s v="A"/>
    <n v="1"/>
    <n v="1"/>
    <n v="0"/>
    <n v="0"/>
    <n v="0"/>
    <n v="0"/>
    <n v="1409.235379464878"/>
    <n v="1727.3815204950722"/>
    <n v="8.9893231284383104E-2"/>
    <n v="78"/>
    <n v="67"/>
    <n v="0"/>
    <n v="11"/>
    <n v="1"/>
    <n v="0.34766294893783894"/>
    <n v="1"/>
    <n v="70"/>
    <n v="70"/>
    <n v="22.148728214197138"/>
    <n v="1431.384107679075"/>
    <n v="1"/>
    <n v="0"/>
    <n v="0"/>
    <n v="0"/>
    <n v="0"/>
    <n v="0"/>
    <n v="0"/>
    <n v="0"/>
    <n v="0"/>
    <n v="0"/>
  </r>
  <r>
    <d v="2024-09-19T00:00:00"/>
    <n v="2024"/>
    <x v="39"/>
    <s v="R"/>
    <s v="RS"/>
    <x v="6"/>
    <s v="ATL"/>
    <s v="H"/>
    <n v="1"/>
    <n v="1"/>
    <n v="0"/>
    <n v="0"/>
    <n v="0"/>
    <n v="0"/>
    <n v="1727.3815204950722"/>
    <n v="1409.235379464878"/>
    <n v="0.9101067687156168"/>
    <n v="67"/>
    <n v="78"/>
    <n v="0"/>
    <n v="-11"/>
    <n v="0"/>
    <n v="0.34766294893783894"/>
    <n v="1"/>
    <n v="70"/>
    <n v="70"/>
    <n v="-22.148728214197135"/>
    <n v="1705.2327922808752"/>
    <n v="0"/>
    <n v="1"/>
    <n v="0"/>
    <n v="0"/>
    <n v="0"/>
    <n v="0"/>
    <n v="0"/>
    <n v="0"/>
    <n v="0"/>
    <n v="0"/>
  </r>
  <r>
    <d v="2024-09-19T00:00:00"/>
    <n v="2024"/>
    <x v="39"/>
    <s v="R"/>
    <s v="RS"/>
    <x v="5"/>
    <s v="PHX"/>
    <s v="A"/>
    <n v="1"/>
    <n v="1"/>
    <n v="0"/>
    <n v="0"/>
    <n v="0"/>
    <n v="0"/>
    <n v="1548.6242761346678"/>
    <n v="1436.2713634726492"/>
    <n v="0.54071278470706441"/>
    <n v="89"/>
    <n v="70"/>
    <n v="0"/>
    <n v="19"/>
    <n v="1"/>
    <n v="0.51295126545056691"/>
    <n v="1"/>
    <n v="70"/>
    <n v="70"/>
    <n v="16.491437080284481"/>
    <n v="1565.1157132149522"/>
    <n v="1"/>
    <n v="0"/>
    <n v="0"/>
    <n v="0"/>
    <n v="0"/>
    <n v="0"/>
    <n v="0"/>
    <n v="0"/>
    <n v="0"/>
    <n v="0"/>
  </r>
  <r>
    <d v="2024-09-19T00:00:00"/>
    <n v="2024"/>
    <x v="39"/>
    <s v="R"/>
    <s v="RS"/>
    <x v="2"/>
    <s v="SEA"/>
    <s v="H"/>
    <n v="1"/>
    <n v="1"/>
    <n v="0"/>
    <n v="0"/>
    <n v="0"/>
    <n v="0"/>
    <n v="1436.2713634726492"/>
    <n v="1548.6242761346678"/>
    <n v="0.45928721529293559"/>
    <n v="70"/>
    <n v="89"/>
    <n v="0"/>
    <n v="-19"/>
    <n v="0"/>
    <n v="0.51295126545056691"/>
    <n v="1"/>
    <n v="70"/>
    <n v="70"/>
    <n v="-16.491437080284481"/>
    <n v="1419.7799263923648"/>
    <n v="0"/>
    <n v="1"/>
    <n v="0"/>
    <n v="0"/>
    <n v="0"/>
    <n v="0"/>
    <n v="0"/>
    <n v="0"/>
    <n v="0"/>
    <n v="0"/>
  </r>
  <r>
    <d v="2024-09-19T00:00:00"/>
    <n v="2024"/>
    <x v="39"/>
    <s v="R"/>
    <s v="RS"/>
    <x v="0"/>
    <s v="WAS"/>
    <s v="A"/>
    <n v="3"/>
    <n v="1"/>
    <n v="2"/>
    <n v="-2"/>
    <n v="16"/>
    <n v="-16"/>
    <n v="1501.0747991878516"/>
    <n v="1446.2018641722302"/>
    <n v="0.50413439160709306"/>
    <n v="91"/>
    <n v="92"/>
    <n v="0"/>
    <n v="-1"/>
    <n v="0"/>
    <n v="0.23350221124555889"/>
    <n v="1"/>
    <n v="70"/>
    <n v="70"/>
    <n v="-8.2401546643633541"/>
    <n v="1492.8346445234881"/>
    <n v="0"/>
    <n v="1"/>
    <n v="0"/>
    <n v="0"/>
    <n v="0"/>
    <n v="0"/>
    <n v="0"/>
    <n v="0"/>
    <n v="0"/>
    <n v="0"/>
  </r>
  <r>
    <d v="2024-09-19T00:00:00"/>
    <n v="2024"/>
    <x v="39"/>
    <s v="R"/>
    <s v="RS"/>
    <x v="7"/>
    <s v="IND"/>
    <s v="H"/>
    <n v="1"/>
    <n v="3"/>
    <n v="-2"/>
    <n v="2"/>
    <n v="-16"/>
    <n v="16"/>
    <n v="1446.2018641722302"/>
    <n v="1501.0747991878516"/>
    <n v="0.49586560839290694"/>
    <n v="92"/>
    <n v="91"/>
    <n v="0"/>
    <n v="1"/>
    <n v="1"/>
    <n v="0.23350221124555889"/>
    <n v="1"/>
    <n v="70"/>
    <n v="70"/>
    <n v="8.2401546643633541"/>
    <n v="1454.4420188365937"/>
    <n v="1"/>
    <n v="0"/>
    <n v="0"/>
    <n v="0"/>
    <n v="0"/>
    <n v="0"/>
    <n v="0"/>
    <n v="0"/>
    <n v="0"/>
    <n v="0"/>
  </r>
  <r>
    <d v="2024-09-22T00:00:00"/>
    <n v="2024"/>
    <x v="40"/>
    <s v="P"/>
    <n v="1"/>
    <x v="0"/>
    <s v="CON"/>
    <s v="A"/>
    <n v="2"/>
    <n v="2"/>
    <n v="0"/>
    <n v="0"/>
    <n v="0"/>
    <n v="0"/>
    <n v="1492.8346445234881"/>
    <n v="1615.131445828355"/>
    <n v="0.23369922060614243"/>
    <n v="69"/>
    <n v="93"/>
    <n v="0"/>
    <n v="-24"/>
    <n v="0"/>
    <n v="0.57030850909840158"/>
    <n v="1.1000000000000001"/>
    <n v="69.849999999999994"/>
    <n v="76.834999999999994"/>
    <n v="-10.240619056340337"/>
    <n v="1482.5940254671477"/>
    <n v="0"/>
    <n v="0"/>
    <n v="0"/>
    <n v="1"/>
    <n v="0"/>
    <n v="0"/>
    <n v="0"/>
    <n v="0"/>
    <n v="0"/>
    <n v="0"/>
  </r>
  <r>
    <d v="2024-09-22T00:00:00"/>
    <n v="2024"/>
    <x v="40"/>
    <s v="P"/>
    <n v="1"/>
    <x v="1"/>
    <s v="IND"/>
    <s v="H"/>
    <n v="2"/>
    <n v="2"/>
    <n v="0"/>
    <n v="0"/>
    <n v="0"/>
    <n v="0"/>
    <n v="1615.131445828355"/>
    <n v="1492.8346445234881"/>
    <n v="0.76630077939385766"/>
    <n v="93"/>
    <n v="69"/>
    <n v="0"/>
    <n v="24"/>
    <n v="1"/>
    <n v="0.57030850909840158"/>
    <n v="1.1000000000000001"/>
    <n v="69.849999999999994"/>
    <n v="76.834999999999994"/>
    <n v="10.240619056340334"/>
    <n v="1625.3720648846954"/>
    <n v="0"/>
    <n v="0"/>
    <n v="1"/>
    <n v="0"/>
    <n v="0"/>
    <n v="0"/>
    <n v="0"/>
    <n v="0"/>
    <n v="0"/>
    <n v="0"/>
  </r>
  <r>
    <d v="2024-09-22T00:00:00"/>
    <n v="2024"/>
    <x v="40"/>
    <s v="P"/>
    <n v="1"/>
    <x v="5"/>
    <s v="LVA"/>
    <s v="A"/>
    <n v="2"/>
    <n v="2"/>
    <n v="0"/>
    <n v="0"/>
    <n v="0"/>
    <n v="0"/>
    <n v="1565.1157132149522"/>
    <n v="1674.8631194106122"/>
    <n v="0.24688417708792051"/>
    <n v="67"/>
    <n v="78"/>
    <n v="0"/>
    <n v="-11"/>
    <n v="0"/>
    <n v="0.40298088151381339"/>
    <n v="1.1000000000000001"/>
    <n v="69.849999999999994"/>
    <n v="76.834999999999994"/>
    <n v="-7.6442836706851747"/>
    <n v="1557.471429544267"/>
    <n v="0"/>
    <n v="0"/>
    <n v="0"/>
    <n v="1"/>
    <n v="0"/>
    <n v="0"/>
    <n v="0"/>
    <n v="0"/>
    <n v="0"/>
    <n v="0"/>
  </r>
  <r>
    <d v="2024-09-22T00:00:00"/>
    <n v="2024"/>
    <x v="40"/>
    <s v="P"/>
    <n v="1"/>
    <x v="3"/>
    <s v="SEA"/>
    <s v="H"/>
    <n v="2"/>
    <n v="2"/>
    <n v="0"/>
    <n v="0"/>
    <n v="0"/>
    <n v="0"/>
    <n v="1674.8631194106122"/>
    <n v="1565.1157132149522"/>
    <n v="0.75311582291207946"/>
    <n v="78"/>
    <n v="67"/>
    <n v="0"/>
    <n v="11"/>
    <n v="1"/>
    <n v="0.40298088151381339"/>
    <n v="1.1000000000000001"/>
    <n v="69.849999999999994"/>
    <n v="76.834999999999994"/>
    <n v="7.6442836706851756"/>
    <n v="1682.5074030812973"/>
    <n v="0"/>
    <n v="0"/>
    <n v="1"/>
    <n v="0"/>
    <n v="0"/>
    <n v="0"/>
    <n v="0"/>
    <n v="0"/>
    <n v="0"/>
    <n v="0"/>
  </r>
  <r>
    <d v="2024-09-22T00:00:00"/>
    <n v="2024"/>
    <x v="40"/>
    <s v="P"/>
    <n v="1"/>
    <x v="2"/>
    <s v="MIN"/>
    <s v="A"/>
    <n v="2"/>
    <n v="2"/>
    <n v="0"/>
    <n v="0"/>
    <n v="0"/>
    <n v="0"/>
    <n v="1419.7799263923648"/>
    <n v="1649.0480896379268"/>
    <n v="0.14144782802742456"/>
    <n v="95"/>
    <n v="102"/>
    <n v="0"/>
    <n v="-7"/>
    <n v="0"/>
    <n v="0.31073847330095361"/>
    <n v="1.1000000000000001"/>
    <n v="69.849999999999994"/>
    <n v="76.834999999999994"/>
    <n v="-3.3771504326873449"/>
    <n v="1416.4027759596775"/>
    <n v="0"/>
    <n v="0"/>
    <n v="0"/>
    <n v="1"/>
    <n v="0"/>
    <n v="0"/>
    <n v="0"/>
    <n v="0"/>
    <n v="0"/>
    <n v="0"/>
  </r>
  <r>
    <d v="2024-09-22T00:00:00"/>
    <n v="2024"/>
    <x v="40"/>
    <s v="P"/>
    <n v="1"/>
    <x v="4"/>
    <s v="PHX"/>
    <s v="H"/>
    <n v="2"/>
    <n v="2"/>
    <n v="0"/>
    <n v="0"/>
    <n v="0"/>
    <n v="0"/>
    <n v="1649.0480896379268"/>
    <n v="1419.7799263923648"/>
    <n v="0.8585521719725755"/>
    <n v="102"/>
    <n v="95"/>
    <n v="0"/>
    <n v="7"/>
    <n v="1"/>
    <n v="0.31073847330095361"/>
    <n v="1.1000000000000001"/>
    <n v="69.849999999999994"/>
    <n v="76.834999999999994"/>
    <n v="3.3771504326873436"/>
    <n v="1652.4252400706141"/>
    <n v="0"/>
    <n v="0"/>
    <n v="1"/>
    <n v="0"/>
    <n v="0"/>
    <n v="0"/>
    <n v="0"/>
    <n v="0"/>
    <n v="0"/>
    <n v="0"/>
  </r>
  <r>
    <d v="2024-09-22T00:00:00"/>
    <n v="2024"/>
    <x v="40"/>
    <s v="P"/>
    <n v="1"/>
    <x v="10"/>
    <s v="NYL"/>
    <s v="A"/>
    <n v="2"/>
    <n v="2"/>
    <n v="0"/>
    <n v="0"/>
    <n v="0"/>
    <n v="0"/>
    <n v="1431.384107679075"/>
    <n v="1705.2327922808752"/>
    <n v="0.11305158381285751"/>
    <n v="69"/>
    <n v="83"/>
    <n v="0"/>
    <n v="-14"/>
    <n v="0"/>
    <n v="0.39700800384335927"/>
    <n v="1.1000000000000001"/>
    <n v="69.849999999999994"/>
    <n v="76.834999999999994"/>
    <n v="-3.4485379455097602"/>
    <n v="1427.9355697335652"/>
    <n v="0"/>
    <n v="0"/>
    <n v="0"/>
    <n v="1"/>
    <n v="0"/>
    <n v="0"/>
    <n v="0"/>
    <n v="0"/>
    <n v="0"/>
    <n v="0"/>
  </r>
  <r>
    <d v="2024-09-22T00:00:00"/>
    <n v="2024"/>
    <x v="40"/>
    <s v="P"/>
    <n v="1"/>
    <x v="6"/>
    <s v="ATL"/>
    <s v="H"/>
    <n v="2"/>
    <n v="2"/>
    <n v="0"/>
    <n v="0"/>
    <n v="0"/>
    <n v="0"/>
    <n v="1705.2327922808752"/>
    <n v="1431.384107679075"/>
    <n v="0.88694841618714249"/>
    <n v="83"/>
    <n v="69"/>
    <n v="0"/>
    <n v="14"/>
    <n v="1"/>
    <n v="0.39700800384335927"/>
    <n v="1.1000000000000001"/>
    <n v="69.849999999999994"/>
    <n v="76.834999999999994"/>
    <n v="3.4485379455097602"/>
    <n v="1708.6813302263849"/>
    <n v="0"/>
    <n v="0"/>
    <n v="1"/>
    <n v="0"/>
    <n v="0"/>
    <n v="0"/>
    <n v="0"/>
    <n v="0"/>
    <n v="0"/>
    <n v="0"/>
  </r>
  <r>
    <d v="2024-09-24T00:00:00"/>
    <n v="2024"/>
    <x v="41"/>
    <s v="P"/>
    <n v="1"/>
    <x v="5"/>
    <s v="LVA"/>
    <s v="A"/>
    <n v="1"/>
    <n v="1"/>
    <n v="0"/>
    <n v="0"/>
    <n v="0"/>
    <n v="0"/>
    <n v="1557.471429544267"/>
    <n v="1682.5074030812973"/>
    <n v="0.23088730153371859"/>
    <n v="76"/>
    <n v="83"/>
    <n v="0"/>
    <n v="-7"/>
    <n v="0"/>
    <n v="0.33518230135219201"/>
    <n v="1.1000000000000001"/>
    <n v="69.7"/>
    <n v="76.670000000000016"/>
    <n v="-5.9334404740055833"/>
    <n v="1551.5379890702613"/>
    <n v="0"/>
    <n v="0"/>
    <n v="0"/>
    <n v="1"/>
    <n v="0"/>
    <n v="0"/>
    <n v="0"/>
    <n v="0"/>
    <n v="0"/>
    <n v="0"/>
  </r>
  <r>
    <d v="2024-09-24T00:00:00"/>
    <n v="2024"/>
    <x v="41"/>
    <s v="P"/>
    <n v="1"/>
    <x v="3"/>
    <s v="SEA"/>
    <s v="H"/>
    <n v="1"/>
    <n v="1"/>
    <n v="0"/>
    <n v="0"/>
    <n v="0"/>
    <n v="0"/>
    <n v="1682.5074030812973"/>
    <n v="1557.471429544267"/>
    <n v="0.7691126984662815"/>
    <n v="83"/>
    <n v="76"/>
    <n v="0"/>
    <n v="7"/>
    <n v="1"/>
    <n v="0.33518230135219201"/>
    <n v="1.1000000000000001"/>
    <n v="69.7"/>
    <n v="76.670000000000016"/>
    <n v="5.9334404740055815"/>
    <n v="1688.440843555303"/>
    <n v="0"/>
    <n v="0"/>
    <n v="1"/>
    <n v="0"/>
    <n v="0"/>
    <n v="0"/>
    <n v="0"/>
    <n v="0"/>
    <n v="0"/>
    <n v="0"/>
  </r>
  <r>
    <d v="2024-09-24T00:00:00"/>
    <n v="2024"/>
    <x v="41"/>
    <s v="P"/>
    <n v="1"/>
    <x v="10"/>
    <s v="NYL"/>
    <s v="A"/>
    <n v="1"/>
    <n v="1"/>
    <n v="0"/>
    <n v="0"/>
    <n v="0"/>
    <n v="0"/>
    <n v="1427.9355697335652"/>
    <n v="1708.6813302263849"/>
    <n v="0.10913129344112524"/>
    <n v="82"/>
    <n v="91"/>
    <n v="0"/>
    <n v="-9"/>
    <n v="0"/>
    <n v="0.32900032238792537"/>
    <n v="1.1000000000000001"/>
    <n v="69.7"/>
    <n v="76.670000000000016"/>
    <n v="-2.7527773696659303"/>
    <n v="1425.1827923638994"/>
    <n v="0"/>
    <n v="0"/>
    <n v="0"/>
    <n v="1"/>
    <n v="0"/>
    <n v="0"/>
    <n v="0"/>
    <n v="0"/>
    <n v="0"/>
    <n v="0"/>
  </r>
  <r>
    <d v="2024-09-24T00:00:00"/>
    <n v="2024"/>
    <x v="41"/>
    <s v="P"/>
    <n v="1"/>
    <x v="6"/>
    <s v="ATL"/>
    <s v="H"/>
    <n v="1"/>
    <n v="1"/>
    <n v="0"/>
    <n v="0"/>
    <n v="0"/>
    <n v="0"/>
    <n v="1708.6813302263849"/>
    <n v="1427.9355697335652"/>
    <n v="0.89086870655887473"/>
    <n v="91"/>
    <n v="82"/>
    <n v="0"/>
    <n v="9"/>
    <n v="1"/>
    <n v="0.32900032238792537"/>
    <n v="1.1000000000000001"/>
    <n v="69.7"/>
    <n v="76.670000000000016"/>
    <n v="2.7527773696659312"/>
    <n v="1711.4341075960508"/>
    <n v="0"/>
    <n v="0"/>
    <n v="1"/>
    <n v="0"/>
    <n v="0"/>
    <n v="0"/>
    <n v="0"/>
    <n v="0"/>
    <n v="0"/>
    <n v="0"/>
  </r>
  <r>
    <d v="2024-09-25T00:00:00"/>
    <n v="2024"/>
    <x v="41"/>
    <s v="P"/>
    <n v="1"/>
    <x v="0"/>
    <s v="CON"/>
    <s v="A"/>
    <n v="2"/>
    <n v="2"/>
    <n v="0"/>
    <n v="0"/>
    <n v="0"/>
    <n v="0"/>
    <n v="1482.5940254671477"/>
    <n v="1625.3720648846954"/>
    <n v="0.21325100952059375"/>
    <n v="81"/>
    <n v="87"/>
    <n v="0"/>
    <n v="-6"/>
    <n v="0"/>
    <n v="0.31392895991361214"/>
    <n v="1.1000000000000001"/>
    <n v="69.7"/>
    <n v="76.670000000000016"/>
    <n v="-5.1327243363738635"/>
    <n v="1477.4613011307738"/>
    <n v="0"/>
    <n v="0"/>
    <n v="0"/>
    <n v="1"/>
    <n v="0"/>
    <n v="0"/>
    <n v="0"/>
    <n v="0"/>
    <n v="0"/>
    <n v="0"/>
  </r>
  <r>
    <d v="2024-09-25T00:00:00"/>
    <n v="2024"/>
    <x v="41"/>
    <s v="P"/>
    <n v="1"/>
    <x v="1"/>
    <s v="IND"/>
    <s v="H"/>
    <n v="2"/>
    <n v="2"/>
    <n v="0"/>
    <n v="0"/>
    <n v="0"/>
    <n v="0"/>
    <n v="1625.3720648846954"/>
    <n v="1482.5940254671477"/>
    <n v="0.78674899047940638"/>
    <n v="87"/>
    <n v="81"/>
    <n v="0"/>
    <n v="6"/>
    <n v="1"/>
    <n v="0.31392895991361214"/>
    <n v="1.1000000000000001"/>
    <n v="69.7"/>
    <n v="76.670000000000016"/>
    <n v="5.1327243363738599"/>
    <n v="1630.5047892210694"/>
    <n v="0"/>
    <n v="0"/>
    <n v="1"/>
    <n v="0"/>
    <n v="0"/>
    <n v="0"/>
    <n v="0"/>
    <n v="0"/>
    <n v="0"/>
    <n v="0"/>
  </r>
  <r>
    <d v="2024-09-25T00:00:00"/>
    <n v="2024"/>
    <x v="41"/>
    <s v="P"/>
    <n v="1"/>
    <x v="2"/>
    <s v="MIN"/>
    <s v="A"/>
    <n v="2"/>
    <n v="2"/>
    <n v="0"/>
    <n v="0"/>
    <n v="0"/>
    <n v="0"/>
    <n v="1416.4027759596775"/>
    <n v="1652.4252400706141"/>
    <n v="0.13679161855292871"/>
    <n v="88"/>
    <n v="101"/>
    <n v="0"/>
    <n v="-13"/>
    <n v="0"/>
    <n v="0.39445936322983666"/>
    <n v="1.1000000000000001"/>
    <n v="69.7"/>
    <n v="76.670000000000016"/>
    <n v="-4.1370161932493001"/>
    <n v="1412.2657597664281"/>
    <n v="0"/>
    <n v="0"/>
    <n v="0"/>
    <n v="1"/>
    <n v="0"/>
    <n v="0"/>
    <n v="0"/>
    <n v="0"/>
    <n v="0"/>
    <n v="0"/>
  </r>
  <r>
    <d v="2024-09-25T00:00:00"/>
    <n v="2024"/>
    <x v="41"/>
    <s v="P"/>
    <n v="1"/>
    <x v="4"/>
    <s v="PHX"/>
    <s v="H"/>
    <n v="2"/>
    <n v="2"/>
    <n v="0"/>
    <n v="0"/>
    <n v="0"/>
    <n v="0"/>
    <n v="1652.4252400706141"/>
    <n v="1416.4027759596775"/>
    <n v="0.86320838144707135"/>
    <n v="101"/>
    <n v="88"/>
    <n v="0"/>
    <n v="13"/>
    <n v="1"/>
    <n v="0.39445936322983666"/>
    <n v="1.1000000000000001"/>
    <n v="69.7"/>
    <n v="76.670000000000016"/>
    <n v="4.1370161932492984"/>
    <n v="1656.5622562638634"/>
    <n v="0"/>
    <n v="0"/>
    <n v="1"/>
    <n v="0"/>
    <n v="0"/>
    <n v="0"/>
    <n v="0"/>
    <n v="0"/>
    <n v="0"/>
    <n v="0"/>
  </r>
  <r>
    <d v="2024-09-29T00:00:00"/>
    <n v="2024"/>
    <x v="42"/>
    <s v="P"/>
    <n v="2"/>
    <x v="1"/>
    <s v="MIN"/>
    <s v="A"/>
    <n v="3"/>
    <n v="3"/>
    <n v="0"/>
    <n v="0"/>
    <n v="0"/>
    <n v="0"/>
    <n v="1630.5047892210694"/>
    <n v="1656.5622562638634"/>
    <n v="0.34670790071447993"/>
    <n v="73"/>
    <n v="70"/>
    <n v="0"/>
    <n v="3"/>
    <n v="1"/>
    <n v="0.28401623470255771"/>
    <n v="1.2"/>
    <n v="69.55"/>
    <n v="83.46"/>
    <n v="15.48563262121224"/>
    <n v="1645.9904218422816"/>
    <n v="0"/>
    <n v="0"/>
    <n v="0"/>
    <n v="0"/>
    <n v="1"/>
    <n v="0"/>
    <n v="0"/>
    <n v="0"/>
    <n v="0"/>
    <n v="0"/>
  </r>
  <r>
    <d v="2024-09-29T00:00:00"/>
    <n v="2024"/>
    <x v="42"/>
    <s v="P"/>
    <n v="2"/>
    <x v="4"/>
    <s v="CON"/>
    <s v="H"/>
    <n v="3"/>
    <n v="3"/>
    <n v="0"/>
    <n v="0"/>
    <n v="0"/>
    <n v="0"/>
    <n v="1656.5622562638634"/>
    <n v="1630.5047892210694"/>
    <n v="0.65329209928552012"/>
    <n v="70"/>
    <n v="73"/>
    <n v="0"/>
    <n v="-3"/>
    <n v="0"/>
    <n v="0.28401623470255771"/>
    <n v="1.2"/>
    <n v="69.55"/>
    <n v="83.46"/>
    <n v="-15.485632621212243"/>
    <n v="1641.0766236426512"/>
    <n v="0"/>
    <n v="0"/>
    <n v="0"/>
    <n v="0"/>
    <n v="0"/>
    <n v="1"/>
    <n v="0"/>
    <n v="0"/>
    <n v="0"/>
    <n v="0"/>
  </r>
  <r>
    <d v="2024-09-29T00:00:00"/>
    <n v="2024"/>
    <x v="42"/>
    <s v="P"/>
    <n v="2"/>
    <x v="3"/>
    <s v="NYL"/>
    <s v="A"/>
    <n v="4"/>
    <n v="4"/>
    <n v="0"/>
    <n v="0"/>
    <n v="0"/>
    <n v="0"/>
    <n v="1688.440843555303"/>
    <n v="1711.4341075960508"/>
    <n v="0.35071388250285185"/>
    <n v="77"/>
    <n v="87"/>
    <n v="0"/>
    <n v="-10"/>
    <n v="0"/>
    <n v="0.41517451823170737"/>
    <n v="1.2"/>
    <n v="69.55"/>
    <n v="83.46"/>
    <n v="-12.152399212953766"/>
    <n v="1676.2884443423493"/>
    <n v="0"/>
    <n v="0"/>
    <n v="0"/>
    <n v="0"/>
    <n v="0"/>
    <n v="1"/>
    <n v="0"/>
    <n v="0"/>
    <n v="0"/>
    <n v="0"/>
  </r>
  <r>
    <d v="2024-09-29T00:00:00"/>
    <n v="2024"/>
    <x v="42"/>
    <s v="P"/>
    <n v="2"/>
    <x v="6"/>
    <s v="LVA"/>
    <s v="H"/>
    <n v="4"/>
    <n v="4"/>
    <n v="0"/>
    <n v="0"/>
    <n v="0"/>
    <n v="0"/>
    <n v="1711.4341075960508"/>
    <n v="1688.440843555303"/>
    <n v="0.64928611749714815"/>
    <n v="87"/>
    <n v="77"/>
    <n v="0"/>
    <n v="10"/>
    <n v="1"/>
    <n v="0.41517451823170737"/>
    <n v="1.2"/>
    <n v="69.55"/>
    <n v="83.46"/>
    <n v="12.152399212953766"/>
    <n v="1723.5865068090045"/>
    <n v="0"/>
    <n v="0"/>
    <n v="0"/>
    <n v="0"/>
    <n v="1"/>
    <n v="0"/>
    <n v="0"/>
    <n v="0"/>
    <n v="0"/>
    <n v="0"/>
  </r>
  <r>
    <d v="2024-10-01T00:00:00"/>
    <n v="2024"/>
    <x v="43"/>
    <s v="P"/>
    <n v="2"/>
    <x v="1"/>
    <s v="MIN"/>
    <s v="A"/>
    <n v="1"/>
    <n v="1"/>
    <n v="0"/>
    <n v="0"/>
    <n v="0"/>
    <n v="0"/>
    <n v="1645.9904218422816"/>
    <n v="1641.0766236426512"/>
    <n v="0.38811165046309715"/>
    <n v="70"/>
    <n v="77"/>
    <n v="0"/>
    <n v="-7"/>
    <n v="0"/>
    <n v="0.36859782637413258"/>
    <n v="1.2"/>
    <n v="69.400000000000006"/>
    <n v="83.28"/>
    <n v="-11.913796183357832"/>
    <n v="1634.0766256589238"/>
    <n v="0"/>
    <n v="0"/>
    <n v="0"/>
    <n v="0"/>
    <n v="0"/>
    <n v="1"/>
    <n v="0"/>
    <n v="0"/>
    <n v="0"/>
    <n v="0"/>
  </r>
  <r>
    <d v="2024-10-01T00:00:00"/>
    <n v="2024"/>
    <x v="43"/>
    <s v="P"/>
    <n v="2"/>
    <x v="4"/>
    <s v="CON"/>
    <s v="H"/>
    <n v="1"/>
    <n v="1"/>
    <n v="0"/>
    <n v="0"/>
    <n v="0"/>
    <n v="0"/>
    <n v="1641.0766236426512"/>
    <n v="1645.9904218422816"/>
    <n v="0.61188834953690285"/>
    <n v="77"/>
    <n v="70"/>
    <n v="0"/>
    <n v="7"/>
    <n v="1"/>
    <n v="0.36859782637413258"/>
    <n v="1.2"/>
    <n v="69.400000000000006"/>
    <n v="83.28"/>
    <n v="11.913796183357832"/>
    <n v="1652.990419826009"/>
    <n v="0"/>
    <n v="0"/>
    <n v="0"/>
    <n v="0"/>
    <n v="1"/>
    <n v="0"/>
    <n v="0"/>
    <n v="0"/>
    <n v="0"/>
    <n v="0"/>
  </r>
  <r>
    <d v="2024-10-01T00:00:00"/>
    <n v="2024"/>
    <x v="43"/>
    <s v="P"/>
    <n v="2"/>
    <x v="3"/>
    <s v="NYL"/>
    <s v="A"/>
    <n v="1"/>
    <n v="1"/>
    <n v="0"/>
    <n v="0"/>
    <n v="0"/>
    <n v="0"/>
    <n v="1676.2884443423493"/>
    <n v="1723.5865068090045"/>
    <n v="0.31955612840095132"/>
    <n v="84"/>
    <n v="88"/>
    <n v="0"/>
    <n v="-4"/>
    <n v="0"/>
    <n v="0.29962307577515862"/>
    <n v="1.2"/>
    <n v="69.400000000000006"/>
    <n v="83.28"/>
    <n v="-7.9737593653872514"/>
    <n v="1668.3146849769621"/>
    <n v="0"/>
    <n v="0"/>
    <n v="0"/>
    <n v="0"/>
    <n v="0"/>
    <n v="1"/>
    <n v="0"/>
    <n v="0"/>
    <n v="0"/>
    <n v="0"/>
  </r>
  <r>
    <d v="2024-10-01T00:00:00"/>
    <n v="2024"/>
    <x v="43"/>
    <s v="P"/>
    <n v="2"/>
    <x v="6"/>
    <s v="LVA"/>
    <s v="H"/>
    <n v="1"/>
    <n v="1"/>
    <n v="0"/>
    <n v="0"/>
    <n v="0"/>
    <n v="0"/>
    <n v="1723.5865068090045"/>
    <n v="1676.2884443423493"/>
    <n v="0.68044387159904873"/>
    <n v="88"/>
    <n v="84"/>
    <n v="0"/>
    <n v="4"/>
    <n v="1"/>
    <n v="0.29962307577515862"/>
    <n v="1.2"/>
    <n v="69.400000000000006"/>
    <n v="83.28"/>
    <n v="7.9737593653872496"/>
    <n v="1731.5602661743917"/>
    <n v="0"/>
    <n v="0"/>
    <n v="0"/>
    <n v="0"/>
    <n v="1"/>
    <n v="0"/>
    <n v="0"/>
    <n v="0"/>
    <n v="0"/>
    <n v="0"/>
  </r>
  <r>
    <d v="2024-10-04T00:00:00"/>
    <n v="2024"/>
    <x v="44"/>
    <s v="P"/>
    <n v="2"/>
    <x v="4"/>
    <s v="CON"/>
    <s v="A"/>
    <n v="2"/>
    <n v="2"/>
    <n v="0"/>
    <n v="0"/>
    <n v="0"/>
    <n v="0"/>
    <n v="1652.990419826009"/>
    <n v="1634.0766256589238"/>
    <n v="0.40741395760919413"/>
    <n v="90"/>
    <n v="81"/>
    <n v="0"/>
    <n v="9"/>
    <n v="1"/>
    <n v="0.39967209732791992"/>
    <n v="1.2"/>
    <n v="69.25"/>
    <n v="83.1"/>
    <n v="19.681412842636512"/>
    <n v="1672.6718326686455"/>
    <n v="0"/>
    <n v="0"/>
    <n v="0"/>
    <n v="0"/>
    <n v="1"/>
    <n v="0"/>
    <n v="0"/>
    <n v="0"/>
    <n v="0"/>
    <n v="0"/>
  </r>
  <r>
    <d v="2024-10-04T00:00:00"/>
    <n v="2024"/>
    <x v="44"/>
    <s v="P"/>
    <n v="2"/>
    <x v="1"/>
    <s v="MIN"/>
    <s v="H"/>
    <n v="2"/>
    <n v="2"/>
    <n v="0"/>
    <n v="0"/>
    <n v="0"/>
    <n v="0"/>
    <n v="1634.0766256589238"/>
    <n v="1652.990419826009"/>
    <n v="0.59258604239080581"/>
    <n v="81"/>
    <n v="90"/>
    <n v="0"/>
    <n v="-9"/>
    <n v="0"/>
    <n v="0.39967209732791992"/>
    <n v="1.2"/>
    <n v="69.25"/>
    <n v="83.1"/>
    <n v="-19.681412842636512"/>
    <n v="1614.3952128162873"/>
    <n v="0"/>
    <n v="0"/>
    <n v="0"/>
    <n v="0"/>
    <n v="0"/>
    <n v="1"/>
    <n v="0"/>
    <n v="0"/>
    <n v="0"/>
    <n v="0"/>
  </r>
  <r>
    <d v="2024-10-04T00:00:00"/>
    <n v="2024"/>
    <x v="44"/>
    <s v="P"/>
    <n v="2"/>
    <x v="6"/>
    <s v="LVA"/>
    <s v="A"/>
    <n v="2"/>
    <n v="2"/>
    <n v="0"/>
    <n v="0"/>
    <n v="0"/>
    <n v="0"/>
    <n v="1731.5602661743917"/>
    <n v="1668.3146849769621"/>
    <n v="0.47016746669274123"/>
    <n v="81"/>
    <n v="95"/>
    <n v="0"/>
    <n v="-14"/>
    <n v="0"/>
    <n v="0.4631955440416245"/>
    <n v="1.2"/>
    <n v="69.25"/>
    <n v="83.1"/>
    <n v="-18.097474416162122"/>
    <n v="1713.4627917582295"/>
    <n v="0"/>
    <n v="0"/>
    <n v="0"/>
    <n v="0"/>
    <n v="0"/>
    <n v="1"/>
    <n v="0"/>
    <n v="0"/>
    <n v="0"/>
    <n v="0"/>
  </r>
  <r>
    <d v="2024-10-04T00:00:00"/>
    <n v="2024"/>
    <x v="44"/>
    <s v="P"/>
    <n v="2"/>
    <x v="3"/>
    <s v="NYL"/>
    <s v="H"/>
    <n v="2"/>
    <n v="2"/>
    <n v="0"/>
    <n v="0"/>
    <n v="0"/>
    <n v="0"/>
    <n v="1668.3146849769621"/>
    <n v="1731.5602661743917"/>
    <n v="0.52983253330725877"/>
    <n v="95"/>
    <n v="81"/>
    <n v="0"/>
    <n v="14"/>
    <n v="1"/>
    <n v="0.4631955440416245"/>
    <n v="1.2"/>
    <n v="69.25"/>
    <n v="83.1"/>
    <n v="18.097474416162122"/>
    <n v="1686.4121593931243"/>
    <n v="0"/>
    <n v="0"/>
    <n v="0"/>
    <n v="0"/>
    <n v="1"/>
    <n v="0"/>
    <n v="0"/>
    <n v="0"/>
    <n v="0"/>
    <n v="0"/>
  </r>
  <r>
    <d v="2024-10-06T00:00:00"/>
    <n v="2024"/>
    <x v="45"/>
    <s v="P"/>
    <n v="2"/>
    <x v="4"/>
    <s v="CON"/>
    <s v="A"/>
    <n v="1"/>
    <n v="1"/>
    <n v="0"/>
    <n v="0"/>
    <n v="0"/>
    <n v="0"/>
    <n v="1672.6718326686455"/>
    <n v="1614.3952128162873"/>
    <n v="0.46304857321369608"/>
    <n v="82"/>
    <n v="92"/>
    <n v="0"/>
    <n v="-10"/>
    <n v="0"/>
    <n v="0.4035326025991956"/>
    <n v="1.2"/>
    <n v="69.099999999999994"/>
    <n v="82.919999999999987"/>
    <n v="-15.494032842267352"/>
    <n v="1657.1777998263781"/>
    <n v="0"/>
    <n v="0"/>
    <n v="0"/>
    <n v="0"/>
    <n v="0"/>
    <n v="1"/>
    <n v="0"/>
    <n v="0"/>
    <n v="0"/>
    <n v="0"/>
  </r>
  <r>
    <d v="2024-10-06T00:00:00"/>
    <n v="2024"/>
    <x v="45"/>
    <s v="P"/>
    <n v="2"/>
    <x v="1"/>
    <s v="MIN"/>
    <s v="H"/>
    <n v="1"/>
    <n v="1"/>
    <n v="0"/>
    <n v="0"/>
    <n v="0"/>
    <n v="0"/>
    <n v="1614.3952128162873"/>
    <n v="1672.6718326686455"/>
    <n v="0.53695142678630381"/>
    <n v="92"/>
    <n v="82"/>
    <n v="0"/>
    <n v="10"/>
    <n v="1"/>
    <n v="0.4035326025991956"/>
    <n v="1.2"/>
    <n v="69.099999999999994"/>
    <n v="82.919999999999987"/>
    <n v="15.494032842267357"/>
    <n v="1629.8892456585547"/>
    <n v="0"/>
    <n v="0"/>
    <n v="0"/>
    <n v="0"/>
    <n v="1"/>
    <n v="0"/>
    <n v="0"/>
    <n v="0"/>
    <n v="0"/>
    <n v="0"/>
  </r>
  <r>
    <d v="2024-10-06T00:00:00"/>
    <n v="2024"/>
    <x v="45"/>
    <s v="P"/>
    <n v="2"/>
    <x v="6"/>
    <s v="LVA"/>
    <s v="A"/>
    <n v="1"/>
    <n v="1"/>
    <n v="0"/>
    <n v="0"/>
    <n v="0"/>
    <n v="0"/>
    <n v="1713.4627917582295"/>
    <n v="1686.4121593931243"/>
    <n v="0.41876946259005116"/>
    <n v="76"/>
    <n v="62"/>
    <n v="0"/>
    <n v="14"/>
    <n v="1"/>
    <n v="0.4768586632102545"/>
    <n v="1.2"/>
    <n v="69.099999999999994"/>
    <n v="82.919999999999987"/>
    <n v="22.982506632794838"/>
    <n v="1736.4452983910244"/>
    <n v="0"/>
    <n v="0"/>
    <n v="0"/>
    <n v="0"/>
    <n v="1"/>
    <n v="0"/>
    <n v="0"/>
    <n v="0"/>
    <n v="0"/>
    <n v="0"/>
  </r>
  <r>
    <d v="2024-10-06T00:00:00"/>
    <n v="2024"/>
    <x v="45"/>
    <s v="P"/>
    <n v="2"/>
    <x v="3"/>
    <s v="NYL"/>
    <s v="H"/>
    <n v="1"/>
    <n v="1"/>
    <n v="0"/>
    <n v="0"/>
    <n v="0"/>
    <n v="0"/>
    <n v="1686.4121593931243"/>
    <n v="1713.4627917582295"/>
    <n v="0.5812305374099489"/>
    <n v="62"/>
    <n v="76"/>
    <n v="0"/>
    <n v="-14"/>
    <n v="0"/>
    <n v="0.4768586632102545"/>
    <n v="1.2"/>
    <n v="69.099999999999994"/>
    <n v="82.919999999999987"/>
    <n v="-22.982506632794838"/>
    <n v="1663.4296527603294"/>
    <n v="0"/>
    <n v="0"/>
    <n v="0"/>
    <n v="0"/>
    <n v="0"/>
    <n v="1"/>
    <n v="0"/>
    <n v="0"/>
    <n v="0"/>
    <n v="0"/>
  </r>
  <r>
    <d v="2024-10-08T00:00:00"/>
    <n v="2024"/>
    <x v="46"/>
    <s v="P"/>
    <n v="2"/>
    <x v="1"/>
    <s v="MIN"/>
    <s v="A"/>
    <n v="1"/>
    <n v="1"/>
    <n v="0"/>
    <n v="0"/>
    <n v="0"/>
    <n v="0"/>
    <n v="1629.8892456585547"/>
    <n v="1657.1777998263781"/>
    <n v="0.34510449922830616"/>
    <n v="77"/>
    <n v="88"/>
    <n v="0"/>
    <n v="-11"/>
    <n v="0"/>
    <n v="0.43005629158420733"/>
    <n v="1.2"/>
    <n v="68.95"/>
    <n v="82.74"/>
    <n v="-12.279804241315215"/>
    <n v="1617.6094414172396"/>
    <n v="0"/>
    <n v="0"/>
    <n v="0"/>
    <n v="0"/>
    <n v="0"/>
    <n v="1"/>
    <n v="0"/>
    <n v="0"/>
    <n v="0"/>
    <n v="0"/>
  </r>
  <r>
    <d v="2024-10-08T00:00:00"/>
    <n v="2024"/>
    <x v="46"/>
    <s v="P"/>
    <n v="2"/>
    <x v="4"/>
    <s v="CON"/>
    <s v="H"/>
    <n v="1"/>
    <n v="1"/>
    <n v="0"/>
    <n v="0"/>
    <n v="0"/>
    <n v="0"/>
    <n v="1657.1777998263781"/>
    <n v="1629.8892456585547"/>
    <n v="0.65489550077169389"/>
    <n v="88"/>
    <n v="77"/>
    <n v="0"/>
    <n v="11"/>
    <n v="1"/>
    <n v="0.43005629158420733"/>
    <n v="1.2"/>
    <n v="68.95"/>
    <n v="82.74"/>
    <n v="12.279804241315214"/>
    <n v="1669.4576040676932"/>
    <n v="0"/>
    <n v="0"/>
    <n v="0"/>
    <n v="0"/>
    <n v="1"/>
    <n v="0"/>
    <n v="0"/>
    <n v="0"/>
    <n v="0"/>
    <n v="0"/>
  </r>
  <r>
    <d v="2024-10-10T00:00:00"/>
    <n v="2024"/>
    <x v="47"/>
    <s v="P"/>
    <n v="3"/>
    <x v="4"/>
    <s v="NYL"/>
    <s v="A"/>
    <n v="1"/>
    <n v="3"/>
    <n v="-2"/>
    <n v="2"/>
    <n v="-16"/>
    <n v="16"/>
    <n v="1669.4576040676932"/>
    <n v="1736.4452983910244"/>
    <n v="0.25858005744630641"/>
    <n v="95"/>
    <n v="93"/>
    <n v="1"/>
    <n v="2"/>
    <n v="1"/>
    <n v="0.22831210419051079"/>
    <n v="1.35"/>
    <n v="68.8"/>
    <n v="92.88"/>
    <n v="15.722275669450662"/>
    <n v="1685.1798797371439"/>
    <n v="0"/>
    <n v="0"/>
    <n v="0"/>
    <n v="0"/>
    <n v="0"/>
    <n v="0"/>
    <n v="1"/>
    <n v="0"/>
    <n v="0"/>
    <n v="0"/>
  </r>
  <r>
    <d v="2024-10-10T00:00:00"/>
    <n v="2024"/>
    <x v="46"/>
    <s v="P"/>
    <n v="3"/>
    <x v="6"/>
    <s v="MIN"/>
    <s v="H"/>
    <n v="3"/>
    <n v="1"/>
    <n v="2"/>
    <n v="-2"/>
    <n v="16"/>
    <n v="-16"/>
    <n v="1736.4452983910244"/>
    <n v="1669.4576040676932"/>
    <n v="0.74141994255369359"/>
    <n v="93"/>
    <n v="95"/>
    <n v="1"/>
    <n v="-2"/>
    <n v="0"/>
    <n v="0.22831210419051079"/>
    <n v="1.35"/>
    <n v="68.95"/>
    <n v="93.08250000000001"/>
    <n v="-15.756553886753247"/>
    <n v="1720.6887445042712"/>
    <n v="0"/>
    <n v="0"/>
    <n v="0"/>
    <n v="0"/>
    <n v="0"/>
    <n v="0"/>
    <n v="0"/>
    <n v="1"/>
    <n v="0"/>
    <n v="0"/>
  </r>
  <r>
    <d v="2024-10-13T00:00:00"/>
    <n v="2024"/>
    <x v="48"/>
    <s v="P"/>
    <n v="3"/>
    <x v="4"/>
    <s v="NYL"/>
    <s v="A"/>
    <n v="2"/>
    <n v="2"/>
    <n v="0"/>
    <n v="0"/>
    <n v="0"/>
    <n v="0"/>
    <n v="1685.1798797371439"/>
    <n v="1720.6887445042712"/>
    <n v="0.33448963359647321"/>
    <n v="66"/>
    <n v="80"/>
    <n v="0"/>
    <n v="-14"/>
    <n v="0"/>
    <n v="0.47359411245601107"/>
    <n v="1.35"/>
    <n v="68.650000000000006"/>
    <n v="92.677500000000009"/>
    <n v="-14.681257893273296"/>
    <n v="1670.4986218438705"/>
    <n v="0"/>
    <n v="0"/>
    <n v="0"/>
    <n v="0"/>
    <n v="0"/>
    <n v="0"/>
    <n v="0"/>
    <n v="1"/>
    <n v="0"/>
    <n v="0"/>
  </r>
  <r>
    <d v="2024-10-13T00:00:00"/>
    <n v="2024"/>
    <x v="47"/>
    <s v="P"/>
    <n v="3"/>
    <x v="6"/>
    <s v="MIN"/>
    <s v="H"/>
    <n v="2"/>
    <n v="2"/>
    <n v="0"/>
    <n v="0"/>
    <n v="0"/>
    <n v="0"/>
    <n v="1720.6887445042712"/>
    <n v="1685.1798797371439"/>
    <n v="0.6655103664035269"/>
    <n v="80"/>
    <n v="66"/>
    <n v="0"/>
    <n v="14"/>
    <n v="1"/>
    <n v="0.47359411245601107"/>
    <n v="1.35"/>
    <n v="68.8"/>
    <n v="92.88"/>
    <n v="14.713336388305933"/>
    <n v="1735.402080892577"/>
    <n v="0"/>
    <n v="0"/>
    <n v="0"/>
    <n v="0"/>
    <n v="0"/>
    <n v="0"/>
    <n v="1"/>
    <n v="0"/>
    <n v="0"/>
    <n v="0"/>
  </r>
  <r>
    <d v="2024-10-16T00:00:00"/>
    <n v="2024"/>
    <x v="48"/>
    <s v="P"/>
    <n v="3"/>
    <x v="6"/>
    <s v="MIN"/>
    <s v="A"/>
    <n v="2"/>
    <n v="2"/>
    <n v="0"/>
    <n v="0"/>
    <n v="0"/>
    <n v="0"/>
    <n v="1735.402080892577"/>
    <n v="1670.4986218438705"/>
    <n v="0.47254551017084095"/>
    <n v="80"/>
    <n v="77"/>
    <n v="0"/>
    <n v="3"/>
    <n v="1"/>
    <n v="0.27529391498410077"/>
    <n v="1.35"/>
    <n v="68.650000000000006"/>
    <n v="92.677500000000009"/>
    <n v="13.457237451531377"/>
    <n v="1748.8593183441085"/>
    <n v="0"/>
    <n v="0"/>
    <n v="0"/>
    <n v="0"/>
    <n v="0"/>
    <n v="0"/>
    <n v="1"/>
    <n v="0"/>
    <n v="0"/>
    <n v="0"/>
  </r>
  <r>
    <d v="2024-10-16T00:00:00"/>
    <n v="2024"/>
    <x v="49"/>
    <s v="P"/>
    <n v="3"/>
    <x v="4"/>
    <s v="NYL"/>
    <s v="H"/>
    <n v="2"/>
    <n v="2"/>
    <n v="0"/>
    <n v="0"/>
    <n v="0"/>
    <n v="0"/>
    <n v="1670.4986218438705"/>
    <n v="1735.402080892577"/>
    <n v="0.52745448982915899"/>
    <n v="77"/>
    <n v="80"/>
    <n v="0"/>
    <n v="-3"/>
    <n v="0"/>
    <n v="0.27529391498410077"/>
    <n v="1.35"/>
    <n v="68.5"/>
    <n v="92.475000000000009"/>
    <n v="-13.42783343670647"/>
    <n v="1657.0707884071639"/>
    <n v="0"/>
    <n v="0"/>
    <n v="0"/>
    <n v="0"/>
    <n v="0"/>
    <n v="0"/>
    <n v="0"/>
    <n v="1"/>
    <n v="0"/>
    <n v="0"/>
  </r>
  <r>
    <d v="2024-10-18T00:00:00"/>
    <n v="2024"/>
    <x v="49"/>
    <s v="P"/>
    <n v="3"/>
    <x v="6"/>
    <s v="MIN"/>
    <s v="A"/>
    <n v="1"/>
    <n v="1"/>
    <n v="0"/>
    <n v="0"/>
    <n v="0"/>
    <n v="0"/>
    <n v="1748.8593183441085"/>
    <n v="1657.0707884071639"/>
    <n v="0.51120671840448817"/>
    <n v="80"/>
    <n v="82"/>
    <n v="0"/>
    <n v="-2"/>
    <n v="0"/>
    <n v="0.24880975293014304"/>
    <n v="1.35"/>
    <n v="68.5"/>
    <n v="92.475000000000009"/>
    <n v="-11.762192770044058"/>
    <n v="1737.0971255740644"/>
    <n v="0"/>
    <n v="0"/>
    <n v="0"/>
    <n v="0"/>
    <n v="0"/>
    <n v="0"/>
    <n v="0"/>
    <n v="1"/>
    <n v="0"/>
    <n v="0"/>
  </r>
  <r>
    <d v="2024-10-18T00:00:00"/>
    <n v="2024"/>
    <x v="50"/>
    <s v="P"/>
    <n v="3"/>
    <x v="4"/>
    <s v="NYL"/>
    <s v="H"/>
    <n v="1"/>
    <n v="1"/>
    <n v="0"/>
    <n v="0"/>
    <n v="0"/>
    <n v="0"/>
    <n v="1657.0707884071639"/>
    <n v="1748.8593183441085"/>
    <n v="0.48879328159551189"/>
    <n v="82"/>
    <n v="80"/>
    <n v="0"/>
    <n v="2"/>
    <n v="1"/>
    <n v="0.24880975293014304"/>
    <n v="1.35"/>
    <n v="68.349999999999994"/>
    <n v="92.272499999999994"/>
    <n v="11.736436143540308"/>
    <n v="1668.8072245507042"/>
    <n v="0"/>
    <n v="0"/>
    <n v="0"/>
    <n v="0"/>
    <n v="0"/>
    <n v="0"/>
    <n v="1"/>
    <n v="0"/>
    <n v="0"/>
    <n v="0"/>
  </r>
  <r>
    <d v="2024-10-20T00:00:00"/>
    <n v="2024"/>
    <x v="51"/>
    <s v="P"/>
    <n v="3"/>
    <x v="4"/>
    <s v="NYL"/>
    <s v="A"/>
    <n v="1"/>
    <n v="1"/>
    <n v="0"/>
    <n v="0"/>
    <n v="0"/>
    <n v="0"/>
    <n v="1668.8072245507042"/>
    <n v="1737.0971255740644"/>
    <n v="0.29387222536037105"/>
    <n v="62"/>
    <n v="67"/>
    <n v="1"/>
    <n v="-5"/>
    <n v="0"/>
    <n v="0.28250359260059121"/>
    <n v="1.35"/>
    <n v="68.2"/>
    <n v="92.070000000000007"/>
    <n v="-7.6436476647049449"/>
    <n v="1661.1635768859992"/>
    <n v="0"/>
    <n v="0"/>
    <n v="0"/>
    <n v="0"/>
    <n v="0"/>
    <n v="0"/>
    <n v="0"/>
    <n v="1"/>
    <n v="0"/>
    <n v="0"/>
  </r>
  <r>
    <d v="2024-10-20T00:00:00"/>
    <n v="2024"/>
    <x v="50"/>
    <s v="P"/>
    <n v="3"/>
    <x v="6"/>
    <s v="MIN"/>
    <s v="H"/>
    <n v="1"/>
    <n v="1"/>
    <n v="0"/>
    <n v="0"/>
    <n v="0"/>
    <n v="0"/>
    <n v="1737.0971255740644"/>
    <n v="1668.8072245507042"/>
    <n v="0.70612777463962884"/>
    <n v="67"/>
    <n v="62"/>
    <n v="1"/>
    <n v="5"/>
    <n v="1"/>
    <n v="0.28250359260059121"/>
    <n v="1.35"/>
    <n v="68.349999999999994"/>
    <n v="92.272499999999994"/>
    <n v="7.660459206489489"/>
    <n v="1744.757584780554"/>
    <n v="0"/>
    <n v="0"/>
    <n v="0"/>
    <n v="0"/>
    <n v="0"/>
    <n v="0"/>
    <n v="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0">
        <item m="1" x="40"/>
        <item x="10"/>
        <item m="1" x="51"/>
        <item m="1" x="29"/>
        <item m="1" x="27"/>
        <item m="1" x="39"/>
        <item m="1" x="55"/>
        <item m="1" x="17"/>
        <item x="8"/>
        <item m="1" x="41"/>
        <item m="1" x="18"/>
        <item x="1"/>
        <item x="9"/>
        <item m="1" x="34"/>
        <item m="1" x="14"/>
        <item m="1" x="56"/>
        <item m="1" x="36"/>
        <item m="1" x="16"/>
        <item x="0"/>
        <item m="1" x="50"/>
        <item m="1" x="49"/>
        <item m="1" x="26"/>
        <item m="1" x="25"/>
        <item m="1" x="58"/>
        <item x="11"/>
        <item m="1" x="57"/>
        <item x="3"/>
        <item m="1" x="28"/>
        <item m="1" x="20"/>
        <item m="1" x="35"/>
        <item x="4"/>
        <item m="1" x="43"/>
        <item m="1" x="23"/>
        <item m="1" x="31"/>
        <item m="1" x="44"/>
        <item m="1" x="52"/>
        <item x="6"/>
        <item m="1" x="45"/>
        <item m="1" x="33"/>
        <item m="1" x="22"/>
        <item m="1" x="30"/>
        <item x="2"/>
        <item m="1" x="47"/>
        <item m="1" x="21"/>
        <item m="1" x="32"/>
        <item m="1" x="15"/>
        <item m="1" x="12"/>
        <item m="1" x="42"/>
        <item x="5"/>
        <item m="1" x="53"/>
        <item m="1" x="48"/>
        <item m="1" x="54"/>
        <item m="1" x="46"/>
        <item m="1" x="24"/>
        <item m="1" x="13"/>
        <item m="1" x="19"/>
        <item m="1" x="38"/>
        <item x="7"/>
        <item m="1" x="37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3">
    <i>
      <x v="1"/>
    </i>
    <i>
      <x v="8"/>
    </i>
    <i>
      <x v="11"/>
    </i>
    <i>
      <x v="12"/>
    </i>
    <i>
      <x v="18"/>
    </i>
    <i>
      <x v="24"/>
    </i>
    <i>
      <x v="26"/>
    </i>
    <i>
      <x v="30"/>
    </i>
    <i>
      <x v="36"/>
    </i>
    <i>
      <x v="41"/>
    </i>
    <i>
      <x v="48"/>
    </i>
    <i>
      <x v="5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23">
      <pivotArea outline="0" collapsedLevelsAreSubtotals="1" fieldPosition="0"/>
    </format>
    <format dxfId="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6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m="1" x="202"/>
        <item x="49"/>
        <item x="50"/>
        <item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3" totalsRowShown="0">
  <autoFilter ref="A1:D13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3">
    <sortCondition ref="C12:C13"/>
  </sortState>
  <tableColumns count="4">
    <tableColumn id="1" xr3:uid="{8C17ECDF-4459-4994-A3F5-8E8FEDF92B6F}" name="TeamID"/>
    <tableColumn id="4" xr3:uid="{789F069E-DAF9-4B19-A6DB-107BA6995CE5}" name="Logo" dataDxfId="26"/>
    <tableColumn id="5" xr3:uid="{A9DA91BA-5529-4913-978B-19C8EF225B29}" name="TeamName" dataDxfId="25"/>
    <tableColumn id="2" xr3:uid="{AA4C8157-DB69-4779-8EEE-6F419B992D71}" name="PreSeasonElo" dataDxfId="2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525" totalsRowShown="0" headerRowDxfId="66" dataDxfId="65">
  <autoFilter ref="A1:AL525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64"/>
    <tableColumn id="21" xr3:uid="{D754AB95-C77C-4DD5-B1B9-A24A4FEE7279}" name="Season" dataDxfId="63"/>
    <tableColumn id="19" xr3:uid="{4C42B78B-6AFC-42C3-A5F4-3266E247C458}" name="GamesPlayed" dataDxfId="62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61"/>
    <tableColumn id="14" xr3:uid="{EFA83923-8CCA-4DC9-BC85-5D86949A45D9}" name="Round" dataDxfId="60"/>
    <tableColumn id="2" xr3:uid="{6E102E51-A49B-416B-8CD2-B93B2A4EA389}" name="Team" dataDxfId="59"/>
    <tableColumn id="3" xr3:uid="{19101345-1C34-4AF3-88E6-76A7F19B7FE6}" name="Opponent" dataDxfId="58"/>
    <tableColumn id="16" xr3:uid="{4CBCDF29-B095-48DF-8EF6-06DC7D78C844}" name="HomeAway" dataDxfId="57"/>
    <tableColumn id="32" xr3:uid="{E3FA53E3-DAD6-4BC2-969A-C53F4798E86D}" name="DaysOff" dataDxfId="56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55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54">
      <calculatedColumnFormula>Games[[#This Row],[DaysOff]]-Games[[#This Row],[OppDaysOff]]</calculatedColumnFormula>
    </tableColumn>
    <tableColumn id="35" xr3:uid="{3F2DB366-7372-41BA-8B0C-09F9BA7EA850}" name="OppRestDiff" dataDxfId="53">
      <calculatedColumnFormula>Games[[#This Row],[OppDaysOff]]-Games[[#This Row],[DaysOff]]</calculatedColumnFormula>
    </tableColumn>
    <tableColumn id="36" xr3:uid="{BDD0FD2C-608F-4CCC-867B-4481F0F4B802}" name="RestAdj" dataDxfId="52">
      <calculatedColumnFormula>MAX(-16, MIN(16, Games[[#This Row],[RestDiff]]*8))</calculatedColumnFormula>
    </tableColumn>
    <tableColumn id="37" xr3:uid="{5F89213A-4C28-428C-B766-3B05D4F530A5}" name="OppRestAdj" dataDxfId="51">
      <calculatedColumnFormula>MAX(-16, MIN(16, Games[[#This Row],[OppRestDiff]]*8))</calculatedColumnFormula>
    </tableColumn>
    <tableColumn id="4" xr3:uid="{68053CFA-948B-4F2C-A114-7C46ABD9EA33}" name="PreGmRate" dataDxfId="50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49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48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47"/>
    <tableColumn id="8" xr3:uid="{0CDDF0F9-2F1E-487C-96DD-90F70CE7DAFC}" name="PointsAgainst" dataDxfId="46"/>
    <tableColumn id="22" xr3:uid="{AB7B5B5C-5BAD-4213-990E-8EB9B177497C}" name="OT" dataDxfId="45"/>
    <tableColumn id="9" xr3:uid="{CE171F1D-5E5D-4800-A6DC-8F6DBD74C939}" name="MOV" dataDxfId="44">
      <calculatedColumnFormula>Games[[#This Row],[PointsFor]]-Games[[#This Row],[PointsAgainst]]</calculatedColumnFormula>
    </tableColumn>
    <tableColumn id="10" xr3:uid="{883A3911-25F6-4C39-9637-F1C42D6A1FC2}" name="Result" dataDxfId="43">
      <calculatedColumnFormula>IF(Games[[#This Row],[MOV]]&gt;0,1,IF(Games[[#This Row],[MOV]]=0,0.5,0))</calculatedColumnFormula>
    </tableColumn>
    <tableColumn id="15" xr3:uid="{00048431-5FD6-47EE-807E-5B63FD521193}" name="MOVMult" dataDxfId="42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41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calculatedColumnFormula>
    </tableColumn>
    <tableColumn id="30" xr3:uid="{F56B2662-6D39-4B84-BEBE-39C9D43603BC}" name="K" dataDxfId="40">
      <calculatedColumnFormula>MAX(kmin, kmax - 0.15 * MIN(Games[[#This Row],[GamesPlayed]], 82))</calculatedColumnFormula>
    </tableColumn>
    <tableColumn id="29" xr3:uid="{FBA5D644-15ED-4725-9E52-1D37FD0FAC64}" name="Keff" dataDxfId="39">
      <calculatedColumnFormula>Games[[#This Row],[K]]*Games[[#This Row],[POMult]]</calculatedColumnFormula>
    </tableColumn>
    <tableColumn id="11" xr3:uid="{309DAEBD-E62C-4090-89E9-A58FD32AB89B}" name="RatingChange" dataDxfId="38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37">
      <calculatedColumnFormula>Games[[#This Row],[PreGmRate]]+Games[[#This Row],[RatingChange]]</calculatedColumnFormula>
    </tableColumn>
    <tableColumn id="17" xr3:uid="{90B7BF87-E472-4474-A10D-555BD3BF8F04}" name="W" dataDxfId="36">
      <calculatedColumnFormula>IF(Games[[#This Row],[Type]]="R",IF(Games[[#This Row],[Result]]&gt;0.5,1,0),0)</calculatedColumnFormula>
    </tableColumn>
    <tableColumn id="18" xr3:uid="{29756EA1-783D-4C76-A7B8-F906AF0EC7E7}" name="L" dataDxfId="35">
      <calculatedColumnFormula>IF(Games[[#This Row],[Type]]="R",IF(Games[[#This Row],[Result]]&lt;0.5,1,0),0)</calculatedColumnFormula>
    </tableColumn>
    <tableColumn id="23" xr3:uid="{C253CFA7-28A4-4AE5-B131-DC1E8F2B73F8}" name="R1W" dataDxfId="34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33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32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31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30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29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28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27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5"/>
  <sheetViews>
    <sheetView workbookViewId="0">
      <selection activeCell="C2" sqref="C2"/>
    </sheetView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4" x14ac:dyDescent="0.35">
      <c r="A1" t="s">
        <v>29</v>
      </c>
      <c r="B1" t="s">
        <v>27</v>
      </c>
      <c r="C1" t="s">
        <v>28</v>
      </c>
      <c r="D1" t="s">
        <v>58</v>
      </c>
    </row>
    <row r="2" spans="1:4" x14ac:dyDescent="0.35">
      <c r="A2" t="s">
        <v>77</v>
      </c>
      <c r="B2" s="8"/>
      <c r="C2" s="15" t="s">
        <v>78</v>
      </c>
      <c r="D2" s="13">
        <v>1436.6742065215929</v>
      </c>
    </row>
    <row r="3" spans="1:4" x14ac:dyDescent="0.35">
      <c r="A3" t="s">
        <v>75</v>
      </c>
      <c r="B3" s="8"/>
      <c r="C3" s="15" t="s">
        <v>76</v>
      </c>
      <c r="D3" s="13">
        <v>1499.9999908167413</v>
      </c>
    </row>
    <row r="4" spans="1:4" x14ac:dyDescent="0.35">
      <c r="A4" t="s">
        <v>74</v>
      </c>
      <c r="B4" s="8"/>
      <c r="C4" s="15" t="s">
        <v>73</v>
      </c>
      <c r="D4" s="13">
        <v>1597.8565596592896</v>
      </c>
    </row>
    <row r="5" spans="1:4" x14ac:dyDescent="0.35">
      <c r="A5" t="s">
        <v>85</v>
      </c>
      <c r="B5" s="8"/>
      <c r="C5" s="15" t="s">
        <v>84</v>
      </c>
      <c r="D5" s="13">
        <v>1562.1486281313992</v>
      </c>
    </row>
    <row r="6" spans="1:4" x14ac:dyDescent="0.35">
      <c r="A6" t="s">
        <v>69</v>
      </c>
      <c r="B6" s="8"/>
      <c r="C6" s="15" t="s">
        <v>70</v>
      </c>
      <c r="D6" s="13">
        <v>1357.4186648149914</v>
      </c>
    </row>
    <row r="7" spans="1:4" x14ac:dyDescent="0.35">
      <c r="A7" t="s">
        <v>86</v>
      </c>
      <c r="B7" s="8"/>
      <c r="C7" s="15" t="s">
        <v>87</v>
      </c>
      <c r="D7" s="13">
        <v>1784.9338539496734</v>
      </c>
    </row>
    <row r="8" spans="1:4" x14ac:dyDescent="0.35">
      <c r="A8" t="s">
        <v>63</v>
      </c>
      <c r="B8" s="8"/>
      <c r="C8" s="15" t="s">
        <v>64</v>
      </c>
      <c r="D8" s="13">
        <v>1442.3123572041839</v>
      </c>
    </row>
    <row r="9" spans="1:4" x14ac:dyDescent="0.35">
      <c r="A9" t="s">
        <v>67</v>
      </c>
      <c r="B9" s="8"/>
      <c r="C9" s="15" t="s">
        <v>68</v>
      </c>
      <c r="D9" s="13">
        <v>1441.6700451691872</v>
      </c>
    </row>
    <row r="10" spans="1:4" x14ac:dyDescent="0.35">
      <c r="A10" t="s">
        <v>60</v>
      </c>
      <c r="B10" s="8"/>
      <c r="C10" s="15" t="s">
        <v>61</v>
      </c>
      <c r="D10" s="13">
        <v>1711.4465588717874</v>
      </c>
    </row>
    <row r="11" spans="1:4" x14ac:dyDescent="0.35">
      <c r="A11" t="s">
        <v>40</v>
      </c>
      <c r="B11" s="8"/>
      <c r="C11" s="15" t="s">
        <v>62</v>
      </c>
      <c r="D11" s="13">
        <v>1301.9444084535724</v>
      </c>
    </row>
    <row r="12" spans="1:4" x14ac:dyDescent="0.35">
      <c r="A12" t="s">
        <v>71</v>
      </c>
      <c r="B12" s="8"/>
      <c r="C12" s="15" t="s">
        <v>72</v>
      </c>
      <c r="D12" s="13">
        <v>1391.89042292369</v>
      </c>
    </row>
    <row r="13" spans="1:4" x14ac:dyDescent="0.35">
      <c r="A13" t="s">
        <v>65</v>
      </c>
      <c r="B13" s="8"/>
      <c r="C13" s="15" t="s">
        <v>66</v>
      </c>
      <c r="D13" s="13">
        <v>1472.4625348961602</v>
      </c>
    </row>
    <row r="14" spans="1:4" x14ac:dyDescent="0.35">
      <c r="B14" s="8"/>
      <c r="C14" s="15"/>
      <c r="D14" s="13"/>
    </row>
    <row r="15" spans="1:4" x14ac:dyDescent="0.35">
      <c r="B15" s="8"/>
      <c r="C15" s="15"/>
      <c r="D15" s="13"/>
    </row>
    <row r="16" spans="1:4" x14ac:dyDescent="0.35">
      <c r="B16" s="8"/>
      <c r="C16" s="15"/>
      <c r="D16" s="13"/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15"/>
      <c r="D21" s="13"/>
    </row>
    <row r="22" spans="2:4" x14ac:dyDescent="0.35">
      <c r="B22" s="8"/>
      <c r="C22" s="15"/>
      <c r="D22" s="13"/>
    </row>
    <row r="23" spans="2:4" x14ac:dyDescent="0.35">
      <c r="B23" s="8"/>
      <c r="C23" s="8"/>
      <c r="D23" s="13"/>
    </row>
    <row r="24" spans="2:4" x14ac:dyDescent="0.35">
      <c r="B24" s="8"/>
      <c r="C24" s="8"/>
      <c r="D24" s="13"/>
    </row>
    <row r="25" spans="2:4" x14ac:dyDescent="0.35">
      <c r="B25" s="8"/>
      <c r="C25" s="8"/>
      <c r="D25" s="13"/>
    </row>
  </sheetData>
  <sortState xmlns:xlrd2="http://schemas.microsoft.com/office/spreadsheetml/2017/richdata2" ref="G2:H13">
    <sortCondition ref="G2:G13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6"/>
  <sheetViews>
    <sheetView tabSelected="1" workbookViewId="0">
      <selection activeCell="C2" sqref="C2"/>
    </sheetView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5.75" style="1" hidden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1.75" bestFit="1" customWidth="1"/>
    <col min="19" max="19" width="4.9140625" bestFit="1" customWidth="1"/>
    <col min="20" max="20" width="1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3">_xlfn.SORTBY(A25:H36,G25:G36,-1)</f>
        <v>NYL</v>
      </c>
      <c r="B2">
        <v>0</v>
      </c>
      <c r="C2" t="str">
        <v>New York Liberty</v>
      </c>
      <c r="D2" s="1">
        <v>32</v>
      </c>
      <c r="E2" s="1">
        <v>8</v>
      </c>
      <c r="F2" s="3">
        <v>0.8</v>
      </c>
      <c r="G2" s="9">
        <v>1744.757584780554</v>
      </c>
      <c r="H2" s="1">
        <v>45585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LVA</v>
      </c>
      <c r="B3">
        <v>0</v>
      </c>
      <c r="C3" t="str">
        <v>Las Vegas Aces</v>
      </c>
      <c r="D3" s="1">
        <v>27</v>
      </c>
      <c r="E3" s="1">
        <v>13</v>
      </c>
      <c r="F3" s="3">
        <v>0.67500000000000004</v>
      </c>
      <c r="G3" s="9">
        <v>1663.4296527603294</v>
      </c>
      <c r="H3" s="1">
        <v>45571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2</v>
      </c>
      <c r="AO3" s="1">
        <f>_xlfn.XLOOKUP($AK3,StandingsPivot!$A$4:$A$33,StandingsPivot!E$4:E$33)</f>
        <v>0</v>
      </c>
      <c r="AP3" s="1">
        <f>_xlfn.XLOOKUP($AK3,StandingsPivot!$A$4:$A$33,StandingsPivot!F$4:F$33)</f>
        <v>3</v>
      </c>
      <c r="AQ3" s="1">
        <f>_xlfn.XLOOKUP($AK3,StandingsPivot!$A$4:$A$33,StandingsPivot!G$4:G$33)</f>
        <v>1</v>
      </c>
      <c r="AR3" s="1">
        <f>_xlfn.XLOOKUP($AK3,StandingsPivot!$A$4:$A$33,StandingsPivot!H$4:H$33)</f>
        <v>3</v>
      </c>
      <c r="AS3" s="1">
        <f>_xlfn.XLOOKUP($AK3,StandingsPivot!$A$4:$A$33,StandingsPivot!I$4:I$33)</f>
        <v>2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8</v>
      </c>
      <c r="AW3" s="1">
        <f t="shared" si="1"/>
        <v>3</v>
      </c>
      <c r="AX3" s="4" cm="1">
        <f t="array" ref="AX3">_xlfn.IFNA(INDEX(Games[PostGmRate], MATCH(1, (Games[Team]=AK3)*(Games[Date]=AY3), 0)),0)</f>
        <v>1744.757584780554</v>
      </c>
      <c r="AY3" s="1">
        <f>_xlfn.MAXIFS(Games[Date], Games[Team], AK3)</f>
        <v>45585</v>
      </c>
      <c r="AZ3">
        <f t="shared" si="2"/>
        <v>11</v>
      </c>
    </row>
    <row r="4" spans="1:68" x14ac:dyDescent="0.35">
      <c r="A4" t="str">
        <v>MIN</v>
      </c>
      <c r="B4">
        <v>0</v>
      </c>
      <c r="C4" t="str">
        <v>Minnesota Lynx</v>
      </c>
      <c r="D4" s="1">
        <v>30</v>
      </c>
      <c r="E4" s="1">
        <v>10</v>
      </c>
      <c r="F4" s="3">
        <v>0.75</v>
      </c>
      <c r="G4" s="9">
        <v>1661.1635768859992</v>
      </c>
      <c r="H4" s="1">
        <v>45585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CON</v>
      </c>
      <c r="B5">
        <v>0</v>
      </c>
      <c r="C5" t="str">
        <v>Connecticut Sun</v>
      </c>
      <c r="D5" s="1">
        <v>28</v>
      </c>
      <c r="E5" s="1">
        <v>12</v>
      </c>
      <c r="F5" s="3">
        <v>0.7</v>
      </c>
      <c r="G5" s="9">
        <v>1617.6094414172396</v>
      </c>
      <c r="H5" s="1">
        <v>45573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SEA</v>
      </c>
      <c r="B6">
        <v>0</v>
      </c>
      <c r="C6" t="str">
        <v>Seattle Storm</v>
      </c>
      <c r="D6" s="1">
        <v>25</v>
      </c>
      <c r="E6" s="1">
        <v>15</v>
      </c>
      <c r="F6" s="3">
        <v>0.625</v>
      </c>
      <c r="G6" s="9">
        <v>1551.5379890702613</v>
      </c>
      <c r="H6" s="1">
        <v>45559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0</v>
      </c>
      <c r="AO6" s="1">
        <f>_xlfn.XLOOKUP($AK6,StandingsPivot!$A$4:$A$33,StandingsPivot!E$4:E$33)</f>
        <v>2</v>
      </c>
      <c r="AP6" s="1">
        <f>_xlfn.XLOOKUP($AK6,StandingsPivot!$A$4:$A$33,StandingsPivot!F$4:F$33)</f>
        <v>0</v>
      </c>
      <c r="AQ6" s="1">
        <f>_xlfn.XLOOKUP($AK6,StandingsPivot!$A$4:$A$33,StandingsPivot!G$4:G$33)</f>
        <v>0</v>
      </c>
      <c r="AR6" s="1">
        <f>_xlfn.XLOOKUP($AK6,StandingsPivot!$A$4:$A$33,StandingsPivot!H$4:H$33)</f>
        <v>0</v>
      </c>
      <c r="AS6" s="1">
        <f>_xlfn.XLOOKUP($AK6,StandingsPivot!$A$4:$A$33,StandingsPivot!I$4:I$33)</f>
        <v>0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0</v>
      </c>
      <c r="AW6" s="1">
        <f t="shared" si="3"/>
        <v>2</v>
      </c>
      <c r="AX6" s="4" cm="1">
        <f t="array" ref="AX6">_xlfn.IFNA(INDEX(Games[PostGmRate], MATCH(1, (Games[Team]=AK6)*(Games[Date]=AY6), 0)),0)</f>
        <v>1412.2657597664281</v>
      </c>
      <c r="AY6" s="1">
        <f>_xlfn.MAXIFS(Games[Date], Games[Team], AK6)</f>
        <v>45560</v>
      </c>
      <c r="AZ6">
        <f>SUM(AV6:AW6)</f>
        <v>2</v>
      </c>
      <c r="BO6" s="4"/>
      <c r="BP6" s="1"/>
    </row>
    <row r="7" spans="1:68" x14ac:dyDescent="0.35">
      <c r="A7" t="str">
        <v>IND</v>
      </c>
      <c r="B7">
        <v>0</v>
      </c>
      <c r="C7" t="str">
        <v>Indiana Fever</v>
      </c>
      <c r="D7" s="1">
        <v>20</v>
      </c>
      <c r="E7" s="1">
        <v>20</v>
      </c>
      <c r="F7" s="3">
        <v>0.5</v>
      </c>
      <c r="G7" s="9">
        <v>1477.4613011307738</v>
      </c>
      <c r="H7" s="1">
        <v>45560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1307.0134897201945</v>
      </c>
      <c r="AY7" s="1">
        <f>_xlfn.MAXIFS(Games[Date], Games[Team], AK7)</f>
        <v>45554</v>
      </c>
      <c r="AZ7">
        <f>SUM(AV7:AW7)</f>
        <v>0</v>
      </c>
      <c r="BO7" s="4"/>
      <c r="BP7" s="1"/>
    </row>
    <row r="8" spans="1:68" x14ac:dyDescent="0.35">
      <c r="A8" t="str">
        <v>WAS</v>
      </c>
      <c r="B8">
        <v>0</v>
      </c>
      <c r="C8" t="str">
        <v>Washington Mystics</v>
      </c>
      <c r="D8" s="1">
        <v>14</v>
      </c>
      <c r="E8" s="1">
        <v>26</v>
      </c>
      <c r="F8" s="3">
        <v>0.35</v>
      </c>
      <c r="G8" s="9">
        <v>1454.4420188365937</v>
      </c>
      <c r="H8" s="1">
        <v>45554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ATL</v>
      </c>
      <c r="B9">
        <v>0</v>
      </c>
      <c r="C9" t="str">
        <v>Atlanta Dream</v>
      </c>
      <c r="D9" s="1">
        <v>15</v>
      </c>
      <c r="E9" s="1">
        <v>25</v>
      </c>
      <c r="F9" s="3">
        <v>0.375</v>
      </c>
      <c r="G9" s="9">
        <v>1425.1827923638994</v>
      </c>
      <c r="H9" s="1">
        <v>45559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PHX</v>
      </c>
      <c r="B10">
        <v>0</v>
      </c>
      <c r="C10" t="str">
        <v>Phoenix Mercury</v>
      </c>
      <c r="D10" s="1">
        <v>19</v>
      </c>
      <c r="E10" s="1">
        <v>21</v>
      </c>
      <c r="F10" s="3">
        <v>0.47499999999999998</v>
      </c>
      <c r="G10" s="9">
        <v>1412.2657597664281</v>
      </c>
      <c r="H10" s="1">
        <v>45560</v>
      </c>
      <c r="O10" s="3"/>
      <c r="P10" s="4"/>
      <c r="Q10" s="1"/>
      <c r="AX10" s="4"/>
      <c r="BO10" s="4"/>
      <c r="BP10" s="1"/>
    </row>
    <row r="11" spans="1:68" x14ac:dyDescent="0.35">
      <c r="A11" t="str">
        <v>CHI</v>
      </c>
      <c r="B11">
        <v>0</v>
      </c>
      <c r="C11" t="str">
        <v>Chicago Sky</v>
      </c>
      <c r="D11" s="1">
        <v>13</v>
      </c>
      <c r="E11" s="1">
        <v>27</v>
      </c>
      <c r="F11" s="3">
        <v>0.32500000000000001</v>
      </c>
      <c r="G11" s="9">
        <v>1350.2928084218638</v>
      </c>
      <c r="H11" s="1">
        <v>45554</v>
      </c>
      <c r="O11" s="3"/>
      <c r="P11" s="4"/>
      <c r="Q11" s="1"/>
      <c r="AX11" s="4"/>
      <c r="BO11" s="4"/>
      <c r="BP11" s="1"/>
    </row>
    <row r="12" spans="1:68" x14ac:dyDescent="0.35">
      <c r="A12" t="str">
        <v>DAL</v>
      </c>
      <c r="B12">
        <v>0</v>
      </c>
      <c r="C12" t="str">
        <v>Dallas Wings</v>
      </c>
      <c r="D12" s="1">
        <v>9</v>
      </c>
      <c r="E12" s="1">
        <v>31</v>
      </c>
      <c r="F12" s="3">
        <v>0.22500000000000001</v>
      </c>
      <c r="G12" s="9">
        <v>1334.2117024471399</v>
      </c>
      <c r="H12" s="1">
        <v>45554</v>
      </c>
      <c r="O12" s="3"/>
      <c r="P12" s="4"/>
      <c r="Q12" s="1"/>
      <c r="AX12" s="4"/>
      <c r="BO12" s="4"/>
      <c r="BP12" s="1"/>
    </row>
    <row r="13" spans="1:68" x14ac:dyDescent="0.35">
      <c r="A13" t="str">
        <v>LAS</v>
      </c>
      <c r="B13">
        <v>0</v>
      </c>
      <c r="C13" t="str">
        <v>Los Angeles Sparks</v>
      </c>
      <c r="D13" s="1">
        <v>8</v>
      </c>
      <c r="E13" s="1">
        <v>32</v>
      </c>
      <c r="F13" s="3">
        <v>0.2</v>
      </c>
      <c r="G13" s="9">
        <v>1307.0134897201945</v>
      </c>
      <c r="H13" s="1">
        <v>45554</v>
      </c>
      <c r="AX13" s="4"/>
      <c r="BO13" s="4"/>
      <c r="BP13" s="1"/>
    </row>
    <row r="14" spans="1:68" x14ac:dyDescent="0.35">
      <c r="F14" s="3"/>
      <c r="G14" s="9"/>
      <c r="O14" s="3"/>
      <c r="P14" s="4"/>
      <c r="Q14" s="1"/>
      <c r="AX14" s="4"/>
      <c r="BO14" s="4"/>
      <c r="BP14" s="1"/>
    </row>
    <row r="15" spans="1:68" x14ac:dyDescent="0.35">
      <c r="F15" s="3"/>
      <c r="G15" s="9"/>
      <c r="O15" s="3"/>
      <c r="P15" s="4"/>
      <c r="Q15" s="1"/>
      <c r="AX15" s="4"/>
      <c r="BO15" s="4"/>
      <c r="BP15" s="1"/>
    </row>
    <row r="16" spans="1:68" x14ac:dyDescent="0.35">
      <c r="F16" s="3"/>
      <c r="G16" s="9"/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15</v>
      </c>
      <c r="E25" s="1">
        <f>_xlfn.XLOOKUP($A25,StandingsPivot!$A$4:$A$35,StandingsPivot!C$4:C$35)</f>
        <v>25</v>
      </c>
      <c r="F25" s="3">
        <f>(D25)/(D25+E25)</f>
        <v>0.375</v>
      </c>
      <c r="G25" s="9" cm="1">
        <f t="array" ref="G25">INDEX(Games[PostGmRate], MATCH(1, (Games[Team]=A25)*(Games[Date]=H25), 0))</f>
        <v>1425.1827923638994</v>
      </c>
      <c r="H25" s="1">
        <f>_xlfn.MAXIFS(Games[Date], Games[Team], A25)</f>
        <v>45559</v>
      </c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13</v>
      </c>
      <c r="E26" s="1">
        <f>_xlfn.XLOOKUP($A26,StandingsPivot!$A$4:$A$35,StandingsPivot!C$4:C$35)</f>
        <v>27</v>
      </c>
      <c r="F26" s="3">
        <f>(D26)/(D26+E26)</f>
        <v>0.32500000000000001</v>
      </c>
      <c r="G26" s="9" cm="1">
        <f t="array" ref="G26">INDEX(Games[PostGmRate], MATCH(1, (Games[Team]=A26)*(Games[Date]=H26), 0))</f>
        <v>1350.2928084218638</v>
      </c>
      <c r="H26" s="1">
        <f>_xlfn.MAXIFS(Games[Date], Games[Team], A26)</f>
        <v>45554</v>
      </c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28</v>
      </c>
      <c r="E27" s="1">
        <f>_xlfn.XLOOKUP($A27,StandingsPivot!$A$4:$A$35,StandingsPivot!C$4:C$35)</f>
        <v>12</v>
      </c>
      <c r="F27" s="3">
        <f>(D27)/(D27+E27)</f>
        <v>0.7</v>
      </c>
      <c r="G27" s="9" cm="1">
        <f t="array" ref="G27">INDEX(Games[PostGmRate], MATCH(1, (Games[Team]=A27)*(Games[Date]=H27), 0))</f>
        <v>1617.6094414172396</v>
      </c>
      <c r="H27" s="1">
        <f>_xlfn.MAXIFS(Games[Date], Games[Team], A27)</f>
        <v>45573</v>
      </c>
      <c r="AR27" s="3"/>
      <c r="AS27" s="4"/>
      <c r="BD27" s="1"/>
      <c r="BG27" s="3"/>
      <c r="BH27" s="4"/>
    </row>
    <row r="28" spans="1:60" x14ac:dyDescent="0.35">
      <c r="A28" t="s">
        <v>85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9</v>
      </c>
      <c r="E28" s="1">
        <f>_xlfn.XLOOKUP($A28,StandingsPivot!$A$4:$A$35,StandingsPivot!C$4:C$35)</f>
        <v>31</v>
      </c>
      <c r="F28" s="3">
        <f>(D28)/(D28+E28)</f>
        <v>0.22500000000000001</v>
      </c>
      <c r="G28" s="9" cm="1">
        <f t="array" ref="G28">INDEX(Games[PostGmRate], MATCH(1, (Games[Team]=A28)*(Games[Date]=H28), 0))</f>
        <v>1334.2117024471399</v>
      </c>
      <c r="H28" s="1">
        <f>_xlfn.MAXIFS(Games[Date], Games[Team], A28)</f>
        <v>45554</v>
      </c>
      <c r="AR28" s="3"/>
      <c r="AS28" s="4"/>
      <c r="BD28" s="1"/>
      <c r="BG28" s="3"/>
      <c r="BH28" s="4"/>
    </row>
    <row r="29" spans="1:60" x14ac:dyDescent="0.35">
      <c r="A29" t="s">
        <v>69</v>
      </c>
      <c r="B29">
        <f>_xlfn.XLOOKUP(A29,ConfDiv[TeamID],ConfDiv[Logo])</f>
        <v>0</v>
      </c>
      <c r="C29" t="str">
        <f>_xlfn.XLOOKUP(A29,ConfDiv[TeamID],ConfDiv[TeamName])</f>
        <v>Indiana Fever</v>
      </c>
      <c r="D29" s="1">
        <f>_xlfn.XLOOKUP($A29,StandingsPivot!$A$4:$A$35,StandingsPivot!B$4:B$35)</f>
        <v>20</v>
      </c>
      <c r="E29" s="1">
        <f>_xlfn.XLOOKUP($A29,StandingsPivot!$A$4:$A$35,StandingsPivot!C$4:C$35)</f>
        <v>20</v>
      </c>
      <c r="F29" s="3">
        <f>(D29)/(D29+E29)</f>
        <v>0.5</v>
      </c>
      <c r="G29" s="9" cm="1">
        <f t="array" ref="G29">INDEX(Games[PostGmRate], MATCH(1, (Games[Team]=A29)*(Games[Date]=H29), 0))</f>
        <v>1477.4613011307738</v>
      </c>
      <c r="H29" s="1">
        <f>_xlfn.MAXIFS(Games[Date], Games[Team], A29)</f>
        <v>45560</v>
      </c>
      <c r="AR29" s="3"/>
      <c r="AS29" s="4"/>
      <c r="BD29" s="1"/>
      <c r="BG29" s="3"/>
      <c r="BH29" s="4"/>
    </row>
    <row r="30" spans="1:60" x14ac:dyDescent="0.35">
      <c r="A30" t="s">
        <v>63</v>
      </c>
      <c r="B30">
        <f>_xlfn.XLOOKUP(A30,ConfDiv[TeamID],ConfDiv[Logo])</f>
        <v>0</v>
      </c>
      <c r="C30" t="str">
        <f>_xlfn.XLOOKUP(A30,ConfDiv[TeamID],ConfDiv[TeamName])</f>
        <v>Los Angeles Sparks</v>
      </c>
      <c r="D30" s="1">
        <f>_xlfn.XLOOKUP($A30,StandingsPivot!$A$4:$A$35,StandingsPivot!B$4:B$35)</f>
        <v>8</v>
      </c>
      <c r="E30" s="1">
        <f>_xlfn.XLOOKUP($A30,StandingsPivot!$A$4:$A$35,StandingsPivot!C$4:C$35)</f>
        <v>32</v>
      </c>
      <c r="F30" s="3">
        <f>(D30)/(D30+E30)</f>
        <v>0.2</v>
      </c>
      <c r="G30" s="9" cm="1">
        <f t="array" ref="G30">INDEX(Games[PostGmRate], MATCH(1, (Games[Team]=A30)*(Games[Date]=H30), 0))</f>
        <v>1307.0134897201945</v>
      </c>
      <c r="H30" s="1">
        <f>_xlfn.MAXIFS(Games[Date], Games[Team], A30)</f>
        <v>45554</v>
      </c>
      <c r="AR30" s="3"/>
      <c r="AS30" s="4"/>
      <c r="BD30" s="1"/>
      <c r="BG30" s="3"/>
      <c r="BH30" s="4"/>
    </row>
    <row r="31" spans="1:60" x14ac:dyDescent="0.35">
      <c r="A31" t="s">
        <v>86</v>
      </c>
      <c r="B31">
        <f>_xlfn.XLOOKUP(A31,ConfDiv[TeamID],ConfDiv[Logo])</f>
        <v>0</v>
      </c>
      <c r="C31" t="str">
        <f>_xlfn.XLOOKUP(A31,ConfDiv[TeamID],ConfDiv[TeamName])</f>
        <v>Las Vegas Aces</v>
      </c>
      <c r="D31" s="1">
        <f>_xlfn.XLOOKUP($A31,StandingsPivot!$A$4:$A$35,StandingsPivot!B$4:B$35)</f>
        <v>27</v>
      </c>
      <c r="E31" s="1">
        <f>_xlfn.XLOOKUP($A31,StandingsPivot!$A$4:$A$35,StandingsPivot!C$4:C$35)</f>
        <v>13</v>
      </c>
      <c r="F31" s="3">
        <f>(D31)/(D31+E31)</f>
        <v>0.67500000000000004</v>
      </c>
      <c r="G31" s="9" cm="1">
        <f t="array" ref="G31">INDEX(Games[PostGmRate], MATCH(1, (Games[Team]=A31)*(Games[Date]=H31), 0))</f>
        <v>1663.4296527603294</v>
      </c>
      <c r="H31" s="1">
        <f>_xlfn.MAXIFS(Games[Date], Games[Team], A31)</f>
        <v>45571</v>
      </c>
      <c r="AR31" s="3"/>
      <c r="AS31" s="4"/>
      <c r="BD31" s="1"/>
      <c r="BG31" s="3"/>
      <c r="BH31" s="4"/>
    </row>
    <row r="32" spans="1:60" x14ac:dyDescent="0.35">
      <c r="A32" t="s">
        <v>67</v>
      </c>
      <c r="B32">
        <f>_xlfn.XLOOKUP(A32,ConfDiv[TeamID],ConfDiv[Logo])</f>
        <v>0</v>
      </c>
      <c r="C32" t="str">
        <f>_xlfn.XLOOKUP(A32,ConfDiv[TeamID],ConfDiv[TeamName])</f>
        <v>Minnesota Lynx</v>
      </c>
      <c r="D32" s="1">
        <f>_xlfn.XLOOKUP($A32,StandingsPivot!$A$4:$A$35,StandingsPivot!B$4:B$35)</f>
        <v>30</v>
      </c>
      <c r="E32" s="1">
        <f>_xlfn.XLOOKUP($A32,StandingsPivot!$A$4:$A$35,StandingsPivot!C$4:C$35)</f>
        <v>10</v>
      </c>
      <c r="F32" s="3">
        <f>(D32)/(D32+E32)</f>
        <v>0.75</v>
      </c>
      <c r="G32" s="9" cm="1">
        <f t="array" ref="G32">INDEX(Games[PostGmRate], MATCH(1, (Games[Team]=A32)*(Games[Date]=H32), 0))</f>
        <v>1661.1635768859992</v>
      </c>
      <c r="H32" s="1">
        <f>_xlfn.MAXIFS(Games[Date], Games[Team], A32)</f>
        <v>45585</v>
      </c>
    </row>
    <row r="33" spans="1:8" x14ac:dyDescent="0.35">
      <c r="A33" t="s">
        <v>60</v>
      </c>
      <c r="B33">
        <f>_xlfn.XLOOKUP(A33,ConfDiv[TeamID],ConfDiv[Logo])</f>
        <v>0</v>
      </c>
      <c r="C33" t="str">
        <f>_xlfn.XLOOKUP(A33,ConfDiv[TeamID],ConfDiv[TeamName])</f>
        <v>New York Liberty</v>
      </c>
      <c r="D33" s="1">
        <f>_xlfn.XLOOKUP($A33,StandingsPivot!$A$4:$A$35,StandingsPivot!B$4:B$35)</f>
        <v>32</v>
      </c>
      <c r="E33" s="1">
        <f>_xlfn.XLOOKUP($A33,StandingsPivot!$A$4:$A$35,StandingsPivot!C$4:C$35)</f>
        <v>8</v>
      </c>
      <c r="F33" s="3">
        <f>(D33)/(D33+E33)</f>
        <v>0.8</v>
      </c>
      <c r="G33" s="9" cm="1">
        <f t="array" ref="G33">INDEX(Games[PostGmRate], MATCH(1, (Games[Team]=A33)*(Games[Date]=H33), 0))</f>
        <v>1744.757584780554</v>
      </c>
      <c r="H33" s="1">
        <f>_xlfn.MAXIFS(Games[Date], Games[Team], A33)</f>
        <v>45585</v>
      </c>
    </row>
    <row r="34" spans="1:8" x14ac:dyDescent="0.35">
      <c r="A34" t="s">
        <v>40</v>
      </c>
      <c r="B34">
        <f>_xlfn.XLOOKUP(A34,ConfDiv[TeamID],ConfDiv[Logo])</f>
        <v>0</v>
      </c>
      <c r="C34" t="str">
        <f>_xlfn.XLOOKUP(A34,ConfDiv[TeamID],ConfDiv[TeamName])</f>
        <v>Phoenix Mercury</v>
      </c>
      <c r="D34" s="1">
        <f>_xlfn.XLOOKUP($A34,StandingsPivot!$A$4:$A$35,StandingsPivot!B$4:B$35)</f>
        <v>19</v>
      </c>
      <c r="E34" s="1">
        <f>_xlfn.XLOOKUP($A34,StandingsPivot!$A$4:$A$35,StandingsPivot!C$4:C$35)</f>
        <v>21</v>
      </c>
      <c r="F34" s="3">
        <f>(D34)/(D34+E34)</f>
        <v>0.47499999999999998</v>
      </c>
      <c r="G34" s="9" cm="1">
        <f t="array" ref="G34">INDEX(Games[PostGmRate], MATCH(1, (Games[Team]=A34)*(Games[Date]=H34), 0))</f>
        <v>1412.2657597664281</v>
      </c>
      <c r="H34" s="1">
        <f>_xlfn.MAXIFS(Games[Date], Games[Team], A34)</f>
        <v>45560</v>
      </c>
    </row>
    <row r="35" spans="1:8" x14ac:dyDescent="0.35">
      <c r="A35" t="s">
        <v>71</v>
      </c>
      <c r="B35">
        <f>_xlfn.XLOOKUP(A35,ConfDiv[TeamID],ConfDiv[Logo])</f>
        <v>0</v>
      </c>
      <c r="C35" t="str">
        <f>_xlfn.XLOOKUP(A35,ConfDiv[TeamID],ConfDiv[TeamName])</f>
        <v>Seattle Storm</v>
      </c>
      <c r="D35" s="1">
        <f>_xlfn.XLOOKUP($A35,StandingsPivot!$A$4:$A$35,StandingsPivot!B$4:B$35)</f>
        <v>25</v>
      </c>
      <c r="E35" s="1">
        <f>_xlfn.XLOOKUP($A35,StandingsPivot!$A$4:$A$35,StandingsPivot!C$4:C$35)</f>
        <v>15</v>
      </c>
      <c r="F35" s="3">
        <f>(D35)/(D35+E35)</f>
        <v>0.625</v>
      </c>
      <c r="G35" s="9" cm="1">
        <f t="array" ref="G35">INDEX(Games[PostGmRate], MATCH(1, (Games[Team]=A35)*(Games[Date]=H35), 0))</f>
        <v>1551.5379890702613</v>
      </c>
      <c r="H35" s="1">
        <f>_xlfn.MAXIFS(Games[Date], Games[Team], A35)</f>
        <v>45559</v>
      </c>
    </row>
    <row r="36" spans="1:8" x14ac:dyDescent="0.35">
      <c r="A36" t="s">
        <v>65</v>
      </c>
      <c r="B36">
        <f>_xlfn.XLOOKUP(A36,ConfDiv[TeamID],ConfDiv[Logo])</f>
        <v>0</v>
      </c>
      <c r="C36" t="str">
        <f>_xlfn.XLOOKUP(A36,ConfDiv[TeamID],ConfDiv[TeamName])</f>
        <v>Washington Mystics</v>
      </c>
      <c r="D36" s="1">
        <f>_xlfn.XLOOKUP($A36,StandingsPivot!$A$4:$A$35,StandingsPivot!B$4:B$35)</f>
        <v>14</v>
      </c>
      <c r="E36" s="1">
        <f>_xlfn.XLOOKUP($A36,StandingsPivot!$A$4:$A$35,StandingsPivot!C$4:C$35)</f>
        <v>26</v>
      </c>
      <c r="F36" s="3">
        <f>(D36)/(D36+E36)</f>
        <v>0.35</v>
      </c>
      <c r="G36" s="9" cm="1">
        <f t="array" ref="G36">INDEX(Games[PostGmRate], MATCH(1, (Games[Team]=A36)*(Games[Date]=H36), 0))</f>
        <v>1454.4420188365937</v>
      </c>
      <c r="H36" s="1">
        <f>_xlfn.MAXIFS(Games[Date], Games[Team], A36)</f>
        <v>45554</v>
      </c>
    </row>
  </sheetData>
  <sortState xmlns:xlrd2="http://schemas.microsoft.com/office/spreadsheetml/2017/richdata2" ref="A25:G36">
    <sortCondition ref="A25:A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15</v>
      </c>
      <c r="C4" s="2">
        <v>25</v>
      </c>
      <c r="D4" s="2">
        <v>0</v>
      </c>
      <c r="E4" s="2">
        <v>2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13</v>
      </c>
      <c r="C5" s="2">
        <v>27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28</v>
      </c>
      <c r="C6" s="2">
        <v>12</v>
      </c>
      <c r="D6" s="2">
        <v>2</v>
      </c>
      <c r="E6" s="2">
        <v>0</v>
      </c>
      <c r="F6" s="2">
        <v>2</v>
      </c>
      <c r="G6" s="2">
        <v>3</v>
      </c>
      <c r="H6" s="2">
        <v>0</v>
      </c>
      <c r="I6" s="2">
        <v>0</v>
      </c>
      <c r="J6" s="2">
        <v>0</v>
      </c>
      <c r="K6" s="2">
        <v>0</v>
      </c>
    </row>
    <row r="7" spans="1:11" x14ac:dyDescent="0.35">
      <c r="A7" s="6" t="s">
        <v>85</v>
      </c>
      <c r="B7" s="2">
        <v>9</v>
      </c>
      <c r="C7" s="2">
        <v>31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69</v>
      </c>
      <c r="B8" s="2">
        <v>20</v>
      </c>
      <c r="C8" s="2">
        <v>20</v>
      </c>
      <c r="D8" s="2">
        <v>0</v>
      </c>
      <c r="E8" s="2">
        <v>2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63</v>
      </c>
      <c r="B9" s="2">
        <v>8</v>
      </c>
      <c r="C9" s="2">
        <v>32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86</v>
      </c>
      <c r="B10" s="2">
        <v>27</v>
      </c>
      <c r="C10" s="2">
        <v>13</v>
      </c>
      <c r="D10" s="2">
        <v>2</v>
      </c>
      <c r="E10" s="2">
        <v>0</v>
      </c>
      <c r="F10" s="2">
        <v>1</v>
      </c>
      <c r="G10" s="2">
        <v>3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35">
      <c r="A11" s="6" t="s">
        <v>67</v>
      </c>
      <c r="B11" s="2">
        <v>30</v>
      </c>
      <c r="C11" s="2">
        <v>10</v>
      </c>
      <c r="D11" s="2">
        <v>2</v>
      </c>
      <c r="E11" s="2">
        <v>0</v>
      </c>
      <c r="F11" s="2">
        <v>3</v>
      </c>
      <c r="G11" s="2">
        <v>2</v>
      </c>
      <c r="H11" s="2">
        <v>2</v>
      </c>
      <c r="I11" s="2">
        <v>3</v>
      </c>
      <c r="J11" s="2">
        <v>0</v>
      </c>
      <c r="K11" s="2">
        <v>0</v>
      </c>
    </row>
    <row r="12" spans="1:11" x14ac:dyDescent="0.35">
      <c r="A12" s="6" t="s">
        <v>60</v>
      </c>
      <c r="B12" s="2">
        <v>32</v>
      </c>
      <c r="C12" s="2">
        <v>8</v>
      </c>
      <c r="D12" s="2">
        <v>2</v>
      </c>
      <c r="E12" s="2">
        <v>0</v>
      </c>
      <c r="F12" s="2">
        <v>3</v>
      </c>
      <c r="G12" s="2">
        <v>1</v>
      </c>
      <c r="H12" s="2">
        <v>3</v>
      </c>
      <c r="I12" s="2">
        <v>2</v>
      </c>
      <c r="J12" s="2">
        <v>0</v>
      </c>
      <c r="K12" s="2">
        <v>0</v>
      </c>
    </row>
    <row r="13" spans="1:11" x14ac:dyDescent="0.35">
      <c r="A13" s="6" t="s">
        <v>40</v>
      </c>
      <c r="B13" s="2">
        <v>19</v>
      </c>
      <c r="C13" s="2">
        <v>21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71</v>
      </c>
      <c r="B14" s="2">
        <v>25</v>
      </c>
      <c r="C14" s="2">
        <v>15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5">
      <c r="A15" s="6" t="s">
        <v>65</v>
      </c>
      <c r="B15" s="2">
        <v>14</v>
      </c>
      <c r="C15" s="2">
        <v>26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18</v>
      </c>
      <c r="B16" s="2">
        <v>240</v>
      </c>
      <c r="C16" s="2">
        <v>240</v>
      </c>
      <c r="D16" s="2">
        <v>8</v>
      </c>
      <c r="E16" s="2">
        <v>8</v>
      </c>
      <c r="F16" s="2">
        <v>9</v>
      </c>
      <c r="G16" s="2">
        <v>9</v>
      </c>
      <c r="H16" s="2">
        <v>5</v>
      </c>
      <c r="I16" s="2">
        <v>5</v>
      </c>
      <c r="J16" s="2">
        <v>0</v>
      </c>
      <c r="K16" s="2">
        <v>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56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>
        <v>41</v>
      </c>
    </row>
    <row r="45" spans="1:1" x14ac:dyDescent="0.35">
      <c r="A45" s="11">
        <v>42</v>
      </c>
    </row>
    <row r="46" spans="1:1" x14ac:dyDescent="0.35">
      <c r="A46" s="11">
        <v>43</v>
      </c>
    </row>
    <row r="47" spans="1:1" x14ac:dyDescent="0.35">
      <c r="A47" s="11">
        <v>44</v>
      </c>
    </row>
    <row r="48" spans="1:1" x14ac:dyDescent="0.35">
      <c r="A48" s="11">
        <v>45</v>
      </c>
    </row>
    <row r="49" spans="1:1" x14ac:dyDescent="0.35">
      <c r="A49" s="11">
        <v>46</v>
      </c>
    </row>
    <row r="50" spans="1:1" x14ac:dyDescent="0.35">
      <c r="A50" s="11">
        <v>47</v>
      </c>
    </row>
    <row r="51" spans="1:1" x14ac:dyDescent="0.35">
      <c r="A51" s="11">
        <v>48</v>
      </c>
    </row>
    <row r="52" spans="1:1" x14ac:dyDescent="0.35">
      <c r="A52" s="11">
        <v>49</v>
      </c>
    </row>
    <row r="53" spans="1:1" x14ac:dyDescent="0.35">
      <c r="A53" s="11">
        <v>50</v>
      </c>
    </row>
    <row r="54" spans="1:1" x14ac:dyDescent="0.35">
      <c r="A54" s="11">
        <v>51</v>
      </c>
    </row>
    <row r="55" spans="1:1" x14ac:dyDescent="0.35">
      <c r="A55" s="11">
        <v>52</v>
      </c>
    </row>
    <row r="56" spans="1:1" x14ac:dyDescent="0.35">
      <c r="A56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525"/>
  <sheetViews>
    <sheetView workbookViewId="0"/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45426</v>
      </c>
      <c r="B2" s="2">
        <v>2024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69</v>
      </c>
      <c r="G2" s="1" t="s">
        <v>74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1428.7093324074958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1548.9282798296449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0.23584807793350882</v>
      </c>
      <c r="R2" s="1">
        <v>71</v>
      </c>
      <c r="S2" s="1">
        <v>92</v>
      </c>
      <c r="T2" s="1">
        <v>0</v>
      </c>
      <c r="U2" s="1">
        <f>Games[[#This Row],[PointsFor]]-Games[[#This Row],[PointsAgainst]]</f>
        <v>-21</v>
      </c>
      <c r="V2" s="1">
        <f>IF(Games[[#This Row],[MOV]]&gt;0,1,IF(Games[[#This Row],[MOV]]=0,0.5,0))</f>
        <v>0</v>
      </c>
      <c r="W2" s="4">
        <f>((ABS(Games[[#This Row],[MOV]])+5)^0.6)/(12+0.01*(ABS(Games[[#This Row],[PreGmRate]]-Games[[#This Row],[OppPreGmRate]])))*IF(Games[[#This Row],[OT]]=1,0.9,1)</f>
        <v>0.53498061719534085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-9.5703093000428776</v>
      </c>
      <c r="AB2" s="4">
        <f>Games[[#This Row],[PreGmRate]]+Games[[#This Row],[RatingChange]]</f>
        <v>1419.1390231074529</v>
      </c>
      <c r="AC2" s="2">
        <f>IF(Games[[#This Row],[Type]]="R",IF(Games[[#This Row],[Result]]&gt;0.5,1,0),0)</f>
        <v>0</v>
      </c>
      <c r="AD2" s="2">
        <f>IF(Games[[#This Row],[Type]]="R",IF(Games[[#This Row],[Result]]&lt;0.5,1,0),0)</f>
        <v>1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45426</v>
      </c>
      <c r="B3" s="2">
        <v>2024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74</v>
      </c>
      <c r="G3" s="1" t="s">
        <v>69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1548.9282798296449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1428.7093324074958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0.76415192206649118</v>
      </c>
      <c r="R3" s="1">
        <v>92</v>
      </c>
      <c r="S3" s="1">
        <v>71</v>
      </c>
      <c r="T3" s="1">
        <v>0</v>
      </c>
      <c r="U3" s="1">
        <f>Games[[#This Row],[PointsFor]]-Games[[#This Row],[PointsAgainst]]</f>
        <v>21</v>
      </c>
      <c r="V3" s="1">
        <f>IF(Games[[#This Row],[MOV]]&gt;0,1,IF(Games[[#This Row],[MOV]]=0,0.5,0))</f>
        <v>1</v>
      </c>
      <c r="W3" s="4">
        <f>((ABS(Games[[#This Row],[MOV]])+5)^0.6)/(12+0.01*(ABS(Games[[#This Row],[PreGmRate]]-Games[[#This Row],[OppPreGmRate]])))*IF(Games[[#This Row],[OT]]=1,0.9,1)</f>
        <v>0.53498061719534085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9.5703093000428776</v>
      </c>
      <c r="AB3" s="4">
        <f>Games[[#This Row],[PreGmRate]]+Games[[#This Row],[RatingChange]]</f>
        <v>1558.4985891296878</v>
      </c>
      <c r="AC3" s="2">
        <f>IF(Games[[#This Row],[Type]]="R",IF(Games[[#This Row],[Result]]&gt;0.5,1,0),0)</f>
        <v>1</v>
      </c>
      <c r="AD3" s="2">
        <f>IF(Games[[#This Row],[Type]]="R",IF(Games[[#This Row],[Result]]&lt;0.5,1,0),0)</f>
        <v>0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45426</v>
      </c>
      <c r="B4" s="2">
        <v>2024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40</v>
      </c>
      <c r="G4" s="1" t="s">
        <v>86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1400.9722042267863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1642.4669269748367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0.13311438486296415</v>
      </c>
      <c r="R4" s="1">
        <v>80</v>
      </c>
      <c r="S4" s="1">
        <v>89</v>
      </c>
      <c r="T4" s="1">
        <v>0</v>
      </c>
      <c r="U4" s="1">
        <f>Games[[#This Row],[PointsFor]]-Games[[#This Row],[PointsAgainst]]</f>
        <v>-9</v>
      </c>
      <c r="V4" s="1">
        <f>IF(Games[[#This Row],[MOV]]&gt;0,1,IF(Games[[#This Row],[MOV]]=0,0.5,0))</f>
        <v>0</v>
      </c>
      <c r="W4" s="4">
        <f>((ABS(Games[[#This Row],[MOV]])+5)^0.6)/(12+0.01*(ABS(Games[[#This Row],[PreGmRate]]-Games[[#This Row],[OppPreGmRate]])))*IF(Games[[#This Row],[OT]]=1,0.9,1)</f>
        <v>0.3379588040724586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-3.4122774750507849</v>
      </c>
      <c r="AB4" s="4">
        <f>Games[[#This Row],[PreGmRate]]+Games[[#This Row],[RatingChange]]</f>
        <v>1397.5599267517355</v>
      </c>
      <c r="AC4" s="2">
        <f>IF(Games[[#This Row],[Type]]="R",IF(Games[[#This Row],[Result]]&gt;0.5,1,0),0)</f>
        <v>0</v>
      </c>
      <c r="AD4" s="2">
        <f>IF(Games[[#This Row],[Type]]="R",IF(Games[[#This Row],[Result]]&lt;0.5,1,0),0)</f>
        <v>1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45426</v>
      </c>
      <c r="B5" s="2">
        <v>2024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86</v>
      </c>
      <c r="G5" s="1" t="s">
        <v>40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1642.4669269748367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1400.9722042267863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0.86688561513703588</v>
      </c>
      <c r="R5" s="1">
        <v>89</v>
      </c>
      <c r="S5" s="1">
        <v>80</v>
      </c>
      <c r="T5" s="1">
        <v>0</v>
      </c>
      <c r="U5" s="1">
        <f>Games[[#This Row],[PointsFor]]-Games[[#This Row],[PointsAgainst]]</f>
        <v>9</v>
      </c>
      <c r="V5" s="1">
        <f>IF(Games[[#This Row],[MOV]]&gt;0,1,IF(Games[[#This Row],[MOV]]=0,0.5,0))</f>
        <v>1</v>
      </c>
      <c r="W5" s="4">
        <f>((ABS(Games[[#This Row],[MOV]])+5)^0.6)/(12+0.01*(ABS(Games[[#This Row],[PreGmRate]]-Games[[#This Row],[OppPreGmRate]])))*IF(Games[[#This Row],[OT]]=1,0.9,1)</f>
        <v>0.3379588040724586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3.412277475050784</v>
      </c>
      <c r="AB5" s="4">
        <f>Games[[#This Row],[PreGmRate]]+Games[[#This Row],[RatingChange]]</f>
        <v>1645.8792044498875</v>
      </c>
      <c r="AC5" s="2">
        <f>IF(Games[[#This Row],[Type]]="R",IF(Games[[#This Row],[Result]]&gt;0.5,1,0),0)</f>
        <v>1</v>
      </c>
      <c r="AD5" s="2">
        <f>IF(Games[[#This Row],[Type]]="R",IF(Games[[#This Row],[Result]]&lt;0.5,1,0),0)</f>
        <v>0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45426</v>
      </c>
      <c r="B6" s="2">
        <v>2024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67</v>
      </c>
      <c r="G6" s="1" t="s">
        <v>71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1470.8350225845936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1445.945211461845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0.41574496124224042</v>
      </c>
      <c r="R6" s="1">
        <v>83</v>
      </c>
      <c r="S6" s="1">
        <v>70</v>
      </c>
      <c r="T6" s="1">
        <v>0</v>
      </c>
      <c r="U6" s="1">
        <f>Games[[#This Row],[PointsFor]]-Games[[#This Row],[PointsAgainst]]</f>
        <v>13</v>
      </c>
      <c r="V6" s="1">
        <f>IF(Games[[#This Row],[MOV]]&gt;0,1,IF(Games[[#This Row],[MOV]]=0,0.5,0))</f>
        <v>1</v>
      </c>
      <c r="W6" s="4">
        <f>((ABS(Games[[#This Row],[MOV]])+5)^0.6)/(12+0.01*(ABS(Games[[#This Row],[PreGmRate]]-Games[[#This Row],[OppPreGmRate]])))*IF(Games[[#This Row],[OT]]=1,0.9,1)</f>
        <v>0.46245180720192613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20.493896219286103</v>
      </c>
      <c r="AB6" s="4">
        <f>Games[[#This Row],[PreGmRate]]+Games[[#This Row],[RatingChange]]</f>
        <v>1491.3289188038798</v>
      </c>
      <c r="AC6" s="2">
        <f>IF(Games[[#This Row],[Type]]="R",IF(Games[[#This Row],[Result]]&gt;0.5,1,0),0)</f>
        <v>1</v>
      </c>
      <c r="AD6" s="2">
        <f>IF(Games[[#This Row],[Type]]="R",IF(Games[[#This Row],[Result]]&lt;0.5,1,0),0)</f>
        <v>0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45426</v>
      </c>
      <c r="B7" s="2">
        <v>2024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71</v>
      </c>
      <c r="G7" s="1" t="s">
        <v>67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1445.945211461845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1470.8350225845936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0.58425503875775964</v>
      </c>
      <c r="R7" s="1">
        <v>70</v>
      </c>
      <c r="S7" s="1">
        <v>83</v>
      </c>
      <c r="T7" s="1">
        <v>0</v>
      </c>
      <c r="U7" s="1">
        <f>Games[[#This Row],[PointsFor]]-Games[[#This Row],[PointsAgainst]]</f>
        <v>-13</v>
      </c>
      <c r="V7" s="1">
        <f>IF(Games[[#This Row],[MOV]]&gt;0,1,IF(Games[[#This Row],[MOV]]=0,0.5,0))</f>
        <v>0</v>
      </c>
      <c r="W7" s="4">
        <f>((ABS(Games[[#This Row],[MOV]])+5)^0.6)/(12+0.01*(ABS(Games[[#This Row],[PreGmRate]]-Games[[#This Row],[OppPreGmRate]])))*IF(Games[[#This Row],[OT]]=1,0.9,1)</f>
        <v>0.46245180720192613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-20.493896219286103</v>
      </c>
      <c r="AB7" s="4">
        <f>Games[[#This Row],[PreGmRate]]+Games[[#This Row],[RatingChange]]</f>
        <v>1425.4513152425588</v>
      </c>
      <c r="AC7" s="2">
        <f>IF(Games[[#This Row],[Type]]="R",IF(Games[[#This Row],[Result]]&gt;0.5,1,0),0)</f>
        <v>0</v>
      </c>
      <c r="AD7" s="2">
        <f>IF(Games[[#This Row],[Type]]="R",IF(Games[[#This Row],[Result]]&lt;0.5,1,0),0)</f>
        <v>1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45426</v>
      </c>
      <c r="B8" s="2">
        <v>2024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60</v>
      </c>
      <c r="G8" s="1" t="s">
        <v>65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0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1605.7232794358938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1486.23126744808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0.55090017811575442</v>
      </c>
      <c r="R8" s="1">
        <v>85</v>
      </c>
      <c r="S8" s="1">
        <v>80</v>
      </c>
      <c r="T8" s="1">
        <v>0</v>
      </c>
      <c r="U8" s="1">
        <f>Games[[#This Row],[PointsFor]]-Games[[#This Row],[PointsAgainst]]</f>
        <v>5</v>
      </c>
      <c r="V8" s="1">
        <f>IF(Games[[#This Row],[MOV]]&gt;0,1,IF(Games[[#This Row],[MOV]]=0,0.5,0))</f>
        <v>1</v>
      </c>
      <c r="W8" s="4">
        <f>((ABS(Games[[#This Row],[MOV]])+5)^0.6)/(12+0.01*(ABS(Games[[#This Row],[PreGmRate]]-Games[[#This Row],[OppPreGmRate]])))*IF(Games[[#This Row],[OT]]=1,0.9,1)</f>
        <v>0.30171245216842885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10.277599796932261</v>
      </c>
      <c r="AB8" s="4">
        <f>Games[[#This Row],[PreGmRate]]+Games[[#This Row],[RatingChange]]</f>
        <v>1616.000879232826</v>
      </c>
      <c r="AC8" s="2">
        <f>IF(Games[[#This Row],[Type]]="R",IF(Games[[#This Row],[Result]]&gt;0.5,1,0),0)</f>
        <v>1</v>
      </c>
      <c r="AD8" s="2">
        <f>IF(Games[[#This Row],[Type]]="R",IF(Games[[#This Row],[Result]]&lt;0.5,1,0),0)</f>
        <v>0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45426</v>
      </c>
      <c r="B9" s="2">
        <v>2024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65</v>
      </c>
      <c r="G9" s="1" t="s">
        <v>60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0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1486.23126744808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1605.7232794358938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0.44909982188424563</v>
      </c>
      <c r="R9" s="1">
        <v>80</v>
      </c>
      <c r="S9" s="1">
        <v>85</v>
      </c>
      <c r="T9" s="1">
        <v>0</v>
      </c>
      <c r="U9" s="1">
        <f>Games[[#This Row],[PointsFor]]-Games[[#This Row],[PointsAgainst]]</f>
        <v>-5</v>
      </c>
      <c r="V9" s="1">
        <f>IF(Games[[#This Row],[MOV]]&gt;0,1,IF(Games[[#This Row],[MOV]]=0,0.5,0))</f>
        <v>0</v>
      </c>
      <c r="W9" s="4">
        <f>((ABS(Games[[#This Row],[MOV]])+5)^0.6)/(12+0.01*(ABS(Games[[#This Row],[PreGmRate]]-Games[[#This Row],[OppPreGmRate]])))*IF(Games[[#This Row],[OT]]=1,0.9,1)</f>
        <v>0.30171245216842885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-10.277599796932263</v>
      </c>
      <c r="AB9" s="4">
        <f>Games[[#This Row],[PreGmRate]]+Games[[#This Row],[RatingChange]]</f>
        <v>1475.9536676511477</v>
      </c>
      <c r="AC9" s="2">
        <f>IF(Games[[#This Row],[Type]]="R",IF(Games[[#This Row],[Result]]&gt;0.5,1,0),0)</f>
        <v>0</v>
      </c>
      <c r="AD9" s="2">
        <f>IF(Games[[#This Row],[Type]]="R",IF(Games[[#This Row],[Result]]&lt;0.5,1,0),0)</f>
        <v>1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45427</v>
      </c>
      <c r="B10" s="2">
        <v>2024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75</v>
      </c>
      <c r="G10" s="1" t="s">
        <v>85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1499.9999954083705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1531.0743140656996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0.34019597133592205</v>
      </c>
      <c r="R10" s="1">
        <v>79</v>
      </c>
      <c r="S10" s="1">
        <v>87</v>
      </c>
      <c r="T10" s="1">
        <v>0</v>
      </c>
      <c r="U10" s="1">
        <f>Games[[#This Row],[PointsFor]]-Games[[#This Row],[PointsAgainst]]</f>
        <v>-8</v>
      </c>
      <c r="V10" s="1">
        <f>IF(Games[[#This Row],[MOV]]&gt;0,1,IF(Games[[#This Row],[MOV]]=0,0.5,0))</f>
        <v>0</v>
      </c>
      <c r="W10" s="4">
        <f>((ABS(Games[[#This Row],[MOV]])+5)^0.6)/(12+0.01*(ABS(Games[[#This Row],[PreGmRate]]-Games[[#This Row],[OppPreGmRate]])))*IF(Games[[#This Row],[OT]]=1,0.9,1)</f>
        <v>0.37851381914280047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-9.7671192724638409</v>
      </c>
      <c r="AB10" s="4">
        <f>Games[[#This Row],[PreGmRate]]+Games[[#This Row],[RatingChange]]</f>
        <v>1490.2328761359067</v>
      </c>
      <c r="AC10" s="2">
        <f>IF(Games[[#This Row],[Type]]="R",IF(Games[[#This Row],[Result]]&gt;0.5,1,0),0)</f>
        <v>0</v>
      </c>
      <c r="AD10" s="2">
        <f>IF(Games[[#This Row],[Type]]="R",IF(Games[[#This Row],[Result]]&lt;0.5,1,0),0)</f>
        <v>1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45427</v>
      </c>
      <c r="B11" s="2">
        <v>2024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85</v>
      </c>
      <c r="G11" s="1" t="s">
        <v>75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1531.0743140656996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1499.9999954083705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0.65980402866407795</v>
      </c>
      <c r="R11" s="1">
        <v>87</v>
      </c>
      <c r="S11" s="1">
        <v>79</v>
      </c>
      <c r="T11" s="1">
        <v>0</v>
      </c>
      <c r="U11" s="1">
        <f>Games[[#This Row],[PointsFor]]-Games[[#This Row],[PointsAgainst]]</f>
        <v>8</v>
      </c>
      <c r="V11" s="1">
        <f>IF(Games[[#This Row],[MOV]]&gt;0,1,IF(Games[[#This Row],[MOV]]=0,0.5,0))</f>
        <v>1</v>
      </c>
      <c r="W11" s="4">
        <f>((ABS(Games[[#This Row],[MOV]])+5)^0.6)/(12+0.01*(ABS(Games[[#This Row],[PreGmRate]]-Games[[#This Row],[OppPreGmRate]])))*IF(Games[[#This Row],[OT]]=1,0.9,1)</f>
        <v>0.37851381914280047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9.7671192724638409</v>
      </c>
      <c r="AB11" s="4">
        <f>Games[[#This Row],[PreGmRate]]+Games[[#This Row],[RatingChange]]</f>
        <v>1540.8414333381634</v>
      </c>
      <c r="AC11" s="2">
        <f>IF(Games[[#This Row],[Type]]="R",IF(Games[[#This Row],[Result]]&gt;0.5,1,0),0)</f>
        <v>1</v>
      </c>
      <c r="AD11" s="2">
        <f>IF(Games[[#This Row],[Type]]="R",IF(Games[[#This Row],[Result]]&lt;0.5,1,0),0)</f>
        <v>0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45427</v>
      </c>
      <c r="B12" s="2">
        <v>2024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77</v>
      </c>
      <c r="G12" s="1" t="s">
        <v>63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1468.3371032607965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1471.156178602092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0.37759453981839119</v>
      </c>
      <c r="R12" s="1">
        <v>92</v>
      </c>
      <c r="S12" s="1">
        <v>81</v>
      </c>
      <c r="T12" s="1">
        <v>0</v>
      </c>
      <c r="U12" s="1">
        <f>Games[[#This Row],[PointsFor]]-Games[[#This Row],[PointsAgainst]]</f>
        <v>11</v>
      </c>
      <c r="V12" s="1">
        <f>IF(Games[[#This Row],[MOV]]&gt;0,1,IF(Games[[#This Row],[MOV]]=0,0.5,0))</f>
        <v>1</v>
      </c>
      <c r="W12" s="4">
        <f>((ABS(Games[[#This Row],[MOV]])+5)^0.6)/(12+0.01*(ABS(Games[[#This Row],[PreGmRate]]-Games[[#This Row],[OppPreGmRate]])))*IF(Games[[#This Row],[OT]]=1,0.9,1)</f>
        <v>0.4388051163550058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20.715750023442364</v>
      </c>
      <c r="AB12" s="4">
        <f>Games[[#This Row],[PreGmRate]]+Games[[#This Row],[RatingChange]]</f>
        <v>1489.0528532842388</v>
      </c>
      <c r="AC12" s="2">
        <f>IF(Games[[#This Row],[Type]]="R",IF(Games[[#This Row],[Result]]&gt;0.5,1,0),0)</f>
        <v>1</v>
      </c>
      <c r="AD12" s="2">
        <f>IF(Games[[#This Row],[Type]]="R",IF(Games[[#This Row],[Result]]&lt;0.5,1,0),0)</f>
        <v>0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45427</v>
      </c>
      <c r="B13" s="2">
        <v>2024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63</v>
      </c>
      <c r="G13" s="1" t="s">
        <v>77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1471.156178602092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1468.3371032607965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0.62240546018160869</v>
      </c>
      <c r="R13" s="1">
        <v>81</v>
      </c>
      <c r="S13" s="1">
        <v>92</v>
      </c>
      <c r="T13" s="1">
        <v>0</v>
      </c>
      <c r="U13" s="1">
        <f>Games[[#This Row],[PointsFor]]-Games[[#This Row],[PointsAgainst]]</f>
        <v>-11</v>
      </c>
      <c r="V13" s="1">
        <f>IF(Games[[#This Row],[MOV]]&gt;0,1,IF(Games[[#This Row],[MOV]]=0,0.5,0))</f>
        <v>0</v>
      </c>
      <c r="W13" s="4">
        <f>((ABS(Games[[#This Row],[MOV]])+5)^0.6)/(12+0.01*(ABS(Games[[#This Row],[PreGmRate]]-Games[[#This Row],[OppPreGmRate]])))*IF(Games[[#This Row],[OT]]=1,0.9,1)</f>
        <v>0.4388051163550058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-20.715750023442361</v>
      </c>
      <c r="AB13" s="4">
        <f>Games[[#This Row],[PreGmRate]]+Games[[#This Row],[RatingChange]]</f>
        <v>1450.4404285786497</v>
      </c>
      <c r="AC13" s="2">
        <f>IF(Games[[#This Row],[Type]]="R",IF(Games[[#This Row],[Result]]&gt;0.5,1,0),0)</f>
        <v>0</v>
      </c>
      <c r="AD13" s="2">
        <f>IF(Games[[#This Row],[Type]]="R",IF(Games[[#This Row],[Result]]&lt;0.5,1,0),0)</f>
        <v>1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45428</v>
      </c>
      <c r="B14" s="2">
        <v>2024</v>
      </c>
      <c r="C14" s="2">
        <f>COUNTIFS(Games[Team],Games[[#This Row],[Team]],Games[Season],Games[[#This Row],[Season]],Games[Date],"&lt;=" &amp; Games[[#This Row],[Date]])</f>
        <v>2</v>
      </c>
      <c r="D14" s="2" t="s">
        <v>79</v>
      </c>
      <c r="E14" s="2" t="s">
        <v>80</v>
      </c>
      <c r="F14" s="1" t="s">
        <v>60</v>
      </c>
      <c r="G14" s="1" t="s">
        <v>69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" s="2">
        <f>Games[[#This Row],[DaysOff]]-Games[[#This Row],[OppDaysOff]]</f>
        <v>0</v>
      </c>
      <c r="L14" s="2">
        <f>Games[[#This Row],[OppDaysOff]]-Games[[#This Row],[DaysOff]]</f>
        <v>0</v>
      </c>
      <c r="M14" s="1">
        <f>MAX(-16, MIN(16, Games[[#This Row],[RestDiff]]*8))</f>
        <v>0</v>
      </c>
      <c r="N14" s="1">
        <f>MAX(-16, MIN(16, Games[[#This Row],[OppRestDiff]]*8))</f>
        <v>0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1616.000879232826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1419.1390231074529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0.65693949011703812</v>
      </c>
      <c r="R14" s="1">
        <v>102</v>
      </c>
      <c r="S14" s="1">
        <v>66</v>
      </c>
      <c r="T14" s="1">
        <v>0</v>
      </c>
      <c r="U14" s="1">
        <f>Games[[#This Row],[PointsFor]]-Games[[#This Row],[PointsAgainst]]</f>
        <v>36</v>
      </c>
      <c r="V14" s="1">
        <f>IF(Games[[#This Row],[MOV]]&gt;0,1,IF(Games[[#This Row],[MOV]]=0,0.5,0))</f>
        <v>1</v>
      </c>
      <c r="W14" s="4">
        <f>((ABS(Games[[#This Row],[MOV]])+5)^0.6)/(12+0.01*(ABS(Games[[#This Row],[PreGmRate]]-Games[[#This Row],[OppPreGmRate]])))*IF(Games[[#This Row],[OT]]=1,0.9,1)</f>
        <v>0.6645334641103936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" s="9">
        <f>MAX(kmin, kmax - 0.15 * MIN(Games[[#This Row],[GamesPlayed]], 82))</f>
        <v>75.7</v>
      </c>
      <c r="Z14" s="4">
        <f>Games[[#This Row],[K]]*Games[[#This Row],[POMult]]</f>
        <v>75.7</v>
      </c>
      <c r="AA14" s="4">
        <f>(Games[[#This Row],[Keff]]*Games[[#This Row],[MOVMult]])*(Games[[#This Row],[Result]]-Games[[#This Row],[ExpectedWin%]])</f>
        <v>17.257721809722597</v>
      </c>
      <c r="AB14" s="4">
        <f>Games[[#This Row],[PreGmRate]]+Games[[#This Row],[RatingChange]]</f>
        <v>1633.2586010425487</v>
      </c>
      <c r="AC14" s="2">
        <f>IF(Games[[#This Row],[Type]]="R",IF(Games[[#This Row],[Result]]&gt;0.5,1,0),0)</f>
        <v>1</v>
      </c>
      <c r="AD14" s="2">
        <f>IF(Games[[#This Row],[Type]]="R",IF(Games[[#This Row],[Result]]&lt;0.5,1,0),0)</f>
        <v>0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45428</v>
      </c>
      <c r="B15" s="2">
        <v>2024</v>
      </c>
      <c r="C15" s="2">
        <f>COUNTIFS(Games[Team],Games[[#This Row],[Team]],Games[Season],Games[[#This Row],[Season]],Games[Date],"&lt;=" &amp; Games[[#This Row],[Date]])</f>
        <v>2</v>
      </c>
      <c r="D15" s="2" t="s">
        <v>79</v>
      </c>
      <c r="E15" s="2" t="s">
        <v>80</v>
      </c>
      <c r="F15" s="1" t="s">
        <v>69</v>
      </c>
      <c r="G15" s="1" t="s">
        <v>60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0</v>
      </c>
      <c r="L15" s="2">
        <f>Games[[#This Row],[OppDaysOff]]-Games[[#This Row],[DaysOff]]</f>
        <v>0</v>
      </c>
      <c r="M15" s="1">
        <f>MAX(-16, MIN(16, Games[[#This Row],[RestDiff]]*8))</f>
        <v>0</v>
      </c>
      <c r="N15" s="1">
        <f>MAX(-16, MIN(16, Games[[#This Row],[OppRestDiff]]*8))</f>
        <v>0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1419.1390231074529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1616.000879232826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0.34306050988296183</v>
      </c>
      <c r="R15" s="1">
        <v>66</v>
      </c>
      <c r="S15" s="1">
        <v>102</v>
      </c>
      <c r="T15" s="1">
        <v>0</v>
      </c>
      <c r="U15" s="1">
        <f>Games[[#This Row],[PointsFor]]-Games[[#This Row],[PointsAgainst]]</f>
        <v>-36</v>
      </c>
      <c r="V15" s="1">
        <f>IF(Games[[#This Row],[MOV]]&gt;0,1,IF(Games[[#This Row],[MOV]]=0,0.5,0))</f>
        <v>0</v>
      </c>
      <c r="W15" s="4">
        <f>((ABS(Games[[#This Row],[MOV]])+5)^0.6)/(12+0.01*(ABS(Games[[#This Row],[PreGmRate]]-Games[[#This Row],[OppPreGmRate]])))*IF(Games[[#This Row],[OT]]=1,0.9,1)</f>
        <v>0.6645334641103936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" s="9">
        <f>MAX(kmin, kmax - 0.15 * MIN(Games[[#This Row],[GamesPlayed]], 82))</f>
        <v>75.7</v>
      </c>
      <c r="Z15" s="4">
        <f>Games[[#This Row],[K]]*Games[[#This Row],[POMult]]</f>
        <v>75.7</v>
      </c>
      <c r="AA15" s="4">
        <f>(Games[[#This Row],[Keff]]*Games[[#This Row],[MOVMult]])*(Games[[#This Row],[Result]]-Games[[#This Row],[ExpectedWin%]])</f>
        <v>-17.257721809722593</v>
      </c>
      <c r="AB15" s="4">
        <f>Games[[#This Row],[PreGmRate]]+Games[[#This Row],[RatingChange]]</f>
        <v>1401.8813012977303</v>
      </c>
      <c r="AC15" s="2">
        <f>IF(Games[[#This Row],[Type]]="R",IF(Games[[#This Row],[Result]]&gt;0.5,1,0),0)</f>
        <v>0</v>
      </c>
      <c r="AD15" s="2">
        <f>IF(Games[[#This Row],[Type]]="R",IF(Games[[#This Row],[Result]]&lt;0.5,1,0),0)</f>
        <v>1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45429</v>
      </c>
      <c r="B16" s="2">
        <v>2024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65</v>
      </c>
      <c r="G16" s="1" t="s">
        <v>74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1475.9536676511477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1558.4985891296878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0.27713662205889494</v>
      </c>
      <c r="R16" s="1">
        <v>77</v>
      </c>
      <c r="S16" s="1">
        <v>84</v>
      </c>
      <c r="T16" s="1">
        <v>0</v>
      </c>
      <c r="U16" s="1">
        <f>Games[[#This Row],[PointsFor]]-Games[[#This Row],[PointsAgainst]]</f>
        <v>-7</v>
      </c>
      <c r="V16" s="1">
        <f>IF(Games[[#This Row],[MOV]]&gt;0,1,IF(Games[[#This Row],[MOV]]=0,0.5,0))</f>
        <v>0</v>
      </c>
      <c r="W16" s="4">
        <f>((ABS(Games[[#This Row],[MOV]])+5)^0.6)/(12+0.01*(ABS(Games[[#This Row],[PreGmRate]]-Games[[#This Row],[OppPreGmRate]])))*IF(Games[[#This Row],[OT]]=1,0.9,1)</f>
        <v>0.34628697954110244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-7.2648384456160082</v>
      </c>
      <c r="AB16" s="4">
        <f>Games[[#This Row],[PreGmRate]]+Games[[#This Row],[RatingChange]]</f>
        <v>1468.6888292055316</v>
      </c>
      <c r="AC16" s="2">
        <f>IF(Games[[#This Row],[Type]]="R",IF(Games[[#This Row],[Result]]&gt;0.5,1,0),0)</f>
        <v>0</v>
      </c>
      <c r="AD16" s="2">
        <f>IF(Games[[#This Row],[Type]]="R",IF(Games[[#This Row],[Result]]&lt;0.5,1,0),0)</f>
        <v>1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45429</v>
      </c>
      <c r="B17" s="2">
        <v>2024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74</v>
      </c>
      <c r="G17" s="1" t="s">
        <v>65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1558.4985891296878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1475.9536676511477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0.722863377941105</v>
      </c>
      <c r="R17" s="1">
        <v>84</v>
      </c>
      <c r="S17" s="1">
        <v>77</v>
      </c>
      <c r="T17" s="1">
        <v>0</v>
      </c>
      <c r="U17" s="1">
        <f>Games[[#This Row],[PointsFor]]-Games[[#This Row],[PointsAgainst]]</f>
        <v>7</v>
      </c>
      <c r="V17" s="1">
        <f>IF(Games[[#This Row],[MOV]]&gt;0,1,IF(Games[[#This Row],[MOV]]=0,0.5,0))</f>
        <v>1</v>
      </c>
      <c r="W17" s="4">
        <f>((ABS(Games[[#This Row],[MOV]])+5)^0.6)/(12+0.01*(ABS(Games[[#This Row],[PreGmRate]]-Games[[#This Row],[OppPreGmRate]])))*IF(Games[[#This Row],[OT]]=1,0.9,1)</f>
        <v>0.34628697954110244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7.26483844561601</v>
      </c>
      <c r="AB17" s="4">
        <f>Games[[#This Row],[PreGmRate]]+Games[[#This Row],[RatingChange]]</f>
        <v>1565.7634275753039</v>
      </c>
      <c r="AC17" s="2">
        <f>IF(Games[[#This Row],[Type]]="R",IF(Games[[#This Row],[Result]]&gt;0.5,1,0),0)</f>
        <v>1</v>
      </c>
      <c r="AD17" s="2">
        <f>IF(Games[[#This Row],[Type]]="R",IF(Games[[#This Row],[Result]]&lt;0.5,1,0),0)</f>
        <v>0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45429</v>
      </c>
      <c r="B18" s="2">
        <v>2024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71</v>
      </c>
      <c r="G18" s="1" t="s">
        <v>67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" s="2">
        <f>Games[[#This Row],[DaysOff]]-Games[[#This Row],[OppDaysOff]]</f>
        <v>0</v>
      </c>
      <c r="L18" s="2">
        <f>Games[[#This Row],[OppDaysOff]]-Games[[#This Row],[DaysOff]]</f>
        <v>0</v>
      </c>
      <c r="M18" s="1">
        <f>MAX(-16, MIN(16, Games[[#This Row],[RestDiff]]*8))</f>
        <v>0</v>
      </c>
      <c r="N18" s="1">
        <f>MAX(-16, MIN(16, Games[[#This Row],[OppRestDiff]]*8))</f>
        <v>0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1425.4513152425588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1491.3289188038798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0.29676201534006647</v>
      </c>
      <c r="R18" s="1">
        <v>93</v>
      </c>
      <c r="S18" s="1">
        <v>102</v>
      </c>
      <c r="T18" s="1">
        <v>1</v>
      </c>
      <c r="U18" s="1">
        <f>Games[[#This Row],[PointsFor]]-Games[[#This Row],[PointsAgainst]]</f>
        <v>-9</v>
      </c>
      <c r="V18" s="1">
        <f>IF(Games[[#This Row],[MOV]]&gt;0,1,IF(Games[[#This Row],[MOV]]=0,0.5,0))</f>
        <v>0</v>
      </c>
      <c r="W18" s="4">
        <f>((ABS(Games[[#This Row],[MOV]])+5)^0.6)/(12+0.01*(ABS(Games[[#This Row],[PreGmRate]]-Games[[#This Row],[OppPreGmRate]])))*IF(Games[[#This Row],[OT]]=1,0.9,1)</f>
        <v>0.34635990721814136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-7.7809353322983936</v>
      </c>
      <c r="AB18" s="4">
        <f>Games[[#This Row],[PreGmRate]]+Games[[#This Row],[RatingChange]]</f>
        <v>1417.6703799102604</v>
      </c>
      <c r="AC18" s="2">
        <f>IF(Games[[#This Row],[Type]]="R",IF(Games[[#This Row],[Result]]&gt;0.5,1,0),0)</f>
        <v>0</v>
      </c>
      <c r="AD18" s="2">
        <f>IF(Games[[#This Row],[Type]]="R",IF(Games[[#This Row],[Result]]&lt;0.5,1,0),0)</f>
        <v>1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45429</v>
      </c>
      <c r="B19" s="2">
        <v>2024</v>
      </c>
      <c r="C19" s="2">
        <f>COUNTIFS(Games[Team],Games[[#This Row],[Team]],Games[Season],Games[[#This Row],[Season]],Games[Date],"&lt;=" &amp; Games[[#This Row],[Date]])</f>
        <v>2</v>
      </c>
      <c r="D19" s="2" t="s">
        <v>79</v>
      </c>
      <c r="E19" s="2" t="s">
        <v>80</v>
      </c>
      <c r="F19" s="1" t="s">
        <v>67</v>
      </c>
      <c r="G19" s="1" t="s">
        <v>71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" s="2">
        <f>Games[[#This Row],[DaysOff]]-Games[[#This Row],[OppDaysOff]]</f>
        <v>0</v>
      </c>
      <c r="L19" s="2">
        <f>Games[[#This Row],[OppDaysOff]]-Games[[#This Row],[DaysOff]]</f>
        <v>0</v>
      </c>
      <c r="M19" s="1">
        <f>MAX(-16, MIN(16, Games[[#This Row],[RestDiff]]*8))</f>
        <v>0</v>
      </c>
      <c r="N19" s="1">
        <f>MAX(-16, MIN(16, Games[[#This Row],[OppRestDiff]]*8))</f>
        <v>0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1491.3289188038798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1425.4513152425588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0.70323798465993348</v>
      </c>
      <c r="R19" s="1">
        <v>102</v>
      </c>
      <c r="S19" s="1">
        <v>93</v>
      </c>
      <c r="T19" s="1">
        <v>1</v>
      </c>
      <c r="U19" s="1">
        <f>Games[[#This Row],[PointsFor]]-Games[[#This Row],[PointsAgainst]]</f>
        <v>9</v>
      </c>
      <c r="V19" s="1">
        <f>IF(Games[[#This Row],[MOV]]&gt;0,1,IF(Games[[#This Row],[MOV]]=0,0.5,0))</f>
        <v>1</v>
      </c>
      <c r="W19" s="4">
        <f>((ABS(Games[[#This Row],[MOV]])+5)^0.6)/(12+0.01*(ABS(Games[[#This Row],[PreGmRate]]-Games[[#This Row],[OppPreGmRate]])))*IF(Games[[#This Row],[OT]]=1,0.9,1)</f>
        <v>0.34635990721814136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" s="9">
        <f>MAX(kmin, kmax - 0.15 * MIN(Games[[#This Row],[GamesPlayed]], 82))</f>
        <v>75.7</v>
      </c>
      <c r="Z19" s="4">
        <f>Games[[#This Row],[K]]*Games[[#This Row],[POMult]]</f>
        <v>75.7</v>
      </c>
      <c r="AA19" s="4">
        <f>(Games[[#This Row],[Keff]]*Games[[#This Row],[MOVMult]])*(Games[[#This Row],[Result]]-Games[[#This Row],[ExpectedWin%]])</f>
        <v>7.7809353322983945</v>
      </c>
      <c r="AB19" s="4">
        <f>Games[[#This Row],[PreGmRate]]+Games[[#This Row],[RatingChange]]</f>
        <v>1499.1098541361782</v>
      </c>
      <c r="AC19" s="2">
        <f>IF(Games[[#This Row],[Type]]="R",IF(Games[[#This Row],[Result]]&gt;0.5,1,0),0)</f>
        <v>1</v>
      </c>
      <c r="AD19" s="2">
        <f>IF(Games[[#This Row],[Type]]="R",IF(Games[[#This Row],[Result]]&lt;0.5,1,0),0)</f>
        <v>0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45430</v>
      </c>
      <c r="B20" s="2">
        <v>2024</v>
      </c>
      <c r="C20" s="2">
        <f>COUNTIFS(Games[Team],Games[[#This Row],[Team]],Games[Season],Games[[#This Row],[Season]],Games[Date],"&lt;=" &amp; Games[[#This Row],[Date]])</f>
        <v>2</v>
      </c>
      <c r="D20" s="2" t="s">
        <v>79</v>
      </c>
      <c r="E20" s="2" t="s">
        <v>80</v>
      </c>
      <c r="F20" s="1" t="s">
        <v>75</v>
      </c>
      <c r="G20" s="1" t="s">
        <v>85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" s="2">
        <f>Games[[#This Row],[DaysOff]]-Games[[#This Row],[OppDaysOff]]</f>
        <v>0</v>
      </c>
      <c r="L20" s="2">
        <f>Games[[#This Row],[OppDaysOff]]-Games[[#This Row],[DaysOff]]</f>
        <v>0</v>
      </c>
      <c r="M20" s="1">
        <f>MAX(-16, MIN(16, Games[[#This Row],[RestDiff]]*8))</f>
        <v>0</v>
      </c>
      <c r="N20" s="1">
        <f>MAX(-16, MIN(16, Games[[#This Row],[OppRestDiff]]*8))</f>
        <v>0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1490.2328761359067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1540.8414333381634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0.31542675529986264</v>
      </c>
      <c r="R20" s="1">
        <v>83</v>
      </c>
      <c r="S20" s="1">
        <v>74</v>
      </c>
      <c r="T20" s="1">
        <v>0</v>
      </c>
      <c r="U20" s="1">
        <f>Games[[#This Row],[PointsFor]]-Games[[#This Row],[PointsAgainst]]</f>
        <v>9</v>
      </c>
      <c r="V20" s="1">
        <f>IF(Games[[#This Row],[MOV]]&gt;0,1,IF(Games[[#This Row],[MOV]]=0,0.5,0))</f>
        <v>1</v>
      </c>
      <c r="W20" s="4">
        <f>((ABS(Games[[#This Row],[MOV]])+5)^0.6)/(12+0.01*(ABS(Games[[#This Row],[PreGmRate]]-Games[[#This Row],[OppPreGmRate]])))*IF(Games[[#This Row],[OT]]=1,0.9,1)</f>
        <v>0.38954301869366126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" s="9">
        <f>MAX(kmin, kmax - 0.15 * MIN(Games[[#This Row],[GamesPlayed]], 82))</f>
        <v>75.7</v>
      </c>
      <c r="Z20" s="4">
        <f>Games[[#This Row],[K]]*Games[[#This Row],[POMult]]</f>
        <v>75.7</v>
      </c>
      <c r="AA20" s="4">
        <f>(Games[[#This Row],[Keff]]*Games[[#This Row],[MOVMult]])*(Games[[#This Row],[Result]]-Games[[#This Row],[ExpectedWin%]])</f>
        <v>20.18697412908563</v>
      </c>
      <c r="AB20" s="4">
        <f>Games[[#This Row],[PreGmRate]]+Games[[#This Row],[RatingChange]]</f>
        <v>1510.4198502649924</v>
      </c>
      <c r="AC20" s="2">
        <f>IF(Games[[#This Row],[Type]]="R",IF(Games[[#This Row],[Result]]&gt;0.5,1,0),0)</f>
        <v>1</v>
      </c>
      <c r="AD20" s="2">
        <f>IF(Games[[#This Row],[Type]]="R",IF(Games[[#This Row],[Result]]&lt;0.5,1,0),0)</f>
        <v>0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45430</v>
      </c>
      <c r="B21" s="2">
        <v>2024</v>
      </c>
      <c r="C21" s="2">
        <f>COUNTIFS(Games[Team],Games[[#This Row],[Team]],Games[Season],Games[[#This Row],[Season]],Games[Date],"&lt;=" &amp; Games[[#This Row],[Date]])</f>
        <v>2</v>
      </c>
      <c r="D21" s="2" t="s">
        <v>79</v>
      </c>
      <c r="E21" s="2" t="s">
        <v>80</v>
      </c>
      <c r="F21" s="1" t="s">
        <v>85</v>
      </c>
      <c r="G21" s="1" t="s">
        <v>75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" s="2">
        <f>Games[[#This Row],[DaysOff]]-Games[[#This Row],[OppDaysOff]]</f>
        <v>0</v>
      </c>
      <c r="L21" s="2">
        <f>Games[[#This Row],[OppDaysOff]]-Games[[#This Row],[DaysOff]]</f>
        <v>0</v>
      </c>
      <c r="M21" s="1">
        <f>MAX(-16, MIN(16, Games[[#This Row],[RestDiff]]*8))</f>
        <v>0</v>
      </c>
      <c r="N21" s="1">
        <f>MAX(-16, MIN(16, Games[[#This Row],[OppRestDiff]]*8))</f>
        <v>0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1540.8414333381634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1490.2328761359067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0.68457324470013736</v>
      </c>
      <c r="R21" s="1">
        <v>74</v>
      </c>
      <c r="S21" s="1">
        <v>83</v>
      </c>
      <c r="T21" s="1">
        <v>0</v>
      </c>
      <c r="U21" s="1">
        <f>Games[[#This Row],[PointsFor]]-Games[[#This Row],[PointsAgainst]]</f>
        <v>-9</v>
      </c>
      <c r="V21" s="1">
        <f>IF(Games[[#This Row],[MOV]]&gt;0,1,IF(Games[[#This Row],[MOV]]=0,0.5,0))</f>
        <v>0</v>
      </c>
      <c r="W21" s="4">
        <f>((ABS(Games[[#This Row],[MOV]])+5)^0.6)/(12+0.01*(ABS(Games[[#This Row],[PreGmRate]]-Games[[#This Row],[OppPreGmRate]])))*IF(Games[[#This Row],[OT]]=1,0.9,1)</f>
        <v>0.38954301869366126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" s="9">
        <f>MAX(kmin, kmax - 0.15 * MIN(Games[[#This Row],[GamesPlayed]], 82))</f>
        <v>75.7</v>
      </c>
      <c r="Z21" s="4">
        <f>Games[[#This Row],[K]]*Games[[#This Row],[POMult]]</f>
        <v>75.7</v>
      </c>
      <c r="AA21" s="4">
        <f>(Games[[#This Row],[Keff]]*Games[[#This Row],[MOVMult]])*(Games[[#This Row],[Result]]-Games[[#This Row],[ExpectedWin%]])</f>
        <v>-20.18697412908563</v>
      </c>
      <c r="AB21" s="4">
        <f>Games[[#This Row],[PreGmRate]]+Games[[#This Row],[RatingChange]]</f>
        <v>1520.6544592090777</v>
      </c>
      <c r="AC21" s="2">
        <f>IF(Games[[#This Row],[Type]]="R",IF(Games[[#This Row],[Result]]&gt;0.5,1,0),0)</f>
        <v>0</v>
      </c>
      <c r="AD21" s="2">
        <f>IF(Games[[#This Row],[Type]]="R",IF(Games[[#This Row],[Result]]&lt;0.5,1,0),0)</f>
        <v>1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45430</v>
      </c>
      <c r="B22" s="2">
        <v>2024</v>
      </c>
      <c r="C22" s="2">
        <f>COUNTIFS(Games[Team],Games[[#This Row],[Team]],Games[Season],Games[[#This Row],[Season]],Games[Date],"&lt;=" &amp; Games[[#This Row],[Date]])</f>
        <v>2</v>
      </c>
      <c r="D22" s="2" t="s">
        <v>79</v>
      </c>
      <c r="E22" s="2" t="s">
        <v>80</v>
      </c>
      <c r="F22" s="1" t="s">
        <v>63</v>
      </c>
      <c r="G22" s="1" t="s">
        <v>86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" s="2">
        <f>Games[[#This Row],[DaysOff]]-Games[[#This Row],[OppDaysOff]]</f>
        <v>-1</v>
      </c>
      <c r="L22" s="2">
        <f>Games[[#This Row],[OppDaysOff]]-Games[[#This Row],[DaysOff]]</f>
        <v>1</v>
      </c>
      <c r="M22" s="1">
        <f>MAX(-16, MIN(16, Games[[#This Row],[RestDiff]]*8))</f>
        <v>-8</v>
      </c>
      <c r="N22" s="1">
        <f>MAX(-16, MIN(16, Games[[#This Row],[OppRestDiff]]*8))</f>
        <v>8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1450.4404285786497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1645.8792044498875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0.15437617339380699</v>
      </c>
      <c r="R22" s="1">
        <v>82</v>
      </c>
      <c r="S22" s="1">
        <v>89</v>
      </c>
      <c r="T22" s="1">
        <v>0</v>
      </c>
      <c r="U22" s="1">
        <f>Games[[#This Row],[PointsFor]]-Games[[#This Row],[PointsAgainst]]</f>
        <v>-7</v>
      </c>
      <c r="V22" s="1">
        <f>IF(Games[[#This Row],[MOV]]&gt;0,1,IF(Games[[#This Row],[MOV]]=0,0.5,0))</f>
        <v>0</v>
      </c>
      <c r="W22" s="4">
        <f>((ABS(Games[[#This Row],[MOV]])+5)^0.6)/(12+0.01*(ABS(Games[[#This Row],[PreGmRate]]-Games[[#This Row],[OppPreGmRate]])))*IF(Games[[#This Row],[OT]]=1,0.9,1)</f>
        <v>0.31827165380816774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" s="9">
        <f>MAX(kmin, kmax - 0.15 * MIN(Games[[#This Row],[GamesPlayed]], 82))</f>
        <v>75.7</v>
      </c>
      <c r="Z22" s="4">
        <f>Games[[#This Row],[K]]*Games[[#This Row],[POMult]]</f>
        <v>75.7</v>
      </c>
      <c r="AA22" s="4">
        <f>(Games[[#This Row],[Keff]]*Games[[#This Row],[MOVMult]])*(Games[[#This Row],[Result]]-Games[[#This Row],[ExpectedWin%]])</f>
        <v>-3.7194104931069925</v>
      </c>
      <c r="AB22" s="4">
        <f>Games[[#This Row],[PreGmRate]]+Games[[#This Row],[RatingChange]]</f>
        <v>1446.7210180855427</v>
      </c>
      <c r="AC22" s="2">
        <f>IF(Games[[#This Row],[Type]]="R",IF(Games[[#This Row],[Result]]&gt;0.5,1,0),0)</f>
        <v>0</v>
      </c>
      <c r="AD22" s="2">
        <f>IF(Games[[#This Row],[Type]]="R",IF(Games[[#This Row],[Result]]&lt;0.5,1,0),0)</f>
        <v>1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45430</v>
      </c>
      <c r="B23" s="2">
        <v>2024</v>
      </c>
      <c r="C23" s="2">
        <f>COUNTIFS(Games[Team],Games[[#This Row],[Team]],Games[Season],Games[[#This Row],[Season]],Games[Date],"&lt;=" &amp; Games[[#This Row],[Date]])</f>
        <v>2</v>
      </c>
      <c r="D23" s="2" t="s">
        <v>79</v>
      </c>
      <c r="E23" s="2" t="s">
        <v>80</v>
      </c>
      <c r="F23" s="1" t="s">
        <v>86</v>
      </c>
      <c r="G23" s="1" t="s">
        <v>63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" s="2">
        <f>Games[[#This Row],[DaysOff]]-Games[[#This Row],[OppDaysOff]]</f>
        <v>1</v>
      </c>
      <c r="L23" s="2">
        <f>Games[[#This Row],[OppDaysOff]]-Games[[#This Row],[DaysOff]]</f>
        <v>-1</v>
      </c>
      <c r="M23" s="1">
        <f>MAX(-16, MIN(16, Games[[#This Row],[RestDiff]]*8))</f>
        <v>8</v>
      </c>
      <c r="N23" s="1">
        <f>MAX(-16, MIN(16, Games[[#This Row],[OppRestDiff]]*8))</f>
        <v>-8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1645.8792044498875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1450.4404285786497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0.84562382660619295</v>
      </c>
      <c r="R23" s="1">
        <v>89</v>
      </c>
      <c r="S23" s="1">
        <v>82</v>
      </c>
      <c r="T23" s="1">
        <v>0</v>
      </c>
      <c r="U23" s="1">
        <f>Games[[#This Row],[PointsFor]]-Games[[#This Row],[PointsAgainst]]</f>
        <v>7</v>
      </c>
      <c r="V23" s="1">
        <f>IF(Games[[#This Row],[MOV]]&gt;0,1,IF(Games[[#This Row],[MOV]]=0,0.5,0))</f>
        <v>1</v>
      </c>
      <c r="W23" s="4">
        <f>((ABS(Games[[#This Row],[MOV]])+5)^0.6)/(12+0.01*(ABS(Games[[#This Row],[PreGmRate]]-Games[[#This Row],[OppPreGmRate]])))*IF(Games[[#This Row],[OT]]=1,0.9,1)</f>
        <v>0.31827165380816774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" s="9">
        <f>MAX(kmin, kmax - 0.15 * MIN(Games[[#This Row],[GamesPlayed]], 82))</f>
        <v>75.7</v>
      </c>
      <c r="Z23" s="4">
        <f>Games[[#This Row],[K]]*Games[[#This Row],[POMult]]</f>
        <v>75.7</v>
      </c>
      <c r="AA23" s="4">
        <f>(Games[[#This Row],[Keff]]*Games[[#This Row],[MOVMult]])*(Games[[#This Row],[Result]]-Games[[#This Row],[ExpectedWin%]])</f>
        <v>3.7194104931069938</v>
      </c>
      <c r="AB23" s="4">
        <f>Games[[#This Row],[PreGmRate]]+Games[[#This Row],[RatingChange]]</f>
        <v>1649.5986149429946</v>
      </c>
      <c r="AC23" s="2">
        <f>IF(Games[[#This Row],[Type]]="R",IF(Games[[#This Row],[Result]]&gt;0.5,1,0),0)</f>
        <v>1</v>
      </c>
      <c r="AD23" s="2">
        <f>IF(Games[[#This Row],[Type]]="R",IF(Games[[#This Row],[Result]]&lt;0.5,1,0),0)</f>
        <v>0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45430</v>
      </c>
      <c r="B24" s="2">
        <v>2024</v>
      </c>
      <c r="C24" s="2">
        <f>COUNTIFS(Games[Team],Games[[#This Row],[Team]],Games[Season],Games[[#This Row],[Season]],Games[Date],"&lt;=" &amp; Games[[#This Row],[Date]])</f>
        <v>3</v>
      </c>
      <c r="D24" s="2" t="s">
        <v>79</v>
      </c>
      <c r="E24" s="2" t="s">
        <v>80</v>
      </c>
      <c r="F24" s="1" t="s">
        <v>69</v>
      </c>
      <c r="G24" s="1" t="s">
        <v>60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" s="2">
        <f>Games[[#This Row],[DaysOff]]-Games[[#This Row],[OppDaysOff]]</f>
        <v>0</v>
      </c>
      <c r="L24" s="2">
        <f>Games[[#This Row],[OppDaysOff]]-Games[[#This Row],[DaysOff]]</f>
        <v>0</v>
      </c>
      <c r="M24" s="1">
        <f>MAX(-16, MIN(16, Games[[#This Row],[RestDiff]]*8))</f>
        <v>0</v>
      </c>
      <c r="N24" s="1">
        <f>MAX(-16, MIN(16, Games[[#This Row],[OppRestDiff]]*8))</f>
        <v>0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1401.8813012977303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1633.2586010425487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0.13997980941488097</v>
      </c>
      <c r="R24" s="1">
        <v>80</v>
      </c>
      <c r="S24" s="1">
        <v>91</v>
      </c>
      <c r="T24" s="1">
        <v>0</v>
      </c>
      <c r="U24" s="1">
        <f>Games[[#This Row],[PointsFor]]-Games[[#This Row],[PointsAgainst]]</f>
        <v>-11</v>
      </c>
      <c r="V24" s="1">
        <f>IF(Games[[#This Row],[MOV]]&gt;0,1,IF(Games[[#This Row],[MOV]]=0,0.5,0))</f>
        <v>0</v>
      </c>
      <c r="W24" s="4">
        <f>((ABS(Games[[#This Row],[MOV]])+5)^0.6)/(12+0.01*(ABS(Games[[#This Row],[PreGmRate]]-Games[[#This Row],[OppPreGmRate]])))*IF(Games[[#This Row],[OT]]=1,0.9,1)</f>
        <v>0.36873797314184931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" s="9">
        <f>MAX(kmin, kmax - 0.15 * MIN(Games[[#This Row],[GamesPlayed]], 82))</f>
        <v>75.55</v>
      </c>
      <c r="Z24" s="4">
        <f>Games[[#This Row],[K]]*Games[[#This Row],[POMult]]</f>
        <v>75.55</v>
      </c>
      <c r="AA24" s="4">
        <f>(Games[[#This Row],[Keff]]*Games[[#This Row],[MOVMult]])*(Games[[#This Row],[Result]]-Games[[#This Row],[ExpectedWin%]])</f>
        <v>-3.8995790694943513</v>
      </c>
      <c r="AB24" s="4">
        <f>Games[[#This Row],[PreGmRate]]+Games[[#This Row],[RatingChange]]</f>
        <v>1397.9817222282359</v>
      </c>
      <c r="AC24" s="2">
        <f>IF(Games[[#This Row],[Type]]="R",IF(Games[[#This Row],[Result]]&gt;0.5,1,0),0)</f>
        <v>0</v>
      </c>
      <c r="AD24" s="2">
        <f>IF(Games[[#This Row],[Type]]="R",IF(Games[[#This Row],[Result]]&lt;0.5,1,0),0)</f>
        <v>1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45430</v>
      </c>
      <c r="B25" s="2">
        <v>2024</v>
      </c>
      <c r="C25" s="2">
        <f>COUNTIFS(Games[Team],Games[[#This Row],[Team]],Games[Season],Games[[#This Row],[Season]],Games[Date],"&lt;=" &amp; Games[[#This Row],[Date]])</f>
        <v>3</v>
      </c>
      <c r="D25" s="2" t="s">
        <v>79</v>
      </c>
      <c r="E25" s="2" t="s">
        <v>80</v>
      </c>
      <c r="F25" s="1" t="s">
        <v>60</v>
      </c>
      <c r="G25" s="1" t="s">
        <v>69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" s="2">
        <f>Games[[#This Row],[DaysOff]]-Games[[#This Row],[OppDaysOff]]</f>
        <v>0</v>
      </c>
      <c r="L25" s="2">
        <f>Games[[#This Row],[OppDaysOff]]-Games[[#This Row],[DaysOff]]</f>
        <v>0</v>
      </c>
      <c r="M25" s="1">
        <f>MAX(-16, MIN(16, Games[[#This Row],[RestDiff]]*8))</f>
        <v>0</v>
      </c>
      <c r="N25" s="1">
        <f>MAX(-16, MIN(16, Games[[#This Row],[OppRestDiff]]*8))</f>
        <v>0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1633.2586010425487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1401.8813012977303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0.86002019058511903</v>
      </c>
      <c r="R25" s="1">
        <v>91</v>
      </c>
      <c r="S25" s="1">
        <v>80</v>
      </c>
      <c r="T25" s="1">
        <v>0</v>
      </c>
      <c r="U25" s="1">
        <f>Games[[#This Row],[PointsFor]]-Games[[#This Row],[PointsAgainst]]</f>
        <v>11</v>
      </c>
      <c r="V25" s="1">
        <f>IF(Games[[#This Row],[MOV]]&gt;0,1,IF(Games[[#This Row],[MOV]]=0,0.5,0))</f>
        <v>1</v>
      </c>
      <c r="W25" s="4">
        <f>((ABS(Games[[#This Row],[MOV]])+5)^0.6)/(12+0.01*(ABS(Games[[#This Row],[PreGmRate]]-Games[[#This Row],[OppPreGmRate]])))*IF(Games[[#This Row],[OT]]=1,0.9,1)</f>
        <v>0.36873797314184931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" s="9">
        <f>MAX(kmin, kmax - 0.15 * MIN(Games[[#This Row],[GamesPlayed]], 82))</f>
        <v>75.55</v>
      </c>
      <c r="Z25" s="4">
        <f>Games[[#This Row],[K]]*Games[[#This Row],[POMult]]</f>
        <v>75.55</v>
      </c>
      <c r="AA25" s="4">
        <f>(Games[[#This Row],[Keff]]*Games[[#This Row],[MOVMult]])*(Games[[#This Row],[Result]]-Games[[#This Row],[ExpectedWin%]])</f>
        <v>3.8995790694943513</v>
      </c>
      <c r="AB25" s="4">
        <f>Games[[#This Row],[PreGmRate]]+Games[[#This Row],[RatingChange]]</f>
        <v>1637.1581801120431</v>
      </c>
      <c r="AC25" s="2">
        <f>IF(Games[[#This Row],[Type]]="R",IF(Games[[#This Row],[Result]]&gt;0.5,1,0),0)</f>
        <v>1</v>
      </c>
      <c r="AD25" s="2">
        <f>IF(Games[[#This Row],[Type]]="R",IF(Games[[#This Row],[Result]]&lt;0.5,1,0),0)</f>
        <v>0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45430</v>
      </c>
      <c r="B26" s="2">
        <v>2024</v>
      </c>
      <c r="C26" s="2">
        <f>COUNTIFS(Games[Team],Games[[#This Row],[Team]],Games[Season],Games[[#This Row],[Season]],Games[Date],"&lt;=" &amp; Games[[#This Row],[Date]])</f>
        <v>2</v>
      </c>
      <c r="D26" s="2" t="s">
        <v>79</v>
      </c>
      <c r="E26" s="2" t="s">
        <v>80</v>
      </c>
      <c r="F26" s="1" t="s">
        <v>77</v>
      </c>
      <c r="G26" s="1" t="s">
        <v>40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" s="2">
        <f>Games[[#This Row],[DaysOff]]-Games[[#This Row],[OppDaysOff]]</f>
        <v>-1</v>
      </c>
      <c r="L26" s="2">
        <f>Games[[#This Row],[OppDaysOff]]-Games[[#This Row],[DaysOff]]</f>
        <v>1</v>
      </c>
      <c r="M26" s="1">
        <f>MAX(-16, MIN(16, Games[[#This Row],[RestDiff]]*8))</f>
        <v>-8</v>
      </c>
      <c r="N26" s="1">
        <f>MAX(-16, MIN(16, Games[[#This Row],[OppRestDiff]]*8))</f>
        <v>8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1489.0528532842388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1397.5599267517355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0.48775978318821622</v>
      </c>
      <c r="R26" s="1">
        <v>85</v>
      </c>
      <c r="S26" s="1">
        <v>88</v>
      </c>
      <c r="T26" s="1">
        <v>0</v>
      </c>
      <c r="U26" s="1">
        <f>Games[[#This Row],[PointsFor]]-Games[[#This Row],[PointsAgainst]]</f>
        <v>-3</v>
      </c>
      <c r="V26" s="1">
        <f>IF(Games[[#This Row],[MOV]]&gt;0,1,IF(Games[[#This Row],[MOV]]=0,0.5,0))</f>
        <v>0</v>
      </c>
      <c r="W26" s="4">
        <f>((ABS(Games[[#This Row],[MOV]])+5)^0.6)/(12+0.01*(ABS(Games[[#This Row],[PreGmRate]]-Games[[#This Row],[OppPreGmRate]])))*IF(Games[[#This Row],[OT]]=1,0.9,1)</f>
        <v>0.26962611886181775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" s="9">
        <f>MAX(kmin, kmax - 0.15 * MIN(Games[[#This Row],[GamesPlayed]], 82))</f>
        <v>75.7</v>
      </c>
      <c r="Z26" s="4">
        <f>Games[[#This Row],[K]]*Games[[#This Row],[POMult]]</f>
        <v>75.7</v>
      </c>
      <c r="AA26" s="4">
        <f>(Games[[#This Row],[Keff]]*Games[[#This Row],[MOVMult]])*(Games[[#This Row],[Result]]-Games[[#This Row],[ExpectedWin%]])</f>
        <v>-9.9555172399385778</v>
      </c>
      <c r="AB26" s="4">
        <f>Games[[#This Row],[PreGmRate]]+Games[[#This Row],[RatingChange]]</f>
        <v>1479.0973360443002</v>
      </c>
      <c r="AC26" s="2">
        <f>IF(Games[[#This Row],[Type]]="R",IF(Games[[#This Row],[Result]]&gt;0.5,1,0),0)</f>
        <v>0</v>
      </c>
      <c r="AD26" s="2">
        <f>IF(Games[[#This Row],[Type]]="R",IF(Games[[#This Row],[Result]]&lt;0.5,1,0),0)</f>
        <v>1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45430</v>
      </c>
      <c r="B27" s="2">
        <v>2024</v>
      </c>
      <c r="C27" s="2">
        <f>COUNTIFS(Games[Team],Games[[#This Row],[Team]],Games[Season],Games[[#This Row],[Season]],Games[Date],"&lt;=" &amp; Games[[#This Row],[Date]])</f>
        <v>2</v>
      </c>
      <c r="D27" s="2" t="s">
        <v>79</v>
      </c>
      <c r="E27" s="2" t="s">
        <v>80</v>
      </c>
      <c r="F27" s="1" t="s">
        <v>40</v>
      </c>
      <c r="G27" s="1" t="s">
        <v>77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" s="2">
        <f>Games[[#This Row],[DaysOff]]-Games[[#This Row],[OppDaysOff]]</f>
        <v>1</v>
      </c>
      <c r="L27" s="2">
        <f>Games[[#This Row],[OppDaysOff]]-Games[[#This Row],[DaysOff]]</f>
        <v>-1</v>
      </c>
      <c r="M27" s="1">
        <f>MAX(-16, MIN(16, Games[[#This Row],[RestDiff]]*8))</f>
        <v>8</v>
      </c>
      <c r="N27" s="1">
        <f>MAX(-16, MIN(16, Games[[#This Row],[OppRestDiff]]*8))</f>
        <v>-8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1397.5599267517355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1489.0528532842388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0.51224021681178367</v>
      </c>
      <c r="R27" s="1">
        <v>88</v>
      </c>
      <c r="S27" s="1">
        <v>85</v>
      </c>
      <c r="T27" s="1">
        <v>0</v>
      </c>
      <c r="U27" s="1">
        <f>Games[[#This Row],[PointsFor]]-Games[[#This Row],[PointsAgainst]]</f>
        <v>3</v>
      </c>
      <c r="V27" s="1">
        <f>IF(Games[[#This Row],[MOV]]&gt;0,1,IF(Games[[#This Row],[MOV]]=0,0.5,0))</f>
        <v>1</v>
      </c>
      <c r="W27" s="4">
        <f>((ABS(Games[[#This Row],[MOV]])+5)^0.6)/(12+0.01*(ABS(Games[[#This Row],[PreGmRate]]-Games[[#This Row],[OppPreGmRate]])))*IF(Games[[#This Row],[OT]]=1,0.9,1)</f>
        <v>0.26962611886181775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" s="9">
        <f>MAX(kmin, kmax - 0.15 * MIN(Games[[#This Row],[GamesPlayed]], 82))</f>
        <v>75.7</v>
      </c>
      <c r="Z27" s="4">
        <f>Games[[#This Row],[K]]*Games[[#This Row],[POMult]]</f>
        <v>75.7</v>
      </c>
      <c r="AA27" s="4">
        <f>(Games[[#This Row],[Keff]]*Games[[#This Row],[MOVMult]])*(Games[[#This Row],[Result]]-Games[[#This Row],[ExpectedWin%]])</f>
        <v>9.9555172399385796</v>
      </c>
      <c r="AB27" s="4">
        <f>Games[[#This Row],[PreGmRate]]+Games[[#This Row],[RatingChange]]</f>
        <v>1407.5154439916741</v>
      </c>
      <c r="AC27" s="2">
        <f>IF(Games[[#This Row],[Type]]="R",IF(Games[[#This Row],[Result]]&gt;0.5,1,0),0)</f>
        <v>1</v>
      </c>
      <c r="AD27" s="2">
        <f>IF(Games[[#This Row],[Type]]="R",IF(Games[[#This Row],[Result]]&lt;0.5,1,0),0)</f>
        <v>0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45431</v>
      </c>
      <c r="B28" s="2">
        <v>2024</v>
      </c>
      <c r="C28" s="2">
        <f>COUNTIFS(Games[Team],Games[[#This Row],[Team]],Games[Season],Games[[#This Row],[Season]],Games[Date],"&lt;=" &amp; Games[[#This Row],[Date]])</f>
        <v>3</v>
      </c>
      <c r="D28" s="2" t="s">
        <v>79</v>
      </c>
      <c r="E28" s="2" t="s">
        <v>80</v>
      </c>
      <c r="F28" s="1" t="s">
        <v>71</v>
      </c>
      <c r="G28" s="1" t="s">
        <v>65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" s="2">
        <f>Games[[#This Row],[DaysOff]]-Games[[#This Row],[OppDaysOff]]</f>
        <v>0</v>
      </c>
      <c r="L28" s="2">
        <f>Games[[#This Row],[OppDaysOff]]-Games[[#This Row],[DaysOff]]</f>
        <v>0</v>
      </c>
      <c r="M28" s="1">
        <f>MAX(-16, MIN(16, Games[[#This Row],[RestDiff]]*8))</f>
        <v>0</v>
      </c>
      <c r="N28" s="1">
        <f>MAX(-16, MIN(16, Games[[#This Row],[OppRestDiff]]*8))</f>
        <v>0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1417.6703799102604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1468.6888292055316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0.31491747791629193</v>
      </c>
      <c r="R28" s="1">
        <v>84</v>
      </c>
      <c r="S28" s="1">
        <v>75</v>
      </c>
      <c r="T28" s="1">
        <v>0</v>
      </c>
      <c r="U28" s="1">
        <f>Games[[#This Row],[PointsFor]]-Games[[#This Row],[PointsAgainst]]</f>
        <v>9</v>
      </c>
      <c r="V28" s="1">
        <f>IF(Games[[#This Row],[MOV]]&gt;0,1,IF(Games[[#This Row],[MOV]]=0,0.5,0))</f>
        <v>1</v>
      </c>
      <c r="W28" s="4">
        <f>((ABS(Games[[#This Row],[MOV]])+5)^0.6)/(12+0.01*(ABS(Games[[#This Row],[PreGmRate]]-Games[[#This Row],[OppPreGmRate]])))*IF(Games[[#This Row],[OT]]=1,0.9,1)</f>
        <v>0.38941538620083793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" s="9">
        <f>MAX(kmin, kmax - 0.15 * MIN(Games[[#This Row],[GamesPlayed]], 82))</f>
        <v>75.55</v>
      </c>
      <c r="Z28" s="4">
        <f>Games[[#This Row],[K]]*Games[[#This Row],[POMult]]</f>
        <v>75.55</v>
      </c>
      <c r="AA28" s="4">
        <f>(Games[[#This Row],[Keff]]*Games[[#This Row],[MOVMult]])*(Games[[#This Row],[Result]]-Games[[#This Row],[ExpectedWin%]])</f>
        <v>20.15535553995451</v>
      </c>
      <c r="AB28" s="4">
        <f>Games[[#This Row],[PreGmRate]]+Games[[#This Row],[RatingChange]]</f>
        <v>1437.825735450215</v>
      </c>
      <c r="AC28" s="2">
        <f>IF(Games[[#This Row],[Type]]="R",IF(Games[[#This Row],[Result]]&gt;0.5,1,0),0)</f>
        <v>1</v>
      </c>
      <c r="AD28" s="2">
        <f>IF(Games[[#This Row],[Type]]="R",IF(Games[[#This Row],[Result]]&lt;0.5,1,0),0)</f>
        <v>0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45431</v>
      </c>
      <c r="B29" s="2">
        <v>2024</v>
      </c>
      <c r="C29" s="2">
        <f>COUNTIFS(Games[Team],Games[[#This Row],[Team]],Games[Season],Games[[#This Row],[Season]],Games[Date],"&lt;=" &amp; Games[[#This Row],[Date]])</f>
        <v>3</v>
      </c>
      <c r="D29" s="2" t="s">
        <v>79</v>
      </c>
      <c r="E29" s="2" t="s">
        <v>80</v>
      </c>
      <c r="F29" s="1" t="s">
        <v>65</v>
      </c>
      <c r="G29" s="1" t="s">
        <v>71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" s="2">
        <f>Games[[#This Row],[DaysOff]]-Games[[#This Row],[OppDaysOff]]</f>
        <v>0</v>
      </c>
      <c r="L29" s="2">
        <f>Games[[#This Row],[OppDaysOff]]-Games[[#This Row],[DaysOff]]</f>
        <v>0</v>
      </c>
      <c r="M29" s="1">
        <f>MAX(-16, MIN(16, Games[[#This Row],[RestDiff]]*8))</f>
        <v>0</v>
      </c>
      <c r="N29" s="1">
        <f>MAX(-16, MIN(16, Games[[#This Row],[OppRestDiff]]*8))</f>
        <v>0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1468.6888292055316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1417.6703799102604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0.68508252208370812</v>
      </c>
      <c r="R29" s="1">
        <v>75</v>
      </c>
      <c r="S29" s="1">
        <v>84</v>
      </c>
      <c r="T29" s="1">
        <v>0</v>
      </c>
      <c r="U29" s="1">
        <f>Games[[#This Row],[PointsFor]]-Games[[#This Row],[PointsAgainst]]</f>
        <v>-9</v>
      </c>
      <c r="V29" s="1">
        <f>IF(Games[[#This Row],[MOV]]&gt;0,1,IF(Games[[#This Row],[MOV]]=0,0.5,0))</f>
        <v>0</v>
      </c>
      <c r="W29" s="4">
        <f>((ABS(Games[[#This Row],[MOV]])+5)^0.6)/(12+0.01*(ABS(Games[[#This Row],[PreGmRate]]-Games[[#This Row],[OppPreGmRate]])))*IF(Games[[#This Row],[OT]]=1,0.9,1)</f>
        <v>0.38941538620083793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" s="9">
        <f>MAX(kmin, kmax - 0.15 * MIN(Games[[#This Row],[GamesPlayed]], 82))</f>
        <v>75.55</v>
      </c>
      <c r="Z29" s="4">
        <f>Games[[#This Row],[K]]*Games[[#This Row],[POMult]]</f>
        <v>75.55</v>
      </c>
      <c r="AA29" s="4">
        <f>(Games[[#This Row],[Keff]]*Games[[#This Row],[MOVMult]])*(Games[[#This Row],[Result]]-Games[[#This Row],[ExpectedWin%]])</f>
        <v>-20.155355539954513</v>
      </c>
      <c r="AB29" s="4">
        <f>Games[[#This Row],[PreGmRate]]+Games[[#This Row],[RatingChange]]</f>
        <v>1448.533473665577</v>
      </c>
      <c r="AC29" s="2">
        <f>IF(Games[[#This Row],[Type]]="R",IF(Games[[#This Row],[Result]]&gt;0.5,1,0),0)</f>
        <v>0</v>
      </c>
      <c r="AD29" s="2">
        <f>IF(Games[[#This Row],[Type]]="R",IF(Games[[#This Row],[Result]]&lt;0.5,1,0),0)</f>
        <v>1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45432</v>
      </c>
      <c r="B30" s="2">
        <v>2024</v>
      </c>
      <c r="C30" s="2">
        <f>COUNTIFS(Games[Team],Games[[#This Row],[Team]],Games[Season],Games[[#This Row],[Season]],Games[Date],"&lt;=" &amp; Games[[#This Row],[Date]])</f>
        <v>3</v>
      </c>
      <c r="D30" s="2" t="s">
        <v>79</v>
      </c>
      <c r="E30" s="2" t="s">
        <v>80</v>
      </c>
      <c r="F30" s="1" t="s">
        <v>74</v>
      </c>
      <c r="G30" s="1" t="s">
        <v>69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" s="2">
        <f>Games[[#This Row],[DaysOff]]-Games[[#This Row],[OppDaysOff]]</f>
        <v>1</v>
      </c>
      <c r="L30" s="2">
        <f>Games[[#This Row],[OppDaysOff]]-Games[[#This Row],[DaysOff]]</f>
        <v>-1</v>
      </c>
      <c r="M30" s="1">
        <f>MAX(-16, MIN(16, Games[[#This Row],[RestDiff]]*8))</f>
        <v>8</v>
      </c>
      <c r="N30" s="1">
        <f>MAX(-16, MIN(16, Games[[#This Row],[OppRestDiff]]*8))</f>
        <v>-8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1565.7634275753039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1397.9817222282359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0.63977544995391233</v>
      </c>
      <c r="R30" s="1">
        <v>88</v>
      </c>
      <c r="S30" s="1">
        <v>84</v>
      </c>
      <c r="T30" s="1">
        <v>0</v>
      </c>
      <c r="U30" s="1">
        <f>Games[[#This Row],[PointsFor]]-Games[[#This Row],[PointsAgainst]]</f>
        <v>4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0.27323020948713866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" s="9">
        <f>MAX(kmin, kmax - 0.15 * MIN(Games[[#This Row],[GamesPlayed]], 82))</f>
        <v>75.55</v>
      </c>
      <c r="Z30" s="4">
        <f>Games[[#This Row],[K]]*Games[[#This Row],[POMult]]</f>
        <v>75.55</v>
      </c>
      <c r="AA30" s="4">
        <f>(Games[[#This Row],[Keff]]*Games[[#This Row],[MOVMult]])*(Games[[#This Row],[Result]]-Games[[#This Row],[ExpectedWin%]])</f>
        <v>7.4359505214620363</v>
      </c>
      <c r="AB30" s="4">
        <f>Games[[#This Row],[PreGmRate]]+Games[[#This Row],[RatingChange]]</f>
        <v>1573.1993780967659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45432</v>
      </c>
      <c r="B31" s="2">
        <v>2024</v>
      </c>
      <c r="C31" s="2">
        <f>COUNTIFS(Games[Team],Games[[#This Row],[Team]],Games[Season],Games[[#This Row],[Season]],Games[Date],"&lt;=" &amp; Games[[#This Row],[Date]])</f>
        <v>4</v>
      </c>
      <c r="D31" s="2" t="s">
        <v>79</v>
      </c>
      <c r="E31" s="2" t="s">
        <v>80</v>
      </c>
      <c r="F31" s="1" t="s">
        <v>69</v>
      </c>
      <c r="G31" s="1" t="s">
        <v>74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" s="2">
        <f>Games[[#This Row],[DaysOff]]-Games[[#This Row],[OppDaysOff]]</f>
        <v>-1</v>
      </c>
      <c r="L31" s="2">
        <f>Games[[#This Row],[OppDaysOff]]-Games[[#This Row],[DaysOff]]</f>
        <v>1</v>
      </c>
      <c r="M31" s="1">
        <f>MAX(-16, MIN(16, Games[[#This Row],[RestDiff]]*8))</f>
        <v>-8</v>
      </c>
      <c r="N31" s="1">
        <f>MAX(-16, MIN(16, Games[[#This Row],[OppRestDiff]]*8))</f>
        <v>8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1397.9817222282359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1565.7634275753039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0.36022455004608767</v>
      </c>
      <c r="R31" s="1">
        <v>84</v>
      </c>
      <c r="S31" s="1">
        <v>88</v>
      </c>
      <c r="T31" s="1">
        <v>0</v>
      </c>
      <c r="U31" s="1">
        <f>Games[[#This Row],[PointsFor]]-Games[[#This Row],[PointsAgainst]]</f>
        <v>-4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0.27323020948713866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" s="9">
        <f>MAX(kmin, kmax - 0.15 * MIN(Games[[#This Row],[GamesPlayed]], 82))</f>
        <v>75.400000000000006</v>
      </c>
      <c r="Z31" s="4">
        <f>Games[[#This Row],[K]]*Games[[#This Row],[POMult]]</f>
        <v>75.400000000000006</v>
      </c>
      <c r="AA31" s="4">
        <f>(Games[[#This Row],[Keff]]*Games[[#This Row],[MOVMult]])*(Games[[#This Row],[Result]]-Games[[#This Row],[ExpectedWin%]])</f>
        <v>-7.421186887071312</v>
      </c>
      <c r="AB31" s="4">
        <f>Games[[#This Row],[PreGmRate]]+Games[[#This Row],[RatingChange]]</f>
        <v>1390.5605353411645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45432</v>
      </c>
      <c r="B32" s="2">
        <v>2024</v>
      </c>
      <c r="C32" s="2">
        <f>COUNTIFS(Games[Team],Games[[#This Row],[Team]],Games[Season],Games[[#This Row],[Season]],Games[Date],"&lt;=" &amp; Games[[#This Row],[Date]])</f>
        <v>4</v>
      </c>
      <c r="D32" s="2" t="s">
        <v>79</v>
      </c>
      <c r="E32" s="2" t="s">
        <v>80</v>
      </c>
      <c r="F32" s="1" t="s">
        <v>71</v>
      </c>
      <c r="G32" s="1" t="s">
        <v>60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" s="2">
        <f>Games[[#This Row],[DaysOff]]-Games[[#This Row],[OppDaysOff]]</f>
        <v>-1</v>
      </c>
      <c r="L32" s="2">
        <f>Games[[#This Row],[OppDaysOff]]-Games[[#This Row],[DaysOff]]</f>
        <v>1</v>
      </c>
      <c r="M32" s="1">
        <f>MAX(-16, MIN(16, Games[[#This Row],[RestDiff]]*8))</f>
        <v>-8</v>
      </c>
      <c r="N32" s="1">
        <f>MAX(-16, MIN(16, Games[[#This Row],[OppRestDiff]]*8))</f>
        <v>8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1437.825735450215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1637.1581801120431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0.15147280096842097</v>
      </c>
      <c r="R32" s="1">
        <v>63</v>
      </c>
      <c r="S32" s="1">
        <v>74</v>
      </c>
      <c r="T32" s="1">
        <v>0</v>
      </c>
      <c r="U32" s="1">
        <f>Games[[#This Row],[PointsFor]]-Games[[#This Row],[PointsAgainst]]</f>
        <v>-11</v>
      </c>
      <c r="V32" s="1">
        <f>IF(Games[[#This Row],[MOV]]&gt;0,1,IF(Games[[#This Row],[MOV]]=0,0.5,0))</f>
        <v>0</v>
      </c>
      <c r="W32" s="4">
        <f>((ABS(Games[[#This Row],[MOV]])+5)^0.6)/(12+0.01*(ABS(Games[[#This Row],[PreGmRate]]-Games[[#This Row],[OppPreGmRate]])))*IF(Games[[#This Row],[OT]]=1,0.9,1)</f>
        <v>0.37718211017161835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" s="9">
        <f>MAX(kmin, kmax - 0.15 * MIN(Games[[#This Row],[GamesPlayed]], 82))</f>
        <v>75.400000000000006</v>
      </c>
      <c r="Z32" s="4">
        <f>Games[[#This Row],[K]]*Games[[#This Row],[POMult]]</f>
        <v>75.400000000000006</v>
      </c>
      <c r="AA32" s="4">
        <f>(Games[[#This Row],[Keff]]*Games[[#This Row],[MOVMult]])*(Games[[#This Row],[Result]]-Games[[#This Row],[ExpectedWin%]])</f>
        <v>-4.3078154349967441</v>
      </c>
      <c r="AB32" s="4">
        <f>Games[[#This Row],[PreGmRate]]+Games[[#This Row],[RatingChange]]</f>
        <v>1433.5179200152184</v>
      </c>
      <c r="AC32" s="2">
        <f>IF(Games[[#This Row],[Type]]="R",IF(Games[[#This Row],[Result]]&gt;0.5,1,0),0)</f>
        <v>0</v>
      </c>
      <c r="AD32" s="2">
        <f>IF(Games[[#This Row],[Type]]="R",IF(Games[[#This Row],[Result]]&lt;0.5,1,0),0)</f>
        <v>1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45432</v>
      </c>
      <c r="B33" s="2">
        <v>2024</v>
      </c>
      <c r="C33" s="2">
        <f>COUNTIFS(Games[Team],Games[[#This Row],[Team]],Games[Season],Games[[#This Row],[Season]],Games[Date],"&lt;=" &amp; Games[[#This Row],[Date]])</f>
        <v>4</v>
      </c>
      <c r="D33" s="2" t="s">
        <v>79</v>
      </c>
      <c r="E33" s="2" t="s">
        <v>80</v>
      </c>
      <c r="F33" s="1" t="s">
        <v>60</v>
      </c>
      <c r="G33" s="1" t="s">
        <v>71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3" s="2">
        <f>Games[[#This Row],[DaysOff]]-Games[[#This Row],[OppDaysOff]]</f>
        <v>1</v>
      </c>
      <c r="L33" s="2">
        <f>Games[[#This Row],[OppDaysOff]]-Games[[#This Row],[DaysOff]]</f>
        <v>-1</v>
      </c>
      <c r="M33" s="1">
        <f>MAX(-16, MIN(16, Games[[#This Row],[RestDiff]]*8))</f>
        <v>8</v>
      </c>
      <c r="N33" s="1">
        <f>MAX(-16, MIN(16, Games[[#This Row],[OppRestDiff]]*8))</f>
        <v>-8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1637.1581801120431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1437.825735450215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0.84852719903157903</v>
      </c>
      <c r="R33" s="1">
        <v>74</v>
      </c>
      <c r="S33" s="1">
        <v>63</v>
      </c>
      <c r="T33" s="1">
        <v>0</v>
      </c>
      <c r="U33" s="1">
        <f>Games[[#This Row],[PointsFor]]-Games[[#This Row],[PointsAgainst]]</f>
        <v>11</v>
      </c>
      <c r="V33" s="1">
        <f>IF(Games[[#This Row],[MOV]]&gt;0,1,IF(Games[[#This Row],[MOV]]=0,0.5,0))</f>
        <v>1</v>
      </c>
      <c r="W33" s="4">
        <f>((ABS(Games[[#This Row],[MOV]])+5)^0.6)/(12+0.01*(ABS(Games[[#This Row],[PreGmRate]]-Games[[#This Row],[OppPreGmRate]])))*IF(Games[[#This Row],[OT]]=1,0.9,1)</f>
        <v>0.37718211017161835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" s="9">
        <f>MAX(kmin, kmax - 0.15 * MIN(Games[[#This Row],[GamesPlayed]], 82))</f>
        <v>75.400000000000006</v>
      </c>
      <c r="Z33" s="4">
        <f>Games[[#This Row],[K]]*Games[[#This Row],[POMult]]</f>
        <v>75.400000000000006</v>
      </c>
      <c r="AA33" s="4">
        <f>(Games[[#This Row],[Keff]]*Games[[#This Row],[MOVMult]])*(Games[[#This Row],[Result]]-Games[[#This Row],[ExpectedWin%]])</f>
        <v>4.3078154349967441</v>
      </c>
      <c r="AB33" s="4">
        <f>Games[[#This Row],[PreGmRate]]+Games[[#This Row],[RatingChange]]</f>
        <v>1641.4659955470397</v>
      </c>
      <c r="AC33" s="2">
        <f>IF(Games[[#This Row],[Type]]="R",IF(Games[[#This Row],[Result]]&gt;0.5,1,0),0)</f>
        <v>1</v>
      </c>
      <c r="AD33" s="2">
        <f>IF(Games[[#This Row],[Type]]="R",IF(Games[[#This Row],[Result]]&lt;0.5,1,0),0)</f>
        <v>0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45433</v>
      </c>
      <c r="B34" s="2">
        <v>2024</v>
      </c>
      <c r="C34" s="2">
        <f>COUNTIFS(Games[Team],Games[[#This Row],[Team]],Games[Season],Games[[#This Row],[Season]],Games[Date],"&lt;=" &amp; Games[[#This Row],[Date]])</f>
        <v>3</v>
      </c>
      <c r="D34" s="2" t="s">
        <v>79</v>
      </c>
      <c r="E34" s="2" t="s">
        <v>80</v>
      </c>
      <c r="F34" s="1" t="s">
        <v>85</v>
      </c>
      <c r="G34" s="1" t="s">
        <v>77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" s="2">
        <f>Games[[#This Row],[DaysOff]]-Games[[#This Row],[OppDaysOff]]</f>
        <v>0</v>
      </c>
      <c r="L34" s="2">
        <f>Games[[#This Row],[OppDaysOff]]-Games[[#This Row],[DaysOff]]</f>
        <v>0</v>
      </c>
      <c r="M34" s="1">
        <f>MAX(-16, MIN(16, Games[[#This Row],[RestDiff]]*8))</f>
        <v>0</v>
      </c>
      <c r="N34" s="1">
        <f>MAX(-16, MIN(16, Games[[#This Row],[OppRestDiff]]*8))</f>
        <v>0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1520.6544592090777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1479.0973360443002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0.43922182426116402</v>
      </c>
      <c r="R34" s="1">
        <v>78</v>
      </c>
      <c r="S34" s="1">
        <v>83</v>
      </c>
      <c r="T34" s="1">
        <v>0</v>
      </c>
      <c r="U34" s="1">
        <f>Games[[#This Row],[PointsFor]]-Games[[#This Row],[PointsAgainst]]</f>
        <v>-5</v>
      </c>
      <c r="V34" s="1">
        <f>IF(Games[[#This Row],[MOV]]&gt;0,1,IF(Games[[#This Row],[MOV]]=0,0.5,0))</f>
        <v>0</v>
      </c>
      <c r="W34" s="4">
        <f>((ABS(Games[[#This Row],[MOV]])+5)^0.6)/(12+0.01*(ABS(Games[[#This Row],[PreGmRate]]-Games[[#This Row],[OppPreGmRate]])))*IF(Games[[#This Row],[OT]]=1,0.9,1)</f>
        <v>0.32065151343073656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" s="9">
        <f>MAX(kmin, kmax - 0.15 * MIN(Games[[#This Row],[GamesPlayed]], 82))</f>
        <v>75.55</v>
      </c>
      <c r="Z34" s="4">
        <f>Games[[#This Row],[K]]*Games[[#This Row],[POMult]]</f>
        <v>75.55</v>
      </c>
      <c r="AA34" s="4">
        <f>(Games[[#This Row],[Keff]]*Games[[#This Row],[MOVMult]])*(Games[[#This Row],[Result]]-Games[[#This Row],[ExpectedWin%]])</f>
        <v>-10.640246129560976</v>
      </c>
      <c r="AB34" s="4">
        <f>Games[[#This Row],[PreGmRate]]+Games[[#This Row],[RatingChange]]</f>
        <v>1510.0142130795168</v>
      </c>
      <c r="AC34" s="2">
        <f>IF(Games[[#This Row],[Type]]="R",IF(Games[[#This Row],[Result]]&gt;0.5,1,0),0)</f>
        <v>0</v>
      </c>
      <c r="AD34" s="2">
        <f>IF(Games[[#This Row],[Type]]="R",IF(Games[[#This Row],[Result]]&lt;0.5,1,0),0)</f>
        <v>1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45433</v>
      </c>
      <c r="B35" s="2">
        <v>2024</v>
      </c>
      <c r="C35" s="2">
        <f>COUNTIFS(Games[Team],Games[[#This Row],[Team]],Games[Season],Games[[#This Row],[Season]],Games[Date],"&lt;=" &amp; Games[[#This Row],[Date]])</f>
        <v>3</v>
      </c>
      <c r="D35" s="2" t="s">
        <v>79</v>
      </c>
      <c r="E35" s="2" t="s">
        <v>80</v>
      </c>
      <c r="F35" s="1" t="s">
        <v>77</v>
      </c>
      <c r="G35" s="1" t="s">
        <v>85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" s="2">
        <f>Games[[#This Row],[DaysOff]]-Games[[#This Row],[OppDaysOff]]</f>
        <v>0</v>
      </c>
      <c r="L35" s="2">
        <f>Games[[#This Row],[OppDaysOff]]-Games[[#This Row],[DaysOff]]</f>
        <v>0</v>
      </c>
      <c r="M35" s="1">
        <f>MAX(-16, MIN(16, Games[[#This Row],[RestDiff]]*8))</f>
        <v>0</v>
      </c>
      <c r="N35" s="1">
        <f>MAX(-16, MIN(16, Games[[#This Row],[OppRestDiff]]*8))</f>
        <v>0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1479.0973360443002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1520.6544592090777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0.56077817573883593</v>
      </c>
      <c r="R35" s="1">
        <v>83</v>
      </c>
      <c r="S35" s="1">
        <v>78</v>
      </c>
      <c r="T35" s="1">
        <v>0</v>
      </c>
      <c r="U35" s="1">
        <f>Games[[#This Row],[PointsFor]]-Games[[#This Row],[PointsAgainst]]</f>
        <v>5</v>
      </c>
      <c r="V35" s="1">
        <f>IF(Games[[#This Row],[MOV]]&gt;0,1,IF(Games[[#This Row],[MOV]]=0,0.5,0))</f>
        <v>1</v>
      </c>
      <c r="W35" s="4">
        <f>((ABS(Games[[#This Row],[MOV]])+5)^0.6)/(12+0.01*(ABS(Games[[#This Row],[PreGmRate]]-Games[[#This Row],[OppPreGmRate]])))*IF(Games[[#This Row],[OT]]=1,0.9,1)</f>
        <v>0.32065151343073656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" s="9">
        <f>MAX(kmin, kmax - 0.15 * MIN(Games[[#This Row],[GamesPlayed]], 82))</f>
        <v>75.55</v>
      </c>
      <c r="Z35" s="4">
        <f>Games[[#This Row],[K]]*Games[[#This Row],[POMult]]</f>
        <v>75.55</v>
      </c>
      <c r="AA35" s="4">
        <f>(Games[[#This Row],[Keff]]*Games[[#This Row],[MOVMult]])*(Games[[#This Row],[Result]]-Games[[#This Row],[ExpectedWin%]])</f>
        <v>10.640246129560978</v>
      </c>
      <c r="AB35" s="4">
        <f>Games[[#This Row],[PreGmRate]]+Games[[#This Row],[RatingChange]]</f>
        <v>1489.737582173861</v>
      </c>
      <c r="AC35" s="2">
        <f>IF(Games[[#This Row],[Type]]="R",IF(Games[[#This Row],[Result]]&gt;0.5,1,0),0)</f>
        <v>1</v>
      </c>
      <c r="AD35" s="2">
        <f>IF(Games[[#This Row],[Type]]="R",IF(Games[[#This Row],[Result]]&lt;0.5,1,0),0)</f>
        <v>0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45433</v>
      </c>
      <c r="B36" s="2">
        <v>2024</v>
      </c>
      <c r="C36" s="2">
        <f>COUNTIFS(Games[Team],Games[[#This Row],[Team]],Games[Season],Games[[#This Row],[Season]],Games[Date],"&lt;=" &amp; Games[[#This Row],[Date]])</f>
        <v>4</v>
      </c>
      <c r="D36" s="2" t="s">
        <v>79</v>
      </c>
      <c r="E36" s="2" t="s">
        <v>80</v>
      </c>
      <c r="F36" s="1" t="s">
        <v>65</v>
      </c>
      <c r="G36" s="1" t="s">
        <v>63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" s="2">
        <f>Games[[#This Row],[DaysOff]]-Games[[#This Row],[OppDaysOff]]</f>
        <v>-1</v>
      </c>
      <c r="L36" s="2">
        <f>Games[[#This Row],[OppDaysOff]]-Games[[#This Row],[DaysOff]]</f>
        <v>1</v>
      </c>
      <c r="M36" s="1">
        <f>MAX(-16, MIN(16, Games[[#This Row],[RestDiff]]*8))</f>
        <v>-8</v>
      </c>
      <c r="N36" s="1">
        <f>MAX(-16, MIN(16, Games[[#This Row],[OppRestDiff]]*8))</f>
        <v>8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1448.533473665577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1446.7210180855427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0.36234214602465487</v>
      </c>
      <c r="R36" s="1">
        <v>68</v>
      </c>
      <c r="S36" s="1">
        <v>70</v>
      </c>
      <c r="T36" s="1">
        <v>0</v>
      </c>
      <c r="U36" s="1">
        <f>Games[[#This Row],[PointsFor]]-Games[[#This Row],[PointsAgainst]]</f>
        <v>-2</v>
      </c>
      <c r="V36" s="1">
        <f>IF(Games[[#This Row],[MOV]]&gt;0,1,IF(Games[[#This Row],[MOV]]=0,0.5,0))</f>
        <v>0</v>
      </c>
      <c r="W36" s="4">
        <f>((ABS(Games[[#This Row],[MOV]])+5)^0.6)/(12+0.01*(ABS(Games[[#This Row],[PreGmRate]]-Games[[#This Row],[OppPreGmRate]])))*IF(Games[[#This Row],[OT]]=1,0.9,1)</f>
        <v>0.26743738881993945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" s="9">
        <f>MAX(kmin, kmax - 0.15 * MIN(Games[[#This Row],[GamesPlayed]], 82))</f>
        <v>75.400000000000006</v>
      </c>
      <c r="Z36" s="4">
        <f>Games[[#This Row],[K]]*Games[[#This Row],[POMult]]</f>
        <v>75.400000000000006</v>
      </c>
      <c r="AA36" s="4">
        <f>(Games[[#This Row],[Keff]]*Games[[#This Row],[MOVMult]])*(Games[[#This Row],[Result]]-Games[[#This Row],[ExpectedWin%]])</f>
        <v>-7.3065493393754171</v>
      </c>
      <c r="AB36" s="4">
        <f>Games[[#This Row],[PreGmRate]]+Games[[#This Row],[RatingChange]]</f>
        <v>1441.2269243262017</v>
      </c>
      <c r="AC36" s="2">
        <f>IF(Games[[#This Row],[Type]]="R",IF(Games[[#This Row],[Result]]&gt;0.5,1,0),0)</f>
        <v>0</v>
      </c>
      <c r="AD36" s="2">
        <f>IF(Games[[#This Row],[Type]]="R",IF(Games[[#This Row],[Result]]&lt;0.5,1,0),0)</f>
        <v>1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45433</v>
      </c>
      <c r="B37" s="2">
        <v>2024</v>
      </c>
      <c r="C37" s="2">
        <f>COUNTIFS(Games[Team],Games[[#This Row],[Team]],Games[Season],Games[[#This Row],[Season]],Games[Date],"&lt;=" &amp; Games[[#This Row],[Date]])</f>
        <v>3</v>
      </c>
      <c r="D37" s="2" t="s">
        <v>79</v>
      </c>
      <c r="E37" s="2" t="s">
        <v>80</v>
      </c>
      <c r="F37" s="1" t="s">
        <v>63</v>
      </c>
      <c r="G37" s="1" t="s">
        <v>65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" s="2">
        <f>Games[[#This Row],[DaysOff]]-Games[[#This Row],[OppDaysOff]]</f>
        <v>1</v>
      </c>
      <c r="L37" s="2">
        <f>Games[[#This Row],[OppDaysOff]]-Games[[#This Row],[DaysOff]]</f>
        <v>-1</v>
      </c>
      <c r="M37" s="1">
        <f>MAX(-16, MIN(16, Games[[#This Row],[RestDiff]]*8))</f>
        <v>8</v>
      </c>
      <c r="N37" s="1">
        <f>MAX(-16, MIN(16, Games[[#This Row],[OppRestDiff]]*8))</f>
        <v>-8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1446.7210180855427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1448.533473665577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0.63765785397534513</v>
      </c>
      <c r="R37" s="1">
        <v>70</v>
      </c>
      <c r="S37" s="1">
        <v>68</v>
      </c>
      <c r="T37" s="1">
        <v>0</v>
      </c>
      <c r="U37" s="1">
        <f>Games[[#This Row],[PointsFor]]-Games[[#This Row],[PointsAgainst]]</f>
        <v>2</v>
      </c>
      <c r="V37" s="1">
        <f>IF(Games[[#This Row],[MOV]]&gt;0,1,IF(Games[[#This Row],[MOV]]=0,0.5,0))</f>
        <v>1</v>
      </c>
      <c r="W37" s="4">
        <f>((ABS(Games[[#This Row],[MOV]])+5)^0.6)/(12+0.01*(ABS(Games[[#This Row],[PreGmRate]]-Games[[#This Row],[OppPreGmRate]])))*IF(Games[[#This Row],[OT]]=1,0.9,1)</f>
        <v>0.26743738881993945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" s="9">
        <f>MAX(kmin, kmax - 0.15 * MIN(Games[[#This Row],[GamesPlayed]], 82))</f>
        <v>75.55</v>
      </c>
      <c r="Z37" s="4">
        <f>Games[[#This Row],[K]]*Games[[#This Row],[POMult]]</f>
        <v>75.55</v>
      </c>
      <c r="AA37" s="4">
        <f>(Games[[#This Row],[Keff]]*Games[[#This Row],[MOVMult]])*(Games[[#This Row],[Result]]-Games[[#This Row],[ExpectedWin%]])</f>
        <v>7.3210849149842527</v>
      </c>
      <c r="AB37" s="4">
        <f>Games[[#This Row],[PreGmRate]]+Games[[#This Row],[RatingChange]]</f>
        <v>1454.042103000527</v>
      </c>
      <c r="AC37" s="2">
        <f>IF(Games[[#This Row],[Type]]="R",IF(Games[[#This Row],[Result]]&gt;0.5,1,0),0)</f>
        <v>1</v>
      </c>
      <c r="AD37" s="2">
        <f>IF(Games[[#This Row],[Type]]="R",IF(Games[[#This Row],[Result]]&lt;0.5,1,0),0)</f>
        <v>0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45433</v>
      </c>
      <c r="B38" s="2">
        <v>2024</v>
      </c>
      <c r="C38" s="2">
        <f>COUNTIFS(Games[Team],Games[[#This Row],[Team]],Games[Season],Games[[#This Row],[Season]],Games[Date],"&lt;=" &amp; Games[[#This Row],[Date]])</f>
        <v>3</v>
      </c>
      <c r="D38" s="2" t="s">
        <v>79</v>
      </c>
      <c r="E38" s="2" t="s">
        <v>80</v>
      </c>
      <c r="F38" s="1" t="s">
        <v>40</v>
      </c>
      <c r="G38" s="1" t="s">
        <v>86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" s="2">
        <f>Games[[#This Row],[DaysOff]]-Games[[#This Row],[OppDaysOff]]</f>
        <v>0</v>
      </c>
      <c r="L38" s="2">
        <f>Games[[#This Row],[OppDaysOff]]-Games[[#This Row],[DaysOff]]</f>
        <v>0</v>
      </c>
      <c r="M38" s="1">
        <f>MAX(-16, MIN(16, Games[[#This Row],[RestDiff]]*8))</f>
        <v>0</v>
      </c>
      <c r="N38" s="1">
        <f>MAX(-16, MIN(16, Games[[#This Row],[OppRestDiff]]*8))</f>
        <v>0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1407.5154439916741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1649.5986149429946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0.13272398387149628</v>
      </c>
      <c r="R38" s="1">
        <v>98</v>
      </c>
      <c r="S38" s="1">
        <v>88</v>
      </c>
      <c r="T38" s="1">
        <v>0</v>
      </c>
      <c r="U38" s="1">
        <f>Games[[#This Row],[PointsFor]]-Games[[#This Row],[PointsAgainst]]</f>
        <v>10</v>
      </c>
      <c r="V38" s="1">
        <f>IF(Games[[#This Row],[MOV]]&gt;0,1,IF(Games[[#This Row],[MOV]]=0,0.5,0))</f>
        <v>1</v>
      </c>
      <c r="W38" s="4">
        <f>((ABS(Games[[#This Row],[MOV]])+5)^0.6)/(12+0.01*(ABS(Games[[#This Row],[PreGmRate]]-Games[[#This Row],[OppPreGmRate]])))*IF(Games[[#This Row],[OT]]=1,0.9,1)</f>
        <v>0.352098720397508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" s="9">
        <f>MAX(kmin, kmax - 0.15 * MIN(Games[[#This Row],[GamesPlayed]], 82))</f>
        <v>75.55</v>
      </c>
      <c r="Z38" s="4">
        <f>Games[[#This Row],[K]]*Games[[#This Row],[POMult]]</f>
        <v>75.55</v>
      </c>
      <c r="AA38" s="4">
        <f>(Games[[#This Row],[Keff]]*Games[[#This Row],[MOVMult]])*(Games[[#This Row],[Result]]-Games[[#This Row],[ExpectedWin%]])</f>
        <v>23.070459889802763</v>
      </c>
      <c r="AB38" s="4">
        <f>Games[[#This Row],[PreGmRate]]+Games[[#This Row],[RatingChange]]</f>
        <v>1430.585903881477</v>
      </c>
      <c r="AC38" s="2">
        <f>IF(Games[[#This Row],[Type]]="R",IF(Games[[#This Row],[Result]]&gt;0.5,1,0),0)</f>
        <v>1</v>
      </c>
      <c r="AD38" s="2">
        <f>IF(Games[[#This Row],[Type]]="R",IF(Games[[#This Row],[Result]]&lt;0.5,1,0),0)</f>
        <v>0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45433</v>
      </c>
      <c r="B39" s="2">
        <v>2024</v>
      </c>
      <c r="C39" s="2">
        <f>COUNTIFS(Games[Team],Games[[#This Row],[Team]],Games[Season],Games[[#This Row],[Season]],Games[Date],"&lt;=" &amp; Games[[#This Row],[Date]])</f>
        <v>3</v>
      </c>
      <c r="D39" s="2" t="s">
        <v>79</v>
      </c>
      <c r="E39" s="2" t="s">
        <v>80</v>
      </c>
      <c r="F39" s="1" t="s">
        <v>86</v>
      </c>
      <c r="G39" s="1" t="s">
        <v>40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" s="2">
        <f>Games[[#This Row],[DaysOff]]-Games[[#This Row],[OppDaysOff]]</f>
        <v>0</v>
      </c>
      <c r="L39" s="2">
        <f>Games[[#This Row],[OppDaysOff]]-Games[[#This Row],[DaysOff]]</f>
        <v>0</v>
      </c>
      <c r="M39" s="1">
        <f>MAX(-16, MIN(16, Games[[#This Row],[RestDiff]]*8))</f>
        <v>0</v>
      </c>
      <c r="N39" s="1">
        <f>MAX(-16, MIN(16, Games[[#This Row],[OppRestDiff]]*8))</f>
        <v>0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1649.5986149429946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1407.5154439916741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0.86727601612850369</v>
      </c>
      <c r="R39" s="1">
        <v>88</v>
      </c>
      <c r="S39" s="1">
        <v>98</v>
      </c>
      <c r="T39" s="1">
        <v>0</v>
      </c>
      <c r="U39" s="1">
        <f>Games[[#This Row],[PointsFor]]-Games[[#This Row],[PointsAgainst]]</f>
        <v>-10</v>
      </c>
      <c r="V39" s="1">
        <f>IF(Games[[#This Row],[MOV]]&gt;0,1,IF(Games[[#This Row],[MOV]]=0,0.5,0))</f>
        <v>0</v>
      </c>
      <c r="W39" s="4">
        <f>((ABS(Games[[#This Row],[MOV]])+5)^0.6)/(12+0.01*(ABS(Games[[#This Row],[PreGmRate]]-Games[[#This Row],[OppPreGmRate]])))*IF(Games[[#This Row],[OT]]=1,0.9,1)</f>
        <v>0.352098720397508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" s="9">
        <f>MAX(kmin, kmax - 0.15 * MIN(Games[[#This Row],[GamesPlayed]], 82))</f>
        <v>75.55</v>
      </c>
      <c r="Z39" s="4">
        <f>Games[[#This Row],[K]]*Games[[#This Row],[POMult]]</f>
        <v>75.55</v>
      </c>
      <c r="AA39" s="4">
        <f>(Games[[#This Row],[Keff]]*Games[[#This Row],[MOVMult]])*(Games[[#This Row],[Result]]-Games[[#This Row],[ExpectedWin%]])</f>
        <v>-23.070459889802763</v>
      </c>
      <c r="AB39" s="4">
        <f>Games[[#This Row],[PreGmRate]]+Games[[#This Row],[RatingChange]]</f>
        <v>1626.5281550531918</v>
      </c>
      <c r="AC39" s="2">
        <f>IF(Games[[#This Row],[Type]]="R",IF(Games[[#This Row],[Result]]&gt;0.5,1,0),0)</f>
        <v>0</v>
      </c>
      <c r="AD39" s="2">
        <f>IF(Games[[#This Row],[Type]]="R",IF(Games[[#This Row],[Result]]&lt;0.5,1,0),0)</f>
        <v>1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45434</v>
      </c>
      <c r="B40" s="2">
        <v>2024</v>
      </c>
      <c r="C40" s="2">
        <f>COUNTIFS(Games[Team],Games[[#This Row],[Team]],Games[Season],Games[[#This Row],[Season]],Games[Date],"&lt;=" &amp; Games[[#This Row],[Date]])</f>
        <v>5</v>
      </c>
      <c r="D40" s="2" t="s">
        <v>79</v>
      </c>
      <c r="E40" s="2" t="s">
        <v>80</v>
      </c>
      <c r="F40" s="1" t="s">
        <v>69</v>
      </c>
      <c r="G40" s="1" t="s">
        <v>71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" s="2">
        <f>Games[[#This Row],[DaysOff]]-Games[[#This Row],[OppDaysOff]]</f>
        <v>0</v>
      </c>
      <c r="L40" s="2">
        <f>Games[[#This Row],[OppDaysOff]]-Games[[#This Row],[DaysOff]]</f>
        <v>0</v>
      </c>
      <c r="M40" s="1">
        <f>MAX(-16, MIN(16, Games[[#This Row],[RestDiff]]*8))</f>
        <v>0</v>
      </c>
      <c r="N40" s="1">
        <f>MAX(-16, MIN(16, Games[[#This Row],[OppRestDiff]]*8))</f>
        <v>0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1390.5605353411645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1433.5179200152184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0.32501361347504631</v>
      </c>
      <c r="R40" s="1">
        <v>83</v>
      </c>
      <c r="S40" s="1">
        <v>85</v>
      </c>
      <c r="T40" s="1">
        <v>0</v>
      </c>
      <c r="U40" s="1">
        <f>Games[[#This Row],[PointsFor]]-Games[[#This Row],[PointsAgainst]]</f>
        <v>-2</v>
      </c>
      <c r="V40" s="1">
        <f>IF(Games[[#This Row],[MOV]]&gt;0,1,IF(Games[[#This Row],[MOV]]=0,0.5,0))</f>
        <v>0</v>
      </c>
      <c r="W40" s="4">
        <f>((ABS(Games[[#This Row],[MOV]])+5)^0.6)/(12+0.01*(ABS(Games[[#This Row],[PreGmRate]]-Games[[#This Row],[OppPreGmRate]])))*IF(Games[[#This Row],[OT]]=1,0.9,1)</f>
        <v>0.25858455722992341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" s="9">
        <f>MAX(kmin, kmax - 0.15 * MIN(Games[[#This Row],[GamesPlayed]], 82))</f>
        <v>75.25</v>
      </c>
      <c r="Z40" s="4">
        <f>Games[[#This Row],[K]]*Games[[#This Row],[POMult]]</f>
        <v>75.25</v>
      </c>
      <c r="AA40" s="4">
        <f>(Games[[#This Row],[Keff]]*Games[[#This Row],[MOVMult]])*(Games[[#This Row],[Result]]-Games[[#This Row],[ExpectedWin%]])</f>
        <v>-6.32427347539421</v>
      </c>
      <c r="AB40" s="4">
        <f>Games[[#This Row],[PreGmRate]]+Games[[#This Row],[RatingChange]]</f>
        <v>1384.2362618657703</v>
      </c>
      <c r="AC40" s="2">
        <f>IF(Games[[#This Row],[Type]]="R",IF(Games[[#This Row],[Result]]&gt;0.5,1,0),0)</f>
        <v>0</v>
      </c>
      <c r="AD40" s="2">
        <f>IF(Games[[#This Row],[Type]]="R",IF(Games[[#This Row],[Result]]&lt;0.5,1,0),0)</f>
        <v>1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45434</v>
      </c>
      <c r="B41" s="2">
        <v>2024</v>
      </c>
      <c r="C41" s="2">
        <f>COUNTIFS(Games[Team],Games[[#This Row],[Team]],Games[Season],Games[[#This Row],[Season]],Games[Date],"&lt;=" &amp; Games[[#This Row],[Date]])</f>
        <v>5</v>
      </c>
      <c r="D41" s="2" t="s">
        <v>79</v>
      </c>
      <c r="E41" s="2" t="s">
        <v>80</v>
      </c>
      <c r="F41" s="1" t="s">
        <v>71</v>
      </c>
      <c r="G41" s="1" t="s">
        <v>69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" s="2">
        <f>Games[[#This Row],[DaysOff]]-Games[[#This Row],[OppDaysOff]]</f>
        <v>0</v>
      </c>
      <c r="L41" s="2">
        <f>Games[[#This Row],[OppDaysOff]]-Games[[#This Row],[DaysOff]]</f>
        <v>0</v>
      </c>
      <c r="M41" s="1">
        <f>MAX(-16, MIN(16, Games[[#This Row],[RestDiff]]*8))</f>
        <v>0</v>
      </c>
      <c r="N41" s="1">
        <f>MAX(-16, MIN(16, Games[[#This Row],[OppRestDiff]]*8))</f>
        <v>0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1433.5179200152184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1390.5605353411645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0.67498638652495369</v>
      </c>
      <c r="R41" s="1">
        <v>85</v>
      </c>
      <c r="S41" s="1">
        <v>83</v>
      </c>
      <c r="T41" s="1">
        <v>0</v>
      </c>
      <c r="U41" s="1">
        <f>Games[[#This Row],[PointsFor]]-Games[[#This Row],[PointsAgainst]]</f>
        <v>2</v>
      </c>
      <c r="V41" s="1">
        <f>IF(Games[[#This Row],[MOV]]&gt;0,1,IF(Games[[#This Row],[MOV]]=0,0.5,0))</f>
        <v>1</v>
      </c>
      <c r="W41" s="4">
        <f>((ABS(Games[[#This Row],[MOV]])+5)^0.6)/(12+0.01*(ABS(Games[[#This Row],[PreGmRate]]-Games[[#This Row],[OppPreGmRate]])))*IF(Games[[#This Row],[OT]]=1,0.9,1)</f>
        <v>0.25858455722992341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" s="9">
        <f>MAX(kmin, kmax - 0.15 * MIN(Games[[#This Row],[GamesPlayed]], 82))</f>
        <v>75.25</v>
      </c>
      <c r="Z41" s="4">
        <f>Games[[#This Row],[K]]*Games[[#This Row],[POMult]]</f>
        <v>75.25</v>
      </c>
      <c r="AA41" s="4">
        <f>(Games[[#This Row],[Keff]]*Games[[#This Row],[MOVMult]])*(Games[[#This Row],[Result]]-Games[[#This Row],[ExpectedWin%]])</f>
        <v>6.32427347539421</v>
      </c>
      <c r="AB41" s="4">
        <f>Games[[#This Row],[PreGmRate]]+Games[[#This Row],[RatingChange]]</f>
        <v>1439.8421934906125</v>
      </c>
      <c r="AC41" s="2">
        <f>IF(Games[[#This Row],[Type]]="R",IF(Games[[#This Row],[Result]]&gt;0.5,1,0),0)</f>
        <v>1</v>
      </c>
      <c r="AD41" s="2">
        <f>IF(Games[[#This Row],[Type]]="R",IF(Games[[#This Row],[Result]]&lt;0.5,1,0),0)</f>
        <v>0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45435</v>
      </c>
      <c r="B42" s="2">
        <v>2024</v>
      </c>
      <c r="C42" s="2">
        <f>COUNTIFS(Games[Team],Games[[#This Row],[Team]],Games[Season],Games[[#This Row],[Season]],Games[Date],"&lt;=" &amp; Games[[#This Row],[Date]])</f>
        <v>3</v>
      </c>
      <c r="D42" s="2" t="s">
        <v>79</v>
      </c>
      <c r="E42" s="2" t="s">
        <v>80</v>
      </c>
      <c r="F42" s="1" t="s">
        <v>67</v>
      </c>
      <c r="G42" s="1" t="s">
        <v>74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5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" s="2">
        <f>Games[[#This Row],[DaysOff]]-Games[[#This Row],[OppDaysOff]]</f>
        <v>3</v>
      </c>
      <c r="L42" s="2">
        <f>Games[[#This Row],[OppDaysOff]]-Games[[#This Row],[DaysOff]]</f>
        <v>-3</v>
      </c>
      <c r="M42" s="1">
        <f>MAX(-16, MIN(16, Games[[#This Row],[RestDiff]]*8))</f>
        <v>16</v>
      </c>
      <c r="N42" s="1">
        <f>MAX(-16, MIN(16, Games[[#This Row],[OppRestDiff]]*8))</f>
        <v>-16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1499.1098541361782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1573.1993780967659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0.326110549283749</v>
      </c>
      <c r="R42" s="1">
        <v>82</v>
      </c>
      <c r="S42" s="1">
        <v>83</v>
      </c>
      <c r="T42" s="1">
        <v>1</v>
      </c>
      <c r="U42" s="1">
        <f>Games[[#This Row],[PointsFor]]-Games[[#This Row],[PointsAgainst]]</f>
        <v>-1</v>
      </c>
      <c r="V42" s="1">
        <f>IF(Games[[#This Row],[MOV]]&gt;0,1,IF(Games[[#This Row],[MOV]]=0,0.5,0))</f>
        <v>0</v>
      </c>
      <c r="W42" s="4">
        <f>((ABS(Games[[#This Row],[MOV]])+5)^0.6)/(12+0.01*(ABS(Games[[#This Row],[PreGmRate]]-Games[[#This Row],[OppPreGmRate]])))*IF(Games[[#This Row],[OT]]=1,0.9,1)</f>
        <v>0.20698235067716839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" s="9">
        <f>MAX(kmin, kmax - 0.15 * MIN(Games[[#This Row],[GamesPlayed]], 82))</f>
        <v>75.55</v>
      </c>
      <c r="Z42" s="4">
        <f>Games[[#This Row],[K]]*Games[[#This Row],[POMult]]</f>
        <v>75.55</v>
      </c>
      <c r="AA42" s="4">
        <f>(Games[[#This Row],[Keff]]*Games[[#This Row],[MOVMult]])*(Games[[#This Row],[Result]]-Games[[#This Row],[ExpectedWin%]])</f>
        <v>-5.0995591257922248</v>
      </c>
      <c r="AB42" s="4">
        <f>Games[[#This Row],[PreGmRate]]+Games[[#This Row],[RatingChange]]</f>
        <v>1494.010295010386</v>
      </c>
      <c r="AC42" s="2">
        <f>IF(Games[[#This Row],[Type]]="R",IF(Games[[#This Row],[Result]]&gt;0.5,1,0),0)</f>
        <v>0</v>
      </c>
      <c r="AD42" s="2">
        <f>IF(Games[[#This Row],[Type]]="R",IF(Games[[#This Row],[Result]]&lt;0.5,1,0),0)</f>
        <v>1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45435</v>
      </c>
      <c r="B43" s="2">
        <v>2024</v>
      </c>
      <c r="C43" s="2">
        <f>COUNTIFS(Games[Team],Games[[#This Row],[Team]],Games[Season],Games[[#This Row],[Season]],Games[Date],"&lt;=" &amp; Games[[#This Row],[Date]])</f>
        <v>4</v>
      </c>
      <c r="D43" s="2" t="s">
        <v>79</v>
      </c>
      <c r="E43" s="2" t="s">
        <v>80</v>
      </c>
      <c r="F43" s="1" t="s">
        <v>74</v>
      </c>
      <c r="G43" s="1" t="s">
        <v>67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3" s="2">
        <f>Games[[#This Row],[DaysOff]]-Games[[#This Row],[OppDaysOff]]</f>
        <v>-3</v>
      </c>
      <c r="L43" s="2">
        <f>Games[[#This Row],[OppDaysOff]]-Games[[#This Row],[DaysOff]]</f>
        <v>3</v>
      </c>
      <c r="M43" s="1">
        <f>MAX(-16, MIN(16, Games[[#This Row],[RestDiff]]*8))</f>
        <v>-16</v>
      </c>
      <c r="N43" s="1">
        <f>MAX(-16, MIN(16, Games[[#This Row],[OppRestDiff]]*8))</f>
        <v>16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1573.1993780967659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1499.1098541361782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0.67388945071625095</v>
      </c>
      <c r="R43" s="1">
        <v>83</v>
      </c>
      <c r="S43" s="1">
        <v>82</v>
      </c>
      <c r="T43" s="1">
        <v>1</v>
      </c>
      <c r="U43" s="1">
        <f>Games[[#This Row],[PointsFor]]-Games[[#This Row],[PointsAgainst]]</f>
        <v>1</v>
      </c>
      <c r="V43" s="1">
        <f>IF(Games[[#This Row],[MOV]]&gt;0,1,IF(Games[[#This Row],[MOV]]=0,0.5,0))</f>
        <v>1</v>
      </c>
      <c r="W43" s="4">
        <f>((ABS(Games[[#This Row],[MOV]])+5)^0.6)/(12+0.01*(ABS(Games[[#This Row],[PreGmRate]]-Games[[#This Row],[OppPreGmRate]])))*IF(Games[[#This Row],[OT]]=1,0.9,1)</f>
        <v>0.20698235067716839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" s="9">
        <f>MAX(kmin, kmax - 0.15 * MIN(Games[[#This Row],[GamesPlayed]], 82))</f>
        <v>75.400000000000006</v>
      </c>
      <c r="Z43" s="4">
        <f>Games[[#This Row],[K]]*Games[[#This Row],[POMult]]</f>
        <v>75.400000000000006</v>
      </c>
      <c r="AA43" s="4">
        <f>(Games[[#This Row],[Keff]]*Games[[#This Row],[MOVMult]])*(Games[[#This Row],[Result]]-Games[[#This Row],[ExpectedWin%]])</f>
        <v>5.0894342565815212</v>
      </c>
      <c r="AB43" s="4">
        <f>Games[[#This Row],[PreGmRate]]+Games[[#This Row],[RatingChange]]</f>
        <v>1578.2888123533476</v>
      </c>
      <c r="AC43" s="2">
        <f>IF(Games[[#This Row],[Type]]="R",IF(Games[[#This Row],[Result]]&gt;0.5,1,0),0)</f>
        <v>1</v>
      </c>
      <c r="AD43" s="2">
        <f>IF(Games[[#This Row],[Type]]="R",IF(Games[[#This Row],[Result]]&lt;0.5,1,0),0)</f>
        <v>0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45435</v>
      </c>
      <c r="B44" s="2">
        <v>2024</v>
      </c>
      <c r="C44" s="2">
        <f>COUNTIFS(Games[Team],Games[[#This Row],[Team]],Games[Season],Games[[#This Row],[Season]],Games[Date],"&lt;=" &amp; Games[[#This Row],[Date]])</f>
        <v>3</v>
      </c>
      <c r="D44" s="2" t="s">
        <v>79</v>
      </c>
      <c r="E44" s="2" t="s">
        <v>80</v>
      </c>
      <c r="F44" s="1" t="s">
        <v>75</v>
      </c>
      <c r="G44" s="1" t="s">
        <v>60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4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" s="2">
        <f>Games[[#This Row],[DaysOff]]-Games[[#This Row],[OppDaysOff]]</f>
        <v>2</v>
      </c>
      <c r="L44" s="2">
        <f>Games[[#This Row],[OppDaysOff]]-Games[[#This Row],[DaysOff]]</f>
        <v>-2</v>
      </c>
      <c r="M44" s="1">
        <f>MAX(-16, MIN(16, Games[[#This Row],[RestDiff]]*8))</f>
        <v>16</v>
      </c>
      <c r="N44" s="1">
        <f>MAX(-16, MIN(16, Games[[#This Row],[OppRestDiff]]*8))</f>
        <v>-16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1510.4198502649924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1641.4659955470397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0.25851555571875201</v>
      </c>
      <c r="R44" s="1">
        <v>90</v>
      </c>
      <c r="S44" s="1">
        <v>81</v>
      </c>
      <c r="T44" s="1">
        <v>0</v>
      </c>
      <c r="U44" s="1">
        <f>Games[[#This Row],[PointsFor]]-Games[[#This Row],[PointsAgainst]]</f>
        <v>9</v>
      </c>
      <c r="V44" s="1">
        <f>IF(Games[[#This Row],[MOV]]&gt;0,1,IF(Games[[#This Row],[MOV]]=0,0.5,0))</f>
        <v>1</v>
      </c>
      <c r="W44" s="4">
        <f>((ABS(Games[[#This Row],[MOV]])+5)^0.6)/(12+0.01*(ABS(Games[[#This Row],[PreGmRate]]-Games[[#This Row],[OppPreGmRate]])))*IF(Games[[#This Row],[OT]]=1,0.9,1)</f>
        <v>0.36600221134591954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" s="9">
        <f>MAX(kmin, kmax - 0.15 * MIN(Games[[#This Row],[GamesPlayed]], 82))</f>
        <v>75.55</v>
      </c>
      <c r="Z44" s="4">
        <f>Games[[#This Row],[K]]*Games[[#This Row],[POMult]]</f>
        <v>75.55</v>
      </c>
      <c r="AA44" s="4">
        <f>(Games[[#This Row],[Keff]]*Games[[#This Row],[MOVMult]])*(Games[[#This Row],[Result]]-Games[[#This Row],[ExpectedWin%]])</f>
        <v>20.503132691872324</v>
      </c>
      <c r="AB44" s="4">
        <f>Games[[#This Row],[PreGmRate]]+Games[[#This Row],[RatingChange]]</f>
        <v>1530.9229829568646</v>
      </c>
      <c r="AC44" s="2">
        <f>IF(Games[[#This Row],[Type]]="R",IF(Games[[#This Row],[Result]]&gt;0.5,1,0),0)</f>
        <v>1</v>
      </c>
      <c r="AD44" s="2">
        <f>IF(Games[[#This Row],[Type]]="R",IF(Games[[#This Row],[Result]]&lt;0.5,1,0),0)</f>
        <v>0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45435</v>
      </c>
      <c r="B45" s="2">
        <v>2024</v>
      </c>
      <c r="C45" s="2">
        <f>COUNTIFS(Games[Team],Games[[#This Row],[Team]],Games[Season],Games[[#This Row],[Season]],Games[Date],"&lt;=" &amp; Games[[#This Row],[Date]])</f>
        <v>5</v>
      </c>
      <c r="D45" s="2" t="s">
        <v>79</v>
      </c>
      <c r="E45" s="2" t="s">
        <v>80</v>
      </c>
      <c r="F45" s="1" t="s">
        <v>60</v>
      </c>
      <c r="G45" s="1" t="s">
        <v>75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5" s="2">
        <f>Games[[#This Row],[DaysOff]]-Games[[#This Row],[OppDaysOff]]</f>
        <v>-2</v>
      </c>
      <c r="L45" s="2">
        <f>Games[[#This Row],[OppDaysOff]]-Games[[#This Row],[DaysOff]]</f>
        <v>2</v>
      </c>
      <c r="M45" s="1">
        <f>MAX(-16, MIN(16, Games[[#This Row],[RestDiff]]*8))</f>
        <v>-16</v>
      </c>
      <c r="N45" s="1">
        <f>MAX(-16, MIN(16, Games[[#This Row],[OppRestDiff]]*8))</f>
        <v>16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1641.4659955470397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1510.4198502649924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0.74148444428124793</v>
      </c>
      <c r="R45" s="1">
        <v>81</v>
      </c>
      <c r="S45" s="1">
        <v>90</v>
      </c>
      <c r="T45" s="1">
        <v>0</v>
      </c>
      <c r="U45" s="1">
        <f>Games[[#This Row],[PointsFor]]-Games[[#This Row],[PointsAgainst]]</f>
        <v>-9</v>
      </c>
      <c r="V45" s="1">
        <f>IF(Games[[#This Row],[MOV]]&gt;0,1,IF(Games[[#This Row],[MOV]]=0,0.5,0))</f>
        <v>0</v>
      </c>
      <c r="W45" s="4">
        <f>((ABS(Games[[#This Row],[MOV]])+5)^0.6)/(12+0.01*(ABS(Games[[#This Row],[PreGmRate]]-Games[[#This Row],[OppPreGmRate]])))*IF(Games[[#This Row],[OT]]=1,0.9,1)</f>
        <v>0.36600221134591954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" s="9">
        <f>MAX(kmin, kmax - 0.15 * MIN(Games[[#This Row],[GamesPlayed]], 82))</f>
        <v>75.25</v>
      </c>
      <c r="Z45" s="4">
        <f>Games[[#This Row],[K]]*Games[[#This Row],[POMult]]</f>
        <v>75.25</v>
      </c>
      <c r="AA45" s="4">
        <f>(Games[[#This Row],[Keff]]*Games[[#This Row],[MOVMult]])*(Games[[#This Row],[Result]]-Games[[#This Row],[ExpectedWin%]])</f>
        <v>-20.42171720798666</v>
      </c>
      <c r="AB45" s="4">
        <f>Games[[#This Row],[PreGmRate]]+Games[[#This Row],[RatingChange]]</f>
        <v>1621.0442783390531</v>
      </c>
      <c r="AC45" s="2">
        <f>IF(Games[[#This Row],[Type]]="R",IF(Games[[#This Row],[Result]]&gt;0.5,1,0),0)</f>
        <v>0</v>
      </c>
      <c r="AD45" s="2">
        <f>IF(Games[[#This Row],[Type]]="R",IF(Games[[#This Row],[Result]]&lt;0.5,1,0),0)</f>
        <v>1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45435</v>
      </c>
      <c r="B46" s="2">
        <v>2024</v>
      </c>
      <c r="C46" s="2">
        <f>COUNTIFS(Games[Team],Games[[#This Row],[Team]],Games[Season],Games[[#This Row],[Season]],Games[Date],"&lt;=" &amp; Games[[#This Row],[Date]])</f>
        <v>5</v>
      </c>
      <c r="D46" s="2" t="s">
        <v>79</v>
      </c>
      <c r="E46" s="2" t="s">
        <v>80</v>
      </c>
      <c r="F46" s="1" t="s">
        <v>65</v>
      </c>
      <c r="G46" s="1" t="s">
        <v>40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" s="2">
        <f>Games[[#This Row],[DaysOff]]-Games[[#This Row],[OppDaysOff]]</f>
        <v>0</v>
      </c>
      <c r="L46" s="2">
        <f>Games[[#This Row],[OppDaysOff]]-Games[[#This Row],[DaysOff]]</f>
        <v>0</v>
      </c>
      <c r="M46" s="1">
        <f>MAX(-16, MIN(16, Games[[#This Row],[RestDiff]]*8))</f>
        <v>0</v>
      </c>
      <c r="N46" s="1">
        <f>MAX(-16, MIN(16, Games[[#This Row],[OppRestDiff]]*8))</f>
        <v>0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1441.2269243262017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1430.585903881477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0.39596932620379682</v>
      </c>
      <c r="R46" s="1">
        <v>80</v>
      </c>
      <c r="S46" s="1">
        <v>83</v>
      </c>
      <c r="T46" s="1">
        <v>0</v>
      </c>
      <c r="U46" s="1">
        <f>Games[[#This Row],[PointsFor]]-Games[[#This Row],[PointsAgainst]]</f>
        <v>-3</v>
      </c>
      <c r="V46" s="1">
        <f>IF(Games[[#This Row],[MOV]]&gt;0,1,IF(Games[[#This Row],[MOV]]=0,0.5,0))</f>
        <v>0</v>
      </c>
      <c r="W46" s="4">
        <f>((ABS(Games[[#This Row],[MOV]])+5)^0.6)/(12+0.01*(ABS(Games[[#This Row],[PreGmRate]]-Games[[#This Row],[OppPreGmRate]])))*IF(Games[[#This Row],[OT]]=1,0.9,1)</f>
        <v>0.2876329311809806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" s="9">
        <f>MAX(kmin, kmax - 0.15 * MIN(Games[[#This Row],[GamesPlayed]], 82))</f>
        <v>75.25</v>
      </c>
      <c r="Z46" s="4">
        <f>Games[[#This Row],[K]]*Games[[#This Row],[POMult]]</f>
        <v>75.25</v>
      </c>
      <c r="AA46" s="4">
        <f>(Games[[#This Row],[Keff]]*Games[[#This Row],[MOVMult]])*(Games[[#This Row],[Result]]-Games[[#This Row],[ExpectedWin%]])</f>
        <v>-8.570509801020135</v>
      </c>
      <c r="AB46" s="4">
        <f>Games[[#This Row],[PreGmRate]]+Games[[#This Row],[RatingChange]]</f>
        <v>1432.6564145251816</v>
      </c>
      <c r="AC46" s="2">
        <f>IF(Games[[#This Row],[Type]]="R",IF(Games[[#This Row],[Result]]&gt;0.5,1,0),0)</f>
        <v>0</v>
      </c>
      <c r="AD46" s="2">
        <f>IF(Games[[#This Row],[Type]]="R",IF(Games[[#This Row],[Result]]&lt;0.5,1,0),0)</f>
        <v>1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45435</v>
      </c>
      <c r="B47" s="2">
        <v>2024</v>
      </c>
      <c r="C47" s="2">
        <f>COUNTIFS(Games[Team],Games[[#This Row],[Team]],Games[Season],Games[[#This Row],[Season]],Games[Date],"&lt;=" &amp; Games[[#This Row],[Date]])</f>
        <v>4</v>
      </c>
      <c r="D47" s="2" t="s">
        <v>79</v>
      </c>
      <c r="E47" s="2" t="s">
        <v>80</v>
      </c>
      <c r="F47" s="1" t="s">
        <v>40</v>
      </c>
      <c r="G47" s="1" t="s">
        <v>65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" s="2">
        <f>Games[[#This Row],[DaysOff]]-Games[[#This Row],[OppDaysOff]]</f>
        <v>0</v>
      </c>
      <c r="L47" s="2">
        <f>Games[[#This Row],[OppDaysOff]]-Games[[#This Row],[DaysOff]]</f>
        <v>0</v>
      </c>
      <c r="M47" s="1">
        <f>MAX(-16, MIN(16, Games[[#This Row],[RestDiff]]*8))</f>
        <v>0</v>
      </c>
      <c r="N47" s="1">
        <f>MAX(-16, MIN(16, Games[[#This Row],[OppRestDiff]]*8))</f>
        <v>0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1430.585903881477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1441.2269243262017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0.60403067379620312</v>
      </c>
      <c r="R47" s="1">
        <v>83</v>
      </c>
      <c r="S47" s="1">
        <v>80</v>
      </c>
      <c r="T47" s="1">
        <v>0</v>
      </c>
      <c r="U47" s="1">
        <f>Games[[#This Row],[PointsFor]]-Games[[#This Row],[PointsAgainst]]</f>
        <v>3</v>
      </c>
      <c r="V47" s="1">
        <f>IF(Games[[#This Row],[MOV]]&gt;0,1,IF(Games[[#This Row],[MOV]]=0,0.5,0))</f>
        <v>1</v>
      </c>
      <c r="W47" s="4">
        <f>((ABS(Games[[#This Row],[MOV]])+5)^0.6)/(12+0.01*(ABS(Games[[#This Row],[PreGmRate]]-Games[[#This Row],[OppPreGmRate]])))*IF(Games[[#This Row],[OT]]=1,0.9,1)</f>
        <v>0.2876329311809806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" s="9">
        <f>MAX(kmin, kmax - 0.15 * MIN(Games[[#This Row],[GamesPlayed]], 82))</f>
        <v>75.400000000000006</v>
      </c>
      <c r="Z47" s="4">
        <f>Games[[#This Row],[K]]*Games[[#This Row],[POMult]]</f>
        <v>75.400000000000006</v>
      </c>
      <c r="AA47" s="4">
        <f>(Games[[#This Row],[Keff]]*Games[[#This Row],[MOVMult]])*(Games[[#This Row],[Result]]-Games[[#This Row],[ExpectedWin%]])</f>
        <v>8.5875938737132014</v>
      </c>
      <c r="AB47" s="4">
        <f>Games[[#This Row],[PreGmRate]]+Games[[#This Row],[RatingChange]]</f>
        <v>1439.1734977551901</v>
      </c>
      <c r="AC47" s="2">
        <f>IF(Games[[#This Row],[Type]]="R",IF(Games[[#This Row],[Result]]&gt;0.5,1,0),0)</f>
        <v>1</v>
      </c>
      <c r="AD47" s="2">
        <f>IF(Games[[#This Row],[Type]]="R",IF(Games[[#This Row],[Result]]&lt;0.5,1,0),0)</f>
        <v>0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45436</v>
      </c>
      <c r="B48" s="2">
        <v>2024</v>
      </c>
      <c r="C48" s="2">
        <f>COUNTIFS(Games[Team],Games[[#This Row],[Team]],Games[Season],Games[[#This Row],[Season]],Games[Date],"&lt;=" &amp; Games[[#This Row],[Date]])</f>
        <v>6</v>
      </c>
      <c r="D48" s="2" t="s">
        <v>79</v>
      </c>
      <c r="E48" s="2" t="s">
        <v>80</v>
      </c>
      <c r="F48" s="1" t="s">
        <v>69</v>
      </c>
      <c r="G48" s="1" t="s">
        <v>63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" s="2">
        <f>Games[[#This Row],[DaysOff]]-Games[[#This Row],[OppDaysOff]]</f>
        <v>-1</v>
      </c>
      <c r="L48" s="2">
        <f>Games[[#This Row],[OppDaysOff]]-Games[[#This Row],[DaysOff]]</f>
        <v>1</v>
      </c>
      <c r="M48" s="1">
        <f>MAX(-16, MIN(16, Games[[#This Row],[RestDiff]]*8))</f>
        <v>-8</v>
      </c>
      <c r="N48" s="1">
        <f>MAX(-16, MIN(16, Games[[#This Row],[OppRestDiff]]*8))</f>
        <v>8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1384.2362618657703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1454.042103000527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0.27339189490574689</v>
      </c>
      <c r="R48" s="1">
        <v>78</v>
      </c>
      <c r="S48" s="1">
        <v>73</v>
      </c>
      <c r="T48" s="1">
        <v>0</v>
      </c>
      <c r="U48" s="1">
        <f>Games[[#This Row],[PointsFor]]-Games[[#This Row],[PointsAgainst]]</f>
        <v>5</v>
      </c>
      <c r="V48" s="1">
        <f>IF(Games[[#This Row],[MOV]]&gt;0,1,IF(Games[[#This Row],[MOV]]=0,0.5,0))</f>
        <v>1</v>
      </c>
      <c r="W48" s="4">
        <f>((ABS(Games[[#This Row],[MOV]])+5)^0.6)/(12+0.01*(ABS(Games[[#This Row],[PreGmRate]]-Games[[#This Row],[OppPreGmRate]])))*IF(Games[[#This Row],[OT]]=1,0.9,1)</f>
        <v>0.31351814400044847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" s="9">
        <f>MAX(kmin, kmax - 0.15 * MIN(Games[[#This Row],[GamesPlayed]], 82))</f>
        <v>75.099999999999994</v>
      </c>
      <c r="Z48" s="4">
        <f>Games[[#This Row],[K]]*Games[[#This Row],[POMult]]</f>
        <v>75.099999999999994</v>
      </c>
      <c r="AA48" s="4">
        <f>(Games[[#This Row],[Keff]]*Games[[#This Row],[MOVMult]])*(Games[[#This Row],[Result]]-Games[[#This Row],[ExpectedWin%]])</f>
        <v>17.108142321814963</v>
      </c>
      <c r="AB48" s="4">
        <f>Games[[#This Row],[PreGmRate]]+Games[[#This Row],[RatingChange]]</f>
        <v>1401.3444041875853</v>
      </c>
      <c r="AC48" s="2">
        <f>IF(Games[[#This Row],[Type]]="R",IF(Games[[#This Row],[Result]]&gt;0.5,1,0),0)</f>
        <v>1</v>
      </c>
      <c r="AD48" s="2">
        <f>IF(Games[[#This Row],[Type]]="R",IF(Games[[#This Row],[Result]]&lt;0.5,1,0),0)</f>
        <v>0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45436</v>
      </c>
      <c r="B49" s="2">
        <v>2024</v>
      </c>
      <c r="C49" s="2">
        <f>COUNTIFS(Games[Team],Games[[#This Row],[Team]],Games[Season],Games[[#This Row],[Season]],Games[Date],"&lt;=" &amp; Games[[#This Row],[Date]])</f>
        <v>4</v>
      </c>
      <c r="D49" s="2" t="s">
        <v>79</v>
      </c>
      <c r="E49" s="2" t="s">
        <v>80</v>
      </c>
      <c r="F49" s="1" t="s">
        <v>63</v>
      </c>
      <c r="G49" s="1" t="s">
        <v>69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" s="2">
        <f>Games[[#This Row],[DaysOff]]-Games[[#This Row],[OppDaysOff]]</f>
        <v>1</v>
      </c>
      <c r="L49" s="2">
        <f>Games[[#This Row],[OppDaysOff]]-Games[[#This Row],[DaysOff]]</f>
        <v>-1</v>
      </c>
      <c r="M49" s="1">
        <f>MAX(-16, MIN(16, Games[[#This Row],[RestDiff]]*8))</f>
        <v>8</v>
      </c>
      <c r="N49" s="1">
        <f>MAX(-16, MIN(16, Games[[#This Row],[OppRestDiff]]*8))</f>
        <v>-8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1454.042103000527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1384.2362618657703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0.72660810509425311</v>
      </c>
      <c r="R49" s="1">
        <v>73</v>
      </c>
      <c r="S49" s="1">
        <v>78</v>
      </c>
      <c r="T49" s="1">
        <v>0</v>
      </c>
      <c r="U49" s="1">
        <f>Games[[#This Row],[PointsFor]]-Games[[#This Row],[PointsAgainst]]</f>
        <v>-5</v>
      </c>
      <c r="V49" s="1">
        <f>IF(Games[[#This Row],[MOV]]&gt;0,1,IF(Games[[#This Row],[MOV]]=0,0.5,0))</f>
        <v>0</v>
      </c>
      <c r="W49" s="4">
        <f>((ABS(Games[[#This Row],[MOV]])+5)^0.6)/(12+0.01*(ABS(Games[[#This Row],[PreGmRate]]-Games[[#This Row],[OppPreGmRate]])))*IF(Games[[#This Row],[OT]]=1,0.9,1)</f>
        <v>0.31351814400044847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" s="9">
        <f>MAX(kmin, kmax - 0.15 * MIN(Games[[#This Row],[GamesPlayed]], 82))</f>
        <v>75.400000000000006</v>
      </c>
      <c r="Z49" s="4">
        <f>Games[[#This Row],[K]]*Games[[#This Row],[POMult]]</f>
        <v>75.400000000000006</v>
      </c>
      <c r="AA49" s="4">
        <f>(Games[[#This Row],[Keff]]*Games[[#This Row],[MOVMult]])*(Games[[#This Row],[Result]]-Games[[#This Row],[ExpectedWin%]])</f>
        <v>-17.176483769172414</v>
      </c>
      <c r="AB49" s="4">
        <f>Games[[#This Row],[PreGmRate]]+Games[[#This Row],[RatingChange]]</f>
        <v>1436.8656192313547</v>
      </c>
      <c r="AC49" s="2">
        <f>IF(Games[[#This Row],[Type]]="R",IF(Games[[#This Row],[Result]]&gt;0.5,1,0),0)</f>
        <v>0</v>
      </c>
      <c r="AD49" s="2">
        <f>IF(Games[[#This Row],[Type]]="R",IF(Games[[#This Row],[Result]]&lt;0.5,1,0),0)</f>
        <v>1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45437</v>
      </c>
      <c r="B50" s="2">
        <v>2024</v>
      </c>
      <c r="C50" s="2">
        <f>COUNTIFS(Games[Team],Games[[#This Row],[Team]],Games[Season],Games[[#This Row],[Season]],Games[Date],"&lt;=" &amp; Games[[#This Row],[Date]])</f>
        <v>5</v>
      </c>
      <c r="D50" s="2" t="s">
        <v>79</v>
      </c>
      <c r="E50" s="2" t="s">
        <v>80</v>
      </c>
      <c r="F50" s="1" t="s">
        <v>74</v>
      </c>
      <c r="G50" s="1" t="s">
        <v>75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" s="2">
        <f>Games[[#This Row],[DaysOff]]-Games[[#This Row],[OppDaysOff]]</f>
        <v>0</v>
      </c>
      <c r="L50" s="2">
        <f>Games[[#This Row],[OppDaysOff]]-Games[[#This Row],[DaysOff]]</f>
        <v>0</v>
      </c>
      <c r="M50" s="1">
        <f>MAX(-16, MIN(16, Games[[#This Row],[RestDiff]]*8))</f>
        <v>0</v>
      </c>
      <c r="N50" s="1">
        <f>MAX(-16, MIN(16, Games[[#This Row],[OppRestDiff]]*8))</f>
        <v>0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1578.2888123533476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1530.9229829568646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0.44747370771791806</v>
      </c>
      <c r="R50" s="1">
        <v>86</v>
      </c>
      <c r="S50" s="1">
        <v>82</v>
      </c>
      <c r="T50" s="1">
        <v>0</v>
      </c>
      <c r="U50" s="1">
        <f>Games[[#This Row],[PointsFor]]-Games[[#This Row],[PointsAgainst]]</f>
        <v>4</v>
      </c>
      <c r="V50" s="1">
        <f>IF(Games[[#This Row],[MOV]]&gt;0,1,IF(Games[[#This Row],[MOV]]=0,0.5,0))</f>
        <v>1</v>
      </c>
      <c r="W50" s="4">
        <f>((ABS(Games[[#This Row],[MOV]])+5)^0.6)/(12+0.01*(ABS(Games[[#This Row],[PreGmRate]]-Games[[#This Row],[OppPreGmRate]])))*IF(Games[[#This Row],[OT]]=1,0.9,1)</f>
        <v>0.29960679784331834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" s="9">
        <f>MAX(kmin, kmax - 0.15 * MIN(Games[[#This Row],[GamesPlayed]], 82))</f>
        <v>75.25</v>
      </c>
      <c r="Z50" s="4">
        <f>Games[[#This Row],[K]]*Games[[#This Row],[POMult]]</f>
        <v>75.25</v>
      </c>
      <c r="AA50" s="4">
        <f>(Games[[#This Row],[Keff]]*Games[[#This Row],[MOVMult]])*(Games[[#This Row],[Result]]-Games[[#This Row],[ExpectedWin%]])</f>
        <v>12.456932644904414</v>
      </c>
      <c r="AB50" s="4">
        <f>Games[[#This Row],[PreGmRate]]+Games[[#This Row],[RatingChange]]</f>
        <v>1590.7457449982519</v>
      </c>
      <c r="AC50" s="2">
        <f>IF(Games[[#This Row],[Type]]="R",IF(Games[[#This Row],[Result]]&gt;0.5,1,0),0)</f>
        <v>1</v>
      </c>
      <c r="AD50" s="2">
        <f>IF(Games[[#This Row],[Type]]="R",IF(Games[[#This Row],[Result]]&lt;0.5,1,0),0)</f>
        <v>0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45437</v>
      </c>
      <c r="B51" s="2">
        <v>2024</v>
      </c>
      <c r="C51" s="2">
        <f>COUNTIFS(Games[Team],Games[[#This Row],[Team]],Games[Season],Games[[#This Row],[Season]],Games[Date],"&lt;=" &amp; Games[[#This Row],[Date]])</f>
        <v>4</v>
      </c>
      <c r="D51" s="2" t="s">
        <v>79</v>
      </c>
      <c r="E51" s="2" t="s">
        <v>80</v>
      </c>
      <c r="F51" s="1" t="s">
        <v>75</v>
      </c>
      <c r="G51" s="1" t="s">
        <v>74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" s="2">
        <f>Games[[#This Row],[DaysOff]]-Games[[#This Row],[OppDaysOff]]</f>
        <v>0</v>
      </c>
      <c r="L51" s="2">
        <f>Games[[#This Row],[OppDaysOff]]-Games[[#This Row],[DaysOff]]</f>
        <v>0</v>
      </c>
      <c r="M51" s="1">
        <f>MAX(-16, MIN(16, Games[[#This Row],[RestDiff]]*8))</f>
        <v>0</v>
      </c>
      <c r="N51" s="1">
        <f>MAX(-16, MIN(16, Games[[#This Row],[OppRestDiff]]*8))</f>
        <v>0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1530.9229829568646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1578.2888123533476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0.55252629228208205</v>
      </c>
      <c r="R51" s="1">
        <v>82</v>
      </c>
      <c r="S51" s="1">
        <v>86</v>
      </c>
      <c r="T51" s="1">
        <v>0</v>
      </c>
      <c r="U51" s="1">
        <f>Games[[#This Row],[PointsFor]]-Games[[#This Row],[PointsAgainst]]</f>
        <v>-4</v>
      </c>
      <c r="V51" s="1">
        <f>IF(Games[[#This Row],[MOV]]&gt;0,1,IF(Games[[#This Row],[MOV]]=0,0.5,0))</f>
        <v>0</v>
      </c>
      <c r="W51" s="4">
        <f>((ABS(Games[[#This Row],[MOV]])+5)^0.6)/(12+0.01*(ABS(Games[[#This Row],[PreGmRate]]-Games[[#This Row],[OppPreGmRate]])))*IF(Games[[#This Row],[OT]]=1,0.9,1)</f>
        <v>0.29960679784331834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" s="9">
        <f>MAX(kmin, kmax - 0.15 * MIN(Games[[#This Row],[GamesPlayed]], 82))</f>
        <v>75.400000000000006</v>
      </c>
      <c r="Z51" s="4">
        <f>Games[[#This Row],[K]]*Games[[#This Row],[POMult]]</f>
        <v>75.400000000000006</v>
      </c>
      <c r="AA51" s="4">
        <f>(Games[[#This Row],[Keff]]*Games[[#This Row],[MOVMult]])*(Games[[#This Row],[Result]]-Games[[#This Row],[ExpectedWin%]])</f>
        <v>-12.48176373987765</v>
      </c>
      <c r="AB51" s="4">
        <f>Games[[#This Row],[PreGmRate]]+Games[[#This Row],[RatingChange]]</f>
        <v>1518.4412192169871</v>
      </c>
      <c r="AC51" s="2">
        <f>IF(Games[[#This Row],[Type]]="R",IF(Games[[#This Row],[Result]]&gt;0.5,1,0),0)</f>
        <v>0</v>
      </c>
      <c r="AD51" s="2">
        <f>IF(Games[[#This Row],[Type]]="R",IF(Games[[#This Row],[Result]]&lt;0.5,1,0),0)</f>
        <v>1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45437</v>
      </c>
      <c r="B52" s="2">
        <v>2024</v>
      </c>
      <c r="C52" s="2">
        <f>COUNTIFS(Games[Team],Games[[#This Row],[Team]],Games[Season],Games[[#This Row],[Season]],Games[Date],"&lt;=" &amp; Games[[#This Row],[Date]])</f>
        <v>7</v>
      </c>
      <c r="D52" s="2" t="s">
        <v>79</v>
      </c>
      <c r="E52" s="2" t="s">
        <v>80</v>
      </c>
      <c r="F52" s="1" t="s">
        <v>69</v>
      </c>
      <c r="G52" s="1" t="s">
        <v>86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0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2" s="2">
        <f>Games[[#This Row],[DaysOff]]-Games[[#This Row],[OppDaysOff]]</f>
        <v>-3</v>
      </c>
      <c r="L52" s="2">
        <f>Games[[#This Row],[OppDaysOff]]-Games[[#This Row],[DaysOff]]</f>
        <v>3</v>
      </c>
      <c r="M52" s="1">
        <f>MAX(-16, MIN(16, Games[[#This Row],[RestDiff]]*8))</f>
        <v>-16</v>
      </c>
      <c r="N52" s="1">
        <f>MAX(-16, MIN(16, Games[[#This Row],[OppRestDiff]]*8))</f>
        <v>16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1401.3444041875853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1626.5281550531918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0.1230335615481651</v>
      </c>
      <c r="R52" s="1">
        <v>80</v>
      </c>
      <c r="S52" s="1">
        <v>99</v>
      </c>
      <c r="T52" s="1">
        <v>0</v>
      </c>
      <c r="U52" s="1">
        <f>Games[[#This Row],[PointsFor]]-Games[[#This Row],[PointsAgainst]]</f>
        <v>-19</v>
      </c>
      <c r="V52" s="1">
        <f>IF(Games[[#This Row],[MOV]]&gt;0,1,IF(Games[[#This Row],[MOV]]=0,0.5,0))</f>
        <v>0</v>
      </c>
      <c r="W52" s="4">
        <f>((ABS(Games[[#This Row],[MOV]])+5)^0.6)/(12+0.01*(ABS(Games[[#This Row],[PreGmRate]]-Games[[#This Row],[OppPreGmRate]])))*IF(Games[[#This Row],[OT]]=1,0.9,1)</f>
        <v>0.47234125905439073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" s="9">
        <f>MAX(kmin, kmax - 0.15 * MIN(Games[[#This Row],[GamesPlayed]], 82))</f>
        <v>74.95</v>
      </c>
      <c r="Z52" s="4">
        <f>Games[[#This Row],[K]]*Games[[#This Row],[POMult]]</f>
        <v>74.95</v>
      </c>
      <c r="AA52" s="4">
        <f>(Games[[#This Row],[Keff]]*Games[[#This Row],[MOVMult]])*(Games[[#This Row],[Result]]-Games[[#This Row],[ExpectedWin%]])</f>
        <v>-4.3556313612020832</v>
      </c>
      <c r="AB52" s="4">
        <f>Games[[#This Row],[PreGmRate]]+Games[[#This Row],[RatingChange]]</f>
        <v>1396.9887728263832</v>
      </c>
      <c r="AC52" s="2">
        <f>IF(Games[[#This Row],[Type]]="R",IF(Games[[#This Row],[Result]]&gt;0.5,1,0),0)</f>
        <v>0</v>
      </c>
      <c r="AD52" s="2">
        <f>IF(Games[[#This Row],[Type]]="R",IF(Games[[#This Row],[Result]]&lt;0.5,1,0),0)</f>
        <v>1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45437</v>
      </c>
      <c r="B53" s="2">
        <v>2024</v>
      </c>
      <c r="C53" s="2">
        <f>COUNTIFS(Games[Team],Games[[#This Row],[Team]],Games[Season],Games[[#This Row],[Season]],Games[Date],"&lt;=" &amp; Games[[#This Row],[Date]])</f>
        <v>4</v>
      </c>
      <c r="D53" s="2" t="s">
        <v>79</v>
      </c>
      <c r="E53" s="2" t="s">
        <v>80</v>
      </c>
      <c r="F53" s="1" t="s">
        <v>86</v>
      </c>
      <c r="G53" s="1" t="s">
        <v>69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3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3" s="2">
        <f>Games[[#This Row],[DaysOff]]-Games[[#This Row],[OppDaysOff]]</f>
        <v>3</v>
      </c>
      <c r="L53" s="2">
        <f>Games[[#This Row],[OppDaysOff]]-Games[[#This Row],[DaysOff]]</f>
        <v>-3</v>
      </c>
      <c r="M53" s="1">
        <f>MAX(-16, MIN(16, Games[[#This Row],[RestDiff]]*8))</f>
        <v>16</v>
      </c>
      <c r="N53" s="1">
        <f>MAX(-16, MIN(16, Games[[#This Row],[OppRestDiff]]*8))</f>
        <v>-16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1626.5281550531918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1401.3444041875853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0.87696643845183486</v>
      </c>
      <c r="R53" s="1">
        <v>99</v>
      </c>
      <c r="S53" s="1">
        <v>80</v>
      </c>
      <c r="T53" s="1">
        <v>0</v>
      </c>
      <c r="U53" s="1">
        <f>Games[[#This Row],[PointsFor]]-Games[[#This Row],[PointsAgainst]]</f>
        <v>19</v>
      </c>
      <c r="V53" s="1">
        <f>IF(Games[[#This Row],[MOV]]&gt;0,1,IF(Games[[#This Row],[MOV]]=0,0.5,0))</f>
        <v>1</v>
      </c>
      <c r="W53" s="4">
        <f>((ABS(Games[[#This Row],[MOV]])+5)^0.6)/(12+0.01*(ABS(Games[[#This Row],[PreGmRate]]-Games[[#This Row],[OppPreGmRate]])))*IF(Games[[#This Row],[OT]]=1,0.9,1)</f>
        <v>0.47234125905439073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" s="9">
        <f>MAX(kmin, kmax - 0.15 * MIN(Games[[#This Row],[GamesPlayed]], 82))</f>
        <v>75.400000000000006</v>
      </c>
      <c r="Z53" s="4">
        <f>Games[[#This Row],[K]]*Games[[#This Row],[POMult]]</f>
        <v>75.400000000000006</v>
      </c>
      <c r="AA53" s="4">
        <f>(Games[[#This Row],[Keff]]*Games[[#This Row],[MOVMult]])*(Games[[#This Row],[Result]]-Games[[#This Row],[ExpectedWin%]])</f>
        <v>4.3817825835175075</v>
      </c>
      <c r="AB53" s="4">
        <f>Games[[#This Row],[PreGmRate]]+Games[[#This Row],[RatingChange]]</f>
        <v>1630.9099376367092</v>
      </c>
      <c r="AC53" s="2">
        <f>IF(Games[[#This Row],[Type]]="R",IF(Games[[#This Row],[Result]]&gt;0.5,1,0),0)</f>
        <v>1</v>
      </c>
      <c r="AD53" s="2">
        <f>IF(Games[[#This Row],[Type]]="R",IF(Games[[#This Row],[Result]]&lt;0.5,1,0),0)</f>
        <v>0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45437</v>
      </c>
      <c r="B54" s="2">
        <v>2024</v>
      </c>
      <c r="C54" s="2">
        <f>COUNTIFS(Games[Team],Games[[#This Row],[Team]],Games[Season],Games[[#This Row],[Season]],Games[Date],"&lt;=" &amp; Games[[#This Row],[Date]])</f>
        <v>6</v>
      </c>
      <c r="D54" s="2" t="s">
        <v>79</v>
      </c>
      <c r="E54" s="2" t="s">
        <v>80</v>
      </c>
      <c r="F54" s="1" t="s">
        <v>60</v>
      </c>
      <c r="G54" s="1" t="s">
        <v>67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" s="2">
        <f>Games[[#This Row],[DaysOff]]-Games[[#This Row],[OppDaysOff]]</f>
        <v>0</v>
      </c>
      <c r="L54" s="2">
        <f>Games[[#This Row],[OppDaysOff]]-Games[[#This Row],[DaysOff]]</f>
        <v>0</v>
      </c>
      <c r="M54" s="1">
        <f>MAX(-16, MIN(16, Games[[#This Row],[RestDiff]]*8))</f>
        <v>0</v>
      </c>
      <c r="N54" s="1">
        <f>MAX(-16, MIN(16, Games[[#This Row],[OppRestDiff]]*8))</f>
        <v>0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1621.0442783390531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1494.010295010386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0.56161610280103258</v>
      </c>
      <c r="R54" s="1">
        <v>67</v>
      </c>
      <c r="S54" s="1">
        <v>84</v>
      </c>
      <c r="T54" s="1">
        <v>0</v>
      </c>
      <c r="U54" s="1">
        <f>Games[[#This Row],[PointsFor]]-Games[[#This Row],[PointsAgainst]]</f>
        <v>-17</v>
      </c>
      <c r="V54" s="1">
        <f>IF(Games[[#This Row],[MOV]]&gt;0,1,IF(Games[[#This Row],[MOV]]=0,0.5,0))</f>
        <v>0</v>
      </c>
      <c r="W54" s="4">
        <f>((ABS(Games[[#This Row],[MOV]])+5)^0.6)/(12+0.01*(ABS(Games[[#This Row],[PreGmRate]]-Games[[#This Row],[OppPreGmRate]])))*IF(Games[[#This Row],[OT]]=1,0.9,1)</f>
        <v>0.48147258542372429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" s="9">
        <f>MAX(kmin, kmax - 0.15 * MIN(Games[[#This Row],[GamesPlayed]], 82))</f>
        <v>75.099999999999994</v>
      </c>
      <c r="Z54" s="4">
        <f>Games[[#This Row],[K]]*Games[[#This Row],[POMult]]</f>
        <v>75.099999999999994</v>
      </c>
      <c r="AA54" s="4">
        <f>(Games[[#This Row],[Keff]]*Games[[#This Row],[MOVMult]])*(Games[[#This Row],[Result]]-Games[[#This Row],[ExpectedWin%]])</f>
        <v>-20.307247053043813</v>
      </c>
      <c r="AB54" s="4">
        <f>Games[[#This Row],[PreGmRate]]+Games[[#This Row],[RatingChange]]</f>
        <v>1600.7370312860094</v>
      </c>
      <c r="AC54" s="2">
        <f>IF(Games[[#This Row],[Type]]="R",IF(Games[[#This Row],[Result]]&gt;0.5,1,0),0)</f>
        <v>0</v>
      </c>
      <c r="AD54" s="2">
        <f>IF(Games[[#This Row],[Type]]="R",IF(Games[[#This Row],[Result]]&lt;0.5,1,0),0)</f>
        <v>1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45437</v>
      </c>
      <c r="B55" s="2">
        <v>2024</v>
      </c>
      <c r="C55" s="2">
        <f>COUNTIFS(Games[Team],Games[[#This Row],[Team]],Games[Season],Games[[#This Row],[Season]],Games[Date],"&lt;=" &amp; Games[[#This Row],[Date]])</f>
        <v>4</v>
      </c>
      <c r="D55" s="2" t="s">
        <v>79</v>
      </c>
      <c r="E55" s="2" t="s">
        <v>80</v>
      </c>
      <c r="F55" s="1" t="s">
        <v>67</v>
      </c>
      <c r="G55" s="1" t="s">
        <v>60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5" s="2">
        <f>Games[[#This Row],[DaysOff]]-Games[[#This Row],[OppDaysOff]]</f>
        <v>0</v>
      </c>
      <c r="L55" s="2">
        <f>Games[[#This Row],[OppDaysOff]]-Games[[#This Row],[DaysOff]]</f>
        <v>0</v>
      </c>
      <c r="M55" s="1">
        <f>MAX(-16, MIN(16, Games[[#This Row],[RestDiff]]*8))</f>
        <v>0</v>
      </c>
      <c r="N55" s="1">
        <f>MAX(-16, MIN(16, Games[[#This Row],[OppRestDiff]]*8))</f>
        <v>0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1494.010295010386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1621.0442783390531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0.43838389719896736</v>
      </c>
      <c r="R55" s="1">
        <v>84</v>
      </c>
      <c r="S55" s="1">
        <v>67</v>
      </c>
      <c r="T55" s="1">
        <v>0</v>
      </c>
      <c r="U55" s="1">
        <f>Games[[#This Row],[PointsFor]]-Games[[#This Row],[PointsAgainst]]</f>
        <v>17</v>
      </c>
      <c r="V55" s="1">
        <f>IF(Games[[#This Row],[MOV]]&gt;0,1,IF(Games[[#This Row],[MOV]]=0,0.5,0))</f>
        <v>1</v>
      </c>
      <c r="W55" s="4">
        <f>((ABS(Games[[#This Row],[MOV]])+5)^0.6)/(12+0.01*(ABS(Games[[#This Row],[PreGmRate]]-Games[[#This Row],[OppPreGmRate]])))*IF(Games[[#This Row],[OT]]=1,0.9,1)</f>
        <v>0.48147258542372429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" s="9">
        <f>MAX(kmin, kmax - 0.15 * MIN(Games[[#This Row],[GamesPlayed]], 82))</f>
        <v>75.400000000000006</v>
      </c>
      <c r="Z55" s="4">
        <f>Games[[#This Row],[K]]*Games[[#This Row],[POMult]]</f>
        <v>75.400000000000006</v>
      </c>
      <c r="AA55" s="4">
        <f>(Games[[#This Row],[Keff]]*Games[[#This Row],[MOVMult]])*(Games[[#This Row],[Result]]-Games[[#This Row],[ExpectedWin%]])</f>
        <v>20.388367880153183</v>
      </c>
      <c r="AB55" s="4">
        <f>Games[[#This Row],[PreGmRate]]+Games[[#This Row],[RatingChange]]</f>
        <v>1514.3986628905393</v>
      </c>
      <c r="AC55" s="2">
        <f>IF(Games[[#This Row],[Type]]="R",IF(Games[[#This Row],[Result]]&gt;0.5,1,0),0)</f>
        <v>1</v>
      </c>
      <c r="AD55" s="2">
        <f>IF(Games[[#This Row],[Type]]="R",IF(Games[[#This Row],[Result]]&lt;0.5,1,0),0)</f>
        <v>0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45437</v>
      </c>
      <c r="B56" s="2">
        <v>2024</v>
      </c>
      <c r="C56" s="2">
        <f>COUNTIFS(Games[Team],Games[[#This Row],[Team]],Games[Season],Games[[#This Row],[Season]],Games[Date],"&lt;=" &amp; Games[[#This Row],[Date]])</f>
        <v>4</v>
      </c>
      <c r="D56" s="2" t="s">
        <v>79</v>
      </c>
      <c r="E56" s="2" t="s">
        <v>80</v>
      </c>
      <c r="F56" s="1" t="s">
        <v>85</v>
      </c>
      <c r="G56" s="1" t="s">
        <v>40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3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6" s="2">
        <f>Games[[#This Row],[DaysOff]]-Games[[#This Row],[OppDaysOff]]</f>
        <v>2</v>
      </c>
      <c r="L56" s="2">
        <f>Games[[#This Row],[OppDaysOff]]-Games[[#This Row],[DaysOff]]</f>
        <v>-2</v>
      </c>
      <c r="M56" s="1">
        <f>MAX(-16, MIN(16, Games[[#This Row],[RestDiff]]*8))</f>
        <v>16</v>
      </c>
      <c r="N56" s="1">
        <f>MAX(-16, MIN(16, Games[[#This Row],[OppRestDiff]]*8))</f>
        <v>-16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1510.0142130795168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1439.1734977551901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0.52708742239172868</v>
      </c>
      <c r="R56" s="1">
        <v>107</v>
      </c>
      <c r="S56" s="1">
        <v>92</v>
      </c>
      <c r="T56" s="1">
        <v>0</v>
      </c>
      <c r="U56" s="1">
        <f>Games[[#This Row],[PointsFor]]-Games[[#This Row],[PointsAgainst]]</f>
        <v>15</v>
      </c>
      <c r="V56" s="1">
        <f>IF(Games[[#This Row],[MOV]]&gt;0,1,IF(Games[[#This Row],[MOV]]=0,0.5,0))</f>
        <v>1</v>
      </c>
      <c r="W56" s="4">
        <f>((ABS(Games[[#This Row],[MOV]])+5)^0.6)/(12+0.01*(ABS(Games[[#This Row],[PreGmRate]]-Games[[#This Row],[OppPreGmRate]])))*IF(Games[[#This Row],[OT]]=1,0.9,1)</f>
        <v>0.47481767492830135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" s="9">
        <f>MAX(kmin, kmax - 0.15 * MIN(Games[[#This Row],[GamesPlayed]], 82))</f>
        <v>75.400000000000006</v>
      </c>
      <c r="Z56" s="4">
        <f>Games[[#This Row],[K]]*Games[[#This Row],[POMult]]</f>
        <v>75.400000000000006</v>
      </c>
      <c r="AA56" s="4">
        <f>(Games[[#This Row],[Keff]]*Games[[#This Row],[MOVMult]])*(Games[[#This Row],[Result]]-Games[[#This Row],[ExpectedWin%]])</f>
        <v>16.930862691040918</v>
      </c>
      <c r="AB56" s="4">
        <f>Games[[#This Row],[PreGmRate]]+Games[[#This Row],[RatingChange]]</f>
        <v>1526.9450757705577</v>
      </c>
      <c r="AC56" s="2">
        <f>IF(Games[[#This Row],[Type]]="R",IF(Games[[#This Row],[Result]]&gt;0.5,1,0),0)</f>
        <v>1</v>
      </c>
      <c r="AD56" s="2">
        <f>IF(Games[[#This Row],[Type]]="R",IF(Games[[#This Row],[Result]]&lt;0.5,1,0),0)</f>
        <v>0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45437</v>
      </c>
      <c r="B57" s="2">
        <v>2024</v>
      </c>
      <c r="C57" s="2">
        <f>COUNTIFS(Games[Team],Games[[#This Row],[Team]],Games[Season],Games[[#This Row],[Season]],Games[Date],"&lt;=" &amp; Games[[#This Row],[Date]])</f>
        <v>5</v>
      </c>
      <c r="D57" s="2" t="s">
        <v>79</v>
      </c>
      <c r="E57" s="2" t="s">
        <v>80</v>
      </c>
      <c r="F57" s="1" t="s">
        <v>40</v>
      </c>
      <c r="G57" s="1" t="s">
        <v>85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7" s="2">
        <f>Games[[#This Row],[DaysOff]]-Games[[#This Row],[OppDaysOff]]</f>
        <v>-2</v>
      </c>
      <c r="L57" s="2">
        <f>Games[[#This Row],[OppDaysOff]]-Games[[#This Row],[DaysOff]]</f>
        <v>2</v>
      </c>
      <c r="M57" s="1">
        <f>MAX(-16, MIN(16, Games[[#This Row],[RestDiff]]*8))</f>
        <v>-16</v>
      </c>
      <c r="N57" s="1">
        <f>MAX(-16, MIN(16, Games[[#This Row],[OppRestDiff]]*8))</f>
        <v>16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1439.1734977551901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1510.0142130795168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0.47291257760827138</v>
      </c>
      <c r="R57" s="1">
        <v>92</v>
      </c>
      <c r="S57" s="1">
        <v>107</v>
      </c>
      <c r="T57" s="1">
        <v>0</v>
      </c>
      <c r="U57" s="1">
        <f>Games[[#This Row],[PointsFor]]-Games[[#This Row],[PointsAgainst]]</f>
        <v>-15</v>
      </c>
      <c r="V57" s="1">
        <f>IF(Games[[#This Row],[MOV]]&gt;0,1,IF(Games[[#This Row],[MOV]]=0,0.5,0))</f>
        <v>0</v>
      </c>
      <c r="W57" s="4">
        <f>((ABS(Games[[#This Row],[MOV]])+5)^0.6)/(12+0.01*(ABS(Games[[#This Row],[PreGmRate]]-Games[[#This Row],[OppPreGmRate]])))*IF(Games[[#This Row],[OT]]=1,0.9,1)</f>
        <v>0.47481767492830135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" s="9">
        <f>MAX(kmin, kmax - 0.15 * MIN(Games[[#This Row],[GamesPlayed]], 82))</f>
        <v>75.25</v>
      </c>
      <c r="Z57" s="4">
        <f>Games[[#This Row],[K]]*Games[[#This Row],[POMult]]</f>
        <v>75.25</v>
      </c>
      <c r="AA57" s="4">
        <f>(Games[[#This Row],[Keff]]*Games[[#This Row],[MOVMult]])*(Games[[#This Row],[Result]]-Games[[#This Row],[ExpectedWin%]])</f>
        <v>-16.897180603459272</v>
      </c>
      <c r="AB57" s="4">
        <f>Games[[#This Row],[PreGmRate]]+Games[[#This Row],[RatingChange]]</f>
        <v>1422.2763171517308</v>
      </c>
      <c r="AC57" s="2">
        <f>IF(Games[[#This Row],[Type]]="R",IF(Games[[#This Row],[Result]]&gt;0.5,1,0),0)</f>
        <v>0</v>
      </c>
      <c r="AD57" s="2">
        <f>IF(Games[[#This Row],[Type]]="R",IF(Games[[#This Row],[Result]]&lt;0.5,1,0),0)</f>
        <v>1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45437</v>
      </c>
      <c r="B58" s="2">
        <v>2024</v>
      </c>
      <c r="C58" s="2">
        <f>COUNTIFS(Games[Team],Games[[#This Row],[Team]],Games[Season],Games[[#This Row],[Season]],Games[Date],"&lt;=" &amp; Games[[#This Row],[Date]])</f>
        <v>6</v>
      </c>
      <c r="D58" s="2" t="s">
        <v>79</v>
      </c>
      <c r="E58" s="2" t="s">
        <v>80</v>
      </c>
      <c r="F58" s="1" t="s">
        <v>65</v>
      </c>
      <c r="G58" s="1" t="s">
        <v>71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8" s="2">
        <f>Games[[#This Row],[DaysOff]]-Games[[#This Row],[OppDaysOff]]</f>
        <v>-1</v>
      </c>
      <c r="L58" s="2">
        <f>Games[[#This Row],[OppDaysOff]]-Games[[#This Row],[DaysOff]]</f>
        <v>1</v>
      </c>
      <c r="M58" s="1">
        <f>MAX(-16, MIN(16, Games[[#This Row],[RestDiff]]*8))</f>
        <v>-8</v>
      </c>
      <c r="N58" s="1">
        <f>MAX(-16, MIN(16, Games[[#This Row],[OppRestDiff]]*8))</f>
        <v>8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1432.6564145251816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1439.8421934906125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0.35046157086225815</v>
      </c>
      <c r="R58" s="1">
        <v>69</v>
      </c>
      <c r="S58" s="1">
        <v>101</v>
      </c>
      <c r="T58" s="1">
        <v>0</v>
      </c>
      <c r="U58" s="1">
        <f>Games[[#This Row],[PointsFor]]-Games[[#This Row],[PointsAgainst]]</f>
        <v>-32</v>
      </c>
      <c r="V58" s="1">
        <f>IF(Games[[#This Row],[MOV]]&gt;0,1,IF(Games[[#This Row],[MOV]]=0,0.5,0))</f>
        <v>0</v>
      </c>
      <c r="W58" s="4">
        <f>((ABS(Games[[#This Row],[MOV]])+5)^0.6)/(12+0.01*(ABS(Games[[#This Row],[PreGmRate]]-Games[[#This Row],[OppPreGmRate]])))*IF(Games[[#This Row],[OT]]=1,0.9,1)</f>
        <v>0.7230143612324702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8" s="9">
        <f>MAX(kmin, kmax - 0.15 * MIN(Games[[#This Row],[GamesPlayed]], 82))</f>
        <v>75.099999999999994</v>
      </c>
      <c r="Z58" s="4">
        <f>Games[[#This Row],[K]]*Games[[#This Row],[POMult]]</f>
        <v>75.099999999999994</v>
      </c>
      <c r="AA58" s="4">
        <f>(Games[[#This Row],[Keff]]*Games[[#This Row],[MOVMult]])*(Games[[#This Row],[Result]]-Games[[#This Row],[ExpectedWin%]])</f>
        <v>-19.029495034392124</v>
      </c>
      <c r="AB58" s="4">
        <f>Games[[#This Row],[PreGmRate]]+Games[[#This Row],[RatingChange]]</f>
        <v>1413.6269194907895</v>
      </c>
      <c r="AC58" s="2">
        <f>IF(Games[[#This Row],[Type]]="R",IF(Games[[#This Row],[Result]]&gt;0.5,1,0),0)</f>
        <v>0</v>
      </c>
      <c r="AD58" s="2">
        <f>IF(Games[[#This Row],[Type]]="R",IF(Games[[#This Row],[Result]]&lt;0.5,1,0),0)</f>
        <v>1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45437</v>
      </c>
      <c r="B59" s="2">
        <v>2024</v>
      </c>
      <c r="C59" s="2">
        <f>COUNTIFS(Games[Team],Games[[#This Row],[Team]],Games[Season],Games[[#This Row],[Season]],Games[Date],"&lt;=" &amp; Games[[#This Row],[Date]])</f>
        <v>6</v>
      </c>
      <c r="D59" s="2" t="s">
        <v>79</v>
      </c>
      <c r="E59" s="2" t="s">
        <v>80</v>
      </c>
      <c r="F59" s="1" t="s">
        <v>71</v>
      </c>
      <c r="G59" s="1" t="s">
        <v>65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" s="2">
        <f>Games[[#This Row],[DaysOff]]-Games[[#This Row],[OppDaysOff]]</f>
        <v>1</v>
      </c>
      <c r="L59" s="2">
        <f>Games[[#This Row],[OppDaysOff]]-Games[[#This Row],[DaysOff]]</f>
        <v>-1</v>
      </c>
      <c r="M59" s="1">
        <f>MAX(-16, MIN(16, Games[[#This Row],[RestDiff]]*8))</f>
        <v>8</v>
      </c>
      <c r="N59" s="1">
        <f>MAX(-16, MIN(16, Games[[#This Row],[OppRestDiff]]*8))</f>
        <v>-8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1439.8421934906125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1432.6564145251816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0.64953842913774196</v>
      </c>
      <c r="R59" s="1">
        <v>101</v>
      </c>
      <c r="S59" s="1">
        <v>69</v>
      </c>
      <c r="T59" s="1">
        <v>0</v>
      </c>
      <c r="U59" s="1">
        <f>Games[[#This Row],[PointsFor]]-Games[[#This Row],[PointsAgainst]]</f>
        <v>32</v>
      </c>
      <c r="V59" s="1">
        <f>IF(Games[[#This Row],[MOV]]&gt;0,1,IF(Games[[#This Row],[MOV]]=0,0.5,0))</f>
        <v>1</v>
      </c>
      <c r="W59" s="4">
        <f>((ABS(Games[[#This Row],[MOV]])+5)^0.6)/(12+0.01*(ABS(Games[[#This Row],[PreGmRate]]-Games[[#This Row],[OppPreGmRate]])))*IF(Games[[#This Row],[OT]]=1,0.9,1)</f>
        <v>0.7230143612324702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9" s="9">
        <f>MAX(kmin, kmax - 0.15 * MIN(Games[[#This Row],[GamesPlayed]], 82))</f>
        <v>75.099999999999994</v>
      </c>
      <c r="Z59" s="4">
        <f>Games[[#This Row],[K]]*Games[[#This Row],[POMult]]</f>
        <v>75.099999999999994</v>
      </c>
      <c r="AA59" s="4">
        <f>(Games[[#This Row],[Keff]]*Games[[#This Row],[MOVMult]])*(Games[[#This Row],[Result]]-Games[[#This Row],[ExpectedWin%]])</f>
        <v>19.02949503439212</v>
      </c>
      <c r="AB59" s="4">
        <f>Games[[#This Row],[PreGmRate]]+Games[[#This Row],[RatingChange]]</f>
        <v>1458.8716885250046</v>
      </c>
      <c r="AC59" s="2">
        <f>IF(Games[[#This Row],[Type]]="R",IF(Games[[#This Row],[Result]]&gt;0.5,1,0),0)</f>
        <v>1</v>
      </c>
      <c r="AD59" s="2">
        <f>IF(Games[[#This Row],[Type]]="R",IF(Games[[#This Row],[Result]]&lt;0.5,1,0),0)</f>
        <v>0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45438</v>
      </c>
      <c r="B60" s="2">
        <v>2024</v>
      </c>
      <c r="C60" s="2">
        <f>COUNTIFS(Games[Team],Games[[#This Row],[Team]],Games[Season],Games[[#This Row],[Season]],Games[Date],"&lt;=" &amp; Games[[#This Row],[Date]])</f>
        <v>5</v>
      </c>
      <c r="D60" s="2" t="s">
        <v>79</v>
      </c>
      <c r="E60" s="2" t="s">
        <v>80</v>
      </c>
      <c r="F60" s="1" t="s">
        <v>67</v>
      </c>
      <c r="G60" s="1" t="s">
        <v>77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0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60" s="2">
        <f>Games[[#This Row],[DaysOff]]-Games[[#This Row],[OppDaysOff]]</f>
        <v>-4</v>
      </c>
      <c r="L60" s="2">
        <f>Games[[#This Row],[OppDaysOff]]-Games[[#This Row],[DaysOff]]</f>
        <v>4</v>
      </c>
      <c r="M60" s="1">
        <f>MAX(-16, MIN(16, Games[[#This Row],[RestDiff]]*8))</f>
        <v>-16</v>
      </c>
      <c r="N60" s="1">
        <f>MAX(-16, MIN(16, Games[[#This Row],[OppRestDiff]]*8))</f>
        <v>16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1514.3986628905393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1489.737582173861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0.37149955146841068</v>
      </c>
      <c r="R60" s="1">
        <v>92</v>
      </c>
      <c r="S60" s="1">
        <v>79</v>
      </c>
      <c r="T60" s="1">
        <v>0</v>
      </c>
      <c r="U60" s="1">
        <f>Games[[#This Row],[PointsFor]]-Games[[#This Row],[PointsAgainst]]</f>
        <v>13</v>
      </c>
      <c r="V60" s="1">
        <f>IF(Games[[#This Row],[MOV]]&gt;0,1,IF(Games[[#This Row],[MOV]]=0,0.5,0))</f>
        <v>1</v>
      </c>
      <c r="W60" s="4">
        <f>((ABS(Games[[#This Row],[MOV]])+5)^0.6)/(12+0.01*(ABS(Games[[#This Row],[PreGmRate]]-Games[[#This Row],[OppPreGmRate]])))*IF(Games[[#This Row],[OT]]=1,0.9,1)</f>
        <v>0.46253817949815967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0" s="9">
        <f>MAX(kmin, kmax - 0.15 * MIN(Games[[#This Row],[GamesPlayed]], 82))</f>
        <v>75.25</v>
      </c>
      <c r="Z60" s="4">
        <f>Games[[#This Row],[K]]*Games[[#This Row],[POMult]]</f>
        <v>75.25</v>
      </c>
      <c r="AA60" s="4">
        <f>(Games[[#This Row],[Keff]]*Games[[#This Row],[MOVMult]])*(Games[[#This Row],[Result]]-Games[[#This Row],[ExpectedWin%]])</f>
        <v>21.875585359137755</v>
      </c>
      <c r="AB60" s="4">
        <f>Games[[#This Row],[PreGmRate]]+Games[[#This Row],[RatingChange]]</f>
        <v>1536.2742482496772</v>
      </c>
      <c r="AC60" s="2">
        <f>IF(Games[[#This Row],[Type]]="R",IF(Games[[#This Row],[Result]]&gt;0.5,1,0),0)</f>
        <v>1</v>
      </c>
      <c r="AD60" s="2">
        <f>IF(Games[[#This Row],[Type]]="R",IF(Games[[#This Row],[Result]]&lt;0.5,1,0),0)</f>
        <v>0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45438</v>
      </c>
      <c r="B61" s="2">
        <v>2024</v>
      </c>
      <c r="C61" s="2">
        <f>COUNTIFS(Games[Team],Games[[#This Row],[Team]],Games[Season],Games[[#This Row],[Season]],Games[Date],"&lt;=" &amp; Games[[#This Row],[Date]])</f>
        <v>4</v>
      </c>
      <c r="D61" s="2" t="s">
        <v>79</v>
      </c>
      <c r="E61" s="2" t="s">
        <v>80</v>
      </c>
      <c r="F61" s="1" t="s">
        <v>77</v>
      </c>
      <c r="G61" s="1" t="s">
        <v>67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4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1" s="2">
        <f>Games[[#This Row],[DaysOff]]-Games[[#This Row],[OppDaysOff]]</f>
        <v>4</v>
      </c>
      <c r="L61" s="2">
        <f>Games[[#This Row],[OppDaysOff]]-Games[[#This Row],[DaysOff]]</f>
        <v>-4</v>
      </c>
      <c r="M61" s="1">
        <f>MAX(-16, MIN(16, Games[[#This Row],[RestDiff]]*8))</f>
        <v>16</v>
      </c>
      <c r="N61" s="1">
        <f>MAX(-16, MIN(16, Games[[#This Row],[OppRestDiff]]*8))</f>
        <v>-16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1489.737582173861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1514.3986628905393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0.62850044853158926</v>
      </c>
      <c r="R61" s="1">
        <v>79</v>
      </c>
      <c r="S61" s="1">
        <v>92</v>
      </c>
      <c r="T61" s="1">
        <v>0</v>
      </c>
      <c r="U61" s="1">
        <f>Games[[#This Row],[PointsFor]]-Games[[#This Row],[PointsAgainst]]</f>
        <v>-13</v>
      </c>
      <c r="V61" s="1">
        <f>IF(Games[[#This Row],[MOV]]&gt;0,1,IF(Games[[#This Row],[MOV]]=0,0.5,0))</f>
        <v>0</v>
      </c>
      <c r="W61" s="4">
        <f>((ABS(Games[[#This Row],[MOV]])+5)^0.6)/(12+0.01*(ABS(Games[[#This Row],[PreGmRate]]-Games[[#This Row],[OppPreGmRate]])))*IF(Games[[#This Row],[OT]]=1,0.9,1)</f>
        <v>0.46253817949815967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1" s="9">
        <f>MAX(kmin, kmax - 0.15 * MIN(Games[[#This Row],[GamesPlayed]], 82))</f>
        <v>75.400000000000006</v>
      </c>
      <c r="Z61" s="4">
        <f>Games[[#This Row],[K]]*Games[[#This Row],[POMult]]</f>
        <v>75.400000000000006</v>
      </c>
      <c r="AA61" s="4">
        <f>(Games[[#This Row],[Keff]]*Games[[#This Row],[MOVMult]])*(Games[[#This Row],[Result]]-Games[[#This Row],[ExpectedWin%]])</f>
        <v>-21.919191177129392</v>
      </c>
      <c r="AB61" s="4">
        <f>Games[[#This Row],[PreGmRate]]+Games[[#This Row],[RatingChange]]</f>
        <v>1467.8183909967315</v>
      </c>
      <c r="AC61" s="2">
        <f>IF(Games[[#This Row],[Type]]="R",IF(Games[[#This Row],[Result]]&gt;0.5,1,0),0)</f>
        <v>0</v>
      </c>
      <c r="AD61" s="2">
        <f>IF(Games[[#This Row],[Type]]="R",IF(Games[[#This Row],[Result]]&lt;0.5,1,0),0)</f>
        <v>1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45438</v>
      </c>
      <c r="B62" s="2">
        <v>2024</v>
      </c>
      <c r="C62" s="2">
        <f>COUNTIFS(Games[Team],Games[[#This Row],[Team]],Games[Season],Games[[#This Row],[Season]],Games[Date],"&lt;=" &amp; Games[[#This Row],[Date]])</f>
        <v>5</v>
      </c>
      <c r="D62" s="2" t="s">
        <v>79</v>
      </c>
      <c r="E62" s="2" t="s">
        <v>80</v>
      </c>
      <c r="F62" s="1" t="s">
        <v>85</v>
      </c>
      <c r="G62" s="1" t="s">
        <v>63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0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2" s="2">
        <f>Games[[#This Row],[DaysOff]]-Games[[#This Row],[OppDaysOff]]</f>
        <v>-1</v>
      </c>
      <c r="L62" s="2">
        <f>Games[[#This Row],[OppDaysOff]]-Games[[#This Row],[DaysOff]]</f>
        <v>1</v>
      </c>
      <c r="M62" s="1">
        <f>MAX(-16, MIN(16, Games[[#This Row],[RestDiff]]*8))</f>
        <v>-8</v>
      </c>
      <c r="N62" s="1">
        <f>MAX(-16, MIN(16, Games[[#This Row],[OppRestDiff]]*8))</f>
        <v>8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1526.9450757705577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1436.8656192313547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0.48572706906019403</v>
      </c>
      <c r="R62" s="1">
        <v>84</v>
      </c>
      <c r="S62" s="1">
        <v>83</v>
      </c>
      <c r="T62" s="1">
        <v>0</v>
      </c>
      <c r="U62" s="1">
        <f>Games[[#This Row],[PointsFor]]-Games[[#This Row],[PointsAgainst]]</f>
        <v>1</v>
      </c>
      <c r="V62" s="1">
        <f>IF(Games[[#This Row],[MOV]]&gt;0,1,IF(Games[[#This Row],[MOV]]=0,0.5,0))</f>
        <v>1</v>
      </c>
      <c r="W62" s="4">
        <f>((ABS(Games[[#This Row],[MOV]])+5)^0.6)/(12+0.01*(ABS(Games[[#This Row],[PreGmRate]]-Games[[#This Row],[OppPreGmRate]])))*IF(Games[[#This Row],[OT]]=1,0.9,1)</f>
        <v>0.22712989008010606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2" s="9">
        <f>MAX(kmin, kmax - 0.15 * MIN(Games[[#This Row],[GamesPlayed]], 82))</f>
        <v>75.25</v>
      </c>
      <c r="Z62" s="4">
        <f>Games[[#This Row],[K]]*Games[[#This Row],[POMult]]</f>
        <v>75.25</v>
      </c>
      <c r="AA62" s="4">
        <f>(Games[[#This Row],[Keff]]*Games[[#This Row],[MOVMult]])*(Games[[#This Row],[Result]]-Games[[#This Row],[ExpectedWin%]])</f>
        <v>8.789708259233791</v>
      </c>
      <c r="AB62" s="4">
        <f>Games[[#This Row],[PreGmRate]]+Games[[#This Row],[RatingChange]]</f>
        <v>1535.7347840297914</v>
      </c>
      <c r="AC62" s="2">
        <f>IF(Games[[#This Row],[Type]]="R",IF(Games[[#This Row],[Result]]&gt;0.5,1,0),0)</f>
        <v>1</v>
      </c>
      <c r="AD62" s="2">
        <f>IF(Games[[#This Row],[Type]]="R",IF(Games[[#This Row],[Result]]&lt;0.5,1,0),0)</f>
        <v>0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45438</v>
      </c>
      <c r="B63" s="2">
        <v>2024</v>
      </c>
      <c r="C63" s="2">
        <f>COUNTIFS(Games[Team],Games[[#This Row],[Team]],Games[Season],Games[[#This Row],[Season]],Games[Date],"&lt;=" &amp; Games[[#This Row],[Date]])</f>
        <v>5</v>
      </c>
      <c r="D63" s="2" t="s">
        <v>79</v>
      </c>
      <c r="E63" s="2" t="s">
        <v>80</v>
      </c>
      <c r="F63" s="1" t="s">
        <v>63</v>
      </c>
      <c r="G63" s="1" t="s">
        <v>85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3" s="2">
        <f>Games[[#This Row],[DaysOff]]-Games[[#This Row],[OppDaysOff]]</f>
        <v>1</v>
      </c>
      <c r="L63" s="2">
        <f>Games[[#This Row],[OppDaysOff]]-Games[[#This Row],[DaysOff]]</f>
        <v>-1</v>
      </c>
      <c r="M63" s="1">
        <f>MAX(-16, MIN(16, Games[[#This Row],[RestDiff]]*8))</f>
        <v>8</v>
      </c>
      <c r="N63" s="1">
        <f>MAX(-16, MIN(16, Games[[#This Row],[OppRestDiff]]*8))</f>
        <v>-8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1436.8656192313547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1526.9450757705577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0.51427293093980608</v>
      </c>
      <c r="R63" s="1">
        <v>83</v>
      </c>
      <c r="S63" s="1">
        <v>84</v>
      </c>
      <c r="T63" s="1">
        <v>0</v>
      </c>
      <c r="U63" s="1">
        <f>Games[[#This Row],[PointsFor]]-Games[[#This Row],[PointsAgainst]]</f>
        <v>-1</v>
      </c>
      <c r="V63" s="1">
        <f>IF(Games[[#This Row],[MOV]]&gt;0,1,IF(Games[[#This Row],[MOV]]=0,0.5,0))</f>
        <v>0</v>
      </c>
      <c r="W63" s="4">
        <f>((ABS(Games[[#This Row],[MOV]])+5)^0.6)/(12+0.01*(ABS(Games[[#This Row],[PreGmRate]]-Games[[#This Row],[OppPreGmRate]])))*IF(Games[[#This Row],[OT]]=1,0.9,1)</f>
        <v>0.22712989008010606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3" s="9">
        <f>MAX(kmin, kmax - 0.15 * MIN(Games[[#This Row],[GamesPlayed]], 82))</f>
        <v>75.25</v>
      </c>
      <c r="Z63" s="4">
        <f>Games[[#This Row],[K]]*Games[[#This Row],[POMult]]</f>
        <v>75.25</v>
      </c>
      <c r="AA63" s="4">
        <f>(Games[[#This Row],[Keff]]*Games[[#This Row],[MOVMult]])*(Games[[#This Row],[Result]]-Games[[#This Row],[ExpectedWin%]])</f>
        <v>-8.7897082592337927</v>
      </c>
      <c r="AB63" s="4">
        <f>Games[[#This Row],[PreGmRate]]+Games[[#This Row],[RatingChange]]</f>
        <v>1428.0759109721209</v>
      </c>
      <c r="AC63" s="2">
        <f>IF(Games[[#This Row],[Type]]="R",IF(Games[[#This Row],[Result]]&gt;0.5,1,0),0)</f>
        <v>0</v>
      </c>
      <c r="AD63" s="2">
        <f>IF(Games[[#This Row],[Type]]="R",IF(Games[[#This Row],[Result]]&lt;0.5,1,0),0)</f>
        <v>1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45440</v>
      </c>
      <c r="B64" s="2">
        <v>2024</v>
      </c>
      <c r="C64" s="2">
        <f>COUNTIFS(Games[Team],Games[[#This Row],[Team]],Games[Season],Games[[#This Row],[Season]],Games[Date],"&lt;=" &amp; Games[[#This Row],[Date]])</f>
        <v>7</v>
      </c>
      <c r="D64" s="2" t="s">
        <v>79</v>
      </c>
      <c r="E64" s="2" t="s">
        <v>80</v>
      </c>
      <c r="F64" s="1" t="s">
        <v>71</v>
      </c>
      <c r="G64" s="1" t="s">
        <v>75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0</v>
      </c>
      <c r="L64" s="2">
        <f>Games[[#This Row],[OppDaysOff]]-Games[[#This Row],[DaysOff]]</f>
        <v>0</v>
      </c>
      <c r="M64" s="1">
        <f>MAX(-16, MIN(16, Games[[#This Row],[RestDiff]]*8))</f>
        <v>0</v>
      </c>
      <c r="N64" s="1">
        <f>MAX(-16, MIN(16, Games[[#This Row],[OppRestDiff]]*8))</f>
        <v>0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1458.8716885250046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1518.4412192169871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0.30439566008465058</v>
      </c>
      <c r="R64" s="1">
        <v>77</v>
      </c>
      <c r="S64" s="1">
        <v>68</v>
      </c>
      <c r="T64" s="1">
        <v>0</v>
      </c>
      <c r="U64" s="1">
        <f>Games[[#This Row],[PointsFor]]-Games[[#This Row],[PointsAgainst]]</f>
        <v>9</v>
      </c>
      <c r="V64" s="1">
        <f>IF(Games[[#This Row],[MOV]]&gt;0,1,IF(Games[[#This Row],[MOV]]=0,0.5,0))</f>
        <v>1</v>
      </c>
      <c r="W64" s="4">
        <f>((ABS(Games[[#This Row],[MOV]])+5)^0.6)/(12+0.01*(ABS(Games[[#This Row],[PreGmRate]]-Games[[#This Row],[OppPreGmRate]])))*IF(Games[[#This Row],[OT]]=1,0.9,1)</f>
        <v>0.38677168723591798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4" s="9">
        <f>MAX(kmin, kmax - 0.15 * MIN(Games[[#This Row],[GamesPlayed]], 82))</f>
        <v>74.95</v>
      </c>
      <c r="Z64" s="4">
        <f>Games[[#This Row],[K]]*Games[[#This Row],[POMult]]</f>
        <v>74.95</v>
      </c>
      <c r="AA64" s="4">
        <f>(Games[[#This Row],[Keff]]*Games[[#This Row],[MOVMult]])*(Games[[#This Row],[Result]]-Games[[#This Row],[ExpectedWin%]])</f>
        <v>20.16455281161662</v>
      </c>
      <c r="AB64" s="4">
        <f>Games[[#This Row],[PreGmRate]]+Games[[#This Row],[RatingChange]]</f>
        <v>1479.0362413366213</v>
      </c>
      <c r="AC64" s="2">
        <f>IF(Games[[#This Row],[Type]]="R",IF(Games[[#This Row],[Result]]&gt;0.5,1,0),0)</f>
        <v>1</v>
      </c>
      <c r="AD64" s="2">
        <f>IF(Games[[#This Row],[Type]]="R",IF(Games[[#This Row],[Result]]&lt;0.5,1,0),0)</f>
        <v>0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45440</v>
      </c>
      <c r="B65" s="2">
        <v>2024</v>
      </c>
      <c r="C65" s="2">
        <f>COUNTIFS(Games[Team],Games[[#This Row],[Team]],Games[Season],Games[[#This Row],[Season]],Games[Date],"&lt;=" &amp; Games[[#This Row],[Date]])</f>
        <v>5</v>
      </c>
      <c r="D65" s="2" t="s">
        <v>79</v>
      </c>
      <c r="E65" s="2" t="s">
        <v>80</v>
      </c>
      <c r="F65" s="1" t="s">
        <v>75</v>
      </c>
      <c r="G65" s="1" t="s">
        <v>71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5" s="2">
        <f>Games[[#This Row],[DaysOff]]-Games[[#This Row],[OppDaysOff]]</f>
        <v>0</v>
      </c>
      <c r="L65" s="2">
        <f>Games[[#This Row],[OppDaysOff]]-Games[[#This Row],[DaysOff]]</f>
        <v>0</v>
      </c>
      <c r="M65" s="1">
        <f>MAX(-16, MIN(16, Games[[#This Row],[RestDiff]]*8))</f>
        <v>0</v>
      </c>
      <c r="N65" s="1">
        <f>MAX(-16, MIN(16, Games[[#This Row],[OppRestDiff]]*8))</f>
        <v>0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1518.4412192169871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1458.8716885250046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0.69560433991534942</v>
      </c>
      <c r="R65" s="1">
        <v>68</v>
      </c>
      <c r="S65" s="1">
        <v>77</v>
      </c>
      <c r="T65" s="1">
        <v>0</v>
      </c>
      <c r="U65" s="1">
        <f>Games[[#This Row],[PointsFor]]-Games[[#This Row],[PointsAgainst]]</f>
        <v>-9</v>
      </c>
      <c r="V65" s="1">
        <f>IF(Games[[#This Row],[MOV]]&gt;0,1,IF(Games[[#This Row],[MOV]]=0,0.5,0))</f>
        <v>0</v>
      </c>
      <c r="W65" s="4">
        <f>((ABS(Games[[#This Row],[MOV]])+5)^0.6)/(12+0.01*(ABS(Games[[#This Row],[PreGmRate]]-Games[[#This Row],[OppPreGmRate]])))*IF(Games[[#This Row],[OT]]=1,0.9,1)</f>
        <v>0.38677168723591798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5" s="9">
        <f>MAX(kmin, kmax - 0.15 * MIN(Games[[#This Row],[GamesPlayed]], 82))</f>
        <v>75.25</v>
      </c>
      <c r="Z65" s="4">
        <f>Games[[#This Row],[K]]*Games[[#This Row],[POMult]]</f>
        <v>75.25</v>
      </c>
      <c r="AA65" s="4">
        <f>(Games[[#This Row],[Keff]]*Games[[#This Row],[MOVMult]])*(Games[[#This Row],[Result]]-Games[[#This Row],[ExpectedWin%]])</f>
        <v>-20.245264830875925</v>
      </c>
      <c r="AB65" s="4">
        <f>Games[[#This Row],[PreGmRate]]+Games[[#This Row],[RatingChange]]</f>
        <v>1498.1959543861112</v>
      </c>
      <c r="AC65" s="2">
        <f>IF(Games[[#This Row],[Type]]="R",IF(Games[[#This Row],[Result]]&gt;0.5,1,0),0)</f>
        <v>0</v>
      </c>
      <c r="AD65" s="2">
        <f>IF(Games[[#This Row],[Type]]="R",IF(Games[[#This Row],[Result]]&lt;0.5,1,0),0)</f>
        <v>1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45440</v>
      </c>
      <c r="B66" s="2">
        <v>2024</v>
      </c>
      <c r="C66" s="2">
        <f>COUNTIFS(Games[Team],Games[[#This Row],[Team]],Games[Season],Games[[#This Row],[Season]],Games[Date],"&lt;=" &amp; Games[[#This Row],[Date]])</f>
        <v>6</v>
      </c>
      <c r="D66" s="2" t="s">
        <v>79</v>
      </c>
      <c r="E66" s="2" t="s">
        <v>80</v>
      </c>
      <c r="F66" s="1" t="s">
        <v>40</v>
      </c>
      <c r="G66" s="1" t="s">
        <v>74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6" s="2">
        <f>Games[[#This Row],[DaysOff]]-Games[[#This Row],[OppDaysOff]]</f>
        <v>0</v>
      </c>
      <c r="L66" s="2">
        <f>Games[[#This Row],[OppDaysOff]]-Games[[#This Row],[DaysOff]]</f>
        <v>0</v>
      </c>
      <c r="M66" s="1">
        <f>MAX(-16, MIN(16, Games[[#This Row],[RestDiff]]*8))</f>
        <v>0</v>
      </c>
      <c r="N66" s="1">
        <f>MAX(-16, MIN(16, Games[[#This Row],[OppRestDiff]]*8))</f>
        <v>0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1422.2763171517308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1590.7457449982519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0.18948947382192075</v>
      </c>
      <c r="R66" s="1">
        <v>47</v>
      </c>
      <c r="S66" s="1">
        <v>70</v>
      </c>
      <c r="T66" s="1">
        <v>0</v>
      </c>
      <c r="U66" s="1">
        <f>Games[[#This Row],[PointsFor]]-Games[[#This Row],[PointsAgainst]]</f>
        <v>-23</v>
      </c>
      <c r="V66" s="1">
        <f>IF(Games[[#This Row],[MOV]]&gt;0,1,IF(Games[[#This Row],[MOV]]=0,0.5,0))</f>
        <v>0</v>
      </c>
      <c r="W66" s="4">
        <f>((ABS(Games[[#This Row],[MOV]])+5)^0.6)/(12+0.01*(ABS(Games[[#This Row],[PreGmRate]]-Games[[#This Row],[OppPreGmRate]])))*IF(Games[[#This Row],[OT]]=1,0.9,1)</f>
        <v>0.53958481501213118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6" s="9">
        <f>MAX(kmin, kmax - 0.15 * MIN(Games[[#This Row],[GamesPlayed]], 82))</f>
        <v>75.099999999999994</v>
      </c>
      <c r="Z66" s="4">
        <f>Games[[#This Row],[K]]*Games[[#This Row],[POMult]]</f>
        <v>75.099999999999994</v>
      </c>
      <c r="AA66" s="4">
        <f>(Games[[#This Row],[Keff]]*Games[[#This Row],[MOVMult]])*(Games[[#This Row],[Result]]-Games[[#This Row],[ExpectedWin%]])</f>
        <v>-7.6786477651889333</v>
      </c>
      <c r="AB66" s="4">
        <f>Games[[#This Row],[PreGmRate]]+Games[[#This Row],[RatingChange]]</f>
        <v>1414.5976693865418</v>
      </c>
      <c r="AC66" s="2">
        <f>IF(Games[[#This Row],[Type]]="R",IF(Games[[#This Row],[Result]]&gt;0.5,1,0),0)</f>
        <v>0</v>
      </c>
      <c r="AD66" s="2">
        <f>IF(Games[[#This Row],[Type]]="R",IF(Games[[#This Row],[Result]]&lt;0.5,1,0),0)</f>
        <v>1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45440</v>
      </c>
      <c r="B67" s="2">
        <v>2024</v>
      </c>
      <c r="C67" s="2">
        <f>COUNTIFS(Games[Team],Games[[#This Row],[Team]],Games[Season],Games[[#This Row],[Season]],Games[Date],"&lt;=" &amp; Games[[#This Row],[Date]])</f>
        <v>6</v>
      </c>
      <c r="D67" s="2" t="s">
        <v>79</v>
      </c>
      <c r="E67" s="2" t="s">
        <v>80</v>
      </c>
      <c r="F67" s="1" t="s">
        <v>74</v>
      </c>
      <c r="G67" s="1" t="s">
        <v>40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7" s="2">
        <f>Games[[#This Row],[DaysOff]]-Games[[#This Row],[OppDaysOff]]</f>
        <v>0</v>
      </c>
      <c r="L67" s="2">
        <f>Games[[#This Row],[OppDaysOff]]-Games[[#This Row],[DaysOff]]</f>
        <v>0</v>
      </c>
      <c r="M67" s="1">
        <f>MAX(-16, MIN(16, Games[[#This Row],[RestDiff]]*8))</f>
        <v>0</v>
      </c>
      <c r="N67" s="1">
        <f>MAX(-16, MIN(16, Games[[#This Row],[OppRestDiff]]*8))</f>
        <v>0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1590.7457449982519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1422.2763171517308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0.81051052617807917</v>
      </c>
      <c r="R67" s="1">
        <v>70</v>
      </c>
      <c r="S67" s="1">
        <v>47</v>
      </c>
      <c r="T67" s="1">
        <v>0</v>
      </c>
      <c r="U67" s="1">
        <f>Games[[#This Row],[PointsFor]]-Games[[#This Row],[PointsAgainst]]</f>
        <v>23</v>
      </c>
      <c r="V67" s="1">
        <f>IF(Games[[#This Row],[MOV]]&gt;0,1,IF(Games[[#This Row],[MOV]]=0,0.5,0))</f>
        <v>1</v>
      </c>
      <c r="W67" s="4">
        <f>((ABS(Games[[#This Row],[MOV]])+5)^0.6)/(12+0.01*(ABS(Games[[#This Row],[PreGmRate]]-Games[[#This Row],[OppPreGmRate]])))*IF(Games[[#This Row],[OT]]=1,0.9,1)</f>
        <v>0.53958481501213118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7" s="9">
        <f>MAX(kmin, kmax - 0.15 * MIN(Games[[#This Row],[GamesPlayed]], 82))</f>
        <v>75.099999999999994</v>
      </c>
      <c r="Z67" s="4">
        <f>Games[[#This Row],[K]]*Games[[#This Row],[POMult]]</f>
        <v>75.099999999999994</v>
      </c>
      <c r="AA67" s="4">
        <f>(Games[[#This Row],[Keff]]*Games[[#This Row],[MOVMult]])*(Games[[#This Row],[Result]]-Games[[#This Row],[ExpectedWin%]])</f>
        <v>7.6786477651889369</v>
      </c>
      <c r="AB67" s="4">
        <f>Games[[#This Row],[PreGmRate]]+Games[[#This Row],[RatingChange]]</f>
        <v>1598.4243927634409</v>
      </c>
      <c r="AC67" s="2">
        <f>IF(Games[[#This Row],[Type]]="R",IF(Games[[#This Row],[Result]]&gt;0.5,1,0),0)</f>
        <v>1</v>
      </c>
      <c r="AD67" s="2">
        <f>IF(Games[[#This Row],[Type]]="R",IF(Games[[#This Row],[Result]]&lt;0.5,1,0),0)</f>
        <v>0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45440</v>
      </c>
      <c r="B68" s="2">
        <v>2024</v>
      </c>
      <c r="C68" s="2">
        <f>COUNTIFS(Games[Team],Games[[#This Row],[Team]],Games[Season],Games[[#This Row],[Season]],Games[Date],"&lt;=" &amp; Games[[#This Row],[Date]])</f>
        <v>6</v>
      </c>
      <c r="D68" s="2" t="s">
        <v>79</v>
      </c>
      <c r="E68" s="2" t="s">
        <v>80</v>
      </c>
      <c r="F68" s="1" t="s">
        <v>63</v>
      </c>
      <c r="G68" s="1" t="s">
        <v>69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8" s="2">
        <f>Games[[#This Row],[DaysOff]]-Games[[#This Row],[OppDaysOff]]</f>
        <v>-1</v>
      </c>
      <c r="L68" s="2">
        <f>Games[[#This Row],[OppDaysOff]]-Games[[#This Row],[DaysOff]]</f>
        <v>1</v>
      </c>
      <c r="M68" s="1">
        <f>MAX(-16, MIN(16, Games[[#This Row],[RestDiff]]*8))</f>
        <v>-8</v>
      </c>
      <c r="N68" s="1">
        <f>MAX(-16, MIN(16, Games[[#This Row],[OppRestDiff]]*8))</f>
        <v>8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1428.0759109721209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1396.9887728263832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0.4021068232371508</v>
      </c>
      <c r="R68" s="1">
        <v>88</v>
      </c>
      <c r="S68" s="1">
        <v>82</v>
      </c>
      <c r="T68" s="1">
        <v>0</v>
      </c>
      <c r="U68" s="1">
        <f>Games[[#This Row],[PointsFor]]-Games[[#This Row],[PointsAgainst]]</f>
        <v>6</v>
      </c>
      <c r="V68" s="1">
        <f>IF(Games[[#This Row],[MOV]]&gt;0,1,IF(Games[[#This Row],[MOV]]=0,0.5,0))</f>
        <v>1</v>
      </c>
      <c r="W68" s="4">
        <f>((ABS(Games[[#This Row],[MOV]])+5)^0.6)/(12+0.01*(ABS(Games[[#This Row],[PreGmRate]]-Games[[#This Row],[OppPreGmRate]])))*IF(Games[[#This Row],[OT]]=1,0.9,1)</f>
        <v>0.34241029757171249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8" s="9">
        <f>MAX(kmin, kmax - 0.15 * MIN(Games[[#This Row],[GamesPlayed]], 82))</f>
        <v>75.099999999999994</v>
      </c>
      <c r="Z68" s="4">
        <f>Games[[#This Row],[K]]*Games[[#This Row],[POMult]]</f>
        <v>75.099999999999994</v>
      </c>
      <c r="AA68" s="4">
        <f>(Games[[#This Row],[Keff]]*Games[[#This Row],[MOVMult]])*(Games[[#This Row],[Result]]-Games[[#This Row],[ExpectedWin%]])</f>
        <v>15.374831020916922</v>
      </c>
      <c r="AB68" s="4">
        <f>Games[[#This Row],[PreGmRate]]+Games[[#This Row],[RatingChange]]</f>
        <v>1443.4507419930378</v>
      </c>
      <c r="AC68" s="2">
        <f>IF(Games[[#This Row],[Type]]="R",IF(Games[[#This Row],[Result]]&gt;0.5,1,0),0)</f>
        <v>1</v>
      </c>
      <c r="AD68" s="2">
        <f>IF(Games[[#This Row],[Type]]="R",IF(Games[[#This Row],[Result]]&lt;0.5,1,0),0)</f>
        <v>0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45440</v>
      </c>
      <c r="B69" s="2">
        <v>2024</v>
      </c>
      <c r="C69" s="2">
        <f>COUNTIFS(Games[Team],Games[[#This Row],[Team]],Games[Season],Games[[#This Row],[Season]],Games[Date],"&lt;=" &amp; Games[[#This Row],[Date]])</f>
        <v>8</v>
      </c>
      <c r="D69" s="2" t="s">
        <v>79</v>
      </c>
      <c r="E69" s="2" t="s">
        <v>80</v>
      </c>
      <c r="F69" s="1" t="s">
        <v>69</v>
      </c>
      <c r="G69" s="1" t="s">
        <v>63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1</v>
      </c>
      <c r="L69" s="2">
        <f>Games[[#This Row],[OppDaysOff]]-Games[[#This Row],[DaysOff]]</f>
        <v>-1</v>
      </c>
      <c r="M69" s="1">
        <f>MAX(-16, MIN(16, Games[[#This Row],[RestDiff]]*8))</f>
        <v>8</v>
      </c>
      <c r="N69" s="1">
        <f>MAX(-16, MIN(16, Games[[#This Row],[OppRestDiff]]*8))</f>
        <v>-8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1396.9887728263832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1428.0759109721209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0.59789317676284914</v>
      </c>
      <c r="R69" s="1">
        <v>82</v>
      </c>
      <c r="S69" s="1">
        <v>88</v>
      </c>
      <c r="T69" s="1">
        <v>0</v>
      </c>
      <c r="U69" s="1">
        <f>Games[[#This Row],[PointsFor]]-Games[[#This Row],[PointsAgainst]]</f>
        <v>-6</v>
      </c>
      <c r="V69" s="1">
        <f>IF(Games[[#This Row],[MOV]]&gt;0,1,IF(Games[[#This Row],[MOV]]=0,0.5,0))</f>
        <v>0</v>
      </c>
      <c r="W69" s="4">
        <f>((ABS(Games[[#This Row],[MOV]])+5)^0.6)/(12+0.01*(ABS(Games[[#This Row],[PreGmRate]]-Games[[#This Row],[OppPreGmRate]])))*IF(Games[[#This Row],[OT]]=1,0.9,1)</f>
        <v>0.34241029757171249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9" s="9">
        <f>MAX(kmin, kmax - 0.15 * MIN(Games[[#This Row],[GamesPlayed]], 82))</f>
        <v>74.8</v>
      </c>
      <c r="Z69" s="4">
        <f>Games[[#This Row],[K]]*Games[[#This Row],[POMult]]</f>
        <v>74.8</v>
      </c>
      <c r="AA69" s="4">
        <f>(Games[[#This Row],[Keff]]*Games[[#This Row],[MOVMult]])*(Games[[#This Row],[Result]]-Games[[#This Row],[ExpectedWin%]])</f>
        <v>-15.313413586745483</v>
      </c>
      <c r="AB69" s="4">
        <f>Games[[#This Row],[PreGmRate]]+Games[[#This Row],[RatingChange]]</f>
        <v>1381.6753592396376</v>
      </c>
      <c r="AC69" s="2">
        <f>IF(Games[[#This Row],[Type]]="R",IF(Games[[#This Row],[Result]]&gt;0.5,1,0),0)</f>
        <v>0</v>
      </c>
      <c r="AD69" s="2">
        <f>IF(Games[[#This Row],[Type]]="R",IF(Games[[#This Row],[Result]]&lt;0.5,1,0),0)</f>
        <v>1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45441</v>
      </c>
      <c r="B70" s="2">
        <v>2024</v>
      </c>
      <c r="C70" s="2">
        <f>COUNTIFS(Games[Team],Games[[#This Row],[Team]],Games[Season],Games[[#This Row],[Season]],Games[Date],"&lt;=" &amp; Games[[#This Row],[Date]])</f>
        <v>5</v>
      </c>
      <c r="D70" s="2" t="s">
        <v>79</v>
      </c>
      <c r="E70" s="2" t="s">
        <v>80</v>
      </c>
      <c r="F70" s="1" t="s">
        <v>86</v>
      </c>
      <c r="G70" s="1" t="s">
        <v>67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3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0" s="2">
        <f>Games[[#This Row],[DaysOff]]-Games[[#This Row],[OppDaysOff]]</f>
        <v>1</v>
      </c>
      <c r="L70" s="2">
        <f>Games[[#This Row],[OppDaysOff]]-Games[[#This Row],[DaysOff]]</f>
        <v>-1</v>
      </c>
      <c r="M70" s="1">
        <f>MAX(-16, MIN(16, Games[[#This Row],[RestDiff]]*8))</f>
        <v>8</v>
      </c>
      <c r="N70" s="1">
        <f>MAX(-16, MIN(16, Games[[#This Row],[OppRestDiff]]*8))</f>
        <v>-8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1630.9099376367092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1536.2742482496772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0.53825691830295697</v>
      </c>
      <c r="R70" s="1">
        <v>80</v>
      </c>
      <c r="S70" s="1">
        <v>66</v>
      </c>
      <c r="T70" s="1">
        <v>0</v>
      </c>
      <c r="U70" s="1">
        <f>Games[[#This Row],[PointsFor]]-Games[[#This Row],[PointsAgainst]]</f>
        <v>14</v>
      </c>
      <c r="V70" s="1">
        <f>IF(Games[[#This Row],[MOV]]&gt;0,1,IF(Games[[#This Row],[MOV]]=0,0.5,0))</f>
        <v>1</v>
      </c>
      <c r="W70" s="4">
        <f>((ABS(Games[[#This Row],[MOV]])+5)^0.6)/(12+0.01*(ABS(Games[[#This Row],[PreGmRate]]-Games[[#This Row],[OppPreGmRate]])))*IF(Games[[#This Row],[OT]]=1,0.9,1)</f>
        <v>0.45196477204947244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0" s="9">
        <f>MAX(kmin, kmax - 0.15 * MIN(Games[[#This Row],[GamesPlayed]], 82))</f>
        <v>75.25</v>
      </c>
      <c r="Z70" s="4">
        <f>Games[[#This Row],[K]]*Games[[#This Row],[POMult]]</f>
        <v>75.25</v>
      </c>
      <c r="AA70" s="4">
        <f>(Games[[#This Row],[Keff]]*Games[[#This Row],[MOVMult]])*(Games[[#This Row],[Result]]-Games[[#This Row],[ExpectedWin%]])</f>
        <v>15.704043401513029</v>
      </c>
      <c r="AB70" s="4">
        <f>Games[[#This Row],[PreGmRate]]+Games[[#This Row],[RatingChange]]</f>
        <v>1646.6139810382222</v>
      </c>
      <c r="AC70" s="2">
        <f>IF(Games[[#This Row],[Type]]="R",IF(Games[[#This Row],[Result]]&gt;0.5,1,0),0)</f>
        <v>1</v>
      </c>
      <c r="AD70" s="2">
        <f>IF(Games[[#This Row],[Type]]="R",IF(Games[[#This Row],[Result]]&lt;0.5,1,0),0)</f>
        <v>0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45441</v>
      </c>
      <c r="B71" s="2">
        <v>2024</v>
      </c>
      <c r="C71" s="2">
        <f>COUNTIFS(Games[Team],Games[[#This Row],[Team]],Games[Season],Games[[#This Row],[Season]],Games[Date],"&lt;=" &amp; Games[[#This Row],[Date]])</f>
        <v>6</v>
      </c>
      <c r="D71" s="2" t="s">
        <v>79</v>
      </c>
      <c r="E71" s="2" t="s">
        <v>80</v>
      </c>
      <c r="F71" s="1" t="s">
        <v>67</v>
      </c>
      <c r="G71" s="1" t="s">
        <v>86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1" s="2">
        <f>Games[[#This Row],[DaysOff]]-Games[[#This Row],[OppDaysOff]]</f>
        <v>-1</v>
      </c>
      <c r="L71" s="2">
        <f>Games[[#This Row],[OppDaysOff]]-Games[[#This Row],[DaysOff]]</f>
        <v>1</v>
      </c>
      <c r="M71" s="1">
        <f>MAX(-16, MIN(16, Games[[#This Row],[RestDiff]]*8))</f>
        <v>-8</v>
      </c>
      <c r="N71" s="1">
        <f>MAX(-16, MIN(16, Games[[#This Row],[OppRestDiff]]*8))</f>
        <v>8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1536.2742482496772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1630.9099376367092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0.46174308169704309</v>
      </c>
      <c r="R71" s="1">
        <v>66</v>
      </c>
      <c r="S71" s="1">
        <v>80</v>
      </c>
      <c r="T71" s="1">
        <v>0</v>
      </c>
      <c r="U71" s="1">
        <f>Games[[#This Row],[PointsFor]]-Games[[#This Row],[PointsAgainst]]</f>
        <v>-14</v>
      </c>
      <c r="V71" s="1">
        <f>IF(Games[[#This Row],[MOV]]&gt;0,1,IF(Games[[#This Row],[MOV]]=0,0.5,0))</f>
        <v>0</v>
      </c>
      <c r="W71" s="4">
        <f>((ABS(Games[[#This Row],[MOV]])+5)^0.6)/(12+0.01*(ABS(Games[[#This Row],[PreGmRate]]-Games[[#This Row],[OppPreGmRate]])))*IF(Games[[#This Row],[OT]]=1,0.9,1)</f>
        <v>0.45196477204947244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1" s="9">
        <f>MAX(kmin, kmax - 0.15 * MIN(Games[[#This Row],[GamesPlayed]], 82))</f>
        <v>75.099999999999994</v>
      </c>
      <c r="Z71" s="4">
        <f>Games[[#This Row],[K]]*Games[[#This Row],[POMult]]</f>
        <v>75.099999999999994</v>
      </c>
      <c r="AA71" s="4">
        <f>(Games[[#This Row],[Keff]]*Games[[#This Row],[MOVMult]])*(Games[[#This Row],[Result]]-Games[[#This Row],[ExpectedWin%]])</f>
        <v>-15.672739660513336</v>
      </c>
      <c r="AB71" s="4">
        <f>Games[[#This Row],[PreGmRate]]+Games[[#This Row],[RatingChange]]</f>
        <v>1520.6015085891638</v>
      </c>
      <c r="AC71" s="2">
        <f>IF(Games[[#This Row],[Type]]="R",IF(Games[[#This Row],[Result]]&gt;0.5,1,0),0)</f>
        <v>0</v>
      </c>
      <c r="AD71" s="2">
        <f>IF(Games[[#This Row],[Type]]="R",IF(Games[[#This Row],[Result]]&lt;0.5,1,0),0)</f>
        <v>1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45441</v>
      </c>
      <c r="B72" s="2">
        <v>2024</v>
      </c>
      <c r="C72" s="2">
        <f>COUNTIFS(Games[Team],Games[[#This Row],[Team]],Games[Season],Games[[#This Row],[Season]],Games[Date],"&lt;=" &amp; Games[[#This Row],[Date]])</f>
        <v>7</v>
      </c>
      <c r="D72" s="2" t="s">
        <v>79</v>
      </c>
      <c r="E72" s="2" t="s">
        <v>80</v>
      </c>
      <c r="F72" s="1" t="s">
        <v>40</v>
      </c>
      <c r="G72" s="1" t="s">
        <v>60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0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2" s="2">
        <f>Games[[#This Row],[DaysOff]]-Games[[#This Row],[OppDaysOff]]</f>
        <v>-3</v>
      </c>
      <c r="L72" s="2">
        <f>Games[[#This Row],[OppDaysOff]]-Games[[#This Row],[DaysOff]]</f>
        <v>3</v>
      </c>
      <c r="M72" s="1">
        <f>MAX(-16, MIN(16, Games[[#This Row],[RestDiff]]*8))</f>
        <v>-16</v>
      </c>
      <c r="N72" s="1">
        <f>MAX(-16, MIN(16, Games[[#This Row],[OppRestDiff]]*8))</f>
        <v>16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1414.5976693865418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1600.7370312860094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0.14940771813401474</v>
      </c>
      <c r="R72" s="1">
        <v>78</v>
      </c>
      <c r="S72" s="1">
        <v>81</v>
      </c>
      <c r="T72" s="1">
        <v>0</v>
      </c>
      <c r="U72" s="1">
        <f>Games[[#This Row],[PointsFor]]-Games[[#This Row],[PointsAgainst]]</f>
        <v>-3</v>
      </c>
      <c r="V72" s="1">
        <f>IF(Games[[#This Row],[MOV]]&gt;0,1,IF(Games[[#This Row],[MOV]]=0,0.5,0))</f>
        <v>0</v>
      </c>
      <c r="W72" s="4">
        <f>((ABS(Games[[#This Row],[MOV]])+5)^0.6)/(12+0.01*(ABS(Games[[#This Row],[PreGmRate]]-Games[[#This Row],[OppPreGmRate]])))*IF(Games[[#This Row],[OT]]=1,0.9,1)</f>
        <v>0.25121588412385404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2" s="9">
        <f>MAX(kmin, kmax - 0.15 * MIN(Games[[#This Row],[GamesPlayed]], 82))</f>
        <v>74.95</v>
      </c>
      <c r="Z72" s="4">
        <f>Games[[#This Row],[K]]*Games[[#This Row],[POMult]]</f>
        <v>74.95</v>
      </c>
      <c r="AA72" s="4">
        <f>(Games[[#This Row],[Keff]]*Games[[#This Row],[MOVMult]])*(Games[[#This Row],[Result]]-Games[[#This Row],[ExpectedWin%]])</f>
        <v>-2.8131427208470088</v>
      </c>
      <c r="AB72" s="4">
        <f>Games[[#This Row],[PreGmRate]]+Games[[#This Row],[RatingChange]]</f>
        <v>1411.7845266656948</v>
      </c>
      <c r="AC72" s="2">
        <f>IF(Games[[#This Row],[Type]]="R",IF(Games[[#This Row],[Result]]&gt;0.5,1,0),0)</f>
        <v>0</v>
      </c>
      <c r="AD72" s="2">
        <f>IF(Games[[#This Row],[Type]]="R",IF(Games[[#This Row],[Result]]&lt;0.5,1,0),0)</f>
        <v>1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45441</v>
      </c>
      <c r="B73" s="2">
        <v>2024</v>
      </c>
      <c r="C73" s="2">
        <f>COUNTIFS(Games[Team],Games[[#This Row],[Team]],Games[Season],Games[[#This Row],[Season]],Games[Date],"&lt;=" &amp; Games[[#This Row],[Date]])</f>
        <v>7</v>
      </c>
      <c r="D73" s="2" t="s">
        <v>79</v>
      </c>
      <c r="E73" s="2" t="s">
        <v>80</v>
      </c>
      <c r="F73" s="1" t="s">
        <v>60</v>
      </c>
      <c r="G73" s="1" t="s">
        <v>40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3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3" s="2">
        <f>Games[[#This Row],[DaysOff]]-Games[[#This Row],[OppDaysOff]]</f>
        <v>3</v>
      </c>
      <c r="L73" s="2">
        <f>Games[[#This Row],[OppDaysOff]]-Games[[#This Row],[DaysOff]]</f>
        <v>-3</v>
      </c>
      <c r="M73" s="1">
        <f>MAX(-16, MIN(16, Games[[#This Row],[RestDiff]]*8))</f>
        <v>16</v>
      </c>
      <c r="N73" s="1">
        <f>MAX(-16, MIN(16, Games[[#This Row],[OppRestDiff]]*8))</f>
        <v>-16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1600.7370312860094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1414.5976693865418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0.85059228186598523</v>
      </c>
      <c r="R73" s="1">
        <v>81</v>
      </c>
      <c r="S73" s="1">
        <v>78</v>
      </c>
      <c r="T73" s="1">
        <v>0</v>
      </c>
      <c r="U73" s="1">
        <f>Games[[#This Row],[PointsFor]]-Games[[#This Row],[PointsAgainst]]</f>
        <v>3</v>
      </c>
      <c r="V73" s="1">
        <f>IF(Games[[#This Row],[MOV]]&gt;0,1,IF(Games[[#This Row],[MOV]]=0,0.5,0))</f>
        <v>1</v>
      </c>
      <c r="W73" s="4">
        <f>((ABS(Games[[#This Row],[MOV]])+5)^0.6)/(12+0.01*(ABS(Games[[#This Row],[PreGmRate]]-Games[[#This Row],[OppPreGmRate]])))*IF(Games[[#This Row],[OT]]=1,0.9,1)</f>
        <v>0.25121588412385404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3" s="9">
        <f>MAX(kmin, kmax - 0.15 * MIN(Games[[#This Row],[GamesPlayed]], 82))</f>
        <v>74.95</v>
      </c>
      <c r="Z73" s="4">
        <f>Games[[#This Row],[K]]*Games[[#This Row],[POMult]]</f>
        <v>74.95</v>
      </c>
      <c r="AA73" s="4">
        <f>(Games[[#This Row],[Keff]]*Games[[#This Row],[MOVMult]])*(Games[[#This Row],[Result]]-Games[[#This Row],[ExpectedWin%]])</f>
        <v>2.8131427208470092</v>
      </c>
      <c r="AB73" s="4">
        <f>Games[[#This Row],[PreGmRate]]+Games[[#This Row],[RatingChange]]</f>
        <v>1603.5501740068564</v>
      </c>
      <c r="AC73" s="2">
        <f>IF(Games[[#This Row],[Type]]="R",IF(Games[[#This Row],[Result]]&gt;0.5,1,0),0)</f>
        <v>1</v>
      </c>
      <c r="AD73" s="2">
        <f>IF(Games[[#This Row],[Type]]="R",IF(Games[[#This Row],[Result]]&lt;0.5,1,0),0)</f>
        <v>0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45441</v>
      </c>
      <c r="B74" s="2">
        <v>2024</v>
      </c>
      <c r="C74" s="2">
        <f>COUNTIFS(Games[Team],Games[[#This Row],[Team]],Games[Season],Games[[#This Row],[Season]],Games[Date],"&lt;=" &amp; Games[[#This Row],[Date]])</f>
        <v>5</v>
      </c>
      <c r="D74" s="2" t="s">
        <v>79</v>
      </c>
      <c r="E74" s="2" t="s">
        <v>80</v>
      </c>
      <c r="F74" s="1" t="s">
        <v>77</v>
      </c>
      <c r="G74" s="1" t="s">
        <v>65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4" s="2">
        <f>Games[[#This Row],[DaysOff]]-Games[[#This Row],[OppDaysOff]]</f>
        <v>-1</v>
      </c>
      <c r="L74" s="2">
        <f>Games[[#This Row],[OppDaysOff]]-Games[[#This Row],[DaysOff]]</f>
        <v>1</v>
      </c>
      <c r="M74" s="1">
        <f>MAX(-16, MIN(16, Games[[#This Row],[RestDiff]]*8))</f>
        <v>-8</v>
      </c>
      <c r="N74" s="1">
        <f>MAX(-16, MIN(16, Games[[#This Row],[OppRestDiff]]*8))</f>
        <v>8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1467.8183909967315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1413.6269194907895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0.43445559186572896</v>
      </c>
      <c r="R74" s="1">
        <v>73</v>
      </c>
      <c r="S74" s="1">
        <v>67</v>
      </c>
      <c r="T74" s="1">
        <v>0</v>
      </c>
      <c r="U74" s="1">
        <f>Games[[#This Row],[PointsFor]]-Games[[#This Row],[PointsAgainst]]</f>
        <v>6</v>
      </c>
      <c r="V74" s="1">
        <f>IF(Games[[#This Row],[MOV]]&gt;0,1,IF(Games[[#This Row],[MOV]]=0,0.5,0))</f>
        <v>1</v>
      </c>
      <c r="W74" s="4">
        <f>((ABS(Games[[#This Row],[MOV]])+5)^0.6)/(12+0.01*(ABS(Games[[#This Row],[PreGmRate]]-Games[[#This Row],[OppPreGmRate]])))*IF(Games[[#This Row],[OT]]=1,0.9,1)</f>
        <v>0.33610251934103741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4" s="9">
        <f>MAX(kmin, kmax - 0.15 * MIN(Games[[#This Row],[GamesPlayed]], 82))</f>
        <v>75.25</v>
      </c>
      <c r="Z74" s="4">
        <f>Games[[#This Row],[K]]*Games[[#This Row],[POMult]]</f>
        <v>75.25</v>
      </c>
      <c r="AA74" s="4">
        <f>(Games[[#This Row],[Keff]]*Games[[#This Row],[MOVMult]])*(Games[[#This Row],[Result]]-Games[[#This Row],[ExpectedWin%]])</f>
        <v>14.30358775308062</v>
      </c>
      <c r="AB74" s="4">
        <f>Games[[#This Row],[PreGmRate]]+Games[[#This Row],[RatingChange]]</f>
        <v>1482.1219787498121</v>
      </c>
      <c r="AC74" s="2">
        <f>IF(Games[[#This Row],[Type]]="R",IF(Games[[#This Row],[Result]]&gt;0.5,1,0),0)</f>
        <v>1</v>
      </c>
      <c r="AD74" s="2">
        <f>IF(Games[[#This Row],[Type]]="R",IF(Games[[#This Row],[Result]]&lt;0.5,1,0),0)</f>
        <v>0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45441</v>
      </c>
      <c r="B75" s="2">
        <v>2024</v>
      </c>
      <c r="C75" s="2">
        <f>COUNTIFS(Games[Team],Games[[#This Row],[Team]],Games[Season],Games[[#This Row],[Season]],Games[Date],"&lt;=" &amp; Games[[#This Row],[Date]])</f>
        <v>7</v>
      </c>
      <c r="D75" s="2" t="s">
        <v>79</v>
      </c>
      <c r="E75" s="2" t="s">
        <v>80</v>
      </c>
      <c r="F75" s="1" t="s">
        <v>65</v>
      </c>
      <c r="G75" s="1" t="s">
        <v>77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3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5" s="2">
        <f>Games[[#This Row],[DaysOff]]-Games[[#This Row],[OppDaysOff]]</f>
        <v>1</v>
      </c>
      <c r="L75" s="2">
        <f>Games[[#This Row],[OppDaysOff]]-Games[[#This Row],[DaysOff]]</f>
        <v>-1</v>
      </c>
      <c r="M75" s="1">
        <f>MAX(-16, MIN(16, Games[[#This Row],[RestDiff]]*8))</f>
        <v>8</v>
      </c>
      <c r="N75" s="1">
        <f>MAX(-16, MIN(16, Games[[#This Row],[OppRestDiff]]*8))</f>
        <v>-8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1413.6269194907895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1467.8183909967315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0.56554440813427109</v>
      </c>
      <c r="R75" s="1">
        <v>67</v>
      </c>
      <c r="S75" s="1">
        <v>73</v>
      </c>
      <c r="T75" s="1">
        <v>0</v>
      </c>
      <c r="U75" s="1">
        <f>Games[[#This Row],[PointsFor]]-Games[[#This Row],[PointsAgainst]]</f>
        <v>-6</v>
      </c>
      <c r="V75" s="1">
        <f>IF(Games[[#This Row],[MOV]]&gt;0,1,IF(Games[[#This Row],[MOV]]=0,0.5,0))</f>
        <v>0</v>
      </c>
      <c r="W75" s="4">
        <f>((ABS(Games[[#This Row],[MOV]])+5)^0.6)/(12+0.01*(ABS(Games[[#This Row],[PreGmRate]]-Games[[#This Row],[OppPreGmRate]])))*IF(Games[[#This Row],[OT]]=1,0.9,1)</f>
        <v>0.33610251934103741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5" s="9">
        <f>MAX(kmin, kmax - 0.15 * MIN(Games[[#This Row],[GamesPlayed]], 82))</f>
        <v>74.95</v>
      </c>
      <c r="Z75" s="4">
        <f>Games[[#This Row],[K]]*Games[[#This Row],[POMult]]</f>
        <v>74.95</v>
      </c>
      <c r="AA75" s="4">
        <f>(Games[[#This Row],[Keff]]*Games[[#This Row],[MOVMult]])*(Games[[#This Row],[Result]]-Games[[#This Row],[ExpectedWin%]])</f>
        <v>-14.246563482968673</v>
      </c>
      <c r="AB75" s="4">
        <f>Games[[#This Row],[PreGmRate]]+Games[[#This Row],[RatingChange]]</f>
        <v>1399.3803560078209</v>
      </c>
      <c r="AC75" s="2">
        <f>IF(Games[[#This Row],[Type]]="R",IF(Games[[#This Row],[Result]]&gt;0.5,1,0),0)</f>
        <v>0</v>
      </c>
      <c r="AD75" s="2">
        <f>IF(Games[[#This Row],[Type]]="R",IF(Games[[#This Row],[Result]]&lt;0.5,1,0),0)</f>
        <v>1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45442</v>
      </c>
      <c r="B76" s="2">
        <v>2024</v>
      </c>
      <c r="C76" s="2">
        <f>COUNTIFS(Games[Team],Games[[#This Row],[Team]],Games[Season],Games[[#This Row],[Season]],Games[Date],"&lt;=" &amp; Games[[#This Row],[Date]])</f>
        <v>7</v>
      </c>
      <c r="D76" s="2" t="s">
        <v>79</v>
      </c>
      <c r="E76" s="2" t="s">
        <v>80</v>
      </c>
      <c r="F76" s="1" t="s">
        <v>63</v>
      </c>
      <c r="G76" s="1" t="s">
        <v>75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6" s="2">
        <f>Games[[#This Row],[DaysOff]]-Games[[#This Row],[OppDaysOff]]</f>
        <v>0</v>
      </c>
      <c r="L76" s="2">
        <f>Games[[#This Row],[OppDaysOff]]-Games[[#This Row],[DaysOff]]</f>
        <v>0</v>
      </c>
      <c r="M76" s="1">
        <f>MAX(-16, MIN(16, Games[[#This Row],[RestDiff]]*8))</f>
        <v>0</v>
      </c>
      <c r="N76" s="1">
        <f>MAX(-16, MIN(16, Games[[#This Row],[OppRestDiff]]*8))</f>
        <v>0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1443.4507419930378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1498.1959543861112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0.31030759851477557</v>
      </c>
      <c r="R76" s="1">
        <v>73</v>
      </c>
      <c r="S76" s="1">
        <v>83</v>
      </c>
      <c r="T76" s="1">
        <v>0</v>
      </c>
      <c r="U76" s="1">
        <f>Games[[#This Row],[PointsFor]]-Games[[#This Row],[PointsAgainst]]</f>
        <v>-10</v>
      </c>
      <c r="V76" s="1">
        <f>IF(Games[[#This Row],[MOV]]&gt;0,1,IF(Games[[#This Row],[MOV]]=0,0.5,0))</f>
        <v>0</v>
      </c>
      <c r="W76" s="4">
        <f>((ABS(Games[[#This Row],[MOV]])+5)^0.6)/(12+0.01*(ABS(Games[[#This Row],[PreGmRate]]-Games[[#This Row],[OppPreGmRate]])))*IF(Games[[#This Row],[OT]]=1,0.9,1)</f>
        <v>0.40466832165100652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6" s="9">
        <f>MAX(kmin, kmax - 0.15 * MIN(Games[[#This Row],[GamesPlayed]], 82))</f>
        <v>74.95</v>
      </c>
      <c r="Z76" s="4">
        <f>Games[[#This Row],[K]]*Games[[#This Row],[POMult]]</f>
        <v>74.95</v>
      </c>
      <c r="AA76" s="4">
        <f>(Games[[#This Row],[Keff]]*Games[[#This Row],[MOVMult]])*(Games[[#This Row],[Result]]-Games[[#This Row],[ExpectedWin%]])</f>
        <v>-9.4115955487353187</v>
      </c>
      <c r="AB76" s="4">
        <f>Games[[#This Row],[PreGmRate]]+Games[[#This Row],[RatingChange]]</f>
        <v>1434.0391464443026</v>
      </c>
      <c r="AC76" s="2">
        <f>IF(Games[[#This Row],[Type]]="R",IF(Games[[#This Row],[Result]]&gt;0.5,1,0),0)</f>
        <v>0</v>
      </c>
      <c r="AD76" s="2">
        <f>IF(Games[[#This Row],[Type]]="R",IF(Games[[#This Row],[Result]]&lt;0.5,1,0),0)</f>
        <v>1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45442</v>
      </c>
      <c r="B77" s="2">
        <v>2024</v>
      </c>
      <c r="C77" s="2">
        <f>COUNTIFS(Games[Team],Games[[#This Row],[Team]],Games[Season],Games[[#This Row],[Season]],Games[Date],"&lt;=" &amp; Games[[#This Row],[Date]])</f>
        <v>6</v>
      </c>
      <c r="D77" s="2" t="s">
        <v>79</v>
      </c>
      <c r="E77" s="2" t="s">
        <v>80</v>
      </c>
      <c r="F77" s="1" t="s">
        <v>75</v>
      </c>
      <c r="G77" s="1" t="s">
        <v>63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7" s="2">
        <f>Games[[#This Row],[DaysOff]]-Games[[#This Row],[OppDaysOff]]</f>
        <v>0</v>
      </c>
      <c r="L77" s="2">
        <f>Games[[#This Row],[OppDaysOff]]-Games[[#This Row],[DaysOff]]</f>
        <v>0</v>
      </c>
      <c r="M77" s="1">
        <f>MAX(-16, MIN(16, Games[[#This Row],[RestDiff]]*8))</f>
        <v>0</v>
      </c>
      <c r="N77" s="1">
        <f>MAX(-16, MIN(16, Games[[#This Row],[OppRestDiff]]*8))</f>
        <v>0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1498.1959543861112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1443.4507419930378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0.68969240148522448</v>
      </c>
      <c r="R77" s="1">
        <v>83</v>
      </c>
      <c r="S77" s="1">
        <v>73</v>
      </c>
      <c r="T77" s="1">
        <v>0</v>
      </c>
      <c r="U77" s="1">
        <f>Games[[#This Row],[PointsFor]]-Games[[#This Row],[PointsAgainst]]</f>
        <v>10</v>
      </c>
      <c r="V77" s="1">
        <f>IF(Games[[#This Row],[MOV]]&gt;0,1,IF(Games[[#This Row],[MOV]]=0,0.5,0))</f>
        <v>1</v>
      </c>
      <c r="W77" s="4">
        <f>((ABS(Games[[#This Row],[MOV]])+5)^0.6)/(12+0.01*(ABS(Games[[#This Row],[PreGmRate]]-Games[[#This Row],[OppPreGmRate]])))*IF(Games[[#This Row],[OT]]=1,0.9,1)</f>
        <v>0.40466832165100652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7" s="9">
        <f>MAX(kmin, kmax - 0.15 * MIN(Games[[#This Row],[GamesPlayed]], 82))</f>
        <v>75.099999999999994</v>
      </c>
      <c r="Z77" s="4">
        <f>Games[[#This Row],[K]]*Games[[#This Row],[POMult]]</f>
        <v>75.099999999999994</v>
      </c>
      <c r="AA77" s="4">
        <f>(Games[[#This Row],[Keff]]*Games[[#This Row],[MOVMult]])*(Games[[#This Row],[Result]]-Games[[#This Row],[ExpectedWin%]])</f>
        <v>9.4304312969982949</v>
      </c>
      <c r="AB77" s="4">
        <f>Games[[#This Row],[PreGmRate]]+Games[[#This Row],[RatingChange]]</f>
        <v>1507.6263856831094</v>
      </c>
      <c r="AC77" s="2">
        <f>IF(Games[[#This Row],[Type]]="R",IF(Games[[#This Row],[Result]]&gt;0.5,1,0),0)</f>
        <v>1</v>
      </c>
      <c r="AD77" s="2">
        <f>IF(Games[[#This Row],[Type]]="R",IF(Games[[#This Row],[Result]]&lt;0.5,1,0),0)</f>
        <v>0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45442</v>
      </c>
      <c r="B78" s="2">
        <v>2024</v>
      </c>
      <c r="C78" s="2">
        <f>COUNTIFS(Games[Team],Games[[#This Row],[Team]],Games[Season],Games[[#This Row],[Season]],Games[Date],"&lt;=" &amp; Games[[#This Row],[Date]])</f>
        <v>8</v>
      </c>
      <c r="D78" s="2" t="s">
        <v>79</v>
      </c>
      <c r="E78" s="2" t="s">
        <v>80</v>
      </c>
      <c r="F78" s="1" t="s">
        <v>71</v>
      </c>
      <c r="G78" s="1" t="s">
        <v>69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0</v>
      </c>
      <c r="L78" s="2">
        <f>Games[[#This Row],[OppDaysOff]]-Games[[#This Row],[DaysOff]]</f>
        <v>0</v>
      </c>
      <c r="M78" s="1">
        <f>MAX(-16, MIN(16, Games[[#This Row],[RestDiff]]*8))</f>
        <v>0</v>
      </c>
      <c r="N78" s="1">
        <f>MAX(-16, MIN(16, Games[[#This Row],[OppRestDiff]]*8))</f>
        <v>0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1479.0362413366213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1381.6753592396376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0.51921838225208494</v>
      </c>
      <c r="R78" s="1">
        <v>103</v>
      </c>
      <c r="S78" s="1">
        <v>88</v>
      </c>
      <c r="T78" s="1">
        <v>0</v>
      </c>
      <c r="U78" s="1">
        <f>Games[[#This Row],[PointsFor]]-Games[[#This Row],[PointsAgainst]]</f>
        <v>15</v>
      </c>
      <c r="V78" s="1">
        <f>IF(Games[[#This Row],[MOV]]&gt;0,1,IF(Games[[#This Row],[MOV]]=0,0.5,0))</f>
        <v>1</v>
      </c>
      <c r="W78" s="4">
        <f>((ABS(Games[[#This Row],[MOV]])+5)^0.6)/(12+0.01*(ABS(Games[[#This Row],[PreGmRate]]-Games[[#This Row],[OppPreGmRate]])))*IF(Games[[#This Row],[OT]]=1,0.9,1)</f>
        <v>0.46511162929406713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8" s="9">
        <f>MAX(kmin, kmax - 0.15 * MIN(Games[[#This Row],[GamesPlayed]], 82))</f>
        <v>74.8</v>
      </c>
      <c r="Z78" s="4">
        <f>Games[[#This Row],[K]]*Games[[#This Row],[POMult]]</f>
        <v>74.8</v>
      </c>
      <c r="AA78" s="4">
        <f>(Games[[#This Row],[Keff]]*Games[[#This Row],[MOVMult]])*(Games[[#This Row],[Result]]-Games[[#This Row],[ExpectedWin%]])</f>
        <v>16.726560693089688</v>
      </c>
      <c r="AB78" s="4">
        <f>Games[[#This Row],[PreGmRate]]+Games[[#This Row],[RatingChange]]</f>
        <v>1495.7628020297109</v>
      </c>
      <c r="AC78" s="2">
        <f>IF(Games[[#This Row],[Type]]="R",IF(Games[[#This Row],[Result]]&gt;0.5,1,0),0)</f>
        <v>1</v>
      </c>
      <c r="AD78" s="2">
        <f>IF(Games[[#This Row],[Type]]="R",IF(Games[[#This Row],[Result]]&lt;0.5,1,0),0)</f>
        <v>0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45442</v>
      </c>
      <c r="B79" s="2">
        <v>2024</v>
      </c>
      <c r="C79" s="2">
        <f>COUNTIFS(Games[Team],Games[[#This Row],[Team]],Games[Season],Games[[#This Row],[Season]],Games[Date],"&lt;=" &amp; Games[[#This Row],[Date]])</f>
        <v>9</v>
      </c>
      <c r="D79" s="2" t="s">
        <v>79</v>
      </c>
      <c r="E79" s="2" t="s">
        <v>80</v>
      </c>
      <c r="F79" s="1" t="s">
        <v>69</v>
      </c>
      <c r="G79" s="1" t="s">
        <v>71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9" s="2">
        <f>Games[[#This Row],[DaysOff]]-Games[[#This Row],[OppDaysOff]]</f>
        <v>0</v>
      </c>
      <c r="L79" s="2">
        <f>Games[[#This Row],[OppDaysOff]]-Games[[#This Row],[DaysOff]]</f>
        <v>0</v>
      </c>
      <c r="M79" s="1">
        <f>MAX(-16, MIN(16, Games[[#This Row],[RestDiff]]*8))</f>
        <v>0</v>
      </c>
      <c r="N79" s="1">
        <f>MAX(-16, MIN(16, Games[[#This Row],[OppRestDiff]]*8))</f>
        <v>0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1381.6753592396376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1479.0362413366213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0.480781617747915</v>
      </c>
      <c r="R79" s="1">
        <v>88</v>
      </c>
      <c r="S79" s="1">
        <v>103</v>
      </c>
      <c r="T79" s="1">
        <v>0</v>
      </c>
      <c r="U79" s="1">
        <f>Games[[#This Row],[PointsFor]]-Games[[#This Row],[PointsAgainst]]</f>
        <v>-15</v>
      </c>
      <c r="V79" s="1">
        <f>IF(Games[[#This Row],[MOV]]&gt;0,1,IF(Games[[#This Row],[MOV]]=0,0.5,0))</f>
        <v>0</v>
      </c>
      <c r="W79" s="4">
        <f>((ABS(Games[[#This Row],[MOV]])+5)^0.6)/(12+0.01*(ABS(Games[[#This Row],[PreGmRate]]-Games[[#This Row],[OppPreGmRate]])))*IF(Games[[#This Row],[OT]]=1,0.9,1)</f>
        <v>0.46511162929406713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9" s="9">
        <f>MAX(kmin, kmax - 0.15 * MIN(Games[[#This Row],[GamesPlayed]], 82))</f>
        <v>74.650000000000006</v>
      </c>
      <c r="Z79" s="4">
        <f>Games[[#This Row],[K]]*Games[[#This Row],[POMult]]</f>
        <v>74.650000000000006</v>
      </c>
      <c r="AA79" s="4">
        <f>(Games[[#This Row],[Keff]]*Games[[#This Row],[MOVMult]])*(Games[[#This Row],[Result]]-Games[[#This Row],[ExpectedWin%]])</f>
        <v>-16.693018124854881</v>
      </c>
      <c r="AB79" s="4">
        <f>Games[[#This Row],[PreGmRate]]+Games[[#This Row],[RatingChange]]</f>
        <v>1364.9823411147827</v>
      </c>
      <c r="AC79" s="2">
        <f>IF(Games[[#This Row],[Type]]="R",IF(Games[[#This Row],[Result]]&gt;0.5,1,0),0)</f>
        <v>0</v>
      </c>
      <c r="AD79" s="2">
        <f>IF(Games[[#This Row],[Type]]="R",IF(Games[[#This Row],[Result]]&lt;0.5,1,0),0)</f>
        <v>1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45443</v>
      </c>
      <c r="B80" s="2">
        <v>2024</v>
      </c>
      <c r="C80" s="2">
        <f>COUNTIFS(Games[Team],Games[[#This Row],[Team]],Games[Season],Games[[#This Row],[Season]],Games[Date],"&lt;=" &amp; Games[[#This Row],[Date]])</f>
        <v>6</v>
      </c>
      <c r="D80" s="2" t="s">
        <v>79</v>
      </c>
      <c r="E80" s="2" t="s">
        <v>80</v>
      </c>
      <c r="F80" s="1" t="s">
        <v>86</v>
      </c>
      <c r="G80" s="1" t="s">
        <v>77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0" s="2">
        <f>Games[[#This Row],[DaysOff]]-Games[[#This Row],[OppDaysOff]]</f>
        <v>0</v>
      </c>
      <c r="L80" s="2">
        <f>Games[[#This Row],[OppDaysOff]]-Games[[#This Row],[DaysOff]]</f>
        <v>0</v>
      </c>
      <c r="M80" s="1">
        <f>MAX(-16, MIN(16, Games[[#This Row],[RestDiff]]*8))</f>
        <v>0</v>
      </c>
      <c r="N80" s="1">
        <f>MAX(-16, MIN(16, Games[[#This Row],[OppRestDiff]]*8))</f>
        <v>0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1646.6139810382222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1482.1219787498121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0.61380840082358046</v>
      </c>
      <c r="R80" s="1">
        <v>74</v>
      </c>
      <c r="S80" s="1">
        <v>78</v>
      </c>
      <c r="T80" s="1">
        <v>0</v>
      </c>
      <c r="U80" s="1">
        <f>Games[[#This Row],[PointsFor]]-Games[[#This Row],[PointsAgainst]]</f>
        <v>-4</v>
      </c>
      <c r="V80" s="1">
        <f>IF(Games[[#This Row],[MOV]]&gt;0,1,IF(Games[[#This Row],[MOV]]=0,0.5,0))</f>
        <v>0</v>
      </c>
      <c r="W80" s="4">
        <f>((ABS(Games[[#This Row],[MOV]])+5)^0.6)/(12+0.01*(ABS(Games[[#This Row],[PreGmRate]]-Games[[#This Row],[OppPreGmRate]])))*IF(Games[[#This Row],[OT]]=1,0.9,1)</f>
        <v>0.27388895006924552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0" s="9">
        <f>MAX(kmin, kmax - 0.15 * MIN(Games[[#This Row],[GamesPlayed]], 82))</f>
        <v>75.099999999999994</v>
      </c>
      <c r="Z80" s="4">
        <f>Games[[#This Row],[K]]*Games[[#This Row],[POMult]]</f>
        <v>75.099999999999994</v>
      </c>
      <c r="AA80" s="4">
        <f>(Games[[#This Row],[Keff]]*Games[[#This Row],[MOVMult]])*(Games[[#This Row],[Result]]-Games[[#This Row],[ExpectedWin%]])</f>
        <v>-12.625461917238503</v>
      </c>
      <c r="AB80" s="4">
        <f>Games[[#This Row],[PreGmRate]]+Games[[#This Row],[RatingChange]]</f>
        <v>1633.9885191209837</v>
      </c>
      <c r="AC80" s="2">
        <f>IF(Games[[#This Row],[Type]]="R",IF(Games[[#This Row],[Result]]&gt;0.5,1,0),0)</f>
        <v>0</v>
      </c>
      <c r="AD80" s="2">
        <f>IF(Games[[#This Row],[Type]]="R",IF(Games[[#This Row],[Result]]&lt;0.5,1,0),0)</f>
        <v>1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45443</v>
      </c>
      <c r="B81" s="2">
        <v>2024</v>
      </c>
      <c r="C81" s="2">
        <f>COUNTIFS(Games[Team],Games[[#This Row],[Team]],Games[Season],Games[[#This Row],[Season]],Games[Date],"&lt;=" &amp; Games[[#This Row],[Date]])</f>
        <v>6</v>
      </c>
      <c r="D81" s="2" t="s">
        <v>79</v>
      </c>
      <c r="E81" s="2" t="s">
        <v>80</v>
      </c>
      <c r="F81" s="1" t="s">
        <v>77</v>
      </c>
      <c r="G81" s="1" t="s">
        <v>86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1" s="2">
        <f>Games[[#This Row],[DaysOff]]-Games[[#This Row],[OppDaysOff]]</f>
        <v>0</v>
      </c>
      <c r="L81" s="2">
        <f>Games[[#This Row],[OppDaysOff]]-Games[[#This Row],[DaysOff]]</f>
        <v>0</v>
      </c>
      <c r="M81" s="1">
        <f>MAX(-16, MIN(16, Games[[#This Row],[RestDiff]]*8))</f>
        <v>0</v>
      </c>
      <c r="N81" s="1">
        <f>MAX(-16, MIN(16, Games[[#This Row],[OppRestDiff]]*8))</f>
        <v>0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1482.1219787498121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1646.6139810382222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0.38619159917641954</v>
      </c>
      <c r="R81" s="1">
        <v>78</v>
      </c>
      <c r="S81" s="1">
        <v>74</v>
      </c>
      <c r="T81" s="1">
        <v>0</v>
      </c>
      <c r="U81" s="1">
        <f>Games[[#This Row],[PointsFor]]-Games[[#This Row],[PointsAgainst]]</f>
        <v>4</v>
      </c>
      <c r="V81" s="1">
        <f>IF(Games[[#This Row],[MOV]]&gt;0,1,IF(Games[[#This Row],[MOV]]=0,0.5,0))</f>
        <v>1</v>
      </c>
      <c r="W81" s="4">
        <f>((ABS(Games[[#This Row],[MOV]])+5)^0.6)/(12+0.01*(ABS(Games[[#This Row],[PreGmRate]]-Games[[#This Row],[OppPreGmRate]])))*IF(Games[[#This Row],[OT]]=1,0.9,1)</f>
        <v>0.27388895006924552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1" s="9">
        <f>MAX(kmin, kmax - 0.15 * MIN(Games[[#This Row],[GamesPlayed]], 82))</f>
        <v>75.099999999999994</v>
      </c>
      <c r="Z81" s="4">
        <f>Games[[#This Row],[K]]*Games[[#This Row],[POMult]]</f>
        <v>75.099999999999994</v>
      </c>
      <c r="AA81" s="4">
        <f>(Games[[#This Row],[Keff]]*Games[[#This Row],[MOVMult]])*(Games[[#This Row],[Result]]-Games[[#This Row],[ExpectedWin%]])</f>
        <v>12.625461917238503</v>
      </c>
      <c r="AB81" s="4">
        <f>Games[[#This Row],[PreGmRate]]+Games[[#This Row],[RatingChange]]</f>
        <v>1494.7474406670506</v>
      </c>
      <c r="AC81" s="2">
        <f>IF(Games[[#This Row],[Type]]="R",IF(Games[[#This Row],[Result]]&gt;0.5,1,0),0)</f>
        <v>1</v>
      </c>
      <c r="AD81" s="2">
        <f>IF(Games[[#This Row],[Type]]="R",IF(Games[[#This Row],[Result]]&lt;0.5,1,0),0)</f>
        <v>0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45443</v>
      </c>
      <c r="B82" s="2">
        <v>2024</v>
      </c>
      <c r="C82" s="2">
        <f>COUNTIFS(Games[Team],Games[[#This Row],[Team]],Games[Season],Games[[#This Row],[Season]],Games[Date],"&lt;=" &amp; Games[[#This Row],[Date]])</f>
        <v>6</v>
      </c>
      <c r="D82" s="2" t="s">
        <v>79</v>
      </c>
      <c r="E82" s="2" t="s">
        <v>80</v>
      </c>
      <c r="F82" s="1" t="s">
        <v>85</v>
      </c>
      <c r="G82" s="1" t="s">
        <v>74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4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2" s="2">
        <f>Games[[#This Row],[DaysOff]]-Games[[#This Row],[OppDaysOff]]</f>
        <v>2</v>
      </c>
      <c r="L82" s="2">
        <f>Games[[#This Row],[OppDaysOff]]-Games[[#This Row],[DaysOff]]</f>
        <v>-2</v>
      </c>
      <c r="M82" s="1">
        <f>MAX(-16, MIN(16, Games[[#This Row],[RestDiff]]*8))</f>
        <v>16</v>
      </c>
      <c r="N82" s="1">
        <f>MAX(-16, MIN(16, Games[[#This Row],[OppRestDiff]]*8))</f>
        <v>-16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1535.7347840297914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1598.4243927634409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0.34069323504031618</v>
      </c>
      <c r="R82" s="1">
        <v>72</v>
      </c>
      <c r="S82" s="1">
        <v>74</v>
      </c>
      <c r="T82" s="1">
        <v>0</v>
      </c>
      <c r="U82" s="1">
        <f>Games[[#This Row],[PointsFor]]-Games[[#This Row],[PointsAgainst]]</f>
        <v>-2</v>
      </c>
      <c r="V82" s="1">
        <f>IF(Games[[#This Row],[MOV]]&gt;0,1,IF(Games[[#This Row],[MOV]]=0,0.5,0))</f>
        <v>0</v>
      </c>
      <c r="W82" s="4">
        <f>((ABS(Games[[#This Row],[MOV]])+5)^0.6)/(12+0.01*(ABS(Games[[#This Row],[PreGmRate]]-Games[[#This Row],[OppPreGmRate]])))*IF(Games[[#This Row],[OT]]=1,0.9,1)</f>
        <v>0.25454362081425952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2" s="9">
        <f>MAX(kmin, kmax - 0.15 * MIN(Games[[#This Row],[GamesPlayed]], 82))</f>
        <v>75.099999999999994</v>
      </c>
      <c r="Z82" s="4">
        <f>Games[[#This Row],[K]]*Games[[#This Row],[POMult]]</f>
        <v>75.099999999999994</v>
      </c>
      <c r="AA82" s="4">
        <f>(Games[[#This Row],[Keff]]*Games[[#This Row],[MOVMult]])*(Games[[#This Row],[Result]]-Games[[#This Row],[ExpectedWin%]])</f>
        <v>-6.512768851519831</v>
      </c>
      <c r="AB82" s="4">
        <f>Games[[#This Row],[PreGmRate]]+Games[[#This Row],[RatingChange]]</f>
        <v>1529.2220151782715</v>
      </c>
      <c r="AC82" s="2">
        <f>IF(Games[[#This Row],[Type]]="R",IF(Games[[#This Row],[Result]]&gt;0.5,1,0),0)</f>
        <v>0</v>
      </c>
      <c r="AD82" s="2">
        <f>IF(Games[[#This Row],[Type]]="R",IF(Games[[#This Row],[Result]]&lt;0.5,1,0),0)</f>
        <v>1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45443</v>
      </c>
      <c r="B83" s="2">
        <v>2024</v>
      </c>
      <c r="C83" s="2">
        <f>COUNTIFS(Games[Team],Games[[#This Row],[Team]],Games[Season],Games[[#This Row],[Season]],Games[Date],"&lt;=" &amp; Games[[#This Row],[Date]])</f>
        <v>7</v>
      </c>
      <c r="D83" s="2" t="s">
        <v>79</v>
      </c>
      <c r="E83" s="2" t="s">
        <v>80</v>
      </c>
      <c r="F83" s="1" t="s">
        <v>74</v>
      </c>
      <c r="G83" s="1" t="s">
        <v>85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83" s="2">
        <f>Games[[#This Row],[DaysOff]]-Games[[#This Row],[OppDaysOff]]</f>
        <v>-2</v>
      </c>
      <c r="L83" s="2">
        <f>Games[[#This Row],[OppDaysOff]]-Games[[#This Row],[DaysOff]]</f>
        <v>2</v>
      </c>
      <c r="M83" s="1">
        <f>MAX(-16, MIN(16, Games[[#This Row],[RestDiff]]*8))</f>
        <v>-16</v>
      </c>
      <c r="N83" s="1">
        <f>MAX(-16, MIN(16, Games[[#This Row],[OppRestDiff]]*8))</f>
        <v>16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1598.4243927634409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1535.7347840297914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0.65930676495968388</v>
      </c>
      <c r="R83" s="1">
        <v>74</v>
      </c>
      <c r="S83" s="1">
        <v>72</v>
      </c>
      <c r="T83" s="1">
        <v>0</v>
      </c>
      <c r="U83" s="1">
        <f>Games[[#This Row],[PointsFor]]-Games[[#This Row],[PointsAgainst]]</f>
        <v>2</v>
      </c>
      <c r="V83" s="1">
        <f>IF(Games[[#This Row],[MOV]]&gt;0,1,IF(Games[[#This Row],[MOV]]=0,0.5,0))</f>
        <v>1</v>
      </c>
      <c r="W83" s="4">
        <f>((ABS(Games[[#This Row],[MOV]])+5)^0.6)/(12+0.01*(ABS(Games[[#This Row],[PreGmRate]]-Games[[#This Row],[OppPreGmRate]])))*IF(Games[[#This Row],[OT]]=1,0.9,1)</f>
        <v>0.25454362081425952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3" s="9">
        <f>MAX(kmin, kmax - 0.15 * MIN(Games[[#This Row],[GamesPlayed]], 82))</f>
        <v>74.95</v>
      </c>
      <c r="Z83" s="4">
        <f>Games[[#This Row],[K]]*Games[[#This Row],[POMult]]</f>
        <v>74.95</v>
      </c>
      <c r="AA83" s="4">
        <f>(Games[[#This Row],[Keff]]*Games[[#This Row],[MOVMult]])*(Games[[#This Row],[Result]]-Games[[#This Row],[ExpectedWin%]])</f>
        <v>6.4997606580747167</v>
      </c>
      <c r="AB83" s="4">
        <f>Games[[#This Row],[PreGmRate]]+Games[[#This Row],[RatingChange]]</f>
        <v>1604.9241534215157</v>
      </c>
      <c r="AC83" s="2">
        <f>IF(Games[[#This Row],[Type]]="R",IF(Games[[#This Row],[Result]]&gt;0.5,1,0),0)</f>
        <v>1</v>
      </c>
      <c r="AD83" s="2">
        <f>IF(Games[[#This Row],[Type]]="R",IF(Games[[#This Row],[Result]]&lt;0.5,1,0),0)</f>
        <v>0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45443</v>
      </c>
      <c r="B84" s="2">
        <v>2024</v>
      </c>
      <c r="C84" s="2">
        <f>COUNTIFS(Games[Team],Games[[#This Row],[Team]],Games[Season],Games[[#This Row],[Season]],Games[Date],"&lt;=" &amp; Games[[#This Row],[Date]])</f>
        <v>8</v>
      </c>
      <c r="D84" s="2" t="s">
        <v>79</v>
      </c>
      <c r="E84" s="2" t="s">
        <v>80</v>
      </c>
      <c r="F84" s="1" t="s">
        <v>40</v>
      </c>
      <c r="G84" s="1" t="s">
        <v>67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4" s="2">
        <f>Games[[#This Row],[DaysOff]]-Games[[#This Row],[OppDaysOff]]</f>
        <v>0</v>
      </c>
      <c r="L84" s="2">
        <f>Games[[#This Row],[OppDaysOff]]-Games[[#This Row],[DaysOff]]</f>
        <v>0</v>
      </c>
      <c r="M84" s="1">
        <f>MAX(-16, MIN(16, Games[[#This Row],[RestDiff]]*8))</f>
        <v>0</v>
      </c>
      <c r="N84" s="1">
        <f>MAX(-16, MIN(16, Games[[#This Row],[OppRestDiff]]*8))</f>
        <v>0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1411.7845266656948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1520.6015085891638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0.2478813716012247</v>
      </c>
      <c r="R84" s="1">
        <v>71</v>
      </c>
      <c r="S84" s="1">
        <v>95</v>
      </c>
      <c r="T84" s="1">
        <v>0</v>
      </c>
      <c r="U84" s="1">
        <f>Games[[#This Row],[PointsFor]]-Games[[#This Row],[PointsAgainst]]</f>
        <v>-24</v>
      </c>
      <c r="V84" s="1">
        <f>IF(Games[[#This Row],[MOV]]&gt;0,1,IF(Games[[#This Row],[MOV]]=0,0.5,0))</f>
        <v>0</v>
      </c>
      <c r="W84" s="4">
        <f>((ABS(Games[[#This Row],[MOV]])+5)^0.6)/(12+0.01*(ABS(Games[[#This Row],[PreGmRate]]-Games[[#This Row],[OppPreGmRate]])))*IF(Games[[#This Row],[OT]]=1,0.9,1)</f>
        <v>0.57618225294532421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4" s="9">
        <f>MAX(kmin, kmax - 0.15 * MIN(Games[[#This Row],[GamesPlayed]], 82))</f>
        <v>74.8</v>
      </c>
      <c r="Z84" s="4">
        <f>Games[[#This Row],[K]]*Games[[#This Row],[POMult]]</f>
        <v>74.8</v>
      </c>
      <c r="AA84" s="4">
        <f>(Games[[#This Row],[Keff]]*Games[[#This Row],[MOVMult]])*(Games[[#This Row],[Result]]-Games[[#This Row],[ExpectedWin%]])</f>
        <v>-10.683298566997331</v>
      </c>
      <c r="AB84" s="4">
        <f>Games[[#This Row],[PreGmRate]]+Games[[#This Row],[RatingChange]]</f>
        <v>1401.1012280986974</v>
      </c>
      <c r="AC84" s="2">
        <f>IF(Games[[#This Row],[Type]]="R",IF(Games[[#This Row],[Result]]&gt;0.5,1,0),0)</f>
        <v>0</v>
      </c>
      <c r="AD84" s="2">
        <f>IF(Games[[#This Row],[Type]]="R",IF(Games[[#This Row],[Result]]&lt;0.5,1,0),0)</f>
        <v>1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45443</v>
      </c>
      <c r="B85" s="2">
        <v>2024</v>
      </c>
      <c r="C85" s="2">
        <f>COUNTIFS(Games[Team],Games[[#This Row],[Team]],Games[Season],Games[[#This Row],[Season]],Games[Date],"&lt;=" &amp; Games[[#This Row],[Date]])</f>
        <v>7</v>
      </c>
      <c r="D85" s="2" t="s">
        <v>79</v>
      </c>
      <c r="E85" s="2" t="s">
        <v>80</v>
      </c>
      <c r="F85" s="1" t="s">
        <v>67</v>
      </c>
      <c r="G85" s="1" t="s">
        <v>40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5" s="2">
        <f>Games[[#This Row],[DaysOff]]-Games[[#This Row],[OppDaysOff]]</f>
        <v>0</v>
      </c>
      <c r="L85" s="2">
        <f>Games[[#This Row],[OppDaysOff]]-Games[[#This Row],[DaysOff]]</f>
        <v>0</v>
      </c>
      <c r="M85" s="1">
        <f>MAX(-16, MIN(16, Games[[#This Row],[RestDiff]]*8))</f>
        <v>0</v>
      </c>
      <c r="N85" s="1">
        <f>MAX(-16, MIN(16, Games[[#This Row],[OppRestDiff]]*8))</f>
        <v>0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1520.6015085891638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1411.7845266656948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0.75211862839877519</v>
      </c>
      <c r="R85" s="1">
        <v>95</v>
      </c>
      <c r="S85" s="1">
        <v>71</v>
      </c>
      <c r="T85" s="1">
        <v>0</v>
      </c>
      <c r="U85" s="1">
        <f>Games[[#This Row],[PointsFor]]-Games[[#This Row],[PointsAgainst]]</f>
        <v>24</v>
      </c>
      <c r="V85" s="1">
        <f>IF(Games[[#This Row],[MOV]]&gt;0,1,IF(Games[[#This Row],[MOV]]=0,0.5,0))</f>
        <v>1</v>
      </c>
      <c r="W85" s="4">
        <f>((ABS(Games[[#This Row],[MOV]])+5)^0.6)/(12+0.01*(ABS(Games[[#This Row],[PreGmRate]]-Games[[#This Row],[OppPreGmRate]])))*IF(Games[[#This Row],[OT]]=1,0.9,1)</f>
        <v>0.57618225294532421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5" s="9">
        <f>MAX(kmin, kmax - 0.15 * MIN(Games[[#This Row],[GamesPlayed]], 82))</f>
        <v>74.95</v>
      </c>
      <c r="Z85" s="4">
        <f>Games[[#This Row],[K]]*Games[[#This Row],[POMult]]</f>
        <v>74.95</v>
      </c>
      <c r="AA85" s="4">
        <f>(Games[[#This Row],[Keff]]*Games[[#This Row],[MOVMult]])*(Games[[#This Row],[Result]]-Games[[#This Row],[ExpectedWin%]])</f>
        <v>10.704722294070194</v>
      </c>
      <c r="AB85" s="4">
        <f>Games[[#This Row],[PreGmRate]]+Games[[#This Row],[RatingChange]]</f>
        <v>1531.3062308832341</v>
      </c>
      <c r="AC85" s="2">
        <f>IF(Games[[#This Row],[Type]]="R",IF(Games[[#This Row],[Result]]&gt;0.5,1,0),0)</f>
        <v>1</v>
      </c>
      <c r="AD85" s="2">
        <f>IF(Games[[#This Row],[Type]]="R",IF(Games[[#This Row],[Result]]&lt;0.5,1,0),0)</f>
        <v>0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45443</v>
      </c>
      <c r="B86" s="2">
        <v>2024</v>
      </c>
      <c r="C86" s="2">
        <f>COUNTIFS(Games[Team],Games[[#This Row],[Team]],Games[Season],Games[[#This Row],[Season]],Games[Date],"&lt;=" &amp; Games[[#This Row],[Date]])</f>
        <v>8</v>
      </c>
      <c r="D86" s="2" t="s">
        <v>79</v>
      </c>
      <c r="E86" s="2" t="s">
        <v>80</v>
      </c>
      <c r="F86" s="1" t="s">
        <v>65</v>
      </c>
      <c r="G86" s="1" t="s">
        <v>60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6" s="2">
        <f>Games[[#This Row],[DaysOff]]-Games[[#This Row],[OppDaysOff]]</f>
        <v>0</v>
      </c>
      <c r="L86" s="2">
        <f>Games[[#This Row],[OppDaysOff]]-Games[[#This Row],[DaysOff]]</f>
        <v>0</v>
      </c>
      <c r="M86" s="1">
        <f>MAX(-16, MIN(16, Games[[#This Row],[RestDiff]]*8))</f>
        <v>0</v>
      </c>
      <c r="N86" s="1">
        <f>MAX(-16, MIN(16, Games[[#This Row],[OppRestDiff]]*8))</f>
        <v>0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1399.3803560078209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1603.5501740068564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0.15991793340843208</v>
      </c>
      <c r="R86" s="1">
        <v>79</v>
      </c>
      <c r="S86" s="1">
        <v>90</v>
      </c>
      <c r="T86" s="1">
        <v>0</v>
      </c>
      <c r="U86" s="1">
        <f>Games[[#This Row],[PointsFor]]-Games[[#This Row],[PointsAgainst]]</f>
        <v>-11</v>
      </c>
      <c r="V86" s="1">
        <f>IF(Games[[#This Row],[MOV]]&gt;0,1,IF(Games[[#This Row],[MOV]]=0,0.5,0))</f>
        <v>0</v>
      </c>
      <c r="W86" s="4">
        <f>((ABS(Games[[#This Row],[MOV]])+5)^0.6)/(12+0.01*(ABS(Games[[#This Row],[PreGmRate]]-Games[[#This Row],[OppPreGmRate]])))*IF(Games[[#This Row],[OT]]=1,0.9,1)</f>
        <v>0.37588271556875197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6" s="9">
        <f>MAX(kmin, kmax - 0.15 * MIN(Games[[#This Row],[GamesPlayed]], 82))</f>
        <v>74.8</v>
      </c>
      <c r="Z86" s="4">
        <f>Games[[#This Row],[K]]*Games[[#This Row],[POMult]]</f>
        <v>74.8</v>
      </c>
      <c r="AA86" s="4">
        <f>(Games[[#This Row],[Keff]]*Games[[#This Row],[MOVMult]])*(Games[[#This Row],[Result]]-Games[[#This Row],[ExpectedWin%]])</f>
        <v>-4.4962569534122814</v>
      </c>
      <c r="AB86" s="4">
        <f>Games[[#This Row],[PreGmRate]]+Games[[#This Row],[RatingChange]]</f>
        <v>1394.8840990544086</v>
      </c>
      <c r="AC86" s="2">
        <f>IF(Games[[#This Row],[Type]]="R",IF(Games[[#This Row],[Result]]&gt;0.5,1,0),0)</f>
        <v>0</v>
      </c>
      <c r="AD86" s="2">
        <f>IF(Games[[#This Row],[Type]]="R",IF(Games[[#This Row],[Result]]&lt;0.5,1,0),0)</f>
        <v>1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45443</v>
      </c>
      <c r="B87" s="2">
        <v>2024</v>
      </c>
      <c r="C87" s="2">
        <f>COUNTIFS(Games[Team],Games[[#This Row],[Team]],Games[Season],Games[[#This Row],[Season]],Games[Date],"&lt;=" &amp; Games[[#This Row],[Date]])</f>
        <v>8</v>
      </c>
      <c r="D87" s="2" t="s">
        <v>79</v>
      </c>
      <c r="E87" s="2" t="s">
        <v>80</v>
      </c>
      <c r="F87" s="1" t="s">
        <v>60</v>
      </c>
      <c r="G87" s="1" t="s">
        <v>65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7" s="2">
        <f>Games[[#This Row],[DaysOff]]-Games[[#This Row],[OppDaysOff]]</f>
        <v>0</v>
      </c>
      <c r="L87" s="2">
        <f>Games[[#This Row],[OppDaysOff]]-Games[[#This Row],[DaysOff]]</f>
        <v>0</v>
      </c>
      <c r="M87" s="1">
        <f>MAX(-16, MIN(16, Games[[#This Row],[RestDiff]]*8))</f>
        <v>0</v>
      </c>
      <c r="N87" s="1">
        <f>MAX(-16, MIN(16, Games[[#This Row],[OppRestDiff]]*8))</f>
        <v>0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1603.5501740068564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1399.3803560078209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0.84008206659156792</v>
      </c>
      <c r="R87" s="1">
        <v>90</v>
      </c>
      <c r="S87" s="1">
        <v>79</v>
      </c>
      <c r="T87" s="1">
        <v>0</v>
      </c>
      <c r="U87" s="1">
        <f>Games[[#This Row],[PointsFor]]-Games[[#This Row],[PointsAgainst]]</f>
        <v>11</v>
      </c>
      <c r="V87" s="1">
        <f>IF(Games[[#This Row],[MOV]]&gt;0,1,IF(Games[[#This Row],[MOV]]=0,0.5,0))</f>
        <v>1</v>
      </c>
      <c r="W87" s="4">
        <f>((ABS(Games[[#This Row],[MOV]])+5)^0.6)/(12+0.01*(ABS(Games[[#This Row],[PreGmRate]]-Games[[#This Row],[OppPreGmRate]])))*IF(Games[[#This Row],[OT]]=1,0.9,1)</f>
        <v>0.37588271556875197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7" s="9">
        <f>MAX(kmin, kmax - 0.15 * MIN(Games[[#This Row],[GamesPlayed]], 82))</f>
        <v>74.8</v>
      </c>
      <c r="Z87" s="4">
        <f>Games[[#This Row],[K]]*Games[[#This Row],[POMult]]</f>
        <v>74.8</v>
      </c>
      <c r="AA87" s="4">
        <f>(Games[[#This Row],[Keff]]*Games[[#This Row],[MOVMult]])*(Games[[#This Row],[Result]]-Games[[#This Row],[ExpectedWin%]])</f>
        <v>4.4962569534122814</v>
      </c>
      <c r="AB87" s="4">
        <f>Games[[#This Row],[PreGmRate]]+Games[[#This Row],[RatingChange]]</f>
        <v>1608.0464309602687</v>
      </c>
      <c r="AC87" s="2">
        <f>IF(Games[[#This Row],[Type]]="R",IF(Games[[#This Row],[Result]]&gt;0.5,1,0),0)</f>
        <v>1</v>
      </c>
      <c r="AD87" s="2">
        <f>IF(Games[[#This Row],[Type]]="R",IF(Games[[#This Row],[Result]]&lt;0.5,1,0),0)</f>
        <v>0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45444</v>
      </c>
      <c r="B88" s="2">
        <v>2024</v>
      </c>
      <c r="C88" s="2">
        <f>COUNTIFS(Games[Team],Games[[#This Row],[Team]],Games[Season],Games[[#This Row],[Season]],Games[Date],"&lt;=" &amp; Games[[#This Row],[Date]])</f>
        <v>7</v>
      </c>
      <c r="D88" s="2" t="s">
        <v>79</v>
      </c>
      <c r="E88" s="2" t="s">
        <v>80</v>
      </c>
      <c r="F88" s="1" t="s">
        <v>75</v>
      </c>
      <c r="G88" s="1" t="s">
        <v>69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8" s="2">
        <f>Games[[#This Row],[DaysOff]]-Games[[#This Row],[OppDaysOff]]</f>
        <v>0</v>
      </c>
      <c r="L88" s="2">
        <f>Games[[#This Row],[OppDaysOff]]-Games[[#This Row],[DaysOff]]</f>
        <v>0</v>
      </c>
      <c r="M88" s="1">
        <f>MAX(-16, MIN(16, Games[[#This Row],[RestDiff]]*8))</f>
        <v>0</v>
      </c>
      <c r="N88" s="1">
        <f>MAX(-16, MIN(16, Games[[#This Row],[OppRestDiff]]*8))</f>
        <v>0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1507.6263856831094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1364.9823411147827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0.58360310498080736</v>
      </c>
      <c r="R88" s="1">
        <v>70</v>
      </c>
      <c r="S88" s="1">
        <v>71</v>
      </c>
      <c r="T88" s="1">
        <v>0</v>
      </c>
      <c r="U88" s="1">
        <f>Games[[#This Row],[PointsFor]]-Games[[#This Row],[PointsAgainst]]</f>
        <v>-1</v>
      </c>
      <c r="V88" s="1">
        <f>IF(Games[[#This Row],[MOV]]&gt;0,1,IF(Games[[#This Row],[MOV]]=0,0.5,0))</f>
        <v>0</v>
      </c>
      <c r="W88" s="4">
        <f>((ABS(Games[[#This Row],[MOV]])+5)^0.6)/(12+0.01*(ABS(Games[[#This Row],[PreGmRate]]-Games[[#This Row],[OppPreGmRate]])))*IF(Games[[#This Row],[OT]]=1,0.9,1)</f>
        <v>0.21823774241858684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8" s="9">
        <f>MAX(kmin, kmax - 0.15 * MIN(Games[[#This Row],[GamesPlayed]], 82))</f>
        <v>74.95</v>
      </c>
      <c r="Z88" s="4">
        <f>Games[[#This Row],[K]]*Games[[#This Row],[POMult]]</f>
        <v>74.95</v>
      </c>
      <c r="AA88" s="4">
        <f>(Games[[#This Row],[Keff]]*Games[[#This Row],[MOVMult]])*(Games[[#This Row],[Result]]-Games[[#This Row],[ExpectedWin%]])</f>
        <v>-9.5459485962566966</v>
      </c>
      <c r="AB88" s="4">
        <f>Games[[#This Row],[PreGmRate]]+Games[[#This Row],[RatingChange]]</f>
        <v>1498.0804370868527</v>
      </c>
      <c r="AC88" s="2">
        <f>IF(Games[[#This Row],[Type]]="R",IF(Games[[#This Row],[Result]]&gt;0.5,1,0),0)</f>
        <v>0</v>
      </c>
      <c r="AD88" s="2">
        <f>IF(Games[[#This Row],[Type]]="R",IF(Games[[#This Row],[Result]]&lt;0.5,1,0),0)</f>
        <v>1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45444</v>
      </c>
      <c r="B89" s="2">
        <v>2024</v>
      </c>
      <c r="C89" s="2">
        <f>COUNTIFS(Games[Team],Games[[#This Row],[Team]],Games[Season],Games[[#This Row],[Season]],Games[Date],"&lt;=" &amp; Games[[#This Row],[Date]])</f>
        <v>10</v>
      </c>
      <c r="D89" s="2" t="s">
        <v>79</v>
      </c>
      <c r="E89" s="2" t="s">
        <v>80</v>
      </c>
      <c r="F89" s="1" t="s">
        <v>69</v>
      </c>
      <c r="G89" s="1" t="s">
        <v>75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9" s="2">
        <f>Games[[#This Row],[DaysOff]]-Games[[#This Row],[OppDaysOff]]</f>
        <v>0</v>
      </c>
      <c r="L89" s="2">
        <f>Games[[#This Row],[OppDaysOff]]-Games[[#This Row],[DaysOff]]</f>
        <v>0</v>
      </c>
      <c r="M89" s="1">
        <f>MAX(-16, MIN(16, Games[[#This Row],[RestDiff]]*8))</f>
        <v>0</v>
      </c>
      <c r="N89" s="1">
        <f>MAX(-16, MIN(16, Games[[#This Row],[OppRestDiff]]*8))</f>
        <v>0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1364.9823411147827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1507.6263856831094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0.41639689501919269</v>
      </c>
      <c r="R89" s="1">
        <v>71</v>
      </c>
      <c r="S89" s="1">
        <v>70</v>
      </c>
      <c r="T89" s="1">
        <v>0</v>
      </c>
      <c r="U89" s="1">
        <f>Games[[#This Row],[PointsFor]]-Games[[#This Row],[PointsAgainst]]</f>
        <v>1</v>
      </c>
      <c r="V89" s="1">
        <f>IF(Games[[#This Row],[MOV]]&gt;0,1,IF(Games[[#This Row],[MOV]]=0,0.5,0))</f>
        <v>1</v>
      </c>
      <c r="W89" s="4">
        <f>((ABS(Games[[#This Row],[MOV]])+5)^0.6)/(12+0.01*(ABS(Games[[#This Row],[PreGmRate]]-Games[[#This Row],[OppPreGmRate]])))*IF(Games[[#This Row],[OT]]=1,0.9,1)</f>
        <v>0.21823774241858684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9" s="9">
        <f>MAX(kmin, kmax - 0.15 * MIN(Games[[#This Row],[GamesPlayed]], 82))</f>
        <v>74.5</v>
      </c>
      <c r="Z89" s="4">
        <f>Games[[#This Row],[K]]*Games[[#This Row],[POMult]]</f>
        <v>74.5</v>
      </c>
      <c r="AA89" s="4">
        <f>(Games[[#This Row],[Keff]]*Games[[#This Row],[MOVMult]])*(Games[[#This Row],[Result]]-Games[[#This Row],[ExpectedWin%]])</f>
        <v>9.4886346954119247</v>
      </c>
      <c r="AB89" s="4">
        <f>Games[[#This Row],[PreGmRate]]+Games[[#This Row],[RatingChange]]</f>
        <v>1374.4709758101947</v>
      </c>
      <c r="AC89" s="2">
        <f>IF(Games[[#This Row],[Type]]="R",IF(Games[[#This Row],[Result]]&gt;0.5,1,0),0)</f>
        <v>1</v>
      </c>
      <c r="AD89" s="2">
        <f>IF(Games[[#This Row],[Type]]="R",IF(Games[[#This Row],[Result]]&lt;0.5,1,0),0)</f>
        <v>0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45445</v>
      </c>
      <c r="B90" s="2">
        <v>2024</v>
      </c>
      <c r="C90" s="2">
        <f>COUNTIFS(Games[Team],Games[[#This Row],[Team]],Games[Season],Games[[#This Row],[Season]],Games[Date],"&lt;=" &amp; Games[[#This Row],[Date]])</f>
        <v>8</v>
      </c>
      <c r="D90" s="2" t="s">
        <v>79</v>
      </c>
      <c r="E90" s="2" t="s">
        <v>80</v>
      </c>
      <c r="F90" s="1" t="s">
        <v>74</v>
      </c>
      <c r="G90" s="1" t="s">
        <v>77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0" s="2">
        <f>Games[[#This Row],[DaysOff]]-Games[[#This Row],[OppDaysOff]]</f>
        <v>0</v>
      </c>
      <c r="L90" s="2">
        <f>Games[[#This Row],[OppDaysOff]]-Games[[#This Row],[DaysOff]]</f>
        <v>0</v>
      </c>
      <c r="M90" s="1">
        <f>MAX(-16, MIN(16, Games[[#This Row],[RestDiff]]*8))</f>
        <v>0</v>
      </c>
      <c r="N90" s="1">
        <f>MAX(-16, MIN(16, Games[[#This Row],[OppRestDiff]]*8))</f>
        <v>0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1604.9241534215157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1494.7474406670506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0.53760019876439935</v>
      </c>
      <c r="R90" s="1">
        <v>69</v>
      </c>
      <c r="S90" s="1">
        <v>50</v>
      </c>
      <c r="T90" s="1">
        <v>0</v>
      </c>
      <c r="U90" s="1">
        <f>Games[[#This Row],[PointsFor]]-Games[[#This Row],[PointsAgainst]]</f>
        <v>19</v>
      </c>
      <c r="V90" s="1">
        <f>IF(Games[[#This Row],[MOV]]&gt;0,1,IF(Games[[#This Row],[MOV]]=0,0.5,0))</f>
        <v>1</v>
      </c>
      <c r="W90" s="4">
        <f>((ABS(Games[[#This Row],[MOV]])+5)^0.6)/(12+0.01*(ABS(Games[[#This Row],[PreGmRate]]-Games[[#This Row],[OppPreGmRate]])))*IF(Games[[#This Row],[OT]]=1,0.9,1)</f>
        <v>0.51380327608820531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0" s="9">
        <f>MAX(kmin, kmax - 0.15 * MIN(Games[[#This Row],[GamesPlayed]], 82))</f>
        <v>74.8</v>
      </c>
      <c r="Z90" s="4">
        <f>Games[[#This Row],[K]]*Games[[#This Row],[POMult]]</f>
        <v>74.8</v>
      </c>
      <c r="AA90" s="4">
        <f>(Games[[#This Row],[Keff]]*Games[[#This Row],[MOVMult]])*(Games[[#This Row],[Result]]-Games[[#This Row],[ExpectedWin%]])</f>
        <v>17.771173448756514</v>
      </c>
      <c r="AB90" s="4">
        <f>Games[[#This Row],[PreGmRate]]+Games[[#This Row],[RatingChange]]</f>
        <v>1622.6953268702723</v>
      </c>
      <c r="AC90" s="2">
        <f>IF(Games[[#This Row],[Type]]="R",IF(Games[[#This Row],[Result]]&gt;0.5,1,0),0)</f>
        <v>1</v>
      </c>
      <c r="AD90" s="2">
        <f>IF(Games[[#This Row],[Type]]="R",IF(Games[[#This Row],[Result]]&lt;0.5,1,0),0)</f>
        <v>0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45445</v>
      </c>
      <c r="B91" s="2">
        <v>2024</v>
      </c>
      <c r="C91" s="2">
        <f>COUNTIFS(Games[Team],Games[[#This Row],[Team]],Games[Season],Games[[#This Row],[Season]],Games[Date],"&lt;=" &amp; Games[[#This Row],[Date]])</f>
        <v>7</v>
      </c>
      <c r="D91" s="2" t="s">
        <v>79</v>
      </c>
      <c r="E91" s="2" t="s">
        <v>80</v>
      </c>
      <c r="F91" s="1" t="s">
        <v>77</v>
      </c>
      <c r="G91" s="1" t="s">
        <v>74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1" s="2">
        <f>Games[[#This Row],[DaysOff]]-Games[[#This Row],[OppDaysOff]]</f>
        <v>0</v>
      </c>
      <c r="L91" s="2">
        <f>Games[[#This Row],[OppDaysOff]]-Games[[#This Row],[DaysOff]]</f>
        <v>0</v>
      </c>
      <c r="M91" s="1">
        <f>MAX(-16, MIN(16, Games[[#This Row],[RestDiff]]*8))</f>
        <v>0</v>
      </c>
      <c r="N91" s="1">
        <f>MAX(-16, MIN(16, Games[[#This Row],[OppRestDiff]]*8))</f>
        <v>0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1494.7474406670506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1604.9241534215157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0.46239980123560065</v>
      </c>
      <c r="R91" s="1">
        <v>50</v>
      </c>
      <c r="S91" s="1">
        <v>69</v>
      </c>
      <c r="T91" s="1">
        <v>0</v>
      </c>
      <c r="U91" s="1">
        <f>Games[[#This Row],[PointsFor]]-Games[[#This Row],[PointsAgainst]]</f>
        <v>-19</v>
      </c>
      <c r="V91" s="1">
        <f>IF(Games[[#This Row],[MOV]]&gt;0,1,IF(Games[[#This Row],[MOV]]=0,0.5,0))</f>
        <v>0</v>
      </c>
      <c r="W91" s="4">
        <f>((ABS(Games[[#This Row],[MOV]])+5)^0.6)/(12+0.01*(ABS(Games[[#This Row],[PreGmRate]]-Games[[#This Row],[OppPreGmRate]])))*IF(Games[[#This Row],[OT]]=1,0.9,1)</f>
        <v>0.51380327608820531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1" s="9">
        <f>MAX(kmin, kmax - 0.15 * MIN(Games[[#This Row],[GamesPlayed]], 82))</f>
        <v>74.95</v>
      </c>
      <c r="Z91" s="4">
        <f>Games[[#This Row],[K]]*Games[[#This Row],[POMult]]</f>
        <v>74.95</v>
      </c>
      <c r="AA91" s="4">
        <f>(Games[[#This Row],[Keff]]*Games[[#This Row],[MOVMult]])*(Games[[#This Row],[Result]]-Games[[#This Row],[ExpectedWin%]])</f>
        <v>-17.806810828667125</v>
      </c>
      <c r="AB91" s="4">
        <f>Games[[#This Row],[PreGmRate]]+Games[[#This Row],[RatingChange]]</f>
        <v>1476.9406298383835</v>
      </c>
      <c r="AC91" s="2">
        <f>IF(Games[[#This Row],[Type]]="R",IF(Games[[#This Row],[Result]]&gt;0.5,1,0),0)</f>
        <v>0</v>
      </c>
      <c r="AD91" s="2">
        <f>IF(Games[[#This Row],[Type]]="R",IF(Games[[#This Row],[Result]]&lt;0.5,1,0),0)</f>
        <v>1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45445</v>
      </c>
      <c r="B92" s="2">
        <v>2024</v>
      </c>
      <c r="C92" s="2">
        <f>COUNTIFS(Games[Team],Games[[#This Row],[Team]],Games[Season],Games[[#This Row],[Season]],Games[Date],"&lt;=" &amp; Games[[#This Row],[Date]])</f>
        <v>7</v>
      </c>
      <c r="D92" s="2" t="s">
        <v>79</v>
      </c>
      <c r="E92" s="2" t="s">
        <v>80</v>
      </c>
      <c r="F92" s="1" t="s">
        <v>85</v>
      </c>
      <c r="G92" s="1" t="s">
        <v>67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2" s="2">
        <f>Games[[#This Row],[DaysOff]]-Games[[#This Row],[OppDaysOff]]</f>
        <v>0</v>
      </c>
      <c r="L92" s="2">
        <f>Games[[#This Row],[OppDaysOff]]-Games[[#This Row],[DaysOff]]</f>
        <v>0</v>
      </c>
      <c r="M92" s="1">
        <f>MAX(-16, MIN(16, Games[[#This Row],[RestDiff]]*8))</f>
        <v>0</v>
      </c>
      <c r="N92" s="1">
        <f>MAX(-16, MIN(16, Games[[#This Row],[OppRestDiff]]*8))</f>
        <v>0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1529.2220151782715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1531.3062308832341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0.378589220029315</v>
      </c>
      <c r="R92" s="1">
        <v>76</v>
      </c>
      <c r="S92" s="1">
        <v>87</v>
      </c>
      <c r="T92" s="1">
        <v>0</v>
      </c>
      <c r="U92" s="1">
        <f>Games[[#This Row],[PointsFor]]-Games[[#This Row],[PointsAgainst]]</f>
        <v>-11</v>
      </c>
      <c r="V92" s="1">
        <f>IF(Games[[#This Row],[MOV]]&gt;0,1,IF(Games[[#This Row],[MOV]]=0,0.5,0))</f>
        <v>0</v>
      </c>
      <c r="W92" s="4">
        <f>((ABS(Games[[#This Row],[MOV]])+5)^0.6)/(12+0.01*(ABS(Games[[#This Row],[PreGmRate]]-Games[[#This Row],[OppPreGmRate]])))*IF(Games[[#This Row],[OT]]=1,0.9,1)</f>
        <v>0.43907336725125146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2" s="9">
        <f>MAX(kmin, kmax - 0.15 * MIN(Games[[#This Row],[GamesPlayed]], 82))</f>
        <v>74.95</v>
      </c>
      <c r="Z92" s="4">
        <f>Games[[#This Row],[K]]*Games[[#This Row],[POMult]]</f>
        <v>74.95</v>
      </c>
      <c r="AA92" s="4">
        <f>(Games[[#This Row],[Keff]]*Games[[#This Row],[MOVMult]])*(Games[[#This Row],[Result]]-Games[[#This Row],[ExpectedWin%]])</f>
        <v>-12.458821851065057</v>
      </c>
      <c r="AB92" s="4">
        <f>Games[[#This Row],[PreGmRate]]+Games[[#This Row],[RatingChange]]</f>
        <v>1516.7631933272064</v>
      </c>
      <c r="AC92" s="2">
        <f>IF(Games[[#This Row],[Type]]="R",IF(Games[[#This Row],[Result]]&gt;0.5,1,0),0)</f>
        <v>0</v>
      </c>
      <c r="AD92" s="2">
        <f>IF(Games[[#This Row],[Type]]="R",IF(Games[[#This Row],[Result]]&lt;0.5,1,0),0)</f>
        <v>1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45445</v>
      </c>
      <c r="B93" s="2">
        <v>2024</v>
      </c>
      <c r="C93" s="2">
        <f>COUNTIFS(Games[Team],Games[[#This Row],[Team]],Games[Season],Games[[#This Row],[Season]],Games[Date],"&lt;=" &amp; Games[[#This Row],[Date]])</f>
        <v>8</v>
      </c>
      <c r="D93" s="2" t="s">
        <v>79</v>
      </c>
      <c r="E93" s="2" t="s">
        <v>80</v>
      </c>
      <c r="F93" s="1" t="s">
        <v>67</v>
      </c>
      <c r="G93" s="1" t="s">
        <v>85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3" s="2">
        <f>Games[[#This Row],[DaysOff]]-Games[[#This Row],[OppDaysOff]]</f>
        <v>0</v>
      </c>
      <c r="L93" s="2">
        <f>Games[[#This Row],[OppDaysOff]]-Games[[#This Row],[DaysOff]]</f>
        <v>0</v>
      </c>
      <c r="M93" s="1">
        <f>MAX(-16, MIN(16, Games[[#This Row],[RestDiff]]*8))</f>
        <v>0</v>
      </c>
      <c r="N93" s="1">
        <f>MAX(-16, MIN(16, Games[[#This Row],[OppRestDiff]]*8))</f>
        <v>0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1531.3062308832341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1529.2220151782715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0.62141077997068506</v>
      </c>
      <c r="R93" s="1">
        <v>87</v>
      </c>
      <c r="S93" s="1">
        <v>76</v>
      </c>
      <c r="T93" s="1">
        <v>0</v>
      </c>
      <c r="U93" s="1">
        <f>Games[[#This Row],[PointsFor]]-Games[[#This Row],[PointsAgainst]]</f>
        <v>11</v>
      </c>
      <c r="V93" s="1">
        <f>IF(Games[[#This Row],[MOV]]&gt;0,1,IF(Games[[#This Row],[MOV]]=0,0.5,0))</f>
        <v>1</v>
      </c>
      <c r="W93" s="4">
        <f>((ABS(Games[[#This Row],[MOV]])+5)^0.6)/(12+0.01*(ABS(Games[[#This Row],[PreGmRate]]-Games[[#This Row],[OppPreGmRate]])))*IF(Games[[#This Row],[OT]]=1,0.9,1)</f>
        <v>0.43907336725125146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3" s="9">
        <f>MAX(kmin, kmax - 0.15 * MIN(Games[[#This Row],[GamesPlayed]], 82))</f>
        <v>74.8</v>
      </c>
      <c r="Z93" s="4">
        <f>Games[[#This Row],[K]]*Games[[#This Row],[POMult]]</f>
        <v>74.8</v>
      </c>
      <c r="AA93" s="4">
        <f>(Games[[#This Row],[Keff]]*Games[[#This Row],[MOVMult]])*(Games[[#This Row],[Result]]-Games[[#This Row],[ExpectedWin%]])</f>
        <v>12.43388758451856</v>
      </c>
      <c r="AB93" s="4">
        <f>Games[[#This Row],[PreGmRate]]+Games[[#This Row],[RatingChange]]</f>
        <v>1543.7401184677526</v>
      </c>
      <c r="AC93" s="2">
        <f>IF(Games[[#This Row],[Type]]="R",IF(Games[[#This Row],[Result]]&gt;0.5,1,0),0)</f>
        <v>1</v>
      </c>
      <c r="AD93" s="2">
        <f>IF(Games[[#This Row],[Type]]="R",IF(Games[[#This Row],[Result]]&lt;0.5,1,0),0)</f>
        <v>0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45445</v>
      </c>
      <c r="B94" s="2">
        <v>2024</v>
      </c>
      <c r="C94" s="2">
        <f>COUNTIFS(Games[Team],Games[[#This Row],[Team]],Games[Season],Games[[#This Row],[Season]],Games[Date],"&lt;=" &amp; Games[[#This Row],[Date]])</f>
        <v>11</v>
      </c>
      <c r="D94" s="2" t="s">
        <v>79</v>
      </c>
      <c r="E94" s="2" t="s">
        <v>80</v>
      </c>
      <c r="F94" s="1" t="s">
        <v>69</v>
      </c>
      <c r="G94" s="1" t="s">
        <v>60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0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4" s="2">
        <f>Games[[#This Row],[DaysOff]]-Games[[#This Row],[OppDaysOff]]</f>
        <v>-1</v>
      </c>
      <c r="L94" s="2">
        <f>Games[[#This Row],[OppDaysOff]]-Games[[#This Row],[DaysOff]]</f>
        <v>1</v>
      </c>
      <c r="M94" s="1">
        <f>MAX(-16, MIN(16, Games[[#This Row],[RestDiff]]*8))</f>
        <v>-8</v>
      </c>
      <c r="N94" s="1">
        <f>MAX(-16, MIN(16, Games[[#This Row],[OppRestDiff]]*8))</f>
        <v>8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1374.4709758101947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1608.0464309602687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0.12783762906486784</v>
      </c>
      <c r="R94" s="1">
        <v>68</v>
      </c>
      <c r="S94" s="1">
        <v>104</v>
      </c>
      <c r="T94" s="1">
        <v>0</v>
      </c>
      <c r="U94" s="1">
        <f>Games[[#This Row],[PointsFor]]-Games[[#This Row],[PointsAgainst]]</f>
        <v>-36</v>
      </c>
      <c r="V94" s="1">
        <f>IF(Games[[#This Row],[MOV]]&gt;0,1,IF(Games[[#This Row],[MOV]]=0,0.5,0))</f>
        <v>0</v>
      </c>
      <c r="W94" s="4">
        <f>((ABS(Games[[#This Row],[MOV]])+5)^0.6)/(12+0.01*(ABS(Games[[#This Row],[PreGmRate]]-Games[[#This Row],[OppPreGmRate]])))*IF(Games[[#This Row],[OT]]=1,0.9,1)</f>
        <v>0.64751488650277789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4" s="9">
        <f>MAX(kmin, kmax - 0.15 * MIN(Games[[#This Row],[GamesPlayed]], 82))</f>
        <v>74.349999999999994</v>
      </c>
      <c r="Z94" s="4">
        <f>Games[[#This Row],[K]]*Games[[#This Row],[POMult]]</f>
        <v>74.349999999999994</v>
      </c>
      <c r="AA94" s="4">
        <f>(Games[[#This Row],[Keff]]*Games[[#This Row],[MOVMult]])*(Games[[#This Row],[Result]]-Games[[#This Row],[ExpectedWin%]])</f>
        <v>-6.1544526914855888</v>
      </c>
      <c r="AB94" s="4">
        <f>Games[[#This Row],[PreGmRate]]+Games[[#This Row],[RatingChange]]</f>
        <v>1368.316523118709</v>
      </c>
      <c r="AC94" s="2">
        <f>IF(Games[[#This Row],[Type]]="R",IF(Games[[#This Row],[Result]]&gt;0.5,1,0),0)</f>
        <v>0</v>
      </c>
      <c r="AD94" s="2">
        <f>IF(Games[[#This Row],[Type]]="R",IF(Games[[#This Row],[Result]]&lt;0.5,1,0),0)</f>
        <v>1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45445</v>
      </c>
      <c r="B95" s="2">
        <v>2024</v>
      </c>
      <c r="C95" s="2">
        <f>COUNTIFS(Games[Team],Games[[#This Row],[Team]],Games[Season],Games[[#This Row],[Season]],Games[Date],"&lt;=" &amp; Games[[#This Row],[Date]])</f>
        <v>9</v>
      </c>
      <c r="D95" s="2" t="s">
        <v>79</v>
      </c>
      <c r="E95" s="2" t="s">
        <v>80</v>
      </c>
      <c r="F95" s="1" t="s">
        <v>60</v>
      </c>
      <c r="G95" s="1" t="s">
        <v>69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5" s="2">
        <f>Games[[#This Row],[DaysOff]]-Games[[#This Row],[OppDaysOff]]</f>
        <v>1</v>
      </c>
      <c r="L95" s="2">
        <f>Games[[#This Row],[OppDaysOff]]-Games[[#This Row],[DaysOff]]</f>
        <v>-1</v>
      </c>
      <c r="M95" s="1">
        <f>MAX(-16, MIN(16, Games[[#This Row],[RestDiff]]*8))</f>
        <v>8</v>
      </c>
      <c r="N95" s="1">
        <f>MAX(-16, MIN(16, Games[[#This Row],[OppRestDiff]]*8))</f>
        <v>-8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1608.0464309602687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1374.4709758101947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0.87216237093513216</v>
      </c>
      <c r="R95" s="1">
        <v>104</v>
      </c>
      <c r="S95" s="1">
        <v>68</v>
      </c>
      <c r="T95" s="1">
        <v>0</v>
      </c>
      <c r="U95" s="1">
        <f>Games[[#This Row],[PointsFor]]-Games[[#This Row],[PointsAgainst]]</f>
        <v>36</v>
      </c>
      <c r="V95" s="1">
        <f>IF(Games[[#This Row],[MOV]]&gt;0,1,IF(Games[[#This Row],[MOV]]=0,0.5,0))</f>
        <v>1</v>
      </c>
      <c r="W95" s="4">
        <f>((ABS(Games[[#This Row],[MOV]])+5)^0.6)/(12+0.01*(ABS(Games[[#This Row],[PreGmRate]]-Games[[#This Row],[OppPreGmRate]])))*IF(Games[[#This Row],[OT]]=1,0.9,1)</f>
        <v>0.64751488650277789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5" s="9">
        <f>MAX(kmin, kmax - 0.15 * MIN(Games[[#This Row],[GamesPlayed]], 82))</f>
        <v>74.650000000000006</v>
      </c>
      <c r="Z95" s="4">
        <f>Games[[#This Row],[K]]*Games[[#This Row],[POMult]]</f>
        <v>74.650000000000006</v>
      </c>
      <c r="AA95" s="4">
        <f>(Games[[#This Row],[Keff]]*Games[[#This Row],[MOVMult]])*(Games[[#This Row],[Result]]-Games[[#This Row],[ExpectedWin%]])</f>
        <v>6.1792857218480064</v>
      </c>
      <c r="AB95" s="4">
        <f>Games[[#This Row],[PreGmRate]]+Games[[#This Row],[RatingChange]]</f>
        <v>1614.2257166821166</v>
      </c>
      <c r="AC95" s="2">
        <f>IF(Games[[#This Row],[Type]]="R",IF(Games[[#This Row],[Result]]&gt;0.5,1,0),0)</f>
        <v>1</v>
      </c>
      <c r="AD95" s="2">
        <f>IF(Games[[#This Row],[Type]]="R",IF(Games[[#This Row],[Result]]&lt;0.5,1,0),0)</f>
        <v>0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45445</v>
      </c>
      <c r="B96" s="2">
        <v>2024</v>
      </c>
      <c r="C96" s="2">
        <f>COUNTIFS(Games[Team],Games[[#This Row],[Team]],Games[Season],Games[[#This Row],[Season]],Games[Date],"&lt;=" &amp; Games[[#This Row],[Date]])</f>
        <v>8</v>
      </c>
      <c r="D96" s="2" t="s">
        <v>79</v>
      </c>
      <c r="E96" s="2" t="s">
        <v>80</v>
      </c>
      <c r="F96" s="1" t="s">
        <v>63</v>
      </c>
      <c r="G96" s="1" t="s">
        <v>40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6" s="2">
        <f>Games[[#This Row],[DaysOff]]-Games[[#This Row],[OppDaysOff]]</f>
        <v>1</v>
      </c>
      <c r="L96" s="2">
        <f>Games[[#This Row],[OppDaysOff]]-Games[[#This Row],[DaysOff]]</f>
        <v>-1</v>
      </c>
      <c r="M96" s="1">
        <f>MAX(-16, MIN(16, Games[[#This Row],[RestDiff]]*8))</f>
        <v>8</v>
      </c>
      <c r="N96" s="1">
        <f>MAX(-16, MIN(16, Games[[#This Row],[OppRestDiff]]*8))</f>
        <v>-8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1434.0391464443026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1401.1012280986974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0.44971220621686314</v>
      </c>
      <c r="R96" s="1">
        <v>68</v>
      </c>
      <c r="S96" s="1">
        <v>87</v>
      </c>
      <c r="T96" s="1">
        <v>0</v>
      </c>
      <c r="U96" s="1">
        <f>Games[[#This Row],[PointsFor]]-Games[[#This Row],[PointsAgainst]]</f>
        <v>-19</v>
      </c>
      <c r="V96" s="1">
        <f>IF(Games[[#This Row],[MOV]]&gt;0,1,IF(Games[[#This Row],[MOV]]=0,0.5,0))</f>
        <v>0</v>
      </c>
      <c r="W96" s="4">
        <f>((ABS(Games[[#This Row],[MOV]])+5)^0.6)/(12+0.01*(ABS(Games[[#This Row],[PreGmRate]]-Games[[#This Row],[OppPreGmRate]])))*IF(Games[[#This Row],[OT]]=1,0.9,1)</f>
        <v>0.54599106512273099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6" s="9">
        <f>MAX(kmin, kmax - 0.15 * MIN(Games[[#This Row],[GamesPlayed]], 82))</f>
        <v>74.8</v>
      </c>
      <c r="Z96" s="4">
        <f>Games[[#This Row],[K]]*Games[[#This Row],[POMult]]</f>
        <v>74.8</v>
      </c>
      <c r="AA96" s="4">
        <f>(Games[[#This Row],[Keff]]*Games[[#This Row],[MOVMult]])*(Games[[#This Row],[Result]]-Games[[#This Row],[ExpectedWin%]])</f>
        <v>-18.366305716033668</v>
      </c>
      <c r="AB96" s="4">
        <f>Games[[#This Row],[PreGmRate]]+Games[[#This Row],[RatingChange]]</f>
        <v>1415.672840728269</v>
      </c>
      <c r="AC96" s="2">
        <f>IF(Games[[#This Row],[Type]]="R",IF(Games[[#This Row],[Result]]&gt;0.5,1,0),0)</f>
        <v>0</v>
      </c>
      <c r="AD96" s="2">
        <f>IF(Games[[#This Row],[Type]]="R",IF(Games[[#This Row],[Result]]&lt;0.5,1,0),0)</f>
        <v>1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45445</v>
      </c>
      <c r="B97" s="2">
        <v>2024</v>
      </c>
      <c r="C97" s="2">
        <f>COUNTIFS(Games[Team],Games[[#This Row],[Team]],Games[Season],Games[[#This Row],[Season]],Games[Date],"&lt;=" &amp; Games[[#This Row],[Date]])</f>
        <v>9</v>
      </c>
      <c r="D97" s="2" t="s">
        <v>79</v>
      </c>
      <c r="E97" s="2" t="s">
        <v>80</v>
      </c>
      <c r="F97" s="1" t="s">
        <v>40</v>
      </c>
      <c r="G97" s="1" t="s">
        <v>63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7" s="2">
        <f>Games[[#This Row],[DaysOff]]-Games[[#This Row],[OppDaysOff]]</f>
        <v>-1</v>
      </c>
      <c r="L97" s="2">
        <f>Games[[#This Row],[OppDaysOff]]-Games[[#This Row],[DaysOff]]</f>
        <v>1</v>
      </c>
      <c r="M97" s="1">
        <f>MAX(-16, MIN(16, Games[[#This Row],[RestDiff]]*8))</f>
        <v>-8</v>
      </c>
      <c r="N97" s="1">
        <f>MAX(-16, MIN(16, Games[[#This Row],[OppRestDiff]]*8))</f>
        <v>8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1401.1012280986974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1434.0391464443026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0.55028779378313686</v>
      </c>
      <c r="R97" s="1">
        <v>87</v>
      </c>
      <c r="S97" s="1">
        <v>68</v>
      </c>
      <c r="T97" s="1">
        <v>0</v>
      </c>
      <c r="U97" s="1">
        <f>Games[[#This Row],[PointsFor]]-Games[[#This Row],[PointsAgainst]]</f>
        <v>19</v>
      </c>
      <c r="V97" s="1">
        <f>IF(Games[[#This Row],[MOV]]&gt;0,1,IF(Games[[#This Row],[MOV]]=0,0.5,0))</f>
        <v>1</v>
      </c>
      <c r="W97" s="4">
        <f>((ABS(Games[[#This Row],[MOV]])+5)^0.6)/(12+0.01*(ABS(Games[[#This Row],[PreGmRate]]-Games[[#This Row],[OppPreGmRate]])))*IF(Games[[#This Row],[OT]]=1,0.9,1)</f>
        <v>0.54599106512273099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7" s="9">
        <f>MAX(kmin, kmax - 0.15 * MIN(Games[[#This Row],[GamesPlayed]], 82))</f>
        <v>74.650000000000006</v>
      </c>
      <c r="Z97" s="4">
        <f>Games[[#This Row],[K]]*Games[[#This Row],[POMult]]</f>
        <v>74.650000000000006</v>
      </c>
      <c r="AA97" s="4">
        <f>(Games[[#This Row],[Keff]]*Games[[#This Row],[MOVMult]])*(Games[[#This Row],[Result]]-Games[[#This Row],[ExpectedWin%]])</f>
        <v>18.329474889063015</v>
      </c>
      <c r="AB97" s="4">
        <f>Games[[#This Row],[PreGmRate]]+Games[[#This Row],[RatingChange]]</f>
        <v>1419.4307029877605</v>
      </c>
      <c r="AC97" s="2">
        <f>IF(Games[[#This Row],[Type]]="R",IF(Games[[#This Row],[Result]]&gt;0.5,1,0),0)</f>
        <v>1</v>
      </c>
      <c r="AD97" s="2">
        <f>IF(Games[[#This Row],[Type]]="R",IF(Games[[#This Row],[Result]]&lt;0.5,1,0),0)</f>
        <v>0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45447</v>
      </c>
      <c r="B98" s="2">
        <v>2024</v>
      </c>
      <c r="C98" s="2">
        <f>COUNTIFS(Games[Team],Games[[#This Row],[Team]],Games[Season],Games[[#This Row],[Season]],Games[Date],"&lt;=" &amp; Games[[#This Row],[Date]])</f>
        <v>10</v>
      </c>
      <c r="D98" s="2" t="s">
        <v>79</v>
      </c>
      <c r="E98" s="2" t="s">
        <v>80</v>
      </c>
      <c r="F98" s="1" t="s">
        <v>60</v>
      </c>
      <c r="G98" s="1" t="s">
        <v>75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8" s="2">
        <f>Games[[#This Row],[DaysOff]]-Games[[#This Row],[OppDaysOff]]</f>
        <v>-1</v>
      </c>
      <c r="L98" s="2">
        <f>Games[[#This Row],[OppDaysOff]]-Games[[#This Row],[DaysOff]]</f>
        <v>1</v>
      </c>
      <c r="M98" s="1">
        <f>MAX(-16, MIN(16, Games[[#This Row],[RestDiff]]*8))</f>
        <v>-8</v>
      </c>
      <c r="N98" s="1">
        <f>MAX(-16, MIN(16, Games[[#This Row],[OppRestDiff]]*8))</f>
        <v>8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1614.2257166821166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1498.0804370868527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0.52321821464501683</v>
      </c>
      <c r="R98" s="1">
        <v>88</v>
      </c>
      <c r="S98" s="1">
        <v>75</v>
      </c>
      <c r="T98" s="1">
        <v>0</v>
      </c>
      <c r="U98" s="1">
        <f>Games[[#This Row],[PointsFor]]-Games[[#This Row],[PointsAgainst]]</f>
        <v>13</v>
      </c>
      <c r="V98" s="1">
        <f>IF(Games[[#This Row],[MOV]]&gt;0,1,IF(Games[[#This Row],[MOV]]=0,0.5,0))</f>
        <v>1</v>
      </c>
      <c r="W98" s="4">
        <f>((ABS(Games[[#This Row],[MOV]])+5)^0.6)/(12+0.01*(ABS(Games[[#This Row],[PreGmRate]]-Games[[#This Row],[OppPreGmRate]])))*IF(Games[[#This Row],[OT]]=1,0.9,1)</f>
        <v>0.43038752298768601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8" s="9">
        <f>MAX(kmin, kmax - 0.15 * MIN(Games[[#This Row],[GamesPlayed]], 82))</f>
        <v>74.5</v>
      </c>
      <c r="Z98" s="4">
        <f>Games[[#This Row],[K]]*Games[[#This Row],[POMult]]</f>
        <v>74.5</v>
      </c>
      <c r="AA98" s="4">
        <f>(Games[[#This Row],[Keff]]*Games[[#This Row],[MOVMult]])*(Games[[#This Row],[Result]]-Games[[#This Row],[ExpectedWin%]])</f>
        <v>15.287469404541046</v>
      </c>
      <c r="AB98" s="4">
        <f>Games[[#This Row],[PreGmRate]]+Games[[#This Row],[RatingChange]]</f>
        <v>1629.5131860866577</v>
      </c>
      <c r="AC98" s="2">
        <f>IF(Games[[#This Row],[Type]]="R",IF(Games[[#This Row],[Result]]&gt;0.5,1,0),0)</f>
        <v>1</v>
      </c>
      <c r="AD98" s="2">
        <f>IF(Games[[#This Row],[Type]]="R",IF(Games[[#This Row],[Result]]&lt;0.5,1,0),0)</f>
        <v>0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45447</v>
      </c>
      <c r="B99" s="2">
        <v>2024</v>
      </c>
      <c r="C99" s="2">
        <f>COUNTIFS(Games[Team],Games[[#This Row],[Team]],Games[Season],Games[[#This Row],[Season]],Games[Date],"&lt;=" &amp; Games[[#This Row],[Date]])</f>
        <v>8</v>
      </c>
      <c r="D99" s="2" t="s">
        <v>79</v>
      </c>
      <c r="E99" s="2" t="s">
        <v>80</v>
      </c>
      <c r="F99" s="1" t="s">
        <v>75</v>
      </c>
      <c r="G99" s="1" t="s">
        <v>60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9" s="2">
        <f>Games[[#This Row],[DaysOff]]-Games[[#This Row],[OppDaysOff]]</f>
        <v>1</v>
      </c>
      <c r="L99" s="2">
        <f>Games[[#This Row],[OppDaysOff]]-Games[[#This Row],[DaysOff]]</f>
        <v>-1</v>
      </c>
      <c r="M99" s="1">
        <f>MAX(-16, MIN(16, Games[[#This Row],[RestDiff]]*8))</f>
        <v>8</v>
      </c>
      <c r="N99" s="1">
        <f>MAX(-16, MIN(16, Games[[#This Row],[OppRestDiff]]*8))</f>
        <v>-8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1498.0804370868527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1614.2257166821166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0.47678178535498322</v>
      </c>
      <c r="R99" s="1">
        <v>75</v>
      </c>
      <c r="S99" s="1">
        <v>88</v>
      </c>
      <c r="T99" s="1">
        <v>0</v>
      </c>
      <c r="U99" s="1">
        <f>Games[[#This Row],[PointsFor]]-Games[[#This Row],[PointsAgainst]]</f>
        <v>-13</v>
      </c>
      <c r="V99" s="1">
        <f>IF(Games[[#This Row],[MOV]]&gt;0,1,IF(Games[[#This Row],[MOV]]=0,0.5,0))</f>
        <v>0</v>
      </c>
      <c r="W99" s="4">
        <f>((ABS(Games[[#This Row],[MOV]])+5)^0.6)/(12+0.01*(ABS(Games[[#This Row],[PreGmRate]]-Games[[#This Row],[OppPreGmRate]])))*IF(Games[[#This Row],[OT]]=1,0.9,1)</f>
        <v>0.43038752298768601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9" s="9">
        <f>MAX(kmin, kmax - 0.15 * MIN(Games[[#This Row],[GamesPlayed]], 82))</f>
        <v>74.8</v>
      </c>
      <c r="Z99" s="4">
        <f>Games[[#This Row],[K]]*Games[[#This Row],[POMult]]</f>
        <v>74.8</v>
      </c>
      <c r="AA99" s="4">
        <f>(Games[[#This Row],[Keff]]*Games[[#This Row],[MOVMult]])*(Games[[#This Row],[Result]]-Games[[#This Row],[ExpectedWin%]])</f>
        <v>-15.349029684022419</v>
      </c>
      <c r="AB99" s="4">
        <f>Games[[#This Row],[PreGmRate]]+Games[[#This Row],[RatingChange]]</f>
        <v>1482.7314074028302</v>
      </c>
      <c r="AC99" s="2">
        <f>IF(Games[[#This Row],[Type]]="R",IF(Games[[#This Row],[Result]]&gt;0.5,1,0),0)</f>
        <v>0</v>
      </c>
      <c r="AD99" s="2">
        <f>IF(Games[[#This Row],[Type]]="R",IF(Games[[#This Row],[Result]]&lt;0.5,1,0),0)</f>
        <v>1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45447</v>
      </c>
      <c r="B100" s="2">
        <v>2024</v>
      </c>
      <c r="C100" s="2">
        <f>COUNTIFS(Games[Team],Games[[#This Row],[Team]],Games[Season],Games[[#This Row],[Season]],Games[Date],"&lt;=" &amp; Games[[#This Row],[Date]])</f>
        <v>9</v>
      </c>
      <c r="D100" s="2" t="s">
        <v>79</v>
      </c>
      <c r="E100" s="2" t="s">
        <v>80</v>
      </c>
      <c r="F100" s="1" t="s">
        <v>65</v>
      </c>
      <c r="G100" s="1" t="s">
        <v>74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0" s="2">
        <f>Games[[#This Row],[DaysOff]]-Games[[#This Row],[OppDaysOff]]</f>
        <v>2</v>
      </c>
      <c r="L100" s="2">
        <f>Games[[#This Row],[OppDaysOff]]-Games[[#This Row],[DaysOff]]</f>
        <v>-2</v>
      </c>
      <c r="M100" s="1">
        <f>MAX(-16, MIN(16, Games[[#This Row],[RestDiff]]*8))</f>
        <v>16</v>
      </c>
      <c r="N100" s="1">
        <f>MAX(-16, MIN(16, Games[[#This Row],[OppRestDiff]]*8))</f>
        <v>-16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1394.8840990544086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1622.6953268702723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0.16648827190613888</v>
      </c>
      <c r="R100" s="1">
        <v>59</v>
      </c>
      <c r="S100" s="1">
        <v>76</v>
      </c>
      <c r="T100" s="1">
        <v>0</v>
      </c>
      <c r="U100" s="1">
        <f>Games[[#This Row],[PointsFor]]-Games[[#This Row],[PointsAgainst]]</f>
        <v>-17</v>
      </c>
      <c r="V100" s="1">
        <f>IF(Games[[#This Row],[MOV]]&gt;0,1,IF(Games[[#This Row],[MOV]]=0,0.5,0))</f>
        <v>0</v>
      </c>
      <c r="W100" s="4">
        <f>((ABS(Games[[#This Row],[MOV]])+5)^0.6)/(12+0.01*(ABS(Games[[#This Row],[PreGmRate]]-Games[[#This Row],[OppPreGmRate]])))*IF(Games[[#This Row],[OT]]=1,0.9,1)</f>
        <v>0.44748946530962269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0" s="9">
        <f>MAX(kmin, kmax - 0.15 * MIN(Games[[#This Row],[GamesPlayed]], 82))</f>
        <v>74.650000000000006</v>
      </c>
      <c r="Z100" s="4">
        <f>Games[[#This Row],[K]]*Games[[#This Row],[POMult]]</f>
        <v>74.650000000000006</v>
      </c>
      <c r="AA100" s="4">
        <f>(Games[[#This Row],[Keff]]*Games[[#This Row],[MOVMult]])*(Games[[#This Row],[Result]]-Games[[#This Row],[ExpectedWin%]])</f>
        <v>-5.5615554714486279</v>
      </c>
      <c r="AB100" s="4">
        <f>Games[[#This Row],[PreGmRate]]+Games[[#This Row],[RatingChange]]</f>
        <v>1389.32254358296</v>
      </c>
      <c r="AC100" s="2">
        <f>IF(Games[[#This Row],[Type]]="R",IF(Games[[#This Row],[Result]]&gt;0.5,1,0),0)</f>
        <v>0</v>
      </c>
      <c r="AD100" s="2">
        <f>IF(Games[[#This Row],[Type]]="R",IF(Games[[#This Row],[Result]]&lt;0.5,1,0),0)</f>
        <v>1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45447</v>
      </c>
      <c r="B101" s="2">
        <v>2024</v>
      </c>
      <c r="C101" s="2">
        <f>COUNTIFS(Games[Team],Games[[#This Row],[Team]],Games[Season],Games[[#This Row],[Season]],Games[Date],"&lt;=" &amp; Games[[#This Row],[Date]])</f>
        <v>9</v>
      </c>
      <c r="D101" s="2" t="s">
        <v>79</v>
      </c>
      <c r="E101" s="2" t="s">
        <v>80</v>
      </c>
      <c r="F101" s="1" t="s">
        <v>74</v>
      </c>
      <c r="G101" s="1" t="s">
        <v>65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1" s="2">
        <f>Games[[#This Row],[DaysOff]]-Games[[#This Row],[OppDaysOff]]</f>
        <v>-2</v>
      </c>
      <c r="L101" s="2">
        <f>Games[[#This Row],[OppDaysOff]]-Games[[#This Row],[DaysOff]]</f>
        <v>2</v>
      </c>
      <c r="M101" s="1">
        <f>MAX(-16, MIN(16, Games[[#This Row],[RestDiff]]*8))</f>
        <v>-16</v>
      </c>
      <c r="N101" s="1">
        <f>MAX(-16, MIN(16, Games[[#This Row],[OppRestDiff]]*8))</f>
        <v>16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1622.6953268702723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1394.8840990544086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0.83351172809386109</v>
      </c>
      <c r="R101" s="1">
        <v>76</v>
      </c>
      <c r="S101" s="1">
        <v>59</v>
      </c>
      <c r="T101" s="1">
        <v>0</v>
      </c>
      <c r="U101" s="1">
        <f>Games[[#This Row],[PointsFor]]-Games[[#This Row],[PointsAgainst]]</f>
        <v>17</v>
      </c>
      <c r="V101" s="1">
        <f>IF(Games[[#This Row],[MOV]]&gt;0,1,IF(Games[[#This Row],[MOV]]=0,0.5,0))</f>
        <v>1</v>
      </c>
      <c r="W101" s="4">
        <f>((ABS(Games[[#This Row],[MOV]])+5)^0.6)/(12+0.01*(ABS(Games[[#This Row],[PreGmRate]]-Games[[#This Row],[OppPreGmRate]])))*IF(Games[[#This Row],[OT]]=1,0.9,1)</f>
        <v>0.44748946530962269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1" s="9">
        <f>MAX(kmin, kmax - 0.15 * MIN(Games[[#This Row],[GamesPlayed]], 82))</f>
        <v>74.650000000000006</v>
      </c>
      <c r="Z101" s="4">
        <f>Games[[#This Row],[K]]*Games[[#This Row],[POMult]]</f>
        <v>74.650000000000006</v>
      </c>
      <c r="AA101" s="4">
        <f>(Games[[#This Row],[Keff]]*Games[[#This Row],[MOVMult]])*(Games[[#This Row],[Result]]-Games[[#This Row],[ExpectedWin%]])</f>
        <v>5.5615554714486288</v>
      </c>
      <c r="AB101" s="4">
        <f>Games[[#This Row],[PreGmRate]]+Games[[#This Row],[RatingChange]]</f>
        <v>1628.2568823417209</v>
      </c>
      <c r="AC101" s="2">
        <f>IF(Games[[#This Row],[Type]]="R",IF(Games[[#This Row],[Result]]&gt;0.5,1,0),0)</f>
        <v>1</v>
      </c>
      <c r="AD101" s="2">
        <f>IF(Games[[#This Row],[Type]]="R",IF(Games[[#This Row],[Result]]&lt;0.5,1,0),0)</f>
        <v>0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45447</v>
      </c>
      <c r="B102" s="2">
        <v>2024</v>
      </c>
      <c r="C102" s="2">
        <f>COUNTIFS(Games[Team],Games[[#This Row],[Team]],Games[Season],Games[[#This Row],[Season]],Games[Date],"&lt;=" &amp; Games[[#This Row],[Date]])</f>
        <v>10</v>
      </c>
      <c r="D102" s="2" t="s">
        <v>79</v>
      </c>
      <c r="E102" s="2" t="s">
        <v>80</v>
      </c>
      <c r="F102" s="1" t="s">
        <v>40</v>
      </c>
      <c r="G102" s="1" t="s">
        <v>71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2" s="2">
        <f>Games[[#This Row],[DaysOff]]-Games[[#This Row],[OppDaysOff]]</f>
        <v>-3</v>
      </c>
      <c r="L102" s="2">
        <f>Games[[#This Row],[OppDaysOff]]-Games[[#This Row],[DaysOff]]</f>
        <v>3</v>
      </c>
      <c r="M102" s="1">
        <f>MAX(-16, MIN(16, Games[[#This Row],[RestDiff]]*8))</f>
        <v>-16</v>
      </c>
      <c r="N102" s="1">
        <f>MAX(-16, MIN(16, Games[[#This Row],[OppRestDiff]]*8))</f>
        <v>16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1419.4307029877605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1495.7628020297109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0.24840212034463519</v>
      </c>
      <c r="R102" s="1">
        <v>62</v>
      </c>
      <c r="S102" s="1">
        <v>80</v>
      </c>
      <c r="T102" s="1">
        <v>0</v>
      </c>
      <c r="U102" s="1">
        <f>Games[[#This Row],[PointsFor]]-Games[[#This Row],[PointsAgainst]]</f>
        <v>-18</v>
      </c>
      <c r="V102" s="1">
        <f>IF(Games[[#This Row],[MOV]]&gt;0,1,IF(Games[[#This Row],[MOV]]=0,0.5,0))</f>
        <v>0</v>
      </c>
      <c r="W102" s="4">
        <f>((ABS(Games[[#This Row],[MOV]])+5)^0.6)/(12+0.01*(ABS(Games[[#This Row],[PreGmRate]]-Games[[#This Row],[OppPreGmRate]])))*IF(Games[[#This Row],[OT]]=1,0.9,1)</f>
        <v>0.51413007558467538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2" s="9">
        <f>MAX(kmin, kmax - 0.15 * MIN(Games[[#This Row],[GamesPlayed]], 82))</f>
        <v>74.5</v>
      </c>
      <c r="Z102" s="4">
        <f>Games[[#This Row],[K]]*Games[[#This Row],[POMult]]</f>
        <v>74.5</v>
      </c>
      <c r="AA102" s="4">
        <f>(Games[[#This Row],[Keff]]*Games[[#This Row],[MOVMult]])*(Games[[#This Row],[Result]]-Games[[#This Row],[ExpectedWin%]])</f>
        <v>-9.5144695676594786</v>
      </c>
      <c r="AB102" s="4">
        <f>Games[[#This Row],[PreGmRate]]+Games[[#This Row],[RatingChange]]</f>
        <v>1409.916233420101</v>
      </c>
      <c r="AC102" s="2">
        <f>IF(Games[[#This Row],[Type]]="R",IF(Games[[#This Row],[Result]]&gt;0.5,1,0),0)</f>
        <v>0</v>
      </c>
      <c r="AD102" s="2">
        <f>IF(Games[[#This Row],[Type]]="R",IF(Games[[#This Row],[Result]]&lt;0.5,1,0),0)</f>
        <v>1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45447</v>
      </c>
      <c r="B103" s="2">
        <v>2024</v>
      </c>
      <c r="C103" s="2">
        <f>COUNTIFS(Games[Team],Games[[#This Row],[Team]],Games[Season],Games[[#This Row],[Season]],Games[Date],"&lt;=" &amp; Games[[#This Row],[Date]])</f>
        <v>9</v>
      </c>
      <c r="D103" s="2" t="s">
        <v>79</v>
      </c>
      <c r="E103" s="2" t="s">
        <v>80</v>
      </c>
      <c r="F103" s="1" t="s">
        <v>71</v>
      </c>
      <c r="G103" s="1" t="s">
        <v>40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3" s="2">
        <f>Games[[#This Row],[DaysOff]]-Games[[#This Row],[OppDaysOff]]</f>
        <v>3</v>
      </c>
      <c r="L103" s="2">
        <f>Games[[#This Row],[OppDaysOff]]-Games[[#This Row],[DaysOff]]</f>
        <v>-3</v>
      </c>
      <c r="M103" s="1">
        <f>MAX(-16, MIN(16, Games[[#This Row],[RestDiff]]*8))</f>
        <v>16</v>
      </c>
      <c r="N103" s="1">
        <f>MAX(-16, MIN(16, Games[[#This Row],[OppRestDiff]]*8))</f>
        <v>-16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1495.7628020297109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1419.4307029877605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0.75159787965536473</v>
      </c>
      <c r="R103" s="1">
        <v>80</v>
      </c>
      <c r="S103" s="1">
        <v>62</v>
      </c>
      <c r="T103" s="1">
        <v>0</v>
      </c>
      <c r="U103" s="1">
        <f>Games[[#This Row],[PointsFor]]-Games[[#This Row],[PointsAgainst]]</f>
        <v>18</v>
      </c>
      <c r="V103" s="1">
        <f>IF(Games[[#This Row],[MOV]]&gt;0,1,IF(Games[[#This Row],[MOV]]=0,0.5,0))</f>
        <v>1</v>
      </c>
      <c r="W103" s="4">
        <f>((ABS(Games[[#This Row],[MOV]])+5)^0.6)/(12+0.01*(ABS(Games[[#This Row],[PreGmRate]]-Games[[#This Row],[OppPreGmRate]])))*IF(Games[[#This Row],[OT]]=1,0.9,1)</f>
        <v>0.51413007558467538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3" s="9">
        <f>MAX(kmin, kmax - 0.15 * MIN(Games[[#This Row],[GamesPlayed]], 82))</f>
        <v>74.650000000000006</v>
      </c>
      <c r="Z103" s="4">
        <f>Games[[#This Row],[K]]*Games[[#This Row],[POMult]]</f>
        <v>74.650000000000006</v>
      </c>
      <c r="AA103" s="4">
        <f>(Games[[#This Row],[Keff]]*Games[[#This Row],[MOVMult]])*(Games[[#This Row],[Result]]-Games[[#This Row],[ExpectedWin%]])</f>
        <v>9.5336262177957085</v>
      </c>
      <c r="AB103" s="4">
        <f>Games[[#This Row],[PreGmRate]]+Games[[#This Row],[RatingChange]]</f>
        <v>1505.2964282475066</v>
      </c>
      <c r="AC103" s="2">
        <f>IF(Games[[#This Row],[Type]]="R",IF(Games[[#This Row],[Result]]&gt;0.5,1,0),0)</f>
        <v>1</v>
      </c>
      <c r="AD103" s="2">
        <f>IF(Games[[#This Row],[Type]]="R",IF(Games[[#This Row],[Result]]&lt;0.5,1,0),0)</f>
        <v>0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45448</v>
      </c>
      <c r="B104" s="2">
        <v>2024</v>
      </c>
      <c r="C104" s="2">
        <f>COUNTIFS(Games[Team],Games[[#This Row],[Team]],Games[Season],Games[[#This Row],[Season]],Games[Date],"&lt;=" &amp; Games[[#This Row],[Date]])</f>
        <v>7</v>
      </c>
      <c r="D104" s="2" t="s">
        <v>79</v>
      </c>
      <c r="E104" s="2" t="s">
        <v>80</v>
      </c>
      <c r="F104" s="1" t="s">
        <v>86</v>
      </c>
      <c r="G104" s="1" t="s">
        <v>85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4" s="2">
        <f>Games[[#This Row],[DaysOff]]-Games[[#This Row],[OppDaysOff]]</f>
        <v>2</v>
      </c>
      <c r="L104" s="2">
        <f>Games[[#This Row],[OppDaysOff]]-Games[[#This Row],[DaysOff]]</f>
        <v>-2</v>
      </c>
      <c r="M104" s="1">
        <f>MAX(-16, MIN(16, Games[[#This Row],[RestDiff]]*8))</f>
        <v>16</v>
      </c>
      <c r="N104" s="1">
        <f>MAX(-16, MIN(16, Games[[#This Row],[OppRestDiff]]*8))</f>
        <v>-16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1633.9885191209837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1516.7631933272064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0.59277937283207227</v>
      </c>
      <c r="R104" s="1">
        <v>95</v>
      </c>
      <c r="S104" s="1">
        <v>81</v>
      </c>
      <c r="T104" s="1">
        <v>0</v>
      </c>
      <c r="U104" s="1">
        <f>Games[[#This Row],[PointsFor]]-Games[[#This Row],[PointsAgainst]]</f>
        <v>14</v>
      </c>
      <c r="V104" s="1">
        <f>IF(Games[[#This Row],[MOV]]&gt;0,1,IF(Games[[#This Row],[MOV]]=0,0.5,0))</f>
        <v>1</v>
      </c>
      <c r="W104" s="4">
        <f>((ABS(Games[[#This Row],[MOV]])+5)^0.6)/(12+0.01*(ABS(Games[[#This Row],[PreGmRate]]-Games[[#This Row],[OppPreGmRate]])))*IF(Games[[#This Row],[OT]]=1,0.9,1)</f>
        <v>0.44421384313144346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4" s="9">
        <f>MAX(kmin, kmax - 0.15 * MIN(Games[[#This Row],[GamesPlayed]], 82))</f>
        <v>74.95</v>
      </c>
      <c r="Z104" s="4">
        <f>Games[[#This Row],[K]]*Games[[#This Row],[POMult]]</f>
        <v>74.95</v>
      </c>
      <c r="AA104" s="4">
        <f>(Games[[#This Row],[Keff]]*Games[[#This Row],[MOVMult]])*(Games[[#This Row],[Result]]-Games[[#This Row],[ExpectedWin%]])</f>
        <v>13.557933332759809</v>
      </c>
      <c r="AB104" s="4">
        <f>Games[[#This Row],[PreGmRate]]+Games[[#This Row],[RatingChange]]</f>
        <v>1647.5464524537435</v>
      </c>
      <c r="AC104" s="2">
        <f>IF(Games[[#This Row],[Type]]="R",IF(Games[[#This Row],[Result]]&gt;0.5,1,0),0)</f>
        <v>1</v>
      </c>
      <c r="AD104" s="2">
        <f>IF(Games[[#This Row],[Type]]="R",IF(Games[[#This Row],[Result]]&lt;0.5,1,0),0)</f>
        <v>0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45448</v>
      </c>
      <c r="B105" s="2">
        <v>2024</v>
      </c>
      <c r="C105" s="2">
        <f>COUNTIFS(Games[Team],Games[[#This Row],[Team]],Games[Season],Games[[#This Row],[Season]],Games[Date],"&lt;=" &amp; Games[[#This Row],[Date]])</f>
        <v>8</v>
      </c>
      <c r="D105" s="2" t="s">
        <v>79</v>
      </c>
      <c r="E105" s="2" t="s">
        <v>80</v>
      </c>
      <c r="F105" s="1" t="s">
        <v>85</v>
      </c>
      <c r="G105" s="1" t="s">
        <v>86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5" s="2">
        <f>Games[[#This Row],[DaysOff]]-Games[[#This Row],[OppDaysOff]]</f>
        <v>-2</v>
      </c>
      <c r="L105" s="2">
        <f>Games[[#This Row],[OppDaysOff]]-Games[[#This Row],[DaysOff]]</f>
        <v>2</v>
      </c>
      <c r="M105" s="1">
        <f>MAX(-16, MIN(16, Games[[#This Row],[RestDiff]]*8))</f>
        <v>-16</v>
      </c>
      <c r="N105" s="1">
        <f>MAX(-16, MIN(16, Games[[#This Row],[OppRestDiff]]*8))</f>
        <v>16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1516.7631933272064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1633.9885191209837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0.40722062716792778</v>
      </c>
      <c r="R105" s="1">
        <v>81</v>
      </c>
      <c r="S105" s="1">
        <v>95</v>
      </c>
      <c r="T105" s="1">
        <v>0</v>
      </c>
      <c r="U105" s="1">
        <f>Games[[#This Row],[PointsFor]]-Games[[#This Row],[PointsAgainst]]</f>
        <v>-14</v>
      </c>
      <c r="V105" s="1">
        <f>IF(Games[[#This Row],[MOV]]&gt;0,1,IF(Games[[#This Row],[MOV]]=0,0.5,0))</f>
        <v>0</v>
      </c>
      <c r="W105" s="4">
        <f>((ABS(Games[[#This Row],[MOV]])+5)^0.6)/(12+0.01*(ABS(Games[[#This Row],[PreGmRate]]-Games[[#This Row],[OppPreGmRate]])))*IF(Games[[#This Row],[OT]]=1,0.9,1)</f>
        <v>0.44421384313144346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5" s="9">
        <f>MAX(kmin, kmax - 0.15 * MIN(Games[[#This Row],[GamesPlayed]], 82))</f>
        <v>74.8</v>
      </c>
      <c r="Z105" s="4">
        <f>Games[[#This Row],[K]]*Games[[#This Row],[POMult]]</f>
        <v>74.8</v>
      </c>
      <c r="AA105" s="4">
        <f>(Games[[#This Row],[Keff]]*Games[[#This Row],[MOVMult]])*(Games[[#This Row],[Result]]-Games[[#This Row],[ExpectedWin%]])</f>
        <v>-13.530799376790309</v>
      </c>
      <c r="AB105" s="4">
        <f>Games[[#This Row],[PreGmRate]]+Games[[#This Row],[RatingChange]]</f>
        <v>1503.2323939504161</v>
      </c>
      <c r="AC105" s="2">
        <f>IF(Games[[#This Row],[Type]]="R",IF(Games[[#This Row],[Result]]&gt;0.5,1,0),0)</f>
        <v>0</v>
      </c>
      <c r="AD105" s="2">
        <f>IF(Games[[#This Row],[Type]]="R",IF(Games[[#This Row],[Result]]&lt;0.5,1,0),0)</f>
        <v>1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45448</v>
      </c>
      <c r="B106" s="2">
        <v>2024</v>
      </c>
      <c r="C106" s="2">
        <f>COUNTIFS(Games[Team],Games[[#This Row],[Team]],Games[Season],Games[[#This Row],[Season]],Games[Date],"&lt;=" &amp; Games[[#This Row],[Date]])</f>
        <v>9</v>
      </c>
      <c r="D106" s="2" t="s">
        <v>79</v>
      </c>
      <c r="E106" s="2" t="s">
        <v>80</v>
      </c>
      <c r="F106" s="1" t="s">
        <v>67</v>
      </c>
      <c r="G106" s="1" t="s">
        <v>63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6" s="2">
        <f>Games[[#This Row],[DaysOff]]-Games[[#This Row],[OppDaysOff]]</f>
        <v>0</v>
      </c>
      <c r="L106" s="2">
        <f>Games[[#This Row],[OppDaysOff]]-Games[[#This Row],[DaysOff]]</f>
        <v>0</v>
      </c>
      <c r="M106" s="1">
        <f>MAX(-16, MIN(16, Games[[#This Row],[RestDiff]]*8))</f>
        <v>0</v>
      </c>
      <c r="N106" s="1">
        <f>MAX(-16, MIN(16, Games[[#This Row],[OppRestDiff]]*8))</f>
        <v>0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1543.7401184677526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1415.672840728269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0.5630800098519041</v>
      </c>
      <c r="R106" s="1">
        <v>86</v>
      </c>
      <c r="S106" s="1">
        <v>62</v>
      </c>
      <c r="T106" s="1">
        <v>0</v>
      </c>
      <c r="U106" s="1">
        <f>Games[[#This Row],[PointsFor]]-Games[[#This Row],[PointsAgainst]]</f>
        <v>24</v>
      </c>
      <c r="V106" s="1">
        <f>IF(Games[[#This Row],[MOV]]&gt;0,1,IF(Games[[#This Row],[MOV]]=0,0.5,0))</f>
        <v>1</v>
      </c>
      <c r="W106" s="4">
        <f>((ABS(Games[[#This Row],[MOV]])+5)^0.6)/(12+0.01*(ABS(Games[[#This Row],[PreGmRate]]-Games[[#This Row],[OppPreGmRate]])))*IF(Games[[#This Row],[OT]]=1,0.9,1)</f>
        <v>0.56783050827165482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6" s="9">
        <f>MAX(kmin, kmax - 0.15 * MIN(Games[[#This Row],[GamesPlayed]], 82))</f>
        <v>74.650000000000006</v>
      </c>
      <c r="Z106" s="4">
        <f>Games[[#This Row],[K]]*Games[[#This Row],[POMult]]</f>
        <v>74.650000000000006</v>
      </c>
      <c r="AA106" s="4">
        <f>(Games[[#This Row],[Keff]]*Games[[#This Row],[MOVMult]])*(Games[[#This Row],[Result]]-Games[[#This Row],[ExpectedWin%]])</f>
        <v>18.520403730960037</v>
      </c>
      <c r="AB106" s="4">
        <f>Games[[#This Row],[PreGmRate]]+Games[[#This Row],[RatingChange]]</f>
        <v>1562.2605221987126</v>
      </c>
      <c r="AC106" s="2">
        <f>IF(Games[[#This Row],[Type]]="R",IF(Games[[#This Row],[Result]]&gt;0.5,1,0),0)</f>
        <v>1</v>
      </c>
      <c r="AD106" s="2">
        <f>IF(Games[[#This Row],[Type]]="R",IF(Games[[#This Row],[Result]]&lt;0.5,1,0),0)</f>
        <v>0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45448</v>
      </c>
      <c r="B107" s="2">
        <v>2024</v>
      </c>
      <c r="C107" s="2">
        <f>COUNTIFS(Games[Team],Games[[#This Row],[Team]],Games[Season],Games[[#This Row],[Season]],Games[Date],"&lt;=" &amp; Games[[#This Row],[Date]])</f>
        <v>9</v>
      </c>
      <c r="D107" s="2" t="s">
        <v>79</v>
      </c>
      <c r="E107" s="2" t="s">
        <v>80</v>
      </c>
      <c r="F107" s="1" t="s">
        <v>63</v>
      </c>
      <c r="G107" s="1" t="s">
        <v>67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7" s="2">
        <f>Games[[#This Row],[DaysOff]]-Games[[#This Row],[OppDaysOff]]</f>
        <v>0</v>
      </c>
      <c r="L107" s="2">
        <f>Games[[#This Row],[OppDaysOff]]-Games[[#This Row],[DaysOff]]</f>
        <v>0</v>
      </c>
      <c r="M107" s="1">
        <f>MAX(-16, MIN(16, Games[[#This Row],[RestDiff]]*8))</f>
        <v>0</v>
      </c>
      <c r="N107" s="1">
        <f>MAX(-16, MIN(16, Games[[#This Row],[OppRestDiff]]*8))</f>
        <v>0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1415.672840728269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1543.7401184677526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0.43691999014809596</v>
      </c>
      <c r="R107" s="1">
        <v>62</v>
      </c>
      <c r="S107" s="1">
        <v>86</v>
      </c>
      <c r="T107" s="1">
        <v>0</v>
      </c>
      <c r="U107" s="1">
        <f>Games[[#This Row],[PointsFor]]-Games[[#This Row],[PointsAgainst]]</f>
        <v>-24</v>
      </c>
      <c r="V107" s="1">
        <f>IF(Games[[#This Row],[MOV]]&gt;0,1,IF(Games[[#This Row],[MOV]]=0,0.5,0))</f>
        <v>0</v>
      </c>
      <c r="W107" s="4">
        <f>((ABS(Games[[#This Row],[MOV]])+5)^0.6)/(12+0.01*(ABS(Games[[#This Row],[PreGmRate]]-Games[[#This Row],[OppPreGmRate]])))*IF(Games[[#This Row],[OT]]=1,0.9,1)</f>
        <v>0.56783050827165482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7" s="9">
        <f>MAX(kmin, kmax - 0.15 * MIN(Games[[#This Row],[GamesPlayed]], 82))</f>
        <v>74.650000000000006</v>
      </c>
      <c r="Z107" s="4">
        <f>Games[[#This Row],[K]]*Games[[#This Row],[POMult]]</f>
        <v>74.650000000000006</v>
      </c>
      <c r="AA107" s="4">
        <f>(Games[[#This Row],[Keff]]*Games[[#This Row],[MOVMult]])*(Games[[#This Row],[Result]]-Games[[#This Row],[ExpectedWin%]])</f>
        <v>-18.520403730960041</v>
      </c>
      <c r="AB107" s="4">
        <f>Games[[#This Row],[PreGmRate]]+Games[[#This Row],[RatingChange]]</f>
        <v>1397.152436997309</v>
      </c>
      <c r="AC107" s="2">
        <f>IF(Games[[#This Row],[Type]]="R",IF(Games[[#This Row],[Result]]&gt;0.5,1,0),0)</f>
        <v>0</v>
      </c>
      <c r="AD107" s="2">
        <f>IF(Games[[#This Row],[Type]]="R",IF(Games[[#This Row],[Result]]&lt;0.5,1,0),0)</f>
        <v>1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45449</v>
      </c>
      <c r="B108" s="2">
        <v>2024</v>
      </c>
      <c r="C108" s="2">
        <f>COUNTIFS(Games[Team],Games[[#This Row],[Team]],Games[Season],Games[[#This Row],[Season]],Games[Date],"&lt;=" &amp; Games[[#This Row],[Date]])</f>
        <v>11</v>
      </c>
      <c r="D108" s="2" t="s">
        <v>79</v>
      </c>
      <c r="E108" s="2" t="s">
        <v>80</v>
      </c>
      <c r="F108" s="1" t="s">
        <v>60</v>
      </c>
      <c r="G108" s="1" t="s">
        <v>77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8" s="2">
        <f>Games[[#This Row],[DaysOff]]-Games[[#This Row],[OppDaysOff]]</f>
        <v>-2</v>
      </c>
      <c r="L108" s="2">
        <f>Games[[#This Row],[OppDaysOff]]-Games[[#This Row],[DaysOff]]</f>
        <v>2</v>
      </c>
      <c r="M108" s="1">
        <f>MAX(-16, MIN(16, Games[[#This Row],[RestDiff]]*8))</f>
        <v>-16</v>
      </c>
      <c r="N108" s="1">
        <f>MAX(-16, MIN(16, Games[[#This Row],[OppRestDiff]]*8))</f>
        <v>16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1629.5131860866577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1476.9406298383835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0.55243859903253245</v>
      </c>
      <c r="R108" s="1">
        <v>78</v>
      </c>
      <c r="S108" s="1">
        <v>61</v>
      </c>
      <c r="T108" s="1">
        <v>0</v>
      </c>
      <c r="U108" s="1">
        <f>Games[[#This Row],[PointsFor]]-Games[[#This Row],[PointsAgainst]]</f>
        <v>17</v>
      </c>
      <c r="V108" s="1">
        <f>IF(Games[[#This Row],[MOV]]&gt;0,1,IF(Games[[#This Row],[MOV]]=0,0.5,0))</f>
        <v>1</v>
      </c>
      <c r="W108" s="4">
        <f>((ABS(Games[[#This Row],[MOV]])+5)^0.6)/(12+0.01*(ABS(Games[[#This Row],[PreGmRate]]-Games[[#This Row],[OppPreGmRate]])))*IF(Games[[#This Row],[OT]]=1,0.9,1)</f>
        <v>0.47238166998644665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8" s="9">
        <f>MAX(kmin, kmax - 0.15 * MIN(Games[[#This Row],[GamesPlayed]], 82))</f>
        <v>74.349999999999994</v>
      </c>
      <c r="Z108" s="4">
        <f>Games[[#This Row],[K]]*Games[[#This Row],[POMult]]</f>
        <v>74.349999999999994</v>
      </c>
      <c r="AA108" s="4">
        <f>(Games[[#This Row],[Keff]]*Games[[#This Row],[MOVMult]])*(Games[[#This Row],[Result]]-Games[[#This Row],[ExpectedWin%]])</f>
        <v>15.719062279479632</v>
      </c>
      <c r="AB108" s="4">
        <f>Games[[#This Row],[PreGmRate]]+Games[[#This Row],[RatingChange]]</f>
        <v>1645.2322483661374</v>
      </c>
      <c r="AC108" s="2">
        <f>IF(Games[[#This Row],[Type]]="R",IF(Games[[#This Row],[Result]]&gt;0.5,1,0),0)</f>
        <v>1</v>
      </c>
      <c r="AD108" s="2">
        <f>IF(Games[[#This Row],[Type]]="R",IF(Games[[#This Row],[Result]]&lt;0.5,1,0),0)</f>
        <v>0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45449</v>
      </c>
      <c r="B109" s="2">
        <v>2024</v>
      </c>
      <c r="C109" s="2">
        <f>COUNTIFS(Games[Team],Games[[#This Row],[Team]],Games[Season],Games[[#This Row],[Season]],Games[Date],"&lt;=" &amp; Games[[#This Row],[Date]])</f>
        <v>8</v>
      </c>
      <c r="D109" s="2" t="s">
        <v>79</v>
      </c>
      <c r="E109" s="2" t="s">
        <v>80</v>
      </c>
      <c r="F109" s="1" t="s">
        <v>77</v>
      </c>
      <c r="G109" s="1" t="s">
        <v>60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9" s="2">
        <f>Games[[#This Row],[DaysOff]]-Games[[#This Row],[OppDaysOff]]</f>
        <v>2</v>
      </c>
      <c r="L109" s="2">
        <f>Games[[#This Row],[OppDaysOff]]-Games[[#This Row],[DaysOff]]</f>
        <v>-2</v>
      </c>
      <c r="M109" s="1">
        <f>MAX(-16, MIN(16, Games[[#This Row],[RestDiff]]*8))</f>
        <v>16</v>
      </c>
      <c r="N109" s="1">
        <f>MAX(-16, MIN(16, Games[[#This Row],[OppRestDiff]]*8))</f>
        <v>-16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1476.9406298383835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1629.5131860866577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0.44756140096746749</v>
      </c>
      <c r="R109" s="1">
        <v>61</v>
      </c>
      <c r="S109" s="1">
        <v>78</v>
      </c>
      <c r="T109" s="1">
        <v>0</v>
      </c>
      <c r="U109" s="1">
        <f>Games[[#This Row],[PointsFor]]-Games[[#This Row],[PointsAgainst]]</f>
        <v>-17</v>
      </c>
      <c r="V109" s="1">
        <f>IF(Games[[#This Row],[MOV]]&gt;0,1,IF(Games[[#This Row],[MOV]]=0,0.5,0))</f>
        <v>0</v>
      </c>
      <c r="W109" s="4">
        <f>((ABS(Games[[#This Row],[MOV]])+5)^0.6)/(12+0.01*(ABS(Games[[#This Row],[PreGmRate]]-Games[[#This Row],[OppPreGmRate]])))*IF(Games[[#This Row],[OT]]=1,0.9,1)</f>
        <v>0.47238166998644665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9" s="9">
        <f>MAX(kmin, kmax - 0.15 * MIN(Games[[#This Row],[GamesPlayed]], 82))</f>
        <v>74.8</v>
      </c>
      <c r="Z109" s="4">
        <f>Games[[#This Row],[K]]*Games[[#This Row],[POMult]]</f>
        <v>74.8</v>
      </c>
      <c r="AA109" s="4">
        <f>(Games[[#This Row],[Keff]]*Games[[#This Row],[MOVMult]])*(Games[[#This Row],[Result]]-Games[[#This Row],[ExpectedWin%]])</f>
        <v>-15.814201190384349</v>
      </c>
      <c r="AB109" s="4">
        <f>Games[[#This Row],[PreGmRate]]+Games[[#This Row],[RatingChange]]</f>
        <v>1461.1264286479991</v>
      </c>
      <c r="AC109" s="2">
        <f>IF(Games[[#This Row],[Type]]="R",IF(Games[[#This Row],[Result]]&gt;0.5,1,0),0)</f>
        <v>0</v>
      </c>
      <c r="AD109" s="2">
        <f>IF(Games[[#This Row],[Type]]="R",IF(Games[[#This Row],[Result]]&lt;0.5,1,0),0)</f>
        <v>1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45449</v>
      </c>
      <c r="B110" s="2">
        <v>2024</v>
      </c>
      <c r="C110" s="2">
        <f>COUNTIFS(Games[Team],Games[[#This Row],[Team]],Games[Season],Games[[#This Row],[Season]],Games[Date],"&lt;=" &amp; Games[[#This Row],[Date]])</f>
        <v>9</v>
      </c>
      <c r="D110" s="2" t="s">
        <v>79</v>
      </c>
      <c r="E110" s="2" t="s">
        <v>80</v>
      </c>
      <c r="F110" s="1" t="s">
        <v>75</v>
      </c>
      <c r="G110" s="1" t="s">
        <v>65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0" s="2">
        <f>Games[[#This Row],[DaysOff]]-Games[[#This Row],[OppDaysOff]]</f>
        <v>0</v>
      </c>
      <c r="L110" s="2">
        <f>Games[[#This Row],[OppDaysOff]]-Games[[#This Row],[DaysOff]]</f>
        <v>0</v>
      </c>
      <c r="M110" s="1">
        <f>MAX(-16, MIN(16, Games[[#This Row],[RestDiff]]*8))</f>
        <v>0</v>
      </c>
      <c r="N110" s="1">
        <f>MAX(-16, MIN(16, Games[[#This Row],[OppRestDiff]]*8))</f>
        <v>0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1482.7314074028302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1389.32254358296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0.51353713438253412</v>
      </c>
      <c r="R110" s="1">
        <v>79</v>
      </c>
      <c r="S110" s="1">
        <v>71</v>
      </c>
      <c r="T110" s="1">
        <v>0</v>
      </c>
      <c r="U110" s="1">
        <f>Games[[#This Row],[PointsFor]]-Games[[#This Row],[PointsAgainst]]</f>
        <v>8</v>
      </c>
      <c r="V110" s="1">
        <f>IF(Games[[#This Row],[MOV]]&gt;0,1,IF(Games[[#This Row],[MOV]]=0,0.5,0))</f>
        <v>1</v>
      </c>
      <c r="W110" s="4">
        <f>((ABS(Games[[#This Row],[MOV]])+5)^0.6)/(12+0.01*(ABS(Games[[#This Row],[PreGmRate]]-Games[[#This Row],[OppPreGmRate]])))*IF(Games[[#This Row],[OT]]=1,0.9,1)</f>
        <v>0.36027172461723772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0" s="9">
        <f>MAX(kmin, kmax - 0.15 * MIN(Games[[#This Row],[GamesPlayed]], 82))</f>
        <v>74.650000000000006</v>
      </c>
      <c r="Z110" s="4">
        <f>Games[[#This Row],[K]]*Games[[#This Row],[POMult]]</f>
        <v>74.650000000000006</v>
      </c>
      <c r="AA110" s="4">
        <f>(Games[[#This Row],[Keff]]*Games[[#This Row],[MOVMult]])*(Games[[#This Row],[Result]]-Games[[#This Row],[ExpectedWin%]])</f>
        <v>13.083070581423213</v>
      </c>
      <c r="AB110" s="4">
        <f>Games[[#This Row],[PreGmRate]]+Games[[#This Row],[RatingChange]]</f>
        <v>1495.8144779842535</v>
      </c>
      <c r="AC110" s="2">
        <f>IF(Games[[#This Row],[Type]]="R",IF(Games[[#This Row],[Result]]&gt;0.5,1,0),0)</f>
        <v>1</v>
      </c>
      <c r="AD110" s="2">
        <f>IF(Games[[#This Row],[Type]]="R",IF(Games[[#This Row],[Result]]&lt;0.5,1,0),0)</f>
        <v>0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45449</v>
      </c>
      <c r="B111" s="2">
        <v>2024</v>
      </c>
      <c r="C111" s="2">
        <f>COUNTIFS(Games[Team],Games[[#This Row],[Team]],Games[Season],Games[[#This Row],[Season]],Games[Date],"&lt;=" &amp; Games[[#This Row],[Date]])</f>
        <v>10</v>
      </c>
      <c r="D111" s="2" t="s">
        <v>79</v>
      </c>
      <c r="E111" s="2" t="s">
        <v>80</v>
      </c>
      <c r="F111" s="1" t="s">
        <v>65</v>
      </c>
      <c r="G111" s="1" t="s">
        <v>75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1" s="2">
        <f>Games[[#This Row],[DaysOff]]-Games[[#This Row],[OppDaysOff]]</f>
        <v>0</v>
      </c>
      <c r="L111" s="2">
        <f>Games[[#This Row],[OppDaysOff]]-Games[[#This Row],[DaysOff]]</f>
        <v>0</v>
      </c>
      <c r="M111" s="1">
        <f>MAX(-16, MIN(16, Games[[#This Row],[RestDiff]]*8))</f>
        <v>0</v>
      </c>
      <c r="N111" s="1">
        <f>MAX(-16, MIN(16, Games[[#This Row],[OppRestDiff]]*8))</f>
        <v>0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1389.32254358296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1482.7314074028302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0.48646286561746588</v>
      </c>
      <c r="R111" s="1">
        <v>71</v>
      </c>
      <c r="S111" s="1">
        <v>79</v>
      </c>
      <c r="T111" s="1">
        <v>0</v>
      </c>
      <c r="U111" s="1">
        <f>Games[[#This Row],[PointsFor]]-Games[[#This Row],[PointsAgainst]]</f>
        <v>-8</v>
      </c>
      <c r="V111" s="1">
        <f>IF(Games[[#This Row],[MOV]]&gt;0,1,IF(Games[[#This Row],[MOV]]=0,0.5,0))</f>
        <v>0</v>
      </c>
      <c r="W111" s="4">
        <f>((ABS(Games[[#This Row],[MOV]])+5)^0.6)/(12+0.01*(ABS(Games[[#This Row],[PreGmRate]]-Games[[#This Row],[OppPreGmRate]])))*IF(Games[[#This Row],[OT]]=1,0.9,1)</f>
        <v>0.36027172461723772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1" s="9">
        <f>MAX(kmin, kmax - 0.15 * MIN(Games[[#This Row],[GamesPlayed]], 82))</f>
        <v>74.5</v>
      </c>
      <c r="Z111" s="4">
        <f>Games[[#This Row],[K]]*Games[[#This Row],[POMult]]</f>
        <v>74.5</v>
      </c>
      <c r="AA111" s="4">
        <f>(Games[[#This Row],[Keff]]*Games[[#This Row],[MOVMult]])*(Games[[#This Row],[Result]]-Games[[#This Row],[ExpectedWin%]])</f>
        <v>-13.056781759089475</v>
      </c>
      <c r="AB111" s="4">
        <f>Games[[#This Row],[PreGmRate]]+Games[[#This Row],[RatingChange]]</f>
        <v>1376.2657618238704</v>
      </c>
      <c r="AC111" s="2">
        <f>IF(Games[[#This Row],[Type]]="R",IF(Games[[#This Row],[Result]]&gt;0.5,1,0),0)</f>
        <v>0</v>
      </c>
      <c r="AD111" s="2">
        <f>IF(Games[[#This Row],[Type]]="R",IF(Games[[#This Row],[Result]]&lt;0.5,1,0),0)</f>
        <v>1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45450</v>
      </c>
      <c r="B112" s="2">
        <v>2024</v>
      </c>
      <c r="C112" s="2">
        <f>COUNTIFS(Games[Team],Games[[#This Row],[Team]],Games[Season],Games[[#This Row],[Season]],Games[Date],"&lt;=" &amp; Games[[#This Row],[Date]])</f>
        <v>9</v>
      </c>
      <c r="D112" s="2" t="s">
        <v>79</v>
      </c>
      <c r="E112" s="2" t="s">
        <v>80</v>
      </c>
      <c r="F112" s="1" t="s">
        <v>85</v>
      </c>
      <c r="G112" s="1" t="s">
        <v>63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2" s="2">
        <f>Games[[#This Row],[DaysOff]]-Games[[#This Row],[OppDaysOff]]</f>
        <v>0</v>
      </c>
      <c r="L112" s="2">
        <f>Games[[#This Row],[OppDaysOff]]-Games[[#This Row],[DaysOff]]</f>
        <v>0</v>
      </c>
      <c r="M112" s="1">
        <f>MAX(-16, MIN(16, Games[[#This Row],[RestDiff]]*8))</f>
        <v>0</v>
      </c>
      <c r="N112" s="1">
        <f>MAX(-16, MIN(16, Games[[#This Row],[OppRestDiff]]*8))</f>
        <v>0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1503.2323939504161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1397.152436997309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0.53173290332457634</v>
      </c>
      <c r="R112" s="1">
        <v>72</v>
      </c>
      <c r="S112" s="1">
        <v>81</v>
      </c>
      <c r="T112" s="1">
        <v>0</v>
      </c>
      <c r="U112" s="1">
        <f>Games[[#This Row],[PointsFor]]-Games[[#This Row],[PointsAgainst]]</f>
        <v>-9</v>
      </c>
      <c r="V112" s="1">
        <f>IF(Games[[#This Row],[MOV]]&gt;0,1,IF(Games[[#This Row],[MOV]]=0,0.5,0))</f>
        <v>0</v>
      </c>
      <c r="W112" s="4">
        <f>((ABS(Games[[#This Row],[MOV]])+5)^0.6)/(12+0.01*(ABS(Games[[#This Row],[PreGmRate]]-Games[[#This Row],[OppPreGmRate]])))*IF(Games[[#This Row],[OT]]=1,0.9,1)</f>
        <v>0.37299847531017766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2" s="9">
        <f>MAX(kmin, kmax - 0.15 * MIN(Games[[#This Row],[GamesPlayed]], 82))</f>
        <v>74.650000000000006</v>
      </c>
      <c r="Z112" s="4">
        <f>Games[[#This Row],[K]]*Games[[#This Row],[POMult]]</f>
        <v>74.650000000000006</v>
      </c>
      <c r="AA112" s="4">
        <f>(Games[[#This Row],[Keff]]*Games[[#This Row],[MOVMult]])*(Games[[#This Row],[Result]]-Games[[#This Row],[ExpectedWin%]])</f>
        <v>-14.80574971914977</v>
      </c>
      <c r="AB112" s="4">
        <f>Games[[#This Row],[PreGmRate]]+Games[[#This Row],[RatingChange]]</f>
        <v>1488.4266442312662</v>
      </c>
      <c r="AC112" s="2">
        <f>IF(Games[[#This Row],[Type]]="R",IF(Games[[#This Row],[Result]]&gt;0.5,1,0),0)</f>
        <v>0</v>
      </c>
      <c r="AD112" s="2">
        <f>IF(Games[[#This Row],[Type]]="R",IF(Games[[#This Row],[Result]]&lt;0.5,1,0),0)</f>
        <v>1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45450</v>
      </c>
      <c r="B113" s="2">
        <v>2024</v>
      </c>
      <c r="C113" s="2">
        <f>COUNTIFS(Games[Team],Games[[#This Row],[Team]],Games[Season],Games[[#This Row],[Season]],Games[Date],"&lt;=" &amp; Games[[#This Row],[Date]])</f>
        <v>10</v>
      </c>
      <c r="D113" s="2" t="s">
        <v>79</v>
      </c>
      <c r="E113" s="2" t="s">
        <v>80</v>
      </c>
      <c r="F113" s="1" t="s">
        <v>63</v>
      </c>
      <c r="G113" s="1" t="s">
        <v>85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3" s="2">
        <f>Games[[#This Row],[DaysOff]]-Games[[#This Row],[OppDaysOff]]</f>
        <v>0</v>
      </c>
      <c r="L113" s="2">
        <f>Games[[#This Row],[OppDaysOff]]-Games[[#This Row],[DaysOff]]</f>
        <v>0</v>
      </c>
      <c r="M113" s="1">
        <f>MAX(-16, MIN(16, Games[[#This Row],[RestDiff]]*8))</f>
        <v>0</v>
      </c>
      <c r="N113" s="1">
        <f>MAX(-16, MIN(16, Games[[#This Row],[OppRestDiff]]*8))</f>
        <v>0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1397.152436997309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1503.2323939504161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0.46826709667542366</v>
      </c>
      <c r="R113" s="1">
        <v>81</v>
      </c>
      <c r="S113" s="1">
        <v>72</v>
      </c>
      <c r="T113" s="1">
        <v>0</v>
      </c>
      <c r="U113" s="1">
        <f>Games[[#This Row],[PointsFor]]-Games[[#This Row],[PointsAgainst]]</f>
        <v>9</v>
      </c>
      <c r="V113" s="1">
        <f>IF(Games[[#This Row],[MOV]]&gt;0,1,IF(Games[[#This Row],[MOV]]=0,0.5,0))</f>
        <v>1</v>
      </c>
      <c r="W113" s="4">
        <f>((ABS(Games[[#This Row],[MOV]])+5)^0.6)/(12+0.01*(ABS(Games[[#This Row],[PreGmRate]]-Games[[#This Row],[OppPreGmRate]])))*IF(Games[[#This Row],[OT]]=1,0.9,1)</f>
        <v>0.37299847531017766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3" s="9">
        <f>MAX(kmin, kmax - 0.15 * MIN(Games[[#This Row],[GamesPlayed]], 82))</f>
        <v>74.5</v>
      </c>
      <c r="Z113" s="4">
        <f>Games[[#This Row],[K]]*Games[[#This Row],[POMult]]</f>
        <v>74.5</v>
      </c>
      <c r="AA113" s="4">
        <f>(Games[[#This Row],[Keff]]*Games[[#This Row],[MOVMult]])*(Games[[#This Row],[Result]]-Games[[#This Row],[ExpectedWin%]])</f>
        <v>14.77599938481792</v>
      </c>
      <c r="AB113" s="4">
        <f>Games[[#This Row],[PreGmRate]]+Games[[#This Row],[RatingChange]]</f>
        <v>1411.9284363821268</v>
      </c>
      <c r="AC113" s="2">
        <f>IF(Games[[#This Row],[Type]]="R",IF(Games[[#This Row],[Result]]&gt;0.5,1,0),0)</f>
        <v>1</v>
      </c>
      <c r="AD113" s="2">
        <f>IF(Games[[#This Row],[Type]]="R",IF(Games[[#This Row],[Result]]&lt;0.5,1,0),0)</f>
        <v>0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45450</v>
      </c>
      <c r="B114" s="2">
        <v>2024</v>
      </c>
      <c r="C114" s="2">
        <f>COUNTIFS(Games[Team],Games[[#This Row],[Team]],Games[Season],Games[[#This Row],[Season]],Games[Date],"&lt;=" &amp; Games[[#This Row],[Date]])</f>
        <v>10</v>
      </c>
      <c r="D114" s="2" t="s">
        <v>79</v>
      </c>
      <c r="E114" s="2" t="s">
        <v>80</v>
      </c>
      <c r="F114" s="1" t="s">
        <v>71</v>
      </c>
      <c r="G114" s="1" t="s">
        <v>86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4" s="2">
        <f>Games[[#This Row],[DaysOff]]-Games[[#This Row],[OppDaysOff]]</f>
        <v>1</v>
      </c>
      <c r="L114" s="2">
        <f>Games[[#This Row],[OppDaysOff]]-Games[[#This Row],[DaysOff]]</f>
        <v>-1</v>
      </c>
      <c r="M114" s="1">
        <f>MAX(-16, MIN(16, Games[[#This Row],[RestDiff]]*8))</f>
        <v>8</v>
      </c>
      <c r="N114" s="1">
        <f>MAX(-16, MIN(16, Games[[#This Row],[OppRestDiff]]*8))</f>
        <v>-8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1505.2964282475066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1647.5464524537435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0.22964860548682531</v>
      </c>
      <c r="R114" s="1">
        <v>78</v>
      </c>
      <c r="S114" s="1">
        <v>65</v>
      </c>
      <c r="T114" s="1">
        <v>0</v>
      </c>
      <c r="U114" s="1">
        <f>Games[[#This Row],[PointsFor]]-Games[[#This Row],[PointsAgainst]]</f>
        <v>13</v>
      </c>
      <c r="V114" s="1">
        <f>IF(Games[[#This Row],[MOV]]&gt;0,1,IF(Games[[#This Row],[MOV]]=0,0.5,0))</f>
        <v>1</v>
      </c>
      <c r="W114" s="4">
        <f>((ABS(Games[[#This Row],[MOV]])+5)^0.6)/(12+0.01*(ABS(Games[[#This Row],[PreGmRate]]-Games[[#This Row],[OppPreGmRate]])))*IF(Games[[#This Row],[OT]]=1,0.9,1)</f>
        <v>0.42201713284521836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4" s="9">
        <f>MAX(kmin, kmax - 0.15 * MIN(Games[[#This Row],[GamesPlayed]], 82))</f>
        <v>74.5</v>
      </c>
      <c r="Z114" s="4">
        <f>Games[[#This Row],[K]]*Games[[#This Row],[POMult]]</f>
        <v>74.5</v>
      </c>
      <c r="AA114" s="4">
        <f>(Games[[#This Row],[Keff]]*Games[[#This Row],[MOVMult]])*(Games[[#This Row],[Result]]-Games[[#This Row],[ExpectedWin%]])</f>
        <v>24.22006076628454</v>
      </c>
      <c r="AB114" s="4">
        <f>Games[[#This Row],[PreGmRate]]+Games[[#This Row],[RatingChange]]</f>
        <v>1529.5164890137912</v>
      </c>
      <c r="AC114" s="2">
        <f>IF(Games[[#This Row],[Type]]="R",IF(Games[[#This Row],[Result]]&gt;0.5,1,0),0)</f>
        <v>1</v>
      </c>
      <c r="AD114" s="2">
        <f>IF(Games[[#This Row],[Type]]="R",IF(Games[[#This Row],[Result]]&lt;0.5,1,0),0)</f>
        <v>0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45450</v>
      </c>
      <c r="B115" s="2">
        <v>2024</v>
      </c>
      <c r="C115" s="2">
        <f>COUNTIFS(Games[Team],Games[[#This Row],[Team]],Games[Season],Games[[#This Row],[Season]],Games[Date],"&lt;=" &amp; Games[[#This Row],[Date]])</f>
        <v>8</v>
      </c>
      <c r="D115" s="2" t="s">
        <v>79</v>
      </c>
      <c r="E115" s="2" t="s">
        <v>80</v>
      </c>
      <c r="F115" s="1" t="s">
        <v>86</v>
      </c>
      <c r="G115" s="1" t="s">
        <v>71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5" s="2">
        <f>Games[[#This Row],[DaysOff]]-Games[[#This Row],[OppDaysOff]]</f>
        <v>-1</v>
      </c>
      <c r="L115" s="2">
        <f>Games[[#This Row],[OppDaysOff]]-Games[[#This Row],[DaysOff]]</f>
        <v>1</v>
      </c>
      <c r="M115" s="1">
        <f>MAX(-16, MIN(16, Games[[#This Row],[RestDiff]]*8))</f>
        <v>-8</v>
      </c>
      <c r="N115" s="1">
        <f>MAX(-16, MIN(16, Games[[#This Row],[OppRestDiff]]*8))</f>
        <v>8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1647.5464524537435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1505.2964282475066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0.7703513945131748</v>
      </c>
      <c r="R115" s="1">
        <v>65</v>
      </c>
      <c r="S115" s="1">
        <v>78</v>
      </c>
      <c r="T115" s="1">
        <v>0</v>
      </c>
      <c r="U115" s="1">
        <f>Games[[#This Row],[PointsFor]]-Games[[#This Row],[PointsAgainst]]</f>
        <v>-13</v>
      </c>
      <c r="V115" s="1">
        <f>IF(Games[[#This Row],[MOV]]&gt;0,1,IF(Games[[#This Row],[MOV]]=0,0.5,0))</f>
        <v>0</v>
      </c>
      <c r="W115" s="4">
        <f>((ABS(Games[[#This Row],[MOV]])+5)^0.6)/(12+0.01*(ABS(Games[[#This Row],[PreGmRate]]-Games[[#This Row],[OppPreGmRate]])))*IF(Games[[#This Row],[OT]]=1,0.9,1)</f>
        <v>0.42201713284521836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5" s="9">
        <f>MAX(kmin, kmax - 0.15 * MIN(Games[[#This Row],[GamesPlayed]], 82))</f>
        <v>74.8</v>
      </c>
      <c r="Z115" s="4">
        <f>Games[[#This Row],[K]]*Games[[#This Row],[POMult]]</f>
        <v>74.8</v>
      </c>
      <c r="AA115" s="4">
        <f>(Games[[#This Row],[Keff]]*Games[[#This Row],[MOVMult]])*(Games[[#This Row],[Result]]-Games[[#This Row],[ExpectedWin%]])</f>
        <v>-24.317591212323276</v>
      </c>
      <c r="AB115" s="4">
        <f>Games[[#This Row],[PreGmRate]]+Games[[#This Row],[RatingChange]]</f>
        <v>1623.2288612414202</v>
      </c>
      <c r="AC115" s="2">
        <f>IF(Games[[#This Row],[Type]]="R",IF(Games[[#This Row],[Result]]&gt;0.5,1,0),0)</f>
        <v>0</v>
      </c>
      <c r="AD115" s="2">
        <f>IF(Games[[#This Row],[Type]]="R",IF(Games[[#This Row],[Result]]&lt;0.5,1,0),0)</f>
        <v>1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45450</v>
      </c>
      <c r="B116" s="2">
        <v>2024</v>
      </c>
      <c r="C116" s="2">
        <f>COUNTIFS(Games[Team],Games[[#This Row],[Team]],Games[Season],Games[[#This Row],[Season]],Games[Date],"&lt;=" &amp; Games[[#This Row],[Date]])</f>
        <v>10</v>
      </c>
      <c r="D116" s="2" t="s">
        <v>79</v>
      </c>
      <c r="E116" s="2" t="s">
        <v>80</v>
      </c>
      <c r="F116" s="1" t="s">
        <v>67</v>
      </c>
      <c r="G116" s="1" t="s">
        <v>40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6" s="2">
        <f>Games[[#This Row],[DaysOff]]-Games[[#This Row],[OppDaysOff]]</f>
        <v>-1</v>
      </c>
      <c r="L116" s="2">
        <f>Games[[#This Row],[OppDaysOff]]-Games[[#This Row],[DaysOff]]</f>
        <v>1</v>
      </c>
      <c r="M116" s="1">
        <f>MAX(-16, MIN(16, Games[[#This Row],[RestDiff]]*8))</f>
        <v>-8</v>
      </c>
      <c r="N116" s="1">
        <f>MAX(-16, MIN(16, Games[[#This Row],[OppRestDiff]]*8))</f>
        <v>8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1562.2605221987126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1409.916233420101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0.57476466840655682</v>
      </c>
      <c r="R116" s="1">
        <v>80</v>
      </c>
      <c r="S116" s="1">
        <v>81</v>
      </c>
      <c r="T116" s="1">
        <v>0</v>
      </c>
      <c r="U116" s="1">
        <f>Games[[#This Row],[PointsFor]]-Games[[#This Row],[PointsAgainst]]</f>
        <v>-1</v>
      </c>
      <c r="V116" s="1">
        <f>IF(Games[[#This Row],[MOV]]&gt;0,1,IF(Games[[#This Row],[MOV]]=0,0.5,0))</f>
        <v>0</v>
      </c>
      <c r="W116" s="4">
        <f>((ABS(Games[[#This Row],[MOV]])+5)^0.6)/(12+0.01*(ABS(Games[[#This Row],[PreGmRate]]-Games[[#This Row],[OppPreGmRate]])))*IF(Games[[#This Row],[OT]]=1,0.9,1)</f>
        <v>0.21667234267909188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6" s="9">
        <f>MAX(kmin, kmax - 0.15 * MIN(Games[[#This Row],[GamesPlayed]], 82))</f>
        <v>74.5</v>
      </c>
      <c r="Z116" s="4">
        <f>Games[[#This Row],[K]]*Games[[#This Row],[POMult]]</f>
        <v>74.5</v>
      </c>
      <c r="AA116" s="4">
        <f>(Games[[#This Row],[Keff]]*Games[[#This Row],[MOVMult]])*(Games[[#This Row],[Result]]-Games[[#This Row],[ExpectedWin%]])</f>
        <v>-9.2779027358650961</v>
      </c>
      <c r="AB116" s="4">
        <f>Games[[#This Row],[PreGmRate]]+Games[[#This Row],[RatingChange]]</f>
        <v>1552.9826194628474</v>
      </c>
      <c r="AC116" s="2">
        <f>IF(Games[[#This Row],[Type]]="R",IF(Games[[#This Row],[Result]]&gt;0.5,1,0),0)</f>
        <v>0</v>
      </c>
      <c r="AD116" s="2">
        <f>IF(Games[[#This Row],[Type]]="R",IF(Games[[#This Row],[Result]]&lt;0.5,1,0),0)</f>
        <v>1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45450</v>
      </c>
      <c r="B117" s="2">
        <v>2024</v>
      </c>
      <c r="C117" s="2">
        <f>COUNTIFS(Games[Team],Games[[#This Row],[Team]],Games[Season],Games[[#This Row],[Season]],Games[Date],"&lt;=" &amp; Games[[#This Row],[Date]])</f>
        <v>11</v>
      </c>
      <c r="D117" s="2" t="s">
        <v>79</v>
      </c>
      <c r="E117" s="2" t="s">
        <v>80</v>
      </c>
      <c r="F117" s="1" t="s">
        <v>40</v>
      </c>
      <c r="G117" s="1" t="s">
        <v>67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7" s="2">
        <f>Games[[#This Row],[DaysOff]]-Games[[#This Row],[OppDaysOff]]</f>
        <v>1</v>
      </c>
      <c r="L117" s="2">
        <f>Games[[#This Row],[OppDaysOff]]-Games[[#This Row],[DaysOff]]</f>
        <v>-1</v>
      </c>
      <c r="M117" s="1">
        <f>MAX(-16, MIN(16, Games[[#This Row],[RestDiff]]*8))</f>
        <v>8</v>
      </c>
      <c r="N117" s="1">
        <f>MAX(-16, MIN(16, Games[[#This Row],[OppRestDiff]]*8))</f>
        <v>-8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1409.916233420101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1562.2605221987126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0.42523533159344323</v>
      </c>
      <c r="R117" s="1">
        <v>81</v>
      </c>
      <c r="S117" s="1">
        <v>80</v>
      </c>
      <c r="T117" s="1">
        <v>0</v>
      </c>
      <c r="U117" s="1">
        <f>Games[[#This Row],[PointsFor]]-Games[[#This Row],[PointsAgainst]]</f>
        <v>1</v>
      </c>
      <c r="V117" s="1">
        <f>IF(Games[[#This Row],[MOV]]&gt;0,1,IF(Games[[#This Row],[MOV]]=0,0.5,0))</f>
        <v>1</v>
      </c>
      <c r="W117" s="4">
        <f>((ABS(Games[[#This Row],[MOV]])+5)^0.6)/(12+0.01*(ABS(Games[[#This Row],[PreGmRate]]-Games[[#This Row],[OppPreGmRate]])))*IF(Games[[#This Row],[OT]]=1,0.9,1)</f>
        <v>0.21667234267909188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7" s="9">
        <f>MAX(kmin, kmax - 0.15 * MIN(Games[[#This Row],[GamesPlayed]], 82))</f>
        <v>74.349999999999994</v>
      </c>
      <c r="Z117" s="4">
        <f>Games[[#This Row],[K]]*Games[[#This Row],[POMult]]</f>
        <v>74.349999999999994</v>
      </c>
      <c r="AA117" s="4">
        <f>(Games[[#This Row],[Keff]]*Games[[#This Row],[MOVMult]])*(Games[[#This Row],[Result]]-Games[[#This Row],[ExpectedWin%]])</f>
        <v>9.2592223947861729</v>
      </c>
      <c r="AB117" s="4">
        <f>Games[[#This Row],[PreGmRate]]+Games[[#This Row],[RatingChange]]</f>
        <v>1419.1754558148871</v>
      </c>
      <c r="AC117" s="2">
        <f>IF(Games[[#This Row],[Type]]="R",IF(Games[[#This Row],[Result]]&gt;0.5,1,0),0)</f>
        <v>1</v>
      </c>
      <c r="AD117" s="2">
        <f>IF(Games[[#This Row],[Type]]="R",IF(Games[[#This Row],[Result]]&lt;0.5,1,0),0)</f>
        <v>0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45450</v>
      </c>
      <c r="B118" s="2">
        <v>2024</v>
      </c>
      <c r="C118" s="2">
        <f>COUNTIFS(Games[Team],Games[[#This Row],[Team]],Games[Season],Games[[#This Row],[Season]],Games[Date],"&lt;=" &amp; Games[[#This Row],[Date]])</f>
        <v>12</v>
      </c>
      <c r="D118" s="2" t="s">
        <v>79</v>
      </c>
      <c r="E118" s="2" t="s">
        <v>80</v>
      </c>
      <c r="F118" s="1" t="s">
        <v>69</v>
      </c>
      <c r="G118" s="1" t="s">
        <v>65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18" s="2">
        <f>Games[[#This Row],[DaysOff]]-Games[[#This Row],[OppDaysOff]]</f>
        <v>4</v>
      </c>
      <c r="L118" s="2">
        <f>Games[[#This Row],[OppDaysOff]]-Games[[#This Row],[DaysOff]]</f>
        <v>-4</v>
      </c>
      <c r="M118" s="1">
        <f>MAX(-16, MIN(16, Games[[#This Row],[RestDiff]]*8))</f>
        <v>16</v>
      </c>
      <c r="N118" s="1">
        <f>MAX(-16, MIN(16, Games[[#This Row],[OppRestDiff]]*8))</f>
        <v>-16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1368.316523118709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1376.2657618238704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0.41457223844567065</v>
      </c>
      <c r="R118" s="1">
        <v>85</v>
      </c>
      <c r="S118" s="1">
        <v>83</v>
      </c>
      <c r="T118" s="1">
        <v>0</v>
      </c>
      <c r="U118" s="1">
        <f>Games[[#This Row],[PointsFor]]-Games[[#This Row],[PointsAgainst]]</f>
        <v>2</v>
      </c>
      <c r="V118" s="1">
        <f>IF(Games[[#This Row],[MOV]]&gt;0,1,IF(Games[[#This Row],[MOV]]=0,0.5,0))</f>
        <v>1</v>
      </c>
      <c r="W118" s="4">
        <f>((ABS(Games[[#This Row],[MOV]])+5)^0.6)/(12+0.01*(ABS(Games[[#This Row],[PreGmRate]]-Games[[#This Row],[OppPreGmRate]])))*IF(Games[[#This Row],[OT]]=1,0.9,1)</f>
        <v>0.2660787181058476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8" s="9">
        <f>MAX(kmin, kmax - 0.15 * MIN(Games[[#This Row],[GamesPlayed]], 82))</f>
        <v>74.2</v>
      </c>
      <c r="Z118" s="4">
        <f>Games[[#This Row],[K]]*Games[[#This Row],[POMult]]</f>
        <v>74.2</v>
      </c>
      <c r="AA118" s="4">
        <f>(Games[[#This Row],[Keff]]*Games[[#This Row],[MOVMult]])*(Games[[#This Row],[Result]]-Games[[#This Row],[ExpectedWin%]])</f>
        <v>11.558124230676022</v>
      </c>
      <c r="AB118" s="4">
        <f>Games[[#This Row],[PreGmRate]]+Games[[#This Row],[RatingChange]]</f>
        <v>1379.874647349385</v>
      </c>
      <c r="AC118" s="2">
        <f>IF(Games[[#This Row],[Type]]="R",IF(Games[[#This Row],[Result]]&gt;0.5,1,0),0)</f>
        <v>1</v>
      </c>
      <c r="AD118" s="2">
        <f>IF(Games[[#This Row],[Type]]="R",IF(Games[[#This Row],[Result]]&lt;0.5,1,0),0)</f>
        <v>0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45450</v>
      </c>
      <c r="B119" s="2">
        <v>2024</v>
      </c>
      <c r="C119" s="2">
        <f>COUNTIFS(Games[Team],Games[[#This Row],[Team]],Games[Season],Games[[#This Row],[Season]],Games[Date],"&lt;=" &amp; Games[[#This Row],[Date]])</f>
        <v>11</v>
      </c>
      <c r="D119" s="2" t="s">
        <v>79</v>
      </c>
      <c r="E119" s="2" t="s">
        <v>80</v>
      </c>
      <c r="F119" s="1" t="s">
        <v>65</v>
      </c>
      <c r="G119" s="1" t="s">
        <v>69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0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19" s="2">
        <f>Games[[#This Row],[DaysOff]]-Games[[#This Row],[OppDaysOff]]</f>
        <v>-4</v>
      </c>
      <c r="L119" s="2">
        <f>Games[[#This Row],[OppDaysOff]]-Games[[#This Row],[DaysOff]]</f>
        <v>4</v>
      </c>
      <c r="M119" s="1">
        <f>MAX(-16, MIN(16, Games[[#This Row],[RestDiff]]*8))</f>
        <v>-16</v>
      </c>
      <c r="N119" s="1">
        <f>MAX(-16, MIN(16, Games[[#This Row],[OppRestDiff]]*8))</f>
        <v>16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1376.2657618238704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1368.316523118709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0.58542776155432941</v>
      </c>
      <c r="R119" s="1">
        <v>83</v>
      </c>
      <c r="S119" s="1">
        <v>85</v>
      </c>
      <c r="T119" s="1">
        <v>0</v>
      </c>
      <c r="U119" s="1">
        <f>Games[[#This Row],[PointsFor]]-Games[[#This Row],[PointsAgainst]]</f>
        <v>-2</v>
      </c>
      <c r="V119" s="1">
        <f>IF(Games[[#This Row],[MOV]]&gt;0,1,IF(Games[[#This Row],[MOV]]=0,0.5,0))</f>
        <v>0</v>
      </c>
      <c r="W119" s="4">
        <f>((ABS(Games[[#This Row],[MOV]])+5)^0.6)/(12+0.01*(ABS(Games[[#This Row],[PreGmRate]]-Games[[#This Row],[OppPreGmRate]])))*IF(Games[[#This Row],[OT]]=1,0.9,1)</f>
        <v>0.2660787181058476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9" s="9">
        <f>MAX(kmin, kmax - 0.15 * MIN(Games[[#This Row],[GamesPlayed]], 82))</f>
        <v>74.349999999999994</v>
      </c>
      <c r="Z119" s="4">
        <f>Games[[#This Row],[K]]*Games[[#This Row],[POMult]]</f>
        <v>74.349999999999994</v>
      </c>
      <c r="AA119" s="4">
        <f>(Games[[#This Row],[Keff]]*Games[[#This Row],[MOVMult]])*(Games[[#This Row],[Result]]-Games[[#This Row],[ExpectedWin%]])</f>
        <v>-11.581489710926714</v>
      </c>
      <c r="AB119" s="4">
        <f>Games[[#This Row],[PreGmRate]]+Games[[#This Row],[RatingChange]]</f>
        <v>1364.6842721129437</v>
      </c>
      <c r="AC119" s="2">
        <f>IF(Games[[#This Row],[Type]]="R",IF(Games[[#This Row],[Result]]&gt;0.5,1,0),0)</f>
        <v>0</v>
      </c>
      <c r="AD119" s="2">
        <f>IF(Games[[#This Row],[Type]]="R",IF(Games[[#This Row],[Result]]&lt;0.5,1,0),0)</f>
        <v>1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45451</v>
      </c>
      <c r="B120" s="2">
        <v>2024</v>
      </c>
      <c r="C120" s="2">
        <f>COUNTIFS(Games[Team],Games[[#This Row],[Team]],Games[Season],Games[[#This Row],[Season]],Games[Date],"&lt;=" &amp; Games[[#This Row],[Date]])</f>
        <v>9</v>
      </c>
      <c r="D120" s="2" t="s">
        <v>79</v>
      </c>
      <c r="E120" s="2" t="s">
        <v>80</v>
      </c>
      <c r="F120" s="1" t="s">
        <v>77</v>
      </c>
      <c r="G120" s="1" t="s">
        <v>75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0" s="2">
        <f>Games[[#This Row],[DaysOff]]-Games[[#This Row],[OppDaysOff]]</f>
        <v>0</v>
      </c>
      <c r="L120" s="2">
        <f>Games[[#This Row],[OppDaysOff]]-Games[[#This Row],[DaysOff]]</f>
        <v>0</v>
      </c>
      <c r="M120" s="1">
        <f>MAX(-16, MIN(16, Games[[#This Row],[RestDiff]]*8))</f>
        <v>0</v>
      </c>
      <c r="N120" s="1">
        <f>MAX(-16, MIN(16, Games[[#This Row],[OppRestDiff]]*8))</f>
        <v>0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1461.1264286479991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1495.8144779842535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0.33554226823034633</v>
      </c>
      <c r="R120" s="1">
        <v>89</v>
      </c>
      <c r="S120" s="1">
        <v>80</v>
      </c>
      <c r="T120" s="1">
        <v>0</v>
      </c>
      <c r="U120" s="1">
        <f>Games[[#This Row],[PointsFor]]-Games[[#This Row],[PointsAgainst]]</f>
        <v>9</v>
      </c>
      <c r="V120" s="1">
        <f>IF(Games[[#This Row],[MOV]]&gt;0,1,IF(Games[[#This Row],[MOV]]=0,0.5,0))</f>
        <v>1</v>
      </c>
      <c r="W120" s="4">
        <f>((ABS(Games[[#This Row],[MOV]])+5)^0.6)/(12+0.01*(ABS(Games[[#This Row],[PreGmRate]]-Games[[#This Row],[OppPreGmRate]])))*IF(Games[[#This Row],[OT]]=1,0.9,1)</f>
        <v>0.39456592524612416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0" s="9">
        <f>MAX(kmin, kmax - 0.15 * MIN(Games[[#This Row],[GamesPlayed]], 82))</f>
        <v>74.650000000000006</v>
      </c>
      <c r="Z120" s="4">
        <f>Games[[#This Row],[K]]*Games[[#This Row],[POMult]]</f>
        <v>74.650000000000006</v>
      </c>
      <c r="AA120" s="4">
        <f>(Games[[#This Row],[Keff]]*Games[[#This Row],[MOVMult]])*(Games[[#This Row],[Result]]-Games[[#This Row],[ExpectedWin%]])</f>
        <v>19.571168146294657</v>
      </c>
      <c r="AB120" s="4">
        <f>Games[[#This Row],[PreGmRate]]+Games[[#This Row],[RatingChange]]</f>
        <v>1480.6975967942938</v>
      </c>
      <c r="AC120" s="2">
        <f>IF(Games[[#This Row],[Type]]="R",IF(Games[[#This Row],[Result]]&gt;0.5,1,0),0)</f>
        <v>1</v>
      </c>
      <c r="AD120" s="2">
        <f>IF(Games[[#This Row],[Type]]="R",IF(Games[[#This Row],[Result]]&lt;0.5,1,0),0)</f>
        <v>0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45451</v>
      </c>
      <c r="B121" s="2">
        <v>2024</v>
      </c>
      <c r="C121" s="2">
        <f>COUNTIFS(Games[Team],Games[[#This Row],[Team]],Games[Season],Games[[#This Row],[Season]],Games[Date],"&lt;=" &amp; Games[[#This Row],[Date]])</f>
        <v>10</v>
      </c>
      <c r="D121" s="2" t="s">
        <v>79</v>
      </c>
      <c r="E121" s="2" t="s">
        <v>80</v>
      </c>
      <c r="F121" s="1" t="s">
        <v>75</v>
      </c>
      <c r="G121" s="1" t="s">
        <v>77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1" s="2">
        <f>Games[[#This Row],[DaysOff]]-Games[[#This Row],[OppDaysOff]]</f>
        <v>0</v>
      </c>
      <c r="L121" s="2">
        <f>Games[[#This Row],[OppDaysOff]]-Games[[#This Row],[DaysOff]]</f>
        <v>0</v>
      </c>
      <c r="M121" s="1">
        <f>MAX(-16, MIN(16, Games[[#This Row],[RestDiff]]*8))</f>
        <v>0</v>
      </c>
      <c r="N121" s="1">
        <f>MAX(-16, MIN(16, Games[[#This Row],[OppRestDiff]]*8))</f>
        <v>0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1495.8144779842535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1461.1264286479991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0.66445773176965373</v>
      </c>
      <c r="R121" s="1">
        <v>80</v>
      </c>
      <c r="S121" s="1">
        <v>89</v>
      </c>
      <c r="T121" s="1">
        <v>0</v>
      </c>
      <c r="U121" s="1">
        <f>Games[[#This Row],[PointsFor]]-Games[[#This Row],[PointsAgainst]]</f>
        <v>-9</v>
      </c>
      <c r="V121" s="1">
        <f>IF(Games[[#This Row],[MOV]]&gt;0,1,IF(Games[[#This Row],[MOV]]=0,0.5,0))</f>
        <v>0</v>
      </c>
      <c r="W121" s="4">
        <f>((ABS(Games[[#This Row],[MOV]])+5)^0.6)/(12+0.01*(ABS(Games[[#This Row],[PreGmRate]]-Games[[#This Row],[OppPreGmRate]])))*IF(Games[[#This Row],[OT]]=1,0.9,1)</f>
        <v>0.39456592524612416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1" s="9">
        <f>MAX(kmin, kmax - 0.15 * MIN(Games[[#This Row],[GamesPlayed]], 82))</f>
        <v>74.5</v>
      </c>
      <c r="Z121" s="4">
        <f>Games[[#This Row],[K]]*Games[[#This Row],[POMult]]</f>
        <v>74.5</v>
      </c>
      <c r="AA121" s="4">
        <f>(Games[[#This Row],[Keff]]*Games[[#This Row],[MOVMult]])*(Games[[#This Row],[Result]]-Games[[#This Row],[ExpectedWin%]])</f>
        <v>-19.531842289336264</v>
      </c>
      <c r="AB121" s="4">
        <f>Games[[#This Row],[PreGmRate]]+Games[[#This Row],[RatingChange]]</f>
        <v>1476.2826356949172</v>
      </c>
      <c r="AC121" s="2">
        <f>IF(Games[[#This Row],[Type]]="R",IF(Games[[#This Row],[Result]]&gt;0.5,1,0),0)</f>
        <v>0</v>
      </c>
      <c r="AD121" s="2">
        <f>IF(Games[[#This Row],[Type]]="R",IF(Games[[#This Row],[Result]]&lt;0.5,1,0),0)</f>
        <v>1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45451</v>
      </c>
      <c r="B122" s="2">
        <v>2024</v>
      </c>
      <c r="C122" s="2">
        <f>COUNTIFS(Games[Team],Games[[#This Row],[Team]],Games[Season],Games[[#This Row],[Season]],Games[Date],"&lt;=" &amp; Games[[#This Row],[Date]])</f>
        <v>12</v>
      </c>
      <c r="D122" s="2" t="s">
        <v>79</v>
      </c>
      <c r="E122" s="2" t="s">
        <v>80</v>
      </c>
      <c r="F122" s="1" t="s">
        <v>60</v>
      </c>
      <c r="G122" s="1" t="s">
        <v>74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2" s="2">
        <f>Games[[#This Row],[DaysOff]]-Games[[#This Row],[OppDaysOff]]</f>
        <v>-2</v>
      </c>
      <c r="L122" s="2">
        <f>Games[[#This Row],[OppDaysOff]]-Games[[#This Row],[DaysOff]]</f>
        <v>2</v>
      </c>
      <c r="M122" s="1">
        <f>MAX(-16, MIN(16, Games[[#This Row],[RestDiff]]*8))</f>
        <v>-16</v>
      </c>
      <c r="N122" s="1">
        <f>MAX(-16, MIN(16, Games[[#This Row],[OppRestDiff]]*8))</f>
        <v>16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1645.2322483661374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1628.2568823417209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0.36122952986880702</v>
      </c>
      <c r="R122" s="1">
        <v>82</v>
      </c>
      <c r="S122" s="1">
        <v>75</v>
      </c>
      <c r="T122" s="1">
        <v>0</v>
      </c>
      <c r="U122" s="1">
        <f>Games[[#This Row],[PointsFor]]-Games[[#This Row],[PointsAgainst]]</f>
        <v>7</v>
      </c>
      <c r="V122" s="1">
        <f>IF(Games[[#This Row],[MOV]]&gt;0,1,IF(Games[[#This Row],[MOV]]=0,0.5,0))</f>
        <v>1</v>
      </c>
      <c r="W122" s="4">
        <f>((ABS(Games[[#This Row],[MOV]])+5)^0.6)/(12+0.01*(ABS(Games[[#This Row],[PreGmRate]]-Games[[#This Row],[OppPreGmRate]])))*IF(Games[[#This Row],[OT]]=1,0.9,1)</f>
        <v>0.36494461546534984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2" s="9">
        <f>MAX(kmin, kmax - 0.15 * MIN(Games[[#This Row],[GamesPlayed]], 82))</f>
        <v>74.2</v>
      </c>
      <c r="Z122" s="4">
        <f>Games[[#This Row],[K]]*Games[[#This Row],[POMult]]</f>
        <v>74.2</v>
      </c>
      <c r="AA122" s="4">
        <f>(Games[[#This Row],[Keff]]*Games[[#This Row],[MOVMult]])*(Games[[#This Row],[Result]]-Games[[#This Row],[ExpectedWin%]])</f>
        <v>17.297195594574553</v>
      </c>
      <c r="AB122" s="4">
        <f>Games[[#This Row],[PreGmRate]]+Games[[#This Row],[RatingChange]]</f>
        <v>1662.5294439607119</v>
      </c>
      <c r="AC122" s="2">
        <f>IF(Games[[#This Row],[Type]]="R",IF(Games[[#This Row],[Result]]&gt;0.5,1,0),0)</f>
        <v>1</v>
      </c>
      <c r="AD122" s="2">
        <f>IF(Games[[#This Row],[Type]]="R",IF(Games[[#This Row],[Result]]&lt;0.5,1,0),0)</f>
        <v>0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45451</v>
      </c>
      <c r="B123" s="2">
        <v>2024</v>
      </c>
      <c r="C123" s="2">
        <f>COUNTIFS(Games[Team],Games[[#This Row],[Team]],Games[Season],Games[[#This Row],[Season]],Games[Date],"&lt;=" &amp; Games[[#This Row],[Date]])</f>
        <v>10</v>
      </c>
      <c r="D123" s="2" t="s">
        <v>79</v>
      </c>
      <c r="E123" s="2" t="s">
        <v>80</v>
      </c>
      <c r="F123" s="1" t="s">
        <v>74</v>
      </c>
      <c r="G123" s="1" t="s">
        <v>60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3" s="2">
        <f>Games[[#This Row],[DaysOff]]-Games[[#This Row],[OppDaysOff]]</f>
        <v>2</v>
      </c>
      <c r="L123" s="2">
        <f>Games[[#This Row],[OppDaysOff]]-Games[[#This Row],[DaysOff]]</f>
        <v>-2</v>
      </c>
      <c r="M123" s="1">
        <f>MAX(-16, MIN(16, Games[[#This Row],[RestDiff]]*8))</f>
        <v>16</v>
      </c>
      <c r="N123" s="1">
        <f>MAX(-16, MIN(16, Games[[#This Row],[OppRestDiff]]*8))</f>
        <v>-16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1628.2568823417209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1645.2322483661374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0.63877047013119304</v>
      </c>
      <c r="R123" s="1">
        <v>75</v>
      </c>
      <c r="S123" s="1">
        <v>82</v>
      </c>
      <c r="T123" s="1">
        <v>0</v>
      </c>
      <c r="U123" s="1">
        <f>Games[[#This Row],[PointsFor]]-Games[[#This Row],[PointsAgainst]]</f>
        <v>-7</v>
      </c>
      <c r="V123" s="1">
        <f>IF(Games[[#This Row],[MOV]]&gt;0,1,IF(Games[[#This Row],[MOV]]=0,0.5,0))</f>
        <v>0</v>
      </c>
      <c r="W123" s="4">
        <f>((ABS(Games[[#This Row],[MOV]])+5)^0.6)/(12+0.01*(ABS(Games[[#This Row],[PreGmRate]]-Games[[#This Row],[OppPreGmRate]])))*IF(Games[[#This Row],[OT]]=1,0.9,1)</f>
        <v>0.36494461546534984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3" s="9">
        <f>MAX(kmin, kmax - 0.15 * MIN(Games[[#This Row],[GamesPlayed]], 82))</f>
        <v>74.5</v>
      </c>
      <c r="Z123" s="4">
        <f>Games[[#This Row],[K]]*Games[[#This Row],[POMult]]</f>
        <v>74.5</v>
      </c>
      <c r="AA123" s="4">
        <f>(Games[[#This Row],[Keff]]*Games[[#This Row],[MOVMult]])*(Games[[#This Row],[Result]]-Games[[#This Row],[ExpectedWin%]])</f>
        <v>-17.367130347652349</v>
      </c>
      <c r="AB123" s="4">
        <f>Games[[#This Row],[PreGmRate]]+Games[[#This Row],[RatingChange]]</f>
        <v>1610.8897519940685</v>
      </c>
      <c r="AC123" s="2">
        <f>IF(Games[[#This Row],[Type]]="R",IF(Games[[#This Row],[Result]]&gt;0.5,1,0),0)</f>
        <v>0</v>
      </c>
      <c r="AD123" s="2">
        <f>IF(Games[[#This Row],[Type]]="R",IF(Games[[#This Row],[Result]]&lt;0.5,1,0),0)</f>
        <v>1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45452</v>
      </c>
      <c r="B124" s="2">
        <v>2024</v>
      </c>
      <c r="C124" s="2">
        <f>COUNTIFS(Games[Team],Games[[#This Row],[Team]],Games[Season],Games[[#This Row],[Season]],Games[Date],"&lt;=" &amp; Games[[#This Row],[Date]])</f>
        <v>12</v>
      </c>
      <c r="D124" s="2" t="s">
        <v>79</v>
      </c>
      <c r="E124" s="2" t="s">
        <v>80</v>
      </c>
      <c r="F124" s="1" t="s">
        <v>40</v>
      </c>
      <c r="G124" s="1" t="s">
        <v>85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4" s="2">
        <f>Games[[#This Row],[DaysOff]]-Games[[#This Row],[OppDaysOff]]</f>
        <v>0</v>
      </c>
      <c r="L124" s="2">
        <f>Games[[#This Row],[OppDaysOff]]-Games[[#This Row],[DaysOff]]</f>
        <v>0</v>
      </c>
      <c r="M124" s="1">
        <f>MAX(-16, MIN(16, Games[[#This Row],[RestDiff]]*8))</f>
        <v>0</v>
      </c>
      <c r="N124" s="1">
        <f>MAX(-16, MIN(16, Games[[#This Row],[OppRestDiff]]*8))</f>
        <v>0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1419.1754558148871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1488.4266442312662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0.29272524868756788</v>
      </c>
      <c r="R124" s="1">
        <v>97</v>
      </c>
      <c r="S124" s="1">
        <v>90</v>
      </c>
      <c r="T124" s="1">
        <v>1</v>
      </c>
      <c r="U124" s="1">
        <f>Games[[#This Row],[PointsFor]]-Games[[#This Row],[PointsAgainst]]</f>
        <v>7</v>
      </c>
      <c r="V124" s="1">
        <f>IF(Games[[#This Row],[MOV]]&gt;0,1,IF(Games[[#This Row],[MOV]]=0,0.5,0))</f>
        <v>1</v>
      </c>
      <c r="W124" s="4">
        <f>((ABS(Games[[#This Row],[MOV]])+5)^0.6)/(12+0.01*(ABS(Games[[#This Row],[PreGmRate]]-Games[[#This Row],[OppPreGmRate]])))*IF(Games[[#This Row],[OT]]=1,0.9,1)</f>
        <v>0.31492249125631583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4" s="9">
        <f>MAX(kmin, kmax - 0.15 * MIN(Games[[#This Row],[GamesPlayed]], 82))</f>
        <v>74.2</v>
      </c>
      <c r="Z124" s="4">
        <f>Games[[#This Row],[K]]*Games[[#This Row],[POMult]]</f>
        <v>74.2</v>
      </c>
      <c r="AA124" s="4">
        <f>(Games[[#This Row],[Keff]]*Games[[#This Row],[MOVMult]])*(Games[[#This Row],[Result]]-Games[[#This Row],[ExpectedWin%]])</f>
        <v>16.527065120101376</v>
      </c>
      <c r="AB124" s="4">
        <f>Games[[#This Row],[PreGmRate]]+Games[[#This Row],[RatingChange]]</f>
        <v>1435.7025209349883</v>
      </c>
      <c r="AC124" s="2">
        <f>IF(Games[[#This Row],[Type]]="R",IF(Games[[#This Row],[Result]]&gt;0.5,1,0),0)</f>
        <v>1</v>
      </c>
      <c r="AD124" s="2">
        <f>IF(Games[[#This Row],[Type]]="R",IF(Games[[#This Row],[Result]]&lt;0.5,1,0),0)</f>
        <v>0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45452</v>
      </c>
      <c r="B125" s="2">
        <v>2024</v>
      </c>
      <c r="C125" s="2">
        <f>COUNTIFS(Games[Team],Games[[#This Row],[Team]],Games[Season],Games[[#This Row],[Season]],Games[Date],"&lt;=" &amp; Games[[#This Row],[Date]])</f>
        <v>10</v>
      </c>
      <c r="D125" s="2" t="s">
        <v>79</v>
      </c>
      <c r="E125" s="2" t="s">
        <v>80</v>
      </c>
      <c r="F125" s="1" t="s">
        <v>85</v>
      </c>
      <c r="G125" s="1" t="s">
        <v>40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5" s="2">
        <f>Games[[#This Row],[DaysOff]]-Games[[#This Row],[OppDaysOff]]</f>
        <v>0</v>
      </c>
      <c r="L125" s="2">
        <f>Games[[#This Row],[OppDaysOff]]-Games[[#This Row],[DaysOff]]</f>
        <v>0</v>
      </c>
      <c r="M125" s="1">
        <f>MAX(-16, MIN(16, Games[[#This Row],[RestDiff]]*8))</f>
        <v>0</v>
      </c>
      <c r="N125" s="1">
        <f>MAX(-16, MIN(16, Games[[#This Row],[OppRestDiff]]*8))</f>
        <v>0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1488.4266442312662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1419.1754558148871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0.70727475131243212</v>
      </c>
      <c r="R125" s="1">
        <v>90</v>
      </c>
      <c r="S125" s="1">
        <v>97</v>
      </c>
      <c r="T125" s="1">
        <v>1</v>
      </c>
      <c r="U125" s="1">
        <f>Games[[#This Row],[PointsFor]]-Games[[#This Row],[PointsAgainst]]</f>
        <v>-7</v>
      </c>
      <c r="V125" s="1">
        <f>IF(Games[[#This Row],[MOV]]&gt;0,1,IF(Games[[#This Row],[MOV]]=0,0.5,0))</f>
        <v>0</v>
      </c>
      <c r="W125" s="4">
        <f>((ABS(Games[[#This Row],[MOV]])+5)^0.6)/(12+0.01*(ABS(Games[[#This Row],[PreGmRate]]-Games[[#This Row],[OppPreGmRate]])))*IF(Games[[#This Row],[OT]]=1,0.9,1)</f>
        <v>0.31492249125631583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5" s="9">
        <f>MAX(kmin, kmax - 0.15 * MIN(Games[[#This Row],[GamesPlayed]], 82))</f>
        <v>74.5</v>
      </c>
      <c r="Z125" s="4">
        <f>Games[[#This Row],[K]]*Games[[#This Row],[POMult]]</f>
        <v>74.5</v>
      </c>
      <c r="AA125" s="4">
        <f>(Games[[#This Row],[Keff]]*Games[[#This Row],[MOVMult]])*(Games[[#This Row],[Result]]-Games[[#This Row],[ExpectedWin%]])</f>
        <v>-16.593886138107173</v>
      </c>
      <c r="AB125" s="4">
        <f>Games[[#This Row],[PreGmRate]]+Games[[#This Row],[RatingChange]]</f>
        <v>1471.8327580931591</v>
      </c>
      <c r="AC125" s="2">
        <f>IF(Games[[#This Row],[Type]]="R",IF(Games[[#This Row],[Result]]&gt;0.5,1,0),0)</f>
        <v>0</v>
      </c>
      <c r="AD125" s="2">
        <f>IF(Games[[#This Row],[Type]]="R",IF(Games[[#This Row],[Result]]&lt;0.5,1,0),0)</f>
        <v>1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45452</v>
      </c>
      <c r="B126" s="2">
        <v>2024</v>
      </c>
      <c r="C126" s="2">
        <f>COUNTIFS(Games[Team],Games[[#This Row],[Team]],Games[Season],Games[[#This Row],[Season]],Games[Date],"&lt;=" &amp; Games[[#This Row],[Date]])</f>
        <v>9</v>
      </c>
      <c r="D126" s="2" t="s">
        <v>79</v>
      </c>
      <c r="E126" s="2" t="s">
        <v>80</v>
      </c>
      <c r="F126" s="1" t="s">
        <v>86</v>
      </c>
      <c r="G126" s="1" t="s">
        <v>63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6" s="2">
        <f>Games[[#This Row],[DaysOff]]-Games[[#This Row],[OppDaysOff]]</f>
        <v>0</v>
      </c>
      <c r="L126" s="2">
        <f>Games[[#This Row],[OppDaysOff]]-Games[[#This Row],[DaysOff]]</f>
        <v>0</v>
      </c>
      <c r="M126" s="1">
        <f>MAX(-16, MIN(16, Games[[#This Row],[RestDiff]]*8))</f>
        <v>0</v>
      </c>
      <c r="N126" s="1">
        <f>MAX(-16, MIN(16, Games[[#This Row],[OppRestDiff]]*8))</f>
        <v>0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1623.2288612414202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1411.9284363821268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0.67541944553422584</v>
      </c>
      <c r="R126" s="1">
        <v>92</v>
      </c>
      <c r="S126" s="1">
        <v>96</v>
      </c>
      <c r="T126" s="1">
        <v>0</v>
      </c>
      <c r="U126" s="1">
        <f>Games[[#This Row],[PointsFor]]-Games[[#This Row],[PointsAgainst]]</f>
        <v>-4</v>
      </c>
      <c r="V126" s="1">
        <f>IF(Games[[#This Row],[MOV]]&gt;0,1,IF(Games[[#This Row],[MOV]]=0,0.5,0))</f>
        <v>0</v>
      </c>
      <c r="W126" s="4">
        <f>((ABS(Games[[#This Row],[MOV]])+5)^0.6)/(12+0.01*(ABS(Games[[#This Row],[PreGmRate]]-Games[[#This Row],[OppPreGmRate]])))*IF(Games[[#This Row],[OT]]=1,0.9,1)</f>
        <v>0.26480490992689598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6" s="9">
        <f>MAX(kmin, kmax - 0.15 * MIN(Games[[#This Row],[GamesPlayed]], 82))</f>
        <v>74.650000000000006</v>
      </c>
      <c r="Z126" s="4">
        <f>Games[[#This Row],[K]]*Games[[#This Row],[POMult]]</f>
        <v>74.650000000000006</v>
      </c>
      <c r="AA126" s="4">
        <f>(Games[[#This Row],[Keff]]*Games[[#This Row],[MOVMult]])*(Games[[#This Row],[Result]]-Games[[#This Row],[ExpectedWin%]])</f>
        <v>-13.351479872914206</v>
      </c>
      <c r="AB126" s="4">
        <f>Games[[#This Row],[PreGmRate]]+Games[[#This Row],[RatingChange]]</f>
        <v>1609.8773813685059</v>
      </c>
      <c r="AC126" s="2">
        <f>IF(Games[[#This Row],[Type]]="R",IF(Games[[#This Row],[Result]]&gt;0.5,1,0),0)</f>
        <v>0</v>
      </c>
      <c r="AD126" s="2">
        <f>IF(Games[[#This Row],[Type]]="R",IF(Games[[#This Row],[Result]]&lt;0.5,1,0),0)</f>
        <v>1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45452</v>
      </c>
      <c r="B127" s="2">
        <v>2024</v>
      </c>
      <c r="C127" s="2">
        <f>COUNTIFS(Games[Team],Games[[#This Row],[Team]],Games[Season],Games[[#This Row],[Season]],Games[Date],"&lt;=" &amp; Games[[#This Row],[Date]])</f>
        <v>11</v>
      </c>
      <c r="D127" s="2" t="s">
        <v>79</v>
      </c>
      <c r="E127" s="2" t="s">
        <v>80</v>
      </c>
      <c r="F127" s="1" t="s">
        <v>63</v>
      </c>
      <c r="G127" s="1" t="s">
        <v>86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7" s="2">
        <f>Games[[#This Row],[DaysOff]]-Games[[#This Row],[OppDaysOff]]</f>
        <v>0</v>
      </c>
      <c r="L127" s="2">
        <f>Games[[#This Row],[OppDaysOff]]-Games[[#This Row],[DaysOff]]</f>
        <v>0</v>
      </c>
      <c r="M127" s="1">
        <f>MAX(-16, MIN(16, Games[[#This Row],[RestDiff]]*8))</f>
        <v>0</v>
      </c>
      <c r="N127" s="1">
        <f>MAX(-16, MIN(16, Games[[#This Row],[OppRestDiff]]*8))</f>
        <v>0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1411.9284363821268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1623.2288612414202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0.32458055446577411</v>
      </c>
      <c r="R127" s="1">
        <v>96</v>
      </c>
      <c r="S127" s="1">
        <v>92</v>
      </c>
      <c r="T127" s="1">
        <v>0</v>
      </c>
      <c r="U127" s="1">
        <f>Games[[#This Row],[PointsFor]]-Games[[#This Row],[PointsAgainst]]</f>
        <v>4</v>
      </c>
      <c r="V127" s="1">
        <f>IF(Games[[#This Row],[MOV]]&gt;0,1,IF(Games[[#This Row],[MOV]]=0,0.5,0))</f>
        <v>1</v>
      </c>
      <c r="W127" s="4">
        <f>((ABS(Games[[#This Row],[MOV]])+5)^0.6)/(12+0.01*(ABS(Games[[#This Row],[PreGmRate]]-Games[[#This Row],[OppPreGmRate]])))*IF(Games[[#This Row],[OT]]=1,0.9,1)</f>
        <v>0.26480490992689598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7" s="9">
        <f>MAX(kmin, kmax - 0.15 * MIN(Games[[#This Row],[GamesPlayed]], 82))</f>
        <v>74.349999999999994</v>
      </c>
      <c r="Z127" s="4">
        <f>Games[[#This Row],[K]]*Games[[#This Row],[POMult]]</f>
        <v>74.349999999999994</v>
      </c>
      <c r="AA127" s="4">
        <f>(Games[[#This Row],[Keff]]*Games[[#This Row],[MOVMult]])*(Games[[#This Row],[Result]]-Games[[#This Row],[ExpectedWin%]])</f>
        <v>13.297823557282937</v>
      </c>
      <c r="AB127" s="4">
        <f>Games[[#This Row],[PreGmRate]]+Games[[#This Row],[RatingChange]]</f>
        <v>1425.2262599394098</v>
      </c>
      <c r="AC127" s="2">
        <f>IF(Games[[#This Row],[Type]]="R",IF(Games[[#This Row],[Result]]&gt;0.5,1,0),0)</f>
        <v>1</v>
      </c>
      <c r="AD127" s="2">
        <f>IF(Games[[#This Row],[Type]]="R",IF(Games[[#This Row],[Result]]&lt;0.5,1,0),0)</f>
        <v>0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45452</v>
      </c>
      <c r="B128" s="2">
        <v>2024</v>
      </c>
      <c r="C128" s="2">
        <f>COUNTIFS(Games[Team],Games[[#This Row],[Team]],Games[Season],Games[[#This Row],[Season]],Games[Date],"&lt;=" &amp; Games[[#This Row],[Date]])</f>
        <v>11</v>
      </c>
      <c r="D128" s="2" t="s">
        <v>79</v>
      </c>
      <c r="E128" s="2" t="s">
        <v>80</v>
      </c>
      <c r="F128" s="1" t="s">
        <v>71</v>
      </c>
      <c r="G128" s="1" t="s">
        <v>67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8" s="2">
        <f>Games[[#This Row],[DaysOff]]-Games[[#This Row],[OppDaysOff]]</f>
        <v>0</v>
      </c>
      <c r="L128" s="2">
        <f>Games[[#This Row],[OppDaysOff]]-Games[[#This Row],[DaysOff]]</f>
        <v>0</v>
      </c>
      <c r="M128" s="1">
        <f>MAX(-16, MIN(16, Games[[#This Row],[RestDiff]]*8))</f>
        <v>0</v>
      </c>
      <c r="N128" s="1">
        <f>MAX(-16, MIN(16, Games[[#This Row],[OppRestDiff]]*8))</f>
        <v>0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1529.5164890137912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1552.9826194628474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0.35009428947500293</v>
      </c>
      <c r="R128" s="1">
        <v>64</v>
      </c>
      <c r="S128" s="1">
        <v>83</v>
      </c>
      <c r="T128" s="1">
        <v>0</v>
      </c>
      <c r="U128" s="1">
        <f>Games[[#This Row],[PointsFor]]-Games[[#This Row],[PointsAgainst]]</f>
        <v>-19</v>
      </c>
      <c r="V128" s="1">
        <f>IF(Games[[#This Row],[MOV]]&gt;0,1,IF(Games[[#This Row],[MOV]]=0,0.5,0))</f>
        <v>0</v>
      </c>
      <c r="W128" s="4">
        <f>((ABS(Games[[#This Row],[MOV]])+5)^0.6)/(12+0.01*(ABS(Games[[#This Row],[PreGmRate]]-Games[[#This Row],[OppPreGmRate]])))*IF(Games[[#This Row],[OT]]=1,0.9,1)</f>
        <v>0.55021799992178033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8" s="9">
        <f>MAX(kmin, kmax - 0.15 * MIN(Games[[#This Row],[GamesPlayed]], 82))</f>
        <v>74.349999999999994</v>
      </c>
      <c r="Z128" s="4">
        <f>Games[[#This Row],[K]]*Games[[#This Row],[POMult]]</f>
        <v>74.349999999999994</v>
      </c>
      <c r="AA128" s="4">
        <f>(Games[[#This Row],[Keff]]*Games[[#This Row],[MOVMult]])*(Games[[#This Row],[Result]]-Games[[#This Row],[ExpectedWin%]])</f>
        <v>-14.321905163592634</v>
      </c>
      <c r="AB128" s="4">
        <f>Games[[#This Row],[PreGmRate]]+Games[[#This Row],[RatingChange]]</f>
        <v>1515.1945838501986</v>
      </c>
      <c r="AC128" s="2">
        <f>IF(Games[[#This Row],[Type]]="R",IF(Games[[#This Row],[Result]]&gt;0.5,1,0),0)</f>
        <v>0</v>
      </c>
      <c r="AD128" s="2">
        <f>IF(Games[[#This Row],[Type]]="R",IF(Games[[#This Row],[Result]]&lt;0.5,1,0),0)</f>
        <v>1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45452</v>
      </c>
      <c r="B129" s="2">
        <v>2024</v>
      </c>
      <c r="C129" s="2">
        <f>COUNTIFS(Games[Team],Games[[#This Row],[Team]],Games[Season],Games[[#This Row],[Season]],Games[Date],"&lt;=" &amp; Games[[#This Row],[Date]])</f>
        <v>11</v>
      </c>
      <c r="D129" s="2" t="s">
        <v>79</v>
      </c>
      <c r="E129" s="2" t="s">
        <v>80</v>
      </c>
      <c r="F129" s="1" t="s">
        <v>67</v>
      </c>
      <c r="G129" s="1" t="s">
        <v>71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9" s="2">
        <f>Games[[#This Row],[DaysOff]]-Games[[#This Row],[OppDaysOff]]</f>
        <v>0</v>
      </c>
      <c r="L129" s="2">
        <f>Games[[#This Row],[OppDaysOff]]-Games[[#This Row],[DaysOff]]</f>
        <v>0</v>
      </c>
      <c r="M129" s="1">
        <f>MAX(-16, MIN(16, Games[[#This Row],[RestDiff]]*8))</f>
        <v>0</v>
      </c>
      <c r="N129" s="1">
        <f>MAX(-16, MIN(16, Games[[#This Row],[OppRestDiff]]*8))</f>
        <v>0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1552.9826194628474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1529.5164890137912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0.64990571052499702</v>
      </c>
      <c r="R129" s="1">
        <v>83</v>
      </c>
      <c r="S129" s="1">
        <v>64</v>
      </c>
      <c r="T129" s="1">
        <v>0</v>
      </c>
      <c r="U129" s="1">
        <f>Games[[#This Row],[PointsFor]]-Games[[#This Row],[PointsAgainst]]</f>
        <v>19</v>
      </c>
      <c r="V129" s="1">
        <f>IF(Games[[#This Row],[MOV]]&gt;0,1,IF(Games[[#This Row],[MOV]]=0,0.5,0))</f>
        <v>1</v>
      </c>
      <c r="W129" s="4">
        <f>((ABS(Games[[#This Row],[MOV]])+5)^0.6)/(12+0.01*(ABS(Games[[#This Row],[PreGmRate]]-Games[[#This Row],[OppPreGmRate]])))*IF(Games[[#This Row],[OT]]=1,0.9,1)</f>
        <v>0.55021799992178033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9" s="9">
        <f>MAX(kmin, kmax - 0.15 * MIN(Games[[#This Row],[GamesPlayed]], 82))</f>
        <v>74.349999999999994</v>
      </c>
      <c r="Z129" s="4">
        <f>Games[[#This Row],[K]]*Games[[#This Row],[POMult]]</f>
        <v>74.349999999999994</v>
      </c>
      <c r="AA129" s="4">
        <f>(Games[[#This Row],[Keff]]*Games[[#This Row],[MOVMult]])*(Games[[#This Row],[Result]]-Games[[#This Row],[ExpectedWin%]])</f>
        <v>14.321905163592637</v>
      </c>
      <c r="AB129" s="4">
        <f>Games[[#This Row],[PreGmRate]]+Games[[#This Row],[RatingChange]]</f>
        <v>1567.3045246264401</v>
      </c>
      <c r="AC129" s="2">
        <f>IF(Games[[#This Row],[Type]]="R",IF(Games[[#This Row],[Result]]&gt;0.5,1,0),0)</f>
        <v>1</v>
      </c>
      <c r="AD129" s="2">
        <f>IF(Games[[#This Row],[Type]]="R",IF(Games[[#This Row],[Result]]&lt;0.5,1,0),0)</f>
        <v>0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45452</v>
      </c>
      <c r="B130" s="2">
        <v>2024</v>
      </c>
      <c r="C130" s="2">
        <f>COUNTIFS(Games[Team],Games[[#This Row],[Team]],Games[Season],Games[[#This Row],[Season]],Games[Date],"&lt;=" &amp; Games[[#This Row],[Date]])</f>
        <v>12</v>
      </c>
      <c r="D130" s="2" t="s">
        <v>79</v>
      </c>
      <c r="E130" s="2" t="s">
        <v>80</v>
      </c>
      <c r="F130" s="1" t="s">
        <v>65</v>
      </c>
      <c r="G130" s="1" t="s">
        <v>60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30" s="2">
        <f>Games[[#This Row],[DaysOff]]-Games[[#This Row],[OppDaysOff]]</f>
        <v>1</v>
      </c>
      <c r="L130" s="2">
        <f>Games[[#This Row],[OppDaysOff]]-Games[[#This Row],[DaysOff]]</f>
        <v>-1</v>
      </c>
      <c r="M130" s="1">
        <f>MAX(-16, MIN(16, Games[[#This Row],[RestDiff]]*8))</f>
        <v>8</v>
      </c>
      <c r="N130" s="1">
        <f>MAX(-16, MIN(16, Games[[#This Row],[OppRestDiff]]*8))</f>
        <v>-8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1364.6842721129437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1662.5294439607119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0.10851752509228535</v>
      </c>
      <c r="R130" s="1">
        <v>88</v>
      </c>
      <c r="S130" s="1">
        <v>93</v>
      </c>
      <c r="T130" s="1">
        <v>0</v>
      </c>
      <c r="U130" s="1">
        <f>Games[[#This Row],[PointsFor]]-Games[[#This Row],[PointsAgainst]]</f>
        <v>-5</v>
      </c>
      <c r="V130" s="1">
        <f>IF(Games[[#This Row],[MOV]]&gt;0,1,IF(Games[[#This Row],[MOV]]=0,0.5,0))</f>
        <v>0</v>
      </c>
      <c r="W130" s="4">
        <f>((ABS(Games[[#This Row],[MOV]])+5)^0.6)/(12+0.01*(ABS(Games[[#This Row],[PreGmRate]]-Games[[#This Row],[OppPreGmRate]])))*IF(Games[[#This Row],[OT]]=1,0.9,1)</f>
        <v>0.26578659666298171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0" s="9">
        <f>MAX(kmin, kmax - 0.15 * MIN(Games[[#This Row],[GamesPlayed]], 82))</f>
        <v>74.2</v>
      </c>
      <c r="Z130" s="4">
        <f>Games[[#This Row],[K]]*Games[[#This Row],[POMult]]</f>
        <v>74.2</v>
      </c>
      <c r="AA130" s="4">
        <f>(Games[[#This Row],[Keff]]*Games[[#This Row],[MOVMult]])*(Games[[#This Row],[Result]]-Games[[#This Row],[ExpectedWin%]])</f>
        <v>-2.1401137725045638</v>
      </c>
      <c r="AB130" s="4">
        <f>Games[[#This Row],[PreGmRate]]+Games[[#This Row],[RatingChange]]</f>
        <v>1362.5441583404393</v>
      </c>
      <c r="AC130" s="2">
        <f>IF(Games[[#This Row],[Type]]="R",IF(Games[[#This Row],[Result]]&gt;0.5,1,0),0)</f>
        <v>0</v>
      </c>
      <c r="AD130" s="2">
        <f>IF(Games[[#This Row],[Type]]="R",IF(Games[[#This Row],[Result]]&lt;0.5,1,0),0)</f>
        <v>1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45452</v>
      </c>
      <c r="B131" s="2">
        <v>2024</v>
      </c>
      <c r="C131" s="2">
        <f>COUNTIFS(Games[Team],Games[[#This Row],[Team]],Games[Season],Games[[#This Row],[Season]],Games[Date],"&lt;=" &amp; Games[[#This Row],[Date]])</f>
        <v>13</v>
      </c>
      <c r="D131" s="2" t="s">
        <v>79</v>
      </c>
      <c r="E131" s="2" t="s">
        <v>80</v>
      </c>
      <c r="F131" s="1" t="s">
        <v>60</v>
      </c>
      <c r="G131" s="1" t="s">
        <v>65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0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1" s="2">
        <f>Games[[#This Row],[DaysOff]]-Games[[#This Row],[OppDaysOff]]</f>
        <v>-1</v>
      </c>
      <c r="L131" s="2">
        <f>Games[[#This Row],[OppDaysOff]]-Games[[#This Row],[DaysOff]]</f>
        <v>1</v>
      </c>
      <c r="M131" s="1">
        <f>MAX(-16, MIN(16, Games[[#This Row],[RestDiff]]*8))</f>
        <v>-8</v>
      </c>
      <c r="N131" s="1">
        <f>MAX(-16, MIN(16, Games[[#This Row],[OppRestDiff]]*8))</f>
        <v>8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1662.5294439607119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1364.6842721129437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0.89148247490771459</v>
      </c>
      <c r="R131" s="1">
        <v>93</v>
      </c>
      <c r="S131" s="1">
        <v>88</v>
      </c>
      <c r="T131" s="1">
        <v>0</v>
      </c>
      <c r="U131" s="1">
        <f>Games[[#This Row],[PointsFor]]-Games[[#This Row],[PointsAgainst]]</f>
        <v>5</v>
      </c>
      <c r="V131" s="1">
        <f>IF(Games[[#This Row],[MOV]]&gt;0,1,IF(Games[[#This Row],[MOV]]=0,0.5,0))</f>
        <v>1</v>
      </c>
      <c r="W131" s="4">
        <f>((ABS(Games[[#This Row],[MOV]])+5)^0.6)/(12+0.01*(ABS(Games[[#This Row],[PreGmRate]]-Games[[#This Row],[OppPreGmRate]])))*IF(Games[[#This Row],[OT]]=1,0.9,1)</f>
        <v>0.26578659666298171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1" s="9">
        <f>MAX(kmin, kmax - 0.15 * MIN(Games[[#This Row],[GamesPlayed]], 82))</f>
        <v>74.05</v>
      </c>
      <c r="Z131" s="4">
        <f>Games[[#This Row],[K]]*Games[[#This Row],[POMult]]</f>
        <v>74.05</v>
      </c>
      <c r="AA131" s="4">
        <f>(Games[[#This Row],[Keff]]*Games[[#This Row],[MOVMult]])*(Games[[#This Row],[Result]]-Games[[#This Row],[ExpectedWin%]])</f>
        <v>2.1357873969536794</v>
      </c>
      <c r="AB131" s="4">
        <f>Games[[#This Row],[PreGmRate]]+Games[[#This Row],[RatingChange]]</f>
        <v>1664.6652313576656</v>
      </c>
      <c r="AC131" s="2">
        <f>IF(Games[[#This Row],[Type]]="R",IF(Games[[#This Row],[Result]]&gt;0.5,1,0),0)</f>
        <v>1</v>
      </c>
      <c r="AD131" s="2">
        <f>IF(Games[[#This Row],[Type]]="R",IF(Games[[#This Row],[Result]]&lt;0.5,1,0),0)</f>
        <v>0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45453</v>
      </c>
      <c r="B132" s="2">
        <v>2024</v>
      </c>
      <c r="C132" s="2">
        <f>COUNTIFS(Games[Team],Games[[#This Row],[Team]],Games[Season],Games[[#This Row],[Season]],Games[Date],"&lt;=" &amp; Games[[#This Row],[Date]])</f>
        <v>13</v>
      </c>
      <c r="D132" s="2" t="s">
        <v>79</v>
      </c>
      <c r="E132" s="2" t="s">
        <v>80</v>
      </c>
      <c r="F132" s="1" t="s">
        <v>69</v>
      </c>
      <c r="G132" s="1" t="s">
        <v>74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2" s="2">
        <f>Games[[#This Row],[DaysOff]]-Games[[#This Row],[OppDaysOff]]</f>
        <v>1</v>
      </c>
      <c r="L132" s="2">
        <f>Games[[#This Row],[OppDaysOff]]-Games[[#This Row],[DaysOff]]</f>
        <v>-1</v>
      </c>
      <c r="M132" s="1">
        <f>MAX(-16, MIN(16, Games[[#This Row],[RestDiff]]*8))</f>
        <v>8</v>
      </c>
      <c r="N132" s="1">
        <f>MAX(-16, MIN(16, Games[[#This Row],[OppRestDiff]]*8))</f>
        <v>-8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1379.874647349385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1610.8897519940685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0.15170774122229697</v>
      </c>
      <c r="R132" s="1">
        <v>72</v>
      </c>
      <c r="S132" s="1">
        <v>89</v>
      </c>
      <c r="T132" s="1">
        <v>0</v>
      </c>
      <c r="U132" s="1">
        <f>Games[[#This Row],[PointsFor]]-Games[[#This Row],[PointsAgainst]]</f>
        <v>-17</v>
      </c>
      <c r="V132" s="1">
        <f>IF(Games[[#This Row],[MOV]]&gt;0,1,IF(Games[[#This Row],[MOV]]=0,0.5,0))</f>
        <v>0</v>
      </c>
      <c r="W132" s="4">
        <f>((ABS(Games[[#This Row],[MOV]])+5)^0.6)/(12+0.01*(ABS(Games[[#This Row],[PreGmRate]]-Games[[#This Row],[OppPreGmRate]])))*IF(Games[[#This Row],[OT]]=1,0.9,1)</f>
        <v>0.44648758830329832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2" s="9">
        <f>MAX(kmin, kmax - 0.15 * MIN(Games[[#This Row],[GamesPlayed]], 82))</f>
        <v>74.05</v>
      </c>
      <c r="Z132" s="4">
        <f>Games[[#This Row],[K]]*Games[[#This Row],[POMult]]</f>
        <v>74.05</v>
      </c>
      <c r="AA132" s="4">
        <f>(Games[[#This Row],[Keff]]*Games[[#This Row],[MOVMult]])*(Games[[#This Row],[Result]]-Games[[#This Row],[ExpectedWin%]])</f>
        <v>-5.0158229205662979</v>
      </c>
      <c r="AB132" s="4">
        <f>Games[[#This Row],[PreGmRate]]+Games[[#This Row],[RatingChange]]</f>
        <v>1374.8588244288187</v>
      </c>
      <c r="AC132" s="2">
        <f>IF(Games[[#This Row],[Type]]="R",IF(Games[[#This Row],[Result]]&gt;0.5,1,0),0)</f>
        <v>0</v>
      </c>
      <c r="AD132" s="2">
        <f>IF(Games[[#This Row],[Type]]="R",IF(Games[[#This Row],[Result]]&lt;0.5,1,0),0)</f>
        <v>1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45453</v>
      </c>
      <c r="B133" s="2">
        <v>2024</v>
      </c>
      <c r="C133" s="2">
        <f>COUNTIFS(Games[Team],Games[[#This Row],[Team]],Games[Season],Games[[#This Row],[Season]],Games[Date],"&lt;=" &amp; Games[[#This Row],[Date]])</f>
        <v>11</v>
      </c>
      <c r="D133" s="2" t="s">
        <v>79</v>
      </c>
      <c r="E133" s="2" t="s">
        <v>80</v>
      </c>
      <c r="F133" s="1" t="s">
        <v>74</v>
      </c>
      <c r="G133" s="1" t="s">
        <v>69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3" s="2">
        <f>Games[[#This Row],[DaysOff]]-Games[[#This Row],[OppDaysOff]]</f>
        <v>-1</v>
      </c>
      <c r="L133" s="2">
        <f>Games[[#This Row],[OppDaysOff]]-Games[[#This Row],[DaysOff]]</f>
        <v>1</v>
      </c>
      <c r="M133" s="1">
        <f>MAX(-16, MIN(16, Games[[#This Row],[RestDiff]]*8))</f>
        <v>-8</v>
      </c>
      <c r="N133" s="1">
        <f>MAX(-16, MIN(16, Games[[#This Row],[OppRestDiff]]*8))</f>
        <v>8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1610.8897519940685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1379.874647349385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0.84829225877770298</v>
      </c>
      <c r="R133" s="1">
        <v>89</v>
      </c>
      <c r="S133" s="1">
        <v>72</v>
      </c>
      <c r="T133" s="1">
        <v>0</v>
      </c>
      <c r="U133" s="1">
        <f>Games[[#This Row],[PointsFor]]-Games[[#This Row],[PointsAgainst]]</f>
        <v>17</v>
      </c>
      <c r="V133" s="1">
        <f>IF(Games[[#This Row],[MOV]]&gt;0,1,IF(Games[[#This Row],[MOV]]=0,0.5,0))</f>
        <v>1</v>
      </c>
      <c r="W133" s="4">
        <f>((ABS(Games[[#This Row],[MOV]])+5)^0.6)/(12+0.01*(ABS(Games[[#This Row],[PreGmRate]]-Games[[#This Row],[OppPreGmRate]])))*IF(Games[[#This Row],[OT]]=1,0.9,1)</f>
        <v>0.44648758830329832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3" s="9">
        <f>MAX(kmin, kmax - 0.15 * MIN(Games[[#This Row],[GamesPlayed]], 82))</f>
        <v>74.349999999999994</v>
      </c>
      <c r="Z133" s="4">
        <f>Games[[#This Row],[K]]*Games[[#This Row],[POMult]]</f>
        <v>74.349999999999994</v>
      </c>
      <c r="AA133" s="4">
        <f>(Games[[#This Row],[Keff]]*Games[[#This Row],[MOVMult]])*(Games[[#This Row],[Result]]-Games[[#This Row],[ExpectedWin%]])</f>
        <v>5.0361436076178849</v>
      </c>
      <c r="AB133" s="4">
        <f>Games[[#This Row],[PreGmRate]]+Games[[#This Row],[RatingChange]]</f>
        <v>1615.9258956016865</v>
      </c>
      <c r="AC133" s="2">
        <f>IF(Games[[#This Row],[Type]]="R",IF(Games[[#This Row],[Result]]&gt;0.5,1,0),0)</f>
        <v>1</v>
      </c>
      <c r="AD133" s="2">
        <f>IF(Games[[#This Row],[Type]]="R",IF(Games[[#This Row],[Result]]&lt;0.5,1,0),0)</f>
        <v>0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45454</v>
      </c>
      <c r="B134" s="2">
        <v>2024</v>
      </c>
      <c r="C134" s="2">
        <f>COUNTIFS(Games[Team],Games[[#This Row],[Team]],Games[Season],Games[[#This Row],[Season]],Games[Date],"&lt;=" &amp; Games[[#This Row],[Date]])</f>
        <v>13</v>
      </c>
      <c r="D134" s="2" t="s">
        <v>79</v>
      </c>
      <c r="E134" s="2" t="s">
        <v>80</v>
      </c>
      <c r="F134" s="1" t="s">
        <v>65</v>
      </c>
      <c r="G134" s="1" t="s">
        <v>77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4" s="2">
        <f>Games[[#This Row],[DaysOff]]-Games[[#This Row],[OppDaysOff]]</f>
        <v>-1</v>
      </c>
      <c r="L134" s="2">
        <f>Games[[#This Row],[OppDaysOff]]-Games[[#This Row],[DaysOff]]</f>
        <v>1</v>
      </c>
      <c r="M134" s="1">
        <f>MAX(-16, MIN(16, Games[[#This Row],[RestDiff]]*8))</f>
        <v>-8</v>
      </c>
      <c r="N134" s="1">
        <f>MAX(-16, MIN(16, Games[[#This Row],[OppRestDiff]]*8))</f>
        <v>8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1362.5441583404393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1480.6975967942938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0.2216991025595702</v>
      </c>
      <c r="R134" s="1">
        <v>87</v>
      </c>
      <c r="S134" s="1">
        <v>68</v>
      </c>
      <c r="T134" s="1">
        <v>0</v>
      </c>
      <c r="U134" s="1">
        <f>Games[[#This Row],[PointsFor]]-Games[[#This Row],[PointsAgainst]]</f>
        <v>19</v>
      </c>
      <c r="V134" s="1">
        <f>IF(Games[[#This Row],[MOV]]&gt;0,1,IF(Games[[#This Row],[MOV]]=0,0.5,0))</f>
        <v>1</v>
      </c>
      <c r="W134" s="4">
        <f>((ABS(Games[[#This Row],[MOV]])+5)^0.6)/(12+0.01*(ABS(Games[[#This Row],[PreGmRate]]-Games[[#This Row],[OppPreGmRate]])))*IF(Games[[#This Row],[OT]]=1,0.9,1)</f>
        <v>0.51069402668123898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4" s="9">
        <f>MAX(kmin, kmax - 0.15 * MIN(Games[[#This Row],[GamesPlayed]], 82))</f>
        <v>74.05</v>
      </c>
      <c r="Z134" s="4">
        <f>Games[[#This Row],[K]]*Games[[#This Row],[POMult]]</f>
        <v>74.05</v>
      </c>
      <c r="AA134" s="4">
        <f>(Games[[#This Row],[Keff]]*Games[[#This Row],[MOVMult]])*(Games[[#This Row],[Result]]-Games[[#This Row],[ExpectedWin%]])</f>
        <v>29.432921507941323</v>
      </c>
      <c r="AB134" s="4">
        <f>Games[[#This Row],[PreGmRate]]+Games[[#This Row],[RatingChange]]</f>
        <v>1391.9770798483805</v>
      </c>
      <c r="AC134" s="2">
        <f>IF(Games[[#This Row],[Type]]="R",IF(Games[[#This Row],[Result]]&gt;0.5,1,0),0)</f>
        <v>1</v>
      </c>
      <c r="AD134" s="2">
        <f>IF(Games[[#This Row],[Type]]="R",IF(Games[[#This Row],[Result]]&lt;0.5,1,0),0)</f>
        <v>0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45454</v>
      </c>
      <c r="B135" s="2">
        <v>2024</v>
      </c>
      <c r="C135" s="2">
        <f>COUNTIFS(Games[Team],Games[[#This Row],[Team]],Games[Season],Games[[#This Row],[Season]],Games[Date],"&lt;=" &amp; Games[[#This Row],[Date]])</f>
        <v>10</v>
      </c>
      <c r="D135" s="2" t="s">
        <v>79</v>
      </c>
      <c r="E135" s="2" t="s">
        <v>80</v>
      </c>
      <c r="F135" s="1" t="s">
        <v>77</v>
      </c>
      <c r="G135" s="1" t="s">
        <v>65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5" s="2">
        <f>Games[[#This Row],[DaysOff]]-Games[[#This Row],[OppDaysOff]]</f>
        <v>1</v>
      </c>
      <c r="L135" s="2">
        <f>Games[[#This Row],[OppDaysOff]]-Games[[#This Row],[DaysOff]]</f>
        <v>-1</v>
      </c>
      <c r="M135" s="1">
        <f>MAX(-16, MIN(16, Games[[#This Row],[RestDiff]]*8))</f>
        <v>8</v>
      </c>
      <c r="N135" s="1">
        <f>MAX(-16, MIN(16, Games[[#This Row],[OppRestDiff]]*8))</f>
        <v>-8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1480.6975967942938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1362.5441583404393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0.77830089744042985</v>
      </c>
      <c r="R135" s="1">
        <v>68</v>
      </c>
      <c r="S135" s="1">
        <v>87</v>
      </c>
      <c r="T135" s="1">
        <v>0</v>
      </c>
      <c r="U135" s="1">
        <f>Games[[#This Row],[PointsFor]]-Games[[#This Row],[PointsAgainst]]</f>
        <v>-19</v>
      </c>
      <c r="V135" s="1">
        <f>IF(Games[[#This Row],[MOV]]&gt;0,1,IF(Games[[#This Row],[MOV]]=0,0.5,0))</f>
        <v>0</v>
      </c>
      <c r="W135" s="4">
        <f>((ABS(Games[[#This Row],[MOV]])+5)^0.6)/(12+0.01*(ABS(Games[[#This Row],[PreGmRate]]-Games[[#This Row],[OppPreGmRate]])))*IF(Games[[#This Row],[OT]]=1,0.9,1)</f>
        <v>0.51069402668123898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5" s="9">
        <f>MAX(kmin, kmax - 0.15 * MIN(Games[[#This Row],[GamesPlayed]], 82))</f>
        <v>74.5</v>
      </c>
      <c r="Z135" s="4">
        <f>Games[[#This Row],[K]]*Games[[#This Row],[POMult]]</f>
        <v>74.5</v>
      </c>
      <c r="AA135" s="4">
        <f>(Games[[#This Row],[Keff]]*Games[[#This Row],[MOVMult]])*(Games[[#This Row],[Result]]-Games[[#This Row],[ExpectedWin%]])</f>
        <v>-29.6117846366189</v>
      </c>
      <c r="AB135" s="4">
        <f>Games[[#This Row],[PreGmRate]]+Games[[#This Row],[RatingChange]]</f>
        <v>1451.0858121576748</v>
      </c>
      <c r="AC135" s="2">
        <f>IF(Games[[#This Row],[Type]]="R",IF(Games[[#This Row],[Result]]&gt;0.5,1,0),0)</f>
        <v>0</v>
      </c>
      <c r="AD135" s="2">
        <f>IF(Games[[#This Row],[Type]]="R",IF(Games[[#This Row],[Result]]&lt;0.5,1,0),0)</f>
        <v>1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45454</v>
      </c>
      <c r="B136" s="2">
        <v>2024</v>
      </c>
      <c r="C136" s="2">
        <f>COUNTIFS(Games[Team],Games[[#This Row],[Team]],Games[Season],Games[[#This Row],[Season]],Games[Date],"&lt;=" &amp; Games[[#This Row],[Date]])</f>
        <v>12</v>
      </c>
      <c r="D136" s="2" t="s">
        <v>79</v>
      </c>
      <c r="E136" s="2" t="s">
        <v>80</v>
      </c>
      <c r="F136" s="1" t="s">
        <v>67</v>
      </c>
      <c r="G136" s="1" t="s">
        <v>86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6" s="2">
        <f>Games[[#This Row],[DaysOff]]-Games[[#This Row],[OppDaysOff]]</f>
        <v>0</v>
      </c>
      <c r="L136" s="2">
        <f>Games[[#This Row],[OppDaysOff]]-Games[[#This Row],[DaysOff]]</f>
        <v>0</v>
      </c>
      <c r="M136" s="1">
        <f>MAX(-16, MIN(16, Games[[#This Row],[RestDiff]]*8))</f>
        <v>0</v>
      </c>
      <c r="N136" s="1">
        <f>MAX(-16, MIN(16, Games[[#This Row],[OppRestDiff]]*8))</f>
        <v>0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1567.3045246264401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1609.8773813685059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0.32549940309266184</v>
      </c>
      <c r="R136" s="1">
        <v>100</v>
      </c>
      <c r="S136" s="1">
        <v>86</v>
      </c>
      <c r="T136" s="1">
        <v>0</v>
      </c>
      <c r="U136" s="1">
        <f>Games[[#This Row],[PointsFor]]-Games[[#This Row],[PointsAgainst]]</f>
        <v>14</v>
      </c>
      <c r="V136" s="1">
        <f>IF(Games[[#This Row],[MOV]]&gt;0,1,IF(Games[[#This Row],[MOV]]=0,0.5,0))</f>
        <v>1</v>
      </c>
      <c r="W136" s="4">
        <f>((ABS(Games[[#This Row],[MOV]])+5)^0.6)/(12+0.01*(ABS(Games[[#This Row],[PreGmRate]]-Games[[#This Row],[OppPreGmRate]])))*IF(Games[[#This Row],[OT]]=1,0.9,1)</f>
        <v>0.47090174315821481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6" s="9">
        <f>MAX(kmin, kmax - 0.15 * MIN(Games[[#This Row],[GamesPlayed]], 82))</f>
        <v>74.2</v>
      </c>
      <c r="Z136" s="4">
        <f>Games[[#This Row],[K]]*Games[[#This Row],[POMult]]</f>
        <v>74.2</v>
      </c>
      <c r="AA136" s="4">
        <f>(Games[[#This Row],[Keff]]*Games[[#This Row],[MOVMult]])*(Games[[#This Row],[Result]]-Games[[#This Row],[ExpectedWin%]])</f>
        <v>23.567664207893205</v>
      </c>
      <c r="AB136" s="4">
        <f>Games[[#This Row],[PreGmRate]]+Games[[#This Row],[RatingChange]]</f>
        <v>1590.8721888343332</v>
      </c>
      <c r="AC136" s="2">
        <f>IF(Games[[#This Row],[Type]]="R",IF(Games[[#This Row],[Result]]&gt;0.5,1,0),0)</f>
        <v>1</v>
      </c>
      <c r="AD136" s="2">
        <f>IF(Games[[#This Row],[Type]]="R",IF(Games[[#This Row],[Result]]&lt;0.5,1,0),0)</f>
        <v>0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45454</v>
      </c>
      <c r="B137" s="2">
        <v>2024</v>
      </c>
      <c r="C137" s="2">
        <f>COUNTIFS(Games[Team],Games[[#This Row],[Team]],Games[Season],Games[[#This Row],[Season]],Games[Date],"&lt;=" &amp; Games[[#This Row],[Date]])</f>
        <v>10</v>
      </c>
      <c r="D137" s="2" t="s">
        <v>79</v>
      </c>
      <c r="E137" s="2" t="s">
        <v>80</v>
      </c>
      <c r="F137" s="1" t="s">
        <v>86</v>
      </c>
      <c r="G137" s="1" t="s">
        <v>67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7" s="2">
        <f>Games[[#This Row],[DaysOff]]-Games[[#This Row],[OppDaysOff]]</f>
        <v>0</v>
      </c>
      <c r="L137" s="2">
        <f>Games[[#This Row],[OppDaysOff]]-Games[[#This Row],[DaysOff]]</f>
        <v>0</v>
      </c>
      <c r="M137" s="1">
        <f>MAX(-16, MIN(16, Games[[#This Row],[RestDiff]]*8))</f>
        <v>0</v>
      </c>
      <c r="N137" s="1">
        <f>MAX(-16, MIN(16, Games[[#This Row],[OppRestDiff]]*8))</f>
        <v>0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1609.8773813685059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1567.3045246264401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0.6745005969073381</v>
      </c>
      <c r="R137" s="1">
        <v>86</v>
      </c>
      <c r="S137" s="1">
        <v>100</v>
      </c>
      <c r="T137" s="1">
        <v>0</v>
      </c>
      <c r="U137" s="1">
        <f>Games[[#This Row],[PointsFor]]-Games[[#This Row],[PointsAgainst]]</f>
        <v>-14</v>
      </c>
      <c r="V137" s="1">
        <f>IF(Games[[#This Row],[MOV]]&gt;0,1,IF(Games[[#This Row],[MOV]]=0,0.5,0))</f>
        <v>0</v>
      </c>
      <c r="W137" s="4">
        <f>((ABS(Games[[#This Row],[MOV]])+5)^0.6)/(12+0.01*(ABS(Games[[#This Row],[PreGmRate]]-Games[[#This Row],[OppPreGmRate]])))*IF(Games[[#This Row],[OT]]=1,0.9,1)</f>
        <v>0.47090174315821481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7" s="9">
        <f>MAX(kmin, kmax - 0.15 * MIN(Games[[#This Row],[GamesPlayed]], 82))</f>
        <v>74.5</v>
      </c>
      <c r="Z137" s="4">
        <f>Games[[#This Row],[K]]*Games[[#This Row],[POMult]]</f>
        <v>74.5</v>
      </c>
      <c r="AA137" s="4">
        <f>(Games[[#This Row],[Keff]]*Games[[#This Row],[MOVMult]])*(Games[[#This Row],[Result]]-Games[[#This Row],[ExpectedWin%]])</f>
        <v>-23.662951259946681</v>
      </c>
      <c r="AB137" s="4">
        <f>Games[[#This Row],[PreGmRate]]+Games[[#This Row],[RatingChange]]</f>
        <v>1586.2144301085591</v>
      </c>
      <c r="AC137" s="2">
        <f>IF(Games[[#This Row],[Type]]="R",IF(Games[[#This Row],[Result]]&gt;0.5,1,0),0)</f>
        <v>0</v>
      </c>
      <c r="AD137" s="2">
        <f>IF(Games[[#This Row],[Type]]="R",IF(Games[[#This Row],[Result]]&lt;0.5,1,0),0)</f>
        <v>1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45454</v>
      </c>
      <c r="B138" s="2">
        <v>2024</v>
      </c>
      <c r="C138" s="2">
        <f>COUNTIFS(Games[Team],Games[[#This Row],[Team]],Games[Season],Games[[#This Row],[Season]],Games[Date],"&lt;=" &amp; Games[[#This Row],[Date]])</f>
        <v>12</v>
      </c>
      <c r="D138" s="2" t="s">
        <v>79</v>
      </c>
      <c r="E138" s="2" t="s">
        <v>80</v>
      </c>
      <c r="F138" s="1" t="s">
        <v>63</v>
      </c>
      <c r="G138" s="1" t="s">
        <v>71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8" s="2">
        <f>Games[[#This Row],[DaysOff]]-Games[[#This Row],[OppDaysOff]]</f>
        <v>0</v>
      </c>
      <c r="L138" s="2">
        <f>Games[[#This Row],[OppDaysOff]]-Games[[#This Row],[DaysOff]]</f>
        <v>0</v>
      </c>
      <c r="M138" s="1">
        <f>MAX(-16, MIN(16, Games[[#This Row],[RestDiff]]*8))</f>
        <v>0</v>
      </c>
      <c r="N138" s="1">
        <f>MAX(-16, MIN(16, Games[[#This Row],[OppRestDiff]]*8))</f>
        <v>0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1425.2262599394098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1515.1945838501986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0.2686579674075884</v>
      </c>
      <c r="R138" s="1">
        <v>79</v>
      </c>
      <c r="S138" s="1">
        <v>95</v>
      </c>
      <c r="T138" s="1">
        <v>0</v>
      </c>
      <c r="U138" s="1">
        <f>Games[[#This Row],[PointsFor]]-Games[[#This Row],[PointsAgainst]]</f>
        <v>-16</v>
      </c>
      <c r="V138" s="1">
        <f>IF(Games[[#This Row],[MOV]]&gt;0,1,IF(Games[[#This Row],[MOV]]=0,0.5,0))</f>
        <v>0</v>
      </c>
      <c r="W138" s="4">
        <f>((ABS(Games[[#This Row],[MOV]])+5)^0.6)/(12+0.01*(ABS(Games[[#This Row],[PreGmRate]]-Games[[#This Row],[OppPreGmRate]])))*IF(Games[[#This Row],[OT]]=1,0.9,1)</f>
        <v>0.48167325291550722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8" s="9">
        <f>MAX(kmin, kmax - 0.15 * MIN(Games[[#This Row],[GamesPlayed]], 82))</f>
        <v>74.2</v>
      </c>
      <c r="Z138" s="4">
        <f>Games[[#This Row],[K]]*Games[[#This Row],[POMult]]</f>
        <v>74.2</v>
      </c>
      <c r="AA138" s="4">
        <f>(Games[[#This Row],[Keff]]*Games[[#This Row],[MOVMult]])*(Games[[#This Row],[Result]]-Games[[#This Row],[ExpectedWin%]])</f>
        <v>-9.6018774955498021</v>
      </c>
      <c r="AB138" s="4">
        <f>Games[[#This Row],[PreGmRate]]+Games[[#This Row],[RatingChange]]</f>
        <v>1415.62438244386</v>
      </c>
      <c r="AC138" s="2">
        <f>IF(Games[[#This Row],[Type]]="R",IF(Games[[#This Row],[Result]]&gt;0.5,1,0),0)</f>
        <v>0</v>
      </c>
      <c r="AD138" s="2">
        <f>IF(Games[[#This Row],[Type]]="R",IF(Games[[#This Row],[Result]]&lt;0.5,1,0),0)</f>
        <v>1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45454</v>
      </c>
      <c r="B139" s="2">
        <v>2024</v>
      </c>
      <c r="C139" s="2">
        <f>COUNTIFS(Games[Team],Games[[#This Row],[Team]],Games[Season],Games[[#This Row],[Season]],Games[Date],"&lt;=" &amp; Games[[#This Row],[Date]])</f>
        <v>12</v>
      </c>
      <c r="D139" s="2" t="s">
        <v>79</v>
      </c>
      <c r="E139" s="2" t="s">
        <v>80</v>
      </c>
      <c r="F139" s="1" t="s">
        <v>71</v>
      </c>
      <c r="G139" s="1" t="s">
        <v>63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9" s="2">
        <f>Games[[#This Row],[DaysOff]]-Games[[#This Row],[OppDaysOff]]</f>
        <v>0</v>
      </c>
      <c r="L139" s="2">
        <f>Games[[#This Row],[OppDaysOff]]-Games[[#This Row],[DaysOff]]</f>
        <v>0</v>
      </c>
      <c r="M139" s="1">
        <f>MAX(-16, MIN(16, Games[[#This Row],[RestDiff]]*8))</f>
        <v>0</v>
      </c>
      <c r="N139" s="1">
        <f>MAX(-16, MIN(16, Games[[#This Row],[OppRestDiff]]*8))</f>
        <v>0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1515.1945838501986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1425.2262599394098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0.7313420325924116</v>
      </c>
      <c r="R139" s="1">
        <v>95</v>
      </c>
      <c r="S139" s="1">
        <v>79</v>
      </c>
      <c r="T139" s="1">
        <v>0</v>
      </c>
      <c r="U139" s="1">
        <f>Games[[#This Row],[PointsFor]]-Games[[#This Row],[PointsAgainst]]</f>
        <v>16</v>
      </c>
      <c r="V139" s="1">
        <f>IF(Games[[#This Row],[MOV]]&gt;0,1,IF(Games[[#This Row],[MOV]]=0,0.5,0))</f>
        <v>1</v>
      </c>
      <c r="W139" s="4">
        <f>((ABS(Games[[#This Row],[MOV]])+5)^0.6)/(12+0.01*(ABS(Games[[#This Row],[PreGmRate]]-Games[[#This Row],[OppPreGmRate]])))*IF(Games[[#This Row],[OT]]=1,0.9,1)</f>
        <v>0.48167325291550722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9" s="9">
        <f>MAX(kmin, kmax - 0.15 * MIN(Games[[#This Row],[GamesPlayed]], 82))</f>
        <v>74.2</v>
      </c>
      <c r="Z139" s="4">
        <f>Games[[#This Row],[K]]*Games[[#This Row],[POMult]]</f>
        <v>74.2</v>
      </c>
      <c r="AA139" s="4">
        <f>(Games[[#This Row],[Keff]]*Games[[#This Row],[MOVMult]])*(Games[[#This Row],[Result]]-Games[[#This Row],[ExpectedWin%]])</f>
        <v>9.6018774955498021</v>
      </c>
      <c r="AB139" s="4">
        <f>Games[[#This Row],[PreGmRate]]+Games[[#This Row],[RatingChange]]</f>
        <v>1524.7964613457484</v>
      </c>
      <c r="AC139" s="2">
        <f>IF(Games[[#This Row],[Type]]="R",IF(Games[[#This Row],[Result]]&gt;0.5,1,0),0)</f>
        <v>1</v>
      </c>
      <c r="AD139" s="2">
        <f>IF(Games[[#This Row],[Type]]="R",IF(Games[[#This Row],[Result]]&lt;0.5,1,0),0)</f>
        <v>0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45455</v>
      </c>
      <c r="B140" s="2">
        <v>2024</v>
      </c>
      <c r="C140" s="2">
        <f>COUNTIFS(Games[Team],Games[[#This Row],[Team]],Games[Season],Games[[#This Row],[Season]],Games[Date],"&lt;=" &amp; Games[[#This Row],[Date]])</f>
        <v>12</v>
      </c>
      <c r="D140" s="2" t="s">
        <v>79</v>
      </c>
      <c r="E140" s="2" t="s">
        <v>80</v>
      </c>
      <c r="F140" s="1" t="s">
        <v>74</v>
      </c>
      <c r="G140" s="1" t="s">
        <v>75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0" s="2">
        <f>Games[[#This Row],[DaysOff]]-Games[[#This Row],[OppDaysOff]]</f>
        <v>-2</v>
      </c>
      <c r="L140" s="2">
        <f>Games[[#This Row],[OppDaysOff]]-Games[[#This Row],[DaysOff]]</f>
        <v>2</v>
      </c>
      <c r="M140" s="1">
        <f>MAX(-16, MIN(16, Games[[#This Row],[RestDiff]]*8))</f>
        <v>-16</v>
      </c>
      <c r="N140" s="1">
        <f>MAX(-16, MIN(16, Games[[#This Row],[OppRestDiff]]*8))</f>
        <v>16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1615.9258956016865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1476.2826356949172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0.53397296043475195</v>
      </c>
      <c r="R140" s="1">
        <v>83</v>
      </c>
      <c r="S140" s="1">
        <v>75</v>
      </c>
      <c r="T140" s="1">
        <v>0</v>
      </c>
      <c r="U140" s="1">
        <f>Games[[#This Row],[PointsFor]]-Games[[#This Row],[PointsAgainst]]</f>
        <v>8</v>
      </c>
      <c r="V140" s="1">
        <f>IF(Games[[#This Row],[MOV]]&gt;0,1,IF(Games[[#This Row],[MOV]]=0,0.5,0))</f>
        <v>1</v>
      </c>
      <c r="W140" s="4">
        <f>((ABS(Games[[#This Row],[MOV]])+5)^0.6)/(12+0.01*(ABS(Games[[#This Row],[PreGmRate]]-Games[[#This Row],[OppPreGmRate]])))*IF(Games[[#This Row],[OT]]=1,0.9,1)</f>
        <v>0.34783785799514694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0" s="9">
        <f>MAX(kmin, kmax - 0.15 * MIN(Games[[#This Row],[GamesPlayed]], 82))</f>
        <v>74.2</v>
      </c>
      <c r="Z140" s="4">
        <f>Games[[#This Row],[K]]*Games[[#This Row],[POMult]]</f>
        <v>74.2</v>
      </c>
      <c r="AA140" s="4">
        <f>(Games[[#This Row],[Keff]]*Games[[#This Row],[MOVMult]])*(Games[[#This Row],[Result]]-Games[[#This Row],[ExpectedWin%]])</f>
        <v>12.027957062996505</v>
      </c>
      <c r="AB140" s="4">
        <f>Games[[#This Row],[PreGmRate]]+Games[[#This Row],[RatingChange]]</f>
        <v>1627.9538526646829</v>
      </c>
      <c r="AC140" s="2">
        <f>IF(Games[[#This Row],[Type]]="R",IF(Games[[#This Row],[Result]]&gt;0.5,1,0),0)</f>
        <v>1</v>
      </c>
      <c r="AD140" s="2">
        <f>IF(Games[[#This Row],[Type]]="R",IF(Games[[#This Row],[Result]]&lt;0.5,1,0),0)</f>
        <v>0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45455</v>
      </c>
      <c r="B141" s="2">
        <v>2024</v>
      </c>
      <c r="C141" s="2">
        <f>COUNTIFS(Games[Team],Games[[#This Row],[Team]],Games[Season],Games[[#This Row],[Season]],Games[Date],"&lt;=" &amp; Games[[#This Row],[Date]])</f>
        <v>11</v>
      </c>
      <c r="D141" s="2" t="s">
        <v>79</v>
      </c>
      <c r="E141" s="2" t="s">
        <v>80</v>
      </c>
      <c r="F141" s="1" t="s">
        <v>75</v>
      </c>
      <c r="G141" s="1" t="s">
        <v>74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1" s="2">
        <f>Games[[#This Row],[DaysOff]]-Games[[#This Row],[OppDaysOff]]</f>
        <v>2</v>
      </c>
      <c r="L141" s="2">
        <f>Games[[#This Row],[OppDaysOff]]-Games[[#This Row],[DaysOff]]</f>
        <v>-2</v>
      </c>
      <c r="M141" s="1">
        <f>MAX(-16, MIN(16, Games[[#This Row],[RestDiff]]*8))</f>
        <v>16</v>
      </c>
      <c r="N141" s="1">
        <f>MAX(-16, MIN(16, Games[[#This Row],[OppRestDiff]]*8))</f>
        <v>-16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1476.2826356949172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1615.9258956016865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0.46602703956524805</v>
      </c>
      <c r="R141" s="1">
        <v>75</v>
      </c>
      <c r="S141" s="1">
        <v>83</v>
      </c>
      <c r="T141" s="1">
        <v>0</v>
      </c>
      <c r="U141" s="1">
        <f>Games[[#This Row],[PointsFor]]-Games[[#This Row],[PointsAgainst]]</f>
        <v>-8</v>
      </c>
      <c r="V141" s="1">
        <f>IF(Games[[#This Row],[MOV]]&gt;0,1,IF(Games[[#This Row],[MOV]]=0,0.5,0))</f>
        <v>0</v>
      </c>
      <c r="W141" s="4">
        <f>((ABS(Games[[#This Row],[MOV]])+5)^0.6)/(12+0.01*(ABS(Games[[#This Row],[PreGmRate]]-Games[[#This Row],[OppPreGmRate]])))*IF(Games[[#This Row],[OT]]=1,0.9,1)</f>
        <v>0.34783785799514694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1" s="9">
        <f>MAX(kmin, kmax - 0.15 * MIN(Games[[#This Row],[GamesPlayed]], 82))</f>
        <v>74.349999999999994</v>
      </c>
      <c r="Z141" s="4">
        <f>Games[[#This Row],[K]]*Games[[#This Row],[POMult]]</f>
        <v>74.349999999999994</v>
      </c>
      <c r="AA141" s="4">
        <f>(Games[[#This Row],[Keff]]*Games[[#This Row],[MOVMult]])*(Games[[#This Row],[Result]]-Games[[#This Row],[ExpectedWin%]])</f>
        <v>-12.052272340078032</v>
      </c>
      <c r="AB141" s="4">
        <f>Games[[#This Row],[PreGmRate]]+Games[[#This Row],[RatingChange]]</f>
        <v>1464.2303633548393</v>
      </c>
      <c r="AC141" s="2">
        <f>IF(Games[[#This Row],[Type]]="R",IF(Games[[#This Row],[Result]]&gt;0.5,1,0),0)</f>
        <v>0</v>
      </c>
      <c r="AD141" s="2">
        <f>IF(Games[[#This Row],[Type]]="R",IF(Games[[#This Row],[Result]]&lt;0.5,1,0),0)</f>
        <v>1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45456</v>
      </c>
      <c r="B142" s="2">
        <v>2024</v>
      </c>
      <c r="C142" s="2">
        <f>COUNTIFS(Games[Team],Games[[#This Row],[Team]],Games[Season],Games[[#This Row],[Season]],Games[Date],"&lt;=" &amp; Games[[#This Row],[Date]])</f>
        <v>13</v>
      </c>
      <c r="D142" s="2" t="s">
        <v>79</v>
      </c>
      <c r="E142" s="2" t="s">
        <v>80</v>
      </c>
      <c r="F142" s="1" t="s">
        <v>71</v>
      </c>
      <c r="G142" s="1" t="s">
        <v>85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2" s="2">
        <f>Games[[#This Row],[DaysOff]]-Games[[#This Row],[OppDaysOff]]</f>
        <v>-2</v>
      </c>
      <c r="L142" s="2">
        <f>Games[[#This Row],[OppDaysOff]]-Games[[#This Row],[DaysOff]]</f>
        <v>2</v>
      </c>
      <c r="M142" s="1">
        <f>MAX(-16, MIN(16, Games[[#This Row],[RestDiff]]*8))</f>
        <v>-16</v>
      </c>
      <c r="N142" s="1">
        <f>MAX(-16, MIN(16, Games[[#This Row],[OppRestDiff]]*8))</f>
        <v>16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1524.7964613457484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1471.8327580931591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0.41026594312785625</v>
      </c>
      <c r="R142" s="1">
        <v>92</v>
      </c>
      <c r="S142" s="1">
        <v>84</v>
      </c>
      <c r="T142" s="1">
        <v>0</v>
      </c>
      <c r="U142" s="1">
        <f>Games[[#This Row],[PointsFor]]-Games[[#This Row],[PointsAgainst]]</f>
        <v>8</v>
      </c>
      <c r="V142" s="1">
        <f>IF(Games[[#This Row],[MOV]]&gt;0,1,IF(Games[[#This Row],[MOV]]=0,0.5,0))</f>
        <v>1</v>
      </c>
      <c r="W142" s="4">
        <f>((ABS(Games[[#This Row],[MOV]])+5)^0.6)/(12+0.01*(ABS(Games[[#This Row],[PreGmRate]]-Games[[#This Row],[OppPreGmRate]])))*IF(Games[[#This Row],[OT]]=1,0.9,1)</f>
        <v>0.37190114988484096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2" s="9">
        <f>MAX(kmin, kmax - 0.15 * MIN(Games[[#This Row],[GamesPlayed]], 82))</f>
        <v>74.05</v>
      </c>
      <c r="Z142" s="4">
        <f>Games[[#This Row],[K]]*Games[[#This Row],[POMult]]</f>
        <v>74.05</v>
      </c>
      <c r="AA142" s="4">
        <f>(Games[[#This Row],[Keff]]*Games[[#This Row],[MOVMult]])*(Games[[#This Row],[Result]]-Games[[#This Row],[ExpectedWin%]])</f>
        <v>16.240851405592032</v>
      </c>
      <c r="AB142" s="4">
        <f>Games[[#This Row],[PreGmRate]]+Games[[#This Row],[RatingChange]]</f>
        <v>1541.0373127513406</v>
      </c>
      <c r="AC142" s="2">
        <f>IF(Games[[#This Row],[Type]]="R",IF(Games[[#This Row],[Result]]&gt;0.5,1,0),0)</f>
        <v>1</v>
      </c>
      <c r="AD142" s="2">
        <f>IF(Games[[#This Row],[Type]]="R",IF(Games[[#This Row],[Result]]&lt;0.5,1,0),0)</f>
        <v>0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45456</v>
      </c>
      <c r="B143" s="2">
        <v>2024</v>
      </c>
      <c r="C143" s="2">
        <f>COUNTIFS(Games[Team],Games[[#This Row],[Team]],Games[Season],Games[[#This Row],[Season]],Games[Date],"&lt;=" &amp; Games[[#This Row],[Date]])</f>
        <v>11</v>
      </c>
      <c r="D143" s="2" t="s">
        <v>79</v>
      </c>
      <c r="E143" s="2" t="s">
        <v>80</v>
      </c>
      <c r="F143" s="1" t="s">
        <v>85</v>
      </c>
      <c r="G143" s="1" t="s">
        <v>71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3" s="2">
        <f>Games[[#This Row],[DaysOff]]-Games[[#This Row],[OppDaysOff]]</f>
        <v>2</v>
      </c>
      <c r="L143" s="2">
        <f>Games[[#This Row],[OppDaysOff]]-Games[[#This Row],[DaysOff]]</f>
        <v>-2</v>
      </c>
      <c r="M143" s="1">
        <f>MAX(-16, MIN(16, Games[[#This Row],[RestDiff]]*8))</f>
        <v>16</v>
      </c>
      <c r="N143" s="1">
        <f>MAX(-16, MIN(16, Games[[#This Row],[OppRestDiff]]*8))</f>
        <v>-16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1471.8327580931591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1524.7964613457484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0.58973405687214375</v>
      </c>
      <c r="R143" s="1">
        <v>84</v>
      </c>
      <c r="S143" s="1">
        <v>92</v>
      </c>
      <c r="T143" s="1">
        <v>0</v>
      </c>
      <c r="U143" s="1">
        <f>Games[[#This Row],[PointsFor]]-Games[[#This Row],[PointsAgainst]]</f>
        <v>-8</v>
      </c>
      <c r="V143" s="1">
        <f>IF(Games[[#This Row],[MOV]]&gt;0,1,IF(Games[[#This Row],[MOV]]=0,0.5,0))</f>
        <v>0</v>
      </c>
      <c r="W143" s="4">
        <f>((ABS(Games[[#This Row],[MOV]])+5)^0.6)/(12+0.01*(ABS(Games[[#This Row],[PreGmRate]]-Games[[#This Row],[OppPreGmRate]])))*IF(Games[[#This Row],[OT]]=1,0.9,1)</f>
        <v>0.37190114988484096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3" s="9">
        <f>MAX(kmin, kmax - 0.15 * MIN(Games[[#This Row],[GamesPlayed]], 82))</f>
        <v>74.349999999999994</v>
      </c>
      <c r="Z143" s="4">
        <f>Games[[#This Row],[K]]*Games[[#This Row],[POMult]]</f>
        <v>74.349999999999994</v>
      </c>
      <c r="AA143" s="4">
        <f>(Games[[#This Row],[Keff]]*Games[[#This Row],[MOVMult]])*(Games[[#This Row],[Result]]-Games[[#This Row],[ExpectedWin%]])</f>
        <v>-16.30664823775513</v>
      </c>
      <c r="AB143" s="4">
        <f>Games[[#This Row],[PreGmRate]]+Games[[#This Row],[RatingChange]]</f>
        <v>1455.526109855404</v>
      </c>
      <c r="AC143" s="2">
        <f>IF(Games[[#This Row],[Type]]="R",IF(Games[[#This Row],[Result]]&gt;0.5,1,0),0)</f>
        <v>0</v>
      </c>
      <c r="AD143" s="2">
        <f>IF(Games[[#This Row],[Type]]="R",IF(Games[[#This Row],[Result]]&lt;0.5,1,0),0)</f>
        <v>1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45456</v>
      </c>
      <c r="B144" s="2">
        <v>2024</v>
      </c>
      <c r="C144" s="2">
        <f>COUNTIFS(Games[Team],Games[[#This Row],[Team]],Games[Season],Games[[#This Row],[Season]],Games[Date],"&lt;=" &amp; Games[[#This Row],[Date]])</f>
        <v>11</v>
      </c>
      <c r="D144" s="2" t="s">
        <v>79</v>
      </c>
      <c r="E144" s="2" t="s">
        <v>80</v>
      </c>
      <c r="F144" s="1" t="s">
        <v>77</v>
      </c>
      <c r="G144" s="1" t="s">
        <v>69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4" s="2">
        <f>Games[[#This Row],[DaysOff]]-Games[[#This Row],[OppDaysOff]]</f>
        <v>-1</v>
      </c>
      <c r="L144" s="2">
        <f>Games[[#This Row],[OppDaysOff]]-Games[[#This Row],[DaysOff]]</f>
        <v>1</v>
      </c>
      <c r="M144" s="1">
        <f>MAX(-16, MIN(16, Games[[#This Row],[RestDiff]]*8))</f>
        <v>-8</v>
      </c>
      <c r="N144" s="1">
        <f>MAX(-16, MIN(16, Games[[#This Row],[OppRestDiff]]*8))</f>
        <v>8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1451.0858121576748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1374.8588244288187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0.4658411776881588</v>
      </c>
      <c r="R144" s="1">
        <v>84</v>
      </c>
      <c r="S144" s="1">
        <v>91</v>
      </c>
      <c r="T144" s="1">
        <v>0</v>
      </c>
      <c r="U144" s="1">
        <f>Games[[#This Row],[PointsFor]]-Games[[#This Row],[PointsAgainst]]</f>
        <v>-7</v>
      </c>
      <c r="V144" s="1">
        <f>IF(Games[[#This Row],[MOV]]&gt;0,1,IF(Games[[#This Row],[MOV]]=0,0.5,0))</f>
        <v>0</v>
      </c>
      <c r="W144" s="4">
        <f>((ABS(Games[[#This Row],[MOV]])+5)^0.6)/(12+0.01*(ABS(Games[[#This Row],[PreGmRate]]-Games[[#This Row],[OppPreGmRate]])))*IF(Games[[#This Row],[OT]]=1,0.9,1)</f>
        <v>0.34800126564863271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4" s="9">
        <f>MAX(kmin, kmax - 0.15 * MIN(Games[[#This Row],[GamesPlayed]], 82))</f>
        <v>74.349999999999994</v>
      </c>
      <c r="Z144" s="4">
        <f>Games[[#This Row],[K]]*Games[[#This Row],[POMult]]</f>
        <v>74.349999999999994</v>
      </c>
      <c r="AA144" s="4">
        <f>(Games[[#This Row],[Keff]]*Games[[#This Row],[MOVMult]])*(Games[[#This Row],[Result]]-Games[[#This Row],[ExpectedWin%]])</f>
        <v>-12.053125299377291</v>
      </c>
      <c r="AB144" s="4">
        <f>Games[[#This Row],[PreGmRate]]+Games[[#This Row],[RatingChange]]</f>
        <v>1439.0326868582974</v>
      </c>
      <c r="AC144" s="2">
        <f>IF(Games[[#This Row],[Type]]="R",IF(Games[[#This Row],[Result]]&gt;0.5,1,0),0)</f>
        <v>0</v>
      </c>
      <c r="AD144" s="2">
        <f>IF(Games[[#This Row],[Type]]="R",IF(Games[[#This Row],[Result]]&lt;0.5,1,0),0)</f>
        <v>1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45456</v>
      </c>
      <c r="B145" s="2">
        <v>2024</v>
      </c>
      <c r="C145" s="2">
        <f>COUNTIFS(Games[Team],Games[[#This Row],[Team]],Games[Season],Games[[#This Row],[Season]],Games[Date],"&lt;=" &amp; Games[[#This Row],[Date]])</f>
        <v>14</v>
      </c>
      <c r="D145" s="2" t="s">
        <v>79</v>
      </c>
      <c r="E145" s="2" t="s">
        <v>80</v>
      </c>
      <c r="F145" s="1" t="s">
        <v>69</v>
      </c>
      <c r="G145" s="1" t="s">
        <v>77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5" s="2">
        <f>Games[[#This Row],[DaysOff]]-Games[[#This Row],[OppDaysOff]]</f>
        <v>1</v>
      </c>
      <c r="L145" s="2">
        <f>Games[[#This Row],[OppDaysOff]]-Games[[#This Row],[DaysOff]]</f>
        <v>-1</v>
      </c>
      <c r="M145" s="1">
        <f>MAX(-16, MIN(16, Games[[#This Row],[RestDiff]]*8))</f>
        <v>8</v>
      </c>
      <c r="N145" s="1">
        <f>MAX(-16, MIN(16, Games[[#This Row],[OppRestDiff]]*8))</f>
        <v>-8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1374.8588244288187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1451.0858121576748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0.5341588223118412</v>
      </c>
      <c r="R145" s="1">
        <v>91</v>
      </c>
      <c r="S145" s="1">
        <v>84</v>
      </c>
      <c r="T145" s="1">
        <v>0</v>
      </c>
      <c r="U145" s="1">
        <f>Games[[#This Row],[PointsFor]]-Games[[#This Row],[PointsAgainst]]</f>
        <v>7</v>
      </c>
      <c r="V145" s="1">
        <f>IF(Games[[#This Row],[MOV]]&gt;0,1,IF(Games[[#This Row],[MOV]]=0,0.5,0))</f>
        <v>1</v>
      </c>
      <c r="W145" s="4">
        <f>((ABS(Games[[#This Row],[MOV]])+5)^0.6)/(12+0.01*(ABS(Games[[#This Row],[PreGmRate]]-Games[[#This Row],[OppPreGmRate]])))*IF(Games[[#This Row],[OT]]=1,0.9,1)</f>
        <v>0.34800126564863271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5" s="9">
        <f>MAX(kmin, kmax - 0.15 * MIN(Games[[#This Row],[GamesPlayed]], 82))</f>
        <v>73.900000000000006</v>
      </c>
      <c r="Z145" s="4">
        <f>Games[[#This Row],[K]]*Games[[#This Row],[POMult]]</f>
        <v>73.900000000000006</v>
      </c>
      <c r="AA145" s="4">
        <f>(Games[[#This Row],[Keff]]*Games[[#This Row],[MOVMult]])*(Games[[#This Row],[Result]]-Games[[#This Row],[ExpectedWin%]])</f>
        <v>11.980174305635265</v>
      </c>
      <c r="AB145" s="4">
        <f>Games[[#This Row],[PreGmRate]]+Games[[#This Row],[RatingChange]]</f>
        <v>1386.838998734454</v>
      </c>
      <c r="AC145" s="2">
        <f>IF(Games[[#This Row],[Type]]="R",IF(Games[[#This Row],[Result]]&gt;0.5,1,0),0)</f>
        <v>1</v>
      </c>
      <c r="AD145" s="2">
        <f>IF(Games[[#This Row],[Type]]="R",IF(Games[[#This Row],[Result]]&lt;0.5,1,0),0)</f>
        <v>0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45456</v>
      </c>
      <c r="B146" s="2">
        <v>2024</v>
      </c>
      <c r="C146" s="2">
        <f>COUNTIFS(Games[Team],Games[[#This Row],[Team]],Games[Season],Games[[#This Row],[Season]],Games[Date],"&lt;=" &amp; Games[[#This Row],[Date]])</f>
        <v>11</v>
      </c>
      <c r="D146" s="2" t="s">
        <v>79</v>
      </c>
      <c r="E146" s="2" t="s">
        <v>80</v>
      </c>
      <c r="F146" s="1" t="s">
        <v>86</v>
      </c>
      <c r="G146" s="1" t="s">
        <v>40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6" s="2">
        <f>Games[[#This Row],[DaysOff]]-Games[[#This Row],[OppDaysOff]]</f>
        <v>-2</v>
      </c>
      <c r="L146" s="2">
        <f>Games[[#This Row],[OppDaysOff]]-Games[[#This Row],[DaysOff]]</f>
        <v>2</v>
      </c>
      <c r="M146" s="1">
        <f>MAX(-16, MIN(16, Games[[#This Row],[RestDiff]]*8))</f>
        <v>-16</v>
      </c>
      <c r="N146" s="1">
        <f>MAX(-16, MIN(16, Games[[#This Row],[OppRestDiff]]*8))</f>
        <v>16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1586.2144301085591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1435.7025209349883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0.54950391677593491</v>
      </c>
      <c r="R146" s="1">
        <v>103</v>
      </c>
      <c r="S146" s="1">
        <v>99</v>
      </c>
      <c r="T146" s="1">
        <v>0</v>
      </c>
      <c r="U146" s="1">
        <f>Games[[#This Row],[PointsFor]]-Games[[#This Row],[PointsAgainst]]</f>
        <v>4</v>
      </c>
      <c r="V146" s="1">
        <f>IF(Games[[#This Row],[MOV]]&gt;0,1,IF(Games[[#This Row],[MOV]]=0,0.5,0))</f>
        <v>1</v>
      </c>
      <c r="W146" s="4">
        <f>((ABS(Games[[#This Row],[MOV]])+5)^0.6)/(12+0.01*(ABS(Games[[#This Row],[PreGmRate]]-Games[[#This Row],[OppPreGmRate]])))*IF(Games[[#This Row],[OT]]=1,0.9,1)</f>
        <v>0.27672416610775996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6" s="9">
        <f>MAX(kmin, kmax - 0.15 * MIN(Games[[#This Row],[GamesPlayed]], 82))</f>
        <v>74.349999999999994</v>
      </c>
      <c r="Z146" s="4">
        <f>Games[[#This Row],[K]]*Games[[#This Row],[POMult]]</f>
        <v>74.349999999999994</v>
      </c>
      <c r="AA146" s="4">
        <f>(Games[[#This Row],[Keff]]*Games[[#This Row],[MOVMult]])*(Games[[#This Row],[Result]]-Games[[#This Row],[ExpectedWin%]])</f>
        <v>9.2687054229471126</v>
      </c>
      <c r="AB146" s="4">
        <f>Games[[#This Row],[PreGmRate]]+Games[[#This Row],[RatingChange]]</f>
        <v>1595.4831355315062</v>
      </c>
      <c r="AC146" s="2">
        <f>IF(Games[[#This Row],[Type]]="R",IF(Games[[#This Row],[Result]]&gt;0.5,1,0),0)</f>
        <v>1</v>
      </c>
      <c r="AD146" s="2">
        <f>IF(Games[[#This Row],[Type]]="R",IF(Games[[#This Row],[Result]]&lt;0.5,1,0),0)</f>
        <v>0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45456</v>
      </c>
      <c r="B147" s="2">
        <v>2024</v>
      </c>
      <c r="C147" s="2">
        <f>COUNTIFS(Games[Team],Games[[#This Row],[Team]],Games[Season],Games[[#This Row],[Season]],Games[Date],"&lt;=" &amp; Games[[#This Row],[Date]])</f>
        <v>13</v>
      </c>
      <c r="D147" s="2" t="s">
        <v>79</v>
      </c>
      <c r="E147" s="2" t="s">
        <v>80</v>
      </c>
      <c r="F147" s="1" t="s">
        <v>40</v>
      </c>
      <c r="G147" s="1" t="s">
        <v>86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7" s="2">
        <f>Games[[#This Row],[DaysOff]]-Games[[#This Row],[OppDaysOff]]</f>
        <v>2</v>
      </c>
      <c r="L147" s="2">
        <f>Games[[#This Row],[OppDaysOff]]-Games[[#This Row],[DaysOff]]</f>
        <v>-2</v>
      </c>
      <c r="M147" s="1">
        <f>MAX(-16, MIN(16, Games[[#This Row],[RestDiff]]*8))</f>
        <v>16</v>
      </c>
      <c r="N147" s="1">
        <f>MAX(-16, MIN(16, Games[[#This Row],[OppRestDiff]]*8))</f>
        <v>-16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1435.7025209349883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1586.2144301085591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0.45049608322406498</v>
      </c>
      <c r="R147" s="1">
        <v>99</v>
      </c>
      <c r="S147" s="1">
        <v>103</v>
      </c>
      <c r="T147" s="1">
        <v>0</v>
      </c>
      <c r="U147" s="1">
        <f>Games[[#This Row],[PointsFor]]-Games[[#This Row],[PointsAgainst]]</f>
        <v>-4</v>
      </c>
      <c r="V147" s="1">
        <f>IF(Games[[#This Row],[MOV]]&gt;0,1,IF(Games[[#This Row],[MOV]]=0,0.5,0))</f>
        <v>0</v>
      </c>
      <c r="W147" s="4">
        <f>((ABS(Games[[#This Row],[MOV]])+5)^0.6)/(12+0.01*(ABS(Games[[#This Row],[PreGmRate]]-Games[[#This Row],[OppPreGmRate]])))*IF(Games[[#This Row],[OT]]=1,0.9,1)</f>
        <v>0.27672416610775996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7" s="9">
        <f>MAX(kmin, kmax - 0.15 * MIN(Games[[#This Row],[GamesPlayed]], 82))</f>
        <v>74.05</v>
      </c>
      <c r="Z147" s="4">
        <f>Games[[#This Row],[K]]*Games[[#This Row],[POMult]]</f>
        <v>74.05</v>
      </c>
      <c r="AA147" s="4">
        <f>(Games[[#This Row],[Keff]]*Games[[#This Row],[MOVMult]])*(Games[[#This Row],[Result]]-Games[[#This Row],[ExpectedWin%]])</f>
        <v>-9.231306477057613</v>
      </c>
      <c r="AB147" s="4">
        <f>Games[[#This Row],[PreGmRate]]+Games[[#This Row],[RatingChange]]</f>
        <v>1426.4712144579307</v>
      </c>
      <c r="AC147" s="2">
        <f>IF(Games[[#This Row],[Type]]="R",IF(Games[[#This Row],[Result]]&gt;0.5,1,0),0)</f>
        <v>0</v>
      </c>
      <c r="AD147" s="2">
        <f>IF(Games[[#This Row],[Type]]="R",IF(Games[[#This Row],[Result]]&lt;0.5,1,0),0)</f>
        <v>1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45457</v>
      </c>
      <c r="B148" s="2">
        <v>2024</v>
      </c>
      <c r="C148" s="2">
        <f>COUNTIFS(Games[Team],Games[[#This Row],[Team]],Games[Season],Games[[#This Row],[Season]],Games[Date],"&lt;=" &amp; Games[[#This Row],[Date]])</f>
        <v>13</v>
      </c>
      <c r="D148" s="2" t="s">
        <v>79</v>
      </c>
      <c r="E148" s="2" t="s">
        <v>80</v>
      </c>
      <c r="F148" s="1" t="s">
        <v>63</v>
      </c>
      <c r="G148" s="1" t="s">
        <v>67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8" s="2">
        <f>Games[[#This Row],[DaysOff]]-Games[[#This Row],[OppDaysOff]]</f>
        <v>0</v>
      </c>
      <c r="L148" s="2">
        <f>Games[[#This Row],[OppDaysOff]]-Games[[#This Row],[DaysOff]]</f>
        <v>0</v>
      </c>
      <c r="M148" s="1">
        <f>MAX(-16, MIN(16, Games[[#This Row],[RestDiff]]*8))</f>
        <v>0</v>
      </c>
      <c r="N148" s="1">
        <f>MAX(-16, MIN(16, Games[[#This Row],[OppRestDiff]]*8))</f>
        <v>0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1415.62438244386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1590.8721888343332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0.18356921689665315</v>
      </c>
      <c r="R148" s="1">
        <v>76</v>
      </c>
      <c r="S148" s="1">
        <v>81</v>
      </c>
      <c r="T148" s="1">
        <v>0</v>
      </c>
      <c r="U148" s="1">
        <f>Games[[#This Row],[PointsFor]]-Games[[#This Row],[PointsAgainst]]</f>
        <v>-5</v>
      </c>
      <c r="V148" s="1">
        <f>IF(Games[[#This Row],[MOV]]&gt;0,1,IF(Games[[#This Row],[MOV]]=0,0.5,0))</f>
        <v>0</v>
      </c>
      <c r="W148" s="4">
        <f>((ABS(Games[[#This Row],[MOV]])+5)^0.6)/(12+0.01*(ABS(Games[[#This Row],[PreGmRate]]-Games[[#This Row],[OppPreGmRate]])))*IF(Games[[#This Row],[OT]]=1,0.9,1)</f>
        <v>0.28948031671352686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8" s="9">
        <f>MAX(kmin, kmax - 0.15 * MIN(Games[[#This Row],[GamesPlayed]], 82))</f>
        <v>74.05</v>
      </c>
      <c r="Z148" s="4">
        <f>Games[[#This Row],[K]]*Games[[#This Row],[POMult]]</f>
        <v>74.05</v>
      </c>
      <c r="AA148" s="4">
        <f>(Games[[#This Row],[Keff]]*Games[[#This Row],[MOVMult]])*(Games[[#This Row],[Result]]-Games[[#This Row],[ExpectedWin%]])</f>
        <v>-3.9349929371635017</v>
      </c>
      <c r="AB148" s="4">
        <f>Games[[#This Row],[PreGmRate]]+Games[[#This Row],[RatingChange]]</f>
        <v>1411.6893895066964</v>
      </c>
      <c r="AC148" s="2">
        <f>IF(Games[[#This Row],[Type]]="R",IF(Games[[#This Row],[Result]]&gt;0.5,1,0),0)</f>
        <v>0</v>
      </c>
      <c r="AD148" s="2">
        <f>IF(Games[[#This Row],[Type]]="R",IF(Games[[#This Row],[Result]]&lt;0.5,1,0),0)</f>
        <v>1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45457</v>
      </c>
      <c r="B149" s="2">
        <v>2024</v>
      </c>
      <c r="C149" s="2">
        <f>COUNTIFS(Games[Team],Games[[#This Row],[Team]],Games[Season],Games[[#This Row],[Season]],Games[Date],"&lt;=" &amp; Games[[#This Row],[Date]])</f>
        <v>13</v>
      </c>
      <c r="D149" s="2" t="s">
        <v>79</v>
      </c>
      <c r="E149" s="2" t="s">
        <v>80</v>
      </c>
      <c r="F149" s="1" t="s">
        <v>67</v>
      </c>
      <c r="G149" s="1" t="s">
        <v>63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9" s="2">
        <f>Games[[#This Row],[DaysOff]]-Games[[#This Row],[OppDaysOff]]</f>
        <v>0</v>
      </c>
      <c r="L149" s="2">
        <f>Games[[#This Row],[OppDaysOff]]-Games[[#This Row],[DaysOff]]</f>
        <v>0</v>
      </c>
      <c r="M149" s="1">
        <f>MAX(-16, MIN(16, Games[[#This Row],[RestDiff]]*8))</f>
        <v>0</v>
      </c>
      <c r="N149" s="1">
        <f>MAX(-16, MIN(16, Games[[#This Row],[OppRestDiff]]*8))</f>
        <v>0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1590.8721888343332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1415.62438244386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0.81643078310334694</v>
      </c>
      <c r="R149" s="1">
        <v>81</v>
      </c>
      <c r="S149" s="1">
        <v>76</v>
      </c>
      <c r="T149" s="1">
        <v>0</v>
      </c>
      <c r="U149" s="1">
        <f>Games[[#This Row],[PointsFor]]-Games[[#This Row],[PointsAgainst]]</f>
        <v>5</v>
      </c>
      <c r="V149" s="1">
        <f>IF(Games[[#This Row],[MOV]]&gt;0,1,IF(Games[[#This Row],[MOV]]=0,0.5,0))</f>
        <v>1</v>
      </c>
      <c r="W149" s="4">
        <f>((ABS(Games[[#This Row],[MOV]])+5)^0.6)/(12+0.01*(ABS(Games[[#This Row],[PreGmRate]]-Games[[#This Row],[OppPreGmRate]])))*IF(Games[[#This Row],[OT]]=1,0.9,1)</f>
        <v>0.28948031671352686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9" s="9">
        <f>MAX(kmin, kmax - 0.15 * MIN(Games[[#This Row],[GamesPlayed]], 82))</f>
        <v>74.05</v>
      </c>
      <c r="Z149" s="4">
        <f>Games[[#This Row],[K]]*Games[[#This Row],[POMult]]</f>
        <v>74.05</v>
      </c>
      <c r="AA149" s="4">
        <f>(Games[[#This Row],[Keff]]*Games[[#This Row],[MOVMult]])*(Games[[#This Row],[Result]]-Games[[#This Row],[ExpectedWin%]])</f>
        <v>3.9349929371635</v>
      </c>
      <c r="AB149" s="4">
        <f>Games[[#This Row],[PreGmRate]]+Games[[#This Row],[RatingChange]]</f>
        <v>1594.8071817714967</v>
      </c>
      <c r="AC149" s="2">
        <f>IF(Games[[#This Row],[Type]]="R",IF(Games[[#This Row],[Result]]&gt;0.5,1,0),0)</f>
        <v>1</v>
      </c>
      <c r="AD149" s="2">
        <f>IF(Games[[#This Row],[Type]]="R",IF(Games[[#This Row],[Result]]&lt;0.5,1,0),0)</f>
        <v>0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45457</v>
      </c>
      <c r="B150" s="2">
        <v>2024</v>
      </c>
      <c r="C150" s="2">
        <f>COUNTIFS(Games[Team],Games[[#This Row],[Team]],Games[Season],Games[[#This Row],[Season]],Games[Date],"&lt;=" &amp; Games[[#This Row],[Date]])</f>
        <v>12</v>
      </c>
      <c r="D150" s="2" t="s">
        <v>79</v>
      </c>
      <c r="E150" s="2" t="s">
        <v>80</v>
      </c>
      <c r="F150" s="1" t="s">
        <v>75</v>
      </c>
      <c r="G150" s="1" t="s">
        <v>65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0" s="2">
        <f>Games[[#This Row],[DaysOff]]-Games[[#This Row],[OppDaysOff]]</f>
        <v>-1</v>
      </c>
      <c r="L150" s="2">
        <f>Games[[#This Row],[OppDaysOff]]-Games[[#This Row],[DaysOff]]</f>
        <v>1</v>
      </c>
      <c r="M150" s="1">
        <f>MAX(-16, MIN(16, Games[[#This Row],[RestDiff]]*8))</f>
        <v>-8</v>
      </c>
      <c r="N150" s="1">
        <f>MAX(-16, MIN(16, Games[[#This Row],[OppRestDiff]]*8))</f>
        <v>8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1464.2303633548393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1391.9770798483805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0.46015393993181158</v>
      </c>
      <c r="R150" s="1">
        <v>81</v>
      </c>
      <c r="S150" s="1">
        <v>83</v>
      </c>
      <c r="T150" s="1">
        <v>0</v>
      </c>
      <c r="U150" s="1">
        <f>Games[[#This Row],[PointsFor]]-Games[[#This Row],[PointsAgainst]]</f>
        <v>-2</v>
      </c>
      <c r="V150" s="1">
        <f>IF(Games[[#This Row],[MOV]]&gt;0,1,IF(Games[[#This Row],[MOV]]=0,0.5,0))</f>
        <v>0</v>
      </c>
      <c r="W150" s="4">
        <f>((ABS(Games[[#This Row],[MOV]])+5)^0.6)/(12+0.01*(ABS(Games[[#This Row],[PreGmRate]]-Games[[#This Row],[OppPreGmRate]])))*IF(Games[[#This Row],[OT]]=1,0.9,1)</f>
        <v>0.25263018703773082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0" s="9">
        <f>MAX(kmin, kmax - 0.15 * MIN(Games[[#This Row],[GamesPlayed]], 82))</f>
        <v>74.2</v>
      </c>
      <c r="Z150" s="4">
        <f>Games[[#This Row],[K]]*Games[[#This Row],[POMult]]</f>
        <v>74.2</v>
      </c>
      <c r="AA150" s="4">
        <f>(Games[[#This Row],[Keff]]*Games[[#This Row],[MOVMult]])*(Games[[#This Row],[Result]]-Games[[#This Row],[ExpectedWin%]])</f>
        <v>-8.6256591726052765</v>
      </c>
      <c r="AB150" s="4">
        <f>Games[[#This Row],[PreGmRate]]+Games[[#This Row],[RatingChange]]</f>
        <v>1455.6047041822339</v>
      </c>
      <c r="AC150" s="2">
        <f>IF(Games[[#This Row],[Type]]="R",IF(Games[[#This Row],[Result]]&gt;0.5,1,0),0)</f>
        <v>0</v>
      </c>
      <c r="AD150" s="2">
        <f>IF(Games[[#This Row],[Type]]="R",IF(Games[[#This Row],[Result]]&lt;0.5,1,0),0)</f>
        <v>1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45457</v>
      </c>
      <c r="B151" s="2">
        <v>2024</v>
      </c>
      <c r="C151" s="2">
        <f>COUNTIFS(Games[Team],Games[[#This Row],[Team]],Games[Season],Games[[#This Row],[Season]],Games[Date],"&lt;=" &amp; Games[[#This Row],[Date]])</f>
        <v>14</v>
      </c>
      <c r="D151" s="2" t="s">
        <v>79</v>
      </c>
      <c r="E151" s="2" t="s">
        <v>80</v>
      </c>
      <c r="F151" s="1" t="s">
        <v>65</v>
      </c>
      <c r="G151" s="1" t="s">
        <v>75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1" s="2">
        <f>Games[[#This Row],[DaysOff]]-Games[[#This Row],[OppDaysOff]]</f>
        <v>1</v>
      </c>
      <c r="L151" s="2">
        <f>Games[[#This Row],[OppDaysOff]]-Games[[#This Row],[DaysOff]]</f>
        <v>-1</v>
      </c>
      <c r="M151" s="1">
        <f>MAX(-16, MIN(16, Games[[#This Row],[RestDiff]]*8))</f>
        <v>8</v>
      </c>
      <c r="N151" s="1">
        <f>MAX(-16, MIN(16, Games[[#This Row],[OppRestDiff]]*8))</f>
        <v>-8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1391.9770798483805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1464.2303633548393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0.53984606006818836</v>
      </c>
      <c r="R151" s="1">
        <v>83</v>
      </c>
      <c r="S151" s="1">
        <v>81</v>
      </c>
      <c r="T151" s="1">
        <v>0</v>
      </c>
      <c r="U151" s="1">
        <f>Games[[#This Row],[PointsFor]]-Games[[#This Row],[PointsAgainst]]</f>
        <v>2</v>
      </c>
      <c r="V151" s="1">
        <f>IF(Games[[#This Row],[MOV]]&gt;0,1,IF(Games[[#This Row],[MOV]]=0,0.5,0))</f>
        <v>1</v>
      </c>
      <c r="W151" s="4">
        <f>((ABS(Games[[#This Row],[MOV]])+5)^0.6)/(12+0.01*(ABS(Games[[#This Row],[PreGmRate]]-Games[[#This Row],[OppPreGmRate]])))*IF(Games[[#This Row],[OT]]=1,0.9,1)</f>
        <v>0.25263018703773082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1" s="9">
        <f>MAX(kmin, kmax - 0.15 * MIN(Games[[#This Row],[GamesPlayed]], 82))</f>
        <v>73.900000000000006</v>
      </c>
      <c r="Z151" s="4">
        <f>Games[[#This Row],[K]]*Games[[#This Row],[POMult]]</f>
        <v>73.900000000000006</v>
      </c>
      <c r="AA151" s="4">
        <f>(Games[[#This Row],[Keff]]*Games[[#This Row],[MOVMult]])*(Games[[#This Row],[Result]]-Games[[#This Row],[ExpectedWin%]])</f>
        <v>8.590784539831942</v>
      </c>
      <c r="AB151" s="4">
        <f>Games[[#This Row],[PreGmRate]]+Games[[#This Row],[RatingChange]]</f>
        <v>1400.5678643882125</v>
      </c>
      <c r="AC151" s="2">
        <f>IF(Games[[#This Row],[Type]]="R",IF(Games[[#This Row],[Result]]&gt;0.5,1,0),0)</f>
        <v>1</v>
      </c>
      <c r="AD151" s="2">
        <f>IF(Games[[#This Row],[Type]]="R",IF(Games[[#This Row],[Result]]&lt;0.5,1,0),0)</f>
        <v>0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45458</v>
      </c>
      <c r="B152" s="2">
        <v>2024</v>
      </c>
      <c r="C152" s="2">
        <f>COUNTIFS(Games[Team],Games[[#This Row],[Team]],Games[Season],Games[[#This Row],[Season]],Games[Date],"&lt;=" &amp; Games[[#This Row],[Date]])</f>
        <v>13</v>
      </c>
      <c r="D152" s="2" t="s">
        <v>79</v>
      </c>
      <c r="E152" s="2" t="s">
        <v>80</v>
      </c>
      <c r="F152" s="1" t="s">
        <v>74</v>
      </c>
      <c r="G152" s="1" t="s">
        <v>85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2" s="2">
        <f>Games[[#This Row],[DaysOff]]-Games[[#This Row],[OppDaysOff]]</f>
        <v>1</v>
      </c>
      <c r="L152" s="2">
        <f>Games[[#This Row],[OppDaysOff]]-Games[[#This Row],[DaysOff]]</f>
        <v>-1</v>
      </c>
      <c r="M152" s="1">
        <f>MAX(-16, MIN(16, Games[[#This Row],[RestDiff]]*8))</f>
        <v>8</v>
      </c>
      <c r="N152" s="1">
        <f>MAX(-16, MIN(16, Games[[#This Row],[OppRestDiff]]*8))</f>
        <v>-8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1627.9538526646829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1455.526109855404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0.6459157983870214</v>
      </c>
      <c r="R152" s="1">
        <v>85</v>
      </c>
      <c r="S152" s="1">
        <v>67</v>
      </c>
      <c r="T152" s="1">
        <v>0</v>
      </c>
      <c r="U152" s="1">
        <f>Games[[#This Row],[PointsFor]]-Games[[#This Row],[PointsAgainst]]</f>
        <v>18</v>
      </c>
      <c r="V152" s="1">
        <f>IF(Games[[#This Row],[MOV]]&gt;0,1,IF(Games[[#This Row],[MOV]]=0,0.5,0))</f>
        <v>1</v>
      </c>
      <c r="W152" s="4">
        <f>((ABS(Games[[#This Row],[MOV]])+5)^0.6)/(12+0.01*(ABS(Games[[#This Row],[PreGmRate]]-Games[[#This Row],[OppPreGmRate]])))*IF(Games[[#This Row],[OT]]=1,0.9,1)</f>
        <v>0.47813134206131769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2" s="9">
        <f>MAX(kmin, kmax - 0.15 * MIN(Games[[#This Row],[GamesPlayed]], 82))</f>
        <v>74.05</v>
      </c>
      <c r="Z152" s="4">
        <f>Games[[#This Row],[K]]*Games[[#This Row],[POMult]]</f>
        <v>74.05</v>
      </c>
      <c r="AA152" s="4">
        <f>(Games[[#This Row],[Keff]]*Games[[#This Row],[MOVMult]])*(Games[[#This Row],[Result]]-Games[[#This Row],[ExpectedWin%]])</f>
        <v>12.536572772200346</v>
      </c>
      <c r="AB152" s="4">
        <f>Games[[#This Row],[PreGmRate]]+Games[[#This Row],[RatingChange]]</f>
        <v>1640.4904254368832</v>
      </c>
      <c r="AC152" s="2">
        <f>IF(Games[[#This Row],[Type]]="R",IF(Games[[#This Row],[Result]]&gt;0.5,1,0),0)</f>
        <v>1</v>
      </c>
      <c r="AD152" s="2">
        <f>IF(Games[[#This Row],[Type]]="R",IF(Games[[#This Row],[Result]]&lt;0.5,1,0),0)</f>
        <v>0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45458</v>
      </c>
      <c r="B153" s="2">
        <v>2024</v>
      </c>
      <c r="C153" s="2">
        <f>COUNTIFS(Games[Team],Games[[#This Row],[Team]],Games[Season],Games[[#This Row],[Season]],Games[Date],"&lt;=" &amp; Games[[#This Row],[Date]])</f>
        <v>12</v>
      </c>
      <c r="D153" s="2" t="s">
        <v>79</v>
      </c>
      <c r="E153" s="2" t="s">
        <v>80</v>
      </c>
      <c r="F153" s="1" t="s">
        <v>85</v>
      </c>
      <c r="G153" s="1" t="s">
        <v>74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3" s="2">
        <f>Games[[#This Row],[DaysOff]]-Games[[#This Row],[OppDaysOff]]</f>
        <v>-1</v>
      </c>
      <c r="L153" s="2">
        <f>Games[[#This Row],[OppDaysOff]]-Games[[#This Row],[DaysOff]]</f>
        <v>1</v>
      </c>
      <c r="M153" s="1">
        <f>MAX(-16, MIN(16, Games[[#This Row],[RestDiff]]*8))</f>
        <v>-8</v>
      </c>
      <c r="N153" s="1">
        <f>MAX(-16, MIN(16, Games[[#This Row],[OppRestDiff]]*8))</f>
        <v>8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1455.526109855404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1627.9538526646829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0.35408420161297866</v>
      </c>
      <c r="R153" s="1">
        <v>67</v>
      </c>
      <c r="S153" s="1">
        <v>85</v>
      </c>
      <c r="T153" s="1">
        <v>0</v>
      </c>
      <c r="U153" s="1">
        <f>Games[[#This Row],[PointsFor]]-Games[[#This Row],[PointsAgainst]]</f>
        <v>-18</v>
      </c>
      <c r="V153" s="1">
        <f>IF(Games[[#This Row],[MOV]]&gt;0,1,IF(Games[[#This Row],[MOV]]=0,0.5,0))</f>
        <v>0</v>
      </c>
      <c r="W153" s="4">
        <f>((ABS(Games[[#This Row],[MOV]])+5)^0.6)/(12+0.01*(ABS(Games[[#This Row],[PreGmRate]]-Games[[#This Row],[OppPreGmRate]])))*IF(Games[[#This Row],[OT]]=1,0.9,1)</f>
        <v>0.47813134206131769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3" s="9">
        <f>MAX(kmin, kmax - 0.15 * MIN(Games[[#This Row],[GamesPlayed]], 82))</f>
        <v>74.2</v>
      </c>
      <c r="Z153" s="4">
        <f>Games[[#This Row],[K]]*Games[[#This Row],[POMult]]</f>
        <v>74.2</v>
      </c>
      <c r="AA153" s="4">
        <f>(Games[[#This Row],[Keff]]*Games[[#This Row],[MOVMult]])*(Games[[#This Row],[Result]]-Games[[#This Row],[ExpectedWin%]])</f>
        <v>-12.561967585378337</v>
      </c>
      <c r="AB153" s="4">
        <f>Games[[#This Row],[PreGmRate]]+Games[[#This Row],[RatingChange]]</f>
        <v>1442.9641422700256</v>
      </c>
      <c r="AC153" s="2">
        <f>IF(Games[[#This Row],[Type]]="R",IF(Games[[#This Row],[Result]]&gt;0.5,1,0),0)</f>
        <v>0</v>
      </c>
      <c r="AD153" s="2">
        <f>IF(Games[[#This Row],[Type]]="R",IF(Games[[#This Row],[Result]]&lt;0.5,1,0),0)</f>
        <v>1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45458</v>
      </c>
      <c r="B154" s="2">
        <v>2024</v>
      </c>
      <c r="C154" s="2">
        <f>COUNTIFS(Games[Team],Games[[#This Row],[Team]],Games[Season],Games[[#This Row],[Season]],Games[Date],"&lt;=" &amp; Games[[#This Row],[Date]])</f>
        <v>14</v>
      </c>
      <c r="D154" s="2" t="s">
        <v>79</v>
      </c>
      <c r="E154" s="2" t="s">
        <v>80</v>
      </c>
      <c r="F154" s="1" t="s">
        <v>60</v>
      </c>
      <c r="G154" s="1" t="s">
        <v>86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5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4" s="2">
        <f>Games[[#This Row],[DaysOff]]-Games[[#This Row],[OppDaysOff]]</f>
        <v>4</v>
      </c>
      <c r="L154" s="2">
        <f>Games[[#This Row],[OppDaysOff]]-Games[[#This Row],[DaysOff]]</f>
        <v>-4</v>
      </c>
      <c r="M154" s="1">
        <f>MAX(-16, MIN(16, Games[[#This Row],[RestDiff]]*8))</f>
        <v>16</v>
      </c>
      <c r="N154" s="1">
        <f>MAX(-16, MIN(16, Games[[#This Row],[OppRestDiff]]*8))</f>
        <v>-16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1664.6652313576656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1595.4831355315062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0.52470688495656104</v>
      </c>
      <c r="R154" s="1">
        <v>90</v>
      </c>
      <c r="S154" s="1">
        <v>82</v>
      </c>
      <c r="T154" s="1">
        <v>0</v>
      </c>
      <c r="U154" s="1">
        <f>Games[[#This Row],[PointsFor]]-Games[[#This Row],[PointsAgainst]]</f>
        <v>8</v>
      </c>
      <c r="V154" s="1">
        <f>IF(Games[[#This Row],[MOV]]&gt;0,1,IF(Games[[#This Row],[MOV]]=0,0.5,0))</f>
        <v>1</v>
      </c>
      <c r="W154" s="4">
        <f>((ABS(Games[[#This Row],[MOV]])+5)^0.6)/(12+0.01*(ABS(Games[[#This Row],[PreGmRate]]-Games[[#This Row],[OppPreGmRate]])))*IF(Games[[#This Row],[OT]]=1,0.9,1)</f>
        <v>0.36714876733293594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4" s="9">
        <f>MAX(kmin, kmax - 0.15 * MIN(Games[[#This Row],[GamesPlayed]], 82))</f>
        <v>73.900000000000006</v>
      </c>
      <c r="Z154" s="4">
        <f>Games[[#This Row],[K]]*Games[[#This Row],[POMult]]</f>
        <v>73.900000000000006</v>
      </c>
      <c r="AA154" s="4">
        <f>(Games[[#This Row],[Keff]]*Games[[#This Row],[MOVMult]])*(Games[[#This Row],[Result]]-Games[[#This Row],[ExpectedWin%]])</f>
        <v>12.895792488811212</v>
      </c>
      <c r="AB154" s="4">
        <f>Games[[#This Row],[PreGmRate]]+Games[[#This Row],[RatingChange]]</f>
        <v>1677.5610238464767</v>
      </c>
      <c r="AC154" s="2">
        <f>IF(Games[[#This Row],[Type]]="R",IF(Games[[#This Row],[Result]]&gt;0.5,1,0),0)</f>
        <v>1</v>
      </c>
      <c r="AD154" s="2">
        <f>IF(Games[[#This Row],[Type]]="R",IF(Games[[#This Row],[Result]]&lt;0.5,1,0),0)</f>
        <v>0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45458</v>
      </c>
      <c r="B155" s="2">
        <v>2024</v>
      </c>
      <c r="C155" s="2">
        <f>COUNTIFS(Games[Team],Games[[#This Row],[Team]],Games[Season],Games[[#This Row],[Season]],Games[Date],"&lt;=" &amp; Games[[#This Row],[Date]])</f>
        <v>12</v>
      </c>
      <c r="D155" s="2" t="s">
        <v>79</v>
      </c>
      <c r="E155" s="2" t="s">
        <v>80</v>
      </c>
      <c r="F155" s="1" t="s">
        <v>86</v>
      </c>
      <c r="G155" s="1" t="s">
        <v>60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55" s="2">
        <f>Games[[#This Row],[DaysOff]]-Games[[#This Row],[OppDaysOff]]</f>
        <v>-4</v>
      </c>
      <c r="L155" s="2">
        <f>Games[[#This Row],[OppDaysOff]]-Games[[#This Row],[DaysOff]]</f>
        <v>4</v>
      </c>
      <c r="M155" s="1">
        <f>MAX(-16, MIN(16, Games[[#This Row],[RestDiff]]*8))</f>
        <v>-16</v>
      </c>
      <c r="N155" s="1">
        <f>MAX(-16, MIN(16, Games[[#This Row],[OppRestDiff]]*8))</f>
        <v>16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1595.4831355315062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1664.6652313576656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0.47529311504343891</v>
      </c>
      <c r="R155" s="1">
        <v>82</v>
      </c>
      <c r="S155" s="1">
        <v>90</v>
      </c>
      <c r="T155" s="1">
        <v>0</v>
      </c>
      <c r="U155" s="1">
        <f>Games[[#This Row],[PointsFor]]-Games[[#This Row],[PointsAgainst]]</f>
        <v>-8</v>
      </c>
      <c r="V155" s="1">
        <f>IF(Games[[#This Row],[MOV]]&gt;0,1,IF(Games[[#This Row],[MOV]]=0,0.5,0))</f>
        <v>0</v>
      </c>
      <c r="W155" s="4">
        <f>((ABS(Games[[#This Row],[MOV]])+5)^0.6)/(12+0.01*(ABS(Games[[#This Row],[PreGmRate]]-Games[[#This Row],[OppPreGmRate]])))*IF(Games[[#This Row],[OT]]=1,0.9,1)</f>
        <v>0.36714876733293594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5" s="9">
        <f>MAX(kmin, kmax - 0.15 * MIN(Games[[#This Row],[GamesPlayed]], 82))</f>
        <v>74.2</v>
      </c>
      <c r="Z155" s="4">
        <f>Games[[#This Row],[K]]*Games[[#This Row],[POMult]]</f>
        <v>74.2</v>
      </c>
      <c r="AA155" s="4">
        <f>(Games[[#This Row],[Keff]]*Games[[#This Row],[MOVMult]])*(Games[[#This Row],[Result]]-Games[[#This Row],[ExpectedWin%]])</f>
        <v>-12.948143473204219</v>
      </c>
      <c r="AB155" s="4">
        <f>Games[[#This Row],[PreGmRate]]+Games[[#This Row],[RatingChange]]</f>
        <v>1582.5349920583019</v>
      </c>
      <c r="AC155" s="2">
        <f>IF(Games[[#This Row],[Type]]="R",IF(Games[[#This Row],[Result]]&gt;0.5,1,0),0)</f>
        <v>0</v>
      </c>
      <c r="AD155" s="2">
        <f>IF(Games[[#This Row],[Type]]="R",IF(Games[[#This Row],[Result]]&lt;0.5,1,0),0)</f>
        <v>1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45459</v>
      </c>
      <c r="B156" s="2">
        <v>2024</v>
      </c>
      <c r="C156" s="2">
        <f>COUNTIFS(Games[Team],Games[[#This Row],[Team]],Games[Season],Games[[#This Row],[Season]],Games[Date],"&lt;=" &amp; Games[[#This Row],[Date]])</f>
        <v>14</v>
      </c>
      <c r="D156" s="2" t="s">
        <v>79</v>
      </c>
      <c r="E156" s="2" t="s">
        <v>80</v>
      </c>
      <c r="F156" s="1" t="s">
        <v>63</v>
      </c>
      <c r="G156" s="1" t="s">
        <v>77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6" s="2">
        <f>Games[[#This Row],[DaysOff]]-Games[[#This Row],[OppDaysOff]]</f>
        <v>-1</v>
      </c>
      <c r="L156" s="2">
        <f>Games[[#This Row],[OppDaysOff]]-Games[[#This Row],[DaysOff]]</f>
        <v>1</v>
      </c>
      <c r="M156" s="1">
        <f>MAX(-16, MIN(16, Games[[#This Row],[RestDiff]]*8))</f>
        <v>-8</v>
      </c>
      <c r="N156" s="1">
        <f>MAX(-16, MIN(16, Games[[#This Row],[OppRestDiff]]*8))</f>
        <v>8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1411.6893895066964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1439.0326868582974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0.32452645266974017</v>
      </c>
      <c r="R156" s="1">
        <v>74</v>
      </c>
      <c r="S156" s="1">
        <v>87</v>
      </c>
      <c r="T156" s="1">
        <v>0</v>
      </c>
      <c r="U156" s="1">
        <f>Games[[#This Row],[PointsFor]]-Games[[#This Row],[PointsAgainst]]</f>
        <v>-13</v>
      </c>
      <c r="V156" s="1">
        <f>IF(Games[[#This Row],[MOV]]&gt;0,1,IF(Games[[#This Row],[MOV]]=0,0.5,0))</f>
        <v>0</v>
      </c>
      <c r="W156" s="4">
        <f>((ABS(Games[[#This Row],[MOV]])+5)^0.6)/(12+0.01*(ABS(Games[[#This Row],[PreGmRate]]-Games[[#This Row],[OppPreGmRate]])))*IF(Games[[#This Row],[OT]]=1,0.9,1)</f>
        <v>0.46152735587447263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6" s="9">
        <f>MAX(kmin, kmax - 0.15 * MIN(Games[[#This Row],[GamesPlayed]], 82))</f>
        <v>73.900000000000006</v>
      </c>
      <c r="Z156" s="4">
        <f>Games[[#This Row],[K]]*Games[[#This Row],[POMult]]</f>
        <v>73.900000000000006</v>
      </c>
      <c r="AA156" s="4">
        <f>(Games[[#This Row],[Keff]]*Games[[#This Row],[MOVMult]])*(Games[[#This Row],[Result]]-Games[[#This Row],[ExpectedWin%]])</f>
        <v>-11.068582051725867</v>
      </c>
      <c r="AB156" s="4">
        <f>Games[[#This Row],[PreGmRate]]+Games[[#This Row],[RatingChange]]</f>
        <v>1400.6208074549706</v>
      </c>
      <c r="AC156" s="2">
        <f>IF(Games[[#This Row],[Type]]="R",IF(Games[[#This Row],[Result]]&gt;0.5,1,0),0)</f>
        <v>0</v>
      </c>
      <c r="AD156" s="2">
        <f>IF(Games[[#This Row],[Type]]="R",IF(Games[[#This Row],[Result]]&lt;0.5,1,0),0)</f>
        <v>1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45459</v>
      </c>
      <c r="B157" s="2">
        <v>2024</v>
      </c>
      <c r="C157" s="2">
        <f>COUNTIFS(Games[Team],Games[[#This Row],[Team]],Games[Season],Games[[#This Row],[Season]],Games[Date],"&lt;=" &amp; Games[[#This Row],[Date]])</f>
        <v>12</v>
      </c>
      <c r="D157" s="2" t="s">
        <v>79</v>
      </c>
      <c r="E157" s="2" t="s">
        <v>80</v>
      </c>
      <c r="F157" s="1" t="s">
        <v>77</v>
      </c>
      <c r="G157" s="1" t="s">
        <v>63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7" s="2">
        <f>Games[[#This Row],[DaysOff]]-Games[[#This Row],[OppDaysOff]]</f>
        <v>1</v>
      </c>
      <c r="L157" s="2">
        <f>Games[[#This Row],[OppDaysOff]]-Games[[#This Row],[DaysOff]]</f>
        <v>-1</v>
      </c>
      <c r="M157" s="1">
        <f>MAX(-16, MIN(16, Games[[#This Row],[RestDiff]]*8))</f>
        <v>8</v>
      </c>
      <c r="N157" s="1">
        <f>MAX(-16, MIN(16, Games[[#This Row],[OppRestDiff]]*8))</f>
        <v>-8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1439.0326868582974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1411.6893895066964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0.67547354733025988</v>
      </c>
      <c r="R157" s="1">
        <v>87</v>
      </c>
      <c r="S157" s="1">
        <v>74</v>
      </c>
      <c r="T157" s="1">
        <v>0</v>
      </c>
      <c r="U157" s="1">
        <f>Games[[#This Row],[PointsFor]]-Games[[#This Row],[PointsAgainst]]</f>
        <v>13</v>
      </c>
      <c r="V157" s="1">
        <f>IF(Games[[#This Row],[MOV]]&gt;0,1,IF(Games[[#This Row],[MOV]]=0,0.5,0))</f>
        <v>1</v>
      </c>
      <c r="W157" s="4">
        <f>((ABS(Games[[#This Row],[MOV]])+5)^0.6)/(12+0.01*(ABS(Games[[#This Row],[PreGmRate]]-Games[[#This Row],[OppPreGmRate]])))*IF(Games[[#This Row],[OT]]=1,0.9,1)</f>
        <v>0.46152735587447263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7" s="9">
        <f>MAX(kmin, kmax - 0.15 * MIN(Games[[#This Row],[GamesPlayed]], 82))</f>
        <v>74.2</v>
      </c>
      <c r="Z157" s="4">
        <f>Games[[#This Row],[K]]*Games[[#This Row],[POMult]]</f>
        <v>74.2</v>
      </c>
      <c r="AA157" s="4">
        <f>(Games[[#This Row],[Keff]]*Games[[#This Row],[MOVMult]])*(Games[[#This Row],[Result]]-Games[[#This Row],[ExpectedWin%]])</f>
        <v>11.113515402409462</v>
      </c>
      <c r="AB157" s="4">
        <f>Games[[#This Row],[PreGmRate]]+Games[[#This Row],[RatingChange]]</f>
        <v>1450.146202260707</v>
      </c>
      <c r="AC157" s="2">
        <f>IF(Games[[#This Row],[Type]]="R",IF(Games[[#This Row],[Result]]&gt;0.5,1,0),0)</f>
        <v>1</v>
      </c>
      <c r="AD157" s="2">
        <f>IF(Games[[#This Row],[Type]]="R",IF(Games[[#This Row],[Result]]&lt;0.5,1,0),0)</f>
        <v>0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45459</v>
      </c>
      <c r="B158" s="2">
        <v>2024</v>
      </c>
      <c r="C158" s="2">
        <f>COUNTIFS(Games[Team],Games[[#This Row],[Team]],Games[Season],Games[[#This Row],[Season]],Games[Date],"&lt;=" &amp; Games[[#This Row],[Date]])</f>
        <v>13</v>
      </c>
      <c r="D158" s="2" t="s">
        <v>79</v>
      </c>
      <c r="E158" s="2" t="s">
        <v>80</v>
      </c>
      <c r="F158" s="1" t="s">
        <v>75</v>
      </c>
      <c r="G158" s="1" t="s">
        <v>69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8" s="2">
        <f>Games[[#This Row],[DaysOff]]-Games[[#This Row],[OppDaysOff]]</f>
        <v>-1</v>
      </c>
      <c r="L158" s="2">
        <f>Games[[#This Row],[OppDaysOff]]-Games[[#This Row],[DaysOff]]</f>
        <v>1</v>
      </c>
      <c r="M158" s="1">
        <f>MAX(-16, MIN(16, Games[[#This Row],[RestDiff]]*8))</f>
        <v>-8</v>
      </c>
      <c r="N158" s="1">
        <f>MAX(-16, MIN(16, Games[[#This Row],[OppRestDiff]]*8))</f>
        <v>8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1455.6047041822339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1386.838998734454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0.4551709402030894</v>
      </c>
      <c r="R158" s="1">
        <v>83</v>
      </c>
      <c r="S158" s="1">
        <v>91</v>
      </c>
      <c r="T158" s="1">
        <v>0</v>
      </c>
      <c r="U158" s="1">
        <f>Games[[#This Row],[PointsFor]]-Games[[#This Row],[PointsAgainst]]</f>
        <v>-8</v>
      </c>
      <c r="V158" s="1">
        <f>IF(Games[[#This Row],[MOV]]&gt;0,1,IF(Games[[#This Row],[MOV]]=0,0.5,0))</f>
        <v>0</v>
      </c>
      <c r="W158" s="4">
        <f>((ABS(Games[[#This Row],[MOV]])+5)^0.6)/(12+0.01*(ABS(Games[[#This Row],[PreGmRate]]-Games[[#This Row],[OppPreGmRate]])))*IF(Games[[#This Row],[OT]]=1,0.9,1)</f>
        <v>0.36726926019737488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8" s="9">
        <f>MAX(kmin, kmax - 0.15 * MIN(Games[[#This Row],[GamesPlayed]], 82))</f>
        <v>74.05</v>
      </c>
      <c r="Z158" s="4">
        <f>Games[[#This Row],[K]]*Games[[#This Row],[POMult]]</f>
        <v>74.05</v>
      </c>
      <c r="AA158" s="4">
        <f>(Games[[#This Row],[Keff]]*Games[[#This Row],[MOVMult]])*(Games[[#This Row],[Result]]-Games[[#This Row],[ExpectedWin%]])</f>
        <v>-12.37896030563177</v>
      </c>
      <c r="AB158" s="4">
        <f>Games[[#This Row],[PreGmRate]]+Games[[#This Row],[RatingChange]]</f>
        <v>1443.2257438766021</v>
      </c>
      <c r="AC158" s="2">
        <f>IF(Games[[#This Row],[Type]]="R",IF(Games[[#This Row],[Result]]&gt;0.5,1,0),0)</f>
        <v>0</v>
      </c>
      <c r="AD158" s="2">
        <f>IF(Games[[#This Row],[Type]]="R",IF(Games[[#This Row],[Result]]&lt;0.5,1,0),0)</f>
        <v>1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45459</v>
      </c>
      <c r="B159" s="2">
        <v>2024</v>
      </c>
      <c r="C159" s="2">
        <f>COUNTIFS(Games[Team],Games[[#This Row],[Team]],Games[Season],Games[[#This Row],[Season]],Games[Date],"&lt;=" &amp; Games[[#This Row],[Date]])</f>
        <v>15</v>
      </c>
      <c r="D159" s="2" t="s">
        <v>79</v>
      </c>
      <c r="E159" s="2" t="s">
        <v>80</v>
      </c>
      <c r="F159" s="1" t="s">
        <v>69</v>
      </c>
      <c r="G159" s="1" t="s">
        <v>75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9" s="2">
        <f>Games[[#This Row],[DaysOff]]-Games[[#This Row],[OppDaysOff]]</f>
        <v>1</v>
      </c>
      <c r="L159" s="2">
        <f>Games[[#This Row],[OppDaysOff]]-Games[[#This Row],[DaysOff]]</f>
        <v>-1</v>
      </c>
      <c r="M159" s="1">
        <f>MAX(-16, MIN(16, Games[[#This Row],[RestDiff]]*8))</f>
        <v>8</v>
      </c>
      <c r="N159" s="1">
        <f>MAX(-16, MIN(16, Games[[#This Row],[OppRestDiff]]*8))</f>
        <v>-8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1386.838998734454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1455.6047041822339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0.54482905979691054</v>
      </c>
      <c r="R159" s="1">
        <v>91</v>
      </c>
      <c r="S159" s="1">
        <v>83</v>
      </c>
      <c r="T159" s="1">
        <v>0</v>
      </c>
      <c r="U159" s="1">
        <f>Games[[#This Row],[PointsFor]]-Games[[#This Row],[PointsAgainst]]</f>
        <v>8</v>
      </c>
      <c r="V159" s="1">
        <f>IF(Games[[#This Row],[MOV]]&gt;0,1,IF(Games[[#This Row],[MOV]]=0,0.5,0))</f>
        <v>1</v>
      </c>
      <c r="W159" s="4">
        <f>((ABS(Games[[#This Row],[MOV]])+5)^0.6)/(12+0.01*(ABS(Games[[#This Row],[PreGmRate]]-Games[[#This Row],[OppPreGmRate]])))*IF(Games[[#This Row],[OT]]=1,0.9,1)</f>
        <v>0.36726926019737488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9" s="9">
        <f>MAX(kmin, kmax - 0.15 * MIN(Games[[#This Row],[GamesPlayed]], 82))</f>
        <v>73.75</v>
      </c>
      <c r="Z159" s="4">
        <f>Games[[#This Row],[K]]*Games[[#This Row],[POMult]]</f>
        <v>73.75</v>
      </c>
      <c r="AA159" s="4">
        <f>(Games[[#This Row],[Keff]]*Games[[#This Row],[MOVMult]])*(Games[[#This Row],[Result]]-Games[[#This Row],[ExpectedWin%]])</f>
        <v>12.328809217290253</v>
      </c>
      <c r="AB159" s="4">
        <f>Games[[#This Row],[PreGmRate]]+Games[[#This Row],[RatingChange]]</f>
        <v>1399.1678079517442</v>
      </c>
      <c r="AC159" s="2">
        <f>IF(Games[[#This Row],[Type]]="R",IF(Games[[#This Row],[Result]]&gt;0.5,1,0),0)</f>
        <v>1</v>
      </c>
      <c r="AD159" s="2">
        <f>IF(Games[[#This Row],[Type]]="R",IF(Games[[#This Row],[Result]]&lt;0.5,1,0),0)</f>
        <v>0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45459</v>
      </c>
      <c r="B160" s="2">
        <v>2024</v>
      </c>
      <c r="C160" s="2">
        <f>COUNTIFS(Games[Team],Games[[#This Row],[Team]],Games[Season],Games[[#This Row],[Season]],Games[Date],"&lt;=" &amp; Games[[#This Row],[Date]])</f>
        <v>14</v>
      </c>
      <c r="D160" s="2" t="s">
        <v>79</v>
      </c>
      <c r="E160" s="2" t="s">
        <v>80</v>
      </c>
      <c r="F160" s="1" t="s">
        <v>71</v>
      </c>
      <c r="G160" s="1" t="s">
        <v>40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0" s="2">
        <f>Games[[#This Row],[DaysOff]]-Games[[#This Row],[OppDaysOff]]</f>
        <v>0</v>
      </c>
      <c r="L160" s="2">
        <f>Games[[#This Row],[OppDaysOff]]-Games[[#This Row],[DaysOff]]</f>
        <v>0</v>
      </c>
      <c r="M160" s="1">
        <f>MAX(-16, MIN(16, Games[[#This Row],[RestDiff]]*8))</f>
        <v>0</v>
      </c>
      <c r="N160" s="1">
        <f>MAX(-16, MIN(16, Games[[#This Row],[OppRestDiff]]*8))</f>
        <v>0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1541.0373127513406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1426.4712144579307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0.54387501474043143</v>
      </c>
      <c r="R160" s="1">
        <v>78</v>
      </c>
      <c r="S160" s="1">
        <v>87</v>
      </c>
      <c r="T160" s="1">
        <v>0</v>
      </c>
      <c r="U160" s="1">
        <f>Games[[#This Row],[PointsFor]]-Games[[#This Row],[PointsAgainst]]</f>
        <v>-9</v>
      </c>
      <c r="V160" s="1">
        <f>IF(Games[[#This Row],[MOV]]&gt;0,1,IF(Games[[#This Row],[MOV]]=0,0.5,0))</f>
        <v>0</v>
      </c>
      <c r="W160" s="4">
        <f>((ABS(Games[[#This Row],[MOV]])+5)^0.6)/(12+0.01*(ABS(Games[[#This Row],[PreGmRate]]-Games[[#This Row],[OppPreGmRate]])))*IF(Games[[#This Row],[OT]]=1,0.9,1)</f>
        <v>0.37059059503294484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0" s="9">
        <f>MAX(kmin, kmax - 0.15 * MIN(Games[[#This Row],[GamesPlayed]], 82))</f>
        <v>73.900000000000006</v>
      </c>
      <c r="Z160" s="4">
        <f>Games[[#This Row],[K]]*Games[[#This Row],[POMult]]</f>
        <v>73.900000000000006</v>
      </c>
      <c r="AA160" s="4">
        <f>(Games[[#This Row],[Keff]]*Games[[#This Row],[MOVMult]])*(Games[[#This Row],[Result]]-Games[[#This Row],[ExpectedWin%]])</f>
        <v>-14.894911938345782</v>
      </c>
      <c r="AB160" s="4">
        <f>Games[[#This Row],[PreGmRate]]+Games[[#This Row],[RatingChange]]</f>
        <v>1526.1424008129948</v>
      </c>
      <c r="AC160" s="2">
        <f>IF(Games[[#This Row],[Type]]="R",IF(Games[[#This Row],[Result]]&gt;0.5,1,0),0)</f>
        <v>0</v>
      </c>
      <c r="AD160" s="2">
        <f>IF(Games[[#This Row],[Type]]="R",IF(Games[[#This Row],[Result]]&lt;0.5,1,0),0)</f>
        <v>1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45459</v>
      </c>
      <c r="B161" s="2">
        <v>2024</v>
      </c>
      <c r="C161" s="2">
        <f>COUNTIFS(Games[Team],Games[[#This Row],[Team]],Games[Season],Games[[#This Row],[Season]],Games[Date],"&lt;=" &amp; Games[[#This Row],[Date]])</f>
        <v>14</v>
      </c>
      <c r="D161" s="2" t="s">
        <v>79</v>
      </c>
      <c r="E161" s="2" t="s">
        <v>80</v>
      </c>
      <c r="F161" s="1" t="s">
        <v>40</v>
      </c>
      <c r="G161" s="1" t="s">
        <v>71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1" s="2">
        <f>Games[[#This Row],[DaysOff]]-Games[[#This Row],[OppDaysOff]]</f>
        <v>0</v>
      </c>
      <c r="L161" s="2">
        <f>Games[[#This Row],[OppDaysOff]]-Games[[#This Row],[DaysOff]]</f>
        <v>0</v>
      </c>
      <c r="M161" s="1">
        <f>MAX(-16, MIN(16, Games[[#This Row],[RestDiff]]*8))</f>
        <v>0</v>
      </c>
      <c r="N161" s="1">
        <f>MAX(-16, MIN(16, Games[[#This Row],[OppRestDiff]]*8))</f>
        <v>0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1426.4712144579307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1541.0373127513406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0.45612498525956857</v>
      </c>
      <c r="R161" s="1">
        <v>87</v>
      </c>
      <c r="S161" s="1">
        <v>78</v>
      </c>
      <c r="T161" s="1">
        <v>0</v>
      </c>
      <c r="U161" s="1">
        <f>Games[[#This Row],[PointsFor]]-Games[[#This Row],[PointsAgainst]]</f>
        <v>9</v>
      </c>
      <c r="V161" s="1">
        <f>IF(Games[[#This Row],[MOV]]&gt;0,1,IF(Games[[#This Row],[MOV]]=0,0.5,0))</f>
        <v>1</v>
      </c>
      <c r="W161" s="4">
        <f>((ABS(Games[[#This Row],[MOV]])+5)^0.6)/(12+0.01*(ABS(Games[[#This Row],[PreGmRate]]-Games[[#This Row],[OppPreGmRate]])))*IF(Games[[#This Row],[OT]]=1,0.9,1)</f>
        <v>0.37059059503294484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1" s="9">
        <f>MAX(kmin, kmax - 0.15 * MIN(Games[[#This Row],[GamesPlayed]], 82))</f>
        <v>73.900000000000006</v>
      </c>
      <c r="Z161" s="4">
        <f>Games[[#This Row],[K]]*Games[[#This Row],[POMult]]</f>
        <v>73.900000000000006</v>
      </c>
      <c r="AA161" s="4">
        <f>(Games[[#This Row],[Keff]]*Games[[#This Row],[MOVMult]])*(Games[[#This Row],[Result]]-Games[[#This Row],[ExpectedWin%]])</f>
        <v>14.894911938345782</v>
      </c>
      <c r="AB161" s="4">
        <f>Games[[#This Row],[PreGmRate]]+Games[[#This Row],[RatingChange]]</f>
        <v>1441.3661263962765</v>
      </c>
      <c r="AC161" s="2">
        <f>IF(Games[[#This Row],[Type]]="R",IF(Games[[#This Row],[Result]]&gt;0.5,1,0),0)</f>
        <v>1</v>
      </c>
      <c r="AD161" s="2">
        <f>IF(Games[[#This Row],[Type]]="R",IF(Games[[#This Row],[Result]]&lt;0.5,1,0),0)</f>
        <v>0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45460</v>
      </c>
      <c r="B162" s="2">
        <v>2024</v>
      </c>
      <c r="C162" s="2">
        <f>COUNTIFS(Games[Team],Games[[#This Row],[Team]],Games[Season],Games[[#This Row],[Season]],Games[Date],"&lt;=" &amp; Games[[#This Row],[Date]])</f>
        <v>13</v>
      </c>
      <c r="D162" s="2" t="s">
        <v>79</v>
      </c>
      <c r="E162" s="2" t="s">
        <v>80</v>
      </c>
      <c r="F162" s="1" t="s">
        <v>85</v>
      </c>
      <c r="G162" s="1" t="s">
        <v>67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2" s="2">
        <f>Games[[#This Row],[DaysOff]]-Games[[#This Row],[OppDaysOff]]</f>
        <v>-1</v>
      </c>
      <c r="L162" s="2">
        <f>Games[[#This Row],[OppDaysOff]]-Games[[#This Row],[DaysOff]]</f>
        <v>1</v>
      </c>
      <c r="M162" s="1">
        <f>MAX(-16, MIN(16, Games[[#This Row],[RestDiff]]*8))</f>
        <v>-8</v>
      </c>
      <c r="N162" s="1">
        <f>MAX(-16, MIN(16, Games[[#This Row],[OppRestDiff]]*8))</f>
        <v>8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1442.9641422700256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1594.8071817714967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0.19004388141134512</v>
      </c>
      <c r="R162" s="1">
        <v>78</v>
      </c>
      <c r="S162" s="1">
        <v>90</v>
      </c>
      <c r="T162" s="1">
        <v>0</v>
      </c>
      <c r="U162" s="1">
        <f>Games[[#This Row],[PointsFor]]-Games[[#This Row],[PointsAgainst]]</f>
        <v>-12</v>
      </c>
      <c r="V162" s="1">
        <f>IF(Games[[#This Row],[MOV]]&gt;0,1,IF(Games[[#This Row],[MOV]]=0,0.5,0))</f>
        <v>0</v>
      </c>
      <c r="W162" s="4">
        <f>((ABS(Games[[#This Row],[MOV]])+5)^0.6)/(12+0.01*(ABS(Games[[#This Row],[PreGmRate]]-Games[[#This Row],[OppPreGmRate]])))*IF(Games[[#This Row],[OT]]=1,0.9,1)</f>
        <v>0.40489562449032623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2" s="9">
        <f>MAX(kmin, kmax - 0.15 * MIN(Games[[#This Row],[GamesPlayed]], 82))</f>
        <v>74.05</v>
      </c>
      <c r="Z162" s="4">
        <f>Games[[#This Row],[K]]*Games[[#This Row],[POMult]]</f>
        <v>74.05</v>
      </c>
      <c r="AA162" s="4">
        <f>(Games[[#This Row],[Keff]]*Games[[#This Row],[MOVMult]])*(Games[[#This Row],[Result]]-Games[[#This Row],[ExpectedWin%]])</f>
        <v>-5.6979946641035246</v>
      </c>
      <c r="AB162" s="4">
        <f>Games[[#This Row],[PreGmRate]]+Games[[#This Row],[RatingChange]]</f>
        <v>1437.266147605922</v>
      </c>
      <c r="AC162" s="2">
        <f>IF(Games[[#This Row],[Type]]="R",IF(Games[[#This Row],[Result]]&gt;0.5,1,0),0)</f>
        <v>0</v>
      </c>
      <c r="AD162" s="2">
        <f>IF(Games[[#This Row],[Type]]="R",IF(Games[[#This Row],[Result]]&lt;0.5,1,0),0)</f>
        <v>1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45460</v>
      </c>
      <c r="B163" s="2">
        <v>2024</v>
      </c>
      <c r="C163" s="2">
        <f>COUNTIFS(Games[Team],Games[[#This Row],[Team]],Games[Season],Games[[#This Row],[Season]],Games[Date],"&lt;=" &amp; Games[[#This Row],[Date]])</f>
        <v>14</v>
      </c>
      <c r="D163" s="2" t="s">
        <v>79</v>
      </c>
      <c r="E163" s="2" t="s">
        <v>80</v>
      </c>
      <c r="F163" s="1" t="s">
        <v>67</v>
      </c>
      <c r="G163" s="1" t="s">
        <v>85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3" s="2">
        <f>Games[[#This Row],[DaysOff]]-Games[[#This Row],[OppDaysOff]]</f>
        <v>1</v>
      </c>
      <c r="L163" s="2">
        <f>Games[[#This Row],[OppDaysOff]]-Games[[#This Row],[DaysOff]]</f>
        <v>-1</v>
      </c>
      <c r="M163" s="1">
        <f>MAX(-16, MIN(16, Games[[#This Row],[RestDiff]]*8))</f>
        <v>8</v>
      </c>
      <c r="N163" s="1">
        <f>MAX(-16, MIN(16, Games[[#This Row],[OppRestDiff]]*8))</f>
        <v>-8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1594.8071817714967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1442.9641422700256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0.80995611858865491</v>
      </c>
      <c r="R163" s="1">
        <v>90</v>
      </c>
      <c r="S163" s="1">
        <v>78</v>
      </c>
      <c r="T163" s="1">
        <v>0</v>
      </c>
      <c r="U163" s="1">
        <f>Games[[#This Row],[PointsFor]]-Games[[#This Row],[PointsAgainst]]</f>
        <v>12</v>
      </c>
      <c r="V163" s="1">
        <f>IF(Games[[#This Row],[MOV]]&gt;0,1,IF(Games[[#This Row],[MOV]]=0,0.5,0))</f>
        <v>1</v>
      </c>
      <c r="W163" s="4">
        <f>((ABS(Games[[#This Row],[MOV]])+5)^0.6)/(12+0.01*(ABS(Games[[#This Row],[PreGmRate]]-Games[[#This Row],[OppPreGmRate]])))*IF(Games[[#This Row],[OT]]=1,0.9,1)</f>
        <v>0.40489562449032623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3" s="9">
        <f>MAX(kmin, kmax - 0.15 * MIN(Games[[#This Row],[GamesPlayed]], 82))</f>
        <v>73.900000000000006</v>
      </c>
      <c r="Z163" s="4">
        <f>Games[[#This Row],[K]]*Games[[#This Row],[POMult]]</f>
        <v>73.900000000000006</v>
      </c>
      <c r="AA163" s="4">
        <f>(Games[[#This Row],[Keff]]*Games[[#This Row],[MOVMult]])*(Games[[#This Row],[Result]]-Games[[#This Row],[ExpectedWin%]])</f>
        <v>5.686452473696832</v>
      </c>
      <c r="AB163" s="4">
        <f>Games[[#This Row],[PreGmRate]]+Games[[#This Row],[RatingChange]]</f>
        <v>1600.4936342451936</v>
      </c>
      <c r="AC163" s="2">
        <f>IF(Games[[#This Row],[Type]]="R",IF(Games[[#This Row],[Result]]&gt;0.5,1,0),0)</f>
        <v>1</v>
      </c>
      <c r="AD163" s="2">
        <f>IF(Games[[#This Row],[Type]]="R",IF(Games[[#This Row],[Result]]&lt;0.5,1,0),0)</f>
        <v>0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45461</v>
      </c>
      <c r="B164" s="2">
        <v>2024</v>
      </c>
      <c r="C164" s="2">
        <f>COUNTIFS(Games[Team],Games[[#This Row],[Team]],Games[Season],Games[[#This Row],[Season]],Games[Date],"&lt;=" &amp; Games[[#This Row],[Date]])</f>
        <v>15</v>
      </c>
      <c r="D164" s="2" t="s">
        <v>79</v>
      </c>
      <c r="E164" s="2" t="s">
        <v>80</v>
      </c>
      <c r="F164" s="1" t="s">
        <v>63</v>
      </c>
      <c r="G164" s="1" t="s">
        <v>74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4" s="2">
        <f>Games[[#This Row],[DaysOff]]-Games[[#This Row],[OppDaysOff]]</f>
        <v>-1</v>
      </c>
      <c r="L164" s="2">
        <f>Games[[#This Row],[OppDaysOff]]-Games[[#This Row],[DaysOff]]</f>
        <v>1</v>
      </c>
      <c r="M164" s="1">
        <f>MAX(-16, MIN(16, Games[[#This Row],[RestDiff]]*8))</f>
        <v>-8</v>
      </c>
      <c r="N164" s="1">
        <f>MAX(-16, MIN(16, Games[[#This Row],[OppRestDiff]]*8))</f>
        <v>8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1400.6208074549706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1640.4904254368832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0.12385210116087987</v>
      </c>
      <c r="R164" s="1">
        <v>70</v>
      </c>
      <c r="S164" s="1">
        <v>79</v>
      </c>
      <c r="T164" s="1">
        <v>0</v>
      </c>
      <c r="U164" s="1">
        <f>Games[[#This Row],[PointsFor]]-Games[[#This Row],[PointsAgainst]]</f>
        <v>-9</v>
      </c>
      <c r="V164" s="1">
        <f>IF(Games[[#This Row],[MOV]]&gt;0,1,IF(Games[[#This Row],[MOV]]=0,0.5,0))</f>
        <v>0</v>
      </c>
      <c r="W164" s="4">
        <f>((ABS(Games[[#This Row],[MOV]])+5)^0.6)/(12+0.01*(ABS(Games[[#This Row],[PreGmRate]]-Games[[#This Row],[OppPreGmRate]])))*IF(Games[[#This Row],[OT]]=1,0.9,1)</f>
        <v>0.33834024031946142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4" s="9">
        <f>MAX(kmin, kmax - 0.15 * MIN(Games[[#This Row],[GamesPlayed]], 82))</f>
        <v>73.75</v>
      </c>
      <c r="Z164" s="4">
        <f>Games[[#This Row],[K]]*Games[[#This Row],[POMult]]</f>
        <v>73.75</v>
      </c>
      <c r="AA164" s="4">
        <f>(Games[[#This Row],[Keff]]*Games[[#This Row],[MOVMult]])*(Games[[#This Row],[Result]]-Games[[#This Row],[ExpectedWin%]])</f>
        <v>-3.0904310382246227</v>
      </c>
      <c r="AB164" s="4">
        <f>Games[[#This Row],[PreGmRate]]+Games[[#This Row],[RatingChange]]</f>
        <v>1397.5303764167461</v>
      </c>
      <c r="AC164" s="2">
        <f>IF(Games[[#This Row],[Type]]="R",IF(Games[[#This Row],[Result]]&gt;0.5,1,0),0)</f>
        <v>0</v>
      </c>
      <c r="AD164" s="2">
        <f>IF(Games[[#This Row],[Type]]="R",IF(Games[[#This Row],[Result]]&lt;0.5,1,0),0)</f>
        <v>1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45461</v>
      </c>
      <c r="B165" s="2">
        <v>2024</v>
      </c>
      <c r="C165" s="2">
        <f>COUNTIFS(Games[Team],Games[[#This Row],[Team]],Games[Season],Games[[#This Row],[Season]],Games[Date],"&lt;=" &amp; Games[[#This Row],[Date]])</f>
        <v>14</v>
      </c>
      <c r="D165" s="2" t="s">
        <v>79</v>
      </c>
      <c r="E165" s="2" t="s">
        <v>80</v>
      </c>
      <c r="F165" s="1" t="s">
        <v>74</v>
      </c>
      <c r="G165" s="1" t="s">
        <v>63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5" s="2">
        <f>Games[[#This Row],[DaysOff]]-Games[[#This Row],[OppDaysOff]]</f>
        <v>1</v>
      </c>
      <c r="L165" s="2">
        <f>Games[[#This Row],[OppDaysOff]]-Games[[#This Row],[DaysOff]]</f>
        <v>-1</v>
      </c>
      <c r="M165" s="1">
        <f>MAX(-16, MIN(16, Games[[#This Row],[RestDiff]]*8))</f>
        <v>8</v>
      </c>
      <c r="N165" s="1">
        <f>MAX(-16, MIN(16, Games[[#This Row],[OppRestDiff]]*8))</f>
        <v>-8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1640.4904254368832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1400.6208074549706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0.87614789883912025</v>
      </c>
      <c r="R165" s="1">
        <v>79</v>
      </c>
      <c r="S165" s="1">
        <v>70</v>
      </c>
      <c r="T165" s="1">
        <v>0</v>
      </c>
      <c r="U165" s="1">
        <f>Games[[#This Row],[PointsFor]]-Games[[#This Row],[PointsAgainst]]</f>
        <v>9</v>
      </c>
      <c r="V165" s="1">
        <f>IF(Games[[#This Row],[MOV]]&gt;0,1,IF(Games[[#This Row],[MOV]]=0,0.5,0))</f>
        <v>1</v>
      </c>
      <c r="W165" s="4">
        <f>((ABS(Games[[#This Row],[MOV]])+5)^0.6)/(12+0.01*(ABS(Games[[#This Row],[PreGmRate]]-Games[[#This Row],[OppPreGmRate]])))*IF(Games[[#This Row],[OT]]=1,0.9,1)</f>
        <v>0.33834024031946142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5" s="9">
        <f>MAX(kmin, kmax - 0.15 * MIN(Games[[#This Row],[GamesPlayed]], 82))</f>
        <v>73.900000000000006</v>
      </c>
      <c r="Z165" s="4">
        <f>Games[[#This Row],[K]]*Games[[#This Row],[POMult]]</f>
        <v>73.900000000000006</v>
      </c>
      <c r="AA165" s="4">
        <f>(Games[[#This Row],[Keff]]*Games[[#This Row],[MOVMult]])*(Games[[#This Row],[Result]]-Games[[#This Row],[ExpectedWin%]])</f>
        <v>3.0967166606752459</v>
      </c>
      <c r="AB165" s="4">
        <f>Games[[#This Row],[PreGmRate]]+Games[[#This Row],[RatingChange]]</f>
        <v>1643.5871420975584</v>
      </c>
      <c r="AC165" s="2">
        <f>IF(Games[[#This Row],[Type]]="R",IF(Games[[#This Row],[Result]]&gt;0.5,1,0),0)</f>
        <v>1</v>
      </c>
      <c r="AD165" s="2">
        <f>IF(Games[[#This Row],[Type]]="R",IF(Games[[#This Row],[Result]]&lt;0.5,1,0),0)</f>
        <v>0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45461</v>
      </c>
      <c r="B166" s="2">
        <v>2024</v>
      </c>
      <c r="C166" s="2">
        <f>COUNTIFS(Games[Team],Games[[#This Row],[Team]],Games[Season],Games[[#This Row],[Season]],Games[Date],"&lt;=" &amp; Games[[#This Row],[Date]])</f>
        <v>15</v>
      </c>
      <c r="D166" s="2" t="s">
        <v>79</v>
      </c>
      <c r="E166" s="2" t="s">
        <v>80</v>
      </c>
      <c r="F166" s="1" t="s">
        <v>60</v>
      </c>
      <c r="G166" s="1" t="s">
        <v>40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6" s="2">
        <f>Games[[#This Row],[DaysOff]]-Games[[#This Row],[OppDaysOff]]</f>
        <v>1</v>
      </c>
      <c r="L166" s="2">
        <f>Games[[#This Row],[OppDaysOff]]-Games[[#This Row],[DaysOff]]</f>
        <v>-1</v>
      </c>
      <c r="M166" s="1">
        <f>MAX(-16, MIN(16, Games[[#This Row],[RestDiff]]*8))</f>
        <v>8</v>
      </c>
      <c r="N166" s="1">
        <f>MAX(-16, MIN(16, Games[[#This Row],[OppRestDiff]]*8))</f>
        <v>-8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1677.5610238464767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1441.3661263962765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0.72476210209292768</v>
      </c>
      <c r="R166" s="1">
        <v>93</v>
      </c>
      <c r="S166" s="1">
        <v>99</v>
      </c>
      <c r="T166" s="1">
        <v>0</v>
      </c>
      <c r="U166" s="1">
        <f>Games[[#This Row],[PointsFor]]-Games[[#This Row],[PointsAgainst]]</f>
        <v>-6</v>
      </c>
      <c r="V166" s="1">
        <f>IF(Games[[#This Row],[MOV]]&gt;0,1,IF(Games[[#This Row],[MOV]]=0,0.5,0))</f>
        <v>0</v>
      </c>
      <c r="W166" s="4">
        <f>((ABS(Games[[#This Row],[MOV]])+5)^0.6)/(12+0.01*(ABS(Games[[#This Row],[PreGmRate]]-Games[[#This Row],[OppPreGmRate]])))*IF(Games[[#This Row],[OT]]=1,0.9,1)</f>
        <v>0.29350954669006313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6" s="9">
        <f>MAX(kmin, kmax - 0.15 * MIN(Games[[#This Row],[GamesPlayed]], 82))</f>
        <v>73.75</v>
      </c>
      <c r="Z166" s="4">
        <f>Games[[#This Row],[K]]*Games[[#This Row],[POMult]]</f>
        <v>73.75</v>
      </c>
      <c r="AA166" s="4">
        <f>(Games[[#This Row],[Keff]]*Games[[#This Row],[MOVMult]])*(Games[[#This Row],[Result]]-Games[[#This Row],[ExpectedWin%]])</f>
        <v>-15.688438958203143</v>
      </c>
      <c r="AB166" s="4">
        <f>Games[[#This Row],[PreGmRate]]+Games[[#This Row],[RatingChange]]</f>
        <v>1661.8725848882736</v>
      </c>
      <c r="AC166" s="2">
        <f>IF(Games[[#This Row],[Type]]="R",IF(Games[[#This Row],[Result]]&gt;0.5,1,0),0)</f>
        <v>0</v>
      </c>
      <c r="AD166" s="2">
        <f>IF(Games[[#This Row],[Type]]="R",IF(Games[[#This Row],[Result]]&lt;0.5,1,0),0)</f>
        <v>1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45461</v>
      </c>
      <c r="B167" s="2">
        <v>2024</v>
      </c>
      <c r="C167" s="2">
        <f>COUNTIFS(Games[Team],Games[[#This Row],[Team]],Games[Season],Games[[#This Row],[Season]],Games[Date],"&lt;=" &amp; Games[[#This Row],[Date]])</f>
        <v>15</v>
      </c>
      <c r="D167" s="2" t="s">
        <v>79</v>
      </c>
      <c r="E167" s="2" t="s">
        <v>80</v>
      </c>
      <c r="F167" s="1" t="s">
        <v>40</v>
      </c>
      <c r="G167" s="1" t="s">
        <v>60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7" s="2">
        <f>Games[[#This Row],[DaysOff]]-Games[[#This Row],[OppDaysOff]]</f>
        <v>-1</v>
      </c>
      <c r="L167" s="2">
        <f>Games[[#This Row],[OppDaysOff]]-Games[[#This Row],[DaysOff]]</f>
        <v>1</v>
      </c>
      <c r="M167" s="1">
        <f>MAX(-16, MIN(16, Games[[#This Row],[RestDiff]]*8))</f>
        <v>-8</v>
      </c>
      <c r="N167" s="1">
        <f>MAX(-16, MIN(16, Games[[#This Row],[OppRestDiff]]*8))</f>
        <v>8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1441.3661263962765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1677.5610238464767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0.27523789790707243</v>
      </c>
      <c r="R167" s="1">
        <v>99</v>
      </c>
      <c r="S167" s="1">
        <v>93</v>
      </c>
      <c r="T167" s="1">
        <v>0</v>
      </c>
      <c r="U167" s="1">
        <f>Games[[#This Row],[PointsFor]]-Games[[#This Row],[PointsAgainst]]</f>
        <v>6</v>
      </c>
      <c r="V167" s="1">
        <f>IF(Games[[#This Row],[MOV]]&gt;0,1,IF(Games[[#This Row],[MOV]]=0,0.5,0))</f>
        <v>1</v>
      </c>
      <c r="W167" s="4">
        <f>((ABS(Games[[#This Row],[MOV]])+5)^0.6)/(12+0.01*(ABS(Games[[#This Row],[PreGmRate]]-Games[[#This Row],[OppPreGmRate]])))*IF(Games[[#This Row],[OT]]=1,0.9,1)</f>
        <v>0.29350954669006313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7" s="9">
        <f>MAX(kmin, kmax - 0.15 * MIN(Games[[#This Row],[GamesPlayed]], 82))</f>
        <v>73.75</v>
      </c>
      <c r="Z167" s="4">
        <f>Games[[#This Row],[K]]*Games[[#This Row],[POMult]]</f>
        <v>73.75</v>
      </c>
      <c r="AA167" s="4">
        <f>(Games[[#This Row],[Keff]]*Games[[#This Row],[MOVMult]])*(Games[[#This Row],[Result]]-Games[[#This Row],[ExpectedWin%]])</f>
        <v>15.688438958203141</v>
      </c>
      <c r="AB167" s="4">
        <f>Games[[#This Row],[PreGmRate]]+Games[[#This Row],[RatingChange]]</f>
        <v>1457.0545653544796</v>
      </c>
      <c r="AC167" s="2">
        <f>IF(Games[[#This Row],[Type]]="R",IF(Games[[#This Row],[Result]]&gt;0.5,1,0),0)</f>
        <v>1</v>
      </c>
      <c r="AD167" s="2">
        <f>IF(Games[[#This Row],[Type]]="R",IF(Games[[#This Row],[Result]]&lt;0.5,1,0),0)</f>
        <v>0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45462</v>
      </c>
      <c r="B168" s="2">
        <v>2024</v>
      </c>
      <c r="C168" s="2">
        <f>COUNTIFS(Games[Team],Games[[#This Row],[Team]],Games[Season],Games[[#This Row],[Season]],Games[Date],"&lt;=" &amp; Games[[#This Row],[Date]])</f>
        <v>15</v>
      </c>
      <c r="D168" s="2" t="s">
        <v>79</v>
      </c>
      <c r="E168" s="2" t="s">
        <v>80</v>
      </c>
      <c r="F168" s="1" t="s">
        <v>65</v>
      </c>
      <c r="G168" s="1" t="s">
        <v>69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8" s="2">
        <f>Games[[#This Row],[DaysOff]]-Games[[#This Row],[OppDaysOff]]</f>
        <v>2</v>
      </c>
      <c r="L168" s="2">
        <f>Games[[#This Row],[OppDaysOff]]-Games[[#This Row],[DaysOff]]</f>
        <v>-2</v>
      </c>
      <c r="M168" s="1">
        <f>MAX(-16, MIN(16, Games[[#This Row],[RestDiff]]*8))</f>
        <v>16</v>
      </c>
      <c r="N168" s="1">
        <f>MAX(-16, MIN(16, Games[[#This Row],[OppRestDiff]]*8))</f>
        <v>-16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1400.5678643882125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1399.1678079517442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0.42769134113683177</v>
      </c>
      <c r="R168" s="1">
        <v>81</v>
      </c>
      <c r="S168" s="1">
        <v>88</v>
      </c>
      <c r="T168" s="1">
        <v>0</v>
      </c>
      <c r="U168" s="1">
        <f>Games[[#This Row],[PointsFor]]-Games[[#This Row],[PointsAgainst]]</f>
        <v>-7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0.36967586659013124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8" s="9">
        <f>MAX(kmin, kmax - 0.15 * MIN(Games[[#This Row],[GamesPlayed]], 82))</f>
        <v>73.75</v>
      </c>
      <c r="Z168" s="4">
        <f>Games[[#This Row],[K]]*Games[[#This Row],[POMult]]</f>
        <v>73.75</v>
      </c>
      <c r="AA168" s="4">
        <f>(Games[[#This Row],[Keff]]*Games[[#This Row],[MOVMult]])*(Games[[#This Row],[Result]]-Games[[#This Row],[ExpectedWin%]])</f>
        <v>-11.660403578629213</v>
      </c>
      <c r="AB168" s="4">
        <f>Games[[#This Row],[PreGmRate]]+Games[[#This Row],[RatingChange]]</f>
        <v>1388.9074608095832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45462</v>
      </c>
      <c r="B169" s="2">
        <v>2024</v>
      </c>
      <c r="C169" s="2">
        <f>COUNTIFS(Games[Team],Games[[#This Row],[Team]],Games[Season],Games[[#This Row],[Season]],Games[Date],"&lt;=" &amp; Games[[#This Row],[Date]])</f>
        <v>16</v>
      </c>
      <c r="D169" s="2" t="s">
        <v>79</v>
      </c>
      <c r="E169" s="2" t="s">
        <v>80</v>
      </c>
      <c r="F169" s="1" t="s">
        <v>69</v>
      </c>
      <c r="G169" s="1" t="s">
        <v>65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69" s="2">
        <f>Games[[#This Row],[DaysOff]]-Games[[#This Row],[OppDaysOff]]</f>
        <v>-2</v>
      </c>
      <c r="L169" s="2">
        <f>Games[[#This Row],[OppDaysOff]]-Games[[#This Row],[DaysOff]]</f>
        <v>2</v>
      </c>
      <c r="M169" s="1">
        <f>MAX(-16, MIN(16, Games[[#This Row],[RestDiff]]*8))</f>
        <v>-16</v>
      </c>
      <c r="N169" s="1">
        <f>MAX(-16, MIN(16, Games[[#This Row],[OppRestDiff]]*8))</f>
        <v>16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1399.1678079517442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1400.5678643882125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0.57230865886316817</v>
      </c>
      <c r="R169" s="1">
        <v>88</v>
      </c>
      <c r="S169" s="1">
        <v>81</v>
      </c>
      <c r="T169" s="1">
        <v>0</v>
      </c>
      <c r="U169" s="1">
        <f>Games[[#This Row],[PointsFor]]-Games[[#This Row],[PointsAgainst]]</f>
        <v>7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0.36967586659013124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9" s="9">
        <f>MAX(kmin, kmax - 0.15 * MIN(Games[[#This Row],[GamesPlayed]], 82))</f>
        <v>73.599999999999994</v>
      </c>
      <c r="Z169" s="4">
        <f>Games[[#This Row],[K]]*Games[[#This Row],[POMult]]</f>
        <v>73.599999999999994</v>
      </c>
      <c r="AA169" s="4">
        <f>(Games[[#This Row],[Keff]]*Games[[#This Row],[MOVMult]])*(Games[[#This Row],[Result]]-Games[[#This Row],[ExpectedWin%]])</f>
        <v>11.636687503554036</v>
      </c>
      <c r="AB169" s="4">
        <f>Games[[#This Row],[PreGmRate]]+Games[[#This Row],[RatingChange]]</f>
        <v>1410.8044954552981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45462</v>
      </c>
      <c r="B170" s="2">
        <v>2024</v>
      </c>
      <c r="C170" s="2">
        <f>COUNTIFS(Games[Team],Games[[#This Row],[Team]],Games[Season],Games[[#This Row],[Season]],Games[Date],"&lt;=" &amp; Games[[#This Row],[Date]])</f>
        <v>15</v>
      </c>
      <c r="D170" s="2" t="s">
        <v>79</v>
      </c>
      <c r="E170" s="2" t="s">
        <v>80</v>
      </c>
      <c r="F170" s="1" t="s">
        <v>71</v>
      </c>
      <c r="G170" s="1" t="s">
        <v>86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0" s="2">
        <f>Games[[#This Row],[DaysOff]]-Games[[#This Row],[OppDaysOff]]</f>
        <v>-1</v>
      </c>
      <c r="L170" s="2">
        <f>Games[[#This Row],[OppDaysOff]]-Games[[#This Row],[DaysOff]]</f>
        <v>1</v>
      </c>
      <c r="M170" s="1">
        <f>MAX(-16, MIN(16, Games[[#This Row],[RestDiff]]*8))</f>
        <v>-8</v>
      </c>
      <c r="N170" s="1">
        <f>MAX(-16, MIN(16, Games[[#This Row],[OppRestDiff]]*8))</f>
        <v>8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1526.1424008129948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1582.5349920583019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0.28899540110384025</v>
      </c>
      <c r="R170" s="1">
        <v>83</v>
      </c>
      <c r="S170" s="1">
        <v>94</v>
      </c>
      <c r="T170" s="1">
        <v>0</v>
      </c>
      <c r="U170" s="1">
        <f>Games[[#This Row],[PointsFor]]-Games[[#This Row],[PointsAgainst]]</f>
        <v>-11</v>
      </c>
      <c r="V170" s="1">
        <f>IF(Games[[#This Row],[MOV]]&gt;0,1,IF(Games[[#This Row],[MOV]]=0,0.5,0))</f>
        <v>0</v>
      </c>
      <c r="W170" s="4">
        <f>((ABS(Games[[#This Row],[MOV]])+5)^0.6)/(12+0.01*(ABS(Games[[#This Row],[PreGmRate]]-Games[[#This Row],[OppPreGmRate]])))*IF(Games[[#This Row],[OT]]=1,0.9,1)</f>
        <v>0.42009413935337797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0" s="9">
        <f>MAX(kmin, kmax - 0.15 * MIN(Games[[#This Row],[GamesPlayed]], 82))</f>
        <v>73.75</v>
      </c>
      <c r="Z170" s="4">
        <f>Games[[#This Row],[K]]*Games[[#This Row],[POMult]]</f>
        <v>73.75</v>
      </c>
      <c r="AA170" s="4">
        <f>(Games[[#This Row],[Keff]]*Games[[#This Row],[MOVMult]])*(Games[[#This Row],[Result]]-Games[[#This Row],[ExpectedWin%]])</f>
        <v>-8.9536389799053993</v>
      </c>
      <c r="AB170" s="4">
        <f>Games[[#This Row],[PreGmRate]]+Games[[#This Row],[RatingChange]]</f>
        <v>1517.1887618330893</v>
      </c>
      <c r="AC170" s="2">
        <f>IF(Games[[#This Row],[Type]]="R",IF(Games[[#This Row],[Result]]&gt;0.5,1,0),0)</f>
        <v>0</v>
      </c>
      <c r="AD170" s="2">
        <f>IF(Games[[#This Row],[Type]]="R",IF(Games[[#This Row],[Result]]&lt;0.5,1,0),0)</f>
        <v>1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45462</v>
      </c>
      <c r="B171" s="2">
        <v>2024</v>
      </c>
      <c r="C171" s="2">
        <f>COUNTIFS(Games[Team],Games[[#This Row],[Team]],Games[Season],Games[[#This Row],[Season]],Games[Date],"&lt;=" &amp; Games[[#This Row],[Date]])</f>
        <v>13</v>
      </c>
      <c r="D171" s="2" t="s">
        <v>79</v>
      </c>
      <c r="E171" s="2" t="s">
        <v>80</v>
      </c>
      <c r="F171" s="1" t="s">
        <v>86</v>
      </c>
      <c r="G171" s="1" t="s">
        <v>71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1" s="2">
        <f>Games[[#This Row],[DaysOff]]-Games[[#This Row],[OppDaysOff]]</f>
        <v>1</v>
      </c>
      <c r="L171" s="2">
        <f>Games[[#This Row],[OppDaysOff]]-Games[[#This Row],[DaysOff]]</f>
        <v>-1</v>
      </c>
      <c r="M171" s="1">
        <f>MAX(-16, MIN(16, Games[[#This Row],[RestDiff]]*8))</f>
        <v>8</v>
      </c>
      <c r="N171" s="1">
        <f>MAX(-16, MIN(16, Games[[#This Row],[OppRestDiff]]*8))</f>
        <v>-8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1582.5349920583019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1526.1424008129948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0.71100459889615975</v>
      </c>
      <c r="R171" s="1">
        <v>94</v>
      </c>
      <c r="S171" s="1">
        <v>83</v>
      </c>
      <c r="T171" s="1">
        <v>0</v>
      </c>
      <c r="U171" s="1">
        <f>Games[[#This Row],[PointsFor]]-Games[[#This Row],[PointsAgainst]]</f>
        <v>11</v>
      </c>
      <c r="V171" s="1">
        <f>IF(Games[[#This Row],[MOV]]&gt;0,1,IF(Games[[#This Row],[MOV]]=0,0.5,0))</f>
        <v>1</v>
      </c>
      <c r="W171" s="4">
        <f>((ABS(Games[[#This Row],[MOV]])+5)^0.6)/(12+0.01*(ABS(Games[[#This Row],[PreGmRate]]-Games[[#This Row],[OppPreGmRate]])))*IF(Games[[#This Row],[OT]]=1,0.9,1)</f>
        <v>0.42009413935337797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1" s="9">
        <f>MAX(kmin, kmax - 0.15 * MIN(Games[[#This Row],[GamesPlayed]], 82))</f>
        <v>74.05</v>
      </c>
      <c r="Z171" s="4">
        <f>Games[[#This Row],[K]]*Games[[#This Row],[POMult]]</f>
        <v>74.05</v>
      </c>
      <c r="AA171" s="4">
        <f>(Games[[#This Row],[Keff]]*Games[[#This Row],[MOVMult]])*(Games[[#This Row],[Result]]-Games[[#This Row],[ExpectedWin%]])</f>
        <v>8.9900605621965397</v>
      </c>
      <c r="AB171" s="4">
        <f>Games[[#This Row],[PreGmRate]]+Games[[#This Row],[RatingChange]]</f>
        <v>1591.5250526204984</v>
      </c>
      <c r="AC171" s="2">
        <f>IF(Games[[#This Row],[Type]]="R",IF(Games[[#This Row],[Result]]&gt;0.5,1,0),0)</f>
        <v>1</v>
      </c>
      <c r="AD171" s="2">
        <f>IF(Games[[#This Row],[Type]]="R",IF(Games[[#This Row],[Result]]&lt;0.5,1,0),0)</f>
        <v>0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45462</v>
      </c>
      <c r="B172" s="2">
        <v>2024</v>
      </c>
      <c r="C172" s="2">
        <f>COUNTIFS(Games[Team],Games[[#This Row],[Team]],Games[Season],Games[[#This Row],[Season]],Games[Date],"&lt;=" &amp; Games[[#This Row],[Date]])</f>
        <v>13</v>
      </c>
      <c r="D172" s="2" t="s">
        <v>79</v>
      </c>
      <c r="E172" s="2" t="s">
        <v>80</v>
      </c>
      <c r="F172" s="1" t="s">
        <v>77</v>
      </c>
      <c r="G172" s="1" t="s">
        <v>67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2" s="2">
        <f>Games[[#This Row],[DaysOff]]-Games[[#This Row],[OppDaysOff]]</f>
        <v>1</v>
      </c>
      <c r="L172" s="2">
        <f>Games[[#This Row],[OppDaysOff]]-Games[[#This Row],[DaysOff]]</f>
        <v>-1</v>
      </c>
      <c r="M172" s="1">
        <f>MAX(-16, MIN(16, Games[[#This Row],[RestDiff]]*8))</f>
        <v>8</v>
      </c>
      <c r="N172" s="1">
        <f>MAX(-16, MIN(16, Games[[#This Row],[OppRestDiff]]*8))</f>
        <v>-8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1450.146202260707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1600.4936342451936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0.22150647455968001</v>
      </c>
      <c r="R172" s="1">
        <v>55</v>
      </c>
      <c r="S172" s="1">
        <v>68</v>
      </c>
      <c r="T172" s="1">
        <v>0</v>
      </c>
      <c r="U172" s="1">
        <f>Games[[#This Row],[PointsFor]]-Games[[#This Row],[PointsAgainst]]</f>
        <v>-13</v>
      </c>
      <c r="V172" s="1">
        <f>IF(Games[[#This Row],[MOV]]&gt;0,1,IF(Games[[#This Row],[MOV]]=0,0.5,0))</f>
        <v>0</v>
      </c>
      <c r="W172" s="4">
        <f>((ABS(Games[[#This Row],[MOV]])+5)^0.6)/(12+0.01*(ABS(Games[[#This Row],[PreGmRate]]-Games[[#This Row],[OppPreGmRate]])))*IF(Games[[#This Row],[OT]]=1,0.9,1)</f>
        <v>0.41948649166864838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2" s="9">
        <f>MAX(kmin, kmax - 0.15 * MIN(Games[[#This Row],[GamesPlayed]], 82))</f>
        <v>74.05</v>
      </c>
      <c r="Z172" s="4">
        <f>Games[[#This Row],[K]]*Games[[#This Row],[POMult]]</f>
        <v>74.05</v>
      </c>
      <c r="AA172" s="4">
        <f>(Games[[#This Row],[Keff]]*Games[[#This Row],[MOVMult]])*(Games[[#This Row],[Result]]-Games[[#This Row],[ExpectedWin%]])</f>
        <v>-6.8806500169196312</v>
      </c>
      <c r="AB172" s="4">
        <f>Games[[#This Row],[PreGmRate]]+Games[[#This Row],[RatingChange]]</f>
        <v>1443.2655522437874</v>
      </c>
      <c r="AC172" s="2">
        <f>IF(Games[[#This Row],[Type]]="R",IF(Games[[#This Row],[Result]]&gt;0.5,1,0),0)</f>
        <v>0</v>
      </c>
      <c r="AD172" s="2">
        <f>IF(Games[[#This Row],[Type]]="R",IF(Games[[#This Row],[Result]]&lt;0.5,1,0),0)</f>
        <v>1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45462</v>
      </c>
      <c r="B173" s="2">
        <v>2024</v>
      </c>
      <c r="C173" s="2">
        <f>COUNTIFS(Games[Team],Games[[#This Row],[Team]],Games[Season],Games[[#This Row],[Season]],Games[Date],"&lt;=" &amp; Games[[#This Row],[Date]])</f>
        <v>15</v>
      </c>
      <c r="D173" s="2" t="s">
        <v>79</v>
      </c>
      <c r="E173" s="2" t="s">
        <v>80</v>
      </c>
      <c r="F173" s="1" t="s">
        <v>67</v>
      </c>
      <c r="G173" s="1" t="s">
        <v>77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3" s="2">
        <f>Games[[#This Row],[DaysOff]]-Games[[#This Row],[OppDaysOff]]</f>
        <v>-1</v>
      </c>
      <c r="L173" s="2">
        <f>Games[[#This Row],[OppDaysOff]]-Games[[#This Row],[DaysOff]]</f>
        <v>1</v>
      </c>
      <c r="M173" s="1">
        <f>MAX(-16, MIN(16, Games[[#This Row],[RestDiff]]*8))</f>
        <v>-8</v>
      </c>
      <c r="N173" s="1">
        <f>MAX(-16, MIN(16, Games[[#This Row],[OppRestDiff]]*8))</f>
        <v>8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1600.4936342451936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1450.146202260707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0.77849352544032002</v>
      </c>
      <c r="R173" s="1">
        <v>68</v>
      </c>
      <c r="S173" s="1">
        <v>55</v>
      </c>
      <c r="T173" s="1">
        <v>0</v>
      </c>
      <c r="U173" s="1">
        <f>Games[[#This Row],[PointsFor]]-Games[[#This Row],[PointsAgainst]]</f>
        <v>13</v>
      </c>
      <c r="V173" s="1">
        <f>IF(Games[[#This Row],[MOV]]&gt;0,1,IF(Games[[#This Row],[MOV]]=0,0.5,0))</f>
        <v>1</v>
      </c>
      <c r="W173" s="4">
        <f>((ABS(Games[[#This Row],[MOV]])+5)^0.6)/(12+0.01*(ABS(Games[[#This Row],[PreGmRate]]-Games[[#This Row],[OppPreGmRate]])))*IF(Games[[#This Row],[OT]]=1,0.9,1)</f>
        <v>0.41948649166864838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3" s="9">
        <f>MAX(kmin, kmax - 0.15 * MIN(Games[[#This Row],[GamesPlayed]], 82))</f>
        <v>73.75</v>
      </c>
      <c r="Z173" s="4">
        <f>Games[[#This Row],[K]]*Games[[#This Row],[POMult]]</f>
        <v>73.75</v>
      </c>
      <c r="AA173" s="4">
        <f>(Games[[#This Row],[Keff]]*Games[[#This Row],[MOVMult]])*(Games[[#This Row],[Result]]-Games[[#This Row],[ExpectedWin%]])</f>
        <v>6.8527743247511514</v>
      </c>
      <c r="AB173" s="4">
        <f>Games[[#This Row],[PreGmRate]]+Games[[#This Row],[RatingChange]]</f>
        <v>1607.3464085699447</v>
      </c>
      <c r="AC173" s="2">
        <f>IF(Games[[#This Row],[Type]]="R",IF(Games[[#This Row],[Result]]&gt;0.5,1,0),0)</f>
        <v>1</v>
      </c>
      <c r="AD173" s="2">
        <f>IF(Games[[#This Row],[Type]]="R",IF(Games[[#This Row],[Result]]&lt;0.5,1,0),0)</f>
        <v>0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45463</v>
      </c>
      <c r="B174" s="2">
        <v>2024</v>
      </c>
      <c r="C174" s="2">
        <f>COUNTIFS(Games[Team],Games[[#This Row],[Team]],Games[Season],Games[[#This Row],[Season]],Games[Date],"&lt;=" &amp; Games[[#This Row],[Date]])</f>
        <v>14</v>
      </c>
      <c r="D174" s="2" t="s">
        <v>79</v>
      </c>
      <c r="E174" s="2" t="s">
        <v>80</v>
      </c>
      <c r="F174" s="1" t="s">
        <v>85</v>
      </c>
      <c r="G174" s="1" t="s">
        <v>75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4" s="2">
        <f>Games[[#This Row],[DaysOff]]-Games[[#This Row],[OppDaysOff]]</f>
        <v>-1</v>
      </c>
      <c r="L174" s="2">
        <f>Games[[#This Row],[OppDaysOff]]-Games[[#This Row],[DaysOff]]</f>
        <v>1</v>
      </c>
      <c r="M174" s="1">
        <f>MAX(-16, MIN(16, Games[[#This Row],[RestDiff]]*8))</f>
        <v>-8</v>
      </c>
      <c r="N174" s="1">
        <f>MAX(-16, MIN(16, Games[[#This Row],[OppRestDiff]]*8))</f>
        <v>8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1437.266147605922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1443.2257438766021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0.35207004089694416</v>
      </c>
      <c r="R174" s="1">
        <v>72</v>
      </c>
      <c r="S174" s="1">
        <v>83</v>
      </c>
      <c r="T174" s="1">
        <v>0</v>
      </c>
      <c r="U174" s="1">
        <f>Games[[#This Row],[PointsFor]]-Games[[#This Row],[PointsAgainst]]</f>
        <v>-11</v>
      </c>
      <c r="V174" s="1">
        <f>IF(Games[[#This Row],[MOV]]&gt;0,1,IF(Games[[#This Row],[MOV]]=0,0.5,0))</f>
        <v>0</v>
      </c>
      <c r="W174" s="4">
        <f>((ABS(Games[[#This Row],[MOV]])+5)^0.6)/(12+0.01*(ABS(Games[[#This Row],[PreGmRate]]-Games[[#This Row],[OppPreGmRate]])))*IF(Games[[#This Row],[OT]]=1,0.9,1)</f>
        <v>0.43766239428032311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4" s="9">
        <f>MAX(kmin, kmax - 0.15 * MIN(Games[[#This Row],[GamesPlayed]], 82))</f>
        <v>73.900000000000006</v>
      </c>
      <c r="Z174" s="4">
        <f>Games[[#This Row],[K]]*Games[[#This Row],[POMult]]</f>
        <v>73.900000000000006</v>
      </c>
      <c r="AA174" s="4">
        <f>(Games[[#This Row],[Keff]]*Games[[#This Row],[MOVMult]])*(Games[[#This Row],[Result]]-Games[[#This Row],[ExpectedWin%]])</f>
        <v>-11.38708968024093</v>
      </c>
      <c r="AB174" s="4">
        <f>Games[[#This Row],[PreGmRate]]+Games[[#This Row],[RatingChange]]</f>
        <v>1425.8790579256811</v>
      </c>
      <c r="AC174" s="2">
        <f>IF(Games[[#This Row],[Type]]="R",IF(Games[[#This Row],[Result]]&gt;0.5,1,0),0)</f>
        <v>0</v>
      </c>
      <c r="AD174" s="2">
        <f>IF(Games[[#This Row],[Type]]="R",IF(Games[[#This Row],[Result]]&lt;0.5,1,0),0)</f>
        <v>1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45463</v>
      </c>
      <c r="B175" s="2">
        <v>2024</v>
      </c>
      <c r="C175" s="2">
        <f>COUNTIFS(Games[Team],Games[[#This Row],[Team]],Games[Season],Games[[#This Row],[Season]],Games[Date],"&lt;=" &amp; Games[[#This Row],[Date]])</f>
        <v>14</v>
      </c>
      <c r="D175" s="2" t="s">
        <v>79</v>
      </c>
      <c r="E175" s="2" t="s">
        <v>80</v>
      </c>
      <c r="F175" s="1" t="s">
        <v>75</v>
      </c>
      <c r="G175" s="1" t="s">
        <v>85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5" s="2">
        <f>Games[[#This Row],[DaysOff]]-Games[[#This Row],[OppDaysOff]]</f>
        <v>1</v>
      </c>
      <c r="L175" s="2">
        <f>Games[[#This Row],[OppDaysOff]]-Games[[#This Row],[DaysOff]]</f>
        <v>-1</v>
      </c>
      <c r="M175" s="1">
        <f>MAX(-16, MIN(16, Games[[#This Row],[RestDiff]]*8))</f>
        <v>8</v>
      </c>
      <c r="N175" s="1">
        <f>MAX(-16, MIN(16, Games[[#This Row],[OppRestDiff]]*8))</f>
        <v>-8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1443.2257438766021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1437.266147605922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0.64792995910305584</v>
      </c>
      <c r="R175" s="1">
        <v>83</v>
      </c>
      <c r="S175" s="1">
        <v>72</v>
      </c>
      <c r="T175" s="1">
        <v>0</v>
      </c>
      <c r="U175" s="1">
        <f>Games[[#This Row],[PointsFor]]-Games[[#This Row],[PointsAgainst]]</f>
        <v>11</v>
      </c>
      <c r="V175" s="1">
        <f>IF(Games[[#This Row],[MOV]]&gt;0,1,IF(Games[[#This Row],[MOV]]=0,0.5,0))</f>
        <v>1</v>
      </c>
      <c r="W175" s="4">
        <f>((ABS(Games[[#This Row],[MOV]])+5)^0.6)/(12+0.01*(ABS(Games[[#This Row],[PreGmRate]]-Games[[#This Row],[OppPreGmRate]])))*IF(Games[[#This Row],[OT]]=1,0.9,1)</f>
        <v>0.43766239428032311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5" s="9">
        <f>MAX(kmin, kmax - 0.15 * MIN(Games[[#This Row],[GamesPlayed]], 82))</f>
        <v>73.900000000000006</v>
      </c>
      <c r="Z175" s="4">
        <f>Games[[#This Row],[K]]*Games[[#This Row],[POMult]]</f>
        <v>73.900000000000006</v>
      </c>
      <c r="AA175" s="4">
        <f>(Games[[#This Row],[Keff]]*Games[[#This Row],[MOVMult]])*(Games[[#This Row],[Result]]-Games[[#This Row],[ExpectedWin%]])</f>
        <v>11.38708968024093</v>
      </c>
      <c r="AB175" s="4">
        <f>Games[[#This Row],[PreGmRate]]+Games[[#This Row],[RatingChange]]</f>
        <v>1454.612833556843</v>
      </c>
      <c r="AC175" s="2">
        <f>IF(Games[[#This Row],[Type]]="R",IF(Games[[#This Row],[Result]]&gt;0.5,1,0),0)</f>
        <v>1</v>
      </c>
      <c r="AD175" s="2">
        <f>IF(Games[[#This Row],[Type]]="R",IF(Games[[#This Row],[Result]]&lt;0.5,1,0),0)</f>
        <v>0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45463</v>
      </c>
      <c r="B176" s="2">
        <v>2024</v>
      </c>
      <c r="C176" s="2">
        <f>COUNTIFS(Games[Team],Games[[#This Row],[Team]],Games[Season],Games[[#This Row],[Season]],Games[Date],"&lt;=" &amp; Games[[#This Row],[Date]])</f>
        <v>16</v>
      </c>
      <c r="D176" s="2" t="s">
        <v>79</v>
      </c>
      <c r="E176" s="2" t="s">
        <v>80</v>
      </c>
      <c r="F176" s="1" t="s">
        <v>63</v>
      </c>
      <c r="G176" s="1" t="s">
        <v>60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6" s="2">
        <f>Games[[#This Row],[DaysOff]]-Games[[#This Row],[OppDaysOff]]</f>
        <v>0</v>
      </c>
      <c r="L176" s="2">
        <f>Games[[#This Row],[OppDaysOff]]-Games[[#This Row],[DaysOff]]</f>
        <v>0</v>
      </c>
      <c r="M176" s="1">
        <f>MAX(-16, MIN(16, Games[[#This Row],[RestDiff]]*8))</f>
        <v>0</v>
      </c>
      <c r="N176" s="1">
        <f>MAX(-16, MIN(16, Games[[#This Row],[OppRestDiff]]*8))</f>
        <v>0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1397.5303764167461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1661.8725848882736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0.1186560547337495</v>
      </c>
      <c r="R176" s="1">
        <v>80</v>
      </c>
      <c r="S176" s="1">
        <v>93</v>
      </c>
      <c r="T176" s="1">
        <v>0</v>
      </c>
      <c r="U176" s="1">
        <f>Games[[#This Row],[PointsFor]]-Games[[#This Row],[PointsAgainst]]</f>
        <v>-13</v>
      </c>
      <c r="V176" s="1">
        <f>IF(Games[[#This Row],[MOV]]&gt;0,1,IF(Games[[#This Row],[MOV]]=0,0.5,0))</f>
        <v>0</v>
      </c>
      <c r="W176" s="4">
        <f>((ABS(Games[[#This Row],[MOV]])+5)^0.6)/(12+0.01*(ABS(Games[[#This Row],[PreGmRate]]-Games[[#This Row],[OppPreGmRate]])))*IF(Games[[#This Row],[OT]]=1,0.9,1)</f>
        <v>0.3868306899165333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6" s="9">
        <f>MAX(kmin, kmax - 0.15 * MIN(Games[[#This Row],[GamesPlayed]], 82))</f>
        <v>73.599999999999994</v>
      </c>
      <c r="Z176" s="4">
        <f>Games[[#This Row],[K]]*Games[[#This Row],[POMult]]</f>
        <v>73.599999999999994</v>
      </c>
      <c r="AA176" s="4">
        <f>(Games[[#This Row],[Keff]]*Games[[#This Row],[MOVMult]])*(Games[[#This Row],[Result]]-Games[[#This Row],[ExpectedWin%]])</f>
        <v>-3.3782255387356668</v>
      </c>
      <c r="AB176" s="4">
        <f>Games[[#This Row],[PreGmRate]]+Games[[#This Row],[RatingChange]]</f>
        <v>1394.1521508780104</v>
      </c>
      <c r="AC176" s="2">
        <f>IF(Games[[#This Row],[Type]]="R",IF(Games[[#This Row],[Result]]&gt;0.5,1,0),0)</f>
        <v>0</v>
      </c>
      <c r="AD176" s="2">
        <f>IF(Games[[#This Row],[Type]]="R",IF(Games[[#This Row],[Result]]&lt;0.5,1,0),0)</f>
        <v>1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45463</v>
      </c>
      <c r="B177" s="2">
        <v>2024</v>
      </c>
      <c r="C177" s="2">
        <f>COUNTIFS(Games[Team],Games[[#This Row],[Team]],Games[Season],Games[[#This Row],[Season]],Games[Date],"&lt;=" &amp; Games[[#This Row],[Date]])</f>
        <v>16</v>
      </c>
      <c r="D177" s="2" t="s">
        <v>79</v>
      </c>
      <c r="E177" s="2" t="s">
        <v>80</v>
      </c>
      <c r="F177" s="1" t="s">
        <v>60</v>
      </c>
      <c r="G177" s="1" t="s">
        <v>63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7" s="2">
        <f>Games[[#This Row],[DaysOff]]-Games[[#This Row],[OppDaysOff]]</f>
        <v>0</v>
      </c>
      <c r="L177" s="2">
        <f>Games[[#This Row],[OppDaysOff]]-Games[[#This Row],[DaysOff]]</f>
        <v>0</v>
      </c>
      <c r="M177" s="1">
        <f>MAX(-16, MIN(16, Games[[#This Row],[RestDiff]]*8))</f>
        <v>0</v>
      </c>
      <c r="N177" s="1">
        <f>MAX(-16, MIN(16, Games[[#This Row],[OppRestDiff]]*8))</f>
        <v>0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1661.8725848882736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1397.5303764167461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0.88134394526625048</v>
      </c>
      <c r="R177" s="1">
        <v>93</v>
      </c>
      <c r="S177" s="1">
        <v>80</v>
      </c>
      <c r="T177" s="1">
        <v>0</v>
      </c>
      <c r="U177" s="1">
        <f>Games[[#This Row],[PointsFor]]-Games[[#This Row],[PointsAgainst]]</f>
        <v>13</v>
      </c>
      <c r="V177" s="1">
        <f>IF(Games[[#This Row],[MOV]]&gt;0,1,IF(Games[[#This Row],[MOV]]=0,0.5,0))</f>
        <v>1</v>
      </c>
      <c r="W177" s="4">
        <f>((ABS(Games[[#This Row],[MOV]])+5)^0.6)/(12+0.01*(ABS(Games[[#This Row],[PreGmRate]]-Games[[#This Row],[OppPreGmRate]])))*IF(Games[[#This Row],[OT]]=1,0.9,1)</f>
        <v>0.3868306899165333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7" s="9">
        <f>MAX(kmin, kmax - 0.15 * MIN(Games[[#This Row],[GamesPlayed]], 82))</f>
        <v>73.599999999999994</v>
      </c>
      <c r="Z177" s="4">
        <f>Games[[#This Row],[K]]*Games[[#This Row],[POMult]]</f>
        <v>73.599999999999994</v>
      </c>
      <c r="AA177" s="4">
        <f>(Games[[#This Row],[Keff]]*Games[[#This Row],[MOVMult]])*(Games[[#This Row],[Result]]-Games[[#This Row],[ExpectedWin%]])</f>
        <v>3.3782255387356668</v>
      </c>
      <c r="AB177" s="4">
        <f>Games[[#This Row],[PreGmRate]]+Games[[#This Row],[RatingChange]]</f>
        <v>1665.2508104270094</v>
      </c>
      <c r="AC177" s="2">
        <f>IF(Games[[#This Row],[Type]]="R",IF(Games[[#This Row],[Result]]&gt;0.5,1,0),0)</f>
        <v>1</v>
      </c>
      <c r="AD177" s="2">
        <f>IF(Games[[#This Row],[Type]]="R",IF(Games[[#This Row],[Result]]&lt;0.5,1,0),0)</f>
        <v>0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45464</v>
      </c>
      <c r="B178" s="2">
        <v>2024</v>
      </c>
      <c r="C178" s="2">
        <f>COUNTIFS(Games[Team],Games[[#This Row],[Team]],Games[Season],Games[[#This Row],[Season]],Games[Date],"&lt;=" &amp; Games[[#This Row],[Date]])</f>
        <v>17</v>
      </c>
      <c r="D178" s="2" t="s">
        <v>79</v>
      </c>
      <c r="E178" s="2" t="s">
        <v>80</v>
      </c>
      <c r="F178" s="1" t="s">
        <v>69</v>
      </c>
      <c r="G178" s="1" t="s">
        <v>77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8" s="2">
        <f>Games[[#This Row],[DaysOff]]-Games[[#This Row],[OppDaysOff]]</f>
        <v>0</v>
      </c>
      <c r="L178" s="2">
        <f>Games[[#This Row],[OppDaysOff]]-Games[[#This Row],[DaysOff]]</f>
        <v>0</v>
      </c>
      <c r="M178" s="1">
        <f>MAX(-16, MIN(16, Games[[#This Row],[RestDiff]]*8))</f>
        <v>0</v>
      </c>
      <c r="N178" s="1">
        <f>MAX(-16, MIN(16, Games[[#This Row],[OppRestDiff]]*8))</f>
        <v>0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1410.8044954552981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1443.2655522437874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0.33840644407727249</v>
      </c>
      <c r="R178" s="1">
        <v>91</v>
      </c>
      <c r="S178" s="1">
        <v>79</v>
      </c>
      <c r="T178" s="1">
        <v>0</v>
      </c>
      <c r="U178" s="1">
        <f>Games[[#This Row],[PointsFor]]-Games[[#This Row],[PointsAgainst]]</f>
        <v>12</v>
      </c>
      <c r="V178" s="1">
        <f>IF(Games[[#This Row],[MOV]]&gt;0,1,IF(Games[[#This Row],[MOV]]=0,0.5,0))</f>
        <v>1</v>
      </c>
      <c r="W178" s="4">
        <f>((ABS(Games[[#This Row],[MOV]])+5)^0.6)/(12+0.01*(ABS(Games[[#This Row],[PreGmRate]]-Games[[#This Row],[OppPreGmRate]])))*IF(Games[[#This Row],[OT]]=1,0.9,1)</f>
        <v>0.44411572169114316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8" s="9">
        <f>MAX(kmin, kmax - 0.15 * MIN(Games[[#This Row],[GamesPlayed]], 82))</f>
        <v>73.45</v>
      </c>
      <c r="Z178" s="4">
        <f>Games[[#This Row],[K]]*Games[[#This Row],[POMult]]</f>
        <v>73.45</v>
      </c>
      <c r="AA178" s="4">
        <f>(Games[[#This Row],[Keff]]*Games[[#This Row],[MOVMult]])*(Games[[#This Row],[Result]]-Games[[#This Row],[ExpectedWin%]])</f>
        <v>21.581380112302394</v>
      </c>
      <c r="AB178" s="4">
        <f>Games[[#This Row],[PreGmRate]]+Games[[#This Row],[RatingChange]]</f>
        <v>1432.3858755676006</v>
      </c>
      <c r="AC178" s="2">
        <f>IF(Games[[#This Row],[Type]]="R",IF(Games[[#This Row],[Result]]&gt;0.5,1,0),0)</f>
        <v>1</v>
      </c>
      <c r="AD178" s="2">
        <f>IF(Games[[#This Row],[Type]]="R",IF(Games[[#This Row],[Result]]&lt;0.5,1,0),0)</f>
        <v>0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45464</v>
      </c>
      <c r="B179" s="2">
        <v>2024</v>
      </c>
      <c r="C179" s="2">
        <f>COUNTIFS(Games[Team],Games[[#This Row],[Team]],Games[Season],Games[[#This Row],[Season]],Games[Date],"&lt;=" &amp; Games[[#This Row],[Date]])</f>
        <v>14</v>
      </c>
      <c r="D179" s="2" t="s">
        <v>79</v>
      </c>
      <c r="E179" s="2" t="s">
        <v>80</v>
      </c>
      <c r="F179" s="1" t="s">
        <v>77</v>
      </c>
      <c r="G179" s="1" t="s">
        <v>69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9" s="2">
        <f>Games[[#This Row],[DaysOff]]-Games[[#This Row],[OppDaysOff]]</f>
        <v>0</v>
      </c>
      <c r="L179" s="2">
        <f>Games[[#This Row],[OppDaysOff]]-Games[[#This Row],[DaysOff]]</f>
        <v>0</v>
      </c>
      <c r="M179" s="1">
        <f>MAX(-16, MIN(16, Games[[#This Row],[RestDiff]]*8))</f>
        <v>0</v>
      </c>
      <c r="N179" s="1">
        <f>MAX(-16, MIN(16, Games[[#This Row],[OppRestDiff]]*8))</f>
        <v>0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1443.2655522437874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1410.8044954552981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0.66159355592272739</v>
      </c>
      <c r="R179" s="1">
        <v>79</v>
      </c>
      <c r="S179" s="1">
        <v>91</v>
      </c>
      <c r="T179" s="1">
        <v>0</v>
      </c>
      <c r="U179" s="1">
        <f>Games[[#This Row],[PointsFor]]-Games[[#This Row],[PointsAgainst]]</f>
        <v>-12</v>
      </c>
      <c r="V179" s="1">
        <f>IF(Games[[#This Row],[MOV]]&gt;0,1,IF(Games[[#This Row],[MOV]]=0,0.5,0))</f>
        <v>0</v>
      </c>
      <c r="W179" s="4">
        <f>((ABS(Games[[#This Row],[MOV]])+5)^0.6)/(12+0.01*(ABS(Games[[#This Row],[PreGmRate]]-Games[[#This Row],[OppPreGmRate]])))*IF(Games[[#This Row],[OT]]=1,0.9,1)</f>
        <v>0.44411572169114316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9" s="9">
        <f>MAX(kmin, kmax - 0.15 * MIN(Games[[#This Row],[GamesPlayed]], 82))</f>
        <v>73.900000000000006</v>
      </c>
      <c r="Z179" s="4">
        <f>Games[[#This Row],[K]]*Games[[#This Row],[POMult]]</f>
        <v>73.900000000000006</v>
      </c>
      <c r="AA179" s="4">
        <f>(Games[[#This Row],[Keff]]*Games[[#This Row],[MOVMult]])*(Games[[#This Row],[Result]]-Games[[#This Row],[ExpectedWin%]])</f>
        <v>-21.71360095710207</v>
      </c>
      <c r="AB179" s="4">
        <f>Games[[#This Row],[PreGmRate]]+Games[[#This Row],[RatingChange]]</f>
        <v>1421.5519512866854</v>
      </c>
      <c r="AC179" s="2">
        <f>IF(Games[[#This Row],[Type]]="R",IF(Games[[#This Row],[Result]]&gt;0.5,1,0),0)</f>
        <v>0</v>
      </c>
      <c r="AD179" s="2">
        <f>IF(Games[[#This Row],[Type]]="R",IF(Games[[#This Row],[Result]]&lt;0.5,1,0),0)</f>
        <v>1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45464</v>
      </c>
      <c r="B180" s="2">
        <v>2024</v>
      </c>
      <c r="C180" s="2">
        <f>COUNTIFS(Games[Team],Games[[#This Row],[Team]],Games[Season],Games[[#This Row],[Season]],Games[Date],"&lt;=" &amp; Games[[#This Row],[Date]])</f>
        <v>15</v>
      </c>
      <c r="D180" s="2" t="s">
        <v>79</v>
      </c>
      <c r="E180" s="2" t="s">
        <v>80</v>
      </c>
      <c r="F180" s="1" t="s">
        <v>74</v>
      </c>
      <c r="G180" s="1" t="s">
        <v>86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0" s="2">
        <f>Games[[#This Row],[DaysOff]]-Games[[#This Row],[OppDaysOff]]</f>
        <v>1</v>
      </c>
      <c r="L180" s="2">
        <f>Games[[#This Row],[OppDaysOff]]-Games[[#This Row],[DaysOff]]</f>
        <v>-1</v>
      </c>
      <c r="M180" s="1">
        <f>MAX(-16, MIN(16, Games[[#This Row],[RestDiff]]*8))</f>
        <v>8</v>
      </c>
      <c r="N180" s="1">
        <f>MAX(-16, MIN(16, Games[[#This Row],[OppRestDiff]]*8))</f>
        <v>-8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1643.5871420975584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1591.5250526204984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0.47707957814438179</v>
      </c>
      <c r="R180" s="1">
        <v>74</v>
      </c>
      <c r="S180" s="1">
        <v>85</v>
      </c>
      <c r="T180" s="1">
        <v>0</v>
      </c>
      <c r="U180" s="1">
        <f>Games[[#This Row],[PointsFor]]-Games[[#This Row],[PointsAgainst]]</f>
        <v>-11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0.42154711714784171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0" s="9">
        <f>MAX(kmin, kmax - 0.15 * MIN(Games[[#This Row],[GamesPlayed]], 82))</f>
        <v>73.75</v>
      </c>
      <c r="Z180" s="4">
        <f>Games[[#This Row],[K]]*Games[[#This Row],[POMult]]</f>
        <v>73.75</v>
      </c>
      <c r="AA180" s="4">
        <f>(Games[[#This Row],[Keff]]*Games[[#This Row],[MOVMult]])*(Games[[#This Row],[Result]]-Games[[#This Row],[ExpectedWin%]])</f>
        <v>-14.831974660244356</v>
      </c>
      <c r="AB180" s="4">
        <f>Games[[#This Row],[PreGmRate]]+Games[[#This Row],[RatingChange]]</f>
        <v>1628.755167437314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45464</v>
      </c>
      <c r="B181" s="2">
        <v>2024</v>
      </c>
      <c r="C181" s="2">
        <f>COUNTIFS(Games[Team],Games[[#This Row],[Team]],Games[Season],Games[[#This Row],[Season]],Games[Date],"&lt;=" &amp; Games[[#This Row],[Date]])</f>
        <v>14</v>
      </c>
      <c r="D181" s="2" t="s">
        <v>79</v>
      </c>
      <c r="E181" s="2" t="s">
        <v>80</v>
      </c>
      <c r="F181" s="1" t="s">
        <v>86</v>
      </c>
      <c r="G181" s="1" t="s">
        <v>74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1" s="2">
        <f>Games[[#This Row],[DaysOff]]-Games[[#This Row],[OppDaysOff]]</f>
        <v>-1</v>
      </c>
      <c r="L181" s="2">
        <f>Games[[#This Row],[OppDaysOff]]-Games[[#This Row],[DaysOff]]</f>
        <v>1</v>
      </c>
      <c r="M181" s="1">
        <f>MAX(-16, MIN(16, Games[[#This Row],[RestDiff]]*8))</f>
        <v>-8</v>
      </c>
      <c r="N181" s="1">
        <f>MAX(-16, MIN(16, Games[[#This Row],[OppRestDiff]]*8))</f>
        <v>8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1591.5250526204984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1643.5871420975584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0.52292042185561827</v>
      </c>
      <c r="R181" s="1">
        <v>85</v>
      </c>
      <c r="S181" s="1">
        <v>74</v>
      </c>
      <c r="T181" s="1">
        <v>0</v>
      </c>
      <c r="U181" s="1">
        <f>Games[[#This Row],[PointsFor]]-Games[[#This Row],[PointsAgainst]]</f>
        <v>11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0.42154711714784171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1" s="9">
        <f>MAX(kmin, kmax - 0.15 * MIN(Games[[#This Row],[GamesPlayed]], 82))</f>
        <v>73.900000000000006</v>
      </c>
      <c r="Z181" s="4">
        <f>Games[[#This Row],[K]]*Games[[#This Row],[POMult]]</f>
        <v>73.900000000000006</v>
      </c>
      <c r="AA181" s="4">
        <f>(Games[[#This Row],[Keff]]*Games[[#This Row],[MOVMult]])*(Games[[#This Row],[Result]]-Games[[#This Row],[ExpectedWin%]])</f>
        <v>14.862141388366886</v>
      </c>
      <c r="AB181" s="4">
        <f>Games[[#This Row],[PreGmRate]]+Games[[#This Row],[RatingChange]]</f>
        <v>1606.3871940088652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45465</v>
      </c>
      <c r="B182" s="2">
        <v>2024</v>
      </c>
      <c r="C182" s="2">
        <f>COUNTIFS(Games[Team],Games[[#This Row],[Team]],Games[Season],Games[[#This Row],[Season]],Games[Date],"&lt;=" &amp; Games[[#This Row],[Date]])</f>
        <v>16</v>
      </c>
      <c r="D182" s="2" t="s">
        <v>79</v>
      </c>
      <c r="E182" s="2" t="s">
        <v>80</v>
      </c>
      <c r="F182" s="1" t="s">
        <v>40</v>
      </c>
      <c r="G182" s="1" t="s">
        <v>67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2" s="2">
        <f>Games[[#This Row],[DaysOff]]-Games[[#This Row],[OppDaysOff]]</f>
        <v>1</v>
      </c>
      <c r="L182" s="2">
        <f>Games[[#This Row],[OppDaysOff]]-Games[[#This Row],[DaysOff]]</f>
        <v>-1</v>
      </c>
      <c r="M182" s="1">
        <f>MAX(-16, MIN(16, Games[[#This Row],[RestDiff]]*8))</f>
        <v>8</v>
      </c>
      <c r="N182" s="1">
        <f>MAX(-16, MIN(16, Games[[#This Row],[OppRestDiff]]*8))</f>
        <v>-8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1457.0545653544796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1607.3464085699447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0.22156165979326503</v>
      </c>
      <c r="R182" s="1">
        <v>60</v>
      </c>
      <c r="S182" s="1">
        <v>73</v>
      </c>
      <c r="T182" s="1">
        <v>0</v>
      </c>
      <c r="U182" s="1">
        <f>Games[[#This Row],[PointsFor]]-Games[[#This Row],[PointsAgainst]]</f>
        <v>-13</v>
      </c>
      <c r="V182" s="1">
        <f>IF(Games[[#This Row],[MOV]]&gt;0,1,IF(Games[[#This Row],[MOV]]=0,0.5,0))</f>
        <v>0</v>
      </c>
      <c r="W182" s="4">
        <f>((ABS(Games[[#This Row],[MOV]])+5)^0.6)/(12+0.01*(ABS(Games[[#This Row],[PreGmRate]]-Games[[#This Row],[OppPreGmRate]])))*IF(Games[[#This Row],[OT]]=1,0.9,1)</f>
        <v>0.41950376107437737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2" s="9">
        <f>MAX(kmin, kmax - 0.15 * MIN(Games[[#This Row],[GamesPlayed]], 82))</f>
        <v>73.599999999999994</v>
      </c>
      <c r="Z182" s="4">
        <f>Games[[#This Row],[K]]*Games[[#This Row],[POMult]]</f>
        <v>73.599999999999994</v>
      </c>
      <c r="AA182" s="4">
        <f>(Games[[#This Row],[Keff]]*Games[[#This Row],[MOVMult]])*(Games[[#This Row],[Result]]-Games[[#This Row],[ExpectedWin%]])</f>
        <v>-6.840821890056306</v>
      </c>
      <c r="AB182" s="4">
        <f>Games[[#This Row],[PreGmRate]]+Games[[#This Row],[RatingChange]]</f>
        <v>1450.2137434644233</v>
      </c>
      <c r="AC182" s="2">
        <f>IF(Games[[#This Row],[Type]]="R",IF(Games[[#This Row],[Result]]&gt;0.5,1,0),0)</f>
        <v>0</v>
      </c>
      <c r="AD182" s="2">
        <f>IF(Games[[#This Row],[Type]]="R",IF(Games[[#This Row],[Result]]&lt;0.5,1,0),0)</f>
        <v>1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45465</v>
      </c>
      <c r="B183" s="2">
        <v>2024</v>
      </c>
      <c r="C183" s="2">
        <f>COUNTIFS(Games[Team],Games[[#This Row],[Team]],Games[Season],Games[[#This Row],[Season]],Games[Date],"&lt;=" &amp; Games[[#This Row],[Date]])</f>
        <v>16</v>
      </c>
      <c r="D183" s="2" t="s">
        <v>79</v>
      </c>
      <c r="E183" s="2" t="s">
        <v>80</v>
      </c>
      <c r="F183" s="1" t="s">
        <v>67</v>
      </c>
      <c r="G183" s="1" t="s">
        <v>40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3" s="2">
        <f>Games[[#This Row],[DaysOff]]-Games[[#This Row],[OppDaysOff]]</f>
        <v>-1</v>
      </c>
      <c r="L183" s="2">
        <f>Games[[#This Row],[OppDaysOff]]-Games[[#This Row],[DaysOff]]</f>
        <v>1</v>
      </c>
      <c r="M183" s="1">
        <f>MAX(-16, MIN(16, Games[[#This Row],[RestDiff]]*8))</f>
        <v>-8</v>
      </c>
      <c r="N183" s="1">
        <f>MAX(-16, MIN(16, Games[[#This Row],[OppRestDiff]]*8))</f>
        <v>8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1607.3464085699447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1457.0545653544796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0.77843834020673497</v>
      </c>
      <c r="R183" s="1">
        <v>73</v>
      </c>
      <c r="S183" s="1">
        <v>60</v>
      </c>
      <c r="T183" s="1">
        <v>0</v>
      </c>
      <c r="U183" s="1">
        <f>Games[[#This Row],[PointsFor]]-Games[[#This Row],[PointsAgainst]]</f>
        <v>13</v>
      </c>
      <c r="V183" s="1">
        <f>IF(Games[[#This Row],[MOV]]&gt;0,1,IF(Games[[#This Row],[MOV]]=0,0.5,0))</f>
        <v>1</v>
      </c>
      <c r="W183" s="4">
        <f>((ABS(Games[[#This Row],[MOV]])+5)^0.6)/(12+0.01*(ABS(Games[[#This Row],[PreGmRate]]-Games[[#This Row],[OppPreGmRate]])))*IF(Games[[#This Row],[OT]]=1,0.9,1)</f>
        <v>0.41950376107437737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3" s="9">
        <f>MAX(kmin, kmax - 0.15 * MIN(Games[[#This Row],[GamesPlayed]], 82))</f>
        <v>73.599999999999994</v>
      </c>
      <c r="Z183" s="4">
        <f>Games[[#This Row],[K]]*Games[[#This Row],[POMult]]</f>
        <v>73.599999999999994</v>
      </c>
      <c r="AA183" s="4">
        <f>(Games[[#This Row],[Keff]]*Games[[#This Row],[MOVMult]])*(Games[[#This Row],[Result]]-Games[[#This Row],[ExpectedWin%]])</f>
        <v>6.840821890056306</v>
      </c>
      <c r="AB183" s="4">
        <f>Games[[#This Row],[PreGmRate]]+Games[[#This Row],[RatingChange]]</f>
        <v>1614.187230460001</v>
      </c>
      <c r="AC183" s="2">
        <f>IF(Games[[#This Row],[Type]]="R",IF(Games[[#This Row],[Result]]&gt;0.5,1,0),0)</f>
        <v>1</v>
      </c>
      <c r="AD183" s="2">
        <f>IF(Games[[#This Row],[Type]]="R",IF(Games[[#This Row],[Result]]&lt;0.5,1,0),0)</f>
        <v>0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45465</v>
      </c>
      <c r="B184" s="2">
        <v>2024</v>
      </c>
      <c r="C184" s="2">
        <f>COUNTIFS(Games[Team],Games[[#This Row],[Team]],Games[Season],Games[[#This Row],[Season]],Games[Date],"&lt;=" &amp; Games[[#This Row],[Date]])</f>
        <v>17</v>
      </c>
      <c r="D184" s="2" t="s">
        <v>79</v>
      </c>
      <c r="E184" s="2" t="s">
        <v>80</v>
      </c>
      <c r="F184" s="1" t="s">
        <v>63</v>
      </c>
      <c r="G184" s="1" t="s">
        <v>60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4" s="2">
        <f>Games[[#This Row],[DaysOff]]-Games[[#This Row],[OppDaysOff]]</f>
        <v>0</v>
      </c>
      <c r="L184" s="2">
        <f>Games[[#This Row],[OppDaysOff]]-Games[[#This Row],[DaysOff]]</f>
        <v>0</v>
      </c>
      <c r="M184" s="1">
        <f>MAX(-16, MIN(16, Games[[#This Row],[RestDiff]]*8))</f>
        <v>0</v>
      </c>
      <c r="N184" s="1">
        <f>MAX(-16, MIN(16, Games[[#This Row],[OppRestDiff]]*8))</f>
        <v>0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1394.1521508780104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1665.2508104270094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0.11464866396245292</v>
      </c>
      <c r="R184" s="1">
        <v>88</v>
      </c>
      <c r="S184" s="1">
        <v>98</v>
      </c>
      <c r="T184" s="1">
        <v>0</v>
      </c>
      <c r="U184" s="1">
        <f>Games[[#This Row],[PointsFor]]-Games[[#This Row],[PointsAgainst]]</f>
        <v>-10</v>
      </c>
      <c r="V184" s="1">
        <f>IF(Games[[#This Row],[MOV]]&gt;0,1,IF(Games[[#This Row],[MOV]]=0,0.5,0))</f>
        <v>0</v>
      </c>
      <c r="W184" s="4">
        <f>((ABS(Games[[#This Row],[MOV]])+5)^0.6)/(12+0.01*(ABS(Games[[#This Row],[PreGmRate]]-Games[[#This Row],[OppPreGmRate]])))*IF(Games[[#This Row],[OT]]=1,0.9,1)</f>
        <v>0.34515403566094305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4" s="9">
        <f>MAX(kmin, kmax - 0.15 * MIN(Games[[#This Row],[GamesPlayed]], 82))</f>
        <v>73.45</v>
      </c>
      <c r="Z184" s="4">
        <f>Games[[#This Row],[K]]*Games[[#This Row],[POMult]]</f>
        <v>73.45</v>
      </c>
      <c r="AA184" s="4">
        <f>(Games[[#This Row],[Keff]]*Games[[#This Row],[MOVMult]])*(Games[[#This Row],[Result]]-Games[[#This Row],[ExpectedWin%]])</f>
        <v>-2.9065229327060438</v>
      </c>
      <c r="AB184" s="4">
        <f>Games[[#This Row],[PreGmRate]]+Games[[#This Row],[RatingChange]]</f>
        <v>1391.2456279453042</v>
      </c>
      <c r="AC184" s="2">
        <f>IF(Games[[#This Row],[Type]]="R",IF(Games[[#This Row],[Result]]&gt;0.5,1,0),0)</f>
        <v>0</v>
      </c>
      <c r="AD184" s="2">
        <f>IF(Games[[#This Row],[Type]]="R",IF(Games[[#This Row],[Result]]&lt;0.5,1,0),0)</f>
        <v>1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45465</v>
      </c>
      <c r="B185" s="2">
        <v>2024</v>
      </c>
      <c r="C185" s="2">
        <f>COUNTIFS(Games[Team],Games[[#This Row],[Team]],Games[Season],Games[[#This Row],[Season]],Games[Date],"&lt;=" &amp; Games[[#This Row],[Date]])</f>
        <v>17</v>
      </c>
      <c r="D185" s="2" t="s">
        <v>79</v>
      </c>
      <c r="E185" s="2" t="s">
        <v>80</v>
      </c>
      <c r="F185" s="1" t="s">
        <v>60</v>
      </c>
      <c r="G185" s="1" t="s">
        <v>63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5" s="2">
        <f>Games[[#This Row],[DaysOff]]-Games[[#This Row],[OppDaysOff]]</f>
        <v>0</v>
      </c>
      <c r="L185" s="2">
        <f>Games[[#This Row],[OppDaysOff]]-Games[[#This Row],[DaysOff]]</f>
        <v>0</v>
      </c>
      <c r="M185" s="1">
        <f>MAX(-16, MIN(16, Games[[#This Row],[RestDiff]]*8))</f>
        <v>0</v>
      </c>
      <c r="N185" s="1">
        <f>MAX(-16, MIN(16, Games[[#This Row],[OppRestDiff]]*8))</f>
        <v>0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1665.2508104270094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1394.1521508780104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0.88535133603754712</v>
      </c>
      <c r="R185" s="1">
        <v>98</v>
      </c>
      <c r="S185" s="1">
        <v>88</v>
      </c>
      <c r="T185" s="1">
        <v>0</v>
      </c>
      <c r="U185" s="1">
        <f>Games[[#This Row],[PointsFor]]-Games[[#This Row],[PointsAgainst]]</f>
        <v>10</v>
      </c>
      <c r="V185" s="1">
        <f>IF(Games[[#This Row],[MOV]]&gt;0,1,IF(Games[[#This Row],[MOV]]=0,0.5,0))</f>
        <v>1</v>
      </c>
      <c r="W185" s="4">
        <f>((ABS(Games[[#This Row],[MOV]])+5)^0.6)/(12+0.01*(ABS(Games[[#This Row],[PreGmRate]]-Games[[#This Row],[OppPreGmRate]])))*IF(Games[[#This Row],[OT]]=1,0.9,1)</f>
        <v>0.34515403566094305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5" s="9">
        <f>MAX(kmin, kmax - 0.15 * MIN(Games[[#This Row],[GamesPlayed]], 82))</f>
        <v>73.45</v>
      </c>
      <c r="Z185" s="4">
        <f>Games[[#This Row],[K]]*Games[[#This Row],[POMult]]</f>
        <v>73.45</v>
      </c>
      <c r="AA185" s="4">
        <f>(Games[[#This Row],[Keff]]*Games[[#This Row],[MOVMult]])*(Games[[#This Row],[Result]]-Games[[#This Row],[ExpectedWin%]])</f>
        <v>2.9065229327060429</v>
      </c>
      <c r="AB185" s="4">
        <f>Games[[#This Row],[PreGmRate]]+Games[[#This Row],[RatingChange]]</f>
        <v>1668.1573333597155</v>
      </c>
      <c r="AC185" s="2">
        <f>IF(Games[[#This Row],[Type]]="R",IF(Games[[#This Row],[Result]]&gt;0.5,1,0),0)</f>
        <v>1</v>
      </c>
      <c r="AD185" s="2">
        <f>IF(Games[[#This Row],[Type]]="R",IF(Games[[#This Row],[Result]]&lt;0.5,1,0),0)</f>
        <v>0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45465</v>
      </c>
      <c r="B186" s="2">
        <v>2024</v>
      </c>
      <c r="C186" s="2">
        <f>COUNTIFS(Games[Team],Games[[#This Row],[Team]],Games[Season],Games[[#This Row],[Season]],Games[Date],"&lt;=" &amp; Games[[#This Row],[Date]])</f>
        <v>15</v>
      </c>
      <c r="D186" s="2" t="s">
        <v>79</v>
      </c>
      <c r="E186" s="2" t="s">
        <v>80</v>
      </c>
      <c r="F186" s="1" t="s">
        <v>85</v>
      </c>
      <c r="G186" s="1" t="s">
        <v>65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6" s="2">
        <f>Games[[#This Row],[DaysOff]]-Games[[#This Row],[OppDaysOff]]</f>
        <v>-1</v>
      </c>
      <c r="L186" s="2">
        <f>Games[[#This Row],[OppDaysOff]]-Games[[#This Row],[DaysOff]]</f>
        <v>1</v>
      </c>
      <c r="M186" s="1">
        <f>MAX(-16, MIN(16, Games[[#This Row],[RestDiff]]*8))</f>
        <v>-8</v>
      </c>
      <c r="N186" s="1">
        <f>MAX(-16, MIN(16, Games[[#This Row],[OppRestDiff]]*8))</f>
        <v>8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1425.8790579256811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1388.9074608095832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0.4102769374575615</v>
      </c>
      <c r="R186" s="1">
        <v>69</v>
      </c>
      <c r="S186" s="1">
        <v>97</v>
      </c>
      <c r="T186" s="1">
        <v>0</v>
      </c>
      <c r="U186" s="1">
        <f>Games[[#This Row],[PointsFor]]-Games[[#This Row],[PointsAgainst]]</f>
        <v>-28</v>
      </c>
      <c r="V186" s="1">
        <f>IF(Games[[#This Row],[MOV]]&gt;0,1,IF(Games[[#This Row],[MOV]]=0,0.5,0))</f>
        <v>0</v>
      </c>
      <c r="W186" s="4">
        <f>((ABS(Games[[#This Row],[MOV]])+5)^0.6)/(12+0.01*(ABS(Games[[#This Row],[PreGmRate]]-Games[[#This Row],[OppPreGmRate]])))*IF(Games[[#This Row],[OT]]=1,0.9,1)</f>
        <v>0.65879248479526609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6" s="9">
        <f>MAX(kmin, kmax - 0.15 * MIN(Games[[#This Row],[GamesPlayed]], 82))</f>
        <v>73.75</v>
      </c>
      <c r="Z186" s="4">
        <f>Games[[#This Row],[K]]*Games[[#This Row],[POMult]]</f>
        <v>73.75</v>
      </c>
      <c r="AA186" s="4">
        <f>(Games[[#This Row],[Keff]]*Games[[#This Row],[MOVMult]])*(Games[[#This Row],[Result]]-Games[[#This Row],[ExpectedWin%]])</f>
        <v>-19.933693027287095</v>
      </c>
      <c r="AB186" s="4">
        <f>Games[[#This Row],[PreGmRate]]+Games[[#This Row],[RatingChange]]</f>
        <v>1405.945364898394</v>
      </c>
      <c r="AC186" s="2">
        <f>IF(Games[[#This Row],[Type]]="R",IF(Games[[#This Row],[Result]]&gt;0.5,1,0),0)</f>
        <v>0</v>
      </c>
      <c r="AD186" s="2">
        <f>IF(Games[[#This Row],[Type]]="R",IF(Games[[#This Row],[Result]]&lt;0.5,1,0),0)</f>
        <v>1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45465</v>
      </c>
      <c r="B187" s="2">
        <v>2024</v>
      </c>
      <c r="C187" s="2">
        <f>COUNTIFS(Games[Team],Games[[#This Row],[Team]],Games[Season],Games[[#This Row],[Season]],Games[Date],"&lt;=" &amp; Games[[#This Row],[Date]])</f>
        <v>16</v>
      </c>
      <c r="D187" s="2" t="s">
        <v>79</v>
      </c>
      <c r="E187" s="2" t="s">
        <v>80</v>
      </c>
      <c r="F187" s="1" t="s">
        <v>65</v>
      </c>
      <c r="G187" s="1" t="s">
        <v>85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7" s="2">
        <f>Games[[#This Row],[DaysOff]]-Games[[#This Row],[OppDaysOff]]</f>
        <v>1</v>
      </c>
      <c r="L187" s="2">
        <f>Games[[#This Row],[OppDaysOff]]-Games[[#This Row],[DaysOff]]</f>
        <v>-1</v>
      </c>
      <c r="M187" s="1">
        <f>MAX(-16, MIN(16, Games[[#This Row],[RestDiff]]*8))</f>
        <v>8</v>
      </c>
      <c r="N187" s="1">
        <f>MAX(-16, MIN(16, Games[[#This Row],[OppRestDiff]]*8))</f>
        <v>-8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1388.9074608095832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1425.8790579256811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0.58972306254243845</v>
      </c>
      <c r="R187" s="1">
        <v>97</v>
      </c>
      <c r="S187" s="1">
        <v>69</v>
      </c>
      <c r="T187" s="1">
        <v>0</v>
      </c>
      <c r="U187" s="1">
        <f>Games[[#This Row],[PointsFor]]-Games[[#This Row],[PointsAgainst]]</f>
        <v>28</v>
      </c>
      <c r="V187" s="1">
        <f>IF(Games[[#This Row],[MOV]]&gt;0,1,IF(Games[[#This Row],[MOV]]=0,0.5,0))</f>
        <v>1</v>
      </c>
      <c r="W187" s="4">
        <f>((ABS(Games[[#This Row],[MOV]])+5)^0.6)/(12+0.01*(ABS(Games[[#This Row],[PreGmRate]]-Games[[#This Row],[OppPreGmRate]])))*IF(Games[[#This Row],[OT]]=1,0.9,1)</f>
        <v>0.65879248479526609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7" s="9">
        <f>MAX(kmin, kmax - 0.15 * MIN(Games[[#This Row],[GamesPlayed]], 82))</f>
        <v>73.599999999999994</v>
      </c>
      <c r="Z187" s="4">
        <f>Games[[#This Row],[K]]*Games[[#This Row],[POMult]]</f>
        <v>73.599999999999994</v>
      </c>
      <c r="AA187" s="4">
        <f>(Games[[#This Row],[Keff]]*Games[[#This Row],[MOVMult]])*(Games[[#This Row],[Result]]-Games[[#This Row],[ExpectedWin%]])</f>
        <v>19.893149922824819</v>
      </c>
      <c r="AB187" s="4">
        <f>Games[[#This Row],[PreGmRate]]+Games[[#This Row],[RatingChange]]</f>
        <v>1408.8006107324081</v>
      </c>
      <c r="AC187" s="2">
        <f>IF(Games[[#This Row],[Type]]="R",IF(Games[[#This Row],[Result]]&gt;0.5,1,0),0)</f>
        <v>1</v>
      </c>
      <c r="AD187" s="2">
        <f>IF(Games[[#This Row],[Type]]="R",IF(Games[[#This Row],[Result]]&lt;0.5,1,0),0)</f>
        <v>0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45466</v>
      </c>
      <c r="B188" s="2">
        <v>2024</v>
      </c>
      <c r="C188" s="2">
        <f>COUNTIFS(Games[Team],Games[[#This Row],[Team]],Games[Season],Games[[#This Row],[Season]],Games[Date],"&lt;=" &amp; Games[[#This Row],[Date]])</f>
        <v>18</v>
      </c>
      <c r="D188" s="2" t="s">
        <v>79</v>
      </c>
      <c r="E188" s="2" t="s">
        <v>80</v>
      </c>
      <c r="F188" s="1" t="s">
        <v>60</v>
      </c>
      <c r="G188" s="1" t="s">
        <v>77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0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8" s="2">
        <f>Games[[#This Row],[DaysOff]]-Games[[#This Row],[OppDaysOff]]</f>
        <v>-1</v>
      </c>
      <c r="L188" s="2">
        <f>Games[[#This Row],[OppDaysOff]]-Games[[#This Row],[DaysOff]]</f>
        <v>1</v>
      </c>
      <c r="M188" s="1">
        <f>MAX(-16, MIN(16, Games[[#This Row],[RestDiff]]*8))</f>
        <v>-8</v>
      </c>
      <c r="N188" s="1">
        <f>MAX(-16, MIN(16, Games[[#This Row],[OppRestDiff]]*8))</f>
        <v>8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1668.1573333597155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1421.5519512866854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0.69929194067547795</v>
      </c>
      <c r="R188" s="1">
        <v>96</v>
      </c>
      <c r="S188" s="1">
        <v>75</v>
      </c>
      <c r="T188" s="1">
        <v>0</v>
      </c>
      <c r="U188" s="1">
        <f>Games[[#This Row],[PointsFor]]-Games[[#This Row],[PointsAgainst]]</f>
        <v>21</v>
      </c>
      <c r="V188" s="1">
        <f>IF(Games[[#This Row],[MOV]]&gt;0,1,IF(Games[[#This Row],[MOV]]=0,0.5,0))</f>
        <v>1</v>
      </c>
      <c r="W188" s="4">
        <f>((ABS(Games[[#This Row],[MOV]])+5)^0.6)/(12+0.01*(ABS(Games[[#This Row],[PreGmRate]]-Games[[#This Row],[OppPreGmRate]])))*IF(Games[[#This Row],[OT]]=1,0.9,1)</f>
        <v>0.48824064674275369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8" s="9">
        <f>MAX(kmin, kmax - 0.15 * MIN(Games[[#This Row],[GamesPlayed]], 82))</f>
        <v>73.3</v>
      </c>
      <c r="Z188" s="4">
        <f>Games[[#This Row],[K]]*Games[[#This Row],[POMult]]</f>
        <v>73.3</v>
      </c>
      <c r="AA188" s="4">
        <f>(Games[[#This Row],[Keff]]*Games[[#This Row],[MOVMult]])*(Games[[#This Row],[Result]]-Games[[#This Row],[ExpectedWin%]])</f>
        <v>10.761751876881107</v>
      </c>
      <c r="AB188" s="4">
        <f>Games[[#This Row],[PreGmRate]]+Games[[#This Row],[RatingChange]]</f>
        <v>1678.9190852365966</v>
      </c>
      <c r="AC188" s="2">
        <f>IF(Games[[#This Row],[Type]]="R",IF(Games[[#This Row],[Result]]&gt;0.5,1,0),0)</f>
        <v>1</v>
      </c>
      <c r="AD188" s="2">
        <f>IF(Games[[#This Row],[Type]]="R",IF(Games[[#This Row],[Result]]&lt;0.5,1,0),0)</f>
        <v>0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45466</v>
      </c>
      <c r="B189" s="2">
        <v>2024</v>
      </c>
      <c r="C189" s="2">
        <f>COUNTIFS(Games[Team],Games[[#This Row],[Team]],Games[Season],Games[[#This Row],[Season]],Games[Date],"&lt;=" &amp; Games[[#This Row],[Date]])</f>
        <v>15</v>
      </c>
      <c r="D189" s="2" t="s">
        <v>79</v>
      </c>
      <c r="E189" s="2" t="s">
        <v>80</v>
      </c>
      <c r="F189" s="1" t="s">
        <v>77</v>
      </c>
      <c r="G189" s="1" t="s">
        <v>60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89" s="2">
        <f>Games[[#This Row],[DaysOff]]-Games[[#This Row],[OppDaysOff]]</f>
        <v>1</v>
      </c>
      <c r="L189" s="2">
        <f>Games[[#This Row],[OppDaysOff]]-Games[[#This Row],[DaysOff]]</f>
        <v>-1</v>
      </c>
      <c r="M189" s="1">
        <f>MAX(-16, MIN(16, Games[[#This Row],[RestDiff]]*8))</f>
        <v>8</v>
      </c>
      <c r="N189" s="1">
        <f>MAX(-16, MIN(16, Games[[#This Row],[OppRestDiff]]*8))</f>
        <v>-8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1421.5519512866854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1668.1573333597155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0.30070805932452205</v>
      </c>
      <c r="R189" s="1">
        <v>75</v>
      </c>
      <c r="S189" s="1">
        <v>96</v>
      </c>
      <c r="T189" s="1">
        <v>0</v>
      </c>
      <c r="U189" s="1">
        <f>Games[[#This Row],[PointsFor]]-Games[[#This Row],[PointsAgainst]]</f>
        <v>-21</v>
      </c>
      <c r="V189" s="1">
        <f>IF(Games[[#This Row],[MOV]]&gt;0,1,IF(Games[[#This Row],[MOV]]=0,0.5,0))</f>
        <v>0</v>
      </c>
      <c r="W189" s="4">
        <f>((ABS(Games[[#This Row],[MOV]])+5)^0.6)/(12+0.01*(ABS(Games[[#This Row],[PreGmRate]]-Games[[#This Row],[OppPreGmRate]])))*IF(Games[[#This Row],[OT]]=1,0.9,1)</f>
        <v>0.48824064674275369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9" s="9">
        <f>MAX(kmin, kmax - 0.15 * MIN(Games[[#This Row],[GamesPlayed]], 82))</f>
        <v>73.75</v>
      </c>
      <c r="Z189" s="4">
        <f>Games[[#This Row],[K]]*Games[[#This Row],[POMult]]</f>
        <v>73.75</v>
      </c>
      <c r="AA189" s="4">
        <f>(Games[[#This Row],[Keff]]*Games[[#This Row],[MOVMult]])*(Games[[#This Row],[Result]]-Games[[#This Row],[ExpectedWin%]])</f>
        <v>-10.827819930695521</v>
      </c>
      <c r="AB189" s="4">
        <f>Games[[#This Row],[PreGmRate]]+Games[[#This Row],[RatingChange]]</f>
        <v>1410.7241313559898</v>
      </c>
      <c r="AC189" s="2">
        <f>IF(Games[[#This Row],[Type]]="R",IF(Games[[#This Row],[Result]]&gt;0.5,1,0),0)</f>
        <v>0</v>
      </c>
      <c r="AD189" s="2">
        <f>IF(Games[[#This Row],[Type]]="R",IF(Games[[#This Row],[Result]]&lt;0.5,1,0),0)</f>
        <v>1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45466</v>
      </c>
      <c r="B190" s="2">
        <v>2024</v>
      </c>
      <c r="C190" s="2">
        <f>COUNTIFS(Games[Team],Games[[#This Row],[Team]],Games[Season],Games[[#This Row],[Season]],Games[Date],"&lt;=" &amp; Games[[#This Row],[Date]])</f>
        <v>18</v>
      </c>
      <c r="D190" s="2" t="s">
        <v>79</v>
      </c>
      <c r="E190" s="2" t="s">
        <v>80</v>
      </c>
      <c r="F190" s="1" t="s">
        <v>69</v>
      </c>
      <c r="G190" s="1" t="s">
        <v>75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0" s="2">
        <f>Games[[#This Row],[DaysOff]]-Games[[#This Row],[OppDaysOff]]</f>
        <v>-1</v>
      </c>
      <c r="L190" s="2">
        <f>Games[[#This Row],[OppDaysOff]]-Games[[#This Row],[DaysOff]]</f>
        <v>1</v>
      </c>
      <c r="M190" s="1">
        <f>MAX(-16, MIN(16, Games[[#This Row],[RestDiff]]*8))</f>
        <v>-8</v>
      </c>
      <c r="N190" s="1">
        <f>MAX(-16, MIN(16, Games[[#This Row],[OppRestDiff]]*8))</f>
        <v>8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1432.3858755676006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1454.612833556843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0.33101566836533197</v>
      </c>
      <c r="R190" s="1">
        <v>87</v>
      </c>
      <c r="S190" s="1">
        <v>88</v>
      </c>
      <c r="T190" s="1">
        <v>0</v>
      </c>
      <c r="U190" s="1">
        <f>Games[[#This Row],[PointsFor]]-Games[[#This Row],[PointsAgainst]]</f>
        <v>-1</v>
      </c>
      <c r="V190" s="1">
        <f>IF(Games[[#This Row],[MOV]]&gt;0,1,IF(Games[[#This Row],[MOV]]=0,0.5,0))</f>
        <v>0</v>
      </c>
      <c r="W190" s="4">
        <f>((ABS(Games[[#This Row],[MOV]])+5)^0.6)/(12+0.01*(ABS(Games[[#This Row],[PreGmRate]]-Games[[#This Row],[OppPreGmRate]])))*IF(Games[[#This Row],[OT]]=1,0.9,1)</f>
        <v>0.23973911166254208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0" s="9">
        <f>MAX(kmin, kmax - 0.15 * MIN(Games[[#This Row],[GamesPlayed]], 82))</f>
        <v>73.3</v>
      </c>
      <c r="Z190" s="4">
        <f>Games[[#This Row],[K]]*Games[[#This Row],[POMult]]</f>
        <v>73.3</v>
      </c>
      <c r="AA190" s="4">
        <f>(Games[[#This Row],[Keff]]*Games[[#This Row],[MOVMult]])*(Games[[#This Row],[Result]]-Games[[#This Row],[ExpectedWin%]])</f>
        <v>-5.8168975871450606</v>
      </c>
      <c r="AB190" s="4">
        <f>Games[[#This Row],[PreGmRate]]+Games[[#This Row],[RatingChange]]</f>
        <v>1426.5689779804554</v>
      </c>
      <c r="AC190" s="2">
        <f>IF(Games[[#This Row],[Type]]="R",IF(Games[[#This Row],[Result]]&gt;0.5,1,0),0)</f>
        <v>0</v>
      </c>
      <c r="AD190" s="2">
        <f>IF(Games[[#This Row],[Type]]="R",IF(Games[[#This Row],[Result]]&lt;0.5,1,0),0)</f>
        <v>1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45466</v>
      </c>
      <c r="B191" s="2">
        <v>2024</v>
      </c>
      <c r="C191" s="2">
        <f>COUNTIFS(Games[Team],Games[[#This Row],[Team]],Games[Season],Games[[#This Row],[Season]],Games[Date],"&lt;=" &amp; Games[[#This Row],[Date]])</f>
        <v>15</v>
      </c>
      <c r="D191" s="2" t="s">
        <v>79</v>
      </c>
      <c r="E191" s="2" t="s">
        <v>80</v>
      </c>
      <c r="F191" s="1" t="s">
        <v>75</v>
      </c>
      <c r="G191" s="1" t="s">
        <v>69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1" s="2">
        <f>Games[[#This Row],[DaysOff]]-Games[[#This Row],[OppDaysOff]]</f>
        <v>1</v>
      </c>
      <c r="L191" s="2">
        <f>Games[[#This Row],[OppDaysOff]]-Games[[#This Row],[DaysOff]]</f>
        <v>-1</v>
      </c>
      <c r="M191" s="1">
        <f>MAX(-16, MIN(16, Games[[#This Row],[RestDiff]]*8))</f>
        <v>8</v>
      </c>
      <c r="N191" s="1">
        <f>MAX(-16, MIN(16, Games[[#This Row],[OppRestDiff]]*8))</f>
        <v>-8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1454.612833556843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1432.3858755676006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0.66898433163466797</v>
      </c>
      <c r="R191" s="1">
        <v>88</v>
      </c>
      <c r="S191" s="1">
        <v>87</v>
      </c>
      <c r="T191" s="1">
        <v>0</v>
      </c>
      <c r="U191" s="1">
        <f>Games[[#This Row],[PointsFor]]-Games[[#This Row],[PointsAgainst]]</f>
        <v>1</v>
      </c>
      <c r="V191" s="1">
        <f>IF(Games[[#This Row],[MOV]]&gt;0,1,IF(Games[[#This Row],[MOV]]=0,0.5,0))</f>
        <v>1</v>
      </c>
      <c r="W191" s="4">
        <f>((ABS(Games[[#This Row],[MOV]])+5)^0.6)/(12+0.01*(ABS(Games[[#This Row],[PreGmRate]]-Games[[#This Row],[OppPreGmRate]])))*IF(Games[[#This Row],[OT]]=1,0.9,1)</f>
        <v>0.23973911166254208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1" s="9">
        <f>MAX(kmin, kmax - 0.15 * MIN(Games[[#This Row],[GamesPlayed]], 82))</f>
        <v>73.75</v>
      </c>
      <c r="Z191" s="4">
        <f>Games[[#This Row],[K]]*Games[[#This Row],[POMult]]</f>
        <v>73.75</v>
      </c>
      <c r="AA191" s="4">
        <f>(Games[[#This Row],[Keff]]*Games[[#This Row],[MOVMult]])*(Games[[#This Row],[Result]]-Games[[#This Row],[ExpectedWin%]])</f>
        <v>5.852608418171191</v>
      </c>
      <c r="AB191" s="4">
        <f>Games[[#This Row],[PreGmRate]]+Games[[#This Row],[RatingChange]]</f>
        <v>1460.4654419750143</v>
      </c>
      <c r="AC191" s="2">
        <f>IF(Games[[#This Row],[Type]]="R",IF(Games[[#This Row],[Result]]&gt;0.5,1,0),0)</f>
        <v>1</v>
      </c>
      <c r="AD191" s="2">
        <f>IF(Games[[#This Row],[Type]]="R",IF(Games[[#This Row],[Result]]&lt;0.5,1,0),0)</f>
        <v>0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45466</v>
      </c>
      <c r="B192" s="2">
        <v>2024</v>
      </c>
      <c r="C192" s="2">
        <f>COUNTIFS(Games[Team],Games[[#This Row],[Team]],Games[Season],Games[[#This Row],[Season]],Games[Date],"&lt;=" &amp; Games[[#This Row],[Date]])</f>
        <v>16</v>
      </c>
      <c r="D192" s="2" t="s">
        <v>79</v>
      </c>
      <c r="E192" s="2" t="s">
        <v>80</v>
      </c>
      <c r="F192" s="1" t="s">
        <v>74</v>
      </c>
      <c r="G192" s="1" t="s">
        <v>71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2" s="2">
        <f>Games[[#This Row],[DaysOff]]-Games[[#This Row],[OppDaysOff]]</f>
        <v>-2</v>
      </c>
      <c r="L192" s="2">
        <f>Games[[#This Row],[OppDaysOff]]-Games[[#This Row],[DaysOff]]</f>
        <v>2</v>
      </c>
      <c r="M192" s="1">
        <f>MAX(-16, MIN(16, Games[[#This Row],[RestDiff]]*8))</f>
        <v>-16</v>
      </c>
      <c r="N192" s="1">
        <f>MAX(-16, MIN(16, Games[[#This Row],[OppRestDiff]]*8))</f>
        <v>16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1628.755167437314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1517.1887618330893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0.49361989108277071</v>
      </c>
      <c r="R192" s="1">
        <v>61</v>
      </c>
      <c r="S192" s="1">
        <v>72</v>
      </c>
      <c r="T192" s="1">
        <v>0</v>
      </c>
      <c r="U192" s="1">
        <f>Games[[#This Row],[PointsFor]]-Games[[#This Row],[PointsAgainst]]</f>
        <v>-11</v>
      </c>
      <c r="V192" s="1">
        <f>IF(Games[[#This Row],[MOV]]&gt;0,1,IF(Games[[#This Row],[MOV]]=0,0.5,0))</f>
        <v>0</v>
      </c>
      <c r="W192" s="4">
        <f>((ABS(Games[[#This Row],[MOV]])+5)^0.6)/(12+0.01*(ABS(Games[[#This Row],[PreGmRate]]-Games[[#This Row],[OppPreGmRate]])))*IF(Games[[#This Row],[OT]]=1,0.9,1)</f>
        <v>0.40242199102835696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2" s="9">
        <f>MAX(kmin, kmax - 0.15 * MIN(Games[[#This Row],[GamesPlayed]], 82))</f>
        <v>73.599999999999994</v>
      </c>
      <c r="Z192" s="4">
        <f>Games[[#This Row],[K]]*Games[[#This Row],[POMult]]</f>
        <v>73.599999999999994</v>
      </c>
      <c r="AA192" s="4">
        <f>(Games[[#This Row],[Keff]]*Games[[#This Row],[MOVMult]])*(Games[[#This Row],[Result]]-Games[[#This Row],[ExpectedWin%]])</f>
        <v>-14.620161554421674</v>
      </c>
      <c r="AB192" s="4">
        <f>Games[[#This Row],[PreGmRate]]+Games[[#This Row],[RatingChange]]</f>
        <v>1614.1350058828923</v>
      </c>
      <c r="AC192" s="2">
        <f>IF(Games[[#This Row],[Type]]="R",IF(Games[[#This Row],[Result]]&gt;0.5,1,0),0)</f>
        <v>0</v>
      </c>
      <c r="AD192" s="2">
        <f>IF(Games[[#This Row],[Type]]="R",IF(Games[[#This Row],[Result]]&lt;0.5,1,0),0)</f>
        <v>1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45466</v>
      </c>
      <c r="B193" s="2">
        <v>2024</v>
      </c>
      <c r="C193" s="2">
        <f>COUNTIFS(Games[Team],Games[[#This Row],[Team]],Games[Season],Games[[#This Row],[Season]],Games[Date],"&lt;=" &amp; Games[[#This Row],[Date]])</f>
        <v>16</v>
      </c>
      <c r="D193" s="2" t="s">
        <v>79</v>
      </c>
      <c r="E193" s="2" t="s">
        <v>80</v>
      </c>
      <c r="F193" s="1" t="s">
        <v>71</v>
      </c>
      <c r="G193" s="1" t="s">
        <v>74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3" s="2">
        <f>Games[[#This Row],[DaysOff]]-Games[[#This Row],[OppDaysOff]]</f>
        <v>2</v>
      </c>
      <c r="L193" s="2">
        <f>Games[[#This Row],[OppDaysOff]]-Games[[#This Row],[DaysOff]]</f>
        <v>-2</v>
      </c>
      <c r="M193" s="1">
        <f>MAX(-16, MIN(16, Games[[#This Row],[RestDiff]]*8))</f>
        <v>16</v>
      </c>
      <c r="N193" s="1">
        <f>MAX(-16, MIN(16, Games[[#This Row],[OppRestDiff]]*8))</f>
        <v>-16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1517.1887618330893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1628.755167437314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0.50638010891722929</v>
      </c>
      <c r="R193" s="1">
        <v>72</v>
      </c>
      <c r="S193" s="1">
        <v>61</v>
      </c>
      <c r="T193" s="1">
        <v>0</v>
      </c>
      <c r="U193" s="1">
        <f>Games[[#This Row],[PointsFor]]-Games[[#This Row],[PointsAgainst]]</f>
        <v>11</v>
      </c>
      <c r="V193" s="1">
        <f>IF(Games[[#This Row],[MOV]]&gt;0,1,IF(Games[[#This Row],[MOV]]=0,0.5,0))</f>
        <v>1</v>
      </c>
      <c r="W193" s="4">
        <f>((ABS(Games[[#This Row],[MOV]])+5)^0.6)/(12+0.01*(ABS(Games[[#This Row],[PreGmRate]]-Games[[#This Row],[OppPreGmRate]])))*IF(Games[[#This Row],[OT]]=1,0.9,1)</f>
        <v>0.40242199102835696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3" s="9">
        <f>MAX(kmin, kmax - 0.15 * MIN(Games[[#This Row],[GamesPlayed]], 82))</f>
        <v>73.599999999999994</v>
      </c>
      <c r="Z193" s="4">
        <f>Games[[#This Row],[K]]*Games[[#This Row],[POMult]]</f>
        <v>73.599999999999994</v>
      </c>
      <c r="AA193" s="4">
        <f>(Games[[#This Row],[Keff]]*Games[[#This Row],[MOVMult]])*(Games[[#This Row],[Result]]-Games[[#This Row],[ExpectedWin%]])</f>
        <v>14.620161554421674</v>
      </c>
      <c r="AB193" s="4">
        <f>Games[[#This Row],[PreGmRate]]+Games[[#This Row],[RatingChange]]</f>
        <v>1531.808923387511</v>
      </c>
      <c r="AC193" s="2">
        <f>IF(Games[[#This Row],[Type]]="R",IF(Games[[#This Row],[Result]]&gt;0.5,1,0),0)</f>
        <v>1</v>
      </c>
      <c r="AD193" s="2">
        <f>IF(Games[[#This Row],[Type]]="R",IF(Games[[#This Row],[Result]]&lt;0.5,1,0),0)</f>
        <v>0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45466</v>
      </c>
      <c r="B194" s="2">
        <v>2024</v>
      </c>
      <c r="C194" s="2">
        <f>COUNTIFS(Games[Team],Games[[#This Row],[Team]],Games[Season],Games[[#This Row],[Season]],Games[Date],"&lt;=" &amp; Games[[#This Row],[Date]])</f>
        <v>16</v>
      </c>
      <c r="D194" s="2" t="s">
        <v>79</v>
      </c>
      <c r="E194" s="2" t="s">
        <v>80</v>
      </c>
      <c r="F194" s="1" t="s">
        <v>85</v>
      </c>
      <c r="G194" s="1" t="s">
        <v>65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0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94" s="2">
        <f>Games[[#This Row],[DaysOff]]-Games[[#This Row],[OppDaysOff]]</f>
        <v>0</v>
      </c>
      <c r="L194" s="2">
        <f>Games[[#This Row],[OppDaysOff]]-Games[[#This Row],[DaysOff]]</f>
        <v>0</v>
      </c>
      <c r="M194" s="1">
        <f>MAX(-16, MIN(16, Games[[#This Row],[RestDiff]]*8))</f>
        <v>0</v>
      </c>
      <c r="N194" s="1">
        <f>MAX(-16, MIN(16, Games[[#This Row],[OppRestDiff]]*8))</f>
        <v>0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1405.945364898394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1408.8006107324081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0.37754560723424402</v>
      </c>
      <c r="R194" s="1">
        <v>84</v>
      </c>
      <c r="S194" s="1">
        <v>92</v>
      </c>
      <c r="T194" s="1">
        <v>0</v>
      </c>
      <c r="U194" s="1">
        <f>Games[[#This Row],[PointsFor]]-Games[[#This Row],[PointsAgainst]]</f>
        <v>-8</v>
      </c>
      <c r="V194" s="1">
        <f>IF(Games[[#This Row],[MOV]]&gt;0,1,IF(Games[[#This Row],[MOV]]=0,0.5,0))</f>
        <v>0</v>
      </c>
      <c r="W194" s="4">
        <f>((ABS(Games[[#This Row],[MOV]])+5)^0.6)/(12+0.01*(ABS(Games[[#This Row],[PreGmRate]]-Games[[#This Row],[OppPreGmRate]])))*IF(Games[[#This Row],[OT]]=1,0.9,1)</f>
        <v>0.38739378126959467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4" s="9">
        <f>MAX(kmin, kmax - 0.15 * MIN(Games[[#This Row],[GamesPlayed]], 82))</f>
        <v>73.599999999999994</v>
      </c>
      <c r="Z194" s="4">
        <f>Games[[#This Row],[K]]*Games[[#This Row],[POMult]]</f>
        <v>73.599999999999994</v>
      </c>
      <c r="AA194" s="4">
        <f>(Games[[#This Row],[Keff]]*Games[[#This Row],[MOVMult]])*(Games[[#This Row],[Result]]-Games[[#This Row],[ExpectedWin%]])</f>
        <v>-10.764649180571448</v>
      </c>
      <c r="AB194" s="4">
        <f>Games[[#This Row],[PreGmRate]]+Games[[#This Row],[RatingChange]]</f>
        <v>1395.1807157178225</v>
      </c>
      <c r="AC194" s="2">
        <f>IF(Games[[#This Row],[Type]]="R",IF(Games[[#This Row],[Result]]&gt;0.5,1,0),0)</f>
        <v>0</v>
      </c>
      <c r="AD194" s="2">
        <f>IF(Games[[#This Row],[Type]]="R",IF(Games[[#This Row],[Result]]&lt;0.5,1,0),0)</f>
        <v>1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45466</v>
      </c>
      <c r="B195" s="2">
        <v>2024</v>
      </c>
      <c r="C195" s="2">
        <f>COUNTIFS(Games[Team],Games[[#This Row],[Team]],Games[Season],Games[[#This Row],[Season]],Games[Date],"&lt;=" &amp; Games[[#This Row],[Date]])</f>
        <v>17</v>
      </c>
      <c r="D195" s="2" t="s">
        <v>79</v>
      </c>
      <c r="E195" s="2" t="s">
        <v>80</v>
      </c>
      <c r="F195" s="1" t="s">
        <v>65</v>
      </c>
      <c r="G195" s="1" t="s">
        <v>85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0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95" s="2">
        <f>Games[[#This Row],[DaysOff]]-Games[[#This Row],[OppDaysOff]]</f>
        <v>0</v>
      </c>
      <c r="L195" s="2">
        <f>Games[[#This Row],[OppDaysOff]]-Games[[#This Row],[DaysOff]]</f>
        <v>0</v>
      </c>
      <c r="M195" s="1">
        <f>MAX(-16, MIN(16, Games[[#This Row],[RestDiff]]*8))</f>
        <v>0</v>
      </c>
      <c r="N195" s="1">
        <f>MAX(-16, MIN(16, Games[[#This Row],[OppRestDiff]]*8))</f>
        <v>0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1408.8006107324081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1405.945364898394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0.62245439276575598</v>
      </c>
      <c r="R195" s="1">
        <v>92</v>
      </c>
      <c r="S195" s="1">
        <v>84</v>
      </c>
      <c r="T195" s="1">
        <v>0</v>
      </c>
      <c r="U195" s="1">
        <f>Games[[#This Row],[PointsFor]]-Games[[#This Row],[PointsAgainst]]</f>
        <v>8</v>
      </c>
      <c r="V195" s="1">
        <f>IF(Games[[#This Row],[MOV]]&gt;0,1,IF(Games[[#This Row],[MOV]]=0,0.5,0))</f>
        <v>1</v>
      </c>
      <c r="W195" s="4">
        <f>((ABS(Games[[#This Row],[MOV]])+5)^0.6)/(12+0.01*(ABS(Games[[#This Row],[PreGmRate]]-Games[[#This Row],[OppPreGmRate]])))*IF(Games[[#This Row],[OT]]=1,0.9,1)</f>
        <v>0.38739378126959467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5" s="9">
        <f>MAX(kmin, kmax - 0.15 * MIN(Games[[#This Row],[GamesPlayed]], 82))</f>
        <v>73.45</v>
      </c>
      <c r="Z195" s="4">
        <f>Games[[#This Row],[K]]*Games[[#This Row],[POMult]]</f>
        <v>73.45</v>
      </c>
      <c r="AA195" s="4">
        <f>(Games[[#This Row],[Keff]]*Games[[#This Row],[MOVMult]])*(Games[[#This Row],[Result]]-Games[[#This Row],[ExpectedWin%]])</f>
        <v>10.74271035751322</v>
      </c>
      <c r="AB195" s="4">
        <f>Games[[#This Row],[PreGmRate]]+Games[[#This Row],[RatingChange]]</f>
        <v>1419.5433210899214</v>
      </c>
      <c r="AC195" s="2">
        <f>IF(Games[[#This Row],[Type]]="R",IF(Games[[#This Row],[Result]]&gt;0.5,1,0),0)</f>
        <v>1</v>
      </c>
      <c r="AD195" s="2">
        <f>IF(Games[[#This Row],[Type]]="R",IF(Games[[#This Row],[Result]]&lt;0.5,1,0),0)</f>
        <v>0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45470</v>
      </c>
      <c r="B196" s="2">
        <v>2024</v>
      </c>
      <c r="C196" s="2">
        <f>COUNTIFS(Games[Team],Games[[#This Row],[Team]],Games[Season],Games[[#This Row],[Season]],Games[Date],"&lt;=" &amp; Games[[#This Row],[Date]])</f>
        <v>15</v>
      </c>
      <c r="D196" s="2" t="s">
        <v>79</v>
      </c>
      <c r="E196" s="2" t="s">
        <v>80</v>
      </c>
      <c r="F196" s="1" t="s">
        <v>86</v>
      </c>
      <c r="G196" s="1" t="s">
        <v>75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5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6" s="2">
        <f>Games[[#This Row],[DaysOff]]-Games[[#This Row],[OppDaysOff]]</f>
        <v>2</v>
      </c>
      <c r="L196" s="2">
        <f>Games[[#This Row],[OppDaysOff]]-Games[[#This Row],[DaysOff]]</f>
        <v>-2</v>
      </c>
      <c r="M196" s="1">
        <f>MAX(-16, MIN(16, Games[[#This Row],[RestDiff]]*8))</f>
        <v>16</v>
      </c>
      <c r="N196" s="1">
        <f>MAX(-16, MIN(16, Games[[#This Row],[OppRestDiff]]*8))</f>
        <v>-16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1606.3871940088652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1460.4654419750143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0.63196525464081854</v>
      </c>
      <c r="R196" s="1">
        <v>95</v>
      </c>
      <c r="S196" s="1">
        <v>83</v>
      </c>
      <c r="T196" s="1">
        <v>0</v>
      </c>
      <c r="U196" s="1">
        <f>Games[[#This Row],[PointsFor]]-Games[[#This Row],[PointsAgainst]]</f>
        <v>12</v>
      </c>
      <c r="V196" s="1">
        <f>IF(Games[[#This Row],[MOV]]&gt;0,1,IF(Games[[#This Row],[MOV]]=0,0.5,0))</f>
        <v>1</v>
      </c>
      <c r="W196" s="4">
        <f>((ABS(Games[[#This Row],[MOV]])+5)^0.6)/(12+0.01*(ABS(Games[[#This Row],[PreGmRate]]-Games[[#This Row],[OppPreGmRate]])))*IF(Games[[#This Row],[OT]]=1,0.9,1)</f>
        <v>0.40667693412691236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6" s="9">
        <f>MAX(kmin, kmax - 0.15 * MIN(Games[[#This Row],[GamesPlayed]], 82))</f>
        <v>73.75</v>
      </c>
      <c r="Z196" s="4">
        <f>Games[[#This Row],[K]]*Games[[#This Row],[POMult]]</f>
        <v>73.75</v>
      </c>
      <c r="AA196" s="4">
        <f>(Games[[#This Row],[Keff]]*Games[[#This Row],[MOVMult]])*(Games[[#This Row],[Result]]-Games[[#This Row],[ExpectedWin%]])</f>
        <v>11.038254089745246</v>
      </c>
      <c r="AB196" s="4">
        <f>Games[[#This Row],[PreGmRate]]+Games[[#This Row],[RatingChange]]</f>
        <v>1617.4254480986106</v>
      </c>
      <c r="AC196" s="2">
        <f>IF(Games[[#This Row],[Type]]="R",IF(Games[[#This Row],[Result]]&gt;0.5,1,0),0)</f>
        <v>1</v>
      </c>
      <c r="AD196" s="2">
        <f>IF(Games[[#This Row],[Type]]="R",IF(Games[[#This Row],[Result]]&lt;0.5,1,0),0)</f>
        <v>0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45470</v>
      </c>
      <c r="B197" s="2">
        <v>2024</v>
      </c>
      <c r="C197" s="2">
        <f>COUNTIFS(Games[Team],Games[[#This Row],[Team]],Games[Season],Games[[#This Row],[Season]],Games[Date],"&lt;=" &amp; Games[[#This Row],[Date]])</f>
        <v>16</v>
      </c>
      <c r="D197" s="2" t="s">
        <v>79</v>
      </c>
      <c r="E197" s="2" t="s">
        <v>80</v>
      </c>
      <c r="F197" s="1" t="s">
        <v>75</v>
      </c>
      <c r="G197" s="1" t="s">
        <v>86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97" s="2">
        <f>Games[[#This Row],[DaysOff]]-Games[[#This Row],[OppDaysOff]]</f>
        <v>-2</v>
      </c>
      <c r="L197" s="2">
        <f>Games[[#This Row],[OppDaysOff]]-Games[[#This Row],[DaysOff]]</f>
        <v>2</v>
      </c>
      <c r="M197" s="1">
        <f>MAX(-16, MIN(16, Games[[#This Row],[RestDiff]]*8))</f>
        <v>-16</v>
      </c>
      <c r="N197" s="1">
        <f>MAX(-16, MIN(16, Games[[#This Row],[OppRestDiff]]*8))</f>
        <v>16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1460.4654419750143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1606.3871940088652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0.3680347453591814</v>
      </c>
      <c r="R197" s="1">
        <v>83</v>
      </c>
      <c r="S197" s="1">
        <v>95</v>
      </c>
      <c r="T197" s="1">
        <v>0</v>
      </c>
      <c r="U197" s="1">
        <f>Games[[#This Row],[PointsFor]]-Games[[#This Row],[PointsAgainst]]</f>
        <v>-12</v>
      </c>
      <c r="V197" s="1">
        <f>IF(Games[[#This Row],[MOV]]&gt;0,1,IF(Games[[#This Row],[MOV]]=0,0.5,0))</f>
        <v>0</v>
      </c>
      <c r="W197" s="4">
        <f>((ABS(Games[[#This Row],[MOV]])+5)^0.6)/(12+0.01*(ABS(Games[[#This Row],[PreGmRate]]-Games[[#This Row],[OppPreGmRate]])))*IF(Games[[#This Row],[OT]]=1,0.9,1)</f>
        <v>0.40667693412691236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7" s="9">
        <f>MAX(kmin, kmax - 0.15 * MIN(Games[[#This Row],[GamesPlayed]], 82))</f>
        <v>73.599999999999994</v>
      </c>
      <c r="Z197" s="4">
        <f>Games[[#This Row],[K]]*Games[[#This Row],[POMult]]</f>
        <v>73.599999999999994</v>
      </c>
      <c r="AA197" s="4">
        <f>(Games[[#This Row],[Keff]]*Games[[#This Row],[MOVMult]])*(Games[[#This Row],[Result]]-Games[[#This Row],[ExpectedWin%]])</f>
        <v>-11.015803403461016</v>
      </c>
      <c r="AB197" s="4">
        <f>Games[[#This Row],[PreGmRate]]+Games[[#This Row],[RatingChange]]</f>
        <v>1449.4496385715534</v>
      </c>
      <c r="AC197" s="2">
        <f>IF(Games[[#This Row],[Type]]="R",IF(Games[[#This Row],[Result]]&gt;0.5,1,0),0)</f>
        <v>0</v>
      </c>
      <c r="AD197" s="2">
        <f>IF(Games[[#This Row],[Type]]="R",IF(Games[[#This Row],[Result]]&lt;0.5,1,0),0)</f>
        <v>1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45470</v>
      </c>
      <c r="B198" s="2">
        <v>2024</v>
      </c>
      <c r="C198" s="2">
        <f>COUNTIFS(Games[Team],Games[[#This Row],[Team]],Games[Season],Games[[#This Row],[Season]],Games[Date],"&lt;=" &amp; Games[[#This Row],[Date]])</f>
        <v>17</v>
      </c>
      <c r="D198" s="2" t="s">
        <v>79</v>
      </c>
      <c r="E198" s="2" t="s">
        <v>80</v>
      </c>
      <c r="F198" s="1" t="s">
        <v>67</v>
      </c>
      <c r="G198" s="1" t="s">
        <v>85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8" s="2">
        <f>Games[[#This Row],[DaysOff]]-Games[[#This Row],[OppDaysOff]]</f>
        <v>1</v>
      </c>
      <c r="L198" s="2">
        <f>Games[[#This Row],[OppDaysOff]]-Games[[#This Row],[DaysOff]]</f>
        <v>-1</v>
      </c>
      <c r="M198" s="1">
        <f>MAX(-16, MIN(16, Games[[#This Row],[RestDiff]]*8))</f>
        <v>8</v>
      </c>
      <c r="N198" s="1">
        <f>MAX(-16, MIN(16, Games[[#This Row],[OppRestDiff]]*8))</f>
        <v>-8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1614.187230460001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1395.1807157178225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0.70459239843509691</v>
      </c>
      <c r="R198" s="1">
        <v>88</v>
      </c>
      <c r="S198" s="1">
        <v>94</v>
      </c>
      <c r="T198" s="1">
        <v>0</v>
      </c>
      <c r="U198" s="1">
        <f>Games[[#This Row],[PointsFor]]-Games[[#This Row],[PointsAgainst]]</f>
        <v>-6</v>
      </c>
      <c r="V198" s="1">
        <f>IF(Games[[#This Row],[MOV]]&gt;0,1,IF(Games[[#This Row],[MOV]]=0,0.5,0))</f>
        <v>0</v>
      </c>
      <c r="W198" s="4">
        <f>((ABS(Games[[#This Row],[MOV]])+5)^0.6)/(12+0.01*(ABS(Games[[#This Row],[PreGmRate]]-Games[[#This Row],[OppPreGmRate]])))*IF(Games[[#This Row],[OT]]=1,0.9,1)</f>
        <v>0.29706481889251912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8" s="9">
        <f>MAX(kmin, kmax - 0.15 * MIN(Games[[#This Row],[GamesPlayed]], 82))</f>
        <v>73.45</v>
      </c>
      <c r="Z198" s="4">
        <f>Games[[#This Row],[K]]*Games[[#This Row],[POMult]]</f>
        <v>73.45</v>
      </c>
      <c r="AA198" s="4">
        <f>(Games[[#This Row],[Keff]]*Games[[#This Row],[MOVMult]])*(Games[[#This Row],[Result]]-Games[[#This Row],[ExpectedWin%]])</f>
        <v>-15.37379109204962</v>
      </c>
      <c r="AB198" s="4">
        <f>Games[[#This Row],[PreGmRate]]+Games[[#This Row],[RatingChange]]</f>
        <v>1598.8134393679513</v>
      </c>
      <c r="AC198" s="2">
        <f>IF(Games[[#This Row],[Type]]="R",IF(Games[[#This Row],[Result]]&gt;0.5,1,0),0)</f>
        <v>0</v>
      </c>
      <c r="AD198" s="2">
        <f>IF(Games[[#This Row],[Type]]="R",IF(Games[[#This Row],[Result]]&lt;0.5,1,0),0)</f>
        <v>1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45470</v>
      </c>
      <c r="B199" s="2">
        <v>2024</v>
      </c>
      <c r="C199" s="2">
        <f>COUNTIFS(Games[Team],Games[[#This Row],[Team]],Games[Season],Games[[#This Row],[Season]],Games[Date],"&lt;=" &amp; Games[[#This Row],[Date]])</f>
        <v>17</v>
      </c>
      <c r="D199" s="2" t="s">
        <v>79</v>
      </c>
      <c r="E199" s="2" t="s">
        <v>80</v>
      </c>
      <c r="F199" s="1" t="s">
        <v>85</v>
      </c>
      <c r="G199" s="1" t="s">
        <v>67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99" s="2">
        <f>Games[[#This Row],[DaysOff]]-Games[[#This Row],[OppDaysOff]]</f>
        <v>-1</v>
      </c>
      <c r="L199" s="2">
        <f>Games[[#This Row],[OppDaysOff]]-Games[[#This Row],[DaysOff]]</f>
        <v>1</v>
      </c>
      <c r="M199" s="1">
        <f>MAX(-16, MIN(16, Games[[#This Row],[RestDiff]]*8))</f>
        <v>-8</v>
      </c>
      <c r="N199" s="1">
        <f>MAX(-16, MIN(16, Games[[#This Row],[OppRestDiff]]*8))</f>
        <v>8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1395.1807157178225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1614.187230460001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0.29540760156490309</v>
      </c>
      <c r="R199" s="1">
        <v>94</v>
      </c>
      <c r="S199" s="1">
        <v>88</v>
      </c>
      <c r="T199" s="1">
        <v>0</v>
      </c>
      <c r="U199" s="1">
        <f>Games[[#This Row],[PointsFor]]-Games[[#This Row],[PointsAgainst]]</f>
        <v>6</v>
      </c>
      <c r="V199" s="1">
        <f>IF(Games[[#This Row],[MOV]]&gt;0,1,IF(Games[[#This Row],[MOV]]=0,0.5,0))</f>
        <v>1</v>
      </c>
      <c r="W199" s="4">
        <f>((ABS(Games[[#This Row],[MOV]])+5)^0.6)/(12+0.01*(ABS(Games[[#This Row],[PreGmRate]]-Games[[#This Row],[OppPreGmRate]])))*IF(Games[[#This Row],[OT]]=1,0.9,1)</f>
        <v>0.29706481889251912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9" s="9">
        <f>MAX(kmin, kmax - 0.15 * MIN(Games[[#This Row],[GamesPlayed]], 82))</f>
        <v>73.45</v>
      </c>
      <c r="Z199" s="4">
        <f>Games[[#This Row],[K]]*Games[[#This Row],[POMult]]</f>
        <v>73.45</v>
      </c>
      <c r="AA199" s="4">
        <f>(Games[[#This Row],[Keff]]*Games[[#This Row],[MOVMult]])*(Games[[#This Row],[Result]]-Games[[#This Row],[ExpectedWin%]])</f>
        <v>15.37379109204962</v>
      </c>
      <c r="AB199" s="4">
        <f>Games[[#This Row],[PreGmRate]]+Games[[#This Row],[RatingChange]]</f>
        <v>1410.5545068098722</v>
      </c>
      <c r="AC199" s="2">
        <f>IF(Games[[#This Row],[Type]]="R",IF(Games[[#This Row],[Result]]&gt;0.5,1,0),0)</f>
        <v>1</v>
      </c>
      <c r="AD199" s="2">
        <f>IF(Games[[#This Row],[Type]]="R",IF(Games[[#This Row],[Result]]&lt;0.5,1,0),0)</f>
        <v>0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45470</v>
      </c>
      <c r="B200" s="2">
        <v>2024</v>
      </c>
      <c r="C200" s="2">
        <f>COUNTIFS(Games[Team],Games[[#This Row],[Team]],Games[Season],Games[[#This Row],[Season]],Games[Date],"&lt;=" &amp; Games[[#This Row],[Date]])</f>
        <v>19</v>
      </c>
      <c r="D200" s="2" t="s">
        <v>79</v>
      </c>
      <c r="E200" s="2" t="s">
        <v>80</v>
      </c>
      <c r="F200" s="1" t="s">
        <v>69</v>
      </c>
      <c r="G200" s="1" t="s">
        <v>71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0" s="2">
        <f>Games[[#This Row],[DaysOff]]-Games[[#This Row],[OppDaysOff]]</f>
        <v>0</v>
      </c>
      <c r="L200" s="2">
        <f>Games[[#This Row],[OppDaysOff]]-Games[[#This Row],[DaysOff]]</f>
        <v>0</v>
      </c>
      <c r="M200" s="1">
        <f>MAX(-16, MIN(16, Games[[#This Row],[RestDiff]]*8))</f>
        <v>0</v>
      </c>
      <c r="N200" s="1">
        <f>MAX(-16, MIN(16, Games[[#This Row],[OppRestDiff]]*8))</f>
        <v>0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1426.5689779804554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1531.808923387511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0.25174019007440068</v>
      </c>
      <c r="R200" s="1">
        <v>77</v>
      </c>
      <c r="S200" s="1">
        <v>89</v>
      </c>
      <c r="T200" s="1">
        <v>0</v>
      </c>
      <c r="U200" s="1">
        <f>Games[[#This Row],[PointsFor]]-Games[[#This Row],[PointsAgainst]]</f>
        <v>-12</v>
      </c>
      <c r="V200" s="1">
        <f>IF(Games[[#This Row],[MOV]]&gt;0,1,IF(Games[[#This Row],[MOV]]=0,0.5,0))</f>
        <v>0</v>
      </c>
      <c r="W200" s="4">
        <f>((ABS(Games[[#This Row],[MOV]])+5)^0.6)/(12+0.01*(ABS(Games[[#This Row],[PreGmRate]]-Games[[#This Row],[OppPreGmRate]])))*IF(Games[[#This Row],[OT]]=1,0.9,1)</f>
        <v>0.41935226823076521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0" s="9">
        <f>MAX(kmin, kmax - 0.15 * MIN(Games[[#This Row],[GamesPlayed]], 82))</f>
        <v>73.150000000000006</v>
      </c>
      <c r="Z200" s="4">
        <f>Games[[#This Row],[K]]*Games[[#This Row],[POMult]]</f>
        <v>73.150000000000006</v>
      </c>
      <c r="AA200" s="4">
        <f>(Games[[#This Row],[Keff]]*Games[[#This Row],[MOVMult]])*(Games[[#This Row],[Result]]-Games[[#This Row],[ExpectedWin%]])</f>
        <v>-7.7222860119725869</v>
      </c>
      <c r="AB200" s="4">
        <f>Games[[#This Row],[PreGmRate]]+Games[[#This Row],[RatingChange]]</f>
        <v>1418.8466919684829</v>
      </c>
      <c r="AC200" s="2">
        <f>IF(Games[[#This Row],[Type]]="R",IF(Games[[#This Row],[Result]]&gt;0.5,1,0),0)</f>
        <v>0</v>
      </c>
      <c r="AD200" s="2">
        <f>IF(Games[[#This Row],[Type]]="R",IF(Games[[#This Row],[Result]]&lt;0.5,1,0),0)</f>
        <v>1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45470</v>
      </c>
      <c r="B201" s="2">
        <v>2024</v>
      </c>
      <c r="C201" s="2">
        <f>COUNTIFS(Games[Team],Games[[#This Row],[Team]],Games[Season],Games[[#This Row],[Season]],Games[Date],"&lt;=" &amp; Games[[#This Row],[Date]])</f>
        <v>17</v>
      </c>
      <c r="D201" s="2" t="s">
        <v>79</v>
      </c>
      <c r="E201" s="2" t="s">
        <v>80</v>
      </c>
      <c r="F201" s="1" t="s">
        <v>71</v>
      </c>
      <c r="G201" s="1" t="s">
        <v>69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1" s="2">
        <f>Games[[#This Row],[DaysOff]]-Games[[#This Row],[OppDaysOff]]</f>
        <v>0</v>
      </c>
      <c r="L201" s="2">
        <f>Games[[#This Row],[OppDaysOff]]-Games[[#This Row],[DaysOff]]</f>
        <v>0</v>
      </c>
      <c r="M201" s="1">
        <f>MAX(-16, MIN(16, Games[[#This Row],[RestDiff]]*8))</f>
        <v>0</v>
      </c>
      <c r="N201" s="1">
        <f>MAX(-16, MIN(16, Games[[#This Row],[OppRestDiff]]*8))</f>
        <v>0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1531.808923387511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1426.5689779804554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0.74825980992559926</v>
      </c>
      <c r="R201" s="1">
        <v>89</v>
      </c>
      <c r="S201" s="1">
        <v>77</v>
      </c>
      <c r="T201" s="1">
        <v>0</v>
      </c>
      <c r="U201" s="1">
        <f>Games[[#This Row],[PointsFor]]-Games[[#This Row],[PointsAgainst]]</f>
        <v>12</v>
      </c>
      <c r="V201" s="1">
        <f>IF(Games[[#This Row],[MOV]]&gt;0,1,IF(Games[[#This Row],[MOV]]=0,0.5,0))</f>
        <v>1</v>
      </c>
      <c r="W201" s="4">
        <f>((ABS(Games[[#This Row],[MOV]])+5)^0.6)/(12+0.01*(ABS(Games[[#This Row],[PreGmRate]]-Games[[#This Row],[OppPreGmRate]])))*IF(Games[[#This Row],[OT]]=1,0.9,1)</f>
        <v>0.41935226823076521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1" s="9">
        <f>MAX(kmin, kmax - 0.15 * MIN(Games[[#This Row],[GamesPlayed]], 82))</f>
        <v>73.45</v>
      </c>
      <c r="Z201" s="4">
        <f>Games[[#This Row],[K]]*Games[[#This Row],[POMult]]</f>
        <v>73.45</v>
      </c>
      <c r="AA201" s="4">
        <f>(Games[[#This Row],[Keff]]*Games[[#This Row],[MOVMult]])*(Games[[#This Row],[Result]]-Games[[#This Row],[ExpectedWin%]])</f>
        <v>7.7539563578863513</v>
      </c>
      <c r="AB201" s="4">
        <f>Games[[#This Row],[PreGmRate]]+Games[[#This Row],[RatingChange]]</f>
        <v>1539.5628797453974</v>
      </c>
      <c r="AC201" s="2">
        <f>IF(Games[[#This Row],[Type]]="R",IF(Games[[#This Row],[Result]]&gt;0.5,1,0),0)</f>
        <v>1</v>
      </c>
      <c r="AD201" s="2">
        <f>IF(Games[[#This Row],[Type]]="R",IF(Games[[#This Row],[Result]]&lt;0.5,1,0),0)</f>
        <v>0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45470</v>
      </c>
      <c r="B202" s="2">
        <v>2024</v>
      </c>
      <c r="C202" s="2">
        <f>COUNTIFS(Games[Team],Games[[#This Row],[Team]],Games[Season],Games[[#This Row],[Season]],Games[Date],"&lt;=" &amp; Games[[#This Row],[Date]])</f>
        <v>17</v>
      </c>
      <c r="D202" s="2" t="s">
        <v>79</v>
      </c>
      <c r="E202" s="2" t="s">
        <v>80</v>
      </c>
      <c r="F202" s="1" t="s">
        <v>74</v>
      </c>
      <c r="G202" s="1" t="s">
        <v>65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2" s="2">
        <f>Games[[#This Row],[DaysOff]]-Games[[#This Row],[OppDaysOff]]</f>
        <v>0</v>
      </c>
      <c r="L202" s="2">
        <f>Games[[#This Row],[OppDaysOff]]-Games[[#This Row],[DaysOff]]</f>
        <v>0</v>
      </c>
      <c r="M202" s="1">
        <f>MAX(-16, MIN(16, Games[[#This Row],[RestDiff]]*8))</f>
        <v>0</v>
      </c>
      <c r="N202" s="1">
        <f>MAX(-16, MIN(16, Games[[#This Row],[OppRestDiff]]*8))</f>
        <v>0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1614.1350058828923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1419.5433210899214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0.65398830908759076</v>
      </c>
      <c r="R202" s="1">
        <v>94</v>
      </c>
      <c r="S202" s="1">
        <v>91</v>
      </c>
      <c r="T202" s="1">
        <v>1</v>
      </c>
      <c r="U202" s="1">
        <f>Games[[#This Row],[PointsFor]]-Games[[#This Row],[PointsAgainst]]</f>
        <v>3</v>
      </c>
      <c r="V202" s="1">
        <f>IF(Games[[#This Row],[MOV]]&gt;0,1,IF(Games[[#This Row],[MOV]]=0,0.5,0))</f>
        <v>1</v>
      </c>
      <c r="W202" s="4">
        <f>((ABS(Games[[#This Row],[MOV]])+5)^0.6)/(12+0.01*(ABS(Games[[#This Row],[PreGmRate]]-Games[[#This Row],[OppPreGmRate]])))*IF(Games[[#This Row],[OT]]=1,0.9,1)</f>
        <v>0.22472398638539787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2" s="9">
        <f>MAX(kmin, kmax - 0.15 * MIN(Games[[#This Row],[GamesPlayed]], 82))</f>
        <v>73.45</v>
      </c>
      <c r="Z202" s="4">
        <f>Games[[#This Row],[K]]*Games[[#This Row],[POMult]]</f>
        <v>73.45</v>
      </c>
      <c r="AA202" s="4">
        <f>(Games[[#This Row],[Keff]]*Games[[#This Row],[MOVMult]])*(Games[[#This Row],[Result]]-Games[[#This Row],[ExpectedWin%]])</f>
        <v>5.7112609427315837</v>
      </c>
      <c r="AB202" s="4">
        <f>Games[[#This Row],[PreGmRate]]+Games[[#This Row],[RatingChange]]</f>
        <v>1619.8462668256238</v>
      </c>
      <c r="AC202" s="2">
        <f>IF(Games[[#This Row],[Type]]="R",IF(Games[[#This Row],[Result]]&gt;0.5,1,0),0)</f>
        <v>1</v>
      </c>
      <c r="AD202" s="2">
        <f>IF(Games[[#This Row],[Type]]="R",IF(Games[[#This Row],[Result]]&lt;0.5,1,0),0)</f>
        <v>0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45470</v>
      </c>
      <c r="B203" s="2">
        <v>2024</v>
      </c>
      <c r="C203" s="2">
        <f>COUNTIFS(Games[Team],Games[[#This Row],[Team]],Games[Season],Games[[#This Row],[Season]],Games[Date],"&lt;=" &amp; Games[[#This Row],[Date]])</f>
        <v>18</v>
      </c>
      <c r="D203" s="2" t="s">
        <v>79</v>
      </c>
      <c r="E203" s="2" t="s">
        <v>80</v>
      </c>
      <c r="F203" s="1" t="s">
        <v>65</v>
      </c>
      <c r="G203" s="1" t="s">
        <v>74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3" s="2">
        <f>Games[[#This Row],[DaysOff]]-Games[[#This Row],[OppDaysOff]]</f>
        <v>0</v>
      </c>
      <c r="L203" s="2">
        <f>Games[[#This Row],[OppDaysOff]]-Games[[#This Row],[DaysOff]]</f>
        <v>0</v>
      </c>
      <c r="M203" s="1">
        <f>MAX(-16, MIN(16, Games[[#This Row],[RestDiff]]*8))</f>
        <v>0</v>
      </c>
      <c r="N203" s="1">
        <f>MAX(-16, MIN(16, Games[[#This Row],[OppRestDiff]]*8))</f>
        <v>0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1419.5433210899214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1614.1350058828923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0.34601169091240913</v>
      </c>
      <c r="R203" s="1">
        <v>91</v>
      </c>
      <c r="S203" s="1">
        <v>94</v>
      </c>
      <c r="T203" s="1">
        <v>1</v>
      </c>
      <c r="U203" s="1">
        <f>Games[[#This Row],[PointsFor]]-Games[[#This Row],[PointsAgainst]]</f>
        <v>-3</v>
      </c>
      <c r="V203" s="1">
        <f>IF(Games[[#This Row],[MOV]]&gt;0,1,IF(Games[[#This Row],[MOV]]=0,0.5,0))</f>
        <v>0</v>
      </c>
      <c r="W203" s="4">
        <f>((ABS(Games[[#This Row],[MOV]])+5)^0.6)/(12+0.01*(ABS(Games[[#This Row],[PreGmRate]]-Games[[#This Row],[OppPreGmRate]])))*IF(Games[[#This Row],[OT]]=1,0.9,1)</f>
        <v>0.22472398638539787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3" s="9">
        <f>MAX(kmin, kmax - 0.15 * MIN(Games[[#This Row],[GamesPlayed]], 82))</f>
        <v>73.3</v>
      </c>
      <c r="Z203" s="4">
        <f>Games[[#This Row],[K]]*Games[[#This Row],[POMult]]</f>
        <v>73.3</v>
      </c>
      <c r="AA203" s="4">
        <f>(Games[[#This Row],[Keff]]*Games[[#This Row],[MOVMult]])*(Games[[#This Row],[Result]]-Games[[#This Row],[ExpectedWin%]])</f>
        <v>-5.699597373753913</v>
      </c>
      <c r="AB203" s="4">
        <f>Games[[#This Row],[PreGmRate]]+Games[[#This Row],[RatingChange]]</f>
        <v>1413.8437237161675</v>
      </c>
      <c r="AC203" s="2">
        <f>IF(Games[[#This Row],[Type]]="R",IF(Games[[#This Row],[Result]]&gt;0.5,1,0),0)</f>
        <v>0</v>
      </c>
      <c r="AD203" s="2">
        <f>IF(Games[[#This Row],[Type]]="R",IF(Games[[#This Row],[Result]]&lt;0.5,1,0),0)</f>
        <v>1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45471</v>
      </c>
      <c r="B204" s="2">
        <v>2024</v>
      </c>
      <c r="C204" s="2">
        <f>COUNTIFS(Games[Team],Games[[#This Row],[Team]],Games[Season],Games[[#This Row],[Season]],Games[Date],"&lt;=" &amp; Games[[#This Row],[Date]])</f>
        <v>16</v>
      </c>
      <c r="D204" s="2" t="s">
        <v>79</v>
      </c>
      <c r="E204" s="2" t="s">
        <v>80</v>
      </c>
      <c r="F204" s="1" t="s">
        <v>77</v>
      </c>
      <c r="G204" s="1" t="s">
        <v>74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4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04" s="2">
        <f>Games[[#This Row],[DaysOff]]-Games[[#This Row],[OppDaysOff]]</f>
        <v>4</v>
      </c>
      <c r="L204" s="2">
        <f>Games[[#This Row],[OppDaysOff]]-Games[[#This Row],[DaysOff]]</f>
        <v>-4</v>
      </c>
      <c r="M204" s="1">
        <f>MAX(-16, MIN(16, Games[[#This Row],[RestDiff]]*8))</f>
        <v>16</v>
      </c>
      <c r="N204" s="1">
        <f>MAX(-16, MIN(16, Games[[#This Row],[OppRestDiff]]*8))</f>
        <v>-16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1410.7241313559898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1619.8462668256238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0.18195769446550683</v>
      </c>
      <c r="R204" s="1">
        <v>78</v>
      </c>
      <c r="S204" s="1">
        <v>74</v>
      </c>
      <c r="T204" s="1">
        <v>0</v>
      </c>
      <c r="U204" s="1">
        <f>Games[[#This Row],[PointsFor]]-Games[[#This Row],[PointsAgainst]]</f>
        <v>4</v>
      </c>
      <c r="V204" s="1">
        <f>IF(Games[[#This Row],[MOV]]&gt;0,1,IF(Games[[#This Row],[MOV]]=0,0.5,0))</f>
        <v>1</v>
      </c>
      <c r="W204" s="4">
        <f>((ABS(Games[[#This Row],[MOV]])+5)^0.6)/(12+0.01*(ABS(Games[[#This Row],[PreGmRate]]-Games[[#This Row],[OppPreGmRate]])))*IF(Games[[#This Row],[OT]]=1,0.9,1)</f>
        <v>0.2652142582091378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4" s="9">
        <f>MAX(kmin, kmax - 0.15 * MIN(Games[[#This Row],[GamesPlayed]], 82))</f>
        <v>73.599999999999994</v>
      </c>
      <c r="Z204" s="4">
        <f>Games[[#This Row],[K]]*Games[[#This Row],[POMult]]</f>
        <v>73.599999999999994</v>
      </c>
      <c r="AA204" s="4">
        <f>(Games[[#This Row],[Keff]]*Games[[#This Row],[MOVMult]])*(Games[[#This Row],[Result]]-Games[[#This Row],[ExpectedWin%]])</f>
        <v>15.967997166907328</v>
      </c>
      <c r="AB204" s="4">
        <f>Games[[#This Row],[PreGmRate]]+Games[[#This Row],[RatingChange]]</f>
        <v>1426.6921285228971</v>
      </c>
      <c r="AC204" s="2">
        <f>IF(Games[[#This Row],[Type]]="R",IF(Games[[#This Row],[Result]]&gt;0.5,1,0),0)</f>
        <v>1</v>
      </c>
      <c r="AD204" s="2">
        <f>IF(Games[[#This Row],[Type]]="R",IF(Games[[#This Row],[Result]]&lt;0.5,1,0),0)</f>
        <v>0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45471</v>
      </c>
      <c r="B205" s="2">
        <v>2024</v>
      </c>
      <c r="C205" s="2">
        <f>COUNTIFS(Games[Team],Games[[#This Row],[Team]],Games[Season],Games[[#This Row],[Season]],Games[Date],"&lt;=" &amp; Games[[#This Row],[Date]])</f>
        <v>18</v>
      </c>
      <c r="D205" s="2" t="s">
        <v>79</v>
      </c>
      <c r="E205" s="2" t="s">
        <v>80</v>
      </c>
      <c r="F205" s="1" t="s">
        <v>74</v>
      </c>
      <c r="G205" s="1" t="s">
        <v>77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0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05" s="2">
        <f>Games[[#This Row],[DaysOff]]-Games[[#This Row],[OppDaysOff]]</f>
        <v>-4</v>
      </c>
      <c r="L205" s="2">
        <f>Games[[#This Row],[OppDaysOff]]-Games[[#This Row],[DaysOff]]</f>
        <v>4</v>
      </c>
      <c r="M205" s="1">
        <f>MAX(-16, MIN(16, Games[[#This Row],[RestDiff]]*8))</f>
        <v>-16</v>
      </c>
      <c r="N205" s="1">
        <f>MAX(-16, MIN(16, Games[[#This Row],[OppRestDiff]]*8))</f>
        <v>16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1619.8462668256238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1410.7241313559898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0.8180423055344932</v>
      </c>
      <c r="R205" s="1">
        <v>74</v>
      </c>
      <c r="S205" s="1">
        <v>78</v>
      </c>
      <c r="T205" s="1">
        <v>0</v>
      </c>
      <c r="U205" s="1">
        <f>Games[[#This Row],[PointsFor]]-Games[[#This Row],[PointsAgainst]]</f>
        <v>-4</v>
      </c>
      <c r="V205" s="1">
        <f>IF(Games[[#This Row],[MOV]]&gt;0,1,IF(Games[[#This Row],[MOV]]=0,0.5,0))</f>
        <v>0</v>
      </c>
      <c r="W205" s="4">
        <f>((ABS(Games[[#This Row],[MOV]])+5)^0.6)/(12+0.01*(ABS(Games[[#This Row],[PreGmRate]]-Games[[#This Row],[OppPreGmRate]])))*IF(Games[[#This Row],[OT]]=1,0.9,1)</f>
        <v>0.2652142582091378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5" s="9">
        <f>MAX(kmin, kmax - 0.15 * MIN(Games[[#This Row],[GamesPlayed]], 82))</f>
        <v>73.3</v>
      </c>
      <c r="Z205" s="4">
        <f>Games[[#This Row],[K]]*Games[[#This Row],[POMult]]</f>
        <v>73.3</v>
      </c>
      <c r="AA205" s="4">
        <f>(Games[[#This Row],[Keff]]*Games[[#This Row],[MOVMult]])*(Games[[#This Row],[Result]]-Games[[#This Row],[ExpectedWin%]])</f>
        <v>-15.902910221933521</v>
      </c>
      <c r="AB205" s="4">
        <f>Games[[#This Row],[PreGmRate]]+Games[[#This Row],[RatingChange]]</f>
        <v>1603.9433566036903</v>
      </c>
      <c r="AC205" s="2">
        <f>IF(Games[[#This Row],[Type]]="R",IF(Games[[#This Row],[Result]]&gt;0.5,1,0),0)</f>
        <v>0</v>
      </c>
      <c r="AD205" s="2">
        <f>IF(Games[[#This Row],[Type]]="R",IF(Games[[#This Row],[Result]]&lt;0.5,1,0),0)</f>
        <v>1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45471</v>
      </c>
      <c r="B206" s="2">
        <v>2024</v>
      </c>
      <c r="C206" s="2">
        <f>COUNTIFS(Games[Team],Games[[#This Row],[Team]],Games[Season],Games[[#This Row],[Season]],Games[Date],"&lt;=" &amp; Games[[#This Row],[Date]])</f>
        <v>18</v>
      </c>
      <c r="D206" s="2" t="s">
        <v>79</v>
      </c>
      <c r="E206" s="2" t="s">
        <v>80</v>
      </c>
      <c r="F206" s="1" t="s">
        <v>63</v>
      </c>
      <c r="G206" s="1" t="s">
        <v>40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5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06" s="2">
        <f>Games[[#This Row],[DaysOff]]-Games[[#This Row],[OppDaysOff]]</f>
        <v>0</v>
      </c>
      <c r="L206" s="2">
        <f>Games[[#This Row],[OppDaysOff]]-Games[[#This Row],[DaysOff]]</f>
        <v>0</v>
      </c>
      <c r="M206" s="1">
        <f>MAX(-16, MIN(16, Games[[#This Row],[RestDiff]]*8))</f>
        <v>0</v>
      </c>
      <c r="N206" s="1">
        <f>MAX(-16, MIN(16, Games[[#This Row],[OppRestDiff]]*8))</f>
        <v>0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1391.2456279453042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1450.2137434644233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0.30512920140244343</v>
      </c>
      <c r="R206" s="1">
        <v>78</v>
      </c>
      <c r="S206" s="1">
        <v>92</v>
      </c>
      <c r="T206" s="1">
        <v>0</v>
      </c>
      <c r="U206" s="1">
        <f>Games[[#This Row],[PointsFor]]-Games[[#This Row],[PointsAgainst]]</f>
        <v>-14</v>
      </c>
      <c r="V206" s="1">
        <f>IF(Games[[#This Row],[MOV]]&gt;0,1,IF(Games[[#This Row],[MOV]]=0,0.5,0))</f>
        <v>0</v>
      </c>
      <c r="W206" s="4">
        <f>((ABS(Games[[#This Row],[MOV]])+5)^0.6)/(12+0.01*(ABS(Games[[#This Row],[PreGmRate]]-Games[[#This Row],[OppPreGmRate]])))*IF(Games[[#This Row],[OT]]=1,0.9,1)</f>
        <v>0.46476929560654595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6" s="9">
        <f>MAX(kmin, kmax - 0.15 * MIN(Games[[#This Row],[GamesPlayed]], 82))</f>
        <v>73.3</v>
      </c>
      <c r="Z206" s="4">
        <f>Games[[#This Row],[K]]*Games[[#This Row],[POMult]]</f>
        <v>73.3</v>
      </c>
      <c r="AA206" s="4">
        <f>(Games[[#This Row],[Keff]]*Games[[#This Row],[MOVMult]])*(Games[[#This Row],[Result]]-Games[[#This Row],[ExpectedWin%]])</f>
        <v>-10.395016337551953</v>
      </c>
      <c r="AB206" s="4">
        <f>Games[[#This Row],[PreGmRate]]+Games[[#This Row],[RatingChange]]</f>
        <v>1380.8506116077524</v>
      </c>
      <c r="AC206" s="2">
        <f>IF(Games[[#This Row],[Type]]="R",IF(Games[[#This Row],[Result]]&gt;0.5,1,0),0)</f>
        <v>0</v>
      </c>
      <c r="AD206" s="2">
        <f>IF(Games[[#This Row],[Type]]="R",IF(Games[[#This Row],[Result]]&lt;0.5,1,0),0)</f>
        <v>1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45471</v>
      </c>
      <c r="B207" s="2">
        <v>2024</v>
      </c>
      <c r="C207" s="2">
        <f>COUNTIFS(Games[Team],Games[[#This Row],[Team]],Games[Season],Games[[#This Row],[Season]],Games[Date],"&lt;=" &amp; Games[[#This Row],[Date]])</f>
        <v>17</v>
      </c>
      <c r="D207" s="2" t="s">
        <v>79</v>
      </c>
      <c r="E207" s="2" t="s">
        <v>80</v>
      </c>
      <c r="F207" s="1" t="s">
        <v>40</v>
      </c>
      <c r="G207" s="1" t="s">
        <v>63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5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07" s="2">
        <f>Games[[#This Row],[DaysOff]]-Games[[#This Row],[OppDaysOff]]</f>
        <v>0</v>
      </c>
      <c r="L207" s="2">
        <f>Games[[#This Row],[OppDaysOff]]-Games[[#This Row],[DaysOff]]</f>
        <v>0</v>
      </c>
      <c r="M207" s="1">
        <f>MAX(-16, MIN(16, Games[[#This Row],[RestDiff]]*8))</f>
        <v>0</v>
      </c>
      <c r="N207" s="1">
        <f>MAX(-16, MIN(16, Games[[#This Row],[OppRestDiff]]*8))</f>
        <v>0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1450.2137434644233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1391.2456279453042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0.69487079859755652</v>
      </c>
      <c r="R207" s="1">
        <v>92</v>
      </c>
      <c r="S207" s="1">
        <v>78</v>
      </c>
      <c r="T207" s="1">
        <v>0</v>
      </c>
      <c r="U207" s="1">
        <f>Games[[#This Row],[PointsFor]]-Games[[#This Row],[PointsAgainst]]</f>
        <v>14</v>
      </c>
      <c r="V207" s="1">
        <f>IF(Games[[#This Row],[MOV]]&gt;0,1,IF(Games[[#This Row],[MOV]]=0,0.5,0))</f>
        <v>1</v>
      </c>
      <c r="W207" s="4">
        <f>((ABS(Games[[#This Row],[MOV]])+5)^0.6)/(12+0.01*(ABS(Games[[#This Row],[PreGmRate]]-Games[[#This Row],[OppPreGmRate]])))*IF(Games[[#This Row],[OT]]=1,0.9,1)</f>
        <v>0.46476929560654595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7" s="9">
        <f>MAX(kmin, kmax - 0.15 * MIN(Games[[#This Row],[GamesPlayed]], 82))</f>
        <v>73.45</v>
      </c>
      <c r="Z207" s="4">
        <f>Games[[#This Row],[K]]*Games[[#This Row],[POMult]]</f>
        <v>73.45</v>
      </c>
      <c r="AA207" s="4">
        <f>(Games[[#This Row],[Keff]]*Games[[#This Row],[MOVMult]])*(Games[[#This Row],[Result]]-Games[[#This Row],[ExpectedWin%]])</f>
        <v>10.416288540152674</v>
      </c>
      <c r="AB207" s="4">
        <f>Games[[#This Row],[PreGmRate]]+Games[[#This Row],[RatingChange]]</f>
        <v>1460.6300320045759</v>
      </c>
      <c r="AC207" s="2">
        <f>IF(Games[[#This Row],[Type]]="R",IF(Games[[#This Row],[Result]]&gt;0.5,1,0),0)</f>
        <v>1</v>
      </c>
      <c r="AD207" s="2">
        <f>IF(Games[[#This Row],[Type]]="R",IF(Games[[#This Row],[Result]]&lt;0.5,1,0),0)</f>
        <v>0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45472</v>
      </c>
      <c r="B208" s="2">
        <v>2024</v>
      </c>
      <c r="C208" s="2">
        <f>COUNTIFS(Games[Team],Games[[#This Row],[Team]],Games[Season],Games[[#This Row],[Season]],Games[Date],"&lt;=" &amp; Games[[#This Row],[Date]])</f>
        <v>18</v>
      </c>
      <c r="D208" s="2" t="s">
        <v>79</v>
      </c>
      <c r="E208" s="2" t="s">
        <v>80</v>
      </c>
      <c r="F208" s="1" t="s">
        <v>85</v>
      </c>
      <c r="G208" s="1" t="s">
        <v>71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8" s="2">
        <f>Games[[#This Row],[DaysOff]]-Games[[#This Row],[OppDaysOff]]</f>
        <v>0</v>
      </c>
      <c r="L208" s="2">
        <f>Games[[#This Row],[OppDaysOff]]-Games[[#This Row],[DaysOff]]</f>
        <v>0</v>
      </c>
      <c r="M208" s="1">
        <f>MAX(-16, MIN(16, Games[[#This Row],[RestDiff]]*8))</f>
        <v>0</v>
      </c>
      <c r="N208" s="1">
        <f>MAX(-16, MIN(16, Games[[#This Row],[OppRestDiff]]*8))</f>
        <v>0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1410.5545068098722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1539.5628797453974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0.22685163328000568</v>
      </c>
      <c r="R208" s="1">
        <v>76</v>
      </c>
      <c r="S208" s="1">
        <v>97</v>
      </c>
      <c r="T208" s="1">
        <v>0</v>
      </c>
      <c r="U208" s="1">
        <f>Games[[#This Row],[PointsFor]]-Games[[#This Row],[PointsAgainst]]</f>
        <v>-21</v>
      </c>
      <c r="V208" s="1">
        <f>IF(Games[[#This Row],[MOV]]&gt;0,1,IF(Games[[#This Row],[MOV]]=0,0.5,0))</f>
        <v>0</v>
      </c>
      <c r="W208" s="4">
        <f>((ABS(Games[[#This Row],[MOV]])+5)^0.6)/(12+0.01*(ABS(Games[[#This Row],[PreGmRate]]-Games[[#This Row],[OppPreGmRate]])))*IF(Games[[#This Row],[OT]]=1,0.9,1)</f>
        <v>0.53144251135515552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8" s="9">
        <f>MAX(kmin, kmax - 0.15 * MIN(Games[[#This Row],[GamesPlayed]], 82))</f>
        <v>73.3</v>
      </c>
      <c r="Z208" s="4">
        <f>Games[[#This Row],[K]]*Games[[#This Row],[POMult]]</f>
        <v>73.3</v>
      </c>
      <c r="AA208" s="4">
        <f>(Games[[#This Row],[Keff]]*Games[[#This Row],[MOVMult]])*(Games[[#This Row],[Result]]-Games[[#This Row],[ExpectedWin%]])</f>
        <v>-8.8369455042687886</v>
      </c>
      <c r="AB208" s="4">
        <f>Games[[#This Row],[PreGmRate]]+Games[[#This Row],[RatingChange]]</f>
        <v>1401.7175613056033</v>
      </c>
      <c r="AC208" s="2">
        <f>IF(Games[[#This Row],[Type]]="R",IF(Games[[#This Row],[Result]]&gt;0.5,1,0),0)</f>
        <v>0</v>
      </c>
      <c r="AD208" s="2">
        <f>IF(Games[[#This Row],[Type]]="R",IF(Games[[#This Row],[Result]]&lt;0.5,1,0),0)</f>
        <v>1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45472</v>
      </c>
      <c r="B209" s="2">
        <v>2024</v>
      </c>
      <c r="C209" s="2">
        <f>COUNTIFS(Games[Team],Games[[#This Row],[Team]],Games[Season],Games[[#This Row],[Season]],Games[Date],"&lt;=" &amp; Games[[#This Row],[Date]])</f>
        <v>18</v>
      </c>
      <c r="D209" s="2" t="s">
        <v>79</v>
      </c>
      <c r="E209" s="2" t="s">
        <v>80</v>
      </c>
      <c r="F209" s="1" t="s">
        <v>71</v>
      </c>
      <c r="G209" s="1" t="s">
        <v>85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0</v>
      </c>
      <c r="L209" s="2">
        <f>Games[[#This Row],[OppDaysOff]]-Games[[#This Row],[DaysOff]]</f>
        <v>0</v>
      </c>
      <c r="M209" s="1">
        <f>MAX(-16, MIN(16, Games[[#This Row],[RestDiff]]*8))</f>
        <v>0</v>
      </c>
      <c r="N209" s="1">
        <f>MAX(-16, MIN(16, Games[[#This Row],[OppRestDiff]]*8))</f>
        <v>0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1539.5628797453974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1410.5545068098722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0.77314836671999443</v>
      </c>
      <c r="R209" s="1">
        <v>97</v>
      </c>
      <c r="S209" s="1">
        <v>76</v>
      </c>
      <c r="T209" s="1">
        <v>0</v>
      </c>
      <c r="U209" s="1">
        <f>Games[[#This Row],[PointsFor]]-Games[[#This Row],[PointsAgainst]]</f>
        <v>21</v>
      </c>
      <c r="V209" s="1">
        <f>IF(Games[[#This Row],[MOV]]&gt;0,1,IF(Games[[#This Row],[MOV]]=0,0.5,0))</f>
        <v>1</v>
      </c>
      <c r="W209" s="4">
        <f>((ABS(Games[[#This Row],[MOV]])+5)^0.6)/(12+0.01*(ABS(Games[[#This Row],[PreGmRate]]-Games[[#This Row],[OppPreGmRate]])))*IF(Games[[#This Row],[OT]]=1,0.9,1)</f>
        <v>0.53144251135515552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9" s="9">
        <f>MAX(kmin, kmax - 0.15 * MIN(Games[[#This Row],[GamesPlayed]], 82))</f>
        <v>73.3</v>
      </c>
      <c r="Z209" s="4">
        <f>Games[[#This Row],[K]]*Games[[#This Row],[POMult]]</f>
        <v>73.3</v>
      </c>
      <c r="AA209" s="4">
        <f>(Games[[#This Row],[Keff]]*Games[[#This Row],[MOVMult]])*(Games[[#This Row],[Result]]-Games[[#This Row],[ExpectedWin%]])</f>
        <v>8.8369455042687832</v>
      </c>
      <c r="AB209" s="4">
        <f>Games[[#This Row],[PreGmRate]]+Games[[#This Row],[RatingChange]]</f>
        <v>1548.3998252496663</v>
      </c>
      <c r="AC209" s="2">
        <f>IF(Games[[#This Row],[Type]]="R",IF(Games[[#This Row],[Result]]&gt;0.5,1,0),0)</f>
        <v>1</v>
      </c>
      <c r="AD209" s="2">
        <f>IF(Games[[#This Row],[Type]]="R",IF(Games[[#This Row],[Result]]&lt;0.5,1,0),0)</f>
        <v>0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45472</v>
      </c>
      <c r="B210" s="2">
        <v>2024</v>
      </c>
      <c r="C210" s="2">
        <f>COUNTIFS(Games[Team],Games[[#This Row],[Team]],Games[Season],Games[[#This Row],[Season]],Games[Date],"&lt;=" &amp; Games[[#This Row],[Date]])</f>
        <v>16</v>
      </c>
      <c r="D210" s="2" t="s">
        <v>79</v>
      </c>
      <c r="E210" s="2" t="s">
        <v>80</v>
      </c>
      <c r="F210" s="1" t="s">
        <v>86</v>
      </c>
      <c r="G210" s="1" t="s">
        <v>65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0" s="2">
        <f>Games[[#This Row],[DaysOff]]-Games[[#This Row],[OppDaysOff]]</f>
        <v>0</v>
      </c>
      <c r="L210" s="2">
        <f>Games[[#This Row],[OppDaysOff]]-Games[[#This Row],[DaysOff]]</f>
        <v>0</v>
      </c>
      <c r="M210" s="1">
        <f>MAX(-16, MIN(16, Games[[#This Row],[RestDiff]]*8))</f>
        <v>0</v>
      </c>
      <c r="N210" s="1">
        <f>MAX(-16, MIN(16, Games[[#This Row],[OppRestDiff]]*8))</f>
        <v>0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1617.4254480986106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1413.8437237161675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0.66560372405240997</v>
      </c>
      <c r="R210" s="1">
        <v>88</v>
      </c>
      <c r="S210" s="1">
        <v>77</v>
      </c>
      <c r="T210" s="1">
        <v>0</v>
      </c>
      <c r="U210" s="1">
        <f>Games[[#This Row],[PointsFor]]-Games[[#This Row],[PointsAgainst]]</f>
        <v>11</v>
      </c>
      <c r="V210" s="1">
        <f>IF(Games[[#This Row],[MOV]]&gt;0,1,IF(Games[[#This Row],[MOV]]=0,0.5,0))</f>
        <v>1</v>
      </c>
      <c r="W210" s="4">
        <f>((ABS(Games[[#This Row],[MOV]])+5)^0.6)/(12+0.01*(ABS(Games[[#This Row],[PreGmRate]]-Games[[#This Row],[OppPreGmRate]])))*IF(Games[[#This Row],[OT]]=1,0.9,1)</f>
        <v>0.37604020851823494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0" s="9">
        <f>MAX(kmin, kmax - 0.15 * MIN(Games[[#This Row],[GamesPlayed]], 82))</f>
        <v>73.599999999999994</v>
      </c>
      <c r="Z210" s="4">
        <f>Games[[#This Row],[K]]*Games[[#This Row],[POMult]]</f>
        <v>73.599999999999994</v>
      </c>
      <c r="AA210" s="4">
        <f>(Games[[#This Row],[Keff]]*Games[[#This Row],[MOVMult]])*(Games[[#This Row],[Result]]-Games[[#This Row],[ExpectedWin%]])</f>
        <v>9.2549383766598989</v>
      </c>
      <c r="AB210" s="4">
        <f>Games[[#This Row],[PreGmRate]]+Games[[#This Row],[RatingChange]]</f>
        <v>1626.6803864752706</v>
      </c>
      <c r="AC210" s="2">
        <f>IF(Games[[#This Row],[Type]]="R",IF(Games[[#This Row],[Result]]&gt;0.5,1,0),0)</f>
        <v>1</v>
      </c>
      <c r="AD210" s="2">
        <f>IF(Games[[#This Row],[Type]]="R",IF(Games[[#This Row],[Result]]&lt;0.5,1,0),0)</f>
        <v>0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45472</v>
      </c>
      <c r="B211" s="2">
        <v>2024</v>
      </c>
      <c r="C211" s="2">
        <f>COUNTIFS(Games[Team],Games[[#This Row],[Team]],Games[Season],Games[[#This Row],[Season]],Games[Date],"&lt;=" &amp; Games[[#This Row],[Date]])</f>
        <v>19</v>
      </c>
      <c r="D211" s="2" t="s">
        <v>79</v>
      </c>
      <c r="E211" s="2" t="s">
        <v>80</v>
      </c>
      <c r="F211" s="1" t="s">
        <v>65</v>
      </c>
      <c r="G211" s="1" t="s">
        <v>86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0</v>
      </c>
      <c r="L211" s="2">
        <f>Games[[#This Row],[OppDaysOff]]-Games[[#This Row],[DaysOff]]</f>
        <v>0</v>
      </c>
      <c r="M211" s="1">
        <f>MAX(-16, MIN(16, Games[[#This Row],[RestDiff]]*8))</f>
        <v>0</v>
      </c>
      <c r="N211" s="1">
        <f>MAX(-16, MIN(16, Games[[#This Row],[OppRestDiff]]*8))</f>
        <v>0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1413.8437237161675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1617.4254480986106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0.33439627594759008</v>
      </c>
      <c r="R211" s="1">
        <v>77</v>
      </c>
      <c r="S211" s="1">
        <v>88</v>
      </c>
      <c r="T211" s="1">
        <v>0</v>
      </c>
      <c r="U211" s="1">
        <f>Games[[#This Row],[PointsFor]]-Games[[#This Row],[PointsAgainst]]</f>
        <v>-11</v>
      </c>
      <c r="V211" s="1">
        <f>IF(Games[[#This Row],[MOV]]&gt;0,1,IF(Games[[#This Row],[MOV]]=0,0.5,0))</f>
        <v>0</v>
      </c>
      <c r="W211" s="4">
        <f>((ABS(Games[[#This Row],[MOV]])+5)^0.6)/(12+0.01*(ABS(Games[[#This Row],[PreGmRate]]-Games[[#This Row],[OppPreGmRate]])))*IF(Games[[#This Row],[OT]]=1,0.9,1)</f>
        <v>0.37604020851823494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1" s="9">
        <f>MAX(kmin, kmax - 0.15 * MIN(Games[[#This Row],[GamesPlayed]], 82))</f>
        <v>73.150000000000006</v>
      </c>
      <c r="Z211" s="4">
        <f>Games[[#This Row],[K]]*Games[[#This Row],[POMult]]</f>
        <v>73.150000000000006</v>
      </c>
      <c r="AA211" s="4">
        <f>(Games[[#This Row],[Keff]]*Games[[#This Row],[MOVMult]])*(Games[[#This Row],[Result]]-Games[[#This Row],[ExpectedWin%]])</f>
        <v>-9.198352476259128</v>
      </c>
      <c r="AB211" s="4">
        <f>Games[[#This Row],[PreGmRate]]+Games[[#This Row],[RatingChange]]</f>
        <v>1404.6453712399084</v>
      </c>
      <c r="AC211" s="2">
        <f>IF(Games[[#This Row],[Type]]="R",IF(Games[[#This Row],[Result]]&gt;0.5,1,0),0)</f>
        <v>0</v>
      </c>
      <c r="AD211" s="2">
        <f>IF(Games[[#This Row],[Type]]="R",IF(Games[[#This Row],[Result]]&lt;0.5,1,0),0)</f>
        <v>1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45473</v>
      </c>
      <c r="B212" s="2">
        <v>2024</v>
      </c>
      <c r="C212" s="2">
        <f>COUNTIFS(Games[Team],Games[[#This Row],[Team]],Games[Season],Games[[#This Row],[Season]],Games[Date],"&lt;=" &amp; Games[[#This Row],[Date]])</f>
        <v>18</v>
      </c>
      <c r="D212" s="2" t="s">
        <v>79</v>
      </c>
      <c r="E212" s="2" t="s">
        <v>80</v>
      </c>
      <c r="F212" s="1" t="s">
        <v>67</v>
      </c>
      <c r="G212" s="1" t="s">
        <v>75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2" s="2">
        <f>Games[[#This Row],[DaysOff]]-Games[[#This Row],[OppDaysOff]]</f>
        <v>0</v>
      </c>
      <c r="L212" s="2">
        <f>Games[[#This Row],[OppDaysOff]]-Games[[#This Row],[DaysOff]]</f>
        <v>0</v>
      </c>
      <c r="M212" s="1">
        <f>MAX(-16, MIN(16, Games[[#This Row],[RestDiff]]*8))</f>
        <v>0</v>
      </c>
      <c r="N212" s="1">
        <f>MAX(-16, MIN(16, Games[[#This Row],[OppRestDiff]]*8))</f>
        <v>0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1598.8134393679513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1449.4496385715534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0.59297177846831317</v>
      </c>
      <c r="R212" s="1">
        <v>70</v>
      </c>
      <c r="S212" s="1">
        <v>62</v>
      </c>
      <c r="T212" s="1">
        <v>0</v>
      </c>
      <c r="U212" s="1">
        <f>Games[[#This Row],[PointsFor]]-Games[[#This Row],[PointsAgainst]]</f>
        <v>8</v>
      </c>
      <c r="V212" s="1">
        <f>IF(Games[[#This Row],[MOV]]&gt;0,1,IF(Games[[#This Row],[MOV]]=0,0.5,0))</f>
        <v>1</v>
      </c>
      <c r="W212" s="4">
        <f>((ABS(Games[[#This Row],[MOV]])+5)^0.6)/(12+0.01*(ABS(Games[[#This Row],[PreGmRate]]-Games[[#This Row],[OppPreGmRate]])))*IF(Games[[#This Row],[OT]]=1,0.9,1)</f>
        <v>0.34533210519548901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2" s="9">
        <f>MAX(kmin, kmax - 0.15 * MIN(Games[[#This Row],[GamesPlayed]], 82))</f>
        <v>73.3</v>
      </c>
      <c r="Z212" s="4">
        <f>Games[[#This Row],[K]]*Games[[#This Row],[POMult]]</f>
        <v>73.3</v>
      </c>
      <c r="AA212" s="4">
        <f>(Games[[#This Row],[Keff]]*Games[[#This Row],[MOVMult]])*(Games[[#This Row],[Result]]-Games[[#This Row],[ExpectedWin%]])</f>
        <v>10.303041594717124</v>
      </c>
      <c r="AB212" s="4">
        <f>Games[[#This Row],[PreGmRate]]+Games[[#This Row],[RatingChange]]</f>
        <v>1609.1164809626684</v>
      </c>
      <c r="AC212" s="2">
        <f>IF(Games[[#This Row],[Type]]="R",IF(Games[[#This Row],[Result]]&gt;0.5,1,0),0)</f>
        <v>1</v>
      </c>
      <c r="AD212" s="2">
        <f>IF(Games[[#This Row],[Type]]="R",IF(Games[[#This Row],[Result]]&lt;0.5,1,0),0)</f>
        <v>0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45473</v>
      </c>
      <c r="B213" s="2">
        <v>2024</v>
      </c>
      <c r="C213" s="2">
        <f>COUNTIFS(Games[Team],Games[[#This Row],[Team]],Games[Season],Games[[#This Row],[Season]],Games[Date],"&lt;=" &amp; Games[[#This Row],[Date]])</f>
        <v>17</v>
      </c>
      <c r="D213" s="2" t="s">
        <v>79</v>
      </c>
      <c r="E213" s="2" t="s">
        <v>80</v>
      </c>
      <c r="F213" s="1" t="s">
        <v>75</v>
      </c>
      <c r="G213" s="1" t="s">
        <v>67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3" s="2">
        <f>Games[[#This Row],[DaysOff]]-Games[[#This Row],[OppDaysOff]]</f>
        <v>0</v>
      </c>
      <c r="L213" s="2">
        <f>Games[[#This Row],[OppDaysOff]]-Games[[#This Row],[DaysOff]]</f>
        <v>0</v>
      </c>
      <c r="M213" s="1">
        <f>MAX(-16, MIN(16, Games[[#This Row],[RestDiff]]*8))</f>
        <v>0</v>
      </c>
      <c r="N213" s="1">
        <f>MAX(-16, MIN(16, Games[[#This Row],[OppRestDiff]]*8))</f>
        <v>0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1449.4496385715534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1598.8134393679513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0.40702822153168677</v>
      </c>
      <c r="R213" s="1">
        <v>62</v>
      </c>
      <c r="S213" s="1">
        <v>70</v>
      </c>
      <c r="T213" s="1">
        <v>0</v>
      </c>
      <c r="U213" s="1">
        <f>Games[[#This Row],[PointsFor]]-Games[[#This Row],[PointsAgainst]]</f>
        <v>-8</v>
      </c>
      <c r="V213" s="1">
        <f>IF(Games[[#This Row],[MOV]]&gt;0,1,IF(Games[[#This Row],[MOV]]=0,0.5,0))</f>
        <v>0</v>
      </c>
      <c r="W213" s="4">
        <f>((ABS(Games[[#This Row],[MOV]])+5)^0.6)/(12+0.01*(ABS(Games[[#This Row],[PreGmRate]]-Games[[#This Row],[OppPreGmRate]])))*IF(Games[[#This Row],[OT]]=1,0.9,1)</f>
        <v>0.34533210519548901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3" s="9">
        <f>MAX(kmin, kmax - 0.15 * MIN(Games[[#This Row],[GamesPlayed]], 82))</f>
        <v>73.45</v>
      </c>
      <c r="Z213" s="4">
        <f>Games[[#This Row],[K]]*Games[[#This Row],[POMult]]</f>
        <v>73.45</v>
      </c>
      <c r="AA213" s="4">
        <f>(Games[[#This Row],[Keff]]*Games[[#This Row],[MOVMult]])*(Games[[#This Row],[Result]]-Games[[#This Row],[ExpectedWin%]])</f>
        <v>-10.324125581609449</v>
      </c>
      <c r="AB213" s="4">
        <f>Games[[#This Row],[PreGmRate]]+Games[[#This Row],[RatingChange]]</f>
        <v>1439.1255129899439</v>
      </c>
      <c r="AC213" s="2">
        <f>IF(Games[[#This Row],[Type]]="R",IF(Games[[#This Row],[Result]]&gt;0.5,1,0),0)</f>
        <v>0</v>
      </c>
      <c r="AD213" s="2">
        <f>IF(Games[[#This Row],[Type]]="R",IF(Games[[#This Row],[Result]]&lt;0.5,1,0),0)</f>
        <v>1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45473</v>
      </c>
      <c r="B214" s="2">
        <v>2024</v>
      </c>
      <c r="C214" s="2">
        <f>COUNTIFS(Games[Team],Games[[#This Row],[Team]],Games[Season],Games[[#This Row],[Season]],Games[Date],"&lt;=" &amp; Games[[#This Row],[Date]])</f>
        <v>17</v>
      </c>
      <c r="D214" s="2" t="s">
        <v>79</v>
      </c>
      <c r="E214" s="2" t="s">
        <v>80</v>
      </c>
      <c r="F214" s="1" t="s">
        <v>77</v>
      </c>
      <c r="G214" s="1" t="s">
        <v>60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14" s="2">
        <f>Games[[#This Row],[DaysOff]]-Games[[#This Row],[OppDaysOff]]</f>
        <v>-5</v>
      </c>
      <c r="L214" s="2">
        <f>Games[[#This Row],[OppDaysOff]]-Games[[#This Row],[DaysOff]]</f>
        <v>5</v>
      </c>
      <c r="M214" s="1">
        <f>MAX(-16, MIN(16, Games[[#This Row],[RestDiff]]*8))</f>
        <v>-16</v>
      </c>
      <c r="N214" s="1">
        <f>MAX(-16, MIN(16, Games[[#This Row],[OppRestDiff]]*8))</f>
        <v>16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1426.6921285228971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1678.9190852365966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0.107198237984508</v>
      </c>
      <c r="R214" s="1">
        <v>75</v>
      </c>
      <c r="S214" s="1">
        <v>81</v>
      </c>
      <c r="T214" s="1">
        <v>0</v>
      </c>
      <c r="U214" s="1">
        <f>Games[[#This Row],[PointsFor]]-Games[[#This Row],[PointsAgainst]]</f>
        <v>-6</v>
      </c>
      <c r="V214" s="1">
        <f>IF(Games[[#This Row],[MOV]]&gt;0,1,IF(Games[[#This Row],[MOV]]=0,0.5,0))</f>
        <v>0</v>
      </c>
      <c r="W214" s="4">
        <f>((ABS(Games[[#This Row],[MOV]])+5)^0.6)/(12+0.01*(ABS(Games[[#This Row],[PreGmRate]]-Games[[#This Row],[OppPreGmRate]])))*IF(Games[[#This Row],[OT]]=1,0.9,1)</f>
        <v>0.29026930767288756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4" s="9">
        <f>MAX(kmin, kmax - 0.15 * MIN(Games[[#This Row],[GamesPlayed]], 82))</f>
        <v>73.45</v>
      </c>
      <c r="Z214" s="4">
        <f>Games[[#This Row],[K]]*Games[[#This Row],[POMult]]</f>
        <v>73.45</v>
      </c>
      <c r="AA214" s="4">
        <f>(Games[[#This Row],[Keff]]*Games[[#This Row],[MOVMult]])*(Games[[#This Row],[Result]]-Games[[#This Row],[ExpectedWin%]])</f>
        <v>-2.2854965188622929</v>
      </c>
      <c r="AB214" s="4">
        <f>Games[[#This Row],[PreGmRate]]+Games[[#This Row],[RatingChange]]</f>
        <v>1424.4066320040347</v>
      </c>
      <c r="AC214" s="2">
        <f>IF(Games[[#This Row],[Type]]="R",IF(Games[[#This Row],[Result]]&gt;0.5,1,0),0)</f>
        <v>0</v>
      </c>
      <c r="AD214" s="2">
        <f>IF(Games[[#This Row],[Type]]="R",IF(Games[[#This Row],[Result]]&lt;0.5,1,0),0)</f>
        <v>1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45473</v>
      </c>
      <c r="B215" s="2">
        <v>2024</v>
      </c>
      <c r="C215" s="2">
        <f>COUNTIFS(Games[Team],Games[[#This Row],[Team]],Games[Season],Games[[#This Row],[Season]],Games[Date],"&lt;=" &amp; Games[[#This Row],[Date]])</f>
        <v>19</v>
      </c>
      <c r="D215" s="2" t="s">
        <v>79</v>
      </c>
      <c r="E215" s="2" t="s">
        <v>80</v>
      </c>
      <c r="F215" s="1" t="s">
        <v>60</v>
      </c>
      <c r="G215" s="1" t="s">
        <v>77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6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5" s="2">
        <f>Games[[#This Row],[DaysOff]]-Games[[#This Row],[OppDaysOff]]</f>
        <v>5</v>
      </c>
      <c r="L215" s="2">
        <f>Games[[#This Row],[OppDaysOff]]-Games[[#This Row],[DaysOff]]</f>
        <v>-5</v>
      </c>
      <c r="M215" s="1">
        <f>MAX(-16, MIN(16, Games[[#This Row],[RestDiff]]*8))</f>
        <v>16</v>
      </c>
      <c r="N215" s="1">
        <f>MAX(-16, MIN(16, Games[[#This Row],[OppRestDiff]]*8))</f>
        <v>-16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1678.9190852365966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1426.6921285228971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0.892801762015492</v>
      </c>
      <c r="R215" s="1">
        <v>81</v>
      </c>
      <c r="S215" s="1">
        <v>75</v>
      </c>
      <c r="T215" s="1">
        <v>0</v>
      </c>
      <c r="U215" s="1">
        <f>Games[[#This Row],[PointsFor]]-Games[[#This Row],[PointsAgainst]]</f>
        <v>6</v>
      </c>
      <c r="V215" s="1">
        <f>IF(Games[[#This Row],[MOV]]&gt;0,1,IF(Games[[#This Row],[MOV]]=0,0.5,0))</f>
        <v>1</v>
      </c>
      <c r="W215" s="4">
        <f>((ABS(Games[[#This Row],[MOV]])+5)^0.6)/(12+0.01*(ABS(Games[[#This Row],[PreGmRate]]-Games[[#This Row],[OppPreGmRate]])))*IF(Games[[#This Row],[OT]]=1,0.9,1)</f>
        <v>0.29026930767288756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5" s="9">
        <f>MAX(kmin, kmax - 0.15 * MIN(Games[[#This Row],[GamesPlayed]], 82))</f>
        <v>73.150000000000006</v>
      </c>
      <c r="Z215" s="4">
        <f>Games[[#This Row],[K]]*Games[[#This Row],[POMult]]</f>
        <v>73.150000000000006</v>
      </c>
      <c r="AA215" s="4">
        <f>(Games[[#This Row],[Keff]]*Games[[#This Row],[MOVMult]])*(Games[[#This Row],[Result]]-Games[[#This Row],[ExpectedWin%]])</f>
        <v>2.2761616113652376</v>
      </c>
      <c r="AB215" s="4">
        <f>Games[[#This Row],[PreGmRate]]+Games[[#This Row],[RatingChange]]</f>
        <v>1681.1952468479619</v>
      </c>
      <c r="AC215" s="2">
        <f>IF(Games[[#This Row],[Type]]="R",IF(Games[[#This Row],[Result]]&gt;0.5,1,0),0)</f>
        <v>1</v>
      </c>
      <c r="AD215" s="2">
        <f>IF(Games[[#This Row],[Type]]="R",IF(Games[[#This Row],[Result]]&lt;0.5,1,0),0)</f>
        <v>0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45473</v>
      </c>
      <c r="B216" s="2">
        <v>2024</v>
      </c>
      <c r="C216" s="2">
        <f>COUNTIFS(Games[Team],Games[[#This Row],[Team]],Games[Season],Games[[#This Row],[Season]],Games[Date],"&lt;=" &amp; Games[[#This Row],[Date]])</f>
        <v>20</v>
      </c>
      <c r="D216" s="2" t="s">
        <v>79</v>
      </c>
      <c r="E216" s="2" t="s">
        <v>80</v>
      </c>
      <c r="F216" s="1" t="s">
        <v>69</v>
      </c>
      <c r="G216" s="1" t="s">
        <v>40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6" s="2">
        <f>Games[[#This Row],[DaysOff]]-Games[[#This Row],[OppDaysOff]]</f>
        <v>1</v>
      </c>
      <c r="L216" s="2">
        <f>Games[[#This Row],[OppDaysOff]]-Games[[#This Row],[DaysOff]]</f>
        <v>-1</v>
      </c>
      <c r="M216" s="1">
        <f>MAX(-16, MIN(16, Games[[#This Row],[RestDiff]]*8))</f>
        <v>8</v>
      </c>
      <c r="N216" s="1">
        <f>MAX(-16, MIN(16, Games[[#This Row],[OppRestDiff]]*8))</f>
        <v>-8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1418.8466919684829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1460.6300320045759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0.34706540696722321</v>
      </c>
      <c r="R216" s="1">
        <v>88</v>
      </c>
      <c r="S216" s="1">
        <v>82</v>
      </c>
      <c r="T216" s="1">
        <v>0</v>
      </c>
      <c r="U216" s="1">
        <f>Games[[#This Row],[PointsFor]]-Games[[#This Row],[PointsAgainst]]</f>
        <v>6</v>
      </c>
      <c r="V216" s="1">
        <f>IF(Games[[#This Row],[MOV]]&gt;0,1,IF(Games[[#This Row],[MOV]]=0,0.5,0))</f>
        <v>1</v>
      </c>
      <c r="W216" s="4">
        <f>((ABS(Games[[#This Row],[MOV]])+5)^0.6)/(12+0.01*(ABS(Games[[#This Row],[PreGmRate]]-Games[[#This Row],[OppPreGmRate]])))*IF(Games[[#This Row],[OT]]=1,0.9,1)</f>
        <v>0.33946091859868072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6" s="9">
        <f>MAX(kmin, kmax - 0.15 * MIN(Games[[#This Row],[GamesPlayed]], 82))</f>
        <v>73</v>
      </c>
      <c r="Z216" s="4">
        <f>Games[[#This Row],[K]]*Games[[#This Row],[POMult]]</f>
        <v>73</v>
      </c>
      <c r="AA216" s="4">
        <f>(Games[[#This Row],[Keff]]*Games[[#This Row],[MOVMult]])*(Games[[#This Row],[Result]]-Games[[#This Row],[ExpectedWin%]])</f>
        <v>16.180141701710639</v>
      </c>
      <c r="AB216" s="4">
        <f>Games[[#This Row],[PreGmRate]]+Games[[#This Row],[RatingChange]]</f>
        <v>1435.0268336701936</v>
      </c>
      <c r="AC216" s="2">
        <f>IF(Games[[#This Row],[Type]]="R",IF(Games[[#This Row],[Result]]&gt;0.5,1,0),0)</f>
        <v>1</v>
      </c>
      <c r="AD216" s="2">
        <f>IF(Games[[#This Row],[Type]]="R",IF(Games[[#This Row],[Result]]&lt;0.5,1,0),0)</f>
        <v>0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45473</v>
      </c>
      <c r="B217" s="2">
        <v>2024</v>
      </c>
      <c r="C217" s="2">
        <f>COUNTIFS(Games[Team],Games[[#This Row],[Team]],Games[Season],Games[[#This Row],[Season]],Games[Date],"&lt;=" &amp; Games[[#This Row],[Date]])</f>
        <v>18</v>
      </c>
      <c r="D217" s="2" t="s">
        <v>79</v>
      </c>
      <c r="E217" s="2" t="s">
        <v>80</v>
      </c>
      <c r="F217" s="1" t="s">
        <v>40</v>
      </c>
      <c r="G217" s="1" t="s">
        <v>69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7" s="2">
        <f>Games[[#This Row],[DaysOff]]-Games[[#This Row],[OppDaysOff]]</f>
        <v>-1</v>
      </c>
      <c r="L217" s="2">
        <f>Games[[#This Row],[OppDaysOff]]-Games[[#This Row],[DaysOff]]</f>
        <v>1</v>
      </c>
      <c r="M217" s="1">
        <f>MAX(-16, MIN(16, Games[[#This Row],[RestDiff]]*8))</f>
        <v>-8</v>
      </c>
      <c r="N217" s="1">
        <f>MAX(-16, MIN(16, Games[[#This Row],[OppRestDiff]]*8))</f>
        <v>8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1460.6300320045759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1418.8466919684829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0.65293459303277668</v>
      </c>
      <c r="R217" s="1">
        <v>82</v>
      </c>
      <c r="S217" s="1">
        <v>88</v>
      </c>
      <c r="T217" s="1">
        <v>0</v>
      </c>
      <c r="U217" s="1">
        <f>Games[[#This Row],[PointsFor]]-Games[[#This Row],[PointsAgainst]]</f>
        <v>-6</v>
      </c>
      <c r="V217" s="1">
        <f>IF(Games[[#This Row],[MOV]]&gt;0,1,IF(Games[[#This Row],[MOV]]=0,0.5,0))</f>
        <v>0</v>
      </c>
      <c r="W217" s="4">
        <f>((ABS(Games[[#This Row],[MOV]])+5)^0.6)/(12+0.01*(ABS(Games[[#This Row],[PreGmRate]]-Games[[#This Row],[OppPreGmRate]])))*IF(Games[[#This Row],[OT]]=1,0.9,1)</f>
        <v>0.33946091859868072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7" s="9">
        <f>MAX(kmin, kmax - 0.15 * MIN(Games[[#This Row],[GamesPlayed]], 82))</f>
        <v>73.3</v>
      </c>
      <c r="Z217" s="4">
        <f>Games[[#This Row],[K]]*Games[[#This Row],[POMult]]</f>
        <v>73.3</v>
      </c>
      <c r="AA217" s="4">
        <f>(Games[[#This Row],[Keff]]*Games[[#This Row],[MOVMult]])*(Games[[#This Row],[Result]]-Games[[#This Row],[ExpectedWin%]])</f>
        <v>-16.246635434731363</v>
      </c>
      <c r="AB217" s="4">
        <f>Games[[#This Row],[PreGmRate]]+Games[[#This Row],[RatingChange]]</f>
        <v>1444.3833965698445</v>
      </c>
      <c r="AC217" s="2">
        <f>IF(Games[[#This Row],[Type]]="R",IF(Games[[#This Row],[Result]]&gt;0.5,1,0),0)</f>
        <v>0</v>
      </c>
      <c r="AD217" s="2">
        <f>IF(Games[[#This Row],[Type]]="R",IF(Games[[#This Row],[Result]]&lt;0.5,1,0),0)</f>
        <v>1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45474</v>
      </c>
      <c r="B218" s="2">
        <v>2024</v>
      </c>
      <c r="C218" s="2">
        <f>COUNTIFS(Games[Team],Games[[#This Row],[Team]],Games[Season],Games[[#This Row],[Season]],Games[Date],"&lt;=" &amp; Games[[#This Row],[Date]])</f>
        <v>19</v>
      </c>
      <c r="D218" s="2" t="s">
        <v>79</v>
      </c>
      <c r="E218" s="2" t="s">
        <v>80</v>
      </c>
      <c r="F218" s="1" t="s">
        <v>74</v>
      </c>
      <c r="G218" s="1" t="s">
        <v>40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18" s="2">
        <f>Games[[#This Row],[DaysOff]]-Games[[#This Row],[OppDaysOff]]</f>
        <v>2</v>
      </c>
      <c r="L218" s="2">
        <f>Games[[#This Row],[OppDaysOff]]-Games[[#This Row],[DaysOff]]</f>
        <v>-2</v>
      </c>
      <c r="M218" s="1">
        <f>MAX(-16, MIN(16, Games[[#This Row],[RestDiff]]*8))</f>
        <v>16</v>
      </c>
      <c r="N218" s="1">
        <f>MAX(-16, MIN(16, Games[[#This Row],[OppRestDiff]]*8))</f>
        <v>-16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1603.9433566036903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1444.3833965698445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0.65002859462657558</v>
      </c>
      <c r="R218" s="1">
        <v>83</v>
      </c>
      <c r="S218" s="1">
        <v>72</v>
      </c>
      <c r="T218" s="1">
        <v>0</v>
      </c>
      <c r="U218" s="1">
        <f>Games[[#This Row],[PointsFor]]-Games[[#This Row],[PointsAgainst]]</f>
        <v>11</v>
      </c>
      <c r="V218" s="1">
        <f>IF(Games[[#This Row],[MOV]]&gt;0,1,IF(Games[[#This Row],[MOV]]=0,0.5,0))</f>
        <v>1</v>
      </c>
      <c r="W218" s="4">
        <f>((ABS(Games[[#This Row],[MOV]])+5)^0.6)/(12+0.01*(ABS(Games[[#This Row],[PreGmRate]]-Games[[#This Row],[OppPreGmRate]])))*IF(Games[[#This Row],[OT]]=1,0.9,1)</f>
        <v>0.38821617275049658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8" s="9">
        <f>MAX(kmin, kmax - 0.15 * MIN(Games[[#This Row],[GamesPlayed]], 82))</f>
        <v>73.150000000000006</v>
      </c>
      <c r="Z218" s="4">
        <f>Games[[#This Row],[K]]*Games[[#This Row],[POMult]]</f>
        <v>73.150000000000006</v>
      </c>
      <c r="AA218" s="4">
        <f>(Games[[#This Row],[Keff]]*Games[[#This Row],[MOVMult]])*(Games[[#This Row],[Result]]-Games[[#This Row],[ExpectedWin%]])</f>
        <v>9.9384925322663165</v>
      </c>
      <c r="AB218" s="4">
        <f>Games[[#This Row],[PreGmRate]]+Games[[#This Row],[RatingChange]]</f>
        <v>1613.8818491359566</v>
      </c>
      <c r="AC218" s="2">
        <f>IF(Games[[#This Row],[Type]]="R",IF(Games[[#This Row],[Result]]&gt;0.5,1,0),0)</f>
        <v>1</v>
      </c>
      <c r="AD218" s="2">
        <f>IF(Games[[#This Row],[Type]]="R",IF(Games[[#This Row],[Result]]&lt;0.5,1,0),0)</f>
        <v>0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45474</v>
      </c>
      <c r="B219" s="2">
        <v>2024</v>
      </c>
      <c r="C219" s="2">
        <f>COUNTIFS(Games[Team],Games[[#This Row],[Team]],Games[Season],Games[[#This Row],[Season]],Games[Date],"&lt;=" &amp; Games[[#This Row],[Date]])</f>
        <v>19</v>
      </c>
      <c r="D219" s="2" t="s">
        <v>79</v>
      </c>
      <c r="E219" s="2" t="s">
        <v>80</v>
      </c>
      <c r="F219" s="1" t="s">
        <v>40</v>
      </c>
      <c r="G219" s="1" t="s">
        <v>74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0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9" s="2">
        <f>Games[[#This Row],[DaysOff]]-Games[[#This Row],[OppDaysOff]]</f>
        <v>-2</v>
      </c>
      <c r="L219" s="2">
        <f>Games[[#This Row],[OppDaysOff]]-Games[[#This Row],[DaysOff]]</f>
        <v>2</v>
      </c>
      <c r="M219" s="1">
        <f>MAX(-16, MIN(16, Games[[#This Row],[RestDiff]]*8))</f>
        <v>-16</v>
      </c>
      <c r="N219" s="1">
        <f>MAX(-16, MIN(16, Games[[#This Row],[OppRestDiff]]*8))</f>
        <v>16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1444.3833965698445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1603.9433566036903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0.34997140537342436</v>
      </c>
      <c r="R219" s="1">
        <v>72</v>
      </c>
      <c r="S219" s="1">
        <v>83</v>
      </c>
      <c r="T219" s="1">
        <v>0</v>
      </c>
      <c r="U219" s="1">
        <f>Games[[#This Row],[PointsFor]]-Games[[#This Row],[PointsAgainst]]</f>
        <v>-11</v>
      </c>
      <c r="V219" s="1">
        <f>IF(Games[[#This Row],[MOV]]&gt;0,1,IF(Games[[#This Row],[MOV]]=0,0.5,0))</f>
        <v>0</v>
      </c>
      <c r="W219" s="4">
        <f>((ABS(Games[[#This Row],[MOV]])+5)^0.6)/(12+0.01*(ABS(Games[[#This Row],[PreGmRate]]-Games[[#This Row],[OppPreGmRate]])))*IF(Games[[#This Row],[OT]]=1,0.9,1)</f>
        <v>0.38821617275049658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9" s="9">
        <f>MAX(kmin, kmax - 0.15 * MIN(Games[[#This Row],[GamesPlayed]], 82))</f>
        <v>73.150000000000006</v>
      </c>
      <c r="Z219" s="4">
        <f>Games[[#This Row],[K]]*Games[[#This Row],[POMult]]</f>
        <v>73.150000000000006</v>
      </c>
      <c r="AA219" s="4">
        <f>(Games[[#This Row],[Keff]]*Games[[#This Row],[MOVMult]])*(Games[[#This Row],[Result]]-Games[[#This Row],[ExpectedWin%]])</f>
        <v>-9.9384925322663147</v>
      </c>
      <c r="AB219" s="4">
        <f>Games[[#This Row],[PreGmRate]]+Games[[#This Row],[RatingChange]]</f>
        <v>1434.4449040375782</v>
      </c>
      <c r="AC219" s="2">
        <f>IF(Games[[#This Row],[Type]]="R",IF(Games[[#This Row],[Result]]&gt;0.5,1,0),0)</f>
        <v>0</v>
      </c>
      <c r="AD219" s="2">
        <f>IF(Games[[#This Row],[Type]]="R",IF(Games[[#This Row],[Result]]&lt;0.5,1,0),0)</f>
        <v>1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45474</v>
      </c>
      <c r="B220" s="2">
        <v>2024</v>
      </c>
      <c r="C220" s="2">
        <f>COUNTIFS(Games[Team],Games[[#This Row],[Team]],Games[Season],Games[[#This Row],[Season]],Games[Date],"&lt;=" &amp; Games[[#This Row],[Date]])</f>
        <v>19</v>
      </c>
      <c r="D220" s="2" t="s">
        <v>79</v>
      </c>
      <c r="E220" s="2" t="s">
        <v>80</v>
      </c>
      <c r="F220" s="1" t="s">
        <v>85</v>
      </c>
      <c r="G220" s="1" t="s">
        <v>71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0" s="2">
        <f>Games[[#This Row],[DaysOff]]-Games[[#This Row],[OppDaysOff]]</f>
        <v>0</v>
      </c>
      <c r="L220" s="2">
        <f>Games[[#This Row],[OppDaysOff]]-Games[[#This Row],[DaysOff]]</f>
        <v>0</v>
      </c>
      <c r="M220" s="1">
        <f>MAX(-16, MIN(16, Games[[#This Row],[RestDiff]]*8))</f>
        <v>0</v>
      </c>
      <c r="N220" s="1">
        <f>MAX(-16, MIN(16, Games[[#This Row],[OppRestDiff]]*8))</f>
        <v>0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1401.7175613056033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1548.3998252496663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0.20950464735352345</v>
      </c>
      <c r="R220" s="1">
        <v>71</v>
      </c>
      <c r="S220" s="1">
        <v>95</v>
      </c>
      <c r="T220" s="1">
        <v>0</v>
      </c>
      <c r="U220" s="1">
        <f>Games[[#This Row],[PointsFor]]-Games[[#This Row],[PointsAgainst]]</f>
        <v>-24</v>
      </c>
      <c r="V220" s="1">
        <f>IF(Games[[#This Row],[MOV]]&gt;0,1,IF(Games[[#This Row],[MOV]]=0,0.5,0))</f>
        <v>0</v>
      </c>
      <c r="W220" s="4">
        <f>((ABS(Games[[#This Row],[MOV]])+5)^0.6)/(12+0.01*(ABS(Games[[#This Row],[PreGmRate]]-Games[[#This Row],[OppPreGmRate]])))*IF(Games[[#This Row],[OT]]=1,0.9,1)</f>
        <v>0.55998147263717712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0" s="9">
        <f>MAX(kmin, kmax - 0.15 * MIN(Games[[#This Row],[GamesPlayed]], 82))</f>
        <v>73.150000000000006</v>
      </c>
      <c r="Z220" s="4">
        <f>Games[[#This Row],[K]]*Games[[#This Row],[POMult]]</f>
        <v>73.150000000000006</v>
      </c>
      <c r="AA220" s="4">
        <f>(Games[[#This Row],[Keff]]*Games[[#This Row],[MOVMult]])*(Games[[#This Row],[Result]]-Games[[#This Row],[ExpectedWin%]])</f>
        <v>-8.5818644374455779</v>
      </c>
      <c r="AB220" s="4">
        <f>Games[[#This Row],[PreGmRate]]+Games[[#This Row],[RatingChange]]</f>
        <v>1393.1356968681578</v>
      </c>
      <c r="AC220" s="2">
        <f>IF(Games[[#This Row],[Type]]="R",IF(Games[[#This Row],[Result]]&gt;0.5,1,0),0)</f>
        <v>0</v>
      </c>
      <c r="AD220" s="2">
        <f>IF(Games[[#This Row],[Type]]="R",IF(Games[[#This Row],[Result]]&lt;0.5,1,0),0)</f>
        <v>1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45474</v>
      </c>
      <c r="B221" s="2">
        <v>2024</v>
      </c>
      <c r="C221" s="2">
        <f>COUNTIFS(Games[Team],Games[[#This Row],[Team]],Games[Season],Games[[#This Row],[Season]],Games[Date],"&lt;=" &amp; Games[[#This Row],[Date]])</f>
        <v>19</v>
      </c>
      <c r="D221" s="2" t="s">
        <v>79</v>
      </c>
      <c r="E221" s="2" t="s">
        <v>80</v>
      </c>
      <c r="F221" s="1" t="s">
        <v>71</v>
      </c>
      <c r="G221" s="1" t="s">
        <v>85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1" s="2">
        <f>Games[[#This Row],[DaysOff]]-Games[[#This Row],[OppDaysOff]]</f>
        <v>0</v>
      </c>
      <c r="L221" s="2">
        <f>Games[[#This Row],[OppDaysOff]]-Games[[#This Row],[DaysOff]]</f>
        <v>0</v>
      </c>
      <c r="M221" s="1">
        <f>MAX(-16, MIN(16, Games[[#This Row],[RestDiff]]*8))</f>
        <v>0</v>
      </c>
      <c r="N221" s="1">
        <f>MAX(-16, MIN(16, Games[[#This Row],[OppRestDiff]]*8))</f>
        <v>0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1548.3998252496663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1401.7175613056033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0.79049535264647652</v>
      </c>
      <c r="R221" s="1">
        <v>95</v>
      </c>
      <c r="S221" s="1">
        <v>71</v>
      </c>
      <c r="T221" s="1">
        <v>0</v>
      </c>
      <c r="U221" s="1">
        <f>Games[[#This Row],[PointsFor]]-Games[[#This Row],[PointsAgainst]]</f>
        <v>24</v>
      </c>
      <c r="V221" s="1">
        <f>IF(Games[[#This Row],[MOV]]&gt;0,1,IF(Games[[#This Row],[MOV]]=0,0.5,0))</f>
        <v>1</v>
      </c>
      <c r="W221" s="4">
        <f>((ABS(Games[[#This Row],[MOV]])+5)^0.6)/(12+0.01*(ABS(Games[[#This Row],[PreGmRate]]-Games[[#This Row],[OppPreGmRate]])))*IF(Games[[#This Row],[OT]]=1,0.9,1)</f>
        <v>0.55998147263717712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1" s="9">
        <f>MAX(kmin, kmax - 0.15 * MIN(Games[[#This Row],[GamesPlayed]], 82))</f>
        <v>73.150000000000006</v>
      </c>
      <c r="Z221" s="4">
        <f>Games[[#This Row],[K]]*Games[[#This Row],[POMult]]</f>
        <v>73.150000000000006</v>
      </c>
      <c r="AA221" s="4">
        <f>(Games[[#This Row],[Keff]]*Games[[#This Row],[MOVMult]])*(Games[[#This Row],[Result]]-Games[[#This Row],[ExpectedWin%]])</f>
        <v>8.5818644374455797</v>
      </c>
      <c r="AB221" s="4">
        <f>Games[[#This Row],[PreGmRate]]+Games[[#This Row],[RatingChange]]</f>
        <v>1556.9816896871118</v>
      </c>
      <c r="AC221" s="2">
        <f>IF(Games[[#This Row],[Type]]="R",IF(Games[[#This Row],[Result]]&gt;0.5,1,0),0)</f>
        <v>1</v>
      </c>
      <c r="AD221" s="2">
        <f>IF(Games[[#This Row],[Type]]="R",IF(Games[[#This Row],[Result]]&lt;0.5,1,0),0)</f>
        <v>0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45475</v>
      </c>
      <c r="B222" s="2">
        <v>2024</v>
      </c>
      <c r="C222" s="2">
        <f>COUNTIFS(Games[Team],Games[[#This Row],[Team]],Games[Season],Games[[#This Row],[Season]],Games[Date],"&lt;=" &amp; Games[[#This Row],[Date]])</f>
        <v>18</v>
      </c>
      <c r="D222" s="2" t="s">
        <v>79</v>
      </c>
      <c r="E222" s="2" t="s">
        <v>80</v>
      </c>
      <c r="F222" s="1" t="s">
        <v>75</v>
      </c>
      <c r="G222" s="1" t="s">
        <v>77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2" s="2">
        <f>Games[[#This Row],[DaysOff]]-Games[[#This Row],[OppDaysOff]]</f>
        <v>0</v>
      </c>
      <c r="L222" s="2">
        <f>Games[[#This Row],[OppDaysOff]]-Games[[#This Row],[DaysOff]]</f>
        <v>0</v>
      </c>
      <c r="M222" s="1">
        <f>MAX(-16, MIN(16, Games[[#This Row],[RestDiff]]*8))</f>
        <v>0</v>
      </c>
      <c r="N222" s="1">
        <f>MAX(-16, MIN(16, Games[[#This Row],[OppRestDiff]]*8))</f>
        <v>0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1439.1255129899439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1424.4066320040347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0.40159727927635447</v>
      </c>
      <c r="R222" s="1">
        <v>85</v>
      </c>
      <c r="S222" s="1">
        <v>77</v>
      </c>
      <c r="T222" s="1">
        <v>0</v>
      </c>
      <c r="U222" s="1">
        <f>Games[[#This Row],[PointsFor]]-Games[[#This Row],[PointsAgainst]]</f>
        <v>8</v>
      </c>
      <c r="V222" s="1">
        <f>IF(Games[[#This Row],[MOV]]&gt;0,1,IF(Games[[#This Row],[MOV]]=0,0.5,0))</f>
        <v>1</v>
      </c>
      <c r="W222" s="4">
        <f>((ABS(Games[[#This Row],[MOV]])+5)^0.6)/(12+0.01*(ABS(Games[[#This Row],[PreGmRate]]-Games[[#This Row],[OppPreGmRate]])))*IF(Games[[#This Row],[OT]]=1,0.9,1)</f>
        <v>0.38361027337074211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2" s="9">
        <f>MAX(kmin, kmax - 0.15 * MIN(Games[[#This Row],[GamesPlayed]], 82))</f>
        <v>73.3</v>
      </c>
      <c r="Z222" s="4">
        <f>Games[[#This Row],[K]]*Games[[#This Row],[POMult]]</f>
        <v>73.3</v>
      </c>
      <c r="AA222" s="4">
        <f>(Games[[#This Row],[Keff]]*Games[[#This Row],[MOVMult]])*(Games[[#This Row],[Result]]-Games[[#This Row],[ExpectedWin%]])</f>
        <v>16.826266513014104</v>
      </c>
      <c r="AB222" s="4">
        <f>Games[[#This Row],[PreGmRate]]+Games[[#This Row],[RatingChange]]</f>
        <v>1455.9517795029581</v>
      </c>
      <c r="AC222" s="2">
        <f>IF(Games[[#This Row],[Type]]="R",IF(Games[[#This Row],[Result]]&gt;0.5,1,0),0)</f>
        <v>1</v>
      </c>
      <c r="AD222" s="2">
        <f>IF(Games[[#This Row],[Type]]="R",IF(Games[[#This Row],[Result]]&lt;0.5,1,0),0)</f>
        <v>0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45475</v>
      </c>
      <c r="B223" s="2">
        <v>2024</v>
      </c>
      <c r="C223" s="2">
        <f>COUNTIFS(Games[Team],Games[[#This Row],[Team]],Games[Season],Games[[#This Row],[Season]],Games[Date],"&lt;=" &amp; Games[[#This Row],[Date]])</f>
        <v>18</v>
      </c>
      <c r="D223" s="2" t="s">
        <v>79</v>
      </c>
      <c r="E223" s="2" t="s">
        <v>80</v>
      </c>
      <c r="F223" s="1" t="s">
        <v>77</v>
      </c>
      <c r="G223" s="1" t="s">
        <v>75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3" s="2">
        <f>Games[[#This Row],[DaysOff]]-Games[[#This Row],[OppDaysOff]]</f>
        <v>0</v>
      </c>
      <c r="L223" s="2">
        <f>Games[[#This Row],[OppDaysOff]]-Games[[#This Row],[DaysOff]]</f>
        <v>0</v>
      </c>
      <c r="M223" s="1">
        <f>MAX(-16, MIN(16, Games[[#This Row],[RestDiff]]*8))</f>
        <v>0</v>
      </c>
      <c r="N223" s="1">
        <f>MAX(-16, MIN(16, Games[[#This Row],[OppRestDiff]]*8))</f>
        <v>0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1424.4066320040347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1439.1255129899439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0.59840272072364553</v>
      </c>
      <c r="R223" s="1">
        <v>77</v>
      </c>
      <c r="S223" s="1">
        <v>85</v>
      </c>
      <c r="T223" s="1">
        <v>0</v>
      </c>
      <c r="U223" s="1">
        <f>Games[[#This Row],[PointsFor]]-Games[[#This Row],[PointsAgainst]]</f>
        <v>-8</v>
      </c>
      <c r="V223" s="1">
        <f>IF(Games[[#This Row],[MOV]]&gt;0,1,IF(Games[[#This Row],[MOV]]=0,0.5,0))</f>
        <v>0</v>
      </c>
      <c r="W223" s="4">
        <f>((ABS(Games[[#This Row],[MOV]])+5)^0.6)/(12+0.01*(ABS(Games[[#This Row],[PreGmRate]]-Games[[#This Row],[OppPreGmRate]])))*IF(Games[[#This Row],[OT]]=1,0.9,1)</f>
        <v>0.38361027337074211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3" s="9">
        <f>MAX(kmin, kmax - 0.15 * MIN(Games[[#This Row],[GamesPlayed]], 82))</f>
        <v>73.3</v>
      </c>
      <c r="Z223" s="4">
        <f>Games[[#This Row],[K]]*Games[[#This Row],[POMult]]</f>
        <v>73.3</v>
      </c>
      <c r="AA223" s="4">
        <f>(Games[[#This Row],[Keff]]*Games[[#This Row],[MOVMult]])*(Games[[#This Row],[Result]]-Games[[#This Row],[ExpectedWin%]])</f>
        <v>-16.826266513014104</v>
      </c>
      <c r="AB223" s="4">
        <f>Games[[#This Row],[PreGmRate]]+Games[[#This Row],[RatingChange]]</f>
        <v>1407.5803654910205</v>
      </c>
      <c r="AC223" s="2">
        <f>IF(Games[[#This Row],[Type]]="R",IF(Games[[#This Row],[Result]]&gt;0.5,1,0),0)</f>
        <v>0</v>
      </c>
      <c r="AD223" s="2">
        <f>IF(Games[[#This Row],[Type]]="R",IF(Games[[#This Row],[Result]]&lt;0.5,1,0),0)</f>
        <v>1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45475</v>
      </c>
      <c r="B224" s="2">
        <v>2024</v>
      </c>
      <c r="C224" s="2">
        <f>COUNTIFS(Games[Team],Games[[#This Row],[Team]],Games[Season],Games[[#This Row],[Season]],Games[Date],"&lt;=" &amp; Games[[#This Row],[Date]])</f>
        <v>20</v>
      </c>
      <c r="D224" s="2" t="s">
        <v>79</v>
      </c>
      <c r="E224" s="2" t="s">
        <v>80</v>
      </c>
      <c r="F224" s="1" t="s">
        <v>65</v>
      </c>
      <c r="G224" s="1" t="s">
        <v>63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4" s="2">
        <f>Games[[#This Row],[DaysOff]]-Games[[#This Row],[OppDaysOff]]</f>
        <v>-1</v>
      </c>
      <c r="L224" s="2">
        <f>Games[[#This Row],[OppDaysOff]]-Games[[#This Row],[DaysOff]]</f>
        <v>1</v>
      </c>
      <c r="M224" s="1">
        <f>MAX(-16, MIN(16, Games[[#This Row],[RestDiff]]*8))</f>
        <v>-8</v>
      </c>
      <c r="N224" s="1">
        <f>MAX(-16, MIN(16, Games[[#This Row],[OppRestDiff]]*8))</f>
        <v>8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1404.6453712399084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1380.8506116077524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0.39205730127011323</v>
      </c>
      <c r="R224" s="1">
        <v>82</v>
      </c>
      <c r="S224" s="1">
        <v>80</v>
      </c>
      <c r="T224" s="1">
        <v>0</v>
      </c>
      <c r="U224" s="1">
        <f>Games[[#This Row],[PointsFor]]-Games[[#This Row],[PointsAgainst]]</f>
        <v>2</v>
      </c>
      <c r="V224" s="1">
        <f>IF(Games[[#This Row],[MOV]]&gt;0,1,IF(Games[[#This Row],[MOV]]=0,0.5,0))</f>
        <v>1</v>
      </c>
      <c r="W224" s="4">
        <f>((ABS(Games[[#This Row],[MOV]])+5)^0.6)/(12+0.01*(ABS(Games[[#This Row],[PreGmRate]]-Games[[#This Row],[OppPreGmRate]])))*IF(Games[[#This Row],[OT]]=1,0.9,1)</f>
        <v>0.26263356861260956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4" s="9">
        <f>MAX(kmin, kmax - 0.15 * MIN(Games[[#This Row],[GamesPlayed]], 82))</f>
        <v>73</v>
      </c>
      <c r="Z224" s="4">
        <f>Games[[#This Row],[K]]*Games[[#This Row],[POMult]]</f>
        <v>73</v>
      </c>
      <c r="AA224" s="4">
        <f>(Games[[#This Row],[Keff]]*Games[[#This Row],[MOVMult]])*(Games[[#This Row],[Result]]-Games[[#This Row],[ExpectedWin%]])</f>
        <v>11.655629714996985</v>
      </c>
      <c r="AB224" s="4">
        <f>Games[[#This Row],[PreGmRate]]+Games[[#This Row],[RatingChange]]</f>
        <v>1416.3010009549055</v>
      </c>
      <c r="AC224" s="2">
        <f>IF(Games[[#This Row],[Type]]="R",IF(Games[[#This Row],[Result]]&gt;0.5,1,0),0)</f>
        <v>1</v>
      </c>
      <c r="AD224" s="2">
        <f>IF(Games[[#This Row],[Type]]="R",IF(Games[[#This Row],[Result]]&lt;0.5,1,0),0)</f>
        <v>0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45475</v>
      </c>
      <c r="B225" s="2">
        <v>2024</v>
      </c>
      <c r="C225" s="2">
        <f>COUNTIFS(Games[Team],Games[[#This Row],[Team]],Games[Season],Games[[#This Row],[Season]],Games[Date],"&lt;=" &amp; Games[[#This Row],[Date]])</f>
        <v>19</v>
      </c>
      <c r="D225" s="2" t="s">
        <v>79</v>
      </c>
      <c r="E225" s="2" t="s">
        <v>80</v>
      </c>
      <c r="F225" s="1" t="s">
        <v>63</v>
      </c>
      <c r="G225" s="1" t="s">
        <v>65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5" s="2">
        <f>Games[[#This Row],[DaysOff]]-Games[[#This Row],[OppDaysOff]]</f>
        <v>1</v>
      </c>
      <c r="L225" s="2">
        <f>Games[[#This Row],[OppDaysOff]]-Games[[#This Row],[DaysOff]]</f>
        <v>-1</v>
      </c>
      <c r="M225" s="1">
        <f>MAX(-16, MIN(16, Games[[#This Row],[RestDiff]]*8))</f>
        <v>8</v>
      </c>
      <c r="N225" s="1">
        <f>MAX(-16, MIN(16, Games[[#This Row],[OppRestDiff]]*8))</f>
        <v>-8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1380.8506116077524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1404.6453712399084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0.60794269872988682</v>
      </c>
      <c r="R225" s="1">
        <v>80</v>
      </c>
      <c r="S225" s="1">
        <v>82</v>
      </c>
      <c r="T225" s="1">
        <v>0</v>
      </c>
      <c r="U225" s="1">
        <f>Games[[#This Row],[PointsFor]]-Games[[#This Row],[PointsAgainst]]</f>
        <v>-2</v>
      </c>
      <c r="V225" s="1">
        <f>IF(Games[[#This Row],[MOV]]&gt;0,1,IF(Games[[#This Row],[MOV]]=0,0.5,0))</f>
        <v>0</v>
      </c>
      <c r="W225" s="4">
        <f>((ABS(Games[[#This Row],[MOV]])+5)^0.6)/(12+0.01*(ABS(Games[[#This Row],[PreGmRate]]-Games[[#This Row],[OppPreGmRate]])))*IF(Games[[#This Row],[OT]]=1,0.9,1)</f>
        <v>0.26263356861260956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5" s="9">
        <f>MAX(kmin, kmax - 0.15 * MIN(Games[[#This Row],[GamesPlayed]], 82))</f>
        <v>73.150000000000006</v>
      </c>
      <c r="Z225" s="4">
        <f>Games[[#This Row],[K]]*Games[[#This Row],[POMult]]</f>
        <v>73.150000000000006</v>
      </c>
      <c r="AA225" s="4">
        <f>(Games[[#This Row],[Keff]]*Games[[#This Row],[MOVMult]])*(Games[[#This Row],[Result]]-Games[[#This Row],[ExpectedWin%]])</f>
        <v>-11.679579639068898</v>
      </c>
      <c r="AB225" s="4">
        <f>Games[[#This Row],[PreGmRate]]+Games[[#This Row],[RatingChange]]</f>
        <v>1369.1710319686836</v>
      </c>
      <c r="AC225" s="2">
        <f>IF(Games[[#This Row],[Type]]="R",IF(Games[[#This Row],[Result]]&gt;0.5,1,0),0)</f>
        <v>0</v>
      </c>
      <c r="AD225" s="2">
        <f>IF(Games[[#This Row],[Type]]="R",IF(Games[[#This Row],[Result]]&lt;0.5,1,0),0)</f>
        <v>1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45475</v>
      </c>
      <c r="B226" s="2">
        <v>2024</v>
      </c>
      <c r="C226" s="2">
        <f>COUNTIFS(Games[Team],Games[[#This Row],[Team]],Games[Season],Games[[#This Row],[Season]],Games[Date],"&lt;=" &amp; Games[[#This Row],[Date]])</f>
        <v>21</v>
      </c>
      <c r="D226" s="2" t="s">
        <v>79</v>
      </c>
      <c r="E226" s="2" t="s">
        <v>80</v>
      </c>
      <c r="F226" s="1" t="s">
        <v>69</v>
      </c>
      <c r="G226" s="1" t="s">
        <v>86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6" s="2">
        <f>Games[[#This Row],[DaysOff]]-Games[[#This Row],[OppDaysOff]]</f>
        <v>-1</v>
      </c>
      <c r="L226" s="2">
        <f>Games[[#This Row],[OppDaysOff]]-Games[[#This Row],[DaysOff]]</f>
        <v>1</v>
      </c>
      <c r="M226" s="1">
        <f>MAX(-16, MIN(16, Games[[#This Row],[RestDiff]]*8))</f>
        <v>-8</v>
      </c>
      <c r="N226" s="1">
        <f>MAX(-16, MIN(16, Games[[#This Row],[OppRestDiff]]*8))</f>
        <v>8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1435.0268336701936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1626.6803864752706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0.15724213508774315</v>
      </c>
      <c r="R226" s="1">
        <v>69</v>
      </c>
      <c r="S226" s="1">
        <v>88</v>
      </c>
      <c r="T226" s="1">
        <v>0</v>
      </c>
      <c r="U226" s="1">
        <f>Games[[#This Row],[PointsFor]]-Games[[#This Row],[PointsAgainst]]</f>
        <v>-19</v>
      </c>
      <c r="V226" s="1">
        <f>IF(Games[[#This Row],[MOV]]&gt;0,1,IF(Games[[#This Row],[MOV]]=0,0.5,0))</f>
        <v>0</v>
      </c>
      <c r="W226" s="4">
        <f>((ABS(Games[[#This Row],[MOV]])+5)^0.6)/(12+0.01*(ABS(Games[[#This Row],[PreGmRate]]-Games[[#This Row],[OppPreGmRate]])))*IF(Games[[#This Row],[OT]]=1,0.9,1)</f>
        <v>0.48372174663072071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6" s="9">
        <f>MAX(kmin, kmax - 0.15 * MIN(Games[[#This Row],[GamesPlayed]], 82))</f>
        <v>72.849999999999994</v>
      </c>
      <c r="Z226" s="4">
        <f>Games[[#This Row],[K]]*Games[[#This Row],[POMult]]</f>
        <v>72.849999999999994</v>
      </c>
      <c r="AA226" s="4">
        <f>(Games[[#This Row],[Keff]]*Games[[#This Row],[MOVMult]])*(Games[[#This Row],[Result]]-Games[[#This Row],[ExpectedWin%]])</f>
        <v>-5.5410759206525517</v>
      </c>
      <c r="AB226" s="4">
        <f>Games[[#This Row],[PreGmRate]]+Games[[#This Row],[RatingChange]]</f>
        <v>1429.4857577495411</v>
      </c>
      <c r="AC226" s="2">
        <f>IF(Games[[#This Row],[Type]]="R",IF(Games[[#This Row],[Result]]&gt;0.5,1,0),0)</f>
        <v>0</v>
      </c>
      <c r="AD226" s="2">
        <f>IF(Games[[#This Row],[Type]]="R",IF(Games[[#This Row],[Result]]&lt;0.5,1,0),0)</f>
        <v>1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45475</v>
      </c>
      <c r="B227" s="2">
        <v>2024</v>
      </c>
      <c r="C227" s="2">
        <f>COUNTIFS(Games[Team],Games[[#This Row],[Team]],Games[Season],Games[[#This Row],[Season]],Games[Date],"&lt;=" &amp; Games[[#This Row],[Date]])</f>
        <v>17</v>
      </c>
      <c r="D227" s="2" t="s">
        <v>79</v>
      </c>
      <c r="E227" s="2" t="s">
        <v>80</v>
      </c>
      <c r="F227" s="1" t="s">
        <v>86</v>
      </c>
      <c r="G227" s="1" t="s">
        <v>69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7" s="2">
        <f>Games[[#This Row],[DaysOff]]-Games[[#This Row],[OppDaysOff]]</f>
        <v>1</v>
      </c>
      <c r="L227" s="2">
        <f>Games[[#This Row],[OppDaysOff]]-Games[[#This Row],[DaysOff]]</f>
        <v>-1</v>
      </c>
      <c r="M227" s="1">
        <f>MAX(-16, MIN(16, Games[[#This Row],[RestDiff]]*8))</f>
        <v>8</v>
      </c>
      <c r="N227" s="1">
        <f>MAX(-16, MIN(16, Games[[#This Row],[OppRestDiff]]*8))</f>
        <v>-8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1626.6803864752706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1435.0268336701936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0.8427578649122569</v>
      </c>
      <c r="R227" s="1">
        <v>88</v>
      </c>
      <c r="S227" s="1">
        <v>69</v>
      </c>
      <c r="T227" s="1">
        <v>0</v>
      </c>
      <c r="U227" s="1">
        <f>Games[[#This Row],[PointsFor]]-Games[[#This Row],[PointsAgainst]]</f>
        <v>19</v>
      </c>
      <c r="V227" s="1">
        <f>IF(Games[[#This Row],[MOV]]&gt;0,1,IF(Games[[#This Row],[MOV]]=0,0.5,0))</f>
        <v>1</v>
      </c>
      <c r="W227" s="4">
        <f>((ABS(Games[[#This Row],[MOV]])+5)^0.6)/(12+0.01*(ABS(Games[[#This Row],[PreGmRate]]-Games[[#This Row],[OppPreGmRate]])))*IF(Games[[#This Row],[OT]]=1,0.9,1)</f>
        <v>0.48372174663072071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7" s="9">
        <f>MAX(kmin, kmax - 0.15 * MIN(Games[[#This Row],[GamesPlayed]], 82))</f>
        <v>73.45</v>
      </c>
      <c r="Z227" s="4">
        <f>Games[[#This Row],[K]]*Games[[#This Row],[POMult]]</f>
        <v>73.45</v>
      </c>
      <c r="AA227" s="4">
        <f>(Games[[#This Row],[Keff]]*Games[[#This Row],[MOVMult]])*(Games[[#This Row],[Result]]-Games[[#This Row],[ExpectedWin%]])</f>
        <v>5.586712784789702</v>
      </c>
      <c r="AB227" s="4">
        <f>Games[[#This Row],[PreGmRate]]+Games[[#This Row],[RatingChange]]</f>
        <v>1632.2670992600601</v>
      </c>
      <c r="AC227" s="2">
        <f>IF(Games[[#This Row],[Type]]="R",IF(Games[[#This Row],[Result]]&gt;0.5,1,0),0)</f>
        <v>1</v>
      </c>
      <c r="AD227" s="2">
        <f>IF(Games[[#This Row],[Type]]="R",IF(Games[[#This Row],[Result]]&lt;0.5,1,0),0)</f>
        <v>0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45475</v>
      </c>
      <c r="B228" s="2">
        <v>2024</v>
      </c>
      <c r="C228" s="2">
        <f>COUNTIFS(Games[Team],Games[[#This Row],[Team]],Games[Season],Games[[#This Row],[Season]],Games[Date],"&lt;=" &amp; Games[[#This Row],[Date]])</f>
        <v>19</v>
      </c>
      <c r="D228" s="2" t="s">
        <v>79</v>
      </c>
      <c r="E228" s="2" t="s">
        <v>80</v>
      </c>
      <c r="F228" s="1" t="s">
        <v>67</v>
      </c>
      <c r="G228" s="1" t="s">
        <v>60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8" s="2">
        <f>Games[[#This Row],[DaysOff]]-Games[[#This Row],[OppDaysOff]]</f>
        <v>0</v>
      </c>
      <c r="L228" s="2">
        <f>Games[[#This Row],[OppDaysOff]]-Games[[#This Row],[DaysOff]]</f>
        <v>0</v>
      </c>
      <c r="M228" s="1">
        <f>MAX(-16, MIN(16, Games[[#This Row],[RestDiff]]*8))</f>
        <v>0</v>
      </c>
      <c r="N228" s="1">
        <f>MAX(-16, MIN(16, Games[[#This Row],[OppRestDiff]]*8))</f>
        <v>0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1609.1164809626684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1681.1952468479619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0.28936674178910343</v>
      </c>
      <c r="R228" s="1">
        <v>67</v>
      </c>
      <c r="S228" s="1">
        <v>76</v>
      </c>
      <c r="T228" s="1">
        <v>0</v>
      </c>
      <c r="U228" s="1">
        <f>Games[[#This Row],[PointsFor]]-Games[[#This Row],[PointsAgainst]]</f>
        <v>-9</v>
      </c>
      <c r="V228" s="1">
        <f>IF(Games[[#This Row],[MOV]]&gt;0,1,IF(Games[[#This Row],[MOV]]=0,0.5,0))</f>
        <v>0</v>
      </c>
      <c r="W228" s="4">
        <f>((ABS(Games[[#This Row],[MOV]])+5)^0.6)/(12+0.01*(ABS(Games[[#This Row],[PreGmRate]]-Games[[#This Row],[OppPreGmRate]])))*IF(Games[[#This Row],[OT]]=1,0.9,1)</f>
        <v>0.38296829224851658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8" s="9">
        <f>MAX(kmin, kmax - 0.15 * MIN(Games[[#This Row],[GamesPlayed]], 82))</f>
        <v>73.150000000000006</v>
      </c>
      <c r="Z228" s="4">
        <f>Games[[#This Row],[K]]*Games[[#This Row],[POMult]]</f>
        <v>73.150000000000006</v>
      </c>
      <c r="AA228" s="4">
        <f>(Games[[#This Row],[Keff]]*Games[[#This Row],[MOVMult]])*(Games[[#This Row],[Result]]-Games[[#This Row],[ExpectedWin%]])</f>
        <v>-8.1063576894042733</v>
      </c>
      <c r="AB228" s="4">
        <f>Games[[#This Row],[PreGmRate]]+Games[[#This Row],[RatingChange]]</f>
        <v>1601.0101232732641</v>
      </c>
      <c r="AC228" s="2">
        <f>IF(Games[[#This Row],[Type]]="R",IF(Games[[#This Row],[Result]]&gt;0.5,1,0),0)</f>
        <v>0</v>
      </c>
      <c r="AD228" s="2">
        <f>IF(Games[[#This Row],[Type]]="R",IF(Games[[#This Row],[Result]]&lt;0.5,1,0),0)</f>
        <v>1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45475</v>
      </c>
      <c r="B229" s="2">
        <v>2024</v>
      </c>
      <c r="C229" s="2">
        <f>COUNTIFS(Games[Team],Games[[#This Row],[Team]],Games[Season],Games[[#This Row],[Season]],Games[Date],"&lt;=" &amp; Games[[#This Row],[Date]])</f>
        <v>20</v>
      </c>
      <c r="D229" s="2" t="s">
        <v>79</v>
      </c>
      <c r="E229" s="2" t="s">
        <v>80</v>
      </c>
      <c r="F229" s="1" t="s">
        <v>60</v>
      </c>
      <c r="G229" s="1" t="s">
        <v>67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9" s="2">
        <f>Games[[#This Row],[DaysOff]]-Games[[#This Row],[OppDaysOff]]</f>
        <v>0</v>
      </c>
      <c r="L229" s="2">
        <f>Games[[#This Row],[OppDaysOff]]-Games[[#This Row],[DaysOff]]</f>
        <v>0</v>
      </c>
      <c r="M229" s="1">
        <f>MAX(-16, MIN(16, Games[[#This Row],[RestDiff]]*8))</f>
        <v>0</v>
      </c>
      <c r="N229" s="1">
        <f>MAX(-16, MIN(16, Games[[#This Row],[OppRestDiff]]*8))</f>
        <v>0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1681.1952468479619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1609.1164809626684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0.71063325821089662</v>
      </c>
      <c r="R229" s="1">
        <v>76</v>
      </c>
      <c r="S229" s="1">
        <v>67</v>
      </c>
      <c r="T229" s="1">
        <v>0</v>
      </c>
      <c r="U229" s="1">
        <f>Games[[#This Row],[PointsFor]]-Games[[#This Row],[PointsAgainst]]</f>
        <v>9</v>
      </c>
      <c r="V229" s="1">
        <f>IF(Games[[#This Row],[MOV]]&gt;0,1,IF(Games[[#This Row],[MOV]]=0,0.5,0))</f>
        <v>1</v>
      </c>
      <c r="W229" s="4">
        <f>((ABS(Games[[#This Row],[MOV]])+5)^0.6)/(12+0.01*(ABS(Games[[#This Row],[PreGmRate]]-Games[[#This Row],[OppPreGmRate]])))*IF(Games[[#This Row],[OT]]=1,0.9,1)</f>
        <v>0.38296829224851658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9" s="9">
        <f>MAX(kmin, kmax - 0.15 * MIN(Games[[#This Row],[GamesPlayed]], 82))</f>
        <v>73</v>
      </c>
      <c r="Z229" s="4">
        <f>Games[[#This Row],[K]]*Games[[#This Row],[POMult]]</f>
        <v>73</v>
      </c>
      <c r="AA229" s="4">
        <f>(Games[[#This Row],[Keff]]*Games[[#This Row],[MOVMult]])*(Games[[#This Row],[Result]]-Games[[#This Row],[ExpectedWin%]])</f>
        <v>8.089734946363798</v>
      </c>
      <c r="AB229" s="4">
        <f>Games[[#This Row],[PreGmRate]]+Games[[#This Row],[RatingChange]]</f>
        <v>1689.2849817943256</v>
      </c>
      <c r="AC229" s="2">
        <f>IF(Games[[#This Row],[Type]]="R",IF(Games[[#This Row],[Result]]&gt;0.5,1,0),0)</f>
        <v>1</v>
      </c>
      <c r="AD229" s="2">
        <f>IF(Games[[#This Row],[Type]]="R",IF(Games[[#This Row],[Result]]&lt;0.5,1,0),0)</f>
        <v>0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45476</v>
      </c>
      <c r="B230" s="2">
        <v>2024</v>
      </c>
      <c r="C230" s="2">
        <f>COUNTIFS(Games[Team],Games[[#This Row],[Team]],Games[Season],Games[[#This Row],[Season]],Games[Date],"&lt;=" &amp; Games[[#This Row],[Date]])</f>
        <v>20</v>
      </c>
      <c r="D230" s="2" t="s">
        <v>79</v>
      </c>
      <c r="E230" s="2" t="s">
        <v>80</v>
      </c>
      <c r="F230" s="1" t="s">
        <v>40</v>
      </c>
      <c r="G230" s="1" t="s">
        <v>85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0" s="2">
        <f>Games[[#This Row],[DaysOff]]-Games[[#This Row],[OppDaysOff]]</f>
        <v>0</v>
      </c>
      <c r="L230" s="2">
        <f>Games[[#This Row],[OppDaysOff]]-Games[[#This Row],[DaysOff]]</f>
        <v>0</v>
      </c>
      <c r="M230" s="1">
        <f>MAX(-16, MIN(16, Games[[#This Row],[RestDiff]]*8))</f>
        <v>0</v>
      </c>
      <c r="N230" s="1">
        <f>MAX(-16, MIN(16, Games[[#This Row],[OppRestDiff]]*8))</f>
        <v>0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1434.4449040375782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1393.1356968681578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0.43887034676937531</v>
      </c>
      <c r="R230" s="1">
        <v>104</v>
      </c>
      <c r="S230" s="1">
        <v>96</v>
      </c>
      <c r="T230" s="1">
        <v>0</v>
      </c>
      <c r="U230" s="1">
        <f>Games[[#This Row],[PointsFor]]-Games[[#This Row],[PointsAgainst]]</f>
        <v>8</v>
      </c>
      <c r="V230" s="1">
        <f>IF(Games[[#This Row],[MOV]]&gt;0,1,IF(Games[[#This Row],[MOV]]=0,0.5,0))</f>
        <v>1</v>
      </c>
      <c r="W230" s="4">
        <f>((ABS(Games[[#This Row],[MOV]])+5)^0.6)/(12+0.01*(ABS(Games[[#This Row],[PreGmRate]]-Games[[#This Row],[OppPreGmRate]])))*IF(Games[[#This Row],[OT]]=1,0.9,1)</f>
        <v>0.37539288302403395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0" s="9">
        <f>MAX(kmin, kmax - 0.15 * MIN(Games[[#This Row],[GamesPlayed]], 82))</f>
        <v>73</v>
      </c>
      <c r="Z230" s="4">
        <f>Games[[#This Row],[K]]*Games[[#This Row],[POMult]]</f>
        <v>73</v>
      </c>
      <c r="AA230" s="4">
        <f>(Games[[#This Row],[Keff]]*Games[[#This Row],[MOVMult]])*(Games[[#This Row],[Result]]-Games[[#This Row],[ExpectedWin%]])</f>
        <v>15.377017714186007</v>
      </c>
      <c r="AB230" s="4">
        <f>Games[[#This Row],[PreGmRate]]+Games[[#This Row],[RatingChange]]</f>
        <v>1449.8219217517642</v>
      </c>
      <c r="AC230" s="2">
        <f>IF(Games[[#This Row],[Type]]="R",IF(Games[[#This Row],[Result]]&gt;0.5,1,0),0)</f>
        <v>1</v>
      </c>
      <c r="AD230" s="2">
        <f>IF(Games[[#This Row],[Type]]="R",IF(Games[[#This Row],[Result]]&lt;0.5,1,0),0)</f>
        <v>0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45476</v>
      </c>
      <c r="B231" s="2">
        <v>2024</v>
      </c>
      <c r="C231" s="2">
        <f>COUNTIFS(Games[Team],Games[[#This Row],[Team]],Games[Season],Games[[#This Row],[Season]],Games[Date],"&lt;=" &amp; Games[[#This Row],[Date]])</f>
        <v>20</v>
      </c>
      <c r="D231" s="2" t="s">
        <v>79</v>
      </c>
      <c r="E231" s="2" t="s">
        <v>80</v>
      </c>
      <c r="F231" s="1" t="s">
        <v>85</v>
      </c>
      <c r="G231" s="1" t="s">
        <v>40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1" s="2">
        <f>Games[[#This Row],[DaysOff]]-Games[[#This Row],[OppDaysOff]]</f>
        <v>0</v>
      </c>
      <c r="L231" s="2">
        <f>Games[[#This Row],[OppDaysOff]]-Games[[#This Row],[DaysOff]]</f>
        <v>0</v>
      </c>
      <c r="M231" s="1">
        <f>MAX(-16, MIN(16, Games[[#This Row],[RestDiff]]*8))</f>
        <v>0</v>
      </c>
      <c r="N231" s="1">
        <f>MAX(-16, MIN(16, Games[[#This Row],[OppRestDiff]]*8))</f>
        <v>0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1393.1356968681578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1434.4449040375782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0.56112965323062469</v>
      </c>
      <c r="R231" s="1">
        <v>96</v>
      </c>
      <c r="S231" s="1">
        <v>104</v>
      </c>
      <c r="T231" s="1">
        <v>0</v>
      </c>
      <c r="U231" s="1">
        <f>Games[[#This Row],[PointsFor]]-Games[[#This Row],[PointsAgainst]]</f>
        <v>-8</v>
      </c>
      <c r="V231" s="1">
        <f>IF(Games[[#This Row],[MOV]]&gt;0,1,IF(Games[[#This Row],[MOV]]=0,0.5,0))</f>
        <v>0</v>
      </c>
      <c r="W231" s="4">
        <f>((ABS(Games[[#This Row],[MOV]])+5)^0.6)/(12+0.01*(ABS(Games[[#This Row],[PreGmRate]]-Games[[#This Row],[OppPreGmRate]])))*IF(Games[[#This Row],[OT]]=1,0.9,1)</f>
        <v>0.37539288302403395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1" s="9">
        <f>MAX(kmin, kmax - 0.15 * MIN(Games[[#This Row],[GamesPlayed]], 82))</f>
        <v>73</v>
      </c>
      <c r="Z231" s="4">
        <f>Games[[#This Row],[K]]*Games[[#This Row],[POMult]]</f>
        <v>73</v>
      </c>
      <c r="AA231" s="4">
        <f>(Games[[#This Row],[Keff]]*Games[[#This Row],[MOVMult]])*(Games[[#This Row],[Result]]-Games[[#This Row],[ExpectedWin%]])</f>
        <v>-15.377017714186007</v>
      </c>
      <c r="AB231" s="4">
        <f>Games[[#This Row],[PreGmRate]]+Games[[#This Row],[RatingChange]]</f>
        <v>1377.7586791539718</v>
      </c>
      <c r="AC231" s="2">
        <f>IF(Games[[#This Row],[Type]]="R",IF(Games[[#This Row],[Result]]&gt;0.5,1,0),0)</f>
        <v>0</v>
      </c>
      <c r="AD231" s="2">
        <f>IF(Games[[#This Row],[Type]]="R",IF(Games[[#This Row],[Result]]&lt;0.5,1,0),0)</f>
        <v>1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45477</v>
      </c>
      <c r="B232" s="2">
        <v>2024</v>
      </c>
      <c r="C232" s="2">
        <f>COUNTIFS(Games[Team],Games[[#This Row],[Team]],Games[Season],Games[[#This Row],[Season]],Games[Date],"&lt;=" &amp; Games[[#This Row],[Date]])</f>
        <v>21</v>
      </c>
      <c r="D232" s="2" t="s">
        <v>79</v>
      </c>
      <c r="E232" s="2" t="s">
        <v>80</v>
      </c>
      <c r="F232" s="1" t="s">
        <v>65</v>
      </c>
      <c r="G232" s="1" t="s">
        <v>86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2" s="2">
        <f>Games[[#This Row],[DaysOff]]-Games[[#This Row],[OppDaysOff]]</f>
        <v>0</v>
      </c>
      <c r="L232" s="2">
        <f>Games[[#This Row],[OppDaysOff]]-Games[[#This Row],[DaysOff]]</f>
        <v>0</v>
      </c>
      <c r="M232" s="1">
        <f>MAX(-16, MIN(16, Games[[#This Row],[RestDiff]]*8))</f>
        <v>0</v>
      </c>
      <c r="N232" s="1">
        <f>MAX(-16, MIN(16, Games[[#This Row],[OppRestDiff]]*8))</f>
        <v>0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1416.3010009549055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1632.2670992600601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0.15100457465801626</v>
      </c>
      <c r="R232" s="1">
        <v>77</v>
      </c>
      <c r="S232" s="1">
        <v>98</v>
      </c>
      <c r="T232" s="1">
        <v>0</v>
      </c>
      <c r="U232" s="1">
        <f>Games[[#This Row],[PointsFor]]-Games[[#This Row],[PointsAgainst]]</f>
        <v>-21</v>
      </c>
      <c r="V232" s="1">
        <f>IF(Games[[#This Row],[MOV]]&gt;0,1,IF(Games[[#This Row],[MOV]]=0,0.5,0))</f>
        <v>0</v>
      </c>
      <c r="W232" s="4">
        <f>((ABS(Games[[#This Row],[MOV]])+5)^0.6)/(12+0.01*(ABS(Games[[#This Row],[PreGmRate]]-Games[[#This Row],[OppPreGmRate]])))*IF(Games[[#This Row],[OT]]=1,0.9,1)</f>
        <v>0.49880540796159073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2" s="9">
        <f>MAX(kmin, kmax - 0.15 * MIN(Games[[#This Row],[GamesPlayed]], 82))</f>
        <v>72.849999999999994</v>
      </c>
      <c r="Z232" s="4">
        <f>Games[[#This Row],[K]]*Games[[#This Row],[POMult]]</f>
        <v>72.849999999999994</v>
      </c>
      <c r="AA232" s="4">
        <f>(Games[[#This Row],[Keff]]*Games[[#This Row],[MOVMult]])*(Games[[#This Row],[Result]]-Games[[#This Row],[ExpectedWin%]])</f>
        <v>-5.4872003032742009</v>
      </c>
      <c r="AB232" s="4">
        <f>Games[[#This Row],[PreGmRate]]+Games[[#This Row],[RatingChange]]</f>
        <v>1410.8138006516313</v>
      </c>
      <c r="AC232" s="2">
        <f>IF(Games[[#This Row],[Type]]="R",IF(Games[[#This Row],[Result]]&gt;0.5,1,0),0)</f>
        <v>0</v>
      </c>
      <c r="AD232" s="2">
        <f>IF(Games[[#This Row],[Type]]="R",IF(Games[[#This Row],[Result]]&lt;0.5,1,0),0)</f>
        <v>1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45477</v>
      </c>
      <c r="B233" s="2">
        <v>2024</v>
      </c>
      <c r="C233" s="2">
        <f>COUNTIFS(Games[Team],Games[[#This Row],[Team]],Games[Season],Games[[#This Row],[Season]],Games[Date],"&lt;=" &amp; Games[[#This Row],[Date]])</f>
        <v>18</v>
      </c>
      <c r="D233" s="2" t="s">
        <v>79</v>
      </c>
      <c r="E233" s="2" t="s">
        <v>80</v>
      </c>
      <c r="F233" s="1" t="s">
        <v>86</v>
      </c>
      <c r="G233" s="1" t="s">
        <v>65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3" s="2">
        <f>Games[[#This Row],[DaysOff]]-Games[[#This Row],[OppDaysOff]]</f>
        <v>0</v>
      </c>
      <c r="L233" s="2">
        <f>Games[[#This Row],[OppDaysOff]]-Games[[#This Row],[DaysOff]]</f>
        <v>0</v>
      </c>
      <c r="M233" s="1">
        <f>MAX(-16, MIN(16, Games[[#This Row],[RestDiff]]*8))</f>
        <v>0</v>
      </c>
      <c r="N233" s="1">
        <f>MAX(-16, MIN(16, Games[[#This Row],[OppRestDiff]]*8))</f>
        <v>0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1632.2670992600601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1416.3010009549055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0.84899542534198369</v>
      </c>
      <c r="R233" s="1">
        <v>98</v>
      </c>
      <c r="S233" s="1">
        <v>77</v>
      </c>
      <c r="T233" s="1">
        <v>0</v>
      </c>
      <c r="U233" s="1">
        <f>Games[[#This Row],[PointsFor]]-Games[[#This Row],[PointsAgainst]]</f>
        <v>21</v>
      </c>
      <c r="V233" s="1">
        <f>IF(Games[[#This Row],[MOV]]&gt;0,1,IF(Games[[#This Row],[MOV]]=0,0.5,0))</f>
        <v>1</v>
      </c>
      <c r="W233" s="4">
        <f>((ABS(Games[[#This Row],[MOV]])+5)^0.6)/(12+0.01*(ABS(Games[[#This Row],[PreGmRate]]-Games[[#This Row],[OppPreGmRate]])))*IF(Games[[#This Row],[OT]]=1,0.9,1)</f>
        <v>0.49880540796159073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3" s="9">
        <f>MAX(kmin, kmax - 0.15 * MIN(Games[[#This Row],[GamesPlayed]], 82))</f>
        <v>73.3</v>
      </c>
      <c r="Z233" s="4">
        <f>Games[[#This Row],[K]]*Games[[#This Row],[POMult]]</f>
        <v>73.3</v>
      </c>
      <c r="AA233" s="4">
        <f>(Games[[#This Row],[Keff]]*Games[[#This Row],[MOVMult]])*(Games[[#This Row],[Result]]-Games[[#This Row],[ExpectedWin%]])</f>
        <v>5.5210951575840639</v>
      </c>
      <c r="AB233" s="4">
        <f>Games[[#This Row],[PreGmRate]]+Games[[#This Row],[RatingChange]]</f>
        <v>1637.7881944176443</v>
      </c>
      <c r="AC233" s="2">
        <f>IF(Games[[#This Row],[Type]]="R",IF(Games[[#This Row],[Result]]&gt;0.5,1,0),0)</f>
        <v>1</v>
      </c>
      <c r="AD233" s="2">
        <f>IF(Games[[#This Row],[Type]]="R",IF(Games[[#This Row],[Result]]&lt;0.5,1,0),0)</f>
        <v>0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45477</v>
      </c>
      <c r="B234" s="2">
        <v>2024</v>
      </c>
      <c r="C234" s="2">
        <f>COUNTIFS(Games[Team],Games[[#This Row],[Team]],Games[Season],Games[[#This Row],[Season]],Games[Date],"&lt;=" &amp; Games[[#This Row],[Date]])</f>
        <v>20</v>
      </c>
      <c r="D234" s="2" t="s">
        <v>79</v>
      </c>
      <c r="E234" s="2" t="s">
        <v>80</v>
      </c>
      <c r="F234" s="1" t="s">
        <v>74</v>
      </c>
      <c r="G234" s="1" t="s">
        <v>67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4" s="2">
        <f>Games[[#This Row],[DaysOff]]-Games[[#This Row],[OppDaysOff]]</f>
        <v>1</v>
      </c>
      <c r="L234" s="2">
        <f>Games[[#This Row],[OppDaysOff]]-Games[[#This Row],[DaysOff]]</f>
        <v>-1</v>
      </c>
      <c r="M234" s="1">
        <f>MAX(-16, MIN(16, Games[[#This Row],[RestDiff]]*8))</f>
        <v>8</v>
      </c>
      <c r="N234" s="1">
        <f>MAX(-16, MIN(16, Games[[#This Row],[OppRestDiff]]*8))</f>
        <v>-8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1613.8818491359566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1601.0101232732641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0.42132320663782474</v>
      </c>
      <c r="R234" s="1">
        <v>78</v>
      </c>
      <c r="S234" s="1">
        <v>73</v>
      </c>
      <c r="T234" s="1">
        <v>0</v>
      </c>
      <c r="U234" s="1">
        <f>Games[[#This Row],[PointsFor]]-Games[[#This Row],[PointsAgainst]]</f>
        <v>5</v>
      </c>
      <c r="V234" s="1">
        <f>IF(Games[[#This Row],[MOV]]&gt;0,1,IF(Games[[#This Row],[MOV]]=0,0.5,0))</f>
        <v>1</v>
      </c>
      <c r="W234" s="4">
        <f>((ABS(Games[[#This Row],[MOV]])+5)^0.6)/(12+0.01*(ABS(Games[[#This Row],[PreGmRate]]-Games[[#This Row],[OppPreGmRate]])))*IF(Games[[#This Row],[OT]]=1,0.9,1)</f>
        <v>0.32823518107022503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4" s="9">
        <f>MAX(kmin, kmax - 0.15 * MIN(Games[[#This Row],[GamesPlayed]], 82))</f>
        <v>73</v>
      </c>
      <c r="Z234" s="4">
        <f>Games[[#This Row],[K]]*Games[[#This Row],[POMult]]</f>
        <v>73</v>
      </c>
      <c r="AA234" s="4">
        <f>(Games[[#This Row],[Keff]]*Games[[#This Row],[MOVMult]])*(Games[[#This Row],[Result]]-Games[[#This Row],[ExpectedWin%]])</f>
        <v>13.865771989677068</v>
      </c>
      <c r="AB234" s="4">
        <f>Games[[#This Row],[PreGmRate]]+Games[[#This Row],[RatingChange]]</f>
        <v>1627.7476211256337</v>
      </c>
      <c r="AC234" s="2">
        <f>IF(Games[[#This Row],[Type]]="R",IF(Games[[#This Row],[Result]]&gt;0.5,1,0),0)</f>
        <v>1</v>
      </c>
      <c r="AD234" s="2">
        <f>IF(Games[[#This Row],[Type]]="R",IF(Games[[#This Row],[Result]]&lt;0.5,1,0),0)</f>
        <v>0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45477</v>
      </c>
      <c r="B235" s="2">
        <v>2024</v>
      </c>
      <c r="C235" s="2">
        <f>COUNTIFS(Games[Team],Games[[#This Row],[Team]],Games[Season],Games[[#This Row],[Season]],Games[Date],"&lt;=" &amp; Games[[#This Row],[Date]])</f>
        <v>20</v>
      </c>
      <c r="D235" s="2" t="s">
        <v>79</v>
      </c>
      <c r="E235" s="2" t="s">
        <v>80</v>
      </c>
      <c r="F235" s="1" t="s">
        <v>67</v>
      </c>
      <c r="G235" s="1" t="s">
        <v>74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5" s="2">
        <f>Games[[#This Row],[DaysOff]]-Games[[#This Row],[OppDaysOff]]</f>
        <v>-1</v>
      </c>
      <c r="L235" s="2">
        <f>Games[[#This Row],[OppDaysOff]]-Games[[#This Row],[DaysOff]]</f>
        <v>1</v>
      </c>
      <c r="M235" s="1">
        <f>MAX(-16, MIN(16, Games[[#This Row],[RestDiff]]*8))</f>
        <v>-8</v>
      </c>
      <c r="N235" s="1">
        <f>MAX(-16, MIN(16, Games[[#This Row],[OppRestDiff]]*8))</f>
        <v>8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1601.0101232732641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1613.8818491359566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0.57867679336217526</v>
      </c>
      <c r="R235" s="1">
        <v>73</v>
      </c>
      <c r="S235" s="1">
        <v>78</v>
      </c>
      <c r="T235" s="1">
        <v>0</v>
      </c>
      <c r="U235" s="1">
        <f>Games[[#This Row],[PointsFor]]-Games[[#This Row],[PointsAgainst]]</f>
        <v>-5</v>
      </c>
      <c r="V235" s="1">
        <f>IF(Games[[#This Row],[MOV]]&gt;0,1,IF(Games[[#This Row],[MOV]]=0,0.5,0))</f>
        <v>0</v>
      </c>
      <c r="W235" s="4">
        <f>((ABS(Games[[#This Row],[MOV]])+5)^0.6)/(12+0.01*(ABS(Games[[#This Row],[PreGmRate]]-Games[[#This Row],[OppPreGmRate]])))*IF(Games[[#This Row],[OT]]=1,0.9,1)</f>
        <v>0.32823518107022503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5" s="9">
        <f>MAX(kmin, kmax - 0.15 * MIN(Games[[#This Row],[GamesPlayed]], 82))</f>
        <v>73</v>
      </c>
      <c r="Z235" s="4">
        <f>Games[[#This Row],[K]]*Games[[#This Row],[POMult]]</f>
        <v>73</v>
      </c>
      <c r="AA235" s="4">
        <f>(Games[[#This Row],[Keff]]*Games[[#This Row],[MOVMult]])*(Games[[#This Row],[Result]]-Games[[#This Row],[ExpectedWin%]])</f>
        <v>-13.865771989677068</v>
      </c>
      <c r="AB235" s="4">
        <f>Games[[#This Row],[PreGmRate]]+Games[[#This Row],[RatingChange]]</f>
        <v>1587.144351283587</v>
      </c>
      <c r="AC235" s="2">
        <f>IF(Games[[#This Row],[Type]]="R",IF(Games[[#This Row],[Result]]&gt;0.5,1,0),0)</f>
        <v>0</v>
      </c>
      <c r="AD235" s="2">
        <f>IF(Games[[#This Row],[Type]]="R",IF(Games[[#This Row],[Result]]&lt;0.5,1,0),0)</f>
        <v>1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45478</v>
      </c>
      <c r="B236" s="2">
        <v>2024</v>
      </c>
      <c r="C236" s="2">
        <f>COUNTIFS(Games[Team],Games[[#This Row],[Team]],Games[Season],Games[[#This Row],[Season]],Games[Date],"&lt;=" &amp; Games[[#This Row],[Date]])</f>
        <v>19</v>
      </c>
      <c r="D236" s="2" t="s">
        <v>79</v>
      </c>
      <c r="E236" s="2" t="s">
        <v>80</v>
      </c>
      <c r="F236" s="1" t="s">
        <v>77</v>
      </c>
      <c r="G236" s="1" t="s">
        <v>85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6" s="2">
        <f>Games[[#This Row],[DaysOff]]-Games[[#This Row],[OppDaysOff]]</f>
        <v>1</v>
      </c>
      <c r="L236" s="2">
        <f>Games[[#This Row],[OppDaysOff]]-Games[[#This Row],[DaysOff]]</f>
        <v>-1</v>
      </c>
      <c r="M236" s="1">
        <f>MAX(-16, MIN(16, Games[[#This Row],[RestDiff]]*8))</f>
        <v>8</v>
      </c>
      <c r="N236" s="1">
        <f>MAX(-16, MIN(16, Games[[#This Row],[OppRestDiff]]*8))</f>
        <v>-8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1407.5803654910205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1377.7586791539718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0.44527707159326557</v>
      </c>
      <c r="R236" s="1">
        <v>82</v>
      </c>
      <c r="S236" s="1">
        <v>85</v>
      </c>
      <c r="T236" s="1">
        <v>0</v>
      </c>
      <c r="U236" s="1">
        <f>Games[[#This Row],[PointsFor]]-Games[[#This Row],[PointsAgainst]]</f>
        <v>-3</v>
      </c>
      <c r="V236" s="1">
        <f>IF(Games[[#This Row],[MOV]]&gt;0,1,IF(Games[[#This Row],[MOV]]=0,0.5,0))</f>
        <v>0</v>
      </c>
      <c r="W236" s="4">
        <f>((ABS(Games[[#This Row],[MOV]])+5)^0.6)/(12+0.01*(ABS(Games[[#This Row],[PreGmRate]]-Games[[#This Row],[OppPreGmRate]])))*IF(Games[[#This Row],[OT]]=1,0.9,1)</f>
        <v>0.28314692218154242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6" s="9">
        <f>MAX(kmin, kmax - 0.15 * MIN(Games[[#This Row],[GamesPlayed]], 82))</f>
        <v>73.150000000000006</v>
      </c>
      <c r="Z236" s="4">
        <f>Games[[#This Row],[K]]*Games[[#This Row],[POMult]]</f>
        <v>73.150000000000006</v>
      </c>
      <c r="AA236" s="4">
        <f>(Games[[#This Row],[Keff]]*Games[[#This Row],[MOVMult]])*(Games[[#This Row],[Result]]-Games[[#This Row],[ExpectedWin%]])</f>
        <v>-9.2226665856449195</v>
      </c>
      <c r="AB236" s="4">
        <f>Games[[#This Row],[PreGmRate]]+Games[[#This Row],[RatingChange]]</f>
        <v>1398.3576989053756</v>
      </c>
      <c r="AC236" s="2">
        <f>IF(Games[[#This Row],[Type]]="R",IF(Games[[#This Row],[Result]]&gt;0.5,1,0),0)</f>
        <v>0</v>
      </c>
      <c r="AD236" s="2">
        <f>IF(Games[[#This Row],[Type]]="R",IF(Games[[#This Row],[Result]]&lt;0.5,1,0),0)</f>
        <v>1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45478</v>
      </c>
      <c r="B237" s="2">
        <v>2024</v>
      </c>
      <c r="C237" s="2">
        <f>COUNTIFS(Games[Team],Games[[#This Row],[Team]],Games[Season],Games[[#This Row],[Season]],Games[Date],"&lt;=" &amp; Games[[#This Row],[Date]])</f>
        <v>21</v>
      </c>
      <c r="D237" s="2" t="s">
        <v>79</v>
      </c>
      <c r="E237" s="2" t="s">
        <v>80</v>
      </c>
      <c r="F237" s="1" t="s">
        <v>85</v>
      </c>
      <c r="G237" s="1" t="s">
        <v>77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7" s="2">
        <f>Games[[#This Row],[DaysOff]]-Games[[#This Row],[OppDaysOff]]</f>
        <v>-1</v>
      </c>
      <c r="L237" s="2">
        <f>Games[[#This Row],[OppDaysOff]]-Games[[#This Row],[DaysOff]]</f>
        <v>1</v>
      </c>
      <c r="M237" s="1">
        <f>MAX(-16, MIN(16, Games[[#This Row],[RestDiff]]*8))</f>
        <v>-8</v>
      </c>
      <c r="N237" s="1">
        <f>MAX(-16, MIN(16, Games[[#This Row],[OppRestDiff]]*8))</f>
        <v>8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1377.7586791539718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1407.5803654910205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0.55472292840673443</v>
      </c>
      <c r="R237" s="1">
        <v>85</v>
      </c>
      <c r="S237" s="1">
        <v>82</v>
      </c>
      <c r="T237" s="1">
        <v>0</v>
      </c>
      <c r="U237" s="1">
        <f>Games[[#This Row],[PointsFor]]-Games[[#This Row],[PointsAgainst]]</f>
        <v>3</v>
      </c>
      <c r="V237" s="1">
        <f>IF(Games[[#This Row],[MOV]]&gt;0,1,IF(Games[[#This Row],[MOV]]=0,0.5,0))</f>
        <v>1</v>
      </c>
      <c r="W237" s="4">
        <f>((ABS(Games[[#This Row],[MOV]])+5)^0.6)/(12+0.01*(ABS(Games[[#This Row],[PreGmRate]]-Games[[#This Row],[OppPreGmRate]])))*IF(Games[[#This Row],[OT]]=1,0.9,1)</f>
        <v>0.28314692218154242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7" s="9">
        <f>MAX(kmin, kmax - 0.15 * MIN(Games[[#This Row],[GamesPlayed]], 82))</f>
        <v>72.849999999999994</v>
      </c>
      <c r="Z237" s="4">
        <f>Games[[#This Row],[K]]*Games[[#This Row],[POMult]]</f>
        <v>72.849999999999994</v>
      </c>
      <c r="AA237" s="4">
        <f>(Games[[#This Row],[Keff]]*Games[[#This Row],[MOVMult]])*(Games[[#This Row],[Result]]-Games[[#This Row],[ExpectedWin%]])</f>
        <v>9.1848429359430241</v>
      </c>
      <c r="AB237" s="4">
        <f>Games[[#This Row],[PreGmRate]]+Games[[#This Row],[RatingChange]]</f>
        <v>1386.9435220899147</v>
      </c>
      <c r="AC237" s="2">
        <f>IF(Games[[#This Row],[Type]]="R",IF(Games[[#This Row],[Result]]&gt;0.5,1,0),0)</f>
        <v>1</v>
      </c>
      <c r="AD237" s="2">
        <f>IF(Games[[#This Row],[Type]]="R",IF(Games[[#This Row],[Result]]&lt;0.5,1,0),0)</f>
        <v>0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45478</v>
      </c>
      <c r="B238" s="2">
        <v>2024</v>
      </c>
      <c r="C238" s="2">
        <f>COUNTIFS(Games[Team],Games[[#This Row],[Team]],Games[Season],Games[[#This Row],[Season]],Games[Date],"&lt;=" &amp; Games[[#This Row],[Date]])</f>
        <v>19</v>
      </c>
      <c r="D238" s="2" t="s">
        <v>79</v>
      </c>
      <c r="E238" s="2" t="s">
        <v>80</v>
      </c>
      <c r="F238" s="1" t="s">
        <v>86</v>
      </c>
      <c r="G238" s="1" t="s">
        <v>63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0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8" s="2">
        <f>Games[[#This Row],[DaysOff]]-Games[[#This Row],[OppDaysOff]]</f>
        <v>-2</v>
      </c>
      <c r="L238" s="2">
        <f>Games[[#This Row],[OppDaysOff]]-Games[[#This Row],[DaysOff]]</f>
        <v>2</v>
      </c>
      <c r="M238" s="1">
        <f>MAX(-16, MIN(16, Games[[#This Row],[RestDiff]]*8))</f>
        <v>-16</v>
      </c>
      <c r="N238" s="1">
        <f>MAX(-16, MIN(16, Games[[#This Row],[OppRestDiff]]*8))</f>
        <v>16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1637.7881944176443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1369.1710319686836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0.70651854679596993</v>
      </c>
      <c r="R238" s="1">
        <v>93</v>
      </c>
      <c r="S238" s="1">
        <v>98</v>
      </c>
      <c r="T238" s="1">
        <v>1</v>
      </c>
      <c r="U238" s="1">
        <f>Games[[#This Row],[PointsFor]]-Games[[#This Row],[PointsAgainst]]</f>
        <v>-5</v>
      </c>
      <c r="V238" s="1">
        <f>IF(Games[[#This Row],[MOV]]&gt;0,1,IF(Games[[#This Row],[MOV]]=0,0.5,0))</f>
        <v>0</v>
      </c>
      <c r="W238" s="4">
        <f>((ABS(Games[[#This Row],[MOV]])+5)^0.6)/(12+0.01*(ABS(Games[[#This Row],[PreGmRate]]-Games[[#This Row],[OppPreGmRate]])))*IF(Games[[#This Row],[OT]]=1,0.9,1)</f>
        <v>0.24396858668100954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8" s="9">
        <f>MAX(kmin, kmax - 0.15 * MIN(Games[[#This Row],[GamesPlayed]], 82))</f>
        <v>73.150000000000006</v>
      </c>
      <c r="Z238" s="4">
        <f>Games[[#This Row],[K]]*Games[[#This Row],[POMult]]</f>
        <v>73.150000000000006</v>
      </c>
      <c r="AA238" s="4">
        <f>(Games[[#This Row],[Keff]]*Games[[#This Row],[MOVMult]])*(Games[[#This Row],[Result]]-Games[[#This Row],[ExpectedWin%]])</f>
        <v>-12.608743436477406</v>
      </c>
      <c r="AB238" s="4">
        <f>Games[[#This Row],[PreGmRate]]+Games[[#This Row],[RatingChange]]</f>
        <v>1625.1794509811668</v>
      </c>
      <c r="AC238" s="2">
        <f>IF(Games[[#This Row],[Type]]="R",IF(Games[[#This Row],[Result]]&gt;0.5,1,0),0)</f>
        <v>0</v>
      </c>
      <c r="AD238" s="2">
        <f>IF(Games[[#This Row],[Type]]="R",IF(Games[[#This Row],[Result]]&lt;0.5,1,0),0)</f>
        <v>1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45478</v>
      </c>
      <c r="B239" s="2">
        <v>2024</v>
      </c>
      <c r="C239" s="2">
        <f>COUNTIFS(Games[Team],Games[[#This Row],[Team]],Games[Season],Games[[#This Row],[Season]],Games[Date],"&lt;=" &amp; Games[[#This Row],[Date]])</f>
        <v>20</v>
      </c>
      <c r="D239" s="2" t="s">
        <v>79</v>
      </c>
      <c r="E239" s="2" t="s">
        <v>80</v>
      </c>
      <c r="F239" s="1" t="s">
        <v>63</v>
      </c>
      <c r="G239" s="1" t="s">
        <v>86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39" s="2">
        <f>Games[[#This Row],[DaysOff]]-Games[[#This Row],[OppDaysOff]]</f>
        <v>2</v>
      </c>
      <c r="L239" s="2">
        <f>Games[[#This Row],[OppDaysOff]]-Games[[#This Row],[DaysOff]]</f>
        <v>-2</v>
      </c>
      <c r="M239" s="1">
        <f>MAX(-16, MIN(16, Games[[#This Row],[RestDiff]]*8))</f>
        <v>16</v>
      </c>
      <c r="N239" s="1">
        <f>MAX(-16, MIN(16, Games[[#This Row],[OppRestDiff]]*8))</f>
        <v>-16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1369.1710319686836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1637.7881944176443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0.29348145320403013</v>
      </c>
      <c r="R239" s="1">
        <v>98</v>
      </c>
      <c r="S239" s="1">
        <v>93</v>
      </c>
      <c r="T239" s="1">
        <v>1</v>
      </c>
      <c r="U239" s="1">
        <f>Games[[#This Row],[PointsFor]]-Games[[#This Row],[PointsAgainst]]</f>
        <v>5</v>
      </c>
      <c r="V239" s="1">
        <f>IF(Games[[#This Row],[MOV]]&gt;0,1,IF(Games[[#This Row],[MOV]]=0,0.5,0))</f>
        <v>1</v>
      </c>
      <c r="W239" s="4">
        <f>((ABS(Games[[#This Row],[MOV]])+5)^0.6)/(12+0.01*(ABS(Games[[#This Row],[PreGmRate]]-Games[[#This Row],[OppPreGmRate]])))*IF(Games[[#This Row],[OT]]=1,0.9,1)</f>
        <v>0.24396858668100954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9" s="9">
        <f>MAX(kmin, kmax - 0.15 * MIN(Games[[#This Row],[GamesPlayed]], 82))</f>
        <v>73</v>
      </c>
      <c r="Z239" s="4">
        <f>Games[[#This Row],[K]]*Games[[#This Row],[POMult]]</f>
        <v>73</v>
      </c>
      <c r="AA239" s="4">
        <f>(Games[[#This Row],[Keff]]*Games[[#This Row],[MOVMult]])*(Games[[#This Row],[Result]]-Games[[#This Row],[ExpectedWin%]])</f>
        <v>12.582888186778543</v>
      </c>
      <c r="AB239" s="4">
        <f>Games[[#This Row],[PreGmRate]]+Games[[#This Row],[RatingChange]]</f>
        <v>1381.7539201554621</v>
      </c>
      <c r="AC239" s="2">
        <f>IF(Games[[#This Row],[Type]]="R",IF(Games[[#This Row],[Result]]&gt;0.5,1,0),0)</f>
        <v>1</v>
      </c>
      <c r="AD239" s="2">
        <f>IF(Games[[#This Row],[Type]]="R",IF(Games[[#This Row],[Result]]&lt;0.5,1,0),0)</f>
        <v>0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45478</v>
      </c>
      <c r="B240" s="2">
        <v>2024</v>
      </c>
      <c r="C240" s="2">
        <f>COUNTIFS(Games[Team],Games[[#This Row],[Team]],Games[Season],Games[[#This Row],[Season]],Games[Date],"&lt;=" &amp; Games[[#This Row],[Date]])</f>
        <v>19</v>
      </c>
      <c r="D240" s="2" t="s">
        <v>79</v>
      </c>
      <c r="E240" s="2" t="s">
        <v>80</v>
      </c>
      <c r="F240" s="1" t="s">
        <v>75</v>
      </c>
      <c r="G240" s="1" t="s">
        <v>71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0" s="2">
        <f>Games[[#This Row],[DaysOff]]-Games[[#This Row],[OppDaysOff]]</f>
        <v>-1</v>
      </c>
      <c r="L240" s="2">
        <f>Games[[#This Row],[OppDaysOff]]-Games[[#This Row],[DaysOff]]</f>
        <v>1</v>
      </c>
      <c r="M240" s="1">
        <f>MAX(-16, MIN(16, Games[[#This Row],[RestDiff]]*8))</f>
        <v>-8</v>
      </c>
      <c r="N240" s="1">
        <f>MAX(-16, MIN(16, Games[[#This Row],[OppRestDiff]]*8))</f>
        <v>8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1455.9517795029581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1556.9816896871118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0.23917257674322343</v>
      </c>
      <c r="R240" s="1">
        <v>88</v>
      </c>
      <c r="S240" s="1">
        <v>84</v>
      </c>
      <c r="T240" s="1">
        <v>0</v>
      </c>
      <c r="U240" s="1">
        <f>Games[[#This Row],[PointsFor]]-Games[[#This Row],[PointsAgainst]]</f>
        <v>4</v>
      </c>
      <c r="V240" s="1">
        <f>IF(Games[[#This Row],[MOV]]&gt;0,1,IF(Games[[#This Row],[MOV]]=0,0.5,0))</f>
        <v>1</v>
      </c>
      <c r="W240" s="4">
        <f>((ABS(Games[[#This Row],[MOV]])+5)^0.6)/(12+0.01*(ABS(Games[[#This Row],[PreGmRate]]-Games[[#This Row],[OppPreGmRate]])))*IF(Games[[#This Row],[OT]]=1,0.9,1)</f>
        <v>0.28724880109155776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0" s="9">
        <f>MAX(kmin, kmax - 0.15 * MIN(Games[[#This Row],[GamesPlayed]], 82))</f>
        <v>73.150000000000006</v>
      </c>
      <c r="Z240" s="4">
        <f>Games[[#This Row],[K]]*Games[[#This Row],[POMult]]</f>
        <v>73.150000000000006</v>
      </c>
      <c r="AA240" s="4">
        <f>(Games[[#This Row],[Keff]]*Games[[#This Row],[MOVMult]])*(Games[[#This Row],[Result]]-Games[[#This Row],[ExpectedWin%]])</f>
        <v>15.986695872045656</v>
      </c>
      <c r="AB240" s="4">
        <f>Games[[#This Row],[PreGmRate]]+Games[[#This Row],[RatingChange]]</f>
        <v>1471.9384753750037</v>
      </c>
      <c r="AC240" s="2">
        <f>IF(Games[[#This Row],[Type]]="R",IF(Games[[#This Row],[Result]]&gt;0.5,1,0),0)</f>
        <v>1</v>
      </c>
      <c r="AD240" s="2">
        <f>IF(Games[[#This Row],[Type]]="R",IF(Games[[#This Row],[Result]]&lt;0.5,1,0),0)</f>
        <v>0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45478</v>
      </c>
      <c r="B241" s="2">
        <v>2024</v>
      </c>
      <c r="C241" s="2">
        <f>COUNTIFS(Games[Team],Games[[#This Row],[Team]],Games[Season],Games[[#This Row],[Season]],Games[Date],"&lt;=" &amp; Games[[#This Row],[Date]])</f>
        <v>20</v>
      </c>
      <c r="D241" s="2" t="s">
        <v>79</v>
      </c>
      <c r="E241" s="2" t="s">
        <v>80</v>
      </c>
      <c r="F241" s="1" t="s">
        <v>71</v>
      </c>
      <c r="G241" s="1" t="s">
        <v>75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1" s="2">
        <f>Games[[#This Row],[DaysOff]]-Games[[#This Row],[OppDaysOff]]</f>
        <v>1</v>
      </c>
      <c r="L241" s="2">
        <f>Games[[#This Row],[OppDaysOff]]-Games[[#This Row],[DaysOff]]</f>
        <v>-1</v>
      </c>
      <c r="M241" s="1">
        <f>MAX(-16, MIN(16, Games[[#This Row],[RestDiff]]*8))</f>
        <v>8</v>
      </c>
      <c r="N241" s="1">
        <f>MAX(-16, MIN(16, Games[[#This Row],[OppRestDiff]]*8))</f>
        <v>-8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1556.9816896871118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1455.9517795029581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0.76082742325677655</v>
      </c>
      <c r="R241" s="1">
        <v>84</v>
      </c>
      <c r="S241" s="1">
        <v>88</v>
      </c>
      <c r="T241" s="1">
        <v>0</v>
      </c>
      <c r="U241" s="1">
        <f>Games[[#This Row],[PointsFor]]-Games[[#This Row],[PointsAgainst]]</f>
        <v>-4</v>
      </c>
      <c r="V241" s="1">
        <f>IF(Games[[#This Row],[MOV]]&gt;0,1,IF(Games[[#This Row],[MOV]]=0,0.5,0))</f>
        <v>0</v>
      </c>
      <c r="W241" s="4">
        <f>((ABS(Games[[#This Row],[MOV]])+5)^0.6)/(12+0.01*(ABS(Games[[#This Row],[PreGmRate]]-Games[[#This Row],[OppPreGmRate]])))*IF(Games[[#This Row],[OT]]=1,0.9,1)</f>
        <v>0.28724880109155776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1" s="9">
        <f>MAX(kmin, kmax - 0.15 * MIN(Games[[#This Row],[GamesPlayed]], 82))</f>
        <v>73</v>
      </c>
      <c r="Z241" s="4">
        <f>Games[[#This Row],[K]]*Games[[#This Row],[POMult]]</f>
        <v>73</v>
      </c>
      <c r="AA241" s="4">
        <f>(Games[[#This Row],[Keff]]*Games[[#This Row],[MOVMult]])*(Games[[#This Row],[Result]]-Games[[#This Row],[ExpectedWin%]])</f>
        <v>-15.953913857270441</v>
      </c>
      <c r="AB241" s="4">
        <f>Games[[#This Row],[PreGmRate]]+Games[[#This Row],[RatingChange]]</f>
        <v>1541.0277758298414</v>
      </c>
      <c r="AC241" s="2">
        <f>IF(Games[[#This Row],[Type]]="R",IF(Games[[#This Row],[Result]]&gt;0.5,1,0),0)</f>
        <v>0</v>
      </c>
      <c r="AD241" s="2">
        <f>IF(Games[[#This Row],[Type]]="R",IF(Games[[#This Row],[Result]]&lt;0.5,1,0),0)</f>
        <v>1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45479</v>
      </c>
      <c r="B242" s="2">
        <v>2024</v>
      </c>
      <c r="C242" s="2">
        <f>COUNTIFS(Games[Team],Games[[#This Row],[Team]],Games[Season],Games[[#This Row],[Season]],Games[Date],"&lt;=" &amp; Games[[#This Row],[Date]])</f>
        <v>21</v>
      </c>
      <c r="D242" s="2" t="s">
        <v>79</v>
      </c>
      <c r="E242" s="2" t="s">
        <v>80</v>
      </c>
      <c r="F242" s="1" t="s">
        <v>60</v>
      </c>
      <c r="G242" s="1" t="s">
        <v>69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2" s="2">
        <f>Games[[#This Row],[DaysOff]]-Games[[#This Row],[OppDaysOff]]</f>
        <v>0</v>
      </c>
      <c r="L242" s="2">
        <f>Games[[#This Row],[OppDaysOff]]-Games[[#This Row],[DaysOff]]</f>
        <v>0</v>
      </c>
      <c r="M242" s="1">
        <f>MAX(-16, MIN(16, Games[[#This Row],[RestDiff]]*8))</f>
        <v>0</v>
      </c>
      <c r="N242" s="1">
        <f>MAX(-16, MIN(16, Games[[#This Row],[OppRestDiff]]*8))</f>
        <v>0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1689.2849817943256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1429.4857577495411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0.73340778839357768</v>
      </c>
      <c r="R242" s="1">
        <v>78</v>
      </c>
      <c r="S242" s="1">
        <v>83</v>
      </c>
      <c r="T242" s="1">
        <v>0</v>
      </c>
      <c r="U242" s="1">
        <f>Games[[#This Row],[PointsFor]]-Games[[#This Row],[PointsAgainst]]</f>
        <v>-5</v>
      </c>
      <c r="V242" s="1">
        <f>IF(Games[[#This Row],[MOV]]&gt;0,1,IF(Games[[#This Row],[MOV]]=0,0.5,0))</f>
        <v>0</v>
      </c>
      <c r="W242" s="4">
        <f>((ABS(Games[[#This Row],[MOV]])+5)^0.6)/(12+0.01*(ABS(Games[[#This Row],[PreGmRate]]-Games[[#This Row],[OppPreGmRate]])))*IF(Games[[#This Row],[OT]]=1,0.9,1)</f>
        <v>0.27271364718939178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2" s="9">
        <f>MAX(kmin, kmax - 0.15 * MIN(Games[[#This Row],[GamesPlayed]], 82))</f>
        <v>72.849999999999994</v>
      </c>
      <c r="Z242" s="4">
        <f>Games[[#This Row],[K]]*Games[[#This Row],[POMult]]</f>
        <v>72.849999999999994</v>
      </c>
      <c r="AA242" s="4">
        <f>(Games[[#This Row],[Keff]]*Games[[#This Row],[MOVMult]])*(Games[[#This Row],[Result]]-Games[[#This Row],[ExpectedWin%]])</f>
        <v>-14.570751291116544</v>
      </c>
      <c r="AB242" s="4">
        <f>Games[[#This Row],[PreGmRate]]+Games[[#This Row],[RatingChange]]</f>
        <v>1674.7142305032091</v>
      </c>
      <c r="AC242" s="2">
        <f>IF(Games[[#This Row],[Type]]="R",IF(Games[[#This Row],[Result]]&gt;0.5,1,0),0)</f>
        <v>0</v>
      </c>
      <c r="AD242" s="2">
        <f>IF(Games[[#This Row],[Type]]="R",IF(Games[[#This Row],[Result]]&lt;0.5,1,0),0)</f>
        <v>1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45479</v>
      </c>
      <c r="B243" s="2">
        <v>2024</v>
      </c>
      <c r="C243" s="2">
        <f>COUNTIFS(Games[Team],Games[[#This Row],[Team]],Games[Season],Games[[#This Row],[Season]],Games[Date],"&lt;=" &amp; Games[[#This Row],[Date]])</f>
        <v>22</v>
      </c>
      <c r="D243" s="2" t="s">
        <v>79</v>
      </c>
      <c r="E243" s="2" t="s">
        <v>80</v>
      </c>
      <c r="F243" s="1" t="s">
        <v>69</v>
      </c>
      <c r="G243" s="1" t="s">
        <v>60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3" s="2">
        <f>Games[[#This Row],[DaysOff]]-Games[[#This Row],[OppDaysOff]]</f>
        <v>0</v>
      </c>
      <c r="L243" s="2">
        <f>Games[[#This Row],[OppDaysOff]]-Games[[#This Row],[DaysOff]]</f>
        <v>0</v>
      </c>
      <c r="M243" s="1">
        <f>MAX(-16, MIN(16, Games[[#This Row],[RestDiff]]*8))</f>
        <v>0</v>
      </c>
      <c r="N243" s="1">
        <f>MAX(-16, MIN(16, Games[[#This Row],[OppRestDiff]]*8))</f>
        <v>0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1429.4857577495411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1689.2849817943256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0.26659221160642232</v>
      </c>
      <c r="R243" s="1">
        <v>83</v>
      </c>
      <c r="S243" s="1">
        <v>78</v>
      </c>
      <c r="T243" s="1">
        <v>0</v>
      </c>
      <c r="U243" s="1">
        <f>Games[[#This Row],[PointsFor]]-Games[[#This Row],[PointsAgainst]]</f>
        <v>5</v>
      </c>
      <c r="V243" s="1">
        <f>IF(Games[[#This Row],[MOV]]&gt;0,1,IF(Games[[#This Row],[MOV]]=0,0.5,0))</f>
        <v>1</v>
      </c>
      <c r="W243" s="4">
        <f>((ABS(Games[[#This Row],[MOV]])+5)^0.6)/(12+0.01*(ABS(Games[[#This Row],[PreGmRate]]-Games[[#This Row],[OppPreGmRate]])))*IF(Games[[#This Row],[OT]]=1,0.9,1)</f>
        <v>0.27271364718939178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3" s="9">
        <f>MAX(kmin, kmax - 0.15 * MIN(Games[[#This Row],[GamesPlayed]], 82))</f>
        <v>72.7</v>
      </c>
      <c r="Z243" s="4">
        <f>Games[[#This Row],[K]]*Games[[#This Row],[POMult]]</f>
        <v>72.7</v>
      </c>
      <c r="AA243" s="4">
        <f>(Games[[#This Row],[Keff]]*Games[[#This Row],[MOVMult]])*(Games[[#This Row],[Result]]-Games[[#This Row],[ExpectedWin%]])</f>
        <v>14.540749744189059</v>
      </c>
      <c r="AB243" s="4">
        <f>Games[[#This Row],[PreGmRate]]+Games[[#This Row],[RatingChange]]</f>
        <v>1444.0265074937302</v>
      </c>
      <c r="AC243" s="2">
        <f>IF(Games[[#This Row],[Type]]="R",IF(Games[[#This Row],[Result]]&gt;0.5,1,0),0)</f>
        <v>1</v>
      </c>
      <c r="AD243" s="2">
        <f>IF(Games[[#This Row],[Type]]="R",IF(Games[[#This Row],[Result]]&lt;0.5,1,0),0)</f>
        <v>0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45479</v>
      </c>
      <c r="B244" s="2">
        <v>2024</v>
      </c>
      <c r="C244" s="2">
        <f>COUNTIFS(Games[Team],Games[[#This Row],[Team]],Games[Season],Games[[#This Row],[Season]],Games[Date],"&lt;=" &amp; Games[[#This Row],[Date]])</f>
        <v>22</v>
      </c>
      <c r="D244" s="2" t="s">
        <v>79</v>
      </c>
      <c r="E244" s="2" t="s">
        <v>80</v>
      </c>
      <c r="F244" s="1" t="s">
        <v>65</v>
      </c>
      <c r="G244" s="1" t="s">
        <v>67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4" s="2">
        <f>Games[[#This Row],[DaysOff]]-Games[[#This Row],[OppDaysOff]]</f>
        <v>0</v>
      </c>
      <c r="L244" s="2">
        <f>Games[[#This Row],[OppDaysOff]]-Games[[#This Row],[DaysOff]]</f>
        <v>0</v>
      </c>
      <c r="M244" s="1">
        <f>MAX(-16, MIN(16, Games[[#This Row],[RestDiff]]*8))</f>
        <v>0</v>
      </c>
      <c r="N244" s="1">
        <f>MAX(-16, MIN(16, Games[[#This Row],[OppRestDiff]]*8))</f>
        <v>0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1410.8138006516313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1587.144351283587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0.18263694259537736</v>
      </c>
      <c r="R244" s="1">
        <v>67</v>
      </c>
      <c r="S244" s="1">
        <v>74</v>
      </c>
      <c r="T244" s="1">
        <v>0</v>
      </c>
      <c r="U244" s="1">
        <f>Games[[#This Row],[PointsFor]]-Games[[#This Row],[PointsAgainst]]</f>
        <v>-7</v>
      </c>
      <c r="V244" s="1">
        <f>IF(Games[[#This Row],[MOV]]&gt;0,1,IF(Games[[#This Row],[MOV]]=0,0.5,0))</f>
        <v>0</v>
      </c>
      <c r="W244" s="4">
        <f>((ABS(Games[[#This Row],[MOV]])+5)^0.6)/(12+0.01*(ABS(Games[[#This Row],[PreGmRate]]-Games[[#This Row],[OppPreGmRate]])))*IF(Games[[#This Row],[OT]]=1,0.9,1)</f>
        <v>0.32269036444817562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4" s="9">
        <f>MAX(kmin, kmax - 0.15 * MIN(Games[[#This Row],[GamesPlayed]], 82))</f>
        <v>72.7</v>
      </c>
      <c r="Z244" s="4">
        <f>Games[[#This Row],[K]]*Games[[#This Row],[POMult]]</f>
        <v>72.7</v>
      </c>
      <c r="AA244" s="4">
        <f>(Games[[#This Row],[Keff]]*Games[[#This Row],[MOVMult]])*(Games[[#This Row],[Result]]-Games[[#This Row],[ExpectedWin%]])</f>
        <v>-4.2845876999792667</v>
      </c>
      <c r="AB244" s="4">
        <f>Games[[#This Row],[PreGmRate]]+Games[[#This Row],[RatingChange]]</f>
        <v>1406.529212951652</v>
      </c>
      <c r="AC244" s="2">
        <f>IF(Games[[#This Row],[Type]]="R",IF(Games[[#This Row],[Result]]&gt;0.5,1,0),0)</f>
        <v>0</v>
      </c>
      <c r="AD244" s="2">
        <f>IF(Games[[#This Row],[Type]]="R",IF(Games[[#This Row],[Result]]&lt;0.5,1,0),0)</f>
        <v>1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45479</v>
      </c>
      <c r="B245" s="2">
        <v>2024</v>
      </c>
      <c r="C245" s="2">
        <f>COUNTIFS(Games[Team],Games[[#This Row],[Team]],Games[Season],Games[[#This Row],[Season]],Games[Date],"&lt;=" &amp; Games[[#This Row],[Date]])</f>
        <v>21</v>
      </c>
      <c r="D245" s="2" t="s">
        <v>79</v>
      </c>
      <c r="E245" s="2" t="s">
        <v>80</v>
      </c>
      <c r="F245" s="1" t="s">
        <v>67</v>
      </c>
      <c r="G245" s="1" t="s">
        <v>65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5" s="2">
        <f>Games[[#This Row],[DaysOff]]-Games[[#This Row],[OppDaysOff]]</f>
        <v>0</v>
      </c>
      <c r="L245" s="2">
        <f>Games[[#This Row],[OppDaysOff]]-Games[[#This Row],[DaysOff]]</f>
        <v>0</v>
      </c>
      <c r="M245" s="1">
        <f>MAX(-16, MIN(16, Games[[#This Row],[RestDiff]]*8))</f>
        <v>0</v>
      </c>
      <c r="N245" s="1">
        <f>MAX(-16, MIN(16, Games[[#This Row],[OppRestDiff]]*8))</f>
        <v>0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1587.144351283587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1410.8138006516313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0.81736305740462256</v>
      </c>
      <c r="R245" s="1">
        <v>74</v>
      </c>
      <c r="S245" s="1">
        <v>67</v>
      </c>
      <c r="T245" s="1">
        <v>0</v>
      </c>
      <c r="U245" s="1">
        <f>Games[[#This Row],[PointsFor]]-Games[[#This Row],[PointsAgainst]]</f>
        <v>7</v>
      </c>
      <c r="V245" s="1">
        <f>IF(Games[[#This Row],[MOV]]&gt;0,1,IF(Games[[#This Row],[MOV]]=0,0.5,0))</f>
        <v>1</v>
      </c>
      <c r="W245" s="4">
        <f>((ABS(Games[[#This Row],[MOV]])+5)^0.6)/(12+0.01*(ABS(Games[[#This Row],[PreGmRate]]-Games[[#This Row],[OppPreGmRate]])))*IF(Games[[#This Row],[OT]]=1,0.9,1)</f>
        <v>0.32269036444817562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5" s="9">
        <f>MAX(kmin, kmax - 0.15 * MIN(Games[[#This Row],[GamesPlayed]], 82))</f>
        <v>72.849999999999994</v>
      </c>
      <c r="Z245" s="4">
        <f>Games[[#This Row],[K]]*Games[[#This Row],[POMult]]</f>
        <v>72.849999999999994</v>
      </c>
      <c r="AA245" s="4">
        <f>(Games[[#This Row],[Keff]]*Games[[#This Row],[MOVMult]])*(Games[[#This Row],[Result]]-Games[[#This Row],[ExpectedWin%]])</f>
        <v>4.2934279772144395</v>
      </c>
      <c r="AB245" s="4">
        <f>Games[[#This Row],[PreGmRate]]+Games[[#This Row],[RatingChange]]</f>
        <v>1591.4377792608013</v>
      </c>
      <c r="AC245" s="2">
        <f>IF(Games[[#This Row],[Type]]="R",IF(Games[[#This Row],[Result]]&gt;0.5,1,0),0)</f>
        <v>1</v>
      </c>
      <c r="AD245" s="2">
        <f>IF(Games[[#This Row],[Type]]="R",IF(Games[[#This Row],[Result]]&lt;0.5,1,0),0)</f>
        <v>0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45480</v>
      </c>
      <c r="B246" s="2">
        <v>2024</v>
      </c>
      <c r="C246" s="2">
        <f>COUNTIFS(Games[Team],Games[[#This Row],[Team]],Games[Season],Games[[#This Row],[Season]],Games[Date],"&lt;=" &amp; Games[[#This Row],[Date]])</f>
        <v>20</v>
      </c>
      <c r="D246" s="2" t="s">
        <v>79</v>
      </c>
      <c r="E246" s="2" t="s">
        <v>80</v>
      </c>
      <c r="F246" s="1" t="s">
        <v>77</v>
      </c>
      <c r="G246" s="1" t="s">
        <v>74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6" s="2">
        <f>Games[[#This Row],[DaysOff]]-Games[[#This Row],[OppDaysOff]]</f>
        <v>-1</v>
      </c>
      <c r="L246" s="2">
        <f>Games[[#This Row],[OppDaysOff]]-Games[[#This Row],[DaysOff]]</f>
        <v>1</v>
      </c>
      <c r="M246" s="1">
        <f>MAX(-16, MIN(16, Games[[#This Row],[RestDiff]]*8))</f>
        <v>-8</v>
      </c>
      <c r="N246" s="1">
        <f>MAX(-16, MIN(16, Games[[#This Row],[OppRestDiff]]*8))</f>
        <v>8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1398.3576989053756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1627.7476211256337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0.13054815223170863</v>
      </c>
      <c r="R246" s="1">
        <v>67</v>
      </c>
      <c r="S246" s="1">
        <v>80</v>
      </c>
      <c r="T246" s="1">
        <v>0</v>
      </c>
      <c r="U246" s="1">
        <f>Games[[#This Row],[PointsFor]]-Games[[#This Row],[PointsAgainst]]</f>
        <v>-13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0.39628970232074651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6" s="9">
        <f>MAX(kmin, kmax - 0.15 * MIN(Games[[#This Row],[GamesPlayed]], 82))</f>
        <v>73</v>
      </c>
      <c r="Z246" s="4">
        <f>Games[[#This Row],[K]]*Games[[#This Row],[POMult]]</f>
        <v>73</v>
      </c>
      <c r="AA246" s="4">
        <f>(Games[[#This Row],[Keff]]*Games[[#This Row],[MOVMult]])*(Games[[#This Row],[Result]]-Games[[#This Row],[ExpectedWin%]])</f>
        <v>-3.7766468522091934</v>
      </c>
      <c r="AB246" s="4">
        <f>Games[[#This Row],[PreGmRate]]+Games[[#This Row],[RatingChange]]</f>
        <v>1394.5810520531663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45480</v>
      </c>
      <c r="B247" s="2">
        <v>2024</v>
      </c>
      <c r="C247" s="2">
        <f>COUNTIFS(Games[Team],Games[[#This Row],[Team]],Games[Season],Games[[#This Row],[Season]],Games[Date],"&lt;=" &amp; Games[[#This Row],[Date]])</f>
        <v>21</v>
      </c>
      <c r="D247" s="2" t="s">
        <v>79</v>
      </c>
      <c r="E247" s="2" t="s">
        <v>80</v>
      </c>
      <c r="F247" s="1" t="s">
        <v>74</v>
      </c>
      <c r="G247" s="1" t="s">
        <v>77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7" s="2">
        <f>Games[[#This Row],[DaysOff]]-Games[[#This Row],[OppDaysOff]]</f>
        <v>1</v>
      </c>
      <c r="L247" s="2">
        <f>Games[[#This Row],[OppDaysOff]]-Games[[#This Row],[DaysOff]]</f>
        <v>-1</v>
      </c>
      <c r="M247" s="1">
        <f>MAX(-16, MIN(16, Games[[#This Row],[RestDiff]]*8))</f>
        <v>8</v>
      </c>
      <c r="N247" s="1">
        <f>MAX(-16, MIN(16, Games[[#This Row],[OppRestDiff]]*8))</f>
        <v>-8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1627.7476211256337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1398.3576989053756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0.86945184776829143</v>
      </c>
      <c r="R247" s="1">
        <v>80</v>
      </c>
      <c r="S247" s="1">
        <v>67</v>
      </c>
      <c r="T247" s="1">
        <v>0</v>
      </c>
      <c r="U247" s="1">
        <f>Games[[#This Row],[PointsFor]]-Games[[#This Row],[PointsAgainst]]</f>
        <v>13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0.39628970232074651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7" s="9">
        <f>MAX(kmin, kmax - 0.15 * MIN(Games[[#This Row],[GamesPlayed]], 82))</f>
        <v>72.849999999999994</v>
      </c>
      <c r="Z247" s="4">
        <f>Games[[#This Row],[K]]*Games[[#This Row],[POMult]]</f>
        <v>72.849999999999994</v>
      </c>
      <c r="AA247" s="4">
        <f>(Games[[#This Row],[Keff]]*Games[[#This Row],[MOVMult]])*(Games[[#This Row],[Result]]-Games[[#This Row],[ExpectedWin%]])</f>
        <v>3.7688866189512278</v>
      </c>
      <c r="AB247" s="4">
        <f>Games[[#This Row],[PreGmRate]]+Games[[#This Row],[RatingChange]]</f>
        <v>1631.5165077445849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45480</v>
      </c>
      <c r="B248" s="2">
        <v>2024</v>
      </c>
      <c r="C248" s="2">
        <f>COUNTIFS(Games[Team],Games[[#This Row],[Team]],Games[Season],Games[[#This Row],[Season]],Games[Date],"&lt;=" &amp; Games[[#This Row],[Date]])</f>
        <v>21</v>
      </c>
      <c r="D248" s="2" t="s">
        <v>79</v>
      </c>
      <c r="E248" s="2" t="s">
        <v>80</v>
      </c>
      <c r="F248" s="1" t="s">
        <v>40</v>
      </c>
      <c r="G248" s="1" t="s">
        <v>63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8" s="2">
        <f>Games[[#This Row],[DaysOff]]-Games[[#This Row],[OppDaysOff]]</f>
        <v>2</v>
      </c>
      <c r="L248" s="2">
        <f>Games[[#This Row],[OppDaysOff]]-Games[[#This Row],[DaysOff]]</f>
        <v>-2</v>
      </c>
      <c r="M248" s="1">
        <f>MAX(-16, MIN(16, Games[[#This Row],[RestDiff]]*8))</f>
        <v>16</v>
      </c>
      <c r="N248" s="1">
        <f>MAX(-16, MIN(16, Games[[#This Row],[OppRestDiff]]*8))</f>
        <v>-16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1449.8219217517642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1381.7539201554621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0.52310724133144459</v>
      </c>
      <c r="R248" s="1">
        <v>84</v>
      </c>
      <c r="S248" s="1">
        <v>78</v>
      </c>
      <c r="T248" s="1">
        <v>0</v>
      </c>
      <c r="U248" s="1">
        <f>Games[[#This Row],[PointsFor]]-Games[[#This Row],[PointsAgainst]]</f>
        <v>6</v>
      </c>
      <c r="V248" s="1">
        <f>IF(Games[[#This Row],[MOV]]&gt;0,1,IF(Games[[#This Row],[MOV]]=0,0.5,0))</f>
        <v>1</v>
      </c>
      <c r="W248" s="4">
        <f>((ABS(Games[[#This Row],[MOV]])+5)^0.6)/(12+0.01*(ABS(Games[[#This Row],[PreGmRate]]-Games[[#This Row],[OppPreGmRate]])))*IF(Games[[#This Row],[OT]]=1,0.9,1)</f>
        <v>0.33242453305228109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8" s="9">
        <f>MAX(kmin, kmax - 0.15 * MIN(Games[[#This Row],[GamesPlayed]], 82))</f>
        <v>72.849999999999994</v>
      </c>
      <c r="Z248" s="4">
        <f>Games[[#This Row],[K]]*Games[[#This Row],[POMult]]</f>
        <v>72.849999999999994</v>
      </c>
      <c r="AA248" s="4">
        <f>(Games[[#This Row],[Keff]]*Games[[#This Row],[MOVMult]])*(Games[[#This Row],[Result]]-Games[[#This Row],[ExpectedWin%]])</f>
        <v>11.548972613105374</v>
      </c>
      <c r="AB248" s="4">
        <f>Games[[#This Row],[PreGmRate]]+Games[[#This Row],[RatingChange]]</f>
        <v>1461.3708943648696</v>
      </c>
      <c r="AC248" s="2">
        <f>IF(Games[[#This Row],[Type]]="R",IF(Games[[#This Row],[Result]]&gt;0.5,1,0),0)</f>
        <v>1</v>
      </c>
      <c r="AD248" s="2">
        <f>IF(Games[[#This Row],[Type]]="R",IF(Games[[#This Row],[Result]]&lt;0.5,1,0),0)</f>
        <v>0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45480</v>
      </c>
      <c r="B249" s="2">
        <v>2024</v>
      </c>
      <c r="C249" s="2">
        <f>COUNTIFS(Games[Team],Games[[#This Row],[Team]],Games[Season],Games[[#This Row],[Season]],Games[Date],"&lt;=" &amp; Games[[#This Row],[Date]])</f>
        <v>21</v>
      </c>
      <c r="D249" s="2" t="s">
        <v>79</v>
      </c>
      <c r="E249" s="2" t="s">
        <v>80</v>
      </c>
      <c r="F249" s="1" t="s">
        <v>63</v>
      </c>
      <c r="G249" s="1" t="s">
        <v>40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9" s="2">
        <f>Games[[#This Row],[DaysOff]]-Games[[#This Row],[OppDaysOff]]</f>
        <v>-2</v>
      </c>
      <c r="L249" s="2">
        <f>Games[[#This Row],[OppDaysOff]]-Games[[#This Row],[DaysOff]]</f>
        <v>2</v>
      </c>
      <c r="M249" s="1">
        <f>MAX(-16, MIN(16, Games[[#This Row],[RestDiff]]*8))</f>
        <v>-16</v>
      </c>
      <c r="N249" s="1">
        <f>MAX(-16, MIN(16, Games[[#This Row],[OppRestDiff]]*8))</f>
        <v>16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1381.7539201554621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1449.8219217517642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0.47689275866855541</v>
      </c>
      <c r="R249" s="1">
        <v>78</v>
      </c>
      <c r="S249" s="1">
        <v>84</v>
      </c>
      <c r="T249" s="1">
        <v>0</v>
      </c>
      <c r="U249" s="1">
        <f>Games[[#This Row],[PointsFor]]-Games[[#This Row],[PointsAgainst]]</f>
        <v>-6</v>
      </c>
      <c r="V249" s="1">
        <f>IF(Games[[#This Row],[MOV]]&gt;0,1,IF(Games[[#This Row],[MOV]]=0,0.5,0))</f>
        <v>0</v>
      </c>
      <c r="W249" s="4">
        <f>((ABS(Games[[#This Row],[MOV]])+5)^0.6)/(12+0.01*(ABS(Games[[#This Row],[PreGmRate]]-Games[[#This Row],[OppPreGmRate]])))*IF(Games[[#This Row],[OT]]=1,0.9,1)</f>
        <v>0.33242453305228109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9" s="9">
        <f>MAX(kmin, kmax - 0.15 * MIN(Games[[#This Row],[GamesPlayed]], 82))</f>
        <v>72.849999999999994</v>
      </c>
      <c r="Z249" s="4">
        <f>Games[[#This Row],[K]]*Games[[#This Row],[POMult]]</f>
        <v>72.849999999999994</v>
      </c>
      <c r="AA249" s="4">
        <f>(Games[[#This Row],[Keff]]*Games[[#This Row],[MOVMult]])*(Games[[#This Row],[Result]]-Games[[#This Row],[ExpectedWin%]])</f>
        <v>-11.548972613105374</v>
      </c>
      <c r="AB249" s="4">
        <f>Games[[#This Row],[PreGmRate]]+Games[[#This Row],[RatingChange]]</f>
        <v>1370.2049475423566</v>
      </c>
      <c r="AC249" s="2">
        <f>IF(Games[[#This Row],[Type]]="R",IF(Games[[#This Row],[Result]]&gt;0.5,1,0),0)</f>
        <v>0</v>
      </c>
      <c r="AD249" s="2">
        <f>IF(Games[[#This Row],[Type]]="R",IF(Games[[#This Row],[Result]]&lt;0.5,1,0),0)</f>
        <v>1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45480</v>
      </c>
      <c r="B250" s="2">
        <v>2024</v>
      </c>
      <c r="C250" s="2">
        <f>COUNTIFS(Games[Team],Games[[#This Row],[Team]],Games[Season],Games[[#This Row],[Season]],Games[Date],"&lt;=" &amp; Games[[#This Row],[Date]])</f>
        <v>22</v>
      </c>
      <c r="D250" s="2" t="s">
        <v>79</v>
      </c>
      <c r="E250" s="2" t="s">
        <v>80</v>
      </c>
      <c r="F250" s="1" t="s">
        <v>85</v>
      </c>
      <c r="G250" s="1" t="s">
        <v>86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0" s="2">
        <f>Games[[#This Row],[DaysOff]]-Games[[#This Row],[OppDaysOff]]</f>
        <v>0</v>
      </c>
      <c r="L250" s="2">
        <f>Games[[#This Row],[OppDaysOff]]-Games[[#This Row],[DaysOff]]</f>
        <v>0</v>
      </c>
      <c r="M250" s="1">
        <f>MAX(-16, MIN(16, Games[[#This Row],[RestDiff]]*8))</f>
        <v>0</v>
      </c>
      <c r="N250" s="1">
        <f>MAX(-16, MIN(16, Games[[#This Row],[OppRestDiff]]*8))</f>
        <v>0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1386.9435220899147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1625.1794509811668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0.13529403050378117</v>
      </c>
      <c r="R250" s="1">
        <v>85</v>
      </c>
      <c r="S250" s="1">
        <v>104</v>
      </c>
      <c r="T250" s="1">
        <v>0</v>
      </c>
      <c r="U250" s="1">
        <f>Games[[#This Row],[PointsFor]]-Games[[#This Row],[PointsAgainst]]</f>
        <v>-19</v>
      </c>
      <c r="V250" s="1">
        <f>IF(Games[[#This Row],[MOV]]&gt;0,1,IF(Games[[#This Row],[MOV]]=0,0.5,0))</f>
        <v>0</v>
      </c>
      <c r="W250" s="4">
        <f>((ABS(Games[[#This Row],[MOV]])+5)^0.6)/(12+0.01*(ABS(Games[[#This Row],[PreGmRate]]-Games[[#This Row],[OppPreGmRate]])))*IF(Games[[#This Row],[OT]]=1,0.9,1)</f>
        <v>0.46805470072401428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0" s="9">
        <f>MAX(kmin, kmax - 0.15 * MIN(Games[[#This Row],[GamesPlayed]], 82))</f>
        <v>72.7</v>
      </c>
      <c r="Z250" s="4">
        <f>Games[[#This Row],[K]]*Games[[#This Row],[POMult]]</f>
        <v>72.7</v>
      </c>
      <c r="AA250" s="4">
        <f>(Games[[#This Row],[Keff]]*Games[[#This Row],[MOVMult]])*(Games[[#This Row],[Result]]-Games[[#This Row],[ExpectedWin%]])</f>
        <v>-4.6037280057879277</v>
      </c>
      <c r="AB250" s="4">
        <f>Games[[#This Row],[PreGmRate]]+Games[[#This Row],[RatingChange]]</f>
        <v>1382.3397940841269</v>
      </c>
      <c r="AC250" s="2">
        <f>IF(Games[[#This Row],[Type]]="R",IF(Games[[#This Row],[Result]]&gt;0.5,1,0),0)</f>
        <v>0</v>
      </c>
      <c r="AD250" s="2">
        <f>IF(Games[[#This Row],[Type]]="R",IF(Games[[#This Row],[Result]]&lt;0.5,1,0),0)</f>
        <v>1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45480</v>
      </c>
      <c r="B251" s="2">
        <v>2024</v>
      </c>
      <c r="C251" s="2">
        <f>COUNTIFS(Games[Team],Games[[#This Row],[Team]],Games[Season],Games[[#This Row],[Season]],Games[Date],"&lt;=" &amp; Games[[#This Row],[Date]])</f>
        <v>20</v>
      </c>
      <c r="D251" s="2" t="s">
        <v>79</v>
      </c>
      <c r="E251" s="2" t="s">
        <v>80</v>
      </c>
      <c r="F251" s="1" t="s">
        <v>86</v>
      </c>
      <c r="G251" s="1" t="s">
        <v>85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1" s="2">
        <f>Games[[#This Row],[DaysOff]]-Games[[#This Row],[OppDaysOff]]</f>
        <v>0</v>
      </c>
      <c r="L251" s="2">
        <f>Games[[#This Row],[OppDaysOff]]-Games[[#This Row],[DaysOff]]</f>
        <v>0</v>
      </c>
      <c r="M251" s="1">
        <f>MAX(-16, MIN(16, Games[[#This Row],[RestDiff]]*8))</f>
        <v>0</v>
      </c>
      <c r="N251" s="1">
        <f>MAX(-16, MIN(16, Games[[#This Row],[OppRestDiff]]*8))</f>
        <v>0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1625.1794509811668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1386.9435220899147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0.86470596949621881</v>
      </c>
      <c r="R251" s="1">
        <v>104</v>
      </c>
      <c r="S251" s="1">
        <v>85</v>
      </c>
      <c r="T251" s="1">
        <v>0</v>
      </c>
      <c r="U251" s="1">
        <f>Games[[#This Row],[PointsFor]]-Games[[#This Row],[PointsAgainst]]</f>
        <v>19</v>
      </c>
      <c r="V251" s="1">
        <f>IF(Games[[#This Row],[MOV]]&gt;0,1,IF(Games[[#This Row],[MOV]]=0,0.5,0))</f>
        <v>1</v>
      </c>
      <c r="W251" s="4">
        <f>((ABS(Games[[#This Row],[MOV]])+5)^0.6)/(12+0.01*(ABS(Games[[#This Row],[PreGmRate]]-Games[[#This Row],[OppPreGmRate]])))*IF(Games[[#This Row],[OT]]=1,0.9,1)</f>
        <v>0.46805470072401428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1" s="9">
        <f>MAX(kmin, kmax - 0.15 * MIN(Games[[#This Row],[GamesPlayed]], 82))</f>
        <v>73</v>
      </c>
      <c r="Z251" s="4">
        <f>Games[[#This Row],[K]]*Games[[#This Row],[POMult]]</f>
        <v>73</v>
      </c>
      <c r="AA251" s="4">
        <f>(Games[[#This Row],[Keff]]*Games[[#This Row],[MOVMult]])*(Games[[#This Row],[Result]]-Games[[#This Row],[ExpectedWin%]])</f>
        <v>4.6227255078750868</v>
      </c>
      <c r="AB251" s="4">
        <f>Games[[#This Row],[PreGmRate]]+Games[[#This Row],[RatingChange]]</f>
        <v>1629.8021764890418</v>
      </c>
      <c r="AC251" s="2">
        <f>IF(Games[[#This Row],[Type]]="R",IF(Games[[#This Row],[Result]]&gt;0.5,1,0),0)</f>
        <v>1</v>
      </c>
      <c r="AD251" s="2">
        <f>IF(Games[[#This Row],[Type]]="R",IF(Games[[#This Row],[Result]]&lt;0.5,1,0),0)</f>
        <v>0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45480</v>
      </c>
      <c r="B252" s="2">
        <v>2024</v>
      </c>
      <c r="C252" s="2">
        <f>COUNTIFS(Games[Team],Games[[#This Row],[Team]],Games[Season],Games[[#This Row],[Season]],Games[Date],"&lt;=" &amp; Games[[#This Row],[Date]])</f>
        <v>20</v>
      </c>
      <c r="D252" s="2" t="s">
        <v>79</v>
      </c>
      <c r="E252" s="2" t="s">
        <v>80</v>
      </c>
      <c r="F252" s="1" t="s">
        <v>75</v>
      </c>
      <c r="G252" s="1" t="s">
        <v>71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2" s="2">
        <f>Games[[#This Row],[DaysOff]]-Games[[#This Row],[OppDaysOff]]</f>
        <v>0</v>
      </c>
      <c r="L252" s="2">
        <f>Games[[#This Row],[OppDaysOff]]-Games[[#This Row],[DaysOff]]</f>
        <v>0</v>
      </c>
      <c r="M252" s="1">
        <f>MAX(-16, MIN(16, Games[[#This Row],[RestDiff]]*8))</f>
        <v>0</v>
      </c>
      <c r="N252" s="1">
        <f>MAX(-16, MIN(16, Games[[#This Row],[OppRestDiff]]*8))</f>
        <v>0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1471.9384753750037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1541.0277758298414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0.29291822431209757</v>
      </c>
      <c r="R252" s="1">
        <v>71</v>
      </c>
      <c r="S252" s="1">
        <v>84</v>
      </c>
      <c r="T252" s="1">
        <v>0</v>
      </c>
      <c r="U252" s="1">
        <f>Games[[#This Row],[PointsFor]]-Games[[#This Row],[PointsAgainst]]</f>
        <v>-13</v>
      </c>
      <c r="V252" s="1">
        <f>IF(Games[[#This Row],[MOV]]&gt;0,1,IF(Games[[#This Row],[MOV]]=0,0.5,0))</f>
        <v>0</v>
      </c>
      <c r="W252" s="4">
        <f>((ABS(Games[[#This Row],[MOV]])+5)^0.6)/(12+0.01*(ABS(Games[[#This Row],[PreGmRate]]-Games[[#This Row],[OppPreGmRate]])))*IF(Games[[#This Row],[OT]]=1,0.9,1)</f>
        <v>0.4463456642286136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2" s="9">
        <f>MAX(kmin, kmax - 0.15 * MIN(Games[[#This Row],[GamesPlayed]], 82))</f>
        <v>73</v>
      </c>
      <c r="Z252" s="4">
        <f>Games[[#This Row],[K]]*Games[[#This Row],[POMult]]</f>
        <v>73</v>
      </c>
      <c r="AA252" s="4">
        <f>(Games[[#This Row],[Keff]]*Games[[#This Row],[MOVMult]])*(Games[[#This Row],[Result]]-Games[[#This Row],[ExpectedWin%]])</f>
        <v>-9.5442228958531921</v>
      </c>
      <c r="AB252" s="4">
        <f>Games[[#This Row],[PreGmRate]]+Games[[#This Row],[RatingChange]]</f>
        <v>1462.3942524791505</v>
      </c>
      <c r="AC252" s="2">
        <f>IF(Games[[#This Row],[Type]]="R",IF(Games[[#This Row],[Result]]&gt;0.5,1,0),0)</f>
        <v>0</v>
      </c>
      <c r="AD252" s="2">
        <f>IF(Games[[#This Row],[Type]]="R",IF(Games[[#This Row],[Result]]&lt;0.5,1,0),0)</f>
        <v>1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45480</v>
      </c>
      <c r="B253" s="2">
        <v>2024</v>
      </c>
      <c r="C253" s="2">
        <f>COUNTIFS(Games[Team],Games[[#This Row],[Team]],Games[Season],Games[[#This Row],[Season]],Games[Date],"&lt;=" &amp; Games[[#This Row],[Date]])</f>
        <v>21</v>
      </c>
      <c r="D253" s="2" t="s">
        <v>79</v>
      </c>
      <c r="E253" s="2" t="s">
        <v>80</v>
      </c>
      <c r="F253" s="1" t="s">
        <v>71</v>
      </c>
      <c r="G253" s="1" t="s">
        <v>75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3" s="2">
        <f>Games[[#This Row],[DaysOff]]-Games[[#This Row],[OppDaysOff]]</f>
        <v>0</v>
      </c>
      <c r="L253" s="2">
        <f>Games[[#This Row],[OppDaysOff]]-Games[[#This Row],[DaysOff]]</f>
        <v>0</v>
      </c>
      <c r="M253" s="1">
        <f>MAX(-16, MIN(16, Games[[#This Row],[RestDiff]]*8))</f>
        <v>0</v>
      </c>
      <c r="N253" s="1">
        <f>MAX(-16, MIN(16, Games[[#This Row],[OppRestDiff]]*8))</f>
        <v>0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1541.0277758298414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1471.9384753750037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0.70708177568790243</v>
      </c>
      <c r="R253" s="1">
        <v>84</v>
      </c>
      <c r="S253" s="1">
        <v>71</v>
      </c>
      <c r="T253" s="1">
        <v>0</v>
      </c>
      <c r="U253" s="1">
        <f>Games[[#This Row],[PointsFor]]-Games[[#This Row],[PointsAgainst]]</f>
        <v>13</v>
      </c>
      <c r="V253" s="1">
        <f>IF(Games[[#This Row],[MOV]]&gt;0,1,IF(Games[[#This Row],[MOV]]=0,0.5,0))</f>
        <v>1</v>
      </c>
      <c r="W253" s="4">
        <f>((ABS(Games[[#This Row],[MOV]])+5)^0.6)/(12+0.01*(ABS(Games[[#This Row],[PreGmRate]]-Games[[#This Row],[OppPreGmRate]])))*IF(Games[[#This Row],[OT]]=1,0.9,1)</f>
        <v>0.4463456642286136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3" s="9">
        <f>MAX(kmin, kmax - 0.15 * MIN(Games[[#This Row],[GamesPlayed]], 82))</f>
        <v>72.849999999999994</v>
      </c>
      <c r="Z253" s="4">
        <f>Games[[#This Row],[K]]*Games[[#This Row],[POMult]]</f>
        <v>72.849999999999994</v>
      </c>
      <c r="AA253" s="4">
        <f>(Games[[#This Row],[Keff]]*Games[[#This Row],[MOVMult]])*(Games[[#This Row],[Result]]-Games[[#This Row],[ExpectedWin%]])</f>
        <v>9.5246114789439051</v>
      </c>
      <c r="AB253" s="4">
        <f>Games[[#This Row],[PreGmRate]]+Games[[#This Row],[RatingChange]]</f>
        <v>1550.5523873087852</v>
      </c>
      <c r="AC253" s="2">
        <f>IF(Games[[#This Row],[Type]]="R",IF(Games[[#This Row],[Result]]&gt;0.5,1,0),0)</f>
        <v>1</v>
      </c>
      <c r="AD253" s="2">
        <f>IF(Games[[#This Row],[Type]]="R",IF(Games[[#This Row],[Result]]&lt;0.5,1,0),0)</f>
        <v>0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45482</v>
      </c>
      <c r="B254" s="2">
        <v>2024</v>
      </c>
      <c r="C254" s="2">
        <f>COUNTIFS(Games[Team],Games[[#This Row],[Team]],Games[Season],Games[[#This Row],[Season]],Games[Date],"&lt;=" &amp; Games[[#This Row],[Date]])</f>
        <v>22</v>
      </c>
      <c r="D254" s="2" t="s">
        <v>79</v>
      </c>
      <c r="E254" s="2" t="s">
        <v>80</v>
      </c>
      <c r="F254" s="1" t="s">
        <v>67</v>
      </c>
      <c r="G254" s="1" t="s">
        <v>63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4" s="2">
        <f>Games[[#This Row],[DaysOff]]-Games[[#This Row],[OppDaysOff]]</f>
        <v>1</v>
      </c>
      <c r="L254" s="2">
        <f>Games[[#This Row],[OppDaysOff]]-Games[[#This Row],[DaysOff]]</f>
        <v>-1</v>
      </c>
      <c r="M254" s="1">
        <f>MAX(-16, MIN(16, Games[[#This Row],[RestDiff]]*8))</f>
        <v>8</v>
      </c>
      <c r="N254" s="1">
        <f>MAX(-16, MIN(16, Games[[#This Row],[OppRestDiff]]*8))</f>
        <v>-8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1591.4377792608013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1370.2049475423566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0.70725287328769271</v>
      </c>
      <c r="R254" s="1">
        <v>82</v>
      </c>
      <c r="S254" s="1">
        <v>67</v>
      </c>
      <c r="T254" s="1">
        <v>0</v>
      </c>
      <c r="U254" s="1">
        <f>Games[[#This Row],[PointsFor]]-Games[[#This Row],[PointsAgainst]]</f>
        <v>15</v>
      </c>
      <c r="V254" s="1">
        <f>IF(Games[[#This Row],[MOV]]&gt;0,1,IF(Games[[#This Row],[MOV]]=0,0.5,0))</f>
        <v>1</v>
      </c>
      <c r="W254" s="4">
        <f>((ABS(Games[[#This Row],[MOV]])+5)^0.6)/(12+0.01*(ABS(Games[[#This Row],[PreGmRate]]-Games[[#This Row],[OppPreGmRate]])))*IF(Games[[#This Row],[OT]]=1,0.9,1)</f>
        <v>0.42457338459097538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4" s="9">
        <f>MAX(kmin, kmax - 0.15 * MIN(Games[[#This Row],[GamesPlayed]], 82))</f>
        <v>72.7</v>
      </c>
      <c r="Z254" s="4">
        <f>Games[[#This Row],[K]]*Games[[#This Row],[POMult]]</f>
        <v>72.7</v>
      </c>
      <c r="AA254" s="4">
        <f>(Games[[#This Row],[Keff]]*Games[[#This Row],[MOVMult]])*(Games[[#This Row],[Result]]-Games[[#This Row],[ExpectedWin%]])</f>
        <v>9.0360748129542454</v>
      </c>
      <c r="AB254" s="4">
        <f>Games[[#This Row],[PreGmRate]]+Games[[#This Row],[RatingChange]]</f>
        <v>1600.4738540737555</v>
      </c>
      <c r="AC254" s="2">
        <f>IF(Games[[#This Row],[Type]]="R",IF(Games[[#This Row],[Result]]&gt;0.5,1,0),0)</f>
        <v>1</v>
      </c>
      <c r="AD254" s="2">
        <f>IF(Games[[#This Row],[Type]]="R",IF(Games[[#This Row],[Result]]&lt;0.5,1,0),0)</f>
        <v>0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45482</v>
      </c>
      <c r="B255" s="2">
        <v>2024</v>
      </c>
      <c r="C255" s="2">
        <f>COUNTIFS(Games[Team],Games[[#This Row],[Team]],Games[Season],Games[[#This Row],[Season]],Games[Date],"&lt;=" &amp; Games[[#This Row],[Date]])</f>
        <v>22</v>
      </c>
      <c r="D255" s="2" t="s">
        <v>79</v>
      </c>
      <c r="E255" s="2" t="s">
        <v>80</v>
      </c>
      <c r="F255" s="1" t="s">
        <v>63</v>
      </c>
      <c r="G255" s="1" t="s">
        <v>67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5" s="2">
        <f>Games[[#This Row],[DaysOff]]-Games[[#This Row],[OppDaysOff]]</f>
        <v>-1</v>
      </c>
      <c r="L255" s="2">
        <f>Games[[#This Row],[OppDaysOff]]-Games[[#This Row],[DaysOff]]</f>
        <v>1</v>
      </c>
      <c r="M255" s="1">
        <f>MAX(-16, MIN(16, Games[[#This Row],[RestDiff]]*8))</f>
        <v>-8</v>
      </c>
      <c r="N255" s="1">
        <f>MAX(-16, MIN(16, Games[[#This Row],[OppRestDiff]]*8))</f>
        <v>8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1370.2049475423566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1591.4377792608013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0.29274712671230735</v>
      </c>
      <c r="R255" s="1">
        <v>67</v>
      </c>
      <c r="S255" s="1">
        <v>82</v>
      </c>
      <c r="T255" s="1">
        <v>0</v>
      </c>
      <c r="U255" s="1">
        <f>Games[[#This Row],[PointsFor]]-Games[[#This Row],[PointsAgainst]]</f>
        <v>-15</v>
      </c>
      <c r="V255" s="1">
        <f>IF(Games[[#This Row],[MOV]]&gt;0,1,IF(Games[[#This Row],[MOV]]=0,0.5,0))</f>
        <v>0</v>
      </c>
      <c r="W255" s="4">
        <f>((ABS(Games[[#This Row],[MOV]])+5)^0.6)/(12+0.01*(ABS(Games[[#This Row],[PreGmRate]]-Games[[#This Row],[OppPreGmRate]])))*IF(Games[[#This Row],[OT]]=1,0.9,1)</f>
        <v>0.42457338459097538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5" s="9">
        <f>MAX(kmin, kmax - 0.15 * MIN(Games[[#This Row],[GamesPlayed]], 82))</f>
        <v>72.7</v>
      </c>
      <c r="Z255" s="4">
        <f>Games[[#This Row],[K]]*Games[[#This Row],[POMult]]</f>
        <v>72.7</v>
      </c>
      <c r="AA255" s="4">
        <f>(Games[[#This Row],[Keff]]*Games[[#This Row],[MOVMult]])*(Games[[#This Row],[Result]]-Games[[#This Row],[ExpectedWin%]])</f>
        <v>-9.0360748129542472</v>
      </c>
      <c r="AB255" s="4">
        <f>Games[[#This Row],[PreGmRate]]+Games[[#This Row],[RatingChange]]</f>
        <v>1361.1688727294024</v>
      </c>
      <c r="AC255" s="2">
        <f>IF(Games[[#This Row],[Type]]="R",IF(Games[[#This Row],[Result]]&gt;0.5,1,0),0)</f>
        <v>0</v>
      </c>
      <c r="AD255" s="2">
        <f>IF(Games[[#This Row],[Type]]="R",IF(Games[[#This Row],[Result]]&lt;0.5,1,0),0)</f>
        <v>1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45483</v>
      </c>
      <c r="B256" s="2">
        <v>2024</v>
      </c>
      <c r="C256" s="2">
        <f>COUNTIFS(Games[Team],Games[[#This Row],[Team]],Games[Season],Games[[#This Row],[Season]],Games[Date],"&lt;=" &amp; Games[[#This Row],[Date]])</f>
        <v>21</v>
      </c>
      <c r="D256" s="2" t="s">
        <v>79</v>
      </c>
      <c r="E256" s="2" t="s">
        <v>80</v>
      </c>
      <c r="F256" s="1" t="s">
        <v>77</v>
      </c>
      <c r="G256" s="1" t="s">
        <v>75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6" s="2">
        <f>Games[[#This Row],[DaysOff]]-Games[[#This Row],[OppDaysOff]]</f>
        <v>0</v>
      </c>
      <c r="L256" s="2">
        <f>Games[[#This Row],[OppDaysOff]]-Games[[#This Row],[DaysOff]]</f>
        <v>0</v>
      </c>
      <c r="M256" s="1">
        <f>MAX(-16, MIN(16, Games[[#This Row],[RestDiff]]*8))</f>
        <v>0</v>
      </c>
      <c r="N256" s="1">
        <f>MAX(-16, MIN(16, Games[[#This Row],[OppRestDiff]]*8))</f>
        <v>0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1394.5810520531663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1462.3942524791505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0.29444198106129726</v>
      </c>
      <c r="R256" s="1">
        <v>69</v>
      </c>
      <c r="S256" s="1">
        <v>78</v>
      </c>
      <c r="T256" s="1">
        <v>0</v>
      </c>
      <c r="U256" s="1">
        <f>Games[[#This Row],[PointsFor]]-Games[[#This Row],[PointsAgainst]]</f>
        <v>-9</v>
      </c>
      <c r="V256" s="1">
        <f>IF(Games[[#This Row],[MOV]]&gt;0,1,IF(Games[[#This Row],[MOV]]=0,0.5,0))</f>
        <v>0</v>
      </c>
      <c r="W256" s="4">
        <f>((ABS(Games[[#This Row],[MOV]])+5)^0.6)/(12+0.01*(ABS(Games[[#This Row],[PreGmRate]]-Games[[#This Row],[OppPreGmRate]])))*IF(Games[[#This Row],[OT]]=1,0.9,1)</f>
        <v>0.38425679146817848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6" s="9">
        <f>MAX(kmin, kmax - 0.15 * MIN(Games[[#This Row],[GamesPlayed]], 82))</f>
        <v>72.849999999999994</v>
      </c>
      <c r="Z256" s="4">
        <f>Games[[#This Row],[K]]*Games[[#This Row],[POMult]]</f>
        <v>72.849999999999994</v>
      </c>
      <c r="AA256" s="4">
        <f>(Games[[#This Row],[Keff]]*Games[[#This Row],[MOVMult]])*(Games[[#This Row],[Result]]-Games[[#This Row],[ExpectedWin%]])</f>
        <v>-8.2423459572413993</v>
      </c>
      <c r="AB256" s="4">
        <f>Games[[#This Row],[PreGmRate]]+Games[[#This Row],[RatingChange]]</f>
        <v>1386.3387060959249</v>
      </c>
      <c r="AC256" s="2">
        <f>IF(Games[[#This Row],[Type]]="R",IF(Games[[#This Row],[Result]]&gt;0.5,1,0),0)</f>
        <v>0</v>
      </c>
      <c r="AD256" s="2">
        <f>IF(Games[[#This Row],[Type]]="R",IF(Games[[#This Row],[Result]]&lt;0.5,1,0),0)</f>
        <v>1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45483</v>
      </c>
      <c r="B257" s="2">
        <v>2024</v>
      </c>
      <c r="C257" s="2">
        <f>COUNTIFS(Games[Team],Games[[#This Row],[Team]],Games[Season],Games[[#This Row],[Season]],Games[Date],"&lt;=" &amp; Games[[#This Row],[Date]])</f>
        <v>21</v>
      </c>
      <c r="D257" s="2" t="s">
        <v>79</v>
      </c>
      <c r="E257" s="2" t="s">
        <v>80</v>
      </c>
      <c r="F257" s="1" t="s">
        <v>75</v>
      </c>
      <c r="G257" s="1" t="s">
        <v>77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7" s="2">
        <f>Games[[#This Row],[DaysOff]]-Games[[#This Row],[OppDaysOff]]</f>
        <v>0</v>
      </c>
      <c r="L257" s="2">
        <f>Games[[#This Row],[OppDaysOff]]-Games[[#This Row],[DaysOff]]</f>
        <v>0</v>
      </c>
      <c r="M257" s="1">
        <f>MAX(-16, MIN(16, Games[[#This Row],[RestDiff]]*8))</f>
        <v>0</v>
      </c>
      <c r="N257" s="1">
        <f>MAX(-16, MIN(16, Games[[#This Row],[OppRestDiff]]*8))</f>
        <v>0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1462.3942524791505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1394.5810520531663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0.70555801893870274</v>
      </c>
      <c r="R257" s="1">
        <v>78</v>
      </c>
      <c r="S257" s="1">
        <v>69</v>
      </c>
      <c r="T257" s="1">
        <v>0</v>
      </c>
      <c r="U257" s="1">
        <f>Games[[#This Row],[PointsFor]]-Games[[#This Row],[PointsAgainst]]</f>
        <v>9</v>
      </c>
      <c r="V257" s="1">
        <f>IF(Games[[#This Row],[MOV]]&gt;0,1,IF(Games[[#This Row],[MOV]]=0,0.5,0))</f>
        <v>1</v>
      </c>
      <c r="W257" s="4">
        <f>((ABS(Games[[#This Row],[MOV]])+5)^0.6)/(12+0.01*(ABS(Games[[#This Row],[PreGmRate]]-Games[[#This Row],[OppPreGmRate]])))*IF(Games[[#This Row],[OT]]=1,0.9,1)</f>
        <v>0.38425679146817848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7" s="9">
        <f>MAX(kmin, kmax - 0.15 * MIN(Games[[#This Row],[GamesPlayed]], 82))</f>
        <v>72.849999999999994</v>
      </c>
      <c r="Z257" s="4">
        <f>Games[[#This Row],[K]]*Games[[#This Row],[POMult]]</f>
        <v>72.849999999999994</v>
      </c>
      <c r="AA257" s="4">
        <f>(Games[[#This Row],[Keff]]*Games[[#This Row],[MOVMult]])*(Games[[#This Row],[Result]]-Games[[#This Row],[ExpectedWin%]])</f>
        <v>8.2423459572413993</v>
      </c>
      <c r="AB257" s="4">
        <f>Games[[#This Row],[PreGmRate]]+Games[[#This Row],[RatingChange]]</f>
        <v>1470.636598436392</v>
      </c>
      <c r="AC257" s="2">
        <f>IF(Games[[#This Row],[Type]]="R",IF(Games[[#This Row],[Result]]&gt;0.5,1,0),0)</f>
        <v>1</v>
      </c>
      <c r="AD257" s="2">
        <f>IF(Games[[#This Row],[Type]]="R",IF(Games[[#This Row],[Result]]&lt;0.5,1,0),0)</f>
        <v>0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45483</v>
      </c>
      <c r="B258" s="2">
        <v>2024</v>
      </c>
      <c r="C258" s="2">
        <f>COUNTIFS(Games[Team],Games[[#This Row],[Team]],Games[Season],Games[[#This Row],[Season]],Games[Date],"&lt;=" &amp; Games[[#This Row],[Date]])</f>
        <v>22</v>
      </c>
      <c r="D258" s="2" t="s">
        <v>79</v>
      </c>
      <c r="E258" s="2" t="s">
        <v>80</v>
      </c>
      <c r="F258" s="1" t="s">
        <v>60</v>
      </c>
      <c r="G258" s="1" t="s">
        <v>74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8" s="2">
        <f>Games[[#This Row],[DaysOff]]-Games[[#This Row],[OppDaysOff]]</f>
        <v>1</v>
      </c>
      <c r="L258" s="2">
        <f>Games[[#This Row],[OppDaysOff]]-Games[[#This Row],[DaysOff]]</f>
        <v>-1</v>
      </c>
      <c r="M258" s="1">
        <f>MAX(-16, MIN(16, Games[[#This Row],[RestDiff]]*8))</f>
        <v>8</v>
      </c>
      <c r="N258" s="1">
        <f>MAX(-16, MIN(16, Games[[#This Row],[OppRestDiff]]*8))</f>
        <v>-8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1674.7142305032091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1631.5165077445849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0.46436716231517949</v>
      </c>
      <c r="R258" s="1">
        <v>71</v>
      </c>
      <c r="S258" s="1">
        <v>68</v>
      </c>
      <c r="T258" s="1">
        <v>0</v>
      </c>
      <c r="U258" s="1">
        <f>Games[[#This Row],[PointsFor]]-Games[[#This Row],[PointsAgainst]]</f>
        <v>3</v>
      </c>
      <c r="V258" s="1">
        <f>IF(Games[[#This Row],[MOV]]&gt;0,1,IF(Games[[#This Row],[MOV]]=0,0.5,0))</f>
        <v>1</v>
      </c>
      <c r="W258" s="4">
        <f>((ABS(Games[[#This Row],[MOV]])+5)^0.6)/(12+0.01*(ABS(Games[[#This Row],[PreGmRate]]-Games[[#This Row],[OppPreGmRate]])))*IF(Games[[#This Row],[OT]]=1,0.9,1)</f>
        <v>0.28010043691662967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8" s="9">
        <f>MAX(kmin, kmax - 0.15 * MIN(Games[[#This Row],[GamesPlayed]], 82))</f>
        <v>72.7</v>
      </c>
      <c r="Z258" s="4">
        <f>Games[[#This Row],[K]]*Games[[#This Row],[POMult]]</f>
        <v>72.7</v>
      </c>
      <c r="AA258" s="4">
        <f>(Games[[#This Row],[Keff]]*Games[[#This Row],[MOVMult]])*(Games[[#This Row],[Result]]-Games[[#This Row],[ExpectedWin%]])</f>
        <v>10.907253108397382</v>
      </c>
      <c r="AB258" s="4">
        <f>Games[[#This Row],[PreGmRate]]+Games[[#This Row],[RatingChange]]</f>
        <v>1685.6214836116064</v>
      </c>
      <c r="AC258" s="2">
        <f>IF(Games[[#This Row],[Type]]="R",IF(Games[[#This Row],[Result]]&gt;0.5,1,0),0)</f>
        <v>1</v>
      </c>
      <c r="AD258" s="2">
        <f>IF(Games[[#This Row],[Type]]="R",IF(Games[[#This Row],[Result]]&lt;0.5,1,0),0)</f>
        <v>0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45483</v>
      </c>
      <c r="B259" s="2">
        <v>2024</v>
      </c>
      <c r="C259" s="2">
        <f>COUNTIFS(Games[Team],Games[[#This Row],[Team]],Games[Season],Games[[#This Row],[Season]],Games[Date],"&lt;=" &amp; Games[[#This Row],[Date]])</f>
        <v>22</v>
      </c>
      <c r="D259" s="2" t="s">
        <v>79</v>
      </c>
      <c r="E259" s="2" t="s">
        <v>80</v>
      </c>
      <c r="F259" s="1" t="s">
        <v>74</v>
      </c>
      <c r="G259" s="1" t="s">
        <v>60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9" s="2">
        <f>Games[[#This Row],[DaysOff]]-Games[[#This Row],[OppDaysOff]]</f>
        <v>-1</v>
      </c>
      <c r="L259" s="2">
        <f>Games[[#This Row],[OppDaysOff]]-Games[[#This Row],[DaysOff]]</f>
        <v>1</v>
      </c>
      <c r="M259" s="1">
        <f>MAX(-16, MIN(16, Games[[#This Row],[RestDiff]]*8))</f>
        <v>-8</v>
      </c>
      <c r="N259" s="1">
        <f>MAX(-16, MIN(16, Games[[#This Row],[OppRestDiff]]*8))</f>
        <v>8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1631.5165077445849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1674.7142305032091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0.53563283768482051</v>
      </c>
      <c r="R259" s="1">
        <v>68</v>
      </c>
      <c r="S259" s="1">
        <v>71</v>
      </c>
      <c r="T259" s="1">
        <v>0</v>
      </c>
      <c r="U259" s="1">
        <f>Games[[#This Row],[PointsFor]]-Games[[#This Row],[PointsAgainst]]</f>
        <v>-3</v>
      </c>
      <c r="V259" s="1">
        <f>IF(Games[[#This Row],[MOV]]&gt;0,1,IF(Games[[#This Row],[MOV]]=0,0.5,0))</f>
        <v>0</v>
      </c>
      <c r="W259" s="4">
        <f>((ABS(Games[[#This Row],[MOV]])+5)^0.6)/(12+0.01*(ABS(Games[[#This Row],[PreGmRate]]-Games[[#This Row],[OppPreGmRate]])))*IF(Games[[#This Row],[OT]]=1,0.9,1)</f>
        <v>0.28010043691662967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9" s="9">
        <f>MAX(kmin, kmax - 0.15 * MIN(Games[[#This Row],[GamesPlayed]], 82))</f>
        <v>72.7</v>
      </c>
      <c r="Z259" s="4">
        <f>Games[[#This Row],[K]]*Games[[#This Row],[POMult]]</f>
        <v>72.7</v>
      </c>
      <c r="AA259" s="4">
        <f>(Games[[#This Row],[Keff]]*Games[[#This Row],[MOVMult]])*(Games[[#This Row],[Result]]-Games[[#This Row],[ExpectedWin%]])</f>
        <v>-10.907253108397382</v>
      </c>
      <c r="AB259" s="4">
        <f>Games[[#This Row],[PreGmRate]]+Games[[#This Row],[RatingChange]]</f>
        <v>1620.6092546361876</v>
      </c>
      <c r="AC259" s="2">
        <f>IF(Games[[#This Row],[Type]]="R",IF(Games[[#This Row],[Result]]&gt;0.5,1,0),0)</f>
        <v>0</v>
      </c>
      <c r="AD259" s="2">
        <f>IF(Games[[#This Row],[Type]]="R",IF(Games[[#This Row],[Result]]&lt;0.5,1,0),0)</f>
        <v>1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45483</v>
      </c>
      <c r="B260" s="2">
        <v>2024</v>
      </c>
      <c r="C260" s="2">
        <f>COUNTIFS(Games[Team],Games[[#This Row],[Team]],Games[Season],Games[[#This Row],[Season]],Games[Date],"&lt;=" &amp; Games[[#This Row],[Date]])</f>
        <v>23</v>
      </c>
      <c r="D260" s="2" t="s">
        <v>79</v>
      </c>
      <c r="E260" s="2" t="s">
        <v>80</v>
      </c>
      <c r="F260" s="1" t="s">
        <v>65</v>
      </c>
      <c r="G260" s="1" t="s">
        <v>69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0" s="2">
        <f>Games[[#This Row],[DaysOff]]-Games[[#This Row],[OppDaysOff]]</f>
        <v>0</v>
      </c>
      <c r="L260" s="2">
        <f>Games[[#This Row],[OppDaysOff]]-Games[[#This Row],[DaysOff]]</f>
        <v>0</v>
      </c>
      <c r="M260" s="1">
        <f>MAX(-16, MIN(16, Games[[#This Row],[RestDiff]]*8))</f>
        <v>0</v>
      </c>
      <c r="N260" s="1">
        <f>MAX(-16, MIN(16, Games[[#This Row],[OppRestDiff]]*8))</f>
        <v>0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1406.529212951652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1444.0265074937302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0.33194645579647697</v>
      </c>
      <c r="R260" s="1">
        <v>89</v>
      </c>
      <c r="S260" s="1">
        <v>84</v>
      </c>
      <c r="T260" s="1">
        <v>0</v>
      </c>
      <c r="U260" s="1">
        <f>Games[[#This Row],[PointsFor]]-Games[[#This Row],[PointsAgainst]]</f>
        <v>5</v>
      </c>
      <c r="V260" s="1">
        <f>IF(Games[[#This Row],[MOV]]&gt;0,1,IF(Games[[#This Row],[MOV]]=0,0.5,0))</f>
        <v>1</v>
      </c>
      <c r="W260" s="4">
        <f>((ABS(Games[[#This Row],[MOV]])+5)^0.6)/(12+0.01*(ABS(Games[[#This Row],[PreGmRate]]-Games[[#This Row],[OppPreGmRate]])))*IF(Games[[#This Row],[OT]]=1,0.9,1)</f>
        <v>0.32170346740096295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0" s="9">
        <f>MAX(kmin, kmax - 0.15 * MIN(Games[[#This Row],[GamesPlayed]], 82))</f>
        <v>72.55</v>
      </c>
      <c r="Z260" s="4">
        <f>Games[[#This Row],[K]]*Games[[#This Row],[POMult]]</f>
        <v>72.55</v>
      </c>
      <c r="AA260" s="4">
        <f>(Games[[#This Row],[Keff]]*Games[[#This Row],[MOVMult]])*(Games[[#This Row],[Result]]-Games[[#This Row],[ExpectedWin%]])</f>
        <v>15.592093521612735</v>
      </c>
      <c r="AB260" s="4">
        <f>Games[[#This Row],[PreGmRate]]+Games[[#This Row],[RatingChange]]</f>
        <v>1422.1213064732647</v>
      </c>
      <c r="AC260" s="2">
        <f>IF(Games[[#This Row],[Type]]="R",IF(Games[[#This Row],[Result]]&gt;0.5,1,0),0)</f>
        <v>1</v>
      </c>
      <c r="AD260" s="2">
        <f>IF(Games[[#This Row],[Type]]="R",IF(Games[[#This Row],[Result]]&lt;0.5,1,0),0)</f>
        <v>0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45483</v>
      </c>
      <c r="B261" s="2">
        <v>2024</v>
      </c>
      <c r="C261" s="2">
        <f>COUNTIFS(Games[Team],Games[[#This Row],[Team]],Games[Season],Games[[#This Row],[Season]],Games[Date],"&lt;=" &amp; Games[[#This Row],[Date]])</f>
        <v>23</v>
      </c>
      <c r="D261" s="2" t="s">
        <v>79</v>
      </c>
      <c r="E261" s="2" t="s">
        <v>80</v>
      </c>
      <c r="F261" s="1" t="s">
        <v>69</v>
      </c>
      <c r="G261" s="1" t="s">
        <v>65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1" s="2">
        <f>Games[[#This Row],[DaysOff]]-Games[[#This Row],[OppDaysOff]]</f>
        <v>0</v>
      </c>
      <c r="L261" s="2">
        <f>Games[[#This Row],[OppDaysOff]]-Games[[#This Row],[DaysOff]]</f>
        <v>0</v>
      </c>
      <c r="M261" s="1">
        <f>MAX(-16, MIN(16, Games[[#This Row],[RestDiff]]*8))</f>
        <v>0</v>
      </c>
      <c r="N261" s="1">
        <f>MAX(-16, MIN(16, Games[[#This Row],[OppRestDiff]]*8))</f>
        <v>0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1444.0265074937302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1406.529212951652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0.66805354420352303</v>
      </c>
      <c r="R261" s="1">
        <v>84</v>
      </c>
      <c r="S261" s="1">
        <v>89</v>
      </c>
      <c r="T261" s="1">
        <v>0</v>
      </c>
      <c r="U261" s="1">
        <f>Games[[#This Row],[PointsFor]]-Games[[#This Row],[PointsAgainst]]</f>
        <v>-5</v>
      </c>
      <c r="V261" s="1">
        <f>IF(Games[[#This Row],[MOV]]&gt;0,1,IF(Games[[#This Row],[MOV]]=0,0.5,0))</f>
        <v>0</v>
      </c>
      <c r="W261" s="4">
        <f>((ABS(Games[[#This Row],[MOV]])+5)^0.6)/(12+0.01*(ABS(Games[[#This Row],[PreGmRate]]-Games[[#This Row],[OppPreGmRate]])))*IF(Games[[#This Row],[OT]]=1,0.9,1)</f>
        <v>0.32170346740096295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1" s="9">
        <f>MAX(kmin, kmax - 0.15 * MIN(Games[[#This Row],[GamesPlayed]], 82))</f>
        <v>72.55</v>
      </c>
      <c r="Z261" s="4">
        <f>Games[[#This Row],[K]]*Games[[#This Row],[POMult]]</f>
        <v>72.55</v>
      </c>
      <c r="AA261" s="4">
        <f>(Games[[#This Row],[Keff]]*Games[[#This Row],[MOVMult]])*(Games[[#This Row],[Result]]-Games[[#This Row],[ExpectedWin%]])</f>
        <v>-15.592093521612735</v>
      </c>
      <c r="AB261" s="4">
        <f>Games[[#This Row],[PreGmRate]]+Games[[#This Row],[RatingChange]]</f>
        <v>1428.4344139721175</v>
      </c>
      <c r="AC261" s="2">
        <f>IF(Games[[#This Row],[Type]]="R",IF(Games[[#This Row],[Result]]&gt;0.5,1,0),0)</f>
        <v>0</v>
      </c>
      <c r="AD261" s="2">
        <f>IF(Games[[#This Row],[Type]]="R",IF(Games[[#This Row],[Result]]&lt;0.5,1,0),0)</f>
        <v>1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45483</v>
      </c>
      <c r="B262" s="2">
        <v>2024</v>
      </c>
      <c r="C262" s="2">
        <f>COUNTIFS(Games[Team],Games[[#This Row],[Team]],Games[Season],Games[[#This Row],[Season]],Games[Date],"&lt;=" &amp; Games[[#This Row],[Date]])</f>
        <v>23</v>
      </c>
      <c r="D262" s="2" t="s">
        <v>79</v>
      </c>
      <c r="E262" s="2" t="s">
        <v>80</v>
      </c>
      <c r="F262" s="1" t="s">
        <v>85</v>
      </c>
      <c r="G262" s="1" t="s">
        <v>40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2" s="2">
        <f>Games[[#This Row],[DaysOff]]-Games[[#This Row],[OppDaysOff]]</f>
        <v>0</v>
      </c>
      <c r="L262" s="2">
        <f>Games[[#This Row],[OppDaysOff]]-Games[[#This Row],[DaysOff]]</f>
        <v>0</v>
      </c>
      <c r="M262" s="1">
        <f>MAX(-16, MIN(16, Games[[#This Row],[RestDiff]]*8))</f>
        <v>0</v>
      </c>
      <c r="N262" s="1">
        <f>MAX(-16, MIN(16, Games[[#This Row],[OppRestDiff]]*8))</f>
        <v>0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1382.3397940841269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1461.3708943648696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0.28120698190249133</v>
      </c>
      <c r="R262" s="1">
        <v>84</v>
      </c>
      <c r="S262" s="1">
        <v>100</v>
      </c>
      <c r="T262" s="1">
        <v>0</v>
      </c>
      <c r="U262" s="1">
        <f>Games[[#This Row],[PointsFor]]-Games[[#This Row],[PointsAgainst]]</f>
        <v>-16</v>
      </c>
      <c r="V262" s="1">
        <f>IF(Games[[#This Row],[MOV]]&gt;0,1,IF(Games[[#This Row],[MOV]]=0,0.5,0))</f>
        <v>0</v>
      </c>
      <c r="W262" s="4">
        <f>((ABS(Games[[#This Row],[MOV]])+5)^0.6)/(12+0.01*(ABS(Games[[#This Row],[PreGmRate]]-Games[[#This Row],[OppPreGmRate]])))*IF(Games[[#This Row],[OT]]=1,0.9,1)</f>
        <v>0.48579212702466079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2" s="9">
        <f>MAX(kmin, kmax - 0.15 * MIN(Games[[#This Row],[GamesPlayed]], 82))</f>
        <v>72.55</v>
      </c>
      <c r="Z262" s="4">
        <f>Games[[#This Row],[K]]*Games[[#This Row],[POMult]]</f>
        <v>72.55</v>
      </c>
      <c r="AA262" s="4">
        <f>(Games[[#This Row],[Keff]]*Games[[#This Row],[MOVMult]])*(Games[[#This Row],[Result]]-Games[[#This Row],[ExpectedWin%]])</f>
        <v>-9.9109204026568793</v>
      </c>
      <c r="AB262" s="4">
        <f>Games[[#This Row],[PreGmRate]]+Games[[#This Row],[RatingChange]]</f>
        <v>1372.4288736814699</v>
      </c>
      <c r="AC262" s="2">
        <f>IF(Games[[#This Row],[Type]]="R",IF(Games[[#This Row],[Result]]&gt;0.5,1,0),0)</f>
        <v>0</v>
      </c>
      <c r="AD262" s="2">
        <f>IF(Games[[#This Row],[Type]]="R",IF(Games[[#This Row],[Result]]&lt;0.5,1,0),0)</f>
        <v>1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45483</v>
      </c>
      <c r="B263" s="2">
        <v>2024</v>
      </c>
      <c r="C263" s="2">
        <f>COUNTIFS(Games[Team],Games[[#This Row],[Team]],Games[Season],Games[[#This Row],[Season]],Games[Date],"&lt;=" &amp; Games[[#This Row],[Date]])</f>
        <v>22</v>
      </c>
      <c r="D263" s="2" t="s">
        <v>79</v>
      </c>
      <c r="E263" s="2" t="s">
        <v>80</v>
      </c>
      <c r="F263" s="1" t="s">
        <v>40</v>
      </c>
      <c r="G263" s="1" t="s">
        <v>85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3" s="2">
        <f>Games[[#This Row],[DaysOff]]-Games[[#This Row],[OppDaysOff]]</f>
        <v>0</v>
      </c>
      <c r="L263" s="2">
        <f>Games[[#This Row],[OppDaysOff]]-Games[[#This Row],[DaysOff]]</f>
        <v>0</v>
      </c>
      <c r="M263" s="1">
        <f>MAX(-16, MIN(16, Games[[#This Row],[RestDiff]]*8))</f>
        <v>0</v>
      </c>
      <c r="N263" s="1">
        <f>MAX(-16, MIN(16, Games[[#This Row],[OppRestDiff]]*8))</f>
        <v>0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1461.3708943648696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1382.3397940841269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0.71879301809750862</v>
      </c>
      <c r="R263" s="1">
        <v>100</v>
      </c>
      <c r="S263" s="1">
        <v>84</v>
      </c>
      <c r="T263" s="1">
        <v>0</v>
      </c>
      <c r="U263" s="1">
        <f>Games[[#This Row],[PointsFor]]-Games[[#This Row],[PointsAgainst]]</f>
        <v>16</v>
      </c>
      <c r="V263" s="1">
        <f>IF(Games[[#This Row],[MOV]]&gt;0,1,IF(Games[[#This Row],[MOV]]=0,0.5,0))</f>
        <v>1</v>
      </c>
      <c r="W263" s="4">
        <f>((ABS(Games[[#This Row],[MOV]])+5)^0.6)/(12+0.01*(ABS(Games[[#This Row],[PreGmRate]]-Games[[#This Row],[OppPreGmRate]])))*IF(Games[[#This Row],[OT]]=1,0.9,1)</f>
        <v>0.48579212702466079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3" s="9">
        <f>MAX(kmin, kmax - 0.15 * MIN(Games[[#This Row],[GamesPlayed]], 82))</f>
        <v>72.7</v>
      </c>
      <c r="Z263" s="4">
        <f>Games[[#This Row],[K]]*Games[[#This Row],[POMult]]</f>
        <v>72.7</v>
      </c>
      <c r="AA263" s="4">
        <f>(Games[[#This Row],[Keff]]*Games[[#This Row],[MOVMult]])*(Games[[#This Row],[Result]]-Games[[#This Row],[ExpectedWin%]])</f>
        <v>9.9314116233377714</v>
      </c>
      <c r="AB263" s="4">
        <f>Games[[#This Row],[PreGmRate]]+Games[[#This Row],[RatingChange]]</f>
        <v>1471.3023059882073</v>
      </c>
      <c r="AC263" s="2">
        <f>IF(Games[[#This Row],[Type]]="R",IF(Games[[#This Row],[Result]]&gt;0.5,1,0),0)</f>
        <v>1</v>
      </c>
      <c r="AD263" s="2">
        <f>IF(Games[[#This Row],[Type]]="R",IF(Games[[#This Row],[Result]]&lt;0.5,1,0),0)</f>
        <v>0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45483</v>
      </c>
      <c r="B264" s="2">
        <v>2024</v>
      </c>
      <c r="C264" s="2">
        <f>COUNTIFS(Games[Team],Games[[#This Row],[Team]],Games[Season],Games[[#This Row],[Season]],Games[Date],"&lt;=" &amp; Games[[#This Row],[Date]])</f>
        <v>21</v>
      </c>
      <c r="D264" s="2" t="s">
        <v>79</v>
      </c>
      <c r="E264" s="2" t="s">
        <v>80</v>
      </c>
      <c r="F264" s="1" t="s">
        <v>86</v>
      </c>
      <c r="G264" s="1" t="s">
        <v>71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4" s="2">
        <f>Games[[#This Row],[DaysOff]]-Games[[#This Row],[OppDaysOff]]</f>
        <v>0</v>
      </c>
      <c r="L264" s="2">
        <f>Games[[#This Row],[OppDaysOff]]-Games[[#This Row],[DaysOff]]</f>
        <v>0</v>
      </c>
      <c r="M264" s="1">
        <f>MAX(-16, MIN(16, Games[[#This Row],[RestDiff]]*8))</f>
        <v>0</v>
      </c>
      <c r="N264" s="1">
        <f>MAX(-16, MIN(16, Games[[#This Row],[OppRestDiff]]*8))</f>
        <v>0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1629.8021764890418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1550.5523873087852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0.4931643230351006</v>
      </c>
      <c r="R264" s="1">
        <v>84</v>
      </c>
      <c r="S264" s="1">
        <v>79</v>
      </c>
      <c r="T264" s="1">
        <v>0</v>
      </c>
      <c r="U264" s="1">
        <f>Games[[#This Row],[PointsFor]]-Games[[#This Row],[PointsAgainst]]</f>
        <v>5</v>
      </c>
      <c r="V264" s="1">
        <f>IF(Games[[#This Row],[MOV]]&gt;0,1,IF(Games[[#This Row],[MOV]]=0,0.5,0))</f>
        <v>1</v>
      </c>
      <c r="W264" s="4">
        <f>((ABS(Games[[#This Row],[MOV]])+5)^0.6)/(12+0.01*(ABS(Games[[#This Row],[PreGmRate]]-Games[[#This Row],[OppPreGmRate]])))*IF(Games[[#This Row],[OT]]=1,0.9,1)</f>
        <v>0.31120362412457725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4" s="9">
        <f>MAX(kmin, kmax - 0.15 * MIN(Games[[#This Row],[GamesPlayed]], 82))</f>
        <v>72.849999999999994</v>
      </c>
      <c r="Z264" s="4">
        <f>Games[[#This Row],[K]]*Games[[#This Row],[POMult]]</f>
        <v>72.849999999999994</v>
      </c>
      <c r="AA264" s="4">
        <f>(Games[[#This Row],[Keff]]*Games[[#This Row],[MOVMult]])*(Games[[#This Row],[Result]]-Games[[#This Row],[ExpectedWin%]])</f>
        <v>11.490564899092977</v>
      </c>
      <c r="AB264" s="4">
        <f>Games[[#This Row],[PreGmRate]]+Games[[#This Row],[RatingChange]]</f>
        <v>1641.2927413881348</v>
      </c>
      <c r="AC264" s="2">
        <f>IF(Games[[#This Row],[Type]]="R",IF(Games[[#This Row],[Result]]&gt;0.5,1,0),0)</f>
        <v>1</v>
      </c>
      <c r="AD264" s="2">
        <f>IF(Games[[#This Row],[Type]]="R",IF(Games[[#This Row],[Result]]&lt;0.5,1,0),0)</f>
        <v>0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45483</v>
      </c>
      <c r="B265" s="2">
        <v>2024</v>
      </c>
      <c r="C265" s="2">
        <f>COUNTIFS(Games[Team],Games[[#This Row],[Team]],Games[Season],Games[[#This Row],[Season]],Games[Date],"&lt;=" &amp; Games[[#This Row],[Date]])</f>
        <v>22</v>
      </c>
      <c r="D265" s="2" t="s">
        <v>79</v>
      </c>
      <c r="E265" s="2" t="s">
        <v>80</v>
      </c>
      <c r="F265" s="1" t="s">
        <v>71</v>
      </c>
      <c r="G265" s="1" t="s">
        <v>86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5" s="2">
        <f>Games[[#This Row],[DaysOff]]-Games[[#This Row],[OppDaysOff]]</f>
        <v>0</v>
      </c>
      <c r="L265" s="2">
        <f>Games[[#This Row],[OppDaysOff]]-Games[[#This Row],[DaysOff]]</f>
        <v>0</v>
      </c>
      <c r="M265" s="1">
        <f>MAX(-16, MIN(16, Games[[#This Row],[RestDiff]]*8))</f>
        <v>0</v>
      </c>
      <c r="N265" s="1">
        <f>MAX(-16, MIN(16, Games[[#This Row],[OppRestDiff]]*8))</f>
        <v>0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1550.5523873087852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1629.8021764890418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0.5068356769648994</v>
      </c>
      <c r="R265" s="1">
        <v>79</v>
      </c>
      <c r="S265" s="1">
        <v>84</v>
      </c>
      <c r="T265" s="1">
        <v>0</v>
      </c>
      <c r="U265" s="1">
        <f>Games[[#This Row],[PointsFor]]-Games[[#This Row],[PointsAgainst]]</f>
        <v>-5</v>
      </c>
      <c r="V265" s="1">
        <f>IF(Games[[#This Row],[MOV]]&gt;0,1,IF(Games[[#This Row],[MOV]]=0,0.5,0))</f>
        <v>0</v>
      </c>
      <c r="W265" s="4">
        <f>((ABS(Games[[#This Row],[MOV]])+5)^0.6)/(12+0.01*(ABS(Games[[#This Row],[PreGmRate]]-Games[[#This Row],[OppPreGmRate]])))*IF(Games[[#This Row],[OT]]=1,0.9,1)</f>
        <v>0.31120362412457725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5" s="9">
        <f>MAX(kmin, kmax - 0.15 * MIN(Games[[#This Row],[GamesPlayed]], 82))</f>
        <v>72.7</v>
      </c>
      <c r="Z265" s="4">
        <f>Games[[#This Row],[K]]*Games[[#This Row],[POMult]]</f>
        <v>72.7</v>
      </c>
      <c r="AA265" s="4">
        <f>(Games[[#This Row],[Keff]]*Games[[#This Row],[MOVMult]])*(Games[[#This Row],[Result]]-Games[[#This Row],[ExpectedWin%]])</f>
        <v>-11.466905534166912</v>
      </c>
      <c r="AB265" s="4">
        <f>Games[[#This Row],[PreGmRate]]+Games[[#This Row],[RatingChange]]</f>
        <v>1539.0854817746183</v>
      </c>
      <c r="AC265" s="2">
        <f>IF(Games[[#This Row],[Type]]="R",IF(Games[[#This Row],[Result]]&gt;0.5,1,0),0)</f>
        <v>0</v>
      </c>
      <c r="AD265" s="2">
        <f>IF(Games[[#This Row],[Type]]="R",IF(Games[[#This Row],[Result]]&lt;0.5,1,0),0)</f>
        <v>1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45484</v>
      </c>
      <c r="B266" s="2">
        <v>2024</v>
      </c>
      <c r="C266" s="2">
        <f>COUNTIFS(Games[Team],Games[[#This Row],[Team]],Games[Season],Games[[#This Row],[Season]],Games[Date],"&lt;=" &amp; Games[[#This Row],[Date]])</f>
        <v>22</v>
      </c>
      <c r="D266" s="2" t="s">
        <v>79</v>
      </c>
      <c r="E266" s="2" t="s">
        <v>80</v>
      </c>
      <c r="F266" s="1" t="s">
        <v>75</v>
      </c>
      <c r="G266" s="1" t="s">
        <v>60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0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66" s="2">
        <f>Games[[#This Row],[DaysOff]]-Games[[#This Row],[OppDaysOff]]</f>
        <v>0</v>
      </c>
      <c r="L266" s="2">
        <f>Games[[#This Row],[OppDaysOff]]-Games[[#This Row],[DaysOff]]</f>
        <v>0</v>
      </c>
      <c r="M266" s="1">
        <f>MAX(-16, MIN(16, Games[[#This Row],[RestDiff]]*8))</f>
        <v>0</v>
      </c>
      <c r="N266" s="1">
        <f>MAX(-16, MIN(16, Games[[#This Row],[OppRestDiff]]*8))</f>
        <v>0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1470.636598436392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1685.6214836116064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0.15173012957250481</v>
      </c>
      <c r="R266" s="1">
        <v>76</v>
      </c>
      <c r="S266" s="1">
        <v>91</v>
      </c>
      <c r="T266" s="1">
        <v>0</v>
      </c>
      <c r="U266" s="1">
        <f>Games[[#This Row],[PointsFor]]-Games[[#This Row],[PointsAgainst]]</f>
        <v>-15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0.426448112609907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6" s="9">
        <f>MAX(kmin, kmax - 0.15 * MIN(Games[[#This Row],[GamesPlayed]], 82))</f>
        <v>72.7</v>
      </c>
      <c r="Z266" s="4">
        <f>Games[[#This Row],[K]]*Games[[#This Row],[POMult]]</f>
        <v>72.7</v>
      </c>
      <c r="AA266" s="4">
        <f>(Games[[#This Row],[Keff]]*Games[[#This Row],[MOVMult]])*(Games[[#This Row],[Result]]-Games[[#This Row],[ExpectedWin%]])</f>
        <v>-4.7040554906896705</v>
      </c>
      <c r="AB266" s="4">
        <f>Games[[#This Row],[PreGmRate]]+Games[[#This Row],[RatingChange]]</f>
        <v>1465.9325429457024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45484</v>
      </c>
      <c r="B267" s="2">
        <v>2024</v>
      </c>
      <c r="C267" s="2">
        <f>COUNTIFS(Games[Team],Games[[#This Row],[Team]],Games[Season],Games[[#This Row],[Season]],Games[Date],"&lt;=" &amp; Games[[#This Row],[Date]])</f>
        <v>23</v>
      </c>
      <c r="D267" s="2" t="s">
        <v>79</v>
      </c>
      <c r="E267" s="2" t="s">
        <v>80</v>
      </c>
      <c r="F267" s="1" t="s">
        <v>60</v>
      </c>
      <c r="G267" s="1" t="s">
        <v>75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0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67" s="2">
        <f>Games[[#This Row],[DaysOff]]-Games[[#This Row],[OppDaysOff]]</f>
        <v>0</v>
      </c>
      <c r="L267" s="2">
        <f>Games[[#This Row],[OppDaysOff]]-Games[[#This Row],[DaysOff]]</f>
        <v>0</v>
      </c>
      <c r="M267" s="1">
        <f>MAX(-16, MIN(16, Games[[#This Row],[RestDiff]]*8))</f>
        <v>0</v>
      </c>
      <c r="N267" s="1">
        <f>MAX(-16, MIN(16, Games[[#This Row],[OppRestDiff]]*8))</f>
        <v>0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1685.6214836116064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1470.636598436392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0.84826987042749513</v>
      </c>
      <c r="R267" s="1">
        <v>91</v>
      </c>
      <c r="S267" s="1">
        <v>76</v>
      </c>
      <c r="T267" s="1">
        <v>0</v>
      </c>
      <c r="U267" s="1">
        <f>Games[[#This Row],[PointsFor]]-Games[[#This Row],[PointsAgainst]]</f>
        <v>15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0.426448112609907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7" s="9">
        <f>MAX(kmin, kmax - 0.15 * MIN(Games[[#This Row],[GamesPlayed]], 82))</f>
        <v>72.55</v>
      </c>
      <c r="Z267" s="4">
        <f>Games[[#This Row],[K]]*Games[[#This Row],[POMult]]</f>
        <v>72.55</v>
      </c>
      <c r="AA267" s="4">
        <f>(Games[[#This Row],[Keff]]*Games[[#This Row],[MOVMult]])*(Games[[#This Row],[Result]]-Games[[#This Row],[ExpectedWin%]])</f>
        <v>4.6943497365823346</v>
      </c>
      <c r="AB267" s="4">
        <f>Games[[#This Row],[PreGmRate]]+Games[[#This Row],[RatingChange]]</f>
        <v>1690.3158333481888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45485</v>
      </c>
      <c r="B268" s="2">
        <v>2024</v>
      </c>
      <c r="C268" s="2">
        <f>COUNTIFS(Games[Team],Games[[#This Row],[Team]],Games[Season],Games[[#This Row],[Season]],Games[Date],"&lt;=" &amp; Games[[#This Row],[Date]])</f>
        <v>22</v>
      </c>
      <c r="D268" s="2" t="s">
        <v>79</v>
      </c>
      <c r="E268" s="2" t="s">
        <v>80</v>
      </c>
      <c r="F268" s="1" t="s">
        <v>86</v>
      </c>
      <c r="G268" s="1" t="s">
        <v>77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8" s="2">
        <f>Games[[#This Row],[DaysOff]]-Games[[#This Row],[OppDaysOff]]</f>
        <v>0</v>
      </c>
      <c r="L268" s="2">
        <f>Games[[#This Row],[OppDaysOff]]-Games[[#This Row],[DaysOff]]</f>
        <v>0</v>
      </c>
      <c r="M268" s="1">
        <f>MAX(-16, MIN(16, Games[[#This Row],[RestDiff]]*8))</f>
        <v>0</v>
      </c>
      <c r="N268" s="1">
        <f>MAX(-16, MIN(16, Games[[#This Row],[OppRestDiff]]*8))</f>
        <v>0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1641.2927413881348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1386.3387060959249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0.72791911307616142</v>
      </c>
      <c r="R268" s="1">
        <v>84</v>
      </c>
      <c r="S268" s="1">
        <v>70</v>
      </c>
      <c r="T268" s="1">
        <v>0</v>
      </c>
      <c r="U268" s="1">
        <f>Games[[#This Row],[PointsFor]]-Games[[#This Row],[PointsAgainst]]</f>
        <v>14</v>
      </c>
      <c r="V268" s="1">
        <f>IF(Games[[#This Row],[MOV]]&gt;0,1,IF(Games[[#This Row],[MOV]]=0,0.5,0))</f>
        <v>1</v>
      </c>
      <c r="W268" s="4">
        <f>((ABS(Games[[#This Row],[MOV]])+5)^0.6)/(12+0.01*(ABS(Games[[#This Row],[PreGmRate]]-Games[[#This Row],[OppPreGmRate]])))*IF(Games[[#This Row],[OT]]=1,0.9,1)</f>
        <v>0.40216371792350492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8" s="9">
        <f>MAX(kmin, kmax - 0.15 * MIN(Games[[#This Row],[GamesPlayed]], 82))</f>
        <v>72.7</v>
      </c>
      <c r="Z268" s="4">
        <f>Games[[#This Row],[K]]*Games[[#This Row],[POMult]]</f>
        <v>72.7</v>
      </c>
      <c r="AA268" s="4">
        <f>(Games[[#This Row],[Keff]]*Games[[#This Row],[MOVMult]])*(Games[[#This Row],[Result]]-Games[[#This Row],[ExpectedWin%]])</f>
        <v>7.9549111391503784</v>
      </c>
      <c r="AB268" s="4">
        <f>Games[[#This Row],[PreGmRate]]+Games[[#This Row],[RatingChange]]</f>
        <v>1649.2476525272853</v>
      </c>
      <c r="AC268" s="2">
        <f>IF(Games[[#This Row],[Type]]="R",IF(Games[[#This Row],[Result]]&gt;0.5,1,0),0)</f>
        <v>1</v>
      </c>
      <c r="AD268" s="2">
        <f>IF(Games[[#This Row],[Type]]="R",IF(Games[[#This Row],[Result]]&lt;0.5,1,0),0)</f>
        <v>0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45485</v>
      </c>
      <c r="B269" s="2">
        <v>2024</v>
      </c>
      <c r="C269" s="2">
        <f>COUNTIFS(Games[Team],Games[[#This Row],[Team]],Games[Season],Games[[#This Row],[Season]],Games[Date],"&lt;=" &amp; Games[[#This Row],[Date]])</f>
        <v>22</v>
      </c>
      <c r="D269" s="2" t="s">
        <v>79</v>
      </c>
      <c r="E269" s="2" t="s">
        <v>80</v>
      </c>
      <c r="F269" s="1" t="s">
        <v>77</v>
      </c>
      <c r="G269" s="1" t="s">
        <v>86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9" s="2">
        <f>Games[[#This Row],[DaysOff]]-Games[[#This Row],[OppDaysOff]]</f>
        <v>0</v>
      </c>
      <c r="L269" s="2">
        <f>Games[[#This Row],[OppDaysOff]]-Games[[#This Row],[DaysOff]]</f>
        <v>0</v>
      </c>
      <c r="M269" s="1">
        <f>MAX(-16, MIN(16, Games[[#This Row],[RestDiff]]*8))</f>
        <v>0</v>
      </c>
      <c r="N269" s="1">
        <f>MAX(-16, MIN(16, Games[[#This Row],[OppRestDiff]]*8))</f>
        <v>0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1386.3387060959249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1641.2927413881348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0.27208088692383853</v>
      </c>
      <c r="R269" s="1">
        <v>70</v>
      </c>
      <c r="S269" s="1">
        <v>84</v>
      </c>
      <c r="T269" s="1">
        <v>0</v>
      </c>
      <c r="U269" s="1">
        <f>Games[[#This Row],[PointsFor]]-Games[[#This Row],[PointsAgainst]]</f>
        <v>-14</v>
      </c>
      <c r="V269" s="1">
        <f>IF(Games[[#This Row],[MOV]]&gt;0,1,IF(Games[[#This Row],[MOV]]=0,0.5,0))</f>
        <v>0</v>
      </c>
      <c r="W269" s="4">
        <f>((ABS(Games[[#This Row],[MOV]])+5)^0.6)/(12+0.01*(ABS(Games[[#This Row],[PreGmRate]]-Games[[#This Row],[OppPreGmRate]])))*IF(Games[[#This Row],[OT]]=1,0.9,1)</f>
        <v>0.40216371792350492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9" s="9">
        <f>MAX(kmin, kmax - 0.15 * MIN(Games[[#This Row],[GamesPlayed]], 82))</f>
        <v>72.7</v>
      </c>
      <c r="Z269" s="4">
        <f>Games[[#This Row],[K]]*Games[[#This Row],[POMult]]</f>
        <v>72.7</v>
      </c>
      <c r="AA269" s="4">
        <f>(Games[[#This Row],[Keff]]*Games[[#This Row],[MOVMult]])*(Games[[#This Row],[Result]]-Games[[#This Row],[ExpectedWin%]])</f>
        <v>-7.9549111391503766</v>
      </c>
      <c r="AB269" s="4">
        <f>Games[[#This Row],[PreGmRate]]+Games[[#This Row],[RatingChange]]</f>
        <v>1378.3837949567744</v>
      </c>
      <c r="AC269" s="2">
        <f>IF(Games[[#This Row],[Type]]="R",IF(Games[[#This Row],[Result]]&gt;0.5,1,0),0)</f>
        <v>0</v>
      </c>
      <c r="AD269" s="2">
        <f>IF(Games[[#This Row],[Type]]="R",IF(Games[[#This Row],[Result]]&lt;0.5,1,0),0)</f>
        <v>1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45485</v>
      </c>
      <c r="B270" s="2">
        <v>2024</v>
      </c>
      <c r="C270" s="2">
        <f>COUNTIFS(Games[Team],Games[[#This Row],[Team]],Games[Season],Games[[#This Row],[Season]],Games[Date],"&lt;=" &amp; Games[[#This Row],[Date]])</f>
        <v>23</v>
      </c>
      <c r="D270" s="2" t="s">
        <v>79</v>
      </c>
      <c r="E270" s="2" t="s">
        <v>80</v>
      </c>
      <c r="F270" s="1" t="s">
        <v>40</v>
      </c>
      <c r="G270" s="1" t="s">
        <v>69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0" s="2">
        <f>Games[[#This Row],[DaysOff]]-Games[[#This Row],[OppDaysOff]]</f>
        <v>0</v>
      </c>
      <c r="L270" s="2">
        <f>Games[[#This Row],[OppDaysOff]]-Games[[#This Row],[DaysOff]]</f>
        <v>0</v>
      </c>
      <c r="M270" s="1">
        <f>MAX(-16, MIN(16, Games[[#This Row],[RestDiff]]*8))</f>
        <v>0</v>
      </c>
      <c r="N270" s="1">
        <f>MAX(-16, MIN(16, Games[[#This Row],[OppRestDiff]]*8))</f>
        <v>0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1471.3023059882073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1428.4344139721175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0.44108114354805067</v>
      </c>
      <c r="R270" s="1">
        <v>86</v>
      </c>
      <c r="S270" s="1">
        <v>95</v>
      </c>
      <c r="T270" s="1">
        <v>0</v>
      </c>
      <c r="U270" s="1">
        <f>Games[[#This Row],[PointsFor]]-Games[[#This Row],[PointsAgainst]]</f>
        <v>-9</v>
      </c>
      <c r="V270" s="1">
        <f>IF(Games[[#This Row],[MOV]]&gt;0,1,IF(Games[[#This Row],[MOV]]=0,0.5,0))</f>
        <v>0</v>
      </c>
      <c r="W270" s="4">
        <f>((ABS(Games[[#This Row],[MOV]])+5)^0.6)/(12+0.01*(ABS(Games[[#This Row],[PreGmRate]]-Games[[#This Row],[OppPreGmRate]])))*IF(Games[[#This Row],[OT]]=1,0.9,1)</f>
        <v>0.39196911892739172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0" s="9">
        <f>MAX(kmin, kmax - 0.15 * MIN(Games[[#This Row],[GamesPlayed]], 82))</f>
        <v>72.55</v>
      </c>
      <c r="Z270" s="4">
        <f>Games[[#This Row],[K]]*Games[[#This Row],[POMult]]</f>
        <v>72.55</v>
      </c>
      <c r="AA270" s="4">
        <f>(Games[[#This Row],[Keff]]*Games[[#This Row],[MOVMult]])*(Games[[#This Row],[Result]]-Games[[#This Row],[ExpectedWin%]])</f>
        <v>-12.543183082231746</v>
      </c>
      <c r="AB270" s="4">
        <f>Games[[#This Row],[PreGmRate]]+Games[[#This Row],[RatingChange]]</f>
        <v>1458.7591229059756</v>
      </c>
      <c r="AC270" s="2">
        <f>IF(Games[[#This Row],[Type]]="R",IF(Games[[#This Row],[Result]]&gt;0.5,1,0),0)</f>
        <v>0</v>
      </c>
      <c r="AD270" s="2">
        <f>IF(Games[[#This Row],[Type]]="R",IF(Games[[#This Row],[Result]]&lt;0.5,1,0),0)</f>
        <v>1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45485</v>
      </c>
      <c r="B271" s="2">
        <v>2024</v>
      </c>
      <c r="C271" s="2">
        <f>COUNTIFS(Games[Team],Games[[#This Row],[Team]],Games[Season],Games[[#This Row],[Season]],Games[Date],"&lt;=" &amp; Games[[#This Row],[Date]])</f>
        <v>24</v>
      </c>
      <c r="D271" s="2" t="s">
        <v>79</v>
      </c>
      <c r="E271" s="2" t="s">
        <v>80</v>
      </c>
      <c r="F271" s="1" t="s">
        <v>69</v>
      </c>
      <c r="G271" s="1" t="s">
        <v>40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1" s="2">
        <f>Games[[#This Row],[DaysOff]]-Games[[#This Row],[OppDaysOff]]</f>
        <v>0</v>
      </c>
      <c r="L271" s="2">
        <f>Games[[#This Row],[OppDaysOff]]-Games[[#This Row],[DaysOff]]</f>
        <v>0</v>
      </c>
      <c r="M271" s="1">
        <f>MAX(-16, MIN(16, Games[[#This Row],[RestDiff]]*8))</f>
        <v>0</v>
      </c>
      <c r="N271" s="1">
        <f>MAX(-16, MIN(16, Games[[#This Row],[OppRestDiff]]*8))</f>
        <v>0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1428.4344139721175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1471.3023059882073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0.55891885645194939</v>
      </c>
      <c r="R271" s="1">
        <v>95</v>
      </c>
      <c r="S271" s="1">
        <v>86</v>
      </c>
      <c r="T271" s="1">
        <v>0</v>
      </c>
      <c r="U271" s="1">
        <f>Games[[#This Row],[PointsFor]]-Games[[#This Row],[PointsAgainst]]</f>
        <v>9</v>
      </c>
      <c r="V271" s="1">
        <f>IF(Games[[#This Row],[MOV]]&gt;0,1,IF(Games[[#This Row],[MOV]]=0,0.5,0))</f>
        <v>1</v>
      </c>
      <c r="W271" s="4">
        <f>((ABS(Games[[#This Row],[MOV]])+5)^0.6)/(12+0.01*(ABS(Games[[#This Row],[PreGmRate]]-Games[[#This Row],[OppPreGmRate]])))*IF(Games[[#This Row],[OT]]=1,0.9,1)</f>
        <v>0.39196911892739172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1" s="9">
        <f>MAX(kmin, kmax - 0.15 * MIN(Games[[#This Row],[GamesPlayed]], 82))</f>
        <v>72.400000000000006</v>
      </c>
      <c r="Z271" s="4">
        <f>Games[[#This Row],[K]]*Games[[#This Row],[POMult]]</f>
        <v>72.400000000000006</v>
      </c>
      <c r="AA271" s="4">
        <f>(Games[[#This Row],[Keff]]*Games[[#This Row],[MOVMult]])*(Games[[#This Row],[Result]]-Games[[#This Row],[ExpectedWin%]])</f>
        <v>12.517249554149945</v>
      </c>
      <c r="AB271" s="4">
        <f>Games[[#This Row],[PreGmRate]]+Games[[#This Row],[RatingChange]]</f>
        <v>1440.9516635262673</v>
      </c>
      <c r="AC271" s="2">
        <f>IF(Games[[#This Row],[Type]]="R",IF(Games[[#This Row],[Result]]&gt;0.5,1,0),0)</f>
        <v>1</v>
      </c>
      <c r="AD271" s="2">
        <f>IF(Games[[#This Row],[Type]]="R",IF(Games[[#This Row],[Result]]&lt;0.5,1,0),0)</f>
        <v>0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45485</v>
      </c>
      <c r="B272" s="2">
        <v>2024</v>
      </c>
      <c r="C272" s="2">
        <f>COUNTIFS(Games[Team],Games[[#This Row],[Team]],Games[Season],Games[[#This Row],[Season]],Games[Date],"&lt;=" &amp; Games[[#This Row],[Date]])</f>
        <v>23</v>
      </c>
      <c r="D272" s="2" t="s">
        <v>79</v>
      </c>
      <c r="E272" s="2" t="s">
        <v>80</v>
      </c>
      <c r="F272" s="1" t="s">
        <v>67</v>
      </c>
      <c r="G272" s="1" t="s">
        <v>71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2" s="2">
        <f>Games[[#This Row],[DaysOff]]-Games[[#This Row],[OppDaysOff]]</f>
        <v>1</v>
      </c>
      <c r="L272" s="2">
        <f>Games[[#This Row],[OppDaysOff]]-Games[[#This Row],[DaysOff]]</f>
        <v>-1</v>
      </c>
      <c r="M272" s="1">
        <f>MAX(-16, MIN(16, Games[[#This Row],[RestDiff]]*8))</f>
        <v>8</v>
      </c>
      <c r="N272" s="1">
        <f>MAX(-16, MIN(16, Games[[#This Row],[OppRestDiff]]*8))</f>
        <v>-8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1600.4738540737555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1539.0854817746183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0.49048625127134488</v>
      </c>
      <c r="R272" s="1">
        <v>63</v>
      </c>
      <c r="S272" s="1">
        <v>91</v>
      </c>
      <c r="T272" s="1">
        <v>0</v>
      </c>
      <c r="U272" s="1">
        <f>Games[[#This Row],[PointsFor]]-Games[[#This Row],[PointsAgainst]]</f>
        <v>-28</v>
      </c>
      <c r="V272" s="1">
        <f>IF(Games[[#This Row],[MOV]]&gt;0,1,IF(Games[[#This Row],[MOV]]=0,0.5,0))</f>
        <v>0</v>
      </c>
      <c r="W272" s="4">
        <f>((ABS(Games[[#This Row],[MOV]])+5)^0.6)/(12+0.01*(ABS(Games[[#This Row],[PreGmRate]]-Games[[#This Row],[OppPreGmRate]])))*IF(Games[[#This Row],[OT]]=1,0.9,1)</f>
        <v>0.64604019664454948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2" s="9">
        <f>MAX(kmin, kmax - 0.15 * MIN(Games[[#This Row],[GamesPlayed]], 82))</f>
        <v>72.55</v>
      </c>
      <c r="Z272" s="4">
        <f>Games[[#This Row],[K]]*Games[[#This Row],[POMult]]</f>
        <v>72.55</v>
      </c>
      <c r="AA272" s="4">
        <f>(Games[[#This Row],[Keff]]*Games[[#This Row],[MOVMult]])*(Games[[#This Row],[Result]]-Games[[#This Row],[ExpectedWin%]])</f>
        <v>-22.989196672863233</v>
      </c>
      <c r="AB272" s="4">
        <f>Games[[#This Row],[PreGmRate]]+Games[[#This Row],[RatingChange]]</f>
        <v>1577.4846574008923</v>
      </c>
      <c r="AC272" s="2">
        <f>IF(Games[[#This Row],[Type]]="R",IF(Games[[#This Row],[Result]]&gt;0.5,1,0),0)</f>
        <v>0</v>
      </c>
      <c r="AD272" s="2">
        <f>IF(Games[[#This Row],[Type]]="R",IF(Games[[#This Row],[Result]]&lt;0.5,1,0),0)</f>
        <v>1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45485</v>
      </c>
      <c r="B273" s="2">
        <v>2024</v>
      </c>
      <c r="C273" s="2">
        <f>COUNTIFS(Games[Team],Games[[#This Row],[Team]],Games[Season],Games[[#This Row],[Season]],Games[Date],"&lt;=" &amp; Games[[#This Row],[Date]])</f>
        <v>23</v>
      </c>
      <c r="D273" s="2" t="s">
        <v>79</v>
      </c>
      <c r="E273" s="2" t="s">
        <v>80</v>
      </c>
      <c r="F273" s="1" t="s">
        <v>71</v>
      </c>
      <c r="G273" s="1" t="s">
        <v>67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3" s="2">
        <f>Games[[#This Row],[DaysOff]]-Games[[#This Row],[OppDaysOff]]</f>
        <v>-1</v>
      </c>
      <c r="L273" s="2">
        <f>Games[[#This Row],[OppDaysOff]]-Games[[#This Row],[DaysOff]]</f>
        <v>1</v>
      </c>
      <c r="M273" s="1">
        <f>MAX(-16, MIN(16, Games[[#This Row],[RestDiff]]*8))</f>
        <v>-8</v>
      </c>
      <c r="N273" s="1">
        <f>MAX(-16, MIN(16, Games[[#This Row],[OppRestDiff]]*8))</f>
        <v>8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1539.0854817746183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1600.4738540737555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0.50951374872865507</v>
      </c>
      <c r="R273" s="1">
        <v>91</v>
      </c>
      <c r="S273" s="1">
        <v>63</v>
      </c>
      <c r="T273" s="1">
        <v>0</v>
      </c>
      <c r="U273" s="1">
        <f>Games[[#This Row],[PointsFor]]-Games[[#This Row],[PointsAgainst]]</f>
        <v>28</v>
      </c>
      <c r="V273" s="1">
        <f>IF(Games[[#This Row],[MOV]]&gt;0,1,IF(Games[[#This Row],[MOV]]=0,0.5,0))</f>
        <v>1</v>
      </c>
      <c r="W273" s="4">
        <f>((ABS(Games[[#This Row],[MOV]])+5)^0.6)/(12+0.01*(ABS(Games[[#This Row],[PreGmRate]]-Games[[#This Row],[OppPreGmRate]])))*IF(Games[[#This Row],[OT]]=1,0.9,1)</f>
        <v>0.64604019664454948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3" s="9">
        <f>MAX(kmin, kmax - 0.15 * MIN(Games[[#This Row],[GamesPlayed]], 82))</f>
        <v>72.55</v>
      </c>
      <c r="Z273" s="4">
        <f>Games[[#This Row],[K]]*Games[[#This Row],[POMult]]</f>
        <v>72.55</v>
      </c>
      <c r="AA273" s="4">
        <f>(Games[[#This Row],[Keff]]*Games[[#This Row],[MOVMult]])*(Games[[#This Row],[Result]]-Games[[#This Row],[ExpectedWin%]])</f>
        <v>22.989196672863237</v>
      </c>
      <c r="AB273" s="4">
        <f>Games[[#This Row],[PreGmRate]]+Games[[#This Row],[RatingChange]]</f>
        <v>1562.0746784474816</v>
      </c>
      <c r="AC273" s="2">
        <f>IF(Games[[#This Row],[Type]]="R",IF(Games[[#This Row],[Result]]&gt;0.5,1,0),0)</f>
        <v>1</v>
      </c>
      <c r="AD273" s="2">
        <f>IF(Games[[#This Row],[Type]]="R",IF(Games[[#This Row],[Result]]&lt;0.5,1,0),0)</f>
        <v>0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45486</v>
      </c>
      <c r="B274" s="2">
        <v>2024</v>
      </c>
      <c r="C274" s="2">
        <f>COUNTIFS(Games[Team],Games[[#This Row],[Team]],Games[Season],Games[[#This Row],[Season]],Games[Date],"&lt;=" &amp; Games[[#This Row],[Date]])</f>
        <v>24</v>
      </c>
      <c r="D274" s="2" t="s">
        <v>79</v>
      </c>
      <c r="E274" s="2" t="s">
        <v>80</v>
      </c>
      <c r="F274" s="1" t="s">
        <v>60</v>
      </c>
      <c r="G274" s="1" t="s">
        <v>75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4" s="2">
        <f>Games[[#This Row],[DaysOff]]-Games[[#This Row],[OppDaysOff]]</f>
        <v>0</v>
      </c>
      <c r="L274" s="2">
        <f>Games[[#This Row],[OppDaysOff]]-Games[[#This Row],[DaysOff]]</f>
        <v>0</v>
      </c>
      <c r="M274" s="1">
        <f>MAX(-16, MIN(16, Games[[#This Row],[RestDiff]]*8))</f>
        <v>0</v>
      </c>
      <c r="N274" s="1">
        <f>MAX(-16, MIN(16, Games[[#This Row],[OppRestDiff]]*8))</f>
        <v>0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1690.3158333481888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1465.9325429457024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0.69170686211206278</v>
      </c>
      <c r="R274" s="1">
        <v>81</v>
      </c>
      <c r="S274" s="1">
        <v>67</v>
      </c>
      <c r="T274" s="1">
        <v>0</v>
      </c>
      <c r="U274" s="1">
        <f>Games[[#This Row],[PointsFor]]-Games[[#This Row],[PointsAgainst]]</f>
        <v>14</v>
      </c>
      <c r="V274" s="1">
        <f>IF(Games[[#This Row],[MOV]]&gt;0,1,IF(Games[[#This Row],[MOV]]=0,0.5,0))</f>
        <v>1</v>
      </c>
      <c r="W274" s="4">
        <f>((ABS(Games[[#This Row],[MOV]])+5)^0.6)/(12+0.01*(ABS(Games[[#This Row],[PreGmRate]]-Games[[#This Row],[OppPreGmRate]])))*IF(Games[[#This Row],[OT]]=1,0.9,1)</f>
        <v>0.41079513371403148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4" s="9">
        <f>MAX(kmin, kmax - 0.15 * MIN(Games[[#This Row],[GamesPlayed]], 82))</f>
        <v>72.400000000000006</v>
      </c>
      <c r="Z274" s="4">
        <f>Games[[#This Row],[K]]*Games[[#This Row],[POMult]]</f>
        <v>72.400000000000006</v>
      </c>
      <c r="AA274" s="4">
        <f>(Games[[#This Row],[Keff]]*Games[[#This Row],[MOVMult]])*(Games[[#This Row],[Result]]-Games[[#This Row],[ExpectedWin%]])</f>
        <v>9.1691212260498514</v>
      </c>
      <c r="AB274" s="4">
        <f>Games[[#This Row],[PreGmRate]]+Games[[#This Row],[RatingChange]]</f>
        <v>1699.4849545742386</v>
      </c>
      <c r="AC274" s="2">
        <f>IF(Games[[#This Row],[Type]]="R",IF(Games[[#This Row],[Result]]&gt;0.5,1,0),0)</f>
        <v>1</v>
      </c>
      <c r="AD274" s="2">
        <f>IF(Games[[#This Row],[Type]]="R",IF(Games[[#This Row],[Result]]&lt;0.5,1,0),0)</f>
        <v>0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45486</v>
      </c>
      <c r="B275" s="2">
        <v>2024</v>
      </c>
      <c r="C275" s="2">
        <f>COUNTIFS(Games[Team],Games[[#This Row],[Team]],Games[Season],Games[[#This Row],[Season]],Games[Date],"&lt;=" &amp; Games[[#This Row],[Date]])</f>
        <v>23</v>
      </c>
      <c r="D275" s="2" t="s">
        <v>79</v>
      </c>
      <c r="E275" s="2" t="s">
        <v>80</v>
      </c>
      <c r="F275" s="1" t="s">
        <v>75</v>
      </c>
      <c r="G275" s="1" t="s">
        <v>60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5" s="2">
        <f>Games[[#This Row],[DaysOff]]-Games[[#This Row],[OppDaysOff]]</f>
        <v>0</v>
      </c>
      <c r="L275" s="2">
        <f>Games[[#This Row],[OppDaysOff]]-Games[[#This Row],[DaysOff]]</f>
        <v>0</v>
      </c>
      <c r="M275" s="1">
        <f>MAX(-16, MIN(16, Games[[#This Row],[RestDiff]]*8))</f>
        <v>0</v>
      </c>
      <c r="N275" s="1">
        <f>MAX(-16, MIN(16, Games[[#This Row],[OppRestDiff]]*8))</f>
        <v>0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1465.9325429457024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1690.3158333481888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0.30829313788793722</v>
      </c>
      <c r="R275" s="1">
        <v>67</v>
      </c>
      <c r="S275" s="1">
        <v>81</v>
      </c>
      <c r="T275" s="1">
        <v>0</v>
      </c>
      <c r="U275" s="1">
        <f>Games[[#This Row],[PointsFor]]-Games[[#This Row],[PointsAgainst]]</f>
        <v>-14</v>
      </c>
      <c r="V275" s="1">
        <f>IF(Games[[#This Row],[MOV]]&gt;0,1,IF(Games[[#This Row],[MOV]]=0,0.5,0))</f>
        <v>0</v>
      </c>
      <c r="W275" s="4">
        <f>((ABS(Games[[#This Row],[MOV]])+5)^0.6)/(12+0.01*(ABS(Games[[#This Row],[PreGmRate]]-Games[[#This Row],[OppPreGmRate]])))*IF(Games[[#This Row],[OT]]=1,0.9,1)</f>
        <v>0.41079513371403148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5" s="9">
        <f>MAX(kmin, kmax - 0.15 * MIN(Games[[#This Row],[GamesPlayed]], 82))</f>
        <v>72.55</v>
      </c>
      <c r="Z275" s="4">
        <f>Games[[#This Row],[K]]*Games[[#This Row],[POMult]]</f>
        <v>72.55</v>
      </c>
      <c r="AA275" s="4">
        <f>(Games[[#This Row],[Keff]]*Games[[#This Row],[MOVMult]])*(Games[[#This Row],[Result]]-Games[[#This Row],[ExpectedWin%]])</f>
        <v>-9.1881180241701195</v>
      </c>
      <c r="AB275" s="4">
        <f>Games[[#This Row],[PreGmRate]]+Games[[#This Row],[RatingChange]]</f>
        <v>1456.7444249215323</v>
      </c>
      <c r="AC275" s="2">
        <f>IF(Games[[#This Row],[Type]]="R",IF(Games[[#This Row],[Result]]&gt;0.5,1,0),0)</f>
        <v>0</v>
      </c>
      <c r="AD275" s="2">
        <f>IF(Games[[#This Row],[Type]]="R",IF(Games[[#This Row],[Result]]&lt;0.5,1,0),0)</f>
        <v>1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45486</v>
      </c>
      <c r="B276" s="2">
        <v>2024</v>
      </c>
      <c r="C276" s="2">
        <f>COUNTIFS(Games[Team],Games[[#This Row],[Team]],Games[Season],Games[[#This Row],[Season]],Games[Date],"&lt;=" &amp; Games[[#This Row],[Date]])</f>
        <v>23</v>
      </c>
      <c r="D276" s="2" t="s">
        <v>79</v>
      </c>
      <c r="E276" s="2" t="s">
        <v>80</v>
      </c>
      <c r="F276" s="1" t="s">
        <v>63</v>
      </c>
      <c r="G276" s="1" t="s">
        <v>85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6" s="2">
        <f>Games[[#This Row],[DaysOff]]-Games[[#This Row],[OppDaysOff]]</f>
        <v>1</v>
      </c>
      <c r="L276" s="2">
        <f>Games[[#This Row],[OppDaysOff]]-Games[[#This Row],[DaysOff]]</f>
        <v>-1</v>
      </c>
      <c r="M276" s="1">
        <f>MAX(-16, MIN(16, Games[[#This Row],[RestDiff]]*8))</f>
        <v>8</v>
      </c>
      <c r="N276" s="1">
        <f>MAX(-16, MIN(16, Games[[#This Row],[OppRestDiff]]*8))</f>
        <v>-8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1361.1688727294024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1372.4288736814699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0.38787408485717145</v>
      </c>
      <c r="R276" s="1">
        <v>87</v>
      </c>
      <c r="S276" s="1">
        <v>81</v>
      </c>
      <c r="T276" s="1">
        <v>0</v>
      </c>
      <c r="U276" s="1">
        <f>Games[[#This Row],[PointsFor]]-Games[[#This Row],[PointsAgainst]]</f>
        <v>6</v>
      </c>
      <c r="V276" s="1">
        <f>IF(Games[[#This Row],[MOV]]&gt;0,1,IF(Games[[#This Row],[MOV]]=0,0.5,0))</f>
        <v>1</v>
      </c>
      <c r="W276" s="4">
        <f>((ABS(Games[[#This Row],[MOV]])+5)^0.6)/(12+0.01*(ABS(Games[[#This Row],[PreGmRate]]-Games[[#This Row],[OppPreGmRate]])))*IF(Games[[#This Row],[OT]]=1,0.9,1)</f>
        <v>0.34801521801913382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6" s="9">
        <f>MAX(kmin, kmax - 0.15 * MIN(Games[[#This Row],[GamesPlayed]], 82))</f>
        <v>72.55</v>
      </c>
      <c r="Z276" s="4">
        <f>Games[[#This Row],[K]]*Games[[#This Row],[POMult]]</f>
        <v>72.55</v>
      </c>
      <c r="AA276" s="4">
        <f>(Games[[#This Row],[Keff]]*Games[[#This Row],[MOVMult]])*(Games[[#This Row],[Result]]-Games[[#This Row],[ExpectedWin%]])</f>
        <v>15.455263658176191</v>
      </c>
      <c r="AB276" s="4">
        <f>Games[[#This Row],[PreGmRate]]+Games[[#This Row],[RatingChange]]</f>
        <v>1376.6241363875786</v>
      </c>
      <c r="AC276" s="2">
        <f>IF(Games[[#This Row],[Type]]="R",IF(Games[[#This Row],[Result]]&gt;0.5,1,0),0)</f>
        <v>1</v>
      </c>
      <c r="AD276" s="2">
        <f>IF(Games[[#This Row],[Type]]="R",IF(Games[[#This Row],[Result]]&lt;0.5,1,0),0)</f>
        <v>0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45486</v>
      </c>
      <c r="B277" s="2">
        <v>2024</v>
      </c>
      <c r="C277" s="2">
        <f>COUNTIFS(Games[Team],Games[[#This Row],[Team]],Games[Season],Games[[#This Row],[Season]],Games[Date],"&lt;=" &amp; Games[[#This Row],[Date]])</f>
        <v>24</v>
      </c>
      <c r="D277" s="2" t="s">
        <v>79</v>
      </c>
      <c r="E277" s="2" t="s">
        <v>80</v>
      </c>
      <c r="F277" s="1" t="s">
        <v>85</v>
      </c>
      <c r="G277" s="1" t="s">
        <v>63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7" s="2">
        <f>Games[[#This Row],[DaysOff]]-Games[[#This Row],[OppDaysOff]]</f>
        <v>-1</v>
      </c>
      <c r="L277" s="2">
        <f>Games[[#This Row],[OppDaysOff]]-Games[[#This Row],[DaysOff]]</f>
        <v>1</v>
      </c>
      <c r="M277" s="1">
        <f>MAX(-16, MIN(16, Games[[#This Row],[RestDiff]]*8))</f>
        <v>-8</v>
      </c>
      <c r="N277" s="1">
        <f>MAX(-16, MIN(16, Games[[#This Row],[OppRestDiff]]*8))</f>
        <v>8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1372.4288736814699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1361.1688727294024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0.61212591514282855</v>
      </c>
      <c r="R277" s="1">
        <v>81</v>
      </c>
      <c r="S277" s="1">
        <v>87</v>
      </c>
      <c r="T277" s="1">
        <v>0</v>
      </c>
      <c r="U277" s="1">
        <f>Games[[#This Row],[PointsFor]]-Games[[#This Row],[PointsAgainst]]</f>
        <v>-6</v>
      </c>
      <c r="V277" s="1">
        <f>IF(Games[[#This Row],[MOV]]&gt;0,1,IF(Games[[#This Row],[MOV]]=0,0.5,0))</f>
        <v>0</v>
      </c>
      <c r="W277" s="4">
        <f>((ABS(Games[[#This Row],[MOV]])+5)^0.6)/(12+0.01*(ABS(Games[[#This Row],[PreGmRate]]-Games[[#This Row],[OppPreGmRate]])))*IF(Games[[#This Row],[OT]]=1,0.9,1)</f>
        <v>0.34801521801913382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7" s="9">
        <f>MAX(kmin, kmax - 0.15 * MIN(Games[[#This Row],[GamesPlayed]], 82))</f>
        <v>72.400000000000006</v>
      </c>
      <c r="Z277" s="4">
        <f>Games[[#This Row],[K]]*Games[[#This Row],[POMult]]</f>
        <v>72.400000000000006</v>
      </c>
      <c r="AA277" s="4">
        <f>(Games[[#This Row],[Keff]]*Games[[#This Row],[MOVMult]])*(Games[[#This Row],[Result]]-Games[[#This Row],[ExpectedWin%]])</f>
        <v>-15.423309288104155</v>
      </c>
      <c r="AB277" s="4">
        <f>Games[[#This Row],[PreGmRate]]+Games[[#This Row],[RatingChange]]</f>
        <v>1357.0055643933658</v>
      </c>
      <c r="AC277" s="2">
        <f>IF(Games[[#This Row],[Type]]="R",IF(Games[[#This Row],[Result]]&gt;0.5,1,0),0)</f>
        <v>0</v>
      </c>
      <c r="AD277" s="2">
        <f>IF(Games[[#This Row],[Type]]="R",IF(Games[[#This Row],[Result]]&lt;0.5,1,0),0)</f>
        <v>1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45487</v>
      </c>
      <c r="B278" s="2">
        <v>2024</v>
      </c>
      <c r="C278" s="2">
        <f>COUNTIFS(Games[Team],Games[[#This Row],[Team]],Games[Season],Games[[#This Row],[Season]],Games[Date],"&lt;=" &amp; Games[[#This Row],[Date]])</f>
        <v>24</v>
      </c>
      <c r="D278" s="2" t="s">
        <v>79</v>
      </c>
      <c r="E278" s="2" t="s">
        <v>80</v>
      </c>
      <c r="F278" s="1" t="s">
        <v>40</v>
      </c>
      <c r="G278" s="1" t="s">
        <v>74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8" s="2">
        <f>Games[[#This Row],[DaysOff]]-Games[[#This Row],[OppDaysOff]]</f>
        <v>-2</v>
      </c>
      <c r="L278" s="2">
        <f>Games[[#This Row],[OppDaysOff]]-Games[[#This Row],[DaysOff]]</f>
        <v>2</v>
      </c>
      <c r="M278" s="1">
        <f>MAX(-16, MIN(16, Games[[#This Row],[RestDiff]]*8))</f>
        <v>-16</v>
      </c>
      <c r="N278" s="1">
        <f>MAX(-16, MIN(16, Games[[#This Row],[OppRestDiff]]*8))</f>
        <v>16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1458.7591229059756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1620.6092546361876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0.1680607460327635</v>
      </c>
      <c r="R278" s="1">
        <v>69</v>
      </c>
      <c r="S278" s="1">
        <v>96</v>
      </c>
      <c r="T278" s="1">
        <v>0</v>
      </c>
      <c r="U278" s="1">
        <f>Games[[#This Row],[PointsFor]]-Games[[#This Row],[PointsAgainst]]</f>
        <v>-27</v>
      </c>
      <c r="V278" s="1">
        <f>IF(Games[[#This Row],[MOV]]&gt;0,1,IF(Games[[#This Row],[MOV]]=0,0.5,0))</f>
        <v>0</v>
      </c>
      <c r="W278" s="4">
        <f>((ABS(Games[[#This Row],[MOV]])+5)^0.6)/(12+0.01*(ABS(Games[[#This Row],[PreGmRate]]-Games[[#This Row],[OppPreGmRate]])))*IF(Games[[#This Row],[OT]]=1,0.9,1)</f>
        <v>0.58743615127724125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8" s="9">
        <f>MAX(kmin, kmax - 0.15 * MIN(Games[[#This Row],[GamesPlayed]], 82))</f>
        <v>72.400000000000006</v>
      </c>
      <c r="Z278" s="4">
        <f>Games[[#This Row],[K]]*Games[[#This Row],[POMult]]</f>
        <v>72.400000000000006</v>
      </c>
      <c r="AA278" s="4">
        <f>(Games[[#This Row],[Keff]]*Games[[#This Row],[MOVMult]])*(Games[[#This Row],[Result]]-Games[[#This Row],[ExpectedWin%]])</f>
        <v>-7.1476869469114384</v>
      </c>
      <c r="AB278" s="4">
        <f>Games[[#This Row],[PreGmRate]]+Games[[#This Row],[RatingChange]]</f>
        <v>1451.6114359590642</v>
      </c>
      <c r="AC278" s="2">
        <f>IF(Games[[#This Row],[Type]]="R",IF(Games[[#This Row],[Result]]&gt;0.5,1,0),0)</f>
        <v>0</v>
      </c>
      <c r="AD278" s="2">
        <f>IF(Games[[#This Row],[Type]]="R",IF(Games[[#This Row],[Result]]&lt;0.5,1,0),0)</f>
        <v>1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45487</v>
      </c>
      <c r="B279" s="2">
        <v>2024</v>
      </c>
      <c r="C279" s="2">
        <f>COUNTIFS(Games[Team],Games[[#This Row],[Team]],Games[Season],Games[[#This Row],[Season]],Games[Date],"&lt;=" &amp; Games[[#This Row],[Date]])</f>
        <v>23</v>
      </c>
      <c r="D279" s="2" t="s">
        <v>79</v>
      </c>
      <c r="E279" s="2" t="s">
        <v>80</v>
      </c>
      <c r="F279" s="1" t="s">
        <v>74</v>
      </c>
      <c r="G279" s="1" t="s">
        <v>40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9" s="2">
        <f>Games[[#This Row],[DaysOff]]-Games[[#This Row],[OppDaysOff]]</f>
        <v>2</v>
      </c>
      <c r="L279" s="2">
        <f>Games[[#This Row],[OppDaysOff]]-Games[[#This Row],[DaysOff]]</f>
        <v>-2</v>
      </c>
      <c r="M279" s="1">
        <f>MAX(-16, MIN(16, Games[[#This Row],[RestDiff]]*8))</f>
        <v>16</v>
      </c>
      <c r="N279" s="1">
        <f>MAX(-16, MIN(16, Games[[#This Row],[OppRestDiff]]*8))</f>
        <v>-16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1620.6092546361876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1458.7591229059756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0.83193925396723645</v>
      </c>
      <c r="R279" s="1">
        <v>96</v>
      </c>
      <c r="S279" s="1">
        <v>69</v>
      </c>
      <c r="T279" s="1">
        <v>0</v>
      </c>
      <c r="U279" s="1">
        <f>Games[[#This Row],[PointsFor]]-Games[[#This Row],[PointsAgainst]]</f>
        <v>27</v>
      </c>
      <c r="V279" s="1">
        <f>IF(Games[[#This Row],[MOV]]&gt;0,1,IF(Games[[#This Row],[MOV]]=0,0.5,0))</f>
        <v>1</v>
      </c>
      <c r="W279" s="4">
        <f>((ABS(Games[[#This Row],[MOV]])+5)^0.6)/(12+0.01*(ABS(Games[[#This Row],[PreGmRate]]-Games[[#This Row],[OppPreGmRate]])))*IF(Games[[#This Row],[OT]]=1,0.9,1)</f>
        <v>0.58743615127724125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9" s="9">
        <f>MAX(kmin, kmax - 0.15 * MIN(Games[[#This Row],[GamesPlayed]], 82))</f>
        <v>72.55</v>
      </c>
      <c r="Z279" s="4">
        <f>Games[[#This Row],[K]]*Games[[#This Row],[POMult]]</f>
        <v>72.55</v>
      </c>
      <c r="AA279" s="4">
        <f>(Games[[#This Row],[Keff]]*Games[[#This Row],[MOVMult]])*(Games[[#This Row],[Result]]-Games[[#This Row],[ExpectedWin%]])</f>
        <v>7.1624956905859802</v>
      </c>
      <c r="AB279" s="4">
        <f>Games[[#This Row],[PreGmRate]]+Games[[#This Row],[RatingChange]]</f>
        <v>1627.7717503267736</v>
      </c>
      <c r="AC279" s="2">
        <f>IF(Games[[#This Row],[Type]]="R",IF(Games[[#This Row],[Result]]&gt;0.5,1,0),0)</f>
        <v>1</v>
      </c>
      <c r="AD279" s="2">
        <f>IF(Games[[#This Row],[Type]]="R",IF(Games[[#This Row],[Result]]&lt;0.5,1,0),0)</f>
        <v>0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45487</v>
      </c>
      <c r="B280" s="2">
        <v>2024</v>
      </c>
      <c r="C280" s="2">
        <f>COUNTIFS(Games[Team],Games[[#This Row],[Team]],Games[Season],Games[[#This Row],[Season]],Games[Date],"&lt;=" &amp; Games[[#This Row],[Date]])</f>
        <v>25</v>
      </c>
      <c r="D280" s="2" t="s">
        <v>79</v>
      </c>
      <c r="E280" s="2" t="s">
        <v>80</v>
      </c>
      <c r="F280" s="1" t="s">
        <v>69</v>
      </c>
      <c r="G280" s="1" t="s">
        <v>67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0" s="2">
        <f>Games[[#This Row],[DaysOff]]-Games[[#This Row],[OppDaysOff]]</f>
        <v>0</v>
      </c>
      <c r="L280" s="2">
        <f>Games[[#This Row],[OppDaysOff]]-Games[[#This Row],[DaysOff]]</f>
        <v>0</v>
      </c>
      <c r="M280" s="1">
        <f>MAX(-16, MIN(16, Games[[#This Row],[RestDiff]]*8))</f>
        <v>0</v>
      </c>
      <c r="N280" s="1">
        <f>MAX(-16, MIN(16, Games[[#This Row],[OppRestDiff]]*8))</f>
        <v>0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1440.9516635262673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1577.4846574008923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0.21934457493744164</v>
      </c>
      <c r="R280" s="1">
        <v>81</v>
      </c>
      <c r="S280" s="1">
        <v>74</v>
      </c>
      <c r="T280" s="1">
        <v>0</v>
      </c>
      <c r="U280" s="1">
        <f>Games[[#This Row],[PointsFor]]-Games[[#This Row],[PointsAgainst]]</f>
        <v>7</v>
      </c>
      <c r="V280" s="1">
        <f>IF(Games[[#This Row],[MOV]]&gt;0,1,IF(Games[[#This Row],[MOV]]=0,0.5,0))</f>
        <v>1</v>
      </c>
      <c r="W280" s="4">
        <f>((ABS(Games[[#This Row],[MOV]])+5)^0.6)/(12+0.01*(ABS(Games[[#This Row],[PreGmRate]]-Games[[#This Row],[OppPreGmRate]])))*IF(Games[[#This Row],[OT]]=1,0.9,1)</f>
        <v>0.33229902218653795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0" s="9">
        <f>MAX(kmin, kmax - 0.15 * MIN(Games[[#This Row],[GamesPlayed]], 82))</f>
        <v>72.25</v>
      </c>
      <c r="Z280" s="4">
        <f>Games[[#This Row],[K]]*Games[[#This Row],[POMult]]</f>
        <v>72.25</v>
      </c>
      <c r="AA280" s="4">
        <f>(Games[[#This Row],[Keff]]*Games[[#This Row],[MOVMult]])*(Games[[#This Row],[Result]]-Games[[#This Row],[ExpectedWin%]])</f>
        <v>18.742447236332335</v>
      </c>
      <c r="AB280" s="4">
        <f>Games[[#This Row],[PreGmRate]]+Games[[#This Row],[RatingChange]]</f>
        <v>1459.6941107625996</v>
      </c>
      <c r="AC280" s="2">
        <f>IF(Games[[#This Row],[Type]]="R",IF(Games[[#This Row],[Result]]&gt;0.5,1,0),0)</f>
        <v>1</v>
      </c>
      <c r="AD280" s="2">
        <f>IF(Games[[#This Row],[Type]]="R",IF(Games[[#This Row],[Result]]&lt;0.5,1,0),0)</f>
        <v>0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45487</v>
      </c>
      <c r="B281" s="2">
        <v>2024</v>
      </c>
      <c r="C281" s="2">
        <f>COUNTIFS(Games[Team],Games[[#This Row],[Team]],Games[Season],Games[[#This Row],[Season]],Games[Date],"&lt;=" &amp; Games[[#This Row],[Date]])</f>
        <v>24</v>
      </c>
      <c r="D281" s="2" t="s">
        <v>79</v>
      </c>
      <c r="E281" s="2" t="s">
        <v>80</v>
      </c>
      <c r="F281" s="1" t="s">
        <v>67</v>
      </c>
      <c r="G281" s="1" t="s">
        <v>69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1" s="2">
        <f>Games[[#This Row],[DaysOff]]-Games[[#This Row],[OppDaysOff]]</f>
        <v>0</v>
      </c>
      <c r="L281" s="2">
        <f>Games[[#This Row],[OppDaysOff]]-Games[[#This Row],[DaysOff]]</f>
        <v>0</v>
      </c>
      <c r="M281" s="1">
        <f>MAX(-16, MIN(16, Games[[#This Row],[RestDiff]]*8))</f>
        <v>0</v>
      </c>
      <c r="N281" s="1">
        <f>MAX(-16, MIN(16, Games[[#This Row],[OppRestDiff]]*8))</f>
        <v>0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1577.4846574008923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1440.9516635262673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0.78065542506255836</v>
      </c>
      <c r="R281" s="1">
        <v>74</v>
      </c>
      <c r="S281" s="1">
        <v>81</v>
      </c>
      <c r="T281" s="1">
        <v>0</v>
      </c>
      <c r="U281" s="1">
        <f>Games[[#This Row],[PointsFor]]-Games[[#This Row],[PointsAgainst]]</f>
        <v>-7</v>
      </c>
      <c r="V281" s="1">
        <f>IF(Games[[#This Row],[MOV]]&gt;0,1,IF(Games[[#This Row],[MOV]]=0,0.5,0))</f>
        <v>0</v>
      </c>
      <c r="W281" s="4">
        <f>((ABS(Games[[#This Row],[MOV]])+5)^0.6)/(12+0.01*(ABS(Games[[#This Row],[PreGmRate]]-Games[[#This Row],[OppPreGmRate]])))*IF(Games[[#This Row],[OT]]=1,0.9,1)</f>
        <v>0.33229902218653795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1" s="9">
        <f>MAX(kmin, kmax - 0.15 * MIN(Games[[#This Row],[GamesPlayed]], 82))</f>
        <v>72.400000000000006</v>
      </c>
      <c r="Z281" s="4">
        <f>Games[[#This Row],[K]]*Games[[#This Row],[POMult]]</f>
        <v>72.400000000000006</v>
      </c>
      <c r="AA281" s="4">
        <f>(Games[[#This Row],[Keff]]*Games[[#This Row],[MOVMult]])*(Games[[#This Row],[Result]]-Games[[#This Row],[ExpectedWin%]])</f>
        <v>-18.781358891494275</v>
      </c>
      <c r="AB281" s="4">
        <f>Games[[#This Row],[PreGmRate]]+Games[[#This Row],[RatingChange]]</f>
        <v>1558.7032985093981</v>
      </c>
      <c r="AC281" s="2">
        <f>IF(Games[[#This Row],[Type]]="R",IF(Games[[#This Row],[Result]]&gt;0.5,1,0),0)</f>
        <v>0</v>
      </c>
      <c r="AD281" s="2">
        <f>IF(Games[[#This Row],[Type]]="R",IF(Games[[#This Row],[Result]]&lt;0.5,1,0),0)</f>
        <v>1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45487</v>
      </c>
      <c r="B282" s="2">
        <v>2024</v>
      </c>
      <c r="C282" s="2">
        <f>COUNTIFS(Games[Team],Games[[#This Row],[Team]],Games[Season],Games[[#This Row],[Season]],Games[Date],"&lt;=" &amp; Games[[#This Row],[Date]])</f>
        <v>23</v>
      </c>
      <c r="D282" s="2" t="s">
        <v>79</v>
      </c>
      <c r="E282" s="2" t="s">
        <v>80</v>
      </c>
      <c r="F282" s="1" t="s">
        <v>77</v>
      </c>
      <c r="G282" s="1" t="s">
        <v>71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2" s="2">
        <f>Games[[#This Row],[DaysOff]]-Games[[#This Row],[OppDaysOff]]</f>
        <v>0</v>
      </c>
      <c r="L282" s="2">
        <f>Games[[#This Row],[OppDaysOff]]-Games[[#This Row],[DaysOff]]</f>
        <v>0</v>
      </c>
      <c r="M282" s="1">
        <f>MAX(-16, MIN(16, Games[[#This Row],[RestDiff]]*8))</f>
        <v>0</v>
      </c>
      <c r="N282" s="1">
        <f>MAX(-16, MIN(16, Games[[#This Row],[OppRestDiff]]*8))</f>
        <v>0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1378.3837949567744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1562.0746784474816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0.1763968382188483</v>
      </c>
      <c r="R282" s="1">
        <v>70</v>
      </c>
      <c r="S282" s="1">
        <v>81</v>
      </c>
      <c r="T282" s="1">
        <v>0</v>
      </c>
      <c r="U282" s="1">
        <f>Games[[#This Row],[PointsFor]]-Games[[#This Row],[PointsAgainst]]</f>
        <v>-11</v>
      </c>
      <c r="V282" s="1">
        <f>IF(Games[[#This Row],[MOV]]&gt;0,1,IF(Games[[#This Row],[MOV]]=0,0.5,0))</f>
        <v>0</v>
      </c>
      <c r="W282" s="4">
        <f>((ABS(Games[[#This Row],[MOV]])+5)^0.6)/(12+0.01*(ABS(Games[[#This Row],[PreGmRate]]-Games[[#This Row],[OppPreGmRate]])))*IF(Games[[#This Row],[OT]]=1,0.9,1)</f>
        <v>0.38144586381724355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2" s="9">
        <f>MAX(kmin, kmax - 0.15 * MIN(Games[[#This Row],[GamesPlayed]], 82))</f>
        <v>72.55</v>
      </c>
      <c r="Z282" s="4">
        <f>Games[[#This Row],[K]]*Games[[#This Row],[POMult]]</f>
        <v>72.55</v>
      </c>
      <c r="AA282" s="4">
        <f>(Games[[#This Row],[Keff]]*Games[[#This Row],[MOVMult]])*(Games[[#This Row],[Result]]-Games[[#This Row],[ExpectedWin%]])</f>
        <v>-4.8815880060703387</v>
      </c>
      <c r="AB282" s="4">
        <f>Games[[#This Row],[PreGmRate]]+Games[[#This Row],[RatingChange]]</f>
        <v>1373.502206950704</v>
      </c>
      <c r="AC282" s="2">
        <f>IF(Games[[#This Row],[Type]]="R",IF(Games[[#This Row],[Result]]&gt;0.5,1,0),0)</f>
        <v>0</v>
      </c>
      <c r="AD282" s="2">
        <f>IF(Games[[#This Row],[Type]]="R",IF(Games[[#This Row],[Result]]&lt;0.5,1,0),0)</f>
        <v>1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45487</v>
      </c>
      <c r="B283" s="2">
        <v>2024</v>
      </c>
      <c r="C283" s="2">
        <f>COUNTIFS(Games[Team],Games[[#This Row],[Team]],Games[Season],Games[[#This Row],[Season]],Games[Date],"&lt;=" &amp; Games[[#This Row],[Date]])</f>
        <v>24</v>
      </c>
      <c r="D283" s="2" t="s">
        <v>79</v>
      </c>
      <c r="E283" s="2" t="s">
        <v>80</v>
      </c>
      <c r="F283" s="1" t="s">
        <v>71</v>
      </c>
      <c r="G283" s="1" t="s">
        <v>77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3" s="2">
        <f>Games[[#This Row],[DaysOff]]-Games[[#This Row],[OppDaysOff]]</f>
        <v>0</v>
      </c>
      <c r="L283" s="2">
        <f>Games[[#This Row],[OppDaysOff]]-Games[[#This Row],[DaysOff]]</f>
        <v>0</v>
      </c>
      <c r="M283" s="1">
        <f>MAX(-16, MIN(16, Games[[#This Row],[RestDiff]]*8))</f>
        <v>0</v>
      </c>
      <c r="N283" s="1">
        <f>MAX(-16, MIN(16, Games[[#This Row],[OppRestDiff]]*8))</f>
        <v>0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1562.0746784474816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1378.3837949567744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0.82360316178115178</v>
      </c>
      <c r="R283" s="1">
        <v>81</v>
      </c>
      <c r="S283" s="1">
        <v>70</v>
      </c>
      <c r="T283" s="1">
        <v>0</v>
      </c>
      <c r="U283" s="1">
        <f>Games[[#This Row],[PointsFor]]-Games[[#This Row],[PointsAgainst]]</f>
        <v>11</v>
      </c>
      <c r="V283" s="1">
        <f>IF(Games[[#This Row],[MOV]]&gt;0,1,IF(Games[[#This Row],[MOV]]=0,0.5,0))</f>
        <v>1</v>
      </c>
      <c r="W283" s="4">
        <f>((ABS(Games[[#This Row],[MOV]])+5)^0.6)/(12+0.01*(ABS(Games[[#This Row],[PreGmRate]]-Games[[#This Row],[OppPreGmRate]])))*IF(Games[[#This Row],[OT]]=1,0.9,1)</f>
        <v>0.38144586381724355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3" s="9">
        <f>MAX(kmin, kmax - 0.15 * MIN(Games[[#This Row],[GamesPlayed]], 82))</f>
        <v>72.400000000000006</v>
      </c>
      <c r="Z283" s="4">
        <f>Games[[#This Row],[K]]*Games[[#This Row],[POMult]]</f>
        <v>72.400000000000006</v>
      </c>
      <c r="AA283" s="4">
        <f>(Games[[#This Row],[Keff]]*Games[[#This Row],[MOVMult]])*(Games[[#This Row],[Result]]-Games[[#This Row],[ExpectedWin%]])</f>
        <v>4.8714951294209845</v>
      </c>
      <c r="AB283" s="4">
        <f>Games[[#This Row],[PreGmRate]]+Games[[#This Row],[RatingChange]]</f>
        <v>1566.9461735769025</v>
      </c>
      <c r="AC283" s="2">
        <f>IF(Games[[#This Row],[Type]]="R",IF(Games[[#This Row],[Result]]&gt;0.5,1,0),0)</f>
        <v>1</v>
      </c>
      <c r="AD283" s="2">
        <f>IF(Games[[#This Row],[Type]]="R",IF(Games[[#This Row],[Result]]&lt;0.5,1,0),0)</f>
        <v>0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45487</v>
      </c>
      <c r="B284" s="2">
        <v>2024</v>
      </c>
      <c r="C284" s="2">
        <f>COUNTIFS(Games[Team],Games[[#This Row],[Team]],Games[Season],Games[[#This Row],[Season]],Games[Date],"&lt;=" &amp; Games[[#This Row],[Date]])</f>
        <v>23</v>
      </c>
      <c r="D284" s="2" t="s">
        <v>79</v>
      </c>
      <c r="E284" s="2" t="s">
        <v>80</v>
      </c>
      <c r="F284" s="1" t="s">
        <v>86</v>
      </c>
      <c r="G284" s="1" t="s">
        <v>65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84" s="2">
        <f>Games[[#This Row],[DaysOff]]-Games[[#This Row],[OppDaysOff]]</f>
        <v>-2</v>
      </c>
      <c r="L284" s="2">
        <f>Games[[#This Row],[OppDaysOff]]-Games[[#This Row],[DaysOff]]</f>
        <v>2</v>
      </c>
      <c r="M284" s="1">
        <f>MAX(-16, MIN(16, Games[[#This Row],[RestDiff]]*8))</f>
        <v>-16</v>
      </c>
      <c r="N284" s="1">
        <f>MAX(-16, MIN(16, Games[[#This Row],[OppRestDiff]]*8))</f>
        <v>16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1649.2476525272853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1422.1213064732647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0.65468443700422685</v>
      </c>
      <c r="R284" s="1">
        <v>89</v>
      </c>
      <c r="S284" s="1">
        <v>77</v>
      </c>
      <c r="T284" s="1">
        <v>0</v>
      </c>
      <c r="U284" s="1">
        <f>Games[[#This Row],[PointsFor]]-Games[[#This Row],[PointsAgainst]]</f>
        <v>12</v>
      </c>
      <c r="V284" s="1">
        <f>IF(Games[[#This Row],[MOV]]&gt;0,1,IF(Games[[#This Row],[MOV]]=0,0.5,0))</f>
        <v>1</v>
      </c>
      <c r="W284" s="4">
        <f>((ABS(Games[[#This Row],[MOV]])+5)^0.6)/(12+0.01*(ABS(Games[[#This Row],[PreGmRate]]-Games[[#This Row],[OppPreGmRate]])))*IF(Games[[#This Row],[OT]]=1,0.9,1)</f>
        <v>0.383536701711994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4" s="9">
        <f>MAX(kmin, kmax - 0.15 * MIN(Games[[#This Row],[GamesPlayed]], 82))</f>
        <v>72.55</v>
      </c>
      <c r="Z284" s="4">
        <f>Games[[#This Row],[K]]*Games[[#This Row],[POMult]]</f>
        <v>72.55</v>
      </c>
      <c r="AA284" s="4">
        <f>(Games[[#This Row],[Keff]]*Games[[#This Row],[MOVMult]])*(Games[[#This Row],[Result]]-Games[[#This Row],[ExpectedWin%]])</f>
        <v>9.6086084854924465</v>
      </c>
      <c r="AB284" s="4">
        <f>Games[[#This Row],[PreGmRate]]+Games[[#This Row],[RatingChange]]</f>
        <v>1658.8562610127776</v>
      </c>
      <c r="AC284" s="2">
        <f>IF(Games[[#This Row],[Type]]="R",IF(Games[[#This Row],[Result]]&gt;0.5,1,0),0)</f>
        <v>1</v>
      </c>
      <c r="AD284" s="2">
        <f>IF(Games[[#This Row],[Type]]="R",IF(Games[[#This Row],[Result]]&lt;0.5,1,0),0)</f>
        <v>0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45487</v>
      </c>
      <c r="B285" s="2">
        <v>2024</v>
      </c>
      <c r="C285" s="2">
        <f>COUNTIFS(Games[Team],Games[[#This Row],[Team]],Games[Season],Games[[#This Row],[Season]],Games[Date],"&lt;=" &amp; Games[[#This Row],[Date]])</f>
        <v>24</v>
      </c>
      <c r="D285" s="2" t="s">
        <v>79</v>
      </c>
      <c r="E285" s="2" t="s">
        <v>80</v>
      </c>
      <c r="F285" s="1" t="s">
        <v>65</v>
      </c>
      <c r="G285" s="1" t="s">
        <v>86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5" s="2">
        <f>Games[[#This Row],[DaysOff]]-Games[[#This Row],[OppDaysOff]]</f>
        <v>2</v>
      </c>
      <c r="L285" s="2">
        <f>Games[[#This Row],[OppDaysOff]]-Games[[#This Row],[DaysOff]]</f>
        <v>-2</v>
      </c>
      <c r="M285" s="1">
        <f>MAX(-16, MIN(16, Games[[#This Row],[RestDiff]]*8))</f>
        <v>16</v>
      </c>
      <c r="N285" s="1">
        <f>MAX(-16, MIN(16, Games[[#This Row],[OppRestDiff]]*8))</f>
        <v>-16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1422.1213064732647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1649.2476525272853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0.34531556299577321</v>
      </c>
      <c r="R285" s="1">
        <v>77</v>
      </c>
      <c r="S285" s="1">
        <v>89</v>
      </c>
      <c r="T285" s="1">
        <v>0</v>
      </c>
      <c r="U285" s="1">
        <f>Games[[#This Row],[PointsFor]]-Games[[#This Row],[PointsAgainst]]</f>
        <v>-12</v>
      </c>
      <c r="V285" s="1">
        <f>IF(Games[[#This Row],[MOV]]&gt;0,1,IF(Games[[#This Row],[MOV]]=0,0.5,0))</f>
        <v>0</v>
      </c>
      <c r="W285" s="4">
        <f>((ABS(Games[[#This Row],[MOV]])+5)^0.6)/(12+0.01*(ABS(Games[[#This Row],[PreGmRate]]-Games[[#This Row],[OppPreGmRate]])))*IF(Games[[#This Row],[OT]]=1,0.9,1)</f>
        <v>0.383536701711994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5" s="9">
        <f>MAX(kmin, kmax - 0.15 * MIN(Games[[#This Row],[GamesPlayed]], 82))</f>
        <v>72.400000000000006</v>
      </c>
      <c r="Z285" s="4">
        <f>Games[[#This Row],[K]]*Games[[#This Row],[POMult]]</f>
        <v>72.400000000000006</v>
      </c>
      <c r="AA285" s="4">
        <f>(Games[[#This Row],[Keff]]*Games[[#This Row],[MOVMult]])*(Games[[#This Row],[Result]]-Games[[#This Row],[ExpectedWin%]])</f>
        <v>-9.5887423066802668</v>
      </c>
      <c r="AB285" s="4">
        <f>Games[[#This Row],[PreGmRate]]+Games[[#This Row],[RatingChange]]</f>
        <v>1412.5325641665845</v>
      </c>
      <c r="AC285" s="2">
        <f>IF(Games[[#This Row],[Type]]="R",IF(Games[[#This Row],[Result]]&gt;0.5,1,0),0)</f>
        <v>0</v>
      </c>
      <c r="AD285" s="2">
        <f>IF(Games[[#This Row],[Type]]="R",IF(Games[[#This Row],[Result]]&lt;0.5,1,0),0)</f>
        <v>1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45489</v>
      </c>
      <c r="B286" s="2">
        <v>2024</v>
      </c>
      <c r="C286" s="2">
        <f>COUNTIFS(Games[Team],Games[[#This Row],[Team]],Games[Season],Games[[#This Row],[Season]],Games[Date],"&lt;=" &amp; Games[[#This Row],[Date]])</f>
        <v>25</v>
      </c>
      <c r="D286" s="2" t="s">
        <v>79</v>
      </c>
      <c r="E286" s="2" t="s">
        <v>80</v>
      </c>
      <c r="F286" s="1" t="s">
        <v>71</v>
      </c>
      <c r="G286" s="1" t="s">
        <v>63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6" s="2">
        <f>Games[[#This Row],[DaysOff]]-Games[[#This Row],[OppDaysOff]]</f>
        <v>-1</v>
      </c>
      <c r="L286" s="2">
        <f>Games[[#This Row],[OppDaysOff]]-Games[[#This Row],[DaysOff]]</f>
        <v>1</v>
      </c>
      <c r="M286" s="1">
        <f>MAX(-16, MIN(16, Games[[#This Row],[RestDiff]]*8))</f>
        <v>-8</v>
      </c>
      <c r="N286" s="1">
        <f>MAX(-16, MIN(16, Games[[#This Row],[OppRestDiff]]*8))</f>
        <v>8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1566.9461735769025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1376.6241363875786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0.62713267013645346</v>
      </c>
      <c r="R286" s="1">
        <v>89</v>
      </c>
      <c r="S286" s="1">
        <v>83</v>
      </c>
      <c r="T286" s="1">
        <v>0</v>
      </c>
      <c r="U286" s="1">
        <f>Games[[#This Row],[PointsFor]]-Games[[#This Row],[PointsAgainst]]</f>
        <v>6</v>
      </c>
      <c r="V286" s="1">
        <f>IF(Games[[#This Row],[MOV]]&gt;0,1,IF(Games[[#This Row],[MOV]]=0,0.5,0))</f>
        <v>1</v>
      </c>
      <c r="W286" s="4">
        <f>((ABS(Games[[#This Row],[MOV]])+5)^0.6)/(12+0.01*(ABS(Games[[#This Row],[PreGmRate]]-Games[[#This Row],[OppPreGmRate]])))*IF(Games[[#This Row],[OT]]=1,0.9,1)</f>
        <v>0.30319372205404249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6" s="9">
        <f>MAX(kmin, kmax - 0.15 * MIN(Games[[#This Row],[GamesPlayed]], 82))</f>
        <v>72.25</v>
      </c>
      <c r="Z286" s="4">
        <f>Games[[#This Row],[K]]*Games[[#This Row],[POMult]]</f>
        <v>72.25</v>
      </c>
      <c r="AA286" s="4">
        <f>(Games[[#This Row],[Keff]]*Games[[#This Row],[MOVMult]])*(Games[[#This Row],[Result]]-Games[[#This Row],[ExpectedWin%]])</f>
        <v>8.1679371756984587</v>
      </c>
      <c r="AB286" s="4">
        <f>Games[[#This Row],[PreGmRate]]+Games[[#This Row],[RatingChange]]</f>
        <v>1575.1141107526009</v>
      </c>
      <c r="AC286" s="2">
        <f>IF(Games[[#This Row],[Type]]="R",IF(Games[[#This Row],[Result]]&gt;0.5,1,0),0)</f>
        <v>1</v>
      </c>
      <c r="AD286" s="2">
        <f>IF(Games[[#This Row],[Type]]="R",IF(Games[[#This Row],[Result]]&lt;0.5,1,0),0)</f>
        <v>0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45489</v>
      </c>
      <c r="B287" s="2">
        <v>2024</v>
      </c>
      <c r="C287" s="2">
        <f>COUNTIFS(Games[Team],Games[[#This Row],[Team]],Games[Season],Games[[#This Row],[Season]],Games[Date],"&lt;=" &amp; Games[[#This Row],[Date]])</f>
        <v>24</v>
      </c>
      <c r="D287" s="2" t="s">
        <v>79</v>
      </c>
      <c r="E287" s="2" t="s">
        <v>80</v>
      </c>
      <c r="F287" s="1" t="s">
        <v>63</v>
      </c>
      <c r="G287" s="1" t="s">
        <v>71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7" s="2">
        <f>Games[[#This Row],[DaysOff]]-Games[[#This Row],[OppDaysOff]]</f>
        <v>1</v>
      </c>
      <c r="L287" s="2">
        <f>Games[[#This Row],[OppDaysOff]]-Games[[#This Row],[DaysOff]]</f>
        <v>-1</v>
      </c>
      <c r="M287" s="1">
        <f>MAX(-16, MIN(16, Games[[#This Row],[RestDiff]]*8))</f>
        <v>8</v>
      </c>
      <c r="N287" s="1">
        <f>MAX(-16, MIN(16, Games[[#This Row],[OppRestDiff]]*8))</f>
        <v>-8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1376.6241363875786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1566.9461735769025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0.37286732986354665</v>
      </c>
      <c r="R287" s="1">
        <v>83</v>
      </c>
      <c r="S287" s="1">
        <v>89</v>
      </c>
      <c r="T287" s="1">
        <v>0</v>
      </c>
      <c r="U287" s="1">
        <f>Games[[#This Row],[PointsFor]]-Games[[#This Row],[PointsAgainst]]</f>
        <v>-6</v>
      </c>
      <c r="V287" s="1">
        <f>IF(Games[[#This Row],[MOV]]&gt;0,1,IF(Games[[#This Row],[MOV]]=0,0.5,0))</f>
        <v>0</v>
      </c>
      <c r="W287" s="4">
        <f>((ABS(Games[[#This Row],[MOV]])+5)^0.6)/(12+0.01*(ABS(Games[[#This Row],[PreGmRate]]-Games[[#This Row],[OppPreGmRate]])))*IF(Games[[#This Row],[OT]]=1,0.9,1)</f>
        <v>0.30319372205404249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7" s="9">
        <f>MAX(kmin, kmax - 0.15 * MIN(Games[[#This Row],[GamesPlayed]], 82))</f>
        <v>72.400000000000006</v>
      </c>
      <c r="Z287" s="4">
        <f>Games[[#This Row],[K]]*Games[[#This Row],[POMult]]</f>
        <v>72.400000000000006</v>
      </c>
      <c r="AA287" s="4">
        <f>(Games[[#This Row],[Keff]]*Games[[#This Row],[MOVMult]])*(Games[[#This Row],[Result]]-Games[[#This Row],[ExpectedWin%]])</f>
        <v>-8.1848948307345157</v>
      </c>
      <c r="AB287" s="4">
        <f>Games[[#This Row],[PreGmRate]]+Games[[#This Row],[RatingChange]]</f>
        <v>1368.4392415568441</v>
      </c>
      <c r="AC287" s="2">
        <f>IF(Games[[#This Row],[Type]]="R",IF(Games[[#This Row],[Result]]&gt;0.5,1,0),0)</f>
        <v>0</v>
      </c>
      <c r="AD287" s="2">
        <f>IF(Games[[#This Row],[Type]]="R",IF(Games[[#This Row],[Result]]&lt;0.5,1,0),0)</f>
        <v>1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45489</v>
      </c>
      <c r="B288" s="2">
        <v>2024</v>
      </c>
      <c r="C288" s="2">
        <f>COUNTIFS(Games[Team],Games[[#This Row],[Team]],Games[Season],Games[[#This Row],[Season]],Games[Date],"&lt;=" &amp; Games[[#This Row],[Date]])</f>
        <v>24</v>
      </c>
      <c r="D288" s="2" t="s">
        <v>79</v>
      </c>
      <c r="E288" s="2" t="s">
        <v>80</v>
      </c>
      <c r="F288" s="1" t="s">
        <v>75</v>
      </c>
      <c r="G288" s="1" t="s">
        <v>86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8" s="2">
        <f>Games[[#This Row],[DaysOff]]-Games[[#This Row],[OppDaysOff]]</f>
        <v>1</v>
      </c>
      <c r="L288" s="2">
        <f>Games[[#This Row],[OppDaysOff]]-Games[[#This Row],[DaysOff]]</f>
        <v>-1</v>
      </c>
      <c r="M288" s="1">
        <f>MAX(-16, MIN(16, Games[[#This Row],[RestDiff]]*8))</f>
        <v>8</v>
      </c>
      <c r="N288" s="1">
        <f>MAX(-16, MIN(16, Games[[#This Row],[OppRestDiff]]*8))</f>
        <v>-8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1456.7444249215323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1658.8562610127776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0.17438130657190432</v>
      </c>
      <c r="R288" s="1">
        <v>93</v>
      </c>
      <c r="S288" s="1">
        <v>85</v>
      </c>
      <c r="T288" s="1">
        <v>0</v>
      </c>
      <c r="U288" s="1">
        <f>Games[[#This Row],[PointsFor]]-Games[[#This Row],[PointsAgainst]]</f>
        <v>8</v>
      </c>
      <c r="V288" s="1">
        <f>IF(Games[[#This Row],[MOV]]&gt;0,1,IF(Games[[#This Row],[MOV]]=0,0.5,0))</f>
        <v>1</v>
      </c>
      <c r="W288" s="4">
        <f>((ABS(Games[[#This Row],[MOV]])+5)^0.6)/(12+0.01*(ABS(Games[[#This Row],[PreGmRate]]-Games[[#This Row],[OppPreGmRate]])))*IF(Games[[#This Row],[OT]]=1,0.9,1)</f>
        <v>0.33234056657181094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8" s="9">
        <f>MAX(kmin, kmax - 0.15 * MIN(Games[[#This Row],[GamesPlayed]], 82))</f>
        <v>72.400000000000006</v>
      </c>
      <c r="Z288" s="4">
        <f>Games[[#This Row],[K]]*Games[[#This Row],[POMult]]</f>
        <v>72.400000000000006</v>
      </c>
      <c r="AA288" s="4">
        <f>(Games[[#This Row],[Keff]]*Games[[#This Row],[MOVMult]])*(Games[[#This Row],[Result]]-Games[[#This Row],[ExpectedWin%]])</f>
        <v>19.865588706662827</v>
      </c>
      <c r="AB288" s="4">
        <f>Games[[#This Row],[PreGmRate]]+Games[[#This Row],[RatingChange]]</f>
        <v>1476.610013628195</v>
      </c>
      <c r="AC288" s="2">
        <f>IF(Games[[#This Row],[Type]]="R",IF(Games[[#This Row],[Result]]&gt;0.5,1,0),0)</f>
        <v>1</v>
      </c>
      <c r="AD288" s="2">
        <f>IF(Games[[#This Row],[Type]]="R",IF(Games[[#This Row],[Result]]&lt;0.5,1,0),0)</f>
        <v>0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45489</v>
      </c>
      <c r="B289" s="2">
        <v>2024</v>
      </c>
      <c r="C289" s="2">
        <f>COUNTIFS(Games[Team],Games[[#This Row],[Team]],Games[Season],Games[[#This Row],[Season]],Games[Date],"&lt;=" &amp; Games[[#This Row],[Date]])</f>
        <v>24</v>
      </c>
      <c r="D289" s="2" t="s">
        <v>79</v>
      </c>
      <c r="E289" s="2" t="s">
        <v>80</v>
      </c>
      <c r="F289" s="1" t="s">
        <v>86</v>
      </c>
      <c r="G289" s="1" t="s">
        <v>75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9" s="2">
        <f>Games[[#This Row],[DaysOff]]-Games[[#This Row],[OppDaysOff]]</f>
        <v>-1</v>
      </c>
      <c r="L289" s="2">
        <f>Games[[#This Row],[OppDaysOff]]-Games[[#This Row],[DaysOff]]</f>
        <v>1</v>
      </c>
      <c r="M289" s="1">
        <f>MAX(-16, MIN(16, Games[[#This Row],[RestDiff]]*8))</f>
        <v>-8</v>
      </c>
      <c r="N289" s="1">
        <f>MAX(-16, MIN(16, Games[[#This Row],[OppRestDiff]]*8))</f>
        <v>8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1658.8562610127776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1456.7444249215323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0.82561869342809557</v>
      </c>
      <c r="R289" s="1">
        <v>85</v>
      </c>
      <c r="S289" s="1">
        <v>93</v>
      </c>
      <c r="T289" s="1">
        <v>0</v>
      </c>
      <c r="U289" s="1">
        <f>Games[[#This Row],[PointsFor]]-Games[[#This Row],[PointsAgainst]]</f>
        <v>-8</v>
      </c>
      <c r="V289" s="1">
        <f>IF(Games[[#This Row],[MOV]]&gt;0,1,IF(Games[[#This Row],[MOV]]=0,0.5,0))</f>
        <v>0</v>
      </c>
      <c r="W289" s="4">
        <f>((ABS(Games[[#This Row],[MOV]])+5)^0.6)/(12+0.01*(ABS(Games[[#This Row],[PreGmRate]]-Games[[#This Row],[OppPreGmRate]])))*IF(Games[[#This Row],[OT]]=1,0.9,1)</f>
        <v>0.33234056657181094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9" s="9">
        <f>MAX(kmin, kmax - 0.15 * MIN(Games[[#This Row],[GamesPlayed]], 82))</f>
        <v>72.400000000000006</v>
      </c>
      <c r="Z289" s="4">
        <f>Games[[#This Row],[K]]*Games[[#This Row],[POMult]]</f>
        <v>72.400000000000006</v>
      </c>
      <c r="AA289" s="4">
        <f>(Games[[#This Row],[Keff]]*Games[[#This Row],[MOVMult]])*(Games[[#This Row],[Result]]-Games[[#This Row],[ExpectedWin%]])</f>
        <v>-19.865588706662823</v>
      </c>
      <c r="AB289" s="4">
        <f>Games[[#This Row],[PreGmRate]]+Games[[#This Row],[RatingChange]]</f>
        <v>1638.9906723061149</v>
      </c>
      <c r="AC289" s="2">
        <f>IF(Games[[#This Row],[Type]]="R",IF(Games[[#This Row],[Result]]&gt;0.5,1,0),0)</f>
        <v>0</v>
      </c>
      <c r="AD289" s="2">
        <f>IF(Games[[#This Row],[Type]]="R",IF(Games[[#This Row],[Result]]&lt;0.5,1,0),0)</f>
        <v>1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45489</v>
      </c>
      <c r="B290" s="2">
        <v>2024</v>
      </c>
      <c r="C290" s="2">
        <f>COUNTIFS(Games[Team],Games[[#This Row],[Team]],Games[Season],Games[[#This Row],[Season]],Games[Date],"&lt;=" &amp; Games[[#This Row],[Date]])</f>
        <v>24</v>
      </c>
      <c r="D290" s="2" t="s">
        <v>79</v>
      </c>
      <c r="E290" s="2" t="s">
        <v>80</v>
      </c>
      <c r="F290" s="1" t="s">
        <v>74</v>
      </c>
      <c r="G290" s="1" t="s">
        <v>60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0" s="2">
        <f>Games[[#This Row],[DaysOff]]-Games[[#This Row],[OppDaysOff]]</f>
        <v>-1</v>
      </c>
      <c r="L290" s="2">
        <f>Games[[#This Row],[OppDaysOff]]-Games[[#This Row],[DaysOff]]</f>
        <v>1</v>
      </c>
      <c r="M290" s="1">
        <f>MAX(-16, MIN(16, Games[[#This Row],[RestDiff]]*8))</f>
        <v>-8</v>
      </c>
      <c r="N290" s="1">
        <f>MAX(-16, MIN(16, Games[[#This Row],[OppRestDiff]]*8))</f>
        <v>8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1627.7717503267736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1699.4849545742386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0.2712162331386555</v>
      </c>
      <c r="R290" s="1">
        <v>74</v>
      </c>
      <c r="S290" s="1">
        <v>82</v>
      </c>
      <c r="T290" s="1">
        <v>0</v>
      </c>
      <c r="U290" s="1">
        <f>Games[[#This Row],[PointsFor]]-Games[[#This Row],[PointsAgainst]]</f>
        <v>-8</v>
      </c>
      <c r="V290" s="1">
        <f>IF(Games[[#This Row],[MOV]]&gt;0,1,IF(Games[[#This Row],[MOV]]=0,0.5,0))</f>
        <v>0</v>
      </c>
      <c r="W290" s="4">
        <f>((ABS(Games[[#This Row],[MOV]])+5)^0.6)/(12+0.01*(ABS(Games[[#This Row],[PreGmRate]]-Games[[#This Row],[OppPreGmRate]])))*IF(Games[[#This Row],[OT]]=1,0.9,1)</f>
        <v>0.36641802605120305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0" s="9">
        <f>MAX(kmin, kmax - 0.15 * MIN(Games[[#This Row],[GamesPlayed]], 82))</f>
        <v>72.400000000000006</v>
      </c>
      <c r="Z290" s="4">
        <f>Games[[#This Row],[K]]*Games[[#This Row],[POMult]]</f>
        <v>72.400000000000006</v>
      </c>
      <c r="AA290" s="4">
        <f>(Games[[#This Row],[Keff]]*Games[[#This Row],[MOVMult]])*(Games[[#This Row],[Result]]-Games[[#This Row],[ExpectedWin%]])</f>
        <v>-7.1950046148509346</v>
      </c>
      <c r="AB290" s="4">
        <f>Games[[#This Row],[PreGmRate]]+Games[[#This Row],[RatingChange]]</f>
        <v>1620.5767457119227</v>
      </c>
      <c r="AC290" s="2">
        <f>IF(Games[[#This Row],[Type]]="R",IF(Games[[#This Row],[Result]]&gt;0.5,1,0),0)</f>
        <v>0</v>
      </c>
      <c r="AD290" s="2">
        <f>IF(Games[[#This Row],[Type]]="R",IF(Games[[#This Row],[Result]]&lt;0.5,1,0),0)</f>
        <v>1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45489</v>
      </c>
      <c r="B291" s="2">
        <v>2024</v>
      </c>
      <c r="C291" s="2">
        <f>COUNTIFS(Games[Team],Games[[#This Row],[Team]],Games[Season],Games[[#This Row],[Season]],Games[Date],"&lt;=" &amp; Games[[#This Row],[Date]])</f>
        <v>25</v>
      </c>
      <c r="D291" s="2" t="s">
        <v>79</v>
      </c>
      <c r="E291" s="2" t="s">
        <v>80</v>
      </c>
      <c r="F291" s="1" t="s">
        <v>60</v>
      </c>
      <c r="G291" s="1" t="s">
        <v>74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1" s="2">
        <f>Games[[#This Row],[DaysOff]]-Games[[#This Row],[OppDaysOff]]</f>
        <v>1</v>
      </c>
      <c r="L291" s="2">
        <f>Games[[#This Row],[OppDaysOff]]-Games[[#This Row],[DaysOff]]</f>
        <v>-1</v>
      </c>
      <c r="M291" s="1">
        <f>MAX(-16, MIN(16, Games[[#This Row],[RestDiff]]*8))</f>
        <v>8</v>
      </c>
      <c r="N291" s="1">
        <f>MAX(-16, MIN(16, Games[[#This Row],[OppRestDiff]]*8))</f>
        <v>-8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1699.4849545742386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1627.7717503267736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0.72878376686134461</v>
      </c>
      <c r="R291" s="1">
        <v>82</v>
      </c>
      <c r="S291" s="1">
        <v>74</v>
      </c>
      <c r="T291" s="1">
        <v>0</v>
      </c>
      <c r="U291" s="1">
        <f>Games[[#This Row],[PointsFor]]-Games[[#This Row],[PointsAgainst]]</f>
        <v>8</v>
      </c>
      <c r="V291" s="1">
        <f>IF(Games[[#This Row],[MOV]]&gt;0,1,IF(Games[[#This Row],[MOV]]=0,0.5,0))</f>
        <v>1</v>
      </c>
      <c r="W291" s="4">
        <f>((ABS(Games[[#This Row],[MOV]])+5)^0.6)/(12+0.01*(ABS(Games[[#This Row],[PreGmRate]]-Games[[#This Row],[OppPreGmRate]])))*IF(Games[[#This Row],[OT]]=1,0.9,1)</f>
        <v>0.36641802605120305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1" s="9">
        <f>MAX(kmin, kmax - 0.15 * MIN(Games[[#This Row],[GamesPlayed]], 82))</f>
        <v>72.25</v>
      </c>
      <c r="Z291" s="4">
        <f>Games[[#This Row],[K]]*Games[[#This Row],[POMult]]</f>
        <v>72.25</v>
      </c>
      <c r="AA291" s="4">
        <f>(Games[[#This Row],[Keff]]*Games[[#This Row],[MOVMult]])*(Games[[#This Row],[Result]]-Games[[#This Row],[ExpectedWin%]])</f>
        <v>7.1800978373339746</v>
      </c>
      <c r="AB291" s="4">
        <f>Games[[#This Row],[PreGmRate]]+Games[[#This Row],[RatingChange]]</f>
        <v>1706.6650524115726</v>
      </c>
      <c r="AC291" s="2">
        <f>IF(Games[[#This Row],[Type]]="R",IF(Games[[#This Row],[Result]]&gt;0.5,1,0),0)</f>
        <v>1</v>
      </c>
      <c r="AD291" s="2">
        <f>IF(Games[[#This Row],[Type]]="R",IF(Games[[#This Row],[Result]]&lt;0.5,1,0),0)</f>
        <v>0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45489</v>
      </c>
      <c r="B292" s="2">
        <v>2024</v>
      </c>
      <c r="C292" s="2">
        <f>COUNTIFS(Games[Team],Games[[#This Row],[Team]],Games[Season],Games[[#This Row],[Season]],Games[Date],"&lt;=" &amp; Games[[#This Row],[Date]])</f>
        <v>25</v>
      </c>
      <c r="D292" s="2" t="s">
        <v>79</v>
      </c>
      <c r="E292" s="2" t="s">
        <v>80</v>
      </c>
      <c r="F292" s="1" t="s">
        <v>40</v>
      </c>
      <c r="G292" s="1" t="s">
        <v>65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2" s="2">
        <f>Games[[#This Row],[DaysOff]]-Games[[#This Row],[OppDaysOff]]</f>
        <v>0</v>
      </c>
      <c r="L292" s="2">
        <f>Games[[#This Row],[OppDaysOff]]-Games[[#This Row],[DaysOff]]</f>
        <v>0</v>
      </c>
      <c r="M292" s="1">
        <f>MAX(-16, MIN(16, Games[[#This Row],[RestDiff]]*8))</f>
        <v>0</v>
      </c>
      <c r="N292" s="1">
        <f>MAX(-16, MIN(16, Games[[#This Row],[OppRestDiff]]*8))</f>
        <v>0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1451.6114359590642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1412.5325641665845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0.4357111356314689</v>
      </c>
      <c r="R292" s="1">
        <v>96</v>
      </c>
      <c r="S292" s="1">
        <v>87</v>
      </c>
      <c r="T292" s="1">
        <v>0</v>
      </c>
      <c r="U292" s="1">
        <f>Games[[#This Row],[PointsFor]]-Games[[#This Row],[PointsAgainst]]</f>
        <v>9</v>
      </c>
      <c r="V292" s="1">
        <f>IF(Games[[#This Row],[MOV]]&gt;0,1,IF(Games[[#This Row],[MOV]]=0,0.5,0))</f>
        <v>1</v>
      </c>
      <c r="W292" s="4">
        <f>((ABS(Games[[#This Row],[MOV]])+5)^0.6)/(12+0.01*(ABS(Games[[#This Row],[PreGmRate]]-Games[[#This Row],[OppPreGmRate]])))*IF(Games[[#This Row],[OT]]=1,0.9,1)</f>
        <v>0.39316773424757551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2" s="9">
        <f>MAX(kmin, kmax - 0.15 * MIN(Games[[#This Row],[GamesPlayed]], 82))</f>
        <v>72.25</v>
      </c>
      <c r="Z292" s="4">
        <f>Games[[#This Row],[K]]*Games[[#This Row],[POMult]]</f>
        <v>72.25</v>
      </c>
      <c r="AA292" s="4">
        <f>(Games[[#This Row],[Keff]]*Games[[#This Row],[MOVMult]])*(Games[[#This Row],[Result]]-Games[[#This Row],[ExpectedWin%]])</f>
        <v>16.029397590639952</v>
      </c>
      <c r="AB292" s="4">
        <f>Games[[#This Row],[PreGmRate]]+Games[[#This Row],[RatingChange]]</f>
        <v>1467.6408335497042</v>
      </c>
      <c r="AC292" s="2">
        <f>IF(Games[[#This Row],[Type]]="R",IF(Games[[#This Row],[Result]]&gt;0.5,1,0),0)</f>
        <v>1</v>
      </c>
      <c r="AD292" s="2">
        <f>IF(Games[[#This Row],[Type]]="R",IF(Games[[#This Row],[Result]]&lt;0.5,1,0),0)</f>
        <v>0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45489</v>
      </c>
      <c r="B293" s="2">
        <v>2024</v>
      </c>
      <c r="C293" s="2">
        <f>COUNTIFS(Games[Team],Games[[#This Row],[Team]],Games[Season],Games[[#This Row],[Season]],Games[Date],"&lt;=" &amp; Games[[#This Row],[Date]])</f>
        <v>25</v>
      </c>
      <c r="D293" s="2" t="s">
        <v>79</v>
      </c>
      <c r="E293" s="2" t="s">
        <v>80</v>
      </c>
      <c r="F293" s="1" t="s">
        <v>65</v>
      </c>
      <c r="G293" s="1" t="s">
        <v>40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3" s="2">
        <f>Games[[#This Row],[DaysOff]]-Games[[#This Row],[OppDaysOff]]</f>
        <v>0</v>
      </c>
      <c r="L293" s="2">
        <f>Games[[#This Row],[OppDaysOff]]-Games[[#This Row],[DaysOff]]</f>
        <v>0</v>
      </c>
      <c r="M293" s="1">
        <f>MAX(-16, MIN(16, Games[[#This Row],[RestDiff]]*8))</f>
        <v>0</v>
      </c>
      <c r="N293" s="1">
        <f>MAX(-16, MIN(16, Games[[#This Row],[OppRestDiff]]*8))</f>
        <v>0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1412.5325641665845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1451.6114359590642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0.5642888643685311</v>
      </c>
      <c r="R293" s="1">
        <v>87</v>
      </c>
      <c r="S293" s="1">
        <v>96</v>
      </c>
      <c r="T293" s="1">
        <v>0</v>
      </c>
      <c r="U293" s="1">
        <f>Games[[#This Row],[PointsFor]]-Games[[#This Row],[PointsAgainst]]</f>
        <v>-9</v>
      </c>
      <c r="V293" s="1">
        <f>IF(Games[[#This Row],[MOV]]&gt;0,1,IF(Games[[#This Row],[MOV]]=0,0.5,0))</f>
        <v>0</v>
      </c>
      <c r="W293" s="4">
        <f>((ABS(Games[[#This Row],[MOV]])+5)^0.6)/(12+0.01*(ABS(Games[[#This Row],[PreGmRate]]-Games[[#This Row],[OppPreGmRate]])))*IF(Games[[#This Row],[OT]]=1,0.9,1)</f>
        <v>0.39316773424757551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3" s="9">
        <f>MAX(kmin, kmax - 0.15 * MIN(Games[[#This Row],[GamesPlayed]], 82))</f>
        <v>72.25</v>
      </c>
      <c r="Z293" s="4">
        <f>Games[[#This Row],[K]]*Games[[#This Row],[POMult]]</f>
        <v>72.25</v>
      </c>
      <c r="AA293" s="4">
        <f>(Games[[#This Row],[Keff]]*Games[[#This Row],[MOVMult]])*(Games[[#This Row],[Result]]-Games[[#This Row],[ExpectedWin%]])</f>
        <v>-16.029397590639952</v>
      </c>
      <c r="AB293" s="4">
        <f>Games[[#This Row],[PreGmRate]]+Games[[#This Row],[RatingChange]]</f>
        <v>1396.5031665759445</v>
      </c>
      <c r="AC293" s="2">
        <f>IF(Games[[#This Row],[Type]]="R",IF(Games[[#This Row],[Result]]&gt;0.5,1,0),0)</f>
        <v>0</v>
      </c>
      <c r="AD293" s="2">
        <f>IF(Games[[#This Row],[Type]]="R",IF(Games[[#This Row],[Result]]&lt;0.5,1,0),0)</f>
        <v>1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45490</v>
      </c>
      <c r="B294" s="2">
        <v>2024</v>
      </c>
      <c r="C294" s="2">
        <f>COUNTIFS(Games[Team],Games[[#This Row],[Team]],Games[Season],Games[[#This Row],[Season]],Games[Date],"&lt;=" &amp; Games[[#This Row],[Date]])</f>
        <v>26</v>
      </c>
      <c r="D294" s="2" t="s">
        <v>79</v>
      </c>
      <c r="E294" s="2" t="s">
        <v>80</v>
      </c>
      <c r="F294" s="1" t="s">
        <v>69</v>
      </c>
      <c r="G294" s="1" t="s">
        <v>85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94" s="2">
        <f>Games[[#This Row],[DaysOff]]-Games[[#This Row],[OppDaysOff]]</f>
        <v>-1</v>
      </c>
      <c r="L294" s="2">
        <f>Games[[#This Row],[OppDaysOff]]-Games[[#This Row],[DaysOff]]</f>
        <v>1</v>
      </c>
      <c r="M294" s="1">
        <f>MAX(-16, MIN(16, Games[[#This Row],[RestDiff]]*8))</f>
        <v>-8</v>
      </c>
      <c r="N294" s="1">
        <f>MAX(-16, MIN(16, Games[[#This Row],[OppRestDiff]]*8))</f>
        <v>8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1459.6941107625996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1357.0055643933658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0.50386905201796195</v>
      </c>
      <c r="R294" s="1">
        <v>93</v>
      </c>
      <c r="S294" s="1">
        <v>101</v>
      </c>
      <c r="T294" s="1">
        <v>0</v>
      </c>
      <c r="U294" s="1">
        <f>Games[[#This Row],[PointsFor]]-Games[[#This Row],[PointsAgainst]]</f>
        <v>-8</v>
      </c>
      <c r="V294" s="1">
        <f>IF(Games[[#This Row],[MOV]]&gt;0,1,IF(Games[[#This Row],[MOV]]=0,0.5,0))</f>
        <v>0</v>
      </c>
      <c r="W294" s="4">
        <f>((ABS(Games[[#This Row],[MOV]])+5)^0.6)/(12+0.01*(ABS(Games[[#This Row],[PreGmRate]]-Games[[#This Row],[OppPreGmRate]])))*IF(Games[[#This Row],[OT]]=1,0.9,1)</f>
        <v>0.35770533432749602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4" s="9">
        <f>MAX(kmin, kmax - 0.15 * MIN(Games[[#This Row],[GamesPlayed]], 82))</f>
        <v>72.099999999999994</v>
      </c>
      <c r="Z294" s="4">
        <f>Games[[#This Row],[K]]*Games[[#This Row],[POMult]]</f>
        <v>72.099999999999994</v>
      </c>
      <c r="AA294" s="4">
        <f>(Games[[#This Row],[Keff]]*Games[[#This Row],[MOVMult]])*(Games[[#This Row],[Result]]-Games[[#This Row],[ExpectedWin%]])</f>
        <v>-12.995062299845111</v>
      </c>
      <c r="AB294" s="4">
        <f>Games[[#This Row],[PreGmRate]]+Games[[#This Row],[RatingChange]]</f>
        <v>1446.6990484627545</v>
      </c>
      <c r="AC294" s="2">
        <f>IF(Games[[#This Row],[Type]]="R",IF(Games[[#This Row],[Result]]&gt;0.5,1,0),0)</f>
        <v>0</v>
      </c>
      <c r="AD294" s="2">
        <f>IF(Games[[#This Row],[Type]]="R",IF(Games[[#This Row],[Result]]&lt;0.5,1,0),0)</f>
        <v>1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45490</v>
      </c>
      <c r="B295" s="2">
        <v>2024</v>
      </c>
      <c r="C295" s="2">
        <f>COUNTIFS(Games[Team],Games[[#This Row],[Team]],Games[Season],Games[[#This Row],[Season]],Games[Date],"&lt;=" &amp; Games[[#This Row],[Date]])</f>
        <v>25</v>
      </c>
      <c r="D295" s="2" t="s">
        <v>79</v>
      </c>
      <c r="E295" s="2" t="s">
        <v>80</v>
      </c>
      <c r="F295" s="1" t="s">
        <v>85</v>
      </c>
      <c r="G295" s="1" t="s">
        <v>69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5" s="2">
        <f>Games[[#This Row],[DaysOff]]-Games[[#This Row],[OppDaysOff]]</f>
        <v>1</v>
      </c>
      <c r="L295" s="2">
        <f>Games[[#This Row],[OppDaysOff]]-Games[[#This Row],[DaysOff]]</f>
        <v>-1</v>
      </c>
      <c r="M295" s="1">
        <f>MAX(-16, MIN(16, Games[[#This Row],[RestDiff]]*8))</f>
        <v>8</v>
      </c>
      <c r="N295" s="1">
        <f>MAX(-16, MIN(16, Games[[#This Row],[OppRestDiff]]*8))</f>
        <v>-8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1357.0055643933658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1459.6941107625996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0.49613094798203794</v>
      </c>
      <c r="R295" s="1">
        <v>101</v>
      </c>
      <c r="S295" s="1">
        <v>93</v>
      </c>
      <c r="T295" s="1">
        <v>0</v>
      </c>
      <c r="U295" s="1">
        <f>Games[[#This Row],[PointsFor]]-Games[[#This Row],[PointsAgainst]]</f>
        <v>8</v>
      </c>
      <c r="V295" s="1">
        <f>IF(Games[[#This Row],[MOV]]&gt;0,1,IF(Games[[#This Row],[MOV]]=0,0.5,0))</f>
        <v>1</v>
      </c>
      <c r="W295" s="4">
        <f>((ABS(Games[[#This Row],[MOV]])+5)^0.6)/(12+0.01*(ABS(Games[[#This Row],[PreGmRate]]-Games[[#This Row],[OppPreGmRate]])))*IF(Games[[#This Row],[OT]]=1,0.9,1)</f>
        <v>0.35770533432749602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5" s="9">
        <f>MAX(kmin, kmax - 0.15 * MIN(Games[[#This Row],[GamesPlayed]], 82))</f>
        <v>72.25</v>
      </c>
      <c r="Z295" s="4">
        <f>Games[[#This Row],[K]]*Games[[#This Row],[POMult]]</f>
        <v>72.25</v>
      </c>
      <c r="AA295" s="4">
        <f>(Games[[#This Row],[Keff]]*Games[[#This Row],[MOVMult]])*(Games[[#This Row],[Result]]-Games[[#This Row],[ExpectedWin%]])</f>
        <v>13.022097797001519</v>
      </c>
      <c r="AB295" s="4">
        <f>Games[[#This Row],[PreGmRate]]+Games[[#This Row],[RatingChange]]</f>
        <v>1370.0276621903674</v>
      </c>
      <c r="AC295" s="2">
        <f>IF(Games[[#This Row],[Type]]="R",IF(Games[[#This Row],[Result]]&gt;0.5,1,0),0)</f>
        <v>1</v>
      </c>
      <c r="AD295" s="2">
        <f>IF(Games[[#This Row],[Type]]="R",IF(Games[[#This Row],[Result]]&lt;0.5,1,0),0)</f>
        <v>0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45490</v>
      </c>
      <c r="B296" s="2">
        <v>2024</v>
      </c>
      <c r="C296" s="2">
        <f>COUNTIFS(Games[Team],Games[[#This Row],[Team]],Games[Season],Games[[#This Row],[Season]],Games[Date],"&lt;=" &amp; Games[[#This Row],[Date]])</f>
        <v>24</v>
      </c>
      <c r="D296" s="2" t="s">
        <v>79</v>
      </c>
      <c r="E296" s="2" t="s">
        <v>80</v>
      </c>
      <c r="F296" s="1" t="s">
        <v>77</v>
      </c>
      <c r="G296" s="1" t="s">
        <v>67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6" s="2">
        <f>Games[[#This Row],[DaysOff]]-Games[[#This Row],[OppDaysOff]]</f>
        <v>0</v>
      </c>
      <c r="L296" s="2">
        <f>Games[[#This Row],[OppDaysOff]]-Games[[#This Row],[DaysOff]]</f>
        <v>0</v>
      </c>
      <c r="M296" s="16">
        <f>MAX(-16, MIN(16, Games[[#This Row],[RestDiff]]*8))</f>
        <v>0</v>
      </c>
      <c r="N296" s="16">
        <f>MAX(-16, MIN(16, Games[[#This Row],[OppRestDiff]]*8))</f>
        <v>0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1373.502206950704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1558.7032985093981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0.17513739526023112</v>
      </c>
      <c r="R296" s="1">
        <v>79</v>
      </c>
      <c r="S296" s="1">
        <v>86</v>
      </c>
      <c r="T296" s="1">
        <v>0</v>
      </c>
      <c r="U296" s="16">
        <f>Games[[#This Row],[PointsFor]]-Games[[#This Row],[PointsAgainst]]</f>
        <v>-7</v>
      </c>
      <c r="V296" s="16">
        <f>IF(Games[[#This Row],[MOV]]&gt;0,1,IF(Games[[#This Row],[MOV]]=0,0.5,0))</f>
        <v>0</v>
      </c>
      <c r="W296" s="4">
        <f>((ABS(Games[[#This Row],[MOV]])+5)^0.6)/(12+0.01*(ABS(Games[[#This Row],[PreGmRate]]-Games[[#This Row],[OppPreGmRate]])))*IF(Games[[#This Row],[OT]]=1,0.9,1)</f>
        <v>0.32062392218073504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6" s="9">
        <f>MAX(kmin, kmax - 0.15 * MIN(Games[[#This Row],[GamesPlayed]], 82))</f>
        <v>72.400000000000006</v>
      </c>
      <c r="Z296" s="4">
        <f>Games[[#This Row],[K]]*Games[[#This Row],[POMult]]</f>
        <v>72.400000000000006</v>
      </c>
      <c r="AA296" s="4">
        <f>(Games[[#This Row],[Keff]]*Games[[#This Row],[MOVMult]])*(Games[[#This Row],[Result]]-Games[[#This Row],[ExpectedWin%]])</f>
        <v>-4.0654944738329561</v>
      </c>
      <c r="AB296" s="4">
        <f>Games[[#This Row],[PreGmRate]]+Games[[#This Row],[RatingChange]]</f>
        <v>1369.436712476871</v>
      </c>
      <c r="AC296" s="2">
        <f>IF(Games[[#This Row],[Type]]="R",IF(Games[[#This Row],[Result]]&gt;0.5,1,0),0)</f>
        <v>0</v>
      </c>
      <c r="AD296" s="2">
        <f>IF(Games[[#This Row],[Type]]="R",IF(Games[[#This Row],[Result]]&lt;0.5,1,0),0)</f>
        <v>1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45490</v>
      </c>
      <c r="B297" s="2">
        <v>2024</v>
      </c>
      <c r="C297" s="2">
        <f>COUNTIFS(Games[Team],Games[[#This Row],[Team]],Games[Season],Games[[#This Row],[Season]],Games[Date],"&lt;=" &amp; Games[[#This Row],[Date]])</f>
        <v>25</v>
      </c>
      <c r="D297" s="2" t="s">
        <v>79</v>
      </c>
      <c r="E297" s="2" t="s">
        <v>80</v>
      </c>
      <c r="F297" s="1" t="s">
        <v>67</v>
      </c>
      <c r="G297" s="1" t="s">
        <v>77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7" s="2">
        <f>Games[[#This Row],[DaysOff]]-Games[[#This Row],[OppDaysOff]]</f>
        <v>0</v>
      </c>
      <c r="L297" s="2">
        <f>Games[[#This Row],[OppDaysOff]]-Games[[#This Row],[DaysOff]]</f>
        <v>0</v>
      </c>
      <c r="M297" s="16">
        <f>MAX(-16, MIN(16, Games[[#This Row],[RestDiff]]*8))</f>
        <v>0</v>
      </c>
      <c r="N297" s="16">
        <f>MAX(-16, MIN(16, Games[[#This Row],[OppRestDiff]]*8))</f>
        <v>0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1558.7032985093981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1373.502206950704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0.8248626047397688</v>
      </c>
      <c r="R297" s="1">
        <v>86</v>
      </c>
      <c r="S297" s="1">
        <v>79</v>
      </c>
      <c r="T297" s="1">
        <v>0</v>
      </c>
      <c r="U297" s="16">
        <f>Games[[#This Row],[PointsFor]]-Games[[#This Row],[PointsAgainst]]</f>
        <v>7</v>
      </c>
      <c r="V297" s="16">
        <f>IF(Games[[#This Row],[MOV]]&gt;0,1,IF(Games[[#This Row],[MOV]]=0,0.5,0))</f>
        <v>1</v>
      </c>
      <c r="W297" s="4">
        <f>((ABS(Games[[#This Row],[MOV]])+5)^0.6)/(12+0.01*(ABS(Games[[#This Row],[PreGmRate]]-Games[[#This Row],[OppPreGmRate]])))*IF(Games[[#This Row],[OT]]=1,0.9,1)</f>
        <v>0.32062392218073504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7" s="9">
        <f>MAX(kmin, kmax - 0.15 * MIN(Games[[#This Row],[GamesPlayed]], 82))</f>
        <v>72.25</v>
      </c>
      <c r="Z297" s="4">
        <f>Games[[#This Row],[K]]*Games[[#This Row],[POMult]]</f>
        <v>72.25</v>
      </c>
      <c r="AA297" s="4">
        <f>(Games[[#This Row],[Keff]]*Games[[#This Row],[MOVMult]])*(Games[[#This Row],[Result]]-Games[[#This Row],[ExpectedWin%]])</f>
        <v>4.0570714880446292</v>
      </c>
      <c r="AB297" s="4">
        <f>Games[[#This Row],[PreGmRate]]+Games[[#This Row],[RatingChange]]</f>
        <v>1562.7603699974427</v>
      </c>
      <c r="AC297" s="2">
        <f>IF(Games[[#This Row],[Type]]="R",IF(Games[[#This Row],[Result]]&gt;0.5,1,0),0)</f>
        <v>1</v>
      </c>
      <c r="AD297" s="2">
        <f>IF(Games[[#This Row],[Type]]="R",IF(Games[[#This Row],[Result]]&lt;0.5,1,0),0)</f>
        <v>0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45519</v>
      </c>
      <c r="B298" s="2">
        <v>2024</v>
      </c>
      <c r="C298" s="2">
        <f>COUNTIFS(Games[Team],Games[[#This Row],[Team]],Games[Season],Games[[#This Row],[Season]],Games[Date],"&lt;=" &amp; Games[[#This Row],[Date]])</f>
        <v>26</v>
      </c>
      <c r="D298" s="2" t="s">
        <v>79</v>
      </c>
      <c r="E298" s="2" t="s">
        <v>80</v>
      </c>
      <c r="F298" s="1" t="s">
        <v>40</v>
      </c>
      <c r="G298" s="1" t="s">
        <v>75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29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298" s="2">
        <f>Games[[#This Row],[DaysOff]]-Games[[#This Row],[OppDaysOff]]</f>
        <v>0</v>
      </c>
      <c r="L298" s="2">
        <f>Games[[#This Row],[OppDaysOff]]-Games[[#This Row],[DaysOff]]</f>
        <v>0</v>
      </c>
      <c r="M298" s="16">
        <f>MAX(-16, MIN(16, Games[[#This Row],[RestDiff]]*8))</f>
        <v>0</v>
      </c>
      <c r="N298" s="16">
        <f>MAX(-16, MIN(16, Games[[#This Row],[OppRestDiff]]*8))</f>
        <v>0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1467.6408335497042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1476.610013628195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0.36931103370140111</v>
      </c>
      <c r="R298" s="1">
        <v>85</v>
      </c>
      <c r="S298" s="1">
        <v>65</v>
      </c>
      <c r="T298" s="1">
        <v>0</v>
      </c>
      <c r="U298" s="16">
        <f>Games[[#This Row],[PointsFor]]-Games[[#This Row],[PointsAgainst]]</f>
        <v>20</v>
      </c>
      <c r="V298" s="16">
        <f>IF(Games[[#This Row],[MOV]]&gt;0,1,IF(Games[[#This Row],[MOV]]=0,0.5,0))</f>
        <v>1</v>
      </c>
      <c r="W298" s="4">
        <f>((ABS(Games[[#This Row],[MOV]])+5)^0.6)/(12+0.01*(ABS(Games[[#This Row],[PreGmRate]]-Games[[#This Row],[OppPreGmRate]])))*IF(Games[[#This Row],[OT]]=1,0.9,1)</f>
        <v>0.57062234678787971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8" s="9">
        <f>MAX(kmin, kmax - 0.15 * MIN(Games[[#This Row],[GamesPlayed]], 82))</f>
        <v>72.099999999999994</v>
      </c>
      <c r="Z298" s="4">
        <f>Games[[#This Row],[K]]*Games[[#This Row],[POMult]]</f>
        <v>72.099999999999994</v>
      </c>
      <c r="AA298" s="4">
        <f>(Games[[#This Row],[Keff]]*Games[[#This Row],[MOVMult]])*(Games[[#This Row],[Result]]-Games[[#This Row],[ExpectedWin%]])</f>
        <v>25.947724220866299</v>
      </c>
      <c r="AB298" s="4">
        <f>Games[[#This Row],[PreGmRate]]+Games[[#This Row],[RatingChange]]</f>
        <v>1493.5885577705706</v>
      </c>
      <c r="AC298" s="2">
        <f>IF(Games[[#This Row],[Type]]="R",IF(Games[[#This Row],[Result]]&gt;0.5,1,0),0)</f>
        <v>1</v>
      </c>
      <c r="AD298" s="2">
        <f>IF(Games[[#This Row],[Type]]="R",IF(Games[[#This Row],[Result]]&lt;0.5,1,0),0)</f>
        <v>0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45519</v>
      </c>
      <c r="B299" s="2">
        <v>2024</v>
      </c>
      <c r="C299" s="2">
        <f>COUNTIFS(Games[Team],Games[[#This Row],[Team]],Games[Season],Games[[#This Row],[Season]],Games[Date],"&lt;=" &amp; Games[[#This Row],[Date]])</f>
        <v>25</v>
      </c>
      <c r="D299" s="2" t="s">
        <v>79</v>
      </c>
      <c r="E299" s="2" t="s">
        <v>80</v>
      </c>
      <c r="F299" s="1" t="s">
        <v>75</v>
      </c>
      <c r="G299" s="1" t="s">
        <v>40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29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299" s="2">
        <f>Games[[#This Row],[DaysOff]]-Games[[#This Row],[OppDaysOff]]</f>
        <v>0</v>
      </c>
      <c r="L299" s="2">
        <f>Games[[#This Row],[OppDaysOff]]-Games[[#This Row],[DaysOff]]</f>
        <v>0</v>
      </c>
      <c r="M299" s="16">
        <f>MAX(-16, MIN(16, Games[[#This Row],[RestDiff]]*8))</f>
        <v>0</v>
      </c>
      <c r="N299" s="16">
        <f>MAX(-16, MIN(16, Games[[#This Row],[OppRestDiff]]*8))</f>
        <v>0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1476.610013628195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1467.6408335497042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0.63068896629859883</v>
      </c>
      <c r="R299" s="1">
        <v>65</v>
      </c>
      <c r="S299" s="1">
        <v>85</v>
      </c>
      <c r="T299" s="1">
        <v>0</v>
      </c>
      <c r="U299" s="16">
        <f>Games[[#This Row],[PointsFor]]-Games[[#This Row],[PointsAgainst]]</f>
        <v>-20</v>
      </c>
      <c r="V299" s="16">
        <f>IF(Games[[#This Row],[MOV]]&gt;0,1,IF(Games[[#This Row],[MOV]]=0,0.5,0))</f>
        <v>0</v>
      </c>
      <c r="W299" s="4">
        <f>((ABS(Games[[#This Row],[MOV]])+5)^0.6)/(12+0.01*(ABS(Games[[#This Row],[PreGmRate]]-Games[[#This Row],[OppPreGmRate]])))*IF(Games[[#This Row],[OT]]=1,0.9,1)</f>
        <v>0.57062234678787971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9" s="9">
        <f>MAX(kmin, kmax - 0.15 * MIN(Games[[#This Row],[GamesPlayed]], 82))</f>
        <v>72.25</v>
      </c>
      <c r="Z299" s="4">
        <f>Games[[#This Row],[K]]*Games[[#This Row],[POMult]]</f>
        <v>72.25</v>
      </c>
      <c r="AA299" s="4">
        <f>(Games[[#This Row],[Keff]]*Games[[#This Row],[MOVMult]])*(Games[[#This Row],[Result]]-Games[[#This Row],[ExpectedWin%]])</f>
        <v>-26.001707003572683</v>
      </c>
      <c r="AB299" s="4">
        <f>Games[[#This Row],[PreGmRate]]+Games[[#This Row],[RatingChange]]</f>
        <v>1450.6083066246224</v>
      </c>
      <c r="AC299" s="2">
        <f>IF(Games[[#This Row],[Type]]="R",IF(Games[[#This Row],[Result]]&gt;0.5,1,0),0)</f>
        <v>0</v>
      </c>
      <c r="AD299" s="2">
        <f>IF(Games[[#This Row],[Type]]="R",IF(Games[[#This Row],[Result]]&lt;0.5,1,0),0)</f>
        <v>1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45519</v>
      </c>
      <c r="B300" s="2">
        <v>2024</v>
      </c>
      <c r="C300" s="2">
        <f>COUNTIFS(Games[Team],Games[[#This Row],[Team]],Games[Season],Games[[#This Row],[Season]],Games[Date],"&lt;=" &amp; Games[[#This Row],[Date]])</f>
        <v>26</v>
      </c>
      <c r="D300" s="2" t="s">
        <v>79</v>
      </c>
      <c r="E300" s="2" t="s">
        <v>80</v>
      </c>
      <c r="F300" s="1" t="s">
        <v>60</v>
      </c>
      <c r="G300" s="1" t="s">
        <v>63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0" s="2">
        <f>Games[[#This Row],[DaysOff]]-Games[[#This Row],[OppDaysOff]]</f>
        <v>0</v>
      </c>
      <c r="L300" s="2">
        <f>Games[[#This Row],[OppDaysOff]]-Games[[#This Row],[DaysOff]]</f>
        <v>0</v>
      </c>
      <c r="M300" s="16">
        <f>MAX(-16, MIN(16, Games[[#This Row],[RestDiff]]*8))</f>
        <v>0</v>
      </c>
      <c r="N300" s="16">
        <f>MAX(-16, MIN(16, Games[[#This Row],[OppRestDiff]]*8))</f>
        <v>0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1706.6650524115726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1368.4392415568441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0.81205846460954501</v>
      </c>
      <c r="R300" s="1">
        <v>103</v>
      </c>
      <c r="S300" s="1">
        <v>68</v>
      </c>
      <c r="T300" s="1">
        <v>0</v>
      </c>
      <c r="U300" s="16">
        <f>Games[[#This Row],[PointsFor]]-Games[[#This Row],[PointsAgainst]]</f>
        <v>35</v>
      </c>
      <c r="V300" s="16">
        <f>IF(Games[[#This Row],[MOV]]&gt;0,1,IF(Games[[#This Row],[MOV]]=0,0.5,0))</f>
        <v>1</v>
      </c>
      <c r="W300" s="4">
        <f>((ABS(Games[[#This Row],[MOV]])+5)^0.6)/(12+0.01*(ABS(Games[[#This Row],[PreGmRate]]-Games[[#This Row],[OppPreGmRate]])))*IF(Games[[#This Row],[OT]]=1,0.9,1)</f>
        <v>0.59458767197934437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0" s="9">
        <f>MAX(kmin, kmax - 0.15 * MIN(Games[[#This Row],[GamesPlayed]], 82))</f>
        <v>72.099999999999994</v>
      </c>
      <c r="Z300" s="4">
        <f>Games[[#This Row],[K]]*Games[[#This Row],[POMult]]</f>
        <v>72.099999999999994</v>
      </c>
      <c r="AA300" s="4">
        <f>(Games[[#This Row],[Keff]]*Games[[#This Row],[MOVMult]])*(Games[[#This Row],[Result]]-Games[[#This Row],[ExpectedWin%]])</f>
        <v>8.0570106117140643</v>
      </c>
      <c r="AB300" s="4">
        <f>Games[[#This Row],[PreGmRate]]+Games[[#This Row],[RatingChange]]</f>
        <v>1714.7220630232866</v>
      </c>
      <c r="AC300" s="2">
        <f>IF(Games[[#This Row],[Type]]="R",IF(Games[[#This Row],[Result]]&gt;0.5,1,0),0)</f>
        <v>1</v>
      </c>
      <c r="AD300" s="2">
        <f>IF(Games[[#This Row],[Type]]="R",IF(Games[[#This Row],[Result]]&lt;0.5,1,0),0)</f>
        <v>0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45519</v>
      </c>
      <c r="B301" s="2">
        <v>2024</v>
      </c>
      <c r="C301" s="2">
        <f>COUNTIFS(Games[Team],Games[[#This Row],[Team]],Games[Season],Games[[#This Row],[Season]],Games[Date],"&lt;=" &amp; Games[[#This Row],[Date]])</f>
        <v>25</v>
      </c>
      <c r="D301" s="2" t="s">
        <v>79</v>
      </c>
      <c r="E301" s="2" t="s">
        <v>80</v>
      </c>
      <c r="F301" s="1" t="s">
        <v>63</v>
      </c>
      <c r="G301" s="1" t="s">
        <v>60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1" s="2">
        <f>Games[[#This Row],[DaysOff]]-Games[[#This Row],[OppDaysOff]]</f>
        <v>0</v>
      </c>
      <c r="L301" s="2">
        <f>Games[[#This Row],[OppDaysOff]]-Games[[#This Row],[DaysOff]]</f>
        <v>0</v>
      </c>
      <c r="M301" s="16">
        <f>MAX(-16, MIN(16, Games[[#This Row],[RestDiff]]*8))</f>
        <v>0</v>
      </c>
      <c r="N301" s="16">
        <f>MAX(-16, MIN(16, Games[[#This Row],[OppRestDiff]]*8))</f>
        <v>0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1368.4392415568441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1706.6650524115726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0.18794153539045497</v>
      </c>
      <c r="R301" s="1">
        <v>68</v>
      </c>
      <c r="S301" s="1">
        <v>103</v>
      </c>
      <c r="T301" s="1">
        <v>0</v>
      </c>
      <c r="U301" s="16">
        <f>Games[[#This Row],[PointsFor]]-Games[[#This Row],[PointsAgainst]]</f>
        <v>-35</v>
      </c>
      <c r="V301" s="16">
        <f>IF(Games[[#This Row],[MOV]]&gt;0,1,IF(Games[[#This Row],[MOV]]=0,0.5,0))</f>
        <v>0</v>
      </c>
      <c r="W301" s="4">
        <f>((ABS(Games[[#This Row],[MOV]])+5)^0.6)/(12+0.01*(ABS(Games[[#This Row],[PreGmRate]]-Games[[#This Row],[OppPreGmRate]])))*IF(Games[[#This Row],[OT]]=1,0.9,1)</f>
        <v>0.59458767197934437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1" s="9">
        <f>MAX(kmin, kmax - 0.15 * MIN(Games[[#This Row],[GamesPlayed]], 82))</f>
        <v>72.25</v>
      </c>
      <c r="Z301" s="4">
        <f>Games[[#This Row],[K]]*Games[[#This Row],[POMult]]</f>
        <v>72.25</v>
      </c>
      <c r="AA301" s="4">
        <f>(Games[[#This Row],[Keff]]*Games[[#This Row],[MOVMult]])*(Games[[#This Row],[Result]]-Games[[#This Row],[ExpectedWin%]])</f>
        <v>-8.0737727697134698</v>
      </c>
      <c r="AB301" s="4">
        <f>Games[[#This Row],[PreGmRate]]+Games[[#This Row],[RatingChange]]</f>
        <v>1360.3654687871306</v>
      </c>
      <c r="AC301" s="2">
        <f>IF(Games[[#This Row],[Type]]="R",IF(Games[[#This Row],[Result]]&gt;0.5,1,0),0)</f>
        <v>0</v>
      </c>
      <c r="AD301" s="2">
        <f>IF(Games[[#This Row],[Type]]="R",IF(Games[[#This Row],[Result]]&lt;0.5,1,0),0)</f>
        <v>1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45519</v>
      </c>
      <c r="B302" s="2">
        <v>2024</v>
      </c>
      <c r="C302" s="2">
        <f>COUNTIFS(Games[Team],Games[[#This Row],[Team]],Games[Season],Games[[#This Row],[Season]],Games[Date],"&lt;=" &amp; Games[[#This Row],[Date]])</f>
        <v>26</v>
      </c>
      <c r="D302" s="2" t="s">
        <v>79</v>
      </c>
      <c r="E302" s="2" t="s">
        <v>80</v>
      </c>
      <c r="F302" s="1" t="s">
        <v>65</v>
      </c>
      <c r="G302" s="1" t="s">
        <v>67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28</v>
      </c>
      <c r="K302" s="2">
        <f>Games[[#This Row],[DaysOff]]-Games[[#This Row],[OppDaysOff]]</f>
        <v>1</v>
      </c>
      <c r="L302" s="2">
        <f>Games[[#This Row],[OppDaysOff]]-Games[[#This Row],[DaysOff]]</f>
        <v>-1</v>
      </c>
      <c r="M302" s="16">
        <f>MAX(-16, MIN(16, Games[[#This Row],[RestDiff]]*8))</f>
        <v>8</v>
      </c>
      <c r="N302" s="16">
        <f>MAX(-16, MIN(16, Games[[#This Row],[OppRestDiff]]*8))</f>
        <v>-8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1396.5031665759445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1562.7603699974427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0.20611687976066093</v>
      </c>
      <c r="R302" s="1">
        <v>68</v>
      </c>
      <c r="S302" s="1">
        <v>79</v>
      </c>
      <c r="T302" s="1">
        <v>0</v>
      </c>
      <c r="U302" s="16">
        <f>Games[[#This Row],[PointsFor]]-Games[[#This Row],[PointsAgainst]]</f>
        <v>-11</v>
      </c>
      <c r="V302" s="16">
        <f>IF(Games[[#This Row],[MOV]]&gt;0,1,IF(Games[[#This Row],[MOV]]=0,0.5,0))</f>
        <v>0</v>
      </c>
      <c r="W302" s="4">
        <f>((ABS(Games[[#This Row],[MOV]])+5)^0.6)/(12+0.01*(ABS(Games[[#This Row],[PreGmRate]]-Games[[#This Row],[OppPreGmRate]])))*IF(Games[[#This Row],[OT]]=1,0.9,1)</f>
        <v>0.38631317952973115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2" s="9">
        <f>MAX(kmin, kmax - 0.15 * MIN(Games[[#This Row],[GamesPlayed]], 82))</f>
        <v>72.099999999999994</v>
      </c>
      <c r="Z302" s="4">
        <f>Games[[#This Row],[K]]*Games[[#This Row],[POMult]]</f>
        <v>72.099999999999994</v>
      </c>
      <c r="AA302" s="4">
        <f>(Games[[#This Row],[Keff]]*Games[[#This Row],[MOVMult]])*(Games[[#This Row],[Result]]-Games[[#This Row],[ExpectedWin%]])</f>
        <v>-5.7410106033238595</v>
      </c>
      <c r="AB302" s="4">
        <f>Games[[#This Row],[PreGmRate]]+Games[[#This Row],[RatingChange]]</f>
        <v>1390.7621559726206</v>
      </c>
      <c r="AC302" s="2">
        <f>IF(Games[[#This Row],[Type]]="R",IF(Games[[#This Row],[Result]]&gt;0.5,1,0),0)</f>
        <v>0</v>
      </c>
      <c r="AD302" s="2">
        <f>IF(Games[[#This Row],[Type]]="R",IF(Games[[#This Row],[Result]]&lt;0.5,1,0),0)</f>
        <v>1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45519</v>
      </c>
      <c r="B303" s="2">
        <v>2024</v>
      </c>
      <c r="C303" s="2">
        <f>COUNTIFS(Games[Team],Games[[#This Row],[Team]],Games[Season],Games[[#This Row],[Season]],Games[Date],"&lt;=" &amp; Games[[#This Row],[Date]])</f>
        <v>26</v>
      </c>
      <c r="D303" s="2" t="s">
        <v>79</v>
      </c>
      <c r="E303" s="2" t="s">
        <v>80</v>
      </c>
      <c r="F303" s="1" t="s">
        <v>67</v>
      </c>
      <c r="G303" s="1" t="s">
        <v>65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28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3" s="2">
        <f>Games[[#This Row],[DaysOff]]-Games[[#This Row],[OppDaysOff]]</f>
        <v>-1</v>
      </c>
      <c r="L303" s="2">
        <f>Games[[#This Row],[OppDaysOff]]-Games[[#This Row],[DaysOff]]</f>
        <v>1</v>
      </c>
      <c r="M303" s="16">
        <f>MAX(-16, MIN(16, Games[[#This Row],[RestDiff]]*8))</f>
        <v>-8</v>
      </c>
      <c r="N303" s="16">
        <f>MAX(-16, MIN(16, Games[[#This Row],[OppRestDiff]]*8))</f>
        <v>8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1562.7603699974427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1396.5031665759445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0.79388312023933905</v>
      </c>
      <c r="R303" s="1">
        <v>79</v>
      </c>
      <c r="S303" s="1">
        <v>68</v>
      </c>
      <c r="T303" s="1">
        <v>0</v>
      </c>
      <c r="U303" s="16">
        <f>Games[[#This Row],[PointsFor]]-Games[[#This Row],[PointsAgainst]]</f>
        <v>11</v>
      </c>
      <c r="V303" s="16">
        <f>IF(Games[[#This Row],[MOV]]&gt;0,1,IF(Games[[#This Row],[MOV]]=0,0.5,0))</f>
        <v>1</v>
      </c>
      <c r="W303" s="4">
        <f>((ABS(Games[[#This Row],[MOV]])+5)^0.6)/(12+0.01*(ABS(Games[[#This Row],[PreGmRate]]-Games[[#This Row],[OppPreGmRate]])))*IF(Games[[#This Row],[OT]]=1,0.9,1)</f>
        <v>0.38631317952973115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3" s="9">
        <f>MAX(kmin, kmax - 0.15 * MIN(Games[[#This Row],[GamesPlayed]], 82))</f>
        <v>72.099999999999994</v>
      </c>
      <c r="Z303" s="4">
        <f>Games[[#This Row],[K]]*Games[[#This Row],[POMult]]</f>
        <v>72.099999999999994</v>
      </c>
      <c r="AA303" s="4">
        <f>(Games[[#This Row],[Keff]]*Games[[#This Row],[MOVMult]])*(Games[[#This Row],[Result]]-Games[[#This Row],[ExpectedWin%]])</f>
        <v>5.7410106033238604</v>
      </c>
      <c r="AB303" s="4">
        <f>Games[[#This Row],[PreGmRate]]+Games[[#This Row],[RatingChange]]</f>
        <v>1568.5013806007667</v>
      </c>
      <c r="AC303" s="2">
        <f>IF(Games[[#This Row],[Type]]="R",IF(Games[[#This Row],[Result]]&gt;0.5,1,0),0)</f>
        <v>1</v>
      </c>
      <c r="AD303" s="2">
        <f>IF(Games[[#This Row],[Type]]="R",IF(Games[[#This Row],[Result]]&lt;0.5,1,0),0)</f>
        <v>0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45520</v>
      </c>
      <c r="B304" s="2">
        <v>2024</v>
      </c>
      <c r="C304" s="2">
        <f>COUNTIFS(Games[Team],Games[[#This Row],[Team]],Games[Season],Games[[#This Row],[Season]],Games[Date],"&lt;=" &amp; Games[[#This Row],[Date]])</f>
        <v>26</v>
      </c>
      <c r="D304" s="2" t="s">
        <v>79</v>
      </c>
      <c r="E304" s="2" t="s">
        <v>80</v>
      </c>
      <c r="F304" s="1" t="s">
        <v>71</v>
      </c>
      <c r="G304" s="1" t="s">
        <v>77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30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4" s="2">
        <f>Games[[#This Row],[DaysOff]]-Games[[#This Row],[OppDaysOff]]</f>
        <v>1</v>
      </c>
      <c r="L304" s="2">
        <f>Games[[#This Row],[OppDaysOff]]-Games[[#This Row],[DaysOff]]</f>
        <v>-1</v>
      </c>
      <c r="M304" s="16">
        <f>MAX(-16, MIN(16, Games[[#This Row],[RestDiff]]*8))</f>
        <v>8</v>
      </c>
      <c r="N304" s="16">
        <f>MAX(-16, MIN(16, Games[[#This Row],[OppRestDiff]]*8))</f>
        <v>-8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1575.1141107526009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1369.436712476871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0.68837534462677508</v>
      </c>
      <c r="R304" s="1">
        <v>81</v>
      </c>
      <c r="S304" s="1">
        <v>83</v>
      </c>
      <c r="T304" s="1">
        <v>0</v>
      </c>
      <c r="U304" s="16">
        <f>Games[[#This Row],[PointsFor]]-Games[[#This Row],[PointsAgainst]]</f>
        <v>-2</v>
      </c>
      <c r="V304" s="16">
        <f>IF(Games[[#This Row],[MOV]]&gt;0,1,IF(Games[[#This Row],[MOV]]=0,0.5,0))</f>
        <v>0</v>
      </c>
      <c r="W304" s="4">
        <f>((ABS(Games[[#This Row],[MOV]])+5)^0.6)/(12+0.01*(ABS(Games[[#This Row],[PreGmRate]]-Games[[#This Row],[OppPreGmRate]])))*IF(Games[[#This Row],[OT]]=1,0.9,1)</f>
        <v>0.22865103000578935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4" s="9">
        <f>MAX(kmin, kmax - 0.15 * MIN(Games[[#This Row],[GamesPlayed]], 82))</f>
        <v>72.099999999999994</v>
      </c>
      <c r="Z304" s="4">
        <f>Games[[#This Row],[K]]*Games[[#This Row],[POMult]]</f>
        <v>72.099999999999994</v>
      </c>
      <c r="AA304" s="4">
        <f>(Games[[#This Row],[Keff]]*Games[[#This Row],[MOVMult]])*(Games[[#This Row],[Result]]-Games[[#This Row],[ExpectedWin%]])</f>
        <v>-11.348376446882117</v>
      </c>
      <c r="AB304" s="4">
        <f>Games[[#This Row],[PreGmRate]]+Games[[#This Row],[RatingChange]]</f>
        <v>1563.7657343057188</v>
      </c>
      <c r="AC304" s="2">
        <f>IF(Games[[#This Row],[Type]]="R",IF(Games[[#This Row],[Result]]&gt;0.5,1,0),0)</f>
        <v>0</v>
      </c>
      <c r="AD304" s="2">
        <f>IF(Games[[#This Row],[Type]]="R",IF(Games[[#This Row],[Result]]&lt;0.5,1,0),0)</f>
        <v>1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45520</v>
      </c>
      <c r="B305" s="2">
        <v>2024</v>
      </c>
      <c r="C305" s="2">
        <f>COUNTIFS(Games[Team],Games[[#This Row],[Team]],Games[Season],Games[[#This Row],[Season]],Games[Date],"&lt;=" &amp; Games[[#This Row],[Date]])</f>
        <v>25</v>
      </c>
      <c r="D305" s="2" t="s">
        <v>79</v>
      </c>
      <c r="E305" s="2" t="s">
        <v>80</v>
      </c>
      <c r="F305" s="1" t="s">
        <v>77</v>
      </c>
      <c r="G305" s="1" t="s">
        <v>71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30</v>
      </c>
      <c r="K305" s="2">
        <f>Games[[#This Row],[DaysOff]]-Games[[#This Row],[OppDaysOff]]</f>
        <v>-1</v>
      </c>
      <c r="L305" s="2">
        <f>Games[[#This Row],[OppDaysOff]]-Games[[#This Row],[DaysOff]]</f>
        <v>1</v>
      </c>
      <c r="M305" s="16">
        <f>MAX(-16, MIN(16, Games[[#This Row],[RestDiff]]*8))</f>
        <v>-8</v>
      </c>
      <c r="N305" s="16">
        <f>MAX(-16, MIN(16, Games[[#This Row],[OppRestDiff]]*8))</f>
        <v>8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1369.436712476871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1575.1141107526009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0.31162465537322487</v>
      </c>
      <c r="R305" s="1">
        <v>83</v>
      </c>
      <c r="S305" s="1">
        <v>81</v>
      </c>
      <c r="T305" s="1">
        <v>0</v>
      </c>
      <c r="U305" s="16">
        <f>Games[[#This Row],[PointsFor]]-Games[[#This Row],[PointsAgainst]]</f>
        <v>2</v>
      </c>
      <c r="V305" s="16">
        <f>IF(Games[[#This Row],[MOV]]&gt;0,1,IF(Games[[#This Row],[MOV]]=0,0.5,0))</f>
        <v>1</v>
      </c>
      <c r="W305" s="4">
        <f>((ABS(Games[[#This Row],[MOV]])+5)^0.6)/(12+0.01*(ABS(Games[[#This Row],[PreGmRate]]-Games[[#This Row],[OppPreGmRate]])))*IF(Games[[#This Row],[OT]]=1,0.9,1)</f>
        <v>0.22865103000578935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5" s="9">
        <f>MAX(kmin, kmax - 0.15 * MIN(Games[[#This Row],[GamesPlayed]], 82))</f>
        <v>72.25</v>
      </c>
      <c r="Z305" s="4">
        <f>Games[[#This Row],[K]]*Games[[#This Row],[POMult]]</f>
        <v>72.25</v>
      </c>
      <c r="AA305" s="4">
        <f>(Games[[#This Row],[Keff]]*Games[[#This Row],[MOVMult]])*(Games[[#This Row],[Result]]-Games[[#This Row],[ExpectedWin%]])</f>
        <v>11.371986106619042</v>
      </c>
      <c r="AB305" s="4">
        <f>Games[[#This Row],[PreGmRate]]+Games[[#This Row],[RatingChange]]</f>
        <v>1380.80869858349</v>
      </c>
      <c r="AC305" s="2">
        <f>IF(Games[[#This Row],[Type]]="R",IF(Games[[#This Row],[Result]]&gt;0.5,1,0),0)</f>
        <v>1</v>
      </c>
      <c r="AD305" s="2">
        <f>IF(Games[[#This Row],[Type]]="R",IF(Games[[#This Row],[Result]]&lt;0.5,1,0),0)</f>
        <v>0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45520</v>
      </c>
      <c r="B306" s="2">
        <v>2024</v>
      </c>
      <c r="C306" s="2">
        <f>COUNTIFS(Games[Team],Games[[#This Row],[Team]],Games[Season],Games[[#This Row],[Season]],Games[Date],"&lt;=" &amp; Games[[#This Row],[Date]])</f>
        <v>25</v>
      </c>
      <c r="D306" s="2" t="s">
        <v>79</v>
      </c>
      <c r="E306" s="2" t="s">
        <v>80</v>
      </c>
      <c r="F306" s="1" t="s">
        <v>74</v>
      </c>
      <c r="G306" s="1" t="s">
        <v>85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30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6" s="2">
        <f>Games[[#This Row],[DaysOff]]-Games[[#This Row],[OppDaysOff]]</f>
        <v>1</v>
      </c>
      <c r="L306" s="2">
        <f>Games[[#This Row],[OppDaysOff]]-Games[[#This Row],[DaysOff]]</f>
        <v>-1</v>
      </c>
      <c r="M306" s="16">
        <f>MAX(-16, MIN(16, Games[[#This Row],[RestDiff]]*8))</f>
        <v>8</v>
      </c>
      <c r="N306" s="16">
        <f>MAX(-16, MIN(16, Games[[#This Row],[OppRestDiff]]*8))</f>
        <v>-8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1620.5767457119227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1370.0276621903674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0.74093559302142531</v>
      </c>
      <c r="R306" s="1">
        <v>109</v>
      </c>
      <c r="S306" s="1">
        <v>91</v>
      </c>
      <c r="T306" s="1">
        <v>0</v>
      </c>
      <c r="U306" s="16">
        <f>Games[[#This Row],[PointsFor]]-Games[[#This Row],[PointsAgainst]]</f>
        <v>18</v>
      </c>
      <c r="V306" s="16">
        <f>IF(Games[[#This Row],[MOV]]&gt;0,1,IF(Games[[#This Row],[MOV]]=0,0.5,0))</f>
        <v>1</v>
      </c>
      <c r="W306" s="4">
        <f>((ABS(Games[[#This Row],[MOV]])+5)^0.6)/(12+0.01*(ABS(Games[[#This Row],[PreGmRate]]-Games[[#This Row],[OppPreGmRate]])))*IF(Games[[#This Row],[OT]]=1,0.9,1)</f>
        <v>0.45238091285990889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6" s="9">
        <f>MAX(kmin, kmax - 0.15 * MIN(Games[[#This Row],[GamesPlayed]], 82))</f>
        <v>72.25</v>
      </c>
      <c r="Z306" s="4">
        <f>Games[[#This Row],[K]]*Games[[#This Row],[POMult]]</f>
        <v>72.25</v>
      </c>
      <c r="AA306" s="4">
        <f>(Games[[#This Row],[Keff]]*Games[[#This Row],[MOVMult]])*(Games[[#This Row],[Result]]-Games[[#This Row],[ExpectedWin%]])</f>
        <v>8.4673960383600768</v>
      </c>
      <c r="AB306" s="4">
        <f>Games[[#This Row],[PreGmRate]]+Games[[#This Row],[RatingChange]]</f>
        <v>1629.0441417502827</v>
      </c>
      <c r="AC306" s="2">
        <f>IF(Games[[#This Row],[Type]]="R",IF(Games[[#This Row],[Result]]&gt;0.5,1,0),0)</f>
        <v>1</v>
      </c>
      <c r="AD306" s="2">
        <f>IF(Games[[#This Row],[Type]]="R",IF(Games[[#This Row],[Result]]&lt;0.5,1,0),0)</f>
        <v>0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45520</v>
      </c>
      <c r="B307" s="2">
        <v>2024</v>
      </c>
      <c r="C307" s="2">
        <f>COUNTIFS(Games[Team],Games[[#This Row],[Team]],Games[Season],Games[[#This Row],[Season]],Games[Date],"&lt;=" &amp; Games[[#This Row],[Date]])</f>
        <v>26</v>
      </c>
      <c r="D307" s="2" t="s">
        <v>79</v>
      </c>
      <c r="E307" s="2" t="s">
        <v>80</v>
      </c>
      <c r="F307" s="1" t="s">
        <v>85</v>
      </c>
      <c r="G307" s="1" t="s">
        <v>74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30</v>
      </c>
      <c r="K307" s="2">
        <f>Games[[#This Row],[DaysOff]]-Games[[#This Row],[OppDaysOff]]</f>
        <v>-1</v>
      </c>
      <c r="L307" s="2">
        <f>Games[[#This Row],[OppDaysOff]]-Games[[#This Row],[DaysOff]]</f>
        <v>1</v>
      </c>
      <c r="M307" s="16">
        <f>MAX(-16, MIN(16, Games[[#This Row],[RestDiff]]*8))</f>
        <v>-8</v>
      </c>
      <c r="N307" s="16">
        <f>MAX(-16, MIN(16, Games[[#This Row],[OppRestDiff]]*8))</f>
        <v>8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1370.0276621903674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1620.5767457119227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0.25906440697857469</v>
      </c>
      <c r="R307" s="1">
        <v>91</v>
      </c>
      <c r="S307" s="1">
        <v>109</v>
      </c>
      <c r="T307" s="1">
        <v>0</v>
      </c>
      <c r="U307" s="16">
        <f>Games[[#This Row],[PointsFor]]-Games[[#This Row],[PointsAgainst]]</f>
        <v>-18</v>
      </c>
      <c r="V307" s="16">
        <f>IF(Games[[#This Row],[MOV]]&gt;0,1,IF(Games[[#This Row],[MOV]]=0,0.5,0))</f>
        <v>0</v>
      </c>
      <c r="W307" s="4">
        <f>((ABS(Games[[#This Row],[MOV]])+5)^0.6)/(12+0.01*(ABS(Games[[#This Row],[PreGmRate]]-Games[[#This Row],[OppPreGmRate]])))*IF(Games[[#This Row],[OT]]=1,0.9,1)</f>
        <v>0.45238091285990889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7" s="9">
        <f>MAX(kmin, kmax - 0.15 * MIN(Games[[#This Row],[GamesPlayed]], 82))</f>
        <v>72.099999999999994</v>
      </c>
      <c r="Z307" s="4">
        <f>Games[[#This Row],[K]]*Games[[#This Row],[POMult]]</f>
        <v>72.099999999999994</v>
      </c>
      <c r="AA307" s="4">
        <f>(Games[[#This Row],[Keff]]*Games[[#This Row],[MOVMult]])*(Games[[#This Row],[Result]]-Games[[#This Row],[ExpectedWin%]])</f>
        <v>-8.4498166694223045</v>
      </c>
      <c r="AB307" s="4">
        <f>Games[[#This Row],[PreGmRate]]+Games[[#This Row],[RatingChange]]</f>
        <v>1361.5778455209452</v>
      </c>
      <c r="AC307" s="2">
        <f>IF(Games[[#This Row],[Type]]="R",IF(Games[[#This Row],[Result]]&gt;0.5,1,0),0)</f>
        <v>0</v>
      </c>
      <c r="AD307" s="2">
        <f>IF(Games[[#This Row],[Type]]="R",IF(Games[[#This Row],[Result]]&lt;0.5,1,0),0)</f>
        <v>1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45520</v>
      </c>
      <c r="B308" s="2">
        <v>2024</v>
      </c>
      <c r="C308" s="2">
        <f>COUNTIFS(Games[Team],Games[[#This Row],[Team]],Games[Season],Games[[#This Row],[Season]],Games[Date],"&lt;=" &amp; Games[[#This Row],[Date]])</f>
        <v>27</v>
      </c>
      <c r="D308" s="2" t="s">
        <v>79</v>
      </c>
      <c r="E308" s="2" t="s">
        <v>80</v>
      </c>
      <c r="F308" s="1" t="s">
        <v>40</v>
      </c>
      <c r="G308" s="1" t="s">
        <v>69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0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29</v>
      </c>
      <c r="K308" s="2">
        <f>Games[[#This Row],[DaysOff]]-Games[[#This Row],[OppDaysOff]]</f>
        <v>-29</v>
      </c>
      <c r="L308" s="2">
        <f>Games[[#This Row],[OppDaysOff]]-Games[[#This Row],[DaysOff]]</f>
        <v>29</v>
      </c>
      <c r="M308" s="16">
        <f>MAX(-16, MIN(16, Games[[#This Row],[RestDiff]]*8))</f>
        <v>-16</v>
      </c>
      <c r="N308" s="16">
        <f>MAX(-16, MIN(16, Games[[#This Row],[OppRestDiff]]*8))</f>
        <v>16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1493.5885577705706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1446.6990484627545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0.40183334508063806</v>
      </c>
      <c r="R308" s="1">
        <v>89</v>
      </c>
      <c r="S308" s="1">
        <v>98</v>
      </c>
      <c r="T308" s="1">
        <v>0</v>
      </c>
      <c r="U308" s="16">
        <f>Games[[#This Row],[PointsFor]]-Games[[#This Row],[PointsAgainst]]</f>
        <v>-9</v>
      </c>
      <c r="V308" s="16">
        <f>IF(Games[[#This Row],[MOV]]&gt;0,1,IF(Games[[#This Row],[MOV]]=0,0.5,0))</f>
        <v>0</v>
      </c>
      <c r="W308" s="4">
        <f>((ABS(Games[[#This Row],[MOV]])+5)^0.6)/(12+0.01*(ABS(Games[[#This Row],[PreGmRate]]-Games[[#This Row],[OppPreGmRate]])))*IF(Games[[#This Row],[OT]]=1,0.9,1)</f>
        <v>0.3907048932083253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8" s="9">
        <f>MAX(kmin, kmax - 0.15 * MIN(Games[[#This Row],[GamesPlayed]], 82))</f>
        <v>71.95</v>
      </c>
      <c r="Z308" s="4">
        <f>Games[[#This Row],[K]]*Games[[#This Row],[POMult]]</f>
        <v>71.95</v>
      </c>
      <c r="AA308" s="4">
        <f>(Games[[#This Row],[Keff]]*Games[[#This Row],[MOVMult]])*(Games[[#This Row],[Result]]-Games[[#This Row],[ExpectedWin%]])</f>
        <v>-11.296024388054924</v>
      </c>
      <c r="AB308" s="4">
        <f>Games[[#This Row],[PreGmRate]]+Games[[#This Row],[RatingChange]]</f>
        <v>1482.2925333825156</v>
      </c>
      <c r="AC308" s="2">
        <f>IF(Games[[#This Row],[Type]]="R",IF(Games[[#This Row],[Result]]&gt;0.5,1,0),0)</f>
        <v>0</v>
      </c>
      <c r="AD308" s="2">
        <f>IF(Games[[#This Row],[Type]]="R",IF(Games[[#This Row],[Result]]&lt;0.5,1,0),0)</f>
        <v>1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45520</v>
      </c>
      <c r="B309" s="2">
        <v>2024</v>
      </c>
      <c r="C309" s="2">
        <f>COUNTIFS(Games[Team],Games[[#This Row],[Team]],Games[Season],Games[[#This Row],[Season]],Games[Date],"&lt;=" &amp; Games[[#This Row],[Date]])</f>
        <v>27</v>
      </c>
      <c r="D309" s="2" t="s">
        <v>79</v>
      </c>
      <c r="E309" s="2" t="s">
        <v>80</v>
      </c>
      <c r="F309" s="1" t="s">
        <v>69</v>
      </c>
      <c r="G309" s="1" t="s">
        <v>40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29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09" s="2">
        <f>Games[[#This Row],[DaysOff]]-Games[[#This Row],[OppDaysOff]]</f>
        <v>29</v>
      </c>
      <c r="L309" s="2">
        <f>Games[[#This Row],[OppDaysOff]]-Games[[#This Row],[DaysOff]]</f>
        <v>-29</v>
      </c>
      <c r="M309" s="16">
        <f>MAX(-16, MIN(16, Games[[#This Row],[RestDiff]]*8))</f>
        <v>16</v>
      </c>
      <c r="N309" s="16">
        <f>MAX(-16, MIN(16, Games[[#This Row],[OppRestDiff]]*8))</f>
        <v>-16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1446.6990484627545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1493.5885577705706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0.59816665491936183</v>
      </c>
      <c r="R309" s="1">
        <v>98</v>
      </c>
      <c r="S309" s="1">
        <v>89</v>
      </c>
      <c r="T309" s="1">
        <v>0</v>
      </c>
      <c r="U309" s="16">
        <f>Games[[#This Row],[PointsFor]]-Games[[#This Row],[PointsAgainst]]</f>
        <v>9</v>
      </c>
      <c r="V309" s="16">
        <f>IF(Games[[#This Row],[MOV]]&gt;0,1,IF(Games[[#This Row],[MOV]]=0,0.5,0))</f>
        <v>1</v>
      </c>
      <c r="W309" s="4">
        <f>((ABS(Games[[#This Row],[MOV]])+5)^0.6)/(12+0.01*(ABS(Games[[#This Row],[PreGmRate]]-Games[[#This Row],[OppPreGmRate]])))*IF(Games[[#This Row],[OT]]=1,0.9,1)</f>
        <v>0.3907048932083253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9" s="9">
        <f>MAX(kmin, kmax - 0.15 * MIN(Games[[#This Row],[GamesPlayed]], 82))</f>
        <v>71.95</v>
      </c>
      <c r="Z309" s="4">
        <f>Games[[#This Row],[K]]*Games[[#This Row],[POMult]]</f>
        <v>71.95</v>
      </c>
      <c r="AA309" s="4">
        <f>(Games[[#This Row],[Keff]]*Games[[#This Row],[MOVMult]])*(Games[[#This Row],[Result]]-Games[[#This Row],[ExpectedWin%]])</f>
        <v>11.296024388054926</v>
      </c>
      <c r="AB309" s="4">
        <f>Games[[#This Row],[PreGmRate]]+Games[[#This Row],[RatingChange]]</f>
        <v>1457.9950728508095</v>
      </c>
      <c r="AC309" s="2">
        <f>IF(Games[[#This Row],[Type]]="R",IF(Games[[#This Row],[Result]]&gt;0.5,1,0),0)</f>
        <v>1</v>
      </c>
      <c r="AD309" s="2">
        <f>IF(Games[[#This Row],[Type]]="R",IF(Games[[#This Row],[Result]]&lt;0.5,1,0),0)</f>
        <v>0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45521</v>
      </c>
      <c r="B310" s="2">
        <v>2024</v>
      </c>
      <c r="C310" s="2">
        <f>COUNTIFS(Games[Team],Games[[#This Row],[Team]],Games[Season],Games[[#This Row],[Season]],Games[Date],"&lt;=" &amp; Games[[#This Row],[Date]])</f>
        <v>26</v>
      </c>
      <c r="D310" s="2" t="s">
        <v>79</v>
      </c>
      <c r="E310" s="2" t="s">
        <v>80</v>
      </c>
      <c r="F310" s="1" t="s">
        <v>75</v>
      </c>
      <c r="G310" s="1" t="s">
        <v>63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0" s="2">
        <f>Games[[#This Row],[DaysOff]]-Games[[#This Row],[OppDaysOff]]</f>
        <v>0</v>
      </c>
      <c r="L310" s="2">
        <f>Games[[#This Row],[OppDaysOff]]-Games[[#This Row],[DaysOff]]</f>
        <v>0</v>
      </c>
      <c r="M310" s="16">
        <f>MAX(-16, MIN(16, Games[[#This Row],[RestDiff]]*8))</f>
        <v>0</v>
      </c>
      <c r="N310" s="16">
        <f>MAX(-16, MIN(16, Games[[#This Row],[OppRestDiff]]*8))</f>
        <v>0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1450.6083066246224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1360.3654687871306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0.5089831990852155</v>
      </c>
      <c r="R310" s="1">
        <v>90</v>
      </c>
      <c r="S310" s="1">
        <v>86</v>
      </c>
      <c r="T310" s="1">
        <v>0</v>
      </c>
      <c r="U310" s="16">
        <f>Games[[#This Row],[PointsFor]]-Games[[#This Row],[PointsAgainst]]</f>
        <v>4</v>
      </c>
      <c r="V310" s="16">
        <f>IF(Games[[#This Row],[MOV]]&gt;0,1,IF(Games[[#This Row],[MOV]]=0,0.5,0))</f>
        <v>1</v>
      </c>
      <c r="W310" s="4">
        <f>((ABS(Games[[#This Row],[MOV]])+5)^0.6)/(12+0.01*(ABS(Games[[#This Row],[PreGmRate]]-Games[[#This Row],[OppPreGmRate]])))*IF(Games[[#This Row],[OT]]=1,0.9,1)</f>
        <v>0.28965034404765733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0" s="9">
        <f>MAX(kmin, kmax - 0.15 * MIN(Games[[#This Row],[GamesPlayed]], 82))</f>
        <v>72.099999999999994</v>
      </c>
      <c r="Z310" s="4">
        <f>Games[[#This Row],[K]]*Games[[#This Row],[POMult]]</f>
        <v>72.099999999999994</v>
      </c>
      <c r="AA310" s="4">
        <f>(Games[[#This Row],[Keff]]*Games[[#This Row],[MOVMult]])*(Games[[#This Row],[Result]]-Games[[#This Row],[ExpectedWin%]])</f>
        <v>10.254291661438426</v>
      </c>
      <c r="AB310" s="4">
        <f>Games[[#This Row],[PreGmRate]]+Games[[#This Row],[RatingChange]]</f>
        <v>1460.8625982860608</v>
      </c>
      <c r="AC310" s="2">
        <f>IF(Games[[#This Row],[Type]]="R",IF(Games[[#This Row],[Result]]&gt;0.5,1,0),0)</f>
        <v>1</v>
      </c>
      <c r="AD310" s="2">
        <f>IF(Games[[#This Row],[Type]]="R",IF(Games[[#This Row],[Result]]&lt;0.5,1,0),0)</f>
        <v>0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45521</v>
      </c>
      <c r="B311" s="2">
        <v>2024</v>
      </c>
      <c r="C311" s="2">
        <f>COUNTIFS(Games[Team],Games[[#This Row],[Team]],Games[Season],Games[[#This Row],[Season]],Games[Date],"&lt;=" &amp; Games[[#This Row],[Date]])</f>
        <v>26</v>
      </c>
      <c r="D311" s="2" t="s">
        <v>79</v>
      </c>
      <c r="E311" s="2" t="s">
        <v>80</v>
      </c>
      <c r="F311" s="1" t="s">
        <v>63</v>
      </c>
      <c r="G311" s="1" t="s">
        <v>75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1" s="2">
        <f>Games[[#This Row],[DaysOff]]-Games[[#This Row],[OppDaysOff]]</f>
        <v>0</v>
      </c>
      <c r="L311" s="2">
        <f>Games[[#This Row],[OppDaysOff]]-Games[[#This Row],[DaysOff]]</f>
        <v>0</v>
      </c>
      <c r="M311" s="16">
        <f>MAX(-16, MIN(16, Games[[#This Row],[RestDiff]]*8))</f>
        <v>0</v>
      </c>
      <c r="N311" s="16">
        <f>MAX(-16, MIN(16, Games[[#This Row],[OppRestDiff]]*8))</f>
        <v>0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1360.3654687871306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1450.6083066246224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0.4910168009147845</v>
      </c>
      <c r="R311" s="1">
        <v>86</v>
      </c>
      <c r="S311" s="1">
        <v>90</v>
      </c>
      <c r="T311" s="1">
        <v>0</v>
      </c>
      <c r="U311" s="16">
        <f>Games[[#This Row],[PointsFor]]-Games[[#This Row],[PointsAgainst]]</f>
        <v>-4</v>
      </c>
      <c r="V311" s="16">
        <f>IF(Games[[#This Row],[MOV]]&gt;0,1,IF(Games[[#This Row],[MOV]]=0,0.5,0))</f>
        <v>0</v>
      </c>
      <c r="W311" s="4">
        <f>((ABS(Games[[#This Row],[MOV]])+5)^0.6)/(12+0.01*(ABS(Games[[#This Row],[PreGmRate]]-Games[[#This Row],[OppPreGmRate]])))*IF(Games[[#This Row],[OT]]=1,0.9,1)</f>
        <v>0.28965034404765733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1" s="9">
        <f>MAX(kmin, kmax - 0.15 * MIN(Games[[#This Row],[GamesPlayed]], 82))</f>
        <v>72.099999999999994</v>
      </c>
      <c r="Z311" s="4">
        <f>Games[[#This Row],[K]]*Games[[#This Row],[POMult]]</f>
        <v>72.099999999999994</v>
      </c>
      <c r="AA311" s="4">
        <f>(Games[[#This Row],[Keff]]*Games[[#This Row],[MOVMult]])*(Games[[#This Row],[Result]]-Games[[#This Row],[ExpectedWin%]])</f>
        <v>-10.254291661438426</v>
      </c>
      <c r="AB311" s="4">
        <f>Games[[#This Row],[PreGmRate]]+Games[[#This Row],[RatingChange]]</f>
        <v>1350.1111771256922</v>
      </c>
      <c r="AC311" s="2">
        <f>IF(Games[[#This Row],[Type]]="R",IF(Games[[#This Row],[Result]]&gt;0.5,1,0),0)</f>
        <v>0</v>
      </c>
      <c r="AD311" s="2">
        <f>IF(Games[[#This Row],[Type]]="R",IF(Games[[#This Row],[Result]]&lt;0.5,1,0),0)</f>
        <v>1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45521</v>
      </c>
      <c r="B312" s="2">
        <v>2024</v>
      </c>
      <c r="C312" s="2">
        <f>COUNTIFS(Games[Team],Games[[#This Row],[Team]],Games[Season],Games[[#This Row],[Season]],Games[Date],"&lt;=" &amp; Games[[#This Row],[Date]])</f>
        <v>27</v>
      </c>
      <c r="D312" s="2" t="s">
        <v>79</v>
      </c>
      <c r="E312" s="2" t="s">
        <v>80</v>
      </c>
      <c r="F312" s="1" t="s">
        <v>60</v>
      </c>
      <c r="G312" s="1" t="s">
        <v>86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31</v>
      </c>
      <c r="K312" s="2">
        <f>Games[[#This Row],[DaysOff]]-Games[[#This Row],[OppDaysOff]]</f>
        <v>-30</v>
      </c>
      <c r="L312" s="2">
        <f>Games[[#This Row],[OppDaysOff]]-Games[[#This Row],[DaysOff]]</f>
        <v>30</v>
      </c>
      <c r="M312" s="16">
        <f>MAX(-16, MIN(16, Games[[#This Row],[RestDiff]]*8))</f>
        <v>-16</v>
      </c>
      <c r="N312" s="16">
        <f>MAX(-16, MIN(16, Games[[#This Row],[OppRestDiff]]*8))</f>
        <v>16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1714.7220630232866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1638.9906723061149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0.44230691909886638</v>
      </c>
      <c r="R312" s="1">
        <v>79</v>
      </c>
      <c r="S312" s="1">
        <v>67</v>
      </c>
      <c r="T312" s="1">
        <v>0</v>
      </c>
      <c r="U312" s="16">
        <f>Games[[#This Row],[PointsFor]]-Games[[#This Row],[PointsAgainst]]</f>
        <v>12</v>
      </c>
      <c r="V312" s="16">
        <f>IF(Games[[#This Row],[MOV]]&gt;0,1,IF(Games[[#This Row],[MOV]]=0,0.5,0))</f>
        <v>1</v>
      </c>
      <c r="W312" s="4">
        <f>((ABS(Games[[#This Row],[MOV]])+5)^0.6)/(12+0.01*(ABS(Games[[#This Row],[PreGmRate]]-Games[[#This Row],[OppPreGmRate]])))*IF(Games[[#This Row],[OT]]=1,0.9,1)</f>
        <v>0.42905217796996026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2" s="9">
        <f>MAX(kmin, kmax - 0.15 * MIN(Games[[#This Row],[GamesPlayed]], 82))</f>
        <v>71.95</v>
      </c>
      <c r="Z312" s="4">
        <f>Games[[#This Row],[K]]*Games[[#This Row],[POMult]]</f>
        <v>71.95</v>
      </c>
      <c r="AA312" s="4">
        <f>(Games[[#This Row],[Keff]]*Games[[#This Row],[MOVMult]])*(Games[[#This Row],[Result]]-Games[[#This Row],[ExpectedWin%]])</f>
        <v>17.216155060407448</v>
      </c>
      <c r="AB312" s="4">
        <f>Games[[#This Row],[PreGmRate]]+Games[[#This Row],[RatingChange]]</f>
        <v>1731.938218083694</v>
      </c>
      <c r="AC312" s="2">
        <f>IF(Games[[#This Row],[Type]]="R",IF(Games[[#This Row],[Result]]&gt;0.5,1,0),0)</f>
        <v>1</v>
      </c>
      <c r="AD312" s="2">
        <f>IF(Games[[#This Row],[Type]]="R",IF(Games[[#This Row],[Result]]&lt;0.5,1,0),0)</f>
        <v>0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45521</v>
      </c>
      <c r="B313" s="2">
        <v>2024</v>
      </c>
      <c r="C313" s="2">
        <f>COUNTIFS(Games[Team],Games[[#This Row],[Team]],Games[Season],Games[[#This Row],[Season]],Games[Date],"&lt;=" &amp; Games[[#This Row],[Date]])</f>
        <v>25</v>
      </c>
      <c r="D313" s="2" t="s">
        <v>79</v>
      </c>
      <c r="E313" s="2" t="s">
        <v>80</v>
      </c>
      <c r="F313" s="1" t="s">
        <v>86</v>
      </c>
      <c r="G313" s="1" t="s">
        <v>60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31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3" s="2">
        <f>Games[[#This Row],[DaysOff]]-Games[[#This Row],[OppDaysOff]]</f>
        <v>30</v>
      </c>
      <c r="L313" s="2">
        <f>Games[[#This Row],[OppDaysOff]]-Games[[#This Row],[DaysOff]]</f>
        <v>-30</v>
      </c>
      <c r="M313" s="16">
        <f>MAX(-16, MIN(16, Games[[#This Row],[RestDiff]]*8))</f>
        <v>16</v>
      </c>
      <c r="N313" s="16">
        <f>MAX(-16, MIN(16, Games[[#This Row],[OppRestDiff]]*8))</f>
        <v>-16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1638.9906723061149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1714.7220630232866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0.55769308090113356</v>
      </c>
      <c r="R313" s="1">
        <v>67</v>
      </c>
      <c r="S313" s="1">
        <v>79</v>
      </c>
      <c r="T313" s="1">
        <v>0</v>
      </c>
      <c r="U313" s="16">
        <f>Games[[#This Row],[PointsFor]]-Games[[#This Row],[PointsAgainst]]</f>
        <v>-12</v>
      </c>
      <c r="V313" s="16">
        <f>IF(Games[[#This Row],[MOV]]&gt;0,1,IF(Games[[#This Row],[MOV]]=0,0.5,0))</f>
        <v>0</v>
      </c>
      <c r="W313" s="4">
        <f>((ABS(Games[[#This Row],[MOV]])+5)^0.6)/(12+0.01*(ABS(Games[[#This Row],[PreGmRate]]-Games[[#This Row],[OppPreGmRate]])))*IF(Games[[#This Row],[OT]]=1,0.9,1)</f>
        <v>0.42905217796996026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3" s="9">
        <f>MAX(kmin, kmax - 0.15 * MIN(Games[[#This Row],[GamesPlayed]], 82))</f>
        <v>72.25</v>
      </c>
      <c r="Z313" s="4">
        <f>Games[[#This Row],[K]]*Games[[#This Row],[POMult]]</f>
        <v>72.25</v>
      </c>
      <c r="AA313" s="4">
        <f>(Games[[#This Row],[Keff]]*Games[[#This Row],[MOVMult]])*(Games[[#This Row],[Result]]-Games[[#This Row],[ExpectedWin%]])</f>
        <v>-17.28793888970727</v>
      </c>
      <c r="AB313" s="4">
        <f>Games[[#This Row],[PreGmRate]]+Games[[#This Row],[RatingChange]]</f>
        <v>1621.7027334164077</v>
      </c>
      <c r="AC313" s="2">
        <f>IF(Games[[#This Row],[Type]]="R",IF(Games[[#This Row],[Result]]&gt;0.5,1,0),0)</f>
        <v>0</v>
      </c>
      <c r="AD313" s="2">
        <f>IF(Games[[#This Row],[Type]]="R",IF(Games[[#This Row],[Result]]&lt;0.5,1,0),0)</f>
        <v>1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45521</v>
      </c>
      <c r="B314" s="2">
        <v>2024</v>
      </c>
      <c r="C314" s="2">
        <f>COUNTIFS(Games[Team],Games[[#This Row],[Team]],Games[Season],Games[[#This Row],[Season]],Games[Date],"&lt;=" &amp; Games[[#This Row],[Date]])</f>
        <v>27</v>
      </c>
      <c r="D314" s="2" t="s">
        <v>79</v>
      </c>
      <c r="E314" s="2" t="s">
        <v>80</v>
      </c>
      <c r="F314" s="1" t="s">
        <v>67</v>
      </c>
      <c r="G314" s="1" t="s">
        <v>65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4" s="2">
        <f>Games[[#This Row],[DaysOff]]-Games[[#This Row],[OppDaysOff]]</f>
        <v>0</v>
      </c>
      <c r="L314" s="2">
        <f>Games[[#This Row],[OppDaysOff]]-Games[[#This Row],[DaysOff]]</f>
        <v>0</v>
      </c>
      <c r="M314" s="16">
        <f>MAX(-16, MIN(16, Games[[#This Row],[RestDiff]]*8))</f>
        <v>0</v>
      </c>
      <c r="N314" s="16">
        <f>MAX(-16, MIN(16, Games[[#This Row],[OppRestDiff]]*8))</f>
        <v>0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1568.5013806007667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1390.7621559726206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0.63172084069417211</v>
      </c>
      <c r="R314" s="1">
        <v>99</v>
      </c>
      <c r="S314" s="1">
        <v>83</v>
      </c>
      <c r="T314" s="1">
        <v>0</v>
      </c>
      <c r="U314" s="16">
        <f>Games[[#This Row],[PointsFor]]-Games[[#This Row],[PointsAgainst]]</f>
        <v>16</v>
      </c>
      <c r="V314" s="16">
        <f>IF(Games[[#This Row],[MOV]]&gt;0,1,IF(Games[[#This Row],[MOV]]=0,0.5,0))</f>
        <v>1</v>
      </c>
      <c r="W314" s="4">
        <f>((ABS(Games[[#This Row],[MOV]])+5)^0.6)/(12+0.01*(ABS(Games[[#This Row],[PreGmRate]]-Games[[#This Row],[OppPreGmRate]])))*IF(Games[[#This Row],[OT]]=1,0.9,1)</f>
        <v>0.45098755093060205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4" s="9">
        <f>MAX(kmin, kmax - 0.15 * MIN(Games[[#This Row],[GamesPlayed]], 82))</f>
        <v>71.95</v>
      </c>
      <c r="Z314" s="4">
        <f>Games[[#This Row],[K]]*Games[[#This Row],[POMult]]</f>
        <v>71.95</v>
      </c>
      <c r="AA314" s="4">
        <f>(Games[[#This Row],[Keff]]*Games[[#This Row],[MOVMult]])*(Games[[#This Row],[Result]]-Games[[#This Row],[ExpectedWin%]])</f>
        <v>11.950126294410675</v>
      </c>
      <c r="AB314" s="4">
        <f>Games[[#This Row],[PreGmRate]]+Games[[#This Row],[RatingChange]]</f>
        <v>1580.4515068951773</v>
      </c>
      <c r="AC314" s="2">
        <f>IF(Games[[#This Row],[Type]]="R",IF(Games[[#This Row],[Result]]&gt;0.5,1,0),0)</f>
        <v>1</v>
      </c>
      <c r="AD314" s="2">
        <f>IF(Games[[#This Row],[Type]]="R",IF(Games[[#This Row],[Result]]&lt;0.5,1,0),0)</f>
        <v>0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45521</v>
      </c>
      <c r="B315" s="2">
        <v>2024</v>
      </c>
      <c r="C315" s="2">
        <f>COUNTIFS(Games[Team],Games[[#This Row],[Team]],Games[Season],Games[[#This Row],[Season]],Games[Date],"&lt;=" &amp; Games[[#This Row],[Date]])</f>
        <v>27</v>
      </c>
      <c r="D315" s="2" t="s">
        <v>79</v>
      </c>
      <c r="E315" s="2" t="s">
        <v>80</v>
      </c>
      <c r="F315" s="1" t="s">
        <v>65</v>
      </c>
      <c r="G315" s="1" t="s">
        <v>67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5" s="2">
        <f>Games[[#This Row],[DaysOff]]-Games[[#This Row],[OppDaysOff]]</f>
        <v>0</v>
      </c>
      <c r="L315" s="2">
        <f>Games[[#This Row],[OppDaysOff]]-Games[[#This Row],[DaysOff]]</f>
        <v>0</v>
      </c>
      <c r="M315" s="16">
        <f>MAX(-16, MIN(16, Games[[#This Row],[RestDiff]]*8))</f>
        <v>0</v>
      </c>
      <c r="N315" s="16">
        <f>MAX(-16, MIN(16, Games[[#This Row],[OppRestDiff]]*8))</f>
        <v>0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1390.7621559726206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1568.5013806007667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0.36827915930582789</v>
      </c>
      <c r="R315" s="1">
        <v>83</v>
      </c>
      <c r="S315" s="1">
        <v>99</v>
      </c>
      <c r="T315" s="1">
        <v>0</v>
      </c>
      <c r="U315" s="16">
        <f>Games[[#This Row],[PointsFor]]-Games[[#This Row],[PointsAgainst]]</f>
        <v>-16</v>
      </c>
      <c r="V315" s="16">
        <f>IF(Games[[#This Row],[MOV]]&gt;0,1,IF(Games[[#This Row],[MOV]]=0,0.5,0))</f>
        <v>0</v>
      </c>
      <c r="W315" s="4">
        <f>((ABS(Games[[#This Row],[MOV]])+5)^0.6)/(12+0.01*(ABS(Games[[#This Row],[PreGmRate]]-Games[[#This Row],[OppPreGmRate]])))*IF(Games[[#This Row],[OT]]=1,0.9,1)</f>
        <v>0.45098755093060205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5" s="9">
        <f>MAX(kmin, kmax - 0.15 * MIN(Games[[#This Row],[GamesPlayed]], 82))</f>
        <v>71.95</v>
      </c>
      <c r="Z315" s="4">
        <f>Games[[#This Row],[K]]*Games[[#This Row],[POMult]]</f>
        <v>71.95</v>
      </c>
      <c r="AA315" s="4">
        <f>(Games[[#This Row],[Keff]]*Games[[#This Row],[MOVMult]])*(Games[[#This Row],[Result]]-Games[[#This Row],[ExpectedWin%]])</f>
        <v>-11.950126294410675</v>
      </c>
      <c r="AB315" s="4">
        <f>Games[[#This Row],[PreGmRate]]+Games[[#This Row],[RatingChange]]</f>
        <v>1378.8120296782099</v>
      </c>
      <c r="AC315" s="2">
        <f>IF(Games[[#This Row],[Type]]="R",IF(Games[[#This Row],[Result]]&gt;0.5,1,0),0)</f>
        <v>0</v>
      </c>
      <c r="AD315" s="2">
        <f>IF(Games[[#This Row],[Type]]="R",IF(Games[[#This Row],[Result]]&lt;0.5,1,0),0)</f>
        <v>1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45522</v>
      </c>
      <c r="B316" s="2">
        <v>2024</v>
      </c>
      <c r="C316" s="2">
        <f>COUNTIFS(Games[Team],Games[[#This Row],[Team]],Games[Season],Games[[#This Row],[Season]],Games[Date],"&lt;=" &amp; Games[[#This Row],[Date]])</f>
        <v>26</v>
      </c>
      <c r="D316" s="2" t="s">
        <v>79</v>
      </c>
      <c r="E316" s="2" t="s">
        <v>80</v>
      </c>
      <c r="F316" s="1" t="s">
        <v>74</v>
      </c>
      <c r="G316" s="1" t="s">
        <v>77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6" s="2">
        <f>Games[[#This Row],[DaysOff]]-Games[[#This Row],[OppDaysOff]]</f>
        <v>0</v>
      </c>
      <c r="L316" s="2">
        <f>Games[[#This Row],[OppDaysOff]]-Games[[#This Row],[DaysOff]]</f>
        <v>0</v>
      </c>
      <c r="M316" s="16">
        <f>MAX(-16, MIN(16, Games[[#This Row],[RestDiff]]*8))</f>
        <v>0</v>
      </c>
      <c r="N316" s="16">
        <f>MAX(-16, MIN(16, Games[[#This Row],[OppRestDiff]]*8))</f>
        <v>0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1629.0441417502827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1380.80869858349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0.72019220524130756</v>
      </c>
      <c r="R316" s="1">
        <v>70</v>
      </c>
      <c r="S316" s="1">
        <v>82</v>
      </c>
      <c r="T316" s="1">
        <v>0</v>
      </c>
      <c r="U316" s="16">
        <f>Games[[#This Row],[PointsFor]]-Games[[#This Row],[PointsAgainst]]</f>
        <v>-12</v>
      </c>
      <c r="V316" s="16">
        <f>IF(Games[[#This Row],[MOV]]&gt;0,1,IF(Games[[#This Row],[MOV]]=0,0.5,0))</f>
        <v>0</v>
      </c>
      <c r="W316" s="4">
        <f>((ABS(Games[[#This Row],[MOV]])+5)^0.6)/(12+0.01*(ABS(Games[[#This Row],[PreGmRate]]-Games[[#This Row],[OppPreGmRate]])))*IF(Games[[#This Row],[OT]]=1,0.9,1)</f>
        <v>0.37794637210022358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6" s="9">
        <f>MAX(kmin, kmax - 0.15 * MIN(Games[[#This Row],[GamesPlayed]], 82))</f>
        <v>72.099999999999994</v>
      </c>
      <c r="Z316" s="4">
        <f>Games[[#This Row],[K]]*Games[[#This Row],[POMult]]</f>
        <v>72.099999999999994</v>
      </c>
      <c r="AA316" s="4">
        <f>(Games[[#This Row],[Keff]]*Games[[#This Row],[MOVMult]])*(Games[[#This Row],[Result]]-Games[[#This Row],[ExpectedWin%]])</f>
        <v>-19.625189648497031</v>
      </c>
      <c r="AB316" s="4">
        <f>Games[[#This Row],[PreGmRate]]+Games[[#This Row],[RatingChange]]</f>
        <v>1609.4189521017856</v>
      </c>
      <c r="AC316" s="2">
        <f>IF(Games[[#This Row],[Type]]="R",IF(Games[[#This Row],[Result]]&gt;0.5,1,0),0)</f>
        <v>0</v>
      </c>
      <c r="AD316" s="2">
        <f>IF(Games[[#This Row],[Type]]="R",IF(Games[[#This Row],[Result]]&lt;0.5,1,0),0)</f>
        <v>1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45522</v>
      </c>
      <c r="B317" s="2">
        <v>2024</v>
      </c>
      <c r="C317" s="2">
        <f>COUNTIFS(Games[Team],Games[[#This Row],[Team]],Games[Season],Games[[#This Row],[Season]],Games[Date],"&lt;=" &amp; Games[[#This Row],[Date]])</f>
        <v>26</v>
      </c>
      <c r="D317" s="2" t="s">
        <v>79</v>
      </c>
      <c r="E317" s="2" t="s">
        <v>80</v>
      </c>
      <c r="F317" s="1" t="s">
        <v>77</v>
      </c>
      <c r="G317" s="1" t="s">
        <v>74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7" s="2">
        <f>Games[[#This Row],[DaysOff]]-Games[[#This Row],[OppDaysOff]]</f>
        <v>0</v>
      </c>
      <c r="L317" s="2">
        <f>Games[[#This Row],[OppDaysOff]]-Games[[#This Row],[DaysOff]]</f>
        <v>0</v>
      </c>
      <c r="M317" s="16">
        <f>MAX(-16, MIN(16, Games[[#This Row],[RestDiff]]*8))</f>
        <v>0</v>
      </c>
      <c r="N317" s="16">
        <f>MAX(-16, MIN(16, Games[[#This Row],[OppRestDiff]]*8))</f>
        <v>0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1380.80869858349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1629.0441417502827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0.27980779475869244</v>
      </c>
      <c r="R317" s="1">
        <v>82</v>
      </c>
      <c r="S317" s="1">
        <v>70</v>
      </c>
      <c r="T317" s="1">
        <v>0</v>
      </c>
      <c r="U317" s="16">
        <f>Games[[#This Row],[PointsFor]]-Games[[#This Row],[PointsAgainst]]</f>
        <v>12</v>
      </c>
      <c r="V317" s="16">
        <f>IF(Games[[#This Row],[MOV]]&gt;0,1,IF(Games[[#This Row],[MOV]]=0,0.5,0))</f>
        <v>1</v>
      </c>
      <c r="W317" s="4">
        <f>((ABS(Games[[#This Row],[MOV]])+5)^0.6)/(12+0.01*(ABS(Games[[#This Row],[PreGmRate]]-Games[[#This Row],[OppPreGmRate]])))*IF(Games[[#This Row],[OT]]=1,0.9,1)</f>
        <v>0.37794637210022358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7" s="9">
        <f>MAX(kmin, kmax - 0.15 * MIN(Games[[#This Row],[GamesPlayed]], 82))</f>
        <v>72.099999999999994</v>
      </c>
      <c r="Z317" s="4">
        <f>Games[[#This Row],[K]]*Games[[#This Row],[POMult]]</f>
        <v>72.099999999999994</v>
      </c>
      <c r="AA317" s="4">
        <f>(Games[[#This Row],[Keff]]*Games[[#This Row],[MOVMult]])*(Games[[#This Row],[Result]]-Games[[#This Row],[ExpectedWin%]])</f>
        <v>19.625189648497031</v>
      </c>
      <c r="AB317" s="4">
        <f>Games[[#This Row],[PreGmRate]]+Games[[#This Row],[RatingChange]]</f>
        <v>1400.4338882319871</v>
      </c>
      <c r="AC317" s="2">
        <f>IF(Games[[#This Row],[Type]]="R",IF(Games[[#This Row],[Result]]&gt;0.5,1,0),0)</f>
        <v>1</v>
      </c>
      <c r="AD317" s="2">
        <f>IF(Games[[#This Row],[Type]]="R",IF(Games[[#This Row],[Result]]&lt;0.5,1,0),0)</f>
        <v>0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45522</v>
      </c>
      <c r="B318" s="2">
        <v>2024</v>
      </c>
      <c r="C318" s="2">
        <f>COUNTIFS(Games[Team],Games[[#This Row],[Team]],Games[Season],Games[[#This Row],[Season]],Games[Date],"&lt;=" &amp; Games[[#This Row],[Date]])</f>
        <v>27</v>
      </c>
      <c r="D318" s="2" t="s">
        <v>79</v>
      </c>
      <c r="E318" s="2" t="s">
        <v>80</v>
      </c>
      <c r="F318" s="1" t="s">
        <v>71</v>
      </c>
      <c r="G318" s="1" t="s">
        <v>69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8" s="2">
        <f>Games[[#This Row],[DaysOff]]-Games[[#This Row],[OppDaysOff]]</f>
        <v>0</v>
      </c>
      <c r="L318" s="2">
        <f>Games[[#This Row],[OppDaysOff]]-Games[[#This Row],[DaysOff]]</f>
        <v>0</v>
      </c>
      <c r="M318" s="16">
        <f>MAX(-16, MIN(16, Games[[#This Row],[RestDiff]]*8))</f>
        <v>0</v>
      </c>
      <c r="N318" s="16">
        <f>MAX(-16, MIN(16, Games[[#This Row],[OppRestDiff]]*8))</f>
        <v>0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1563.7657343057188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1457.9950728508095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0.5312895592615845</v>
      </c>
      <c r="R318" s="1">
        <v>75</v>
      </c>
      <c r="S318" s="1">
        <v>92</v>
      </c>
      <c r="T318" s="1">
        <v>0</v>
      </c>
      <c r="U318" s="16">
        <f>Games[[#This Row],[PointsFor]]-Games[[#This Row],[PointsAgainst]]</f>
        <v>-17</v>
      </c>
      <c r="V318" s="16">
        <f>IF(Games[[#This Row],[MOV]]&gt;0,1,IF(Games[[#This Row],[MOV]]=0,0.5,0))</f>
        <v>0</v>
      </c>
      <c r="W318" s="4">
        <f>((ABS(Games[[#This Row],[MOV]])+5)^0.6)/(12+0.01*(ABS(Games[[#This Row],[PreGmRate]]-Games[[#This Row],[OppPreGmRate]])))*IF(Games[[#This Row],[OT]]=1,0.9,1)</f>
        <v>0.48931294120706531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8" s="9">
        <f>MAX(kmin, kmax - 0.15 * MIN(Games[[#This Row],[GamesPlayed]], 82))</f>
        <v>71.95</v>
      </c>
      <c r="Z318" s="4">
        <f>Games[[#This Row],[K]]*Games[[#This Row],[POMult]]</f>
        <v>71.95</v>
      </c>
      <c r="AA318" s="4">
        <f>(Games[[#This Row],[Keff]]*Games[[#This Row],[MOVMult]])*(Games[[#This Row],[Result]]-Games[[#This Row],[ExpectedWin%]])</f>
        <v>-18.704615352148434</v>
      </c>
      <c r="AB318" s="4">
        <f>Games[[#This Row],[PreGmRate]]+Games[[#This Row],[RatingChange]]</f>
        <v>1545.0611189535703</v>
      </c>
      <c r="AC318" s="2">
        <f>IF(Games[[#This Row],[Type]]="R",IF(Games[[#This Row],[Result]]&gt;0.5,1,0),0)</f>
        <v>0</v>
      </c>
      <c r="AD318" s="2">
        <f>IF(Games[[#This Row],[Type]]="R",IF(Games[[#This Row],[Result]]&lt;0.5,1,0),0)</f>
        <v>1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45522</v>
      </c>
      <c r="B319" s="2">
        <v>2024</v>
      </c>
      <c r="C319" s="2">
        <f>COUNTIFS(Games[Team],Games[[#This Row],[Team]],Games[Season],Games[[#This Row],[Season]],Games[Date],"&lt;=" &amp; Games[[#This Row],[Date]])</f>
        <v>28</v>
      </c>
      <c r="D319" s="2" t="s">
        <v>79</v>
      </c>
      <c r="E319" s="2" t="s">
        <v>80</v>
      </c>
      <c r="F319" s="1" t="s">
        <v>69</v>
      </c>
      <c r="G319" s="1" t="s">
        <v>71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9" s="2">
        <f>Games[[#This Row],[DaysOff]]-Games[[#This Row],[OppDaysOff]]</f>
        <v>0</v>
      </c>
      <c r="L319" s="2">
        <f>Games[[#This Row],[OppDaysOff]]-Games[[#This Row],[DaysOff]]</f>
        <v>0</v>
      </c>
      <c r="M319" s="16">
        <f>MAX(-16, MIN(16, Games[[#This Row],[RestDiff]]*8))</f>
        <v>0</v>
      </c>
      <c r="N319" s="16">
        <f>MAX(-16, MIN(16, Games[[#This Row],[OppRestDiff]]*8))</f>
        <v>0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1457.9950728508095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1563.7657343057188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0.4687104407384155</v>
      </c>
      <c r="R319" s="1">
        <v>92</v>
      </c>
      <c r="S319" s="1">
        <v>75</v>
      </c>
      <c r="T319" s="1">
        <v>0</v>
      </c>
      <c r="U319" s="16">
        <f>Games[[#This Row],[PointsFor]]-Games[[#This Row],[PointsAgainst]]</f>
        <v>17</v>
      </c>
      <c r="V319" s="16">
        <f>IF(Games[[#This Row],[MOV]]&gt;0,1,IF(Games[[#This Row],[MOV]]=0,0.5,0))</f>
        <v>1</v>
      </c>
      <c r="W319" s="4">
        <f>((ABS(Games[[#This Row],[MOV]])+5)^0.6)/(12+0.01*(ABS(Games[[#This Row],[PreGmRate]]-Games[[#This Row],[OppPreGmRate]])))*IF(Games[[#This Row],[OT]]=1,0.9,1)</f>
        <v>0.48931294120706531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9" s="9">
        <f>MAX(kmin, kmax - 0.15 * MIN(Games[[#This Row],[GamesPlayed]], 82))</f>
        <v>71.8</v>
      </c>
      <c r="Z319" s="4">
        <f>Games[[#This Row],[K]]*Games[[#This Row],[POMult]]</f>
        <v>71.8</v>
      </c>
      <c r="AA319" s="4">
        <f>(Games[[#This Row],[Keff]]*Games[[#This Row],[MOVMult]])*(Games[[#This Row],[Result]]-Games[[#This Row],[ExpectedWin%]])</f>
        <v>18.665620323617198</v>
      </c>
      <c r="AB319" s="4">
        <f>Games[[#This Row],[PreGmRate]]+Games[[#This Row],[RatingChange]]</f>
        <v>1476.6606931744268</v>
      </c>
      <c r="AC319" s="2">
        <f>IF(Games[[#This Row],[Type]]="R",IF(Games[[#This Row],[Result]]&gt;0.5,1,0),0)</f>
        <v>1</v>
      </c>
      <c r="AD319" s="2">
        <f>IF(Games[[#This Row],[Type]]="R",IF(Games[[#This Row],[Result]]&lt;0.5,1,0),0)</f>
        <v>0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45522</v>
      </c>
      <c r="B320" s="2">
        <v>2024</v>
      </c>
      <c r="C320" s="2">
        <f>COUNTIFS(Games[Team],Games[[#This Row],[Team]],Games[Season],Games[[#This Row],[Season]],Games[Date],"&lt;=" &amp; Games[[#This Row],[Date]])</f>
        <v>27</v>
      </c>
      <c r="D320" s="2" t="s">
        <v>79</v>
      </c>
      <c r="E320" s="2" t="s">
        <v>80</v>
      </c>
      <c r="F320" s="1" t="s">
        <v>63</v>
      </c>
      <c r="G320" s="1" t="s">
        <v>86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20" s="2">
        <f>Games[[#This Row],[DaysOff]]-Games[[#This Row],[OppDaysOff]]</f>
        <v>0</v>
      </c>
      <c r="L320" s="2">
        <f>Games[[#This Row],[OppDaysOff]]-Games[[#This Row],[DaysOff]]</f>
        <v>0</v>
      </c>
      <c r="M320" s="16">
        <f>MAX(-16, MIN(16, Games[[#This Row],[RestDiff]]*8))</f>
        <v>0</v>
      </c>
      <c r="N320" s="16">
        <f>MAX(-16, MIN(16, Games[[#This Row],[OppRestDiff]]*8))</f>
        <v>0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1350.1111771256922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1621.7027334164077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0.11436097618433999</v>
      </c>
      <c r="R320" s="1">
        <v>71</v>
      </c>
      <c r="S320" s="1">
        <v>87</v>
      </c>
      <c r="T320" s="1">
        <v>0</v>
      </c>
      <c r="U320" s="16">
        <f>Games[[#This Row],[PointsFor]]-Games[[#This Row],[PointsAgainst]]</f>
        <v>-16</v>
      </c>
      <c r="V320" s="16">
        <f>IF(Games[[#This Row],[MOV]]&gt;0,1,IF(Games[[#This Row],[MOV]]=0,0.5,0))</f>
        <v>0</v>
      </c>
      <c r="W320" s="4">
        <f>((ABS(Games[[#This Row],[MOV]])+5)^0.6)/(12+0.01*(ABS(Games[[#This Row],[PreGmRate]]-Games[[#This Row],[OppPreGmRate]])))*IF(Games[[#This Row],[OT]]=1,0.9,1)</f>
        <v>0.42222533561026138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0" s="9">
        <f>MAX(kmin, kmax - 0.15 * MIN(Games[[#This Row],[GamesPlayed]], 82))</f>
        <v>71.95</v>
      </c>
      <c r="Z320" s="4">
        <f>Games[[#This Row],[K]]*Games[[#This Row],[POMult]]</f>
        <v>71.95</v>
      </c>
      <c r="AA320" s="4">
        <f>(Games[[#This Row],[Keff]]*Games[[#This Row],[MOVMult]])*(Games[[#This Row],[Result]]-Games[[#This Row],[ExpectedWin%]])</f>
        <v>-3.4741850065332973</v>
      </c>
      <c r="AB320" s="4">
        <f>Games[[#This Row],[PreGmRate]]+Games[[#This Row],[RatingChange]]</f>
        <v>1346.6369921191588</v>
      </c>
      <c r="AC320" s="2">
        <f>IF(Games[[#This Row],[Type]]="R",IF(Games[[#This Row],[Result]]&gt;0.5,1,0),0)</f>
        <v>0</v>
      </c>
      <c r="AD320" s="2">
        <f>IF(Games[[#This Row],[Type]]="R",IF(Games[[#This Row],[Result]]&lt;0.5,1,0),0)</f>
        <v>1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45522</v>
      </c>
      <c r="B321" s="2">
        <v>2024</v>
      </c>
      <c r="C321" s="2">
        <f>COUNTIFS(Games[Team],Games[[#This Row],[Team]],Games[Season],Games[[#This Row],[Season]],Games[Date],"&lt;=" &amp; Games[[#This Row],[Date]])</f>
        <v>26</v>
      </c>
      <c r="D321" s="2" t="s">
        <v>79</v>
      </c>
      <c r="E321" s="2" t="s">
        <v>80</v>
      </c>
      <c r="F321" s="1" t="s">
        <v>86</v>
      </c>
      <c r="G321" s="1" t="s">
        <v>63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21" s="2">
        <f>Games[[#This Row],[DaysOff]]-Games[[#This Row],[OppDaysOff]]</f>
        <v>0</v>
      </c>
      <c r="L321" s="2">
        <f>Games[[#This Row],[OppDaysOff]]-Games[[#This Row],[DaysOff]]</f>
        <v>0</v>
      </c>
      <c r="M321" s="16">
        <f>MAX(-16, MIN(16, Games[[#This Row],[RestDiff]]*8))</f>
        <v>0</v>
      </c>
      <c r="N321" s="16">
        <f>MAX(-16, MIN(16, Games[[#This Row],[OppRestDiff]]*8))</f>
        <v>0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1621.7027334164077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1350.1111771256922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0.88563902381565995</v>
      </c>
      <c r="R321" s="1">
        <v>87</v>
      </c>
      <c r="S321" s="1">
        <v>71</v>
      </c>
      <c r="T321" s="1">
        <v>0</v>
      </c>
      <c r="U321" s="16">
        <f>Games[[#This Row],[PointsFor]]-Games[[#This Row],[PointsAgainst]]</f>
        <v>16</v>
      </c>
      <c r="V321" s="16">
        <f>IF(Games[[#This Row],[MOV]]&gt;0,1,IF(Games[[#This Row],[MOV]]=0,0.5,0))</f>
        <v>1</v>
      </c>
      <c r="W321" s="4">
        <f>((ABS(Games[[#This Row],[MOV]])+5)^0.6)/(12+0.01*(ABS(Games[[#This Row],[PreGmRate]]-Games[[#This Row],[OppPreGmRate]])))*IF(Games[[#This Row],[OT]]=1,0.9,1)</f>
        <v>0.42222533561026138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1" s="9">
        <f>MAX(kmin, kmax - 0.15 * MIN(Games[[#This Row],[GamesPlayed]], 82))</f>
        <v>72.099999999999994</v>
      </c>
      <c r="Z321" s="4">
        <f>Games[[#This Row],[K]]*Games[[#This Row],[POMult]]</f>
        <v>72.099999999999994</v>
      </c>
      <c r="AA321" s="4">
        <f>(Games[[#This Row],[Keff]]*Games[[#This Row],[MOVMult]])*(Games[[#This Row],[Result]]-Games[[#This Row],[ExpectedWin%]])</f>
        <v>3.4814279217658211</v>
      </c>
      <c r="AB321" s="4">
        <f>Games[[#This Row],[PreGmRate]]+Games[[#This Row],[RatingChange]]</f>
        <v>1625.1841613381735</v>
      </c>
      <c r="AC321" s="2">
        <f>IF(Games[[#This Row],[Type]]="R",IF(Games[[#This Row],[Result]]&gt;0.5,1,0),0)</f>
        <v>1</v>
      </c>
      <c r="AD321" s="2">
        <f>IF(Games[[#This Row],[Type]]="R",IF(Games[[#This Row],[Result]]&lt;0.5,1,0),0)</f>
        <v>0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45522</v>
      </c>
      <c r="B322" s="2">
        <v>2024</v>
      </c>
      <c r="C322" s="2">
        <f>COUNTIFS(Games[Team],Games[[#This Row],[Team]],Games[Season],Games[[#This Row],[Season]],Games[Date],"&lt;=" &amp; Games[[#This Row],[Date]])</f>
        <v>27</v>
      </c>
      <c r="D322" s="2" t="s">
        <v>79</v>
      </c>
      <c r="E322" s="2" t="s">
        <v>80</v>
      </c>
      <c r="F322" s="1" t="s">
        <v>75</v>
      </c>
      <c r="G322" s="1" t="s">
        <v>40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0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2" s="2">
        <f>Games[[#This Row],[DaysOff]]-Games[[#This Row],[OppDaysOff]]</f>
        <v>-1</v>
      </c>
      <c r="L322" s="2">
        <f>Games[[#This Row],[OppDaysOff]]-Games[[#This Row],[DaysOff]]</f>
        <v>1</v>
      </c>
      <c r="M322" s="16">
        <f>MAX(-16, MIN(16, Games[[#This Row],[RestDiff]]*8))</f>
        <v>-8</v>
      </c>
      <c r="N322" s="16">
        <f>MAX(-16, MIN(16, Games[[#This Row],[OppRestDiff]]*8))</f>
        <v>8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1460.8625982860608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1482.2925333825156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0.33203244854010044</v>
      </c>
      <c r="R322" s="1">
        <v>68</v>
      </c>
      <c r="S322" s="1">
        <v>86</v>
      </c>
      <c r="T322" s="1">
        <v>0</v>
      </c>
      <c r="U322" s="16">
        <f>Games[[#This Row],[PointsFor]]-Games[[#This Row],[PointsAgainst]]</f>
        <v>-18</v>
      </c>
      <c r="V322" s="16">
        <f>IF(Games[[#This Row],[MOV]]&gt;0,1,IF(Games[[#This Row],[MOV]]=0,0.5,0))</f>
        <v>0</v>
      </c>
      <c r="W322" s="4">
        <f>((ABS(Games[[#This Row],[MOV]])+5)^0.6)/(12+0.01*(ABS(Games[[#This Row],[PreGmRate]]-Games[[#This Row],[OppPreGmRate]])))*IF(Games[[#This Row],[OT]]=1,0.9,1)</f>
        <v>0.53723975456665563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2" s="9">
        <f>MAX(kmin, kmax - 0.15 * MIN(Games[[#This Row],[GamesPlayed]], 82))</f>
        <v>71.95</v>
      </c>
      <c r="Z322" s="4">
        <f>Games[[#This Row],[K]]*Games[[#This Row],[POMult]]</f>
        <v>71.95</v>
      </c>
      <c r="AA322" s="4">
        <f>(Games[[#This Row],[Keff]]*Games[[#This Row],[MOVMult]])*(Games[[#This Row],[Result]]-Games[[#This Row],[ExpectedWin%]])</f>
        <v>-12.834515192095056</v>
      </c>
      <c r="AB322" s="4">
        <f>Games[[#This Row],[PreGmRate]]+Games[[#This Row],[RatingChange]]</f>
        <v>1448.0280830939657</v>
      </c>
      <c r="AC322" s="2">
        <f>IF(Games[[#This Row],[Type]]="R",IF(Games[[#This Row],[Result]]&gt;0.5,1,0),0)</f>
        <v>0</v>
      </c>
      <c r="AD322" s="2">
        <f>IF(Games[[#This Row],[Type]]="R",IF(Games[[#This Row],[Result]]&lt;0.5,1,0),0)</f>
        <v>1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45522</v>
      </c>
      <c r="B323" s="2">
        <v>2024</v>
      </c>
      <c r="C323" s="2">
        <f>COUNTIFS(Games[Team],Games[[#This Row],[Team]],Games[Season],Games[[#This Row],[Season]],Games[Date],"&lt;=" &amp; Games[[#This Row],[Date]])</f>
        <v>28</v>
      </c>
      <c r="D323" s="2" t="s">
        <v>79</v>
      </c>
      <c r="E323" s="2" t="s">
        <v>80</v>
      </c>
      <c r="F323" s="1" t="s">
        <v>40</v>
      </c>
      <c r="G323" s="1" t="s">
        <v>75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23" s="2">
        <f>Games[[#This Row],[DaysOff]]-Games[[#This Row],[OppDaysOff]]</f>
        <v>1</v>
      </c>
      <c r="L323" s="2">
        <f>Games[[#This Row],[OppDaysOff]]-Games[[#This Row],[DaysOff]]</f>
        <v>-1</v>
      </c>
      <c r="M323" s="16">
        <f>MAX(-16, MIN(16, Games[[#This Row],[RestDiff]]*8))</f>
        <v>8</v>
      </c>
      <c r="N323" s="16">
        <f>MAX(-16, MIN(16, Games[[#This Row],[OppRestDiff]]*8))</f>
        <v>-8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1482.2925333825156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1460.8625982860608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0.6679675514598995</v>
      </c>
      <c r="R323" s="1">
        <v>86</v>
      </c>
      <c r="S323" s="1">
        <v>68</v>
      </c>
      <c r="T323" s="1">
        <v>0</v>
      </c>
      <c r="U323" s="16">
        <f>Games[[#This Row],[PointsFor]]-Games[[#This Row],[PointsAgainst]]</f>
        <v>18</v>
      </c>
      <c r="V323" s="16">
        <f>IF(Games[[#This Row],[MOV]]&gt;0,1,IF(Games[[#This Row],[MOV]]=0,0.5,0))</f>
        <v>1</v>
      </c>
      <c r="W323" s="4">
        <f>((ABS(Games[[#This Row],[MOV]])+5)^0.6)/(12+0.01*(ABS(Games[[#This Row],[PreGmRate]]-Games[[#This Row],[OppPreGmRate]])))*IF(Games[[#This Row],[OT]]=1,0.9,1)</f>
        <v>0.53723975456665563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3" s="9">
        <f>MAX(kmin, kmax - 0.15 * MIN(Games[[#This Row],[GamesPlayed]], 82))</f>
        <v>71.8</v>
      </c>
      <c r="Z323" s="4">
        <f>Games[[#This Row],[K]]*Games[[#This Row],[POMult]]</f>
        <v>71.8</v>
      </c>
      <c r="AA323" s="4">
        <f>(Games[[#This Row],[Keff]]*Games[[#This Row],[MOVMult]])*(Games[[#This Row],[Result]]-Games[[#This Row],[ExpectedWin%]])</f>
        <v>12.807758037420781</v>
      </c>
      <c r="AB323" s="4">
        <f>Games[[#This Row],[PreGmRate]]+Games[[#This Row],[RatingChange]]</f>
        <v>1495.1002914199364</v>
      </c>
      <c r="AC323" s="2">
        <f>IF(Games[[#This Row],[Type]]="R",IF(Games[[#This Row],[Result]]&gt;0.5,1,0),0)</f>
        <v>1</v>
      </c>
      <c r="AD323" s="2">
        <f>IF(Games[[#This Row],[Type]]="R",IF(Games[[#This Row],[Result]]&lt;0.5,1,0),0)</f>
        <v>0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45524</v>
      </c>
      <c r="B324" s="2">
        <v>2024</v>
      </c>
      <c r="C324" s="2">
        <f>COUNTIFS(Games[Team],Games[[#This Row],[Team]],Games[Season],Games[[#This Row],[Season]],Games[Date],"&lt;=" &amp; Games[[#This Row],[Date]])</f>
        <v>28</v>
      </c>
      <c r="D324" s="2" t="s">
        <v>79</v>
      </c>
      <c r="E324" s="2" t="s">
        <v>80</v>
      </c>
      <c r="F324" s="1" t="s">
        <v>63</v>
      </c>
      <c r="G324" s="1" t="s">
        <v>74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4" s="2">
        <f>Games[[#This Row],[DaysOff]]-Games[[#This Row],[OppDaysOff]]</f>
        <v>0</v>
      </c>
      <c r="L324" s="2">
        <f>Games[[#This Row],[OppDaysOff]]-Games[[#This Row],[DaysOff]]</f>
        <v>0</v>
      </c>
      <c r="M324" s="16">
        <f>MAX(-16, MIN(16, Games[[#This Row],[RestDiff]]*8))</f>
        <v>0</v>
      </c>
      <c r="N324" s="16">
        <f>MAX(-16, MIN(16, Games[[#This Row],[OppRestDiff]]*8))</f>
        <v>0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1346.6369921191588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1609.4189521017856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0.11959853420518406</v>
      </c>
      <c r="R324" s="1">
        <v>61</v>
      </c>
      <c r="S324" s="1">
        <v>69</v>
      </c>
      <c r="T324" s="1">
        <v>0</v>
      </c>
      <c r="U324" s="16">
        <f>Games[[#This Row],[PointsFor]]-Games[[#This Row],[PointsAgainst]]</f>
        <v>-8</v>
      </c>
      <c r="V324" s="16">
        <f>IF(Games[[#This Row],[MOV]]&gt;0,1,IF(Games[[#This Row],[MOV]]=0,0.5,0))</f>
        <v>0</v>
      </c>
      <c r="W324" s="4">
        <f>((ABS(Games[[#This Row],[MOV]])+5)^0.6)/(12+0.01*(ABS(Games[[#This Row],[PreGmRate]]-Games[[#This Row],[OppPreGmRate]])))*IF(Games[[#This Row],[OT]]=1,0.9,1)</f>
        <v>0.3185564593708422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4" s="9">
        <f>MAX(kmin, kmax - 0.15 * MIN(Games[[#This Row],[GamesPlayed]], 82))</f>
        <v>71.8</v>
      </c>
      <c r="Z324" s="4">
        <f>Games[[#This Row],[K]]*Games[[#This Row],[POMult]]</f>
        <v>71.8</v>
      </c>
      <c r="AA324" s="4">
        <f>(Games[[#This Row],[Keff]]*Games[[#This Row],[MOVMult]])*(Games[[#This Row],[Result]]-Games[[#This Row],[ExpectedWin%]])</f>
        <v>-2.7354999862484424</v>
      </c>
      <c r="AB324" s="4">
        <f>Games[[#This Row],[PreGmRate]]+Games[[#This Row],[RatingChange]]</f>
        <v>1343.9014921329103</v>
      </c>
      <c r="AC324" s="2">
        <f>IF(Games[[#This Row],[Type]]="R",IF(Games[[#This Row],[Result]]&gt;0.5,1,0),0)</f>
        <v>0</v>
      </c>
      <c r="AD324" s="2">
        <f>IF(Games[[#This Row],[Type]]="R",IF(Games[[#This Row],[Result]]&lt;0.5,1,0),0)</f>
        <v>1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45524</v>
      </c>
      <c r="B325" s="2">
        <v>2024</v>
      </c>
      <c r="C325" s="2">
        <f>COUNTIFS(Games[Team],Games[[#This Row],[Team]],Games[Season],Games[[#This Row],[Season]],Games[Date],"&lt;=" &amp; Games[[#This Row],[Date]])</f>
        <v>27</v>
      </c>
      <c r="D325" s="2" t="s">
        <v>79</v>
      </c>
      <c r="E325" s="2" t="s">
        <v>80</v>
      </c>
      <c r="F325" s="1" t="s">
        <v>74</v>
      </c>
      <c r="G325" s="1" t="s">
        <v>63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5" s="2">
        <f>Games[[#This Row],[DaysOff]]-Games[[#This Row],[OppDaysOff]]</f>
        <v>0</v>
      </c>
      <c r="L325" s="2">
        <f>Games[[#This Row],[OppDaysOff]]-Games[[#This Row],[DaysOff]]</f>
        <v>0</v>
      </c>
      <c r="M325" s="16">
        <f>MAX(-16, MIN(16, Games[[#This Row],[RestDiff]]*8))</f>
        <v>0</v>
      </c>
      <c r="N325" s="16">
        <f>MAX(-16, MIN(16, Games[[#This Row],[OppRestDiff]]*8))</f>
        <v>0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1609.4189521017856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1346.6369921191588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0.88040146579481593</v>
      </c>
      <c r="R325" s="1">
        <v>69</v>
      </c>
      <c r="S325" s="1">
        <v>61</v>
      </c>
      <c r="T325" s="1">
        <v>0</v>
      </c>
      <c r="U325" s="16">
        <f>Games[[#This Row],[PointsFor]]-Games[[#This Row],[PointsAgainst]]</f>
        <v>8</v>
      </c>
      <c r="V325" s="16">
        <f>IF(Games[[#This Row],[MOV]]&gt;0,1,IF(Games[[#This Row],[MOV]]=0,0.5,0))</f>
        <v>1</v>
      </c>
      <c r="W325" s="4">
        <f>((ABS(Games[[#This Row],[MOV]])+5)^0.6)/(12+0.01*(ABS(Games[[#This Row],[PreGmRate]]-Games[[#This Row],[OppPreGmRate]])))*IF(Games[[#This Row],[OT]]=1,0.9,1)</f>
        <v>0.3185564593708422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5" s="9">
        <f>MAX(kmin, kmax - 0.15 * MIN(Games[[#This Row],[GamesPlayed]], 82))</f>
        <v>71.95</v>
      </c>
      <c r="Z325" s="4">
        <f>Games[[#This Row],[K]]*Games[[#This Row],[POMult]]</f>
        <v>71.95</v>
      </c>
      <c r="AA325" s="4">
        <f>(Games[[#This Row],[Keff]]*Games[[#This Row],[MOVMult]])*(Games[[#This Row],[Result]]-Games[[#This Row],[ExpectedWin%]])</f>
        <v>2.7412148190887948</v>
      </c>
      <c r="AB325" s="4">
        <f>Games[[#This Row],[PreGmRate]]+Games[[#This Row],[RatingChange]]</f>
        <v>1612.1601669208744</v>
      </c>
      <c r="AC325" s="2">
        <f>IF(Games[[#This Row],[Type]]="R",IF(Games[[#This Row],[Result]]&gt;0.5,1,0),0)</f>
        <v>1</v>
      </c>
      <c r="AD325" s="2">
        <f>IF(Games[[#This Row],[Type]]="R",IF(Games[[#This Row],[Result]]&lt;0.5,1,0),0)</f>
        <v>0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45524</v>
      </c>
      <c r="B326" s="2">
        <v>2024</v>
      </c>
      <c r="C326" s="2">
        <f>COUNTIFS(Games[Team],Games[[#This Row],[Team]],Games[Season],Games[[#This Row],[Season]],Games[Date],"&lt;=" &amp; Games[[#This Row],[Date]])</f>
        <v>27</v>
      </c>
      <c r="D326" s="2" t="s">
        <v>79</v>
      </c>
      <c r="E326" s="2" t="s">
        <v>80</v>
      </c>
      <c r="F326" s="1" t="s">
        <v>85</v>
      </c>
      <c r="G326" s="1" t="s">
        <v>60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6" s="2">
        <f>Games[[#This Row],[DaysOff]]-Games[[#This Row],[OppDaysOff]]</f>
        <v>1</v>
      </c>
      <c r="L326" s="2">
        <f>Games[[#This Row],[OppDaysOff]]-Games[[#This Row],[DaysOff]]</f>
        <v>-1</v>
      </c>
      <c r="M326" s="16">
        <f>MAX(-16, MIN(16, Games[[#This Row],[RestDiff]]*8))</f>
        <v>8</v>
      </c>
      <c r="N326" s="16">
        <f>MAX(-16, MIN(16, Games[[#This Row],[OppRestDiff]]*8))</f>
        <v>-8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1361.5778455209452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1731.938218083694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7.4233593751818025E-2</v>
      </c>
      <c r="R326" s="1">
        <v>74</v>
      </c>
      <c r="S326" s="1">
        <v>94</v>
      </c>
      <c r="T326" s="1">
        <v>0</v>
      </c>
      <c r="U326" s="16">
        <f>Games[[#This Row],[PointsFor]]-Games[[#This Row],[PointsAgainst]]</f>
        <v>-20</v>
      </c>
      <c r="V326" s="16">
        <f>IF(Games[[#This Row],[MOV]]&gt;0,1,IF(Games[[#This Row],[MOV]]=0,0.5,0))</f>
        <v>0</v>
      </c>
      <c r="W326" s="4">
        <f>((ABS(Games[[#This Row],[MOV]])+5)^0.6)/(12+0.01*(ABS(Games[[#This Row],[PreGmRate]]-Games[[#This Row],[OppPreGmRate]])))*IF(Games[[#This Row],[OT]]=1,0.9,1)</f>
        <v>0.43930351452054456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6" s="9">
        <f>MAX(kmin, kmax - 0.15 * MIN(Games[[#This Row],[GamesPlayed]], 82))</f>
        <v>71.95</v>
      </c>
      <c r="Z326" s="4">
        <f>Games[[#This Row],[K]]*Games[[#This Row],[POMult]]</f>
        <v>71.95</v>
      </c>
      <c r="AA326" s="4">
        <f>(Games[[#This Row],[Keff]]*Games[[#This Row],[MOVMult]])*(Games[[#This Row],[Result]]-Games[[#This Row],[ExpectedWin%]])</f>
        <v>-2.3463671074762744</v>
      </c>
      <c r="AB326" s="4">
        <f>Games[[#This Row],[PreGmRate]]+Games[[#This Row],[RatingChange]]</f>
        <v>1359.2314784134689</v>
      </c>
      <c r="AC326" s="2">
        <f>IF(Games[[#This Row],[Type]]="R",IF(Games[[#This Row],[Result]]&gt;0.5,1,0),0)</f>
        <v>0</v>
      </c>
      <c r="AD326" s="2">
        <f>IF(Games[[#This Row],[Type]]="R",IF(Games[[#This Row],[Result]]&lt;0.5,1,0),0)</f>
        <v>1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45524</v>
      </c>
      <c r="B327" s="2">
        <v>2024</v>
      </c>
      <c r="C327" s="2">
        <f>COUNTIFS(Games[Team],Games[[#This Row],[Team]],Games[Season],Games[[#This Row],[Season]],Games[Date],"&lt;=" &amp; Games[[#This Row],[Date]])</f>
        <v>28</v>
      </c>
      <c r="D327" s="2" t="s">
        <v>79</v>
      </c>
      <c r="E327" s="2" t="s">
        <v>80</v>
      </c>
      <c r="F327" s="1" t="s">
        <v>60</v>
      </c>
      <c r="G327" s="1" t="s">
        <v>85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7" s="2">
        <f>Games[[#This Row],[DaysOff]]-Games[[#This Row],[OppDaysOff]]</f>
        <v>-1</v>
      </c>
      <c r="L327" s="2">
        <f>Games[[#This Row],[OppDaysOff]]-Games[[#This Row],[DaysOff]]</f>
        <v>1</v>
      </c>
      <c r="M327" s="16">
        <f>MAX(-16, MIN(16, Games[[#This Row],[RestDiff]]*8))</f>
        <v>-8</v>
      </c>
      <c r="N327" s="16">
        <f>MAX(-16, MIN(16, Games[[#This Row],[OppRestDiff]]*8))</f>
        <v>8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1731.938218083694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1361.5778455209452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0.92576640624818207</v>
      </c>
      <c r="R327" s="1">
        <v>94</v>
      </c>
      <c r="S327" s="1">
        <v>74</v>
      </c>
      <c r="T327" s="1">
        <v>0</v>
      </c>
      <c r="U327" s="16">
        <f>Games[[#This Row],[PointsFor]]-Games[[#This Row],[PointsAgainst]]</f>
        <v>20</v>
      </c>
      <c r="V327" s="16">
        <f>IF(Games[[#This Row],[MOV]]&gt;0,1,IF(Games[[#This Row],[MOV]]=0,0.5,0))</f>
        <v>1</v>
      </c>
      <c r="W327" s="4">
        <f>((ABS(Games[[#This Row],[MOV]])+5)^0.6)/(12+0.01*(ABS(Games[[#This Row],[PreGmRate]]-Games[[#This Row],[OppPreGmRate]])))*IF(Games[[#This Row],[OT]]=1,0.9,1)</f>
        <v>0.43930351452054456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7" s="9">
        <f>MAX(kmin, kmax - 0.15 * MIN(Games[[#This Row],[GamesPlayed]], 82))</f>
        <v>71.8</v>
      </c>
      <c r="Z327" s="4">
        <f>Games[[#This Row],[K]]*Games[[#This Row],[POMult]]</f>
        <v>71.8</v>
      </c>
      <c r="AA327" s="4">
        <f>(Games[[#This Row],[Keff]]*Games[[#This Row],[MOVMult]])*(Games[[#This Row],[Result]]-Games[[#This Row],[ExpectedWin%]])</f>
        <v>2.341475445681672</v>
      </c>
      <c r="AB327" s="4">
        <f>Games[[#This Row],[PreGmRate]]+Games[[#This Row],[RatingChange]]</f>
        <v>1734.2796935293757</v>
      </c>
      <c r="AC327" s="2">
        <f>IF(Games[[#This Row],[Type]]="R",IF(Games[[#This Row],[Result]]&gt;0.5,1,0),0)</f>
        <v>1</v>
      </c>
      <c r="AD327" s="2">
        <f>IF(Games[[#This Row],[Type]]="R",IF(Games[[#This Row],[Result]]&lt;0.5,1,0),0)</f>
        <v>0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45524</v>
      </c>
      <c r="B328" s="2">
        <v>2024</v>
      </c>
      <c r="C328" s="2">
        <f>COUNTIFS(Games[Team],Games[[#This Row],[Team]],Games[Season],Games[[#This Row],[Season]],Games[Date],"&lt;=" &amp; Games[[#This Row],[Date]])</f>
        <v>28</v>
      </c>
      <c r="D328" s="2" t="s">
        <v>79</v>
      </c>
      <c r="E328" s="2" t="s">
        <v>80</v>
      </c>
      <c r="F328" s="1" t="s">
        <v>71</v>
      </c>
      <c r="G328" s="1" t="s">
        <v>65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8" s="2">
        <f>Games[[#This Row],[DaysOff]]-Games[[#This Row],[OppDaysOff]]</f>
        <v>-1</v>
      </c>
      <c r="L328" s="2">
        <f>Games[[#This Row],[OppDaysOff]]-Games[[#This Row],[DaysOff]]</f>
        <v>1</v>
      </c>
      <c r="M328" s="16">
        <f>MAX(-16, MIN(16, Games[[#This Row],[RestDiff]]*8))</f>
        <v>-8</v>
      </c>
      <c r="N328" s="16">
        <f>MAX(-16, MIN(16, Games[[#This Row],[OppRestDiff]]*8))</f>
        <v>8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1545.0611189535703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1378.8120296782099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0.59420117617475665</v>
      </c>
      <c r="R328" s="1">
        <v>83</v>
      </c>
      <c r="S328" s="1">
        <v>77</v>
      </c>
      <c r="T328" s="1">
        <v>0</v>
      </c>
      <c r="U328" s="16">
        <f>Games[[#This Row],[PointsFor]]-Games[[#This Row],[PointsAgainst]]</f>
        <v>6</v>
      </c>
      <c r="V328" s="16">
        <f>IF(Games[[#This Row],[MOV]]&gt;0,1,IF(Games[[#This Row],[MOV]]=0,0.5,0))</f>
        <v>1</v>
      </c>
      <c r="W328" s="4">
        <f>((ABS(Games[[#This Row],[MOV]])+5)^0.6)/(12+0.01*(ABS(Games[[#This Row],[PreGmRate]]-Games[[#This Row],[OppPreGmRate]])))*IF(Games[[#This Row],[OT]]=1,0.9,1)</f>
        <v>0.30853591531597463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8" s="9">
        <f>MAX(kmin, kmax - 0.15 * MIN(Games[[#This Row],[GamesPlayed]], 82))</f>
        <v>71.8</v>
      </c>
      <c r="Z328" s="4">
        <f>Games[[#This Row],[K]]*Games[[#This Row],[POMult]]</f>
        <v>71.8</v>
      </c>
      <c r="AA328" s="4">
        <f>(Games[[#This Row],[Keff]]*Games[[#This Row],[MOVMult]])*(Games[[#This Row],[Result]]-Games[[#This Row],[ExpectedWin%]])</f>
        <v>8.9896121287922384</v>
      </c>
      <c r="AB328" s="4">
        <f>Games[[#This Row],[PreGmRate]]+Games[[#This Row],[RatingChange]]</f>
        <v>1554.0507310823625</v>
      </c>
      <c r="AC328" s="2">
        <f>IF(Games[[#This Row],[Type]]="R",IF(Games[[#This Row],[Result]]&gt;0.5,1,0),0)</f>
        <v>1</v>
      </c>
      <c r="AD328" s="2">
        <f>IF(Games[[#This Row],[Type]]="R",IF(Games[[#This Row],[Result]]&lt;0.5,1,0),0)</f>
        <v>0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45524</v>
      </c>
      <c r="B329" s="2">
        <v>2024</v>
      </c>
      <c r="C329" s="2">
        <f>COUNTIFS(Games[Team],Games[[#This Row],[Team]],Games[Season],Games[[#This Row],[Season]],Games[Date],"&lt;=" &amp; Games[[#This Row],[Date]])</f>
        <v>28</v>
      </c>
      <c r="D329" s="2" t="s">
        <v>79</v>
      </c>
      <c r="E329" s="2" t="s">
        <v>80</v>
      </c>
      <c r="F329" s="1" t="s">
        <v>65</v>
      </c>
      <c r="G329" s="1" t="s">
        <v>71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9" s="2">
        <f>Games[[#This Row],[DaysOff]]-Games[[#This Row],[OppDaysOff]]</f>
        <v>1</v>
      </c>
      <c r="L329" s="2">
        <f>Games[[#This Row],[OppDaysOff]]-Games[[#This Row],[DaysOff]]</f>
        <v>-1</v>
      </c>
      <c r="M329" s="16">
        <f>MAX(-16, MIN(16, Games[[#This Row],[RestDiff]]*8))</f>
        <v>8</v>
      </c>
      <c r="N329" s="16">
        <f>MAX(-16, MIN(16, Games[[#This Row],[OppRestDiff]]*8))</f>
        <v>-8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1378.8120296782099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1545.0611189535703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0.40579882382524335</v>
      </c>
      <c r="R329" s="1">
        <v>77</v>
      </c>
      <c r="S329" s="1">
        <v>83</v>
      </c>
      <c r="T329" s="1">
        <v>0</v>
      </c>
      <c r="U329" s="16">
        <f>Games[[#This Row],[PointsFor]]-Games[[#This Row],[PointsAgainst]]</f>
        <v>-6</v>
      </c>
      <c r="V329" s="16">
        <f>IF(Games[[#This Row],[MOV]]&gt;0,1,IF(Games[[#This Row],[MOV]]=0,0.5,0))</f>
        <v>0</v>
      </c>
      <c r="W329" s="4">
        <f>((ABS(Games[[#This Row],[MOV]])+5)^0.6)/(12+0.01*(ABS(Games[[#This Row],[PreGmRate]]-Games[[#This Row],[OppPreGmRate]])))*IF(Games[[#This Row],[OT]]=1,0.9,1)</f>
        <v>0.30853591531597463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9" s="9">
        <f>MAX(kmin, kmax - 0.15 * MIN(Games[[#This Row],[GamesPlayed]], 82))</f>
        <v>71.8</v>
      </c>
      <c r="Z329" s="4">
        <f>Games[[#This Row],[K]]*Games[[#This Row],[POMult]]</f>
        <v>71.8</v>
      </c>
      <c r="AA329" s="4">
        <f>(Games[[#This Row],[Keff]]*Games[[#This Row],[MOVMult]])*(Games[[#This Row],[Result]]-Games[[#This Row],[ExpectedWin%]])</f>
        <v>-8.9896121287922384</v>
      </c>
      <c r="AB329" s="4">
        <f>Games[[#This Row],[PreGmRate]]+Games[[#This Row],[RatingChange]]</f>
        <v>1369.8224175494177</v>
      </c>
      <c r="AC329" s="2">
        <f>IF(Games[[#This Row],[Type]]="R",IF(Games[[#This Row],[Result]]&gt;0.5,1,0),0)</f>
        <v>0</v>
      </c>
      <c r="AD329" s="2">
        <f>IF(Games[[#This Row],[Type]]="R",IF(Games[[#This Row],[Result]]&lt;0.5,1,0),0)</f>
        <v>1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45525</v>
      </c>
      <c r="B330" s="2">
        <v>2024</v>
      </c>
      <c r="C330" s="2">
        <f>COUNTIFS(Games[Team],Games[[#This Row],[Team]],Games[Season],Games[[#This Row],[Season]],Games[Date],"&lt;=" &amp; Games[[#This Row],[Date]])</f>
        <v>29</v>
      </c>
      <c r="D330" s="2" t="s">
        <v>79</v>
      </c>
      <c r="E330" s="2" t="s">
        <v>80</v>
      </c>
      <c r="F330" s="1" t="s">
        <v>40</v>
      </c>
      <c r="G330" s="1" t="s">
        <v>77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0" s="2">
        <f>Games[[#This Row],[DaysOff]]-Games[[#This Row],[OppDaysOff]]</f>
        <v>0</v>
      </c>
      <c r="L330" s="2">
        <f>Games[[#This Row],[OppDaysOff]]-Games[[#This Row],[DaysOff]]</f>
        <v>0</v>
      </c>
      <c r="M330" s="16">
        <f>MAX(-16, MIN(16, Games[[#This Row],[RestDiff]]*8))</f>
        <v>0</v>
      </c>
      <c r="N330" s="16">
        <f>MAX(-16, MIN(16, Games[[#This Row],[OppRestDiff]]*8))</f>
        <v>0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1495.1002914199364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1400.4338882319871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0.51534536734325798</v>
      </c>
      <c r="R330" s="1">
        <v>63</v>
      </c>
      <c r="S330" s="1">
        <v>72</v>
      </c>
      <c r="T330" s="1">
        <v>0</v>
      </c>
      <c r="U330" s="16">
        <f>Games[[#This Row],[PointsFor]]-Games[[#This Row],[PointsAgainst]]</f>
        <v>-9</v>
      </c>
      <c r="V330" s="16">
        <f>IF(Games[[#This Row],[MOV]]&gt;0,1,IF(Games[[#This Row],[MOV]]=0,0.5,0))</f>
        <v>0</v>
      </c>
      <c r="W330" s="4">
        <f>((ABS(Games[[#This Row],[MOV]])+5)^0.6)/(12+0.01*(ABS(Games[[#This Row],[PreGmRate]]-Games[[#This Row],[OppPreGmRate]])))*IF(Games[[#This Row],[OT]]=1,0.9,1)</f>
        <v>0.37628676497444302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0" s="9">
        <f>MAX(kmin, kmax - 0.15 * MIN(Games[[#This Row],[GamesPlayed]], 82))</f>
        <v>71.650000000000006</v>
      </c>
      <c r="Z330" s="4">
        <f>Games[[#This Row],[K]]*Games[[#This Row],[POMult]]</f>
        <v>71.650000000000006</v>
      </c>
      <c r="AA330" s="4">
        <f>(Games[[#This Row],[Keff]]*Games[[#This Row],[MOVMult]])*(Games[[#This Row],[Result]]-Games[[#This Row],[ExpectedWin%]])</f>
        <v>-13.894198986402802</v>
      </c>
      <c r="AB330" s="4">
        <f>Games[[#This Row],[PreGmRate]]+Games[[#This Row],[RatingChange]]</f>
        <v>1481.2060924335335</v>
      </c>
      <c r="AC330" s="2">
        <f>IF(Games[[#This Row],[Type]]="R",IF(Games[[#This Row],[Result]]&gt;0.5,1,0),0)</f>
        <v>0</v>
      </c>
      <c r="AD330" s="2">
        <f>IF(Games[[#This Row],[Type]]="R",IF(Games[[#This Row],[Result]]&lt;0.5,1,0),0)</f>
        <v>1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45525</v>
      </c>
      <c r="B331" s="2">
        <v>2024</v>
      </c>
      <c r="C331" s="2">
        <f>COUNTIFS(Games[Team],Games[[#This Row],[Team]],Games[Season],Games[[#This Row],[Season]],Games[Date],"&lt;=" &amp; Games[[#This Row],[Date]])</f>
        <v>27</v>
      </c>
      <c r="D331" s="2" t="s">
        <v>79</v>
      </c>
      <c r="E331" s="2" t="s">
        <v>80</v>
      </c>
      <c r="F331" s="1" t="s">
        <v>77</v>
      </c>
      <c r="G331" s="1" t="s">
        <v>40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1" s="2">
        <f>Games[[#This Row],[DaysOff]]-Games[[#This Row],[OppDaysOff]]</f>
        <v>0</v>
      </c>
      <c r="L331" s="2">
        <f>Games[[#This Row],[OppDaysOff]]-Games[[#This Row],[DaysOff]]</f>
        <v>0</v>
      </c>
      <c r="M331" s="16">
        <f>MAX(-16, MIN(16, Games[[#This Row],[RestDiff]]*8))</f>
        <v>0</v>
      </c>
      <c r="N331" s="16">
        <f>MAX(-16, MIN(16, Games[[#This Row],[OppRestDiff]]*8))</f>
        <v>0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1400.4338882319871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1495.1002914199364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0.48465463265674197</v>
      </c>
      <c r="R331" s="1">
        <v>72</v>
      </c>
      <c r="S331" s="1">
        <v>63</v>
      </c>
      <c r="T331" s="1">
        <v>0</v>
      </c>
      <c r="U331" s="16">
        <f>Games[[#This Row],[PointsFor]]-Games[[#This Row],[PointsAgainst]]</f>
        <v>9</v>
      </c>
      <c r="V331" s="16">
        <f>IF(Games[[#This Row],[MOV]]&gt;0,1,IF(Games[[#This Row],[MOV]]=0,0.5,0))</f>
        <v>1</v>
      </c>
      <c r="W331" s="4">
        <f>((ABS(Games[[#This Row],[MOV]])+5)^0.6)/(12+0.01*(ABS(Games[[#This Row],[PreGmRate]]-Games[[#This Row],[OppPreGmRate]])))*IF(Games[[#This Row],[OT]]=1,0.9,1)</f>
        <v>0.37628676497444302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1" s="9">
        <f>MAX(kmin, kmax - 0.15 * MIN(Games[[#This Row],[GamesPlayed]], 82))</f>
        <v>71.95</v>
      </c>
      <c r="Z331" s="4">
        <f>Games[[#This Row],[K]]*Games[[#This Row],[POMult]]</f>
        <v>71.95</v>
      </c>
      <c r="AA331" s="4">
        <f>(Games[[#This Row],[Keff]]*Games[[#This Row],[MOVMult]])*(Games[[#This Row],[Result]]-Games[[#This Row],[ExpectedWin%]])</f>
        <v>13.95237427873945</v>
      </c>
      <c r="AB331" s="4">
        <f>Games[[#This Row],[PreGmRate]]+Games[[#This Row],[RatingChange]]</f>
        <v>1414.3862625107265</v>
      </c>
      <c r="AC331" s="2">
        <f>IF(Games[[#This Row],[Type]]="R",IF(Games[[#This Row],[Result]]&gt;0.5,1,0),0)</f>
        <v>1</v>
      </c>
      <c r="AD331" s="2">
        <f>IF(Games[[#This Row],[Type]]="R",IF(Games[[#This Row],[Result]]&lt;0.5,1,0),0)</f>
        <v>0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45525</v>
      </c>
      <c r="B332" s="2">
        <v>2024</v>
      </c>
      <c r="C332" s="2">
        <f>COUNTIFS(Games[Team],Games[[#This Row],[Team]],Games[Season],Games[[#This Row],[Season]],Games[Date],"&lt;=" &amp; Games[[#This Row],[Date]])</f>
        <v>28</v>
      </c>
      <c r="D332" s="2" t="s">
        <v>79</v>
      </c>
      <c r="E332" s="2" t="s">
        <v>80</v>
      </c>
      <c r="F332" s="1" t="s">
        <v>67</v>
      </c>
      <c r="G332" s="1" t="s">
        <v>86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2" s="2">
        <f>Games[[#This Row],[DaysOff]]-Games[[#This Row],[OppDaysOff]]</f>
        <v>1</v>
      </c>
      <c r="L332" s="2">
        <f>Games[[#This Row],[OppDaysOff]]-Games[[#This Row],[DaysOff]]</f>
        <v>-1</v>
      </c>
      <c r="M332" s="16">
        <f>MAX(-16, MIN(16, Games[[#This Row],[RestDiff]]*8))</f>
        <v>8</v>
      </c>
      <c r="N332" s="16">
        <f>MAX(-16, MIN(16, Games[[#This Row],[OppRestDiff]]*8))</f>
        <v>-8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1580.4515068951773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1625.1841613381735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0.34322814717588324</v>
      </c>
      <c r="R332" s="1">
        <v>98</v>
      </c>
      <c r="S332" s="1">
        <v>87</v>
      </c>
      <c r="T332" s="1">
        <v>0</v>
      </c>
      <c r="U332" s="16">
        <f>Games[[#This Row],[PointsFor]]-Games[[#This Row],[PointsAgainst]]</f>
        <v>11</v>
      </c>
      <c r="V332" s="16">
        <f>IF(Games[[#This Row],[MOV]]&gt;0,1,IF(Games[[#This Row],[MOV]]=0,0.5,0))</f>
        <v>1</v>
      </c>
      <c r="W332" s="4">
        <f>((ABS(Games[[#This Row],[MOV]])+5)^0.6)/(12+0.01*(ABS(Games[[#This Row],[PreGmRate]]-Games[[#This Row],[OppPreGmRate]])))*IF(Games[[#This Row],[OT]]=1,0.9,1)</f>
        <v>0.42402933868987608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2" s="9">
        <f>MAX(kmin, kmax - 0.15 * MIN(Games[[#This Row],[GamesPlayed]], 82))</f>
        <v>71.8</v>
      </c>
      <c r="Z332" s="4">
        <f>Games[[#This Row],[K]]*Games[[#This Row],[POMult]]</f>
        <v>71.8</v>
      </c>
      <c r="AA332" s="4">
        <f>(Games[[#This Row],[Keff]]*Games[[#This Row],[MOVMult]])*(Games[[#This Row],[Result]]-Games[[#This Row],[ExpectedWin%]])</f>
        <v>19.995620371581083</v>
      </c>
      <c r="AB332" s="4">
        <f>Games[[#This Row],[PreGmRate]]+Games[[#This Row],[RatingChange]]</f>
        <v>1600.4471272667583</v>
      </c>
      <c r="AC332" s="2">
        <f>IF(Games[[#This Row],[Type]]="R",IF(Games[[#This Row],[Result]]&gt;0.5,1,0),0)</f>
        <v>1</v>
      </c>
      <c r="AD332" s="2">
        <f>IF(Games[[#This Row],[Type]]="R",IF(Games[[#This Row],[Result]]&lt;0.5,1,0),0)</f>
        <v>0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45525</v>
      </c>
      <c r="B333" s="2">
        <v>2024</v>
      </c>
      <c r="C333" s="2">
        <f>COUNTIFS(Games[Team],Games[[#This Row],[Team]],Games[Season],Games[[#This Row],[Season]],Games[Date],"&lt;=" &amp; Games[[#This Row],[Date]])</f>
        <v>27</v>
      </c>
      <c r="D333" s="2" t="s">
        <v>79</v>
      </c>
      <c r="E333" s="2" t="s">
        <v>80</v>
      </c>
      <c r="F333" s="1" t="s">
        <v>86</v>
      </c>
      <c r="G333" s="1" t="s">
        <v>67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33" s="2">
        <f>Games[[#This Row],[DaysOff]]-Games[[#This Row],[OppDaysOff]]</f>
        <v>-1</v>
      </c>
      <c r="L333" s="2">
        <f>Games[[#This Row],[OppDaysOff]]-Games[[#This Row],[DaysOff]]</f>
        <v>1</v>
      </c>
      <c r="M333" s="16">
        <f>MAX(-16, MIN(16, Games[[#This Row],[RestDiff]]*8))</f>
        <v>-8</v>
      </c>
      <c r="N333" s="16">
        <f>MAX(-16, MIN(16, Games[[#This Row],[OppRestDiff]]*8))</f>
        <v>8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1625.1841613381735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1580.4515068951773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0.65677185282411676</v>
      </c>
      <c r="R333" s="1">
        <v>87</v>
      </c>
      <c r="S333" s="1">
        <v>98</v>
      </c>
      <c r="T333" s="1">
        <v>0</v>
      </c>
      <c r="U333" s="16">
        <f>Games[[#This Row],[PointsFor]]-Games[[#This Row],[PointsAgainst]]</f>
        <v>-11</v>
      </c>
      <c r="V333" s="16">
        <f>IF(Games[[#This Row],[MOV]]&gt;0,1,IF(Games[[#This Row],[MOV]]=0,0.5,0))</f>
        <v>0</v>
      </c>
      <c r="W333" s="4">
        <f>((ABS(Games[[#This Row],[MOV]])+5)^0.6)/(12+0.01*(ABS(Games[[#This Row],[PreGmRate]]-Games[[#This Row],[OppPreGmRate]])))*IF(Games[[#This Row],[OT]]=1,0.9,1)</f>
        <v>0.42402933868987608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3" s="9">
        <f>MAX(kmin, kmax - 0.15 * MIN(Games[[#This Row],[GamesPlayed]], 82))</f>
        <v>71.95</v>
      </c>
      <c r="Z333" s="4">
        <f>Games[[#This Row],[K]]*Games[[#This Row],[POMult]]</f>
        <v>71.95</v>
      </c>
      <c r="AA333" s="4">
        <f>(Games[[#This Row],[Keff]]*Games[[#This Row],[MOVMult]])*(Games[[#This Row],[Result]]-Games[[#This Row],[ExpectedWin%]])</f>
        <v>-20.037393951744555</v>
      </c>
      <c r="AB333" s="4">
        <f>Games[[#This Row],[PreGmRate]]+Games[[#This Row],[RatingChange]]</f>
        <v>1605.1467673864288</v>
      </c>
      <c r="AC333" s="2">
        <f>IF(Games[[#This Row],[Type]]="R",IF(Games[[#This Row],[Result]]&gt;0.5,1,0),0)</f>
        <v>0</v>
      </c>
      <c r="AD333" s="2">
        <f>IF(Games[[#This Row],[Type]]="R",IF(Games[[#This Row],[Result]]&lt;0.5,1,0),0)</f>
        <v>1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45526</v>
      </c>
      <c r="B334" s="2">
        <v>2024</v>
      </c>
      <c r="C334" s="2">
        <f>COUNTIFS(Games[Team],Games[[#This Row],[Team]],Games[Season],Games[[#This Row],[Season]],Games[Date],"&lt;=" &amp; Games[[#This Row],[Date]])</f>
        <v>28</v>
      </c>
      <c r="D334" s="2" t="s">
        <v>79</v>
      </c>
      <c r="E334" s="2" t="s">
        <v>80</v>
      </c>
      <c r="F334" s="1" t="s">
        <v>85</v>
      </c>
      <c r="G334" s="1" t="s">
        <v>60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0</v>
      </c>
      <c r="L334" s="2">
        <f>Games[[#This Row],[OppDaysOff]]-Games[[#This Row],[DaysOff]]</f>
        <v>0</v>
      </c>
      <c r="M334" s="16">
        <f>MAX(-16, MIN(16, Games[[#This Row],[RestDiff]]*8))</f>
        <v>0</v>
      </c>
      <c r="N334" s="16">
        <f>MAX(-16, MIN(16, Games[[#This Row],[OppRestDiff]]*8))</f>
        <v>0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1359.2314784134689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1734.2796935293757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6.6453151139094904E-2</v>
      </c>
      <c r="R334" s="1">
        <v>71</v>
      </c>
      <c r="S334" s="1">
        <v>79</v>
      </c>
      <c r="T334" s="1">
        <v>0</v>
      </c>
      <c r="U334" s="16">
        <f>Games[[#This Row],[PointsFor]]-Games[[#This Row],[PointsAgainst]]</f>
        <v>-8</v>
      </c>
      <c r="V334" s="16">
        <f>IF(Games[[#This Row],[MOV]]&gt;0,1,IF(Games[[#This Row],[MOV]]=0,0.5,0))</f>
        <v>0</v>
      </c>
      <c r="W334" s="4">
        <f>((ABS(Games[[#This Row],[MOV]])+5)^0.6)/(12+0.01*(ABS(Games[[#This Row],[PreGmRate]]-Games[[#This Row],[OppPreGmRate]])))*IF(Games[[#This Row],[OT]]=1,0.9,1)</f>
        <v>0.29585039843959032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4" s="9">
        <f>MAX(kmin, kmax - 0.15 * MIN(Games[[#This Row],[GamesPlayed]], 82))</f>
        <v>71.8</v>
      </c>
      <c r="Z334" s="4">
        <f>Games[[#This Row],[K]]*Games[[#This Row],[POMult]]</f>
        <v>71.8</v>
      </c>
      <c r="AA334" s="4">
        <f>(Games[[#This Row],[Keff]]*Games[[#This Row],[MOVMult]])*(Games[[#This Row],[Result]]-Games[[#This Row],[ExpectedWin%]])</f>
        <v>-1.4116017311804494</v>
      </c>
      <c r="AB334" s="4">
        <f>Games[[#This Row],[PreGmRate]]+Games[[#This Row],[RatingChange]]</f>
        <v>1357.8198766822884</v>
      </c>
      <c r="AC334" s="2">
        <f>IF(Games[[#This Row],[Type]]="R",IF(Games[[#This Row],[Result]]&gt;0.5,1,0),0)</f>
        <v>0</v>
      </c>
      <c r="AD334" s="2">
        <f>IF(Games[[#This Row],[Type]]="R",IF(Games[[#This Row],[Result]]&lt;0.5,1,0),0)</f>
        <v>1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45526</v>
      </c>
      <c r="B335" s="2">
        <v>2024</v>
      </c>
      <c r="C335" s="2">
        <f>COUNTIFS(Games[Team],Games[[#This Row],[Team]],Games[Season],Games[[#This Row],[Season]],Games[Date],"&lt;=" &amp; Games[[#This Row],[Date]])</f>
        <v>29</v>
      </c>
      <c r="D335" s="2" t="s">
        <v>79</v>
      </c>
      <c r="E335" s="2" t="s">
        <v>80</v>
      </c>
      <c r="F335" s="1" t="s">
        <v>60</v>
      </c>
      <c r="G335" s="1" t="s">
        <v>85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5" s="2">
        <f>Games[[#This Row],[DaysOff]]-Games[[#This Row],[OppDaysOff]]</f>
        <v>0</v>
      </c>
      <c r="L335" s="2">
        <f>Games[[#This Row],[OppDaysOff]]-Games[[#This Row],[DaysOff]]</f>
        <v>0</v>
      </c>
      <c r="M335" s="16">
        <f>MAX(-16, MIN(16, Games[[#This Row],[RestDiff]]*8))</f>
        <v>0</v>
      </c>
      <c r="N335" s="16">
        <f>MAX(-16, MIN(16, Games[[#This Row],[OppRestDiff]]*8))</f>
        <v>0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1734.2796935293757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1359.2314784134689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0.933546848860905</v>
      </c>
      <c r="R335" s="1">
        <v>79</v>
      </c>
      <c r="S335" s="1">
        <v>71</v>
      </c>
      <c r="T335" s="1">
        <v>0</v>
      </c>
      <c r="U335" s="16">
        <f>Games[[#This Row],[PointsFor]]-Games[[#This Row],[PointsAgainst]]</f>
        <v>8</v>
      </c>
      <c r="V335" s="16">
        <f>IF(Games[[#This Row],[MOV]]&gt;0,1,IF(Games[[#This Row],[MOV]]=0,0.5,0))</f>
        <v>1</v>
      </c>
      <c r="W335" s="4">
        <f>((ABS(Games[[#This Row],[MOV]])+5)^0.6)/(12+0.01*(ABS(Games[[#This Row],[PreGmRate]]-Games[[#This Row],[OppPreGmRate]])))*IF(Games[[#This Row],[OT]]=1,0.9,1)</f>
        <v>0.29585039843959032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5" s="9">
        <f>MAX(kmin, kmax - 0.15 * MIN(Games[[#This Row],[GamesPlayed]], 82))</f>
        <v>71.650000000000006</v>
      </c>
      <c r="Z335" s="4">
        <f>Games[[#This Row],[K]]*Games[[#This Row],[POMult]]</f>
        <v>71.650000000000006</v>
      </c>
      <c r="AA335" s="4">
        <f>(Games[[#This Row],[Keff]]*Games[[#This Row],[MOVMult]])*(Games[[#This Row],[Result]]-Games[[#This Row],[ExpectedWin%]])</f>
        <v>1.4086527024941418</v>
      </c>
      <c r="AB335" s="4">
        <f>Games[[#This Row],[PreGmRate]]+Games[[#This Row],[RatingChange]]</f>
        <v>1735.6883462318699</v>
      </c>
      <c r="AC335" s="2">
        <f>IF(Games[[#This Row],[Type]]="R",IF(Games[[#This Row],[Result]]&gt;0.5,1,0),0)</f>
        <v>1</v>
      </c>
      <c r="AD335" s="2">
        <f>IF(Games[[#This Row],[Type]]="R",IF(Games[[#This Row],[Result]]&lt;0.5,1,0),0)</f>
        <v>0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45527</v>
      </c>
      <c r="B336" s="2">
        <v>2024</v>
      </c>
      <c r="C336" s="2">
        <f>COUNTIFS(Games[Team],Games[[#This Row],[Team]],Games[Season],Games[[#This Row],[Season]],Games[Date],"&lt;=" &amp; Games[[#This Row],[Date]])</f>
        <v>30</v>
      </c>
      <c r="D336" s="2" t="s">
        <v>79</v>
      </c>
      <c r="E336" s="2" t="s">
        <v>80</v>
      </c>
      <c r="F336" s="1" t="s">
        <v>40</v>
      </c>
      <c r="G336" s="1" t="s">
        <v>77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6" s="2">
        <f>Games[[#This Row],[DaysOff]]-Games[[#This Row],[OppDaysOff]]</f>
        <v>0</v>
      </c>
      <c r="L336" s="2">
        <f>Games[[#This Row],[OppDaysOff]]-Games[[#This Row],[DaysOff]]</f>
        <v>0</v>
      </c>
      <c r="M336" s="16">
        <f>MAX(-16, MIN(16, Games[[#This Row],[RestDiff]]*8))</f>
        <v>0</v>
      </c>
      <c r="N336" s="16">
        <f>MAX(-16, MIN(16, Games[[#This Row],[OppRestDiff]]*8))</f>
        <v>0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1481.2060924335335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1414.3862625107265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0.4752958796528105</v>
      </c>
      <c r="R336" s="1">
        <v>82</v>
      </c>
      <c r="S336" s="1">
        <v>80</v>
      </c>
      <c r="T336" s="1">
        <v>0</v>
      </c>
      <c r="U336" s="16">
        <f>Games[[#This Row],[PointsFor]]-Games[[#This Row],[PointsAgainst]]</f>
        <v>2</v>
      </c>
      <c r="V336" s="16">
        <f>IF(Games[[#This Row],[MOV]]&gt;0,1,IF(Games[[#This Row],[MOV]]=0,0.5,0))</f>
        <v>1</v>
      </c>
      <c r="W336" s="4">
        <f>((ABS(Games[[#This Row],[MOV]])+5)^0.6)/(12+0.01*(ABS(Games[[#This Row],[PreGmRate]]-Games[[#This Row],[OppPreGmRate]])))*IF(Games[[#This Row],[OT]]=1,0.9,1)</f>
        <v>0.25371373053987384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6" s="9">
        <f>MAX(kmin, kmax - 0.15 * MIN(Games[[#This Row],[GamesPlayed]], 82))</f>
        <v>71.5</v>
      </c>
      <c r="Z336" s="4">
        <f>Games[[#This Row],[K]]*Games[[#This Row],[POMult]]</f>
        <v>71.5</v>
      </c>
      <c r="AA336" s="4">
        <f>(Games[[#This Row],[Keff]]*Games[[#This Row],[MOVMult]])*(Games[[#This Row],[Result]]-Games[[#This Row],[ExpectedWin%]])</f>
        <v>9.5184117459093791</v>
      </c>
      <c r="AB336" s="4">
        <f>Games[[#This Row],[PreGmRate]]+Games[[#This Row],[RatingChange]]</f>
        <v>1490.7245041794429</v>
      </c>
      <c r="AC336" s="2">
        <f>IF(Games[[#This Row],[Type]]="R",IF(Games[[#This Row],[Result]]&gt;0.5,1,0),0)</f>
        <v>1</v>
      </c>
      <c r="AD336" s="2">
        <f>IF(Games[[#This Row],[Type]]="R",IF(Games[[#This Row],[Result]]&lt;0.5,1,0),0)</f>
        <v>0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45527</v>
      </c>
      <c r="B337" s="2">
        <v>2024</v>
      </c>
      <c r="C337" s="2">
        <f>COUNTIFS(Games[Team],Games[[#This Row],[Team]],Games[Season],Games[[#This Row],[Season]],Games[Date],"&lt;=" &amp; Games[[#This Row],[Date]])</f>
        <v>28</v>
      </c>
      <c r="D337" s="2" t="s">
        <v>79</v>
      </c>
      <c r="E337" s="2" t="s">
        <v>80</v>
      </c>
      <c r="F337" s="1" t="s">
        <v>77</v>
      </c>
      <c r="G337" s="1" t="s">
        <v>40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7" s="2">
        <f>Games[[#This Row],[DaysOff]]-Games[[#This Row],[OppDaysOff]]</f>
        <v>0</v>
      </c>
      <c r="L337" s="2">
        <f>Games[[#This Row],[OppDaysOff]]-Games[[#This Row],[DaysOff]]</f>
        <v>0</v>
      </c>
      <c r="M337" s="16">
        <f>MAX(-16, MIN(16, Games[[#This Row],[RestDiff]]*8))</f>
        <v>0</v>
      </c>
      <c r="N337" s="16">
        <f>MAX(-16, MIN(16, Games[[#This Row],[OppRestDiff]]*8))</f>
        <v>0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1414.3862625107265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1481.2060924335335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0.5247041203471895</v>
      </c>
      <c r="R337" s="1">
        <v>80</v>
      </c>
      <c r="S337" s="1">
        <v>82</v>
      </c>
      <c r="T337" s="1">
        <v>0</v>
      </c>
      <c r="U337" s="16">
        <f>Games[[#This Row],[PointsFor]]-Games[[#This Row],[PointsAgainst]]</f>
        <v>-2</v>
      </c>
      <c r="V337" s="16">
        <f>IF(Games[[#This Row],[MOV]]&gt;0,1,IF(Games[[#This Row],[MOV]]=0,0.5,0))</f>
        <v>0</v>
      </c>
      <c r="W337" s="4">
        <f>((ABS(Games[[#This Row],[MOV]])+5)^0.6)/(12+0.01*(ABS(Games[[#This Row],[PreGmRate]]-Games[[#This Row],[OppPreGmRate]])))*IF(Games[[#This Row],[OT]]=1,0.9,1)</f>
        <v>0.25371373053987384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7" s="9">
        <f>MAX(kmin, kmax - 0.15 * MIN(Games[[#This Row],[GamesPlayed]], 82))</f>
        <v>71.8</v>
      </c>
      <c r="Z337" s="4">
        <f>Games[[#This Row],[K]]*Games[[#This Row],[POMult]]</f>
        <v>71.8</v>
      </c>
      <c r="AA337" s="4">
        <f>(Games[[#This Row],[Keff]]*Games[[#This Row],[MOVMult]])*(Games[[#This Row],[Result]]-Games[[#This Row],[ExpectedWin%]])</f>
        <v>-9.5583491378502572</v>
      </c>
      <c r="AB337" s="4">
        <f>Games[[#This Row],[PreGmRate]]+Games[[#This Row],[RatingChange]]</f>
        <v>1404.8279133728763</v>
      </c>
      <c r="AC337" s="2">
        <f>IF(Games[[#This Row],[Type]]="R",IF(Games[[#This Row],[Result]]&gt;0.5,1,0),0)</f>
        <v>0</v>
      </c>
      <c r="AD337" s="2">
        <f>IF(Games[[#This Row],[Type]]="R",IF(Games[[#This Row],[Result]]&lt;0.5,1,0),0)</f>
        <v>1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45527</v>
      </c>
      <c r="B338" s="2">
        <v>2024</v>
      </c>
      <c r="C338" s="2">
        <f>COUNTIFS(Games[Team],Games[[#This Row],[Team]],Games[Season],Games[[#This Row],[Season]],Games[Date],"&lt;=" &amp; Games[[#This Row],[Date]])</f>
        <v>28</v>
      </c>
      <c r="D338" s="2" t="s">
        <v>79</v>
      </c>
      <c r="E338" s="2" t="s">
        <v>80</v>
      </c>
      <c r="F338" s="1" t="s">
        <v>75</v>
      </c>
      <c r="G338" s="1" t="s">
        <v>74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4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8" s="2">
        <f>Games[[#This Row],[DaysOff]]-Games[[#This Row],[OppDaysOff]]</f>
        <v>2</v>
      </c>
      <c r="L338" s="2">
        <f>Games[[#This Row],[OppDaysOff]]-Games[[#This Row],[DaysOff]]</f>
        <v>-2</v>
      </c>
      <c r="M338" s="16">
        <f>MAX(-16, MIN(16, Games[[#This Row],[RestDiff]]*8))</f>
        <v>16</v>
      </c>
      <c r="N338" s="16">
        <f>MAX(-16, MIN(16, Games[[#This Row],[OppRestDiff]]*8))</f>
        <v>-16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1448.0280830939657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1612.1601669208744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0.22371335270989628</v>
      </c>
      <c r="R338" s="1">
        <v>80</v>
      </c>
      <c r="S338" s="1">
        <v>82</v>
      </c>
      <c r="T338" s="1">
        <v>0</v>
      </c>
      <c r="U338" s="16">
        <f>Games[[#This Row],[PointsFor]]-Games[[#This Row],[PointsAgainst]]</f>
        <v>-2</v>
      </c>
      <c r="V338" s="16">
        <f>IF(Games[[#This Row],[MOV]]&gt;0,1,IF(Games[[#This Row],[MOV]]=0,0.5,0))</f>
        <v>0</v>
      </c>
      <c r="W338" s="4">
        <f>((ABS(Games[[#This Row],[MOV]])+5)^0.6)/(12+0.01*(ABS(Games[[#This Row],[PreGmRate]]-Games[[#This Row],[OppPreGmRate]])))*IF(Games[[#This Row],[OT]]=1,0.9,1)</f>
        <v>0.23561470973538565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8" s="9">
        <f>MAX(kmin, kmax - 0.15 * MIN(Games[[#This Row],[GamesPlayed]], 82))</f>
        <v>71.8</v>
      </c>
      <c r="Z338" s="4">
        <f>Games[[#This Row],[K]]*Games[[#This Row],[POMult]]</f>
        <v>71.8</v>
      </c>
      <c r="AA338" s="4">
        <f>(Games[[#This Row],[Keff]]*Games[[#This Row],[MOVMult]])*(Games[[#This Row],[Result]]-Games[[#This Row],[ExpectedWin%]])</f>
        <v>-3.7845892483798607</v>
      </c>
      <c r="AB338" s="4">
        <f>Games[[#This Row],[PreGmRate]]+Games[[#This Row],[RatingChange]]</f>
        <v>1444.2434938455858</v>
      </c>
      <c r="AC338" s="2">
        <f>IF(Games[[#This Row],[Type]]="R",IF(Games[[#This Row],[Result]]&gt;0.5,1,0),0)</f>
        <v>0</v>
      </c>
      <c r="AD338" s="2">
        <f>IF(Games[[#This Row],[Type]]="R",IF(Games[[#This Row],[Result]]&lt;0.5,1,0),0)</f>
        <v>1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45527</v>
      </c>
      <c r="B339" s="2">
        <v>2024</v>
      </c>
      <c r="C339" s="2">
        <f>COUNTIFS(Games[Team],Games[[#This Row],[Team]],Games[Season],Games[[#This Row],[Season]],Games[Date],"&lt;=" &amp; Games[[#This Row],[Date]])</f>
        <v>28</v>
      </c>
      <c r="D339" s="2" t="s">
        <v>79</v>
      </c>
      <c r="E339" s="2" t="s">
        <v>80</v>
      </c>
      <c r="F339" s="1" t="s">
        <v>74</v>
      </c>
      <c r="G339" s="1" t="s">
        <v>75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39" s="2">
        <f>Games[[#This Row],[DaysOff]]-Games[[#This Row],[OppDaysOff]]</f>
        <v>-2</v>
      </c>
      <c r="L339" s="2">
        <f>Games[[#This Row],[OppDaysOff]]-Games[[#This Row],[DaysOff]]</f>
        <v>2</v>
      </c>
      <c r="M339" s="16">
        <f>MAX(-16, MIN(16, Games[[#This Row],[RestDiff]]*8))</f>
        <v>-16</v>
      </c>
      <c r="N339" s="16">
        <f>MAX(-16, MIN(16, Games[[#This Row],[OppRestDiff]]*8))</f>
        <v>16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1612.1601669208744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1448.0280830939657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0.77628664729010377</v>
      </c>
      <c r="R339" s="1">
        <v>82</v>
      </c>
      <c r="S339" s="1">
        <v>80</v>
      </c>
      <c r="T339" s="1">
        <v>0</v>
      </c>
      <c r="U339" s="16">
        <f>Games[[#This Row],[PointsFor]]-Games[[#This Row],[PointsAgainst]]</f>
        <v>2</v>
      </c>
      <c r="V339" s="16">
        <f>IF(Games[[#This Row],[MOV]]&gt;0,1,IF(Games[[#This Row],[MOV]]=0,0.5,0))</f>
        <v>1</v>
      </c>
      <c r="W339" s="4">
        <f>((ABS(Games[[#This Row],[MOV]])+5)^0.6)/(12+0.01*(ABS(Games[[#This Row],[PreGmRate]]-Games[[#This Row],[OppPreGmRate]])))*IF(Games[[#This Row],[OT]]=1,0.9,1)</f>
        <v>0.23561470973538565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9" s="9">
        <f>MAX(kmin, kmax - 0.15 * MIN(Games[[#This Row],[GamesPlayed]], 82))</f>
        <v>71.8</v>
      </c>
      <c r="Z339" s="4">
        <f>Games[[#This Row],[K]]*Games[[#This Row],[POMult]]</f>
        <v>71.8</v>
      </c>
      <c r="AA339" s="4">
        <f>(Games[[#This Row],[Keff]]*Games[[#This Row],[MOVMult]])*(Games[[#This Row],[Result]]-Games[[#This Row],[ExpectedWin%]])</f>
        <v>3.7845892483798598</v>
      </c>
      <c r="AB339" s="4">
        <f>Games[[#This Row],[PreGmRate]]+Games[[#This Row],[RatingChange]]</f>
        <v>1615.9447561692543</v>
      </c>
      <c r="AC339" s="2">
        <f>IF(Games[[#This Row],[Type]]="R",IF(Games[[#This Row],[Result]]&gt;0.5,1,0),0)</f>
        <v>1</v>
      </c>
      <c r="AD339" s="2">
        <f>IF(Games[[#This Row],[Type]]="R",IF(Games[[#This Row],[Result]]&lt;0.5,1,0),0)</f>
        <v>0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45527</v>
      </c>
      <c r="B340" s="2">
        <v>2024</v>
      </c>
      <c r="C340" s="2">
        <f>COUNTIFS(Games[Team],Games[[#This Row],[Team]],Games[Season],Games[[#This Row],[Season]],Games[Date],"&lt;=" &amp; Games[[#This Row],[Date]])</f>
        <v>28</v>
      </c>
      <c r="D340" s="2" t="s">
        <v>79</v>
      </c>
      <c r="E340" s="2" t="s">
        <v>80</v>
      </c>
      <c r="F340" s="1" t="s">
        <v>86</v>
      </c>
      <c r="G340" s="1" t="s">
        <v>67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0" s="2">
        <f>Games[[#This Row],[DaysOff]]-Games[[#This Row],[OppDaysOff]]</f>
        <v>0</v>
      </c>
      <c r="L340" s="2">
        <f>Games[[#This Row],[OppDaysOff]]-Games[[#This Row],[DaysOff]]</f>
        <v>0</v>
      </c>
      <c r="M340" s="16">
        <f>MAX(-16, MIN(16, Games[[#This Row],[RestDiff]]*8))</f>
        <v>0</v>
      </c>
      <c r="N340" s="16">
        <f>MAX(-16, MIN(16, Games[[#This Row],[OppRestDiff]]*8))</f>
        <v>0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1605.1467673864288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1600.4471272667583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0.38781892596468648</v>
      </c>
      <c r="R340" s="1">
        <v>74</v>
      </c>
      <c r="S340" s="1">
        <v>87</v>
      </c>
      <c r="T340" s="1">
        <v>0</v>
      </c>
      <c r="U340" s="16">
        <f>Games[[#This Row],[PointsFor]]-Games[[#This Row],[PointsAgainst]]</f>
        <v>-13</v>
      </c>
      <c r="V340" s="16">
        <f>IF(Games[[#This Row],[MOV]]&gt;0,1,IF(Games[[#This Row],[MOV]]=0,0.5,0))</f>
        <v>0</v>
      </c>
      <c r="W340" s="4">
        <f>((ABS(Games[[#This Row],[MOV]])+5)^0.6)/(12+0.01*(ABS(Games[[#This Row],[PreGmRate]]-Games[[#This Row],[OppPreGmRate]])))*IF(Games[[#This Row],[OT]]=1,0.9,1)</f>
        <v>0.47020227109943502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0" s="9">
        <f>MAX(kmin, kmax - 0.15 * MIN(Games[[#This Row],[GamesPlayed]], 82))</f>
        <v>71.8</v>
      </c>
      <c r="Z340" s="4">
        <f>Games[[#This Row],[K]]*Games[[#This Row],[POMult]]</f>
        <v>71.8</v>
      </c>
      <c r="AA340" s="4">
        <f>(Games[[#This Row],[Keff]]*Games[[#This Row],[MOVMult]])*(Games[[#This Row],[Result]]-Games[[#This Row],[ExpectedWin%]])</f>
        <v>-13.092969795050836</v>
      </c>
      <c r="AB340" s="4">
        <f>Games[[#This Row],[PreGmRate]]+Games[[#This Row],[RatingChange]]</f>
        <v>1592.053797591378</v>
      </c>
      <c r="AC340" s="2">
        <f>IF(Games[[#This Row],[Type]]="R",IF(Games[[#This Row],[Result]]&gt;0.5,1,0),0)</f>
        <v>0</v>
      </c>
      <c r="AD340" s="2">
        <f>IF(Games[[#This Row],[Type]]="R",IF(Games[[#This Row],[Result]]&lt;0.5,1,0),0)</f>
        <v>1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45527</v>
      </c>
      <c r="B341" s="2">
        <v>2024</v>
      </c>
      <c r="C341" s="2">
        <f>COUNTIFS(Games[Team],Games[[#This Row],[Team]],Games[Season],Games[[#This Row],[Season]],Games[Date],"&lt;=" &amp; Games[[#This Row],[Date]])</f>
        <v>29</v>
      </c>
      <c r="D341" s="2" t="s">
        <v>79</v>
      </c>
      <c r="E341" s="2" t="s">
        <v>80</v>
      </c>
      <c r="F341" s="1" t="s">
        <v>67</v>
      </c>
      <c r="G341" s="1" t="s">
        <v>86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1" s="2">
        <f>Games[[#This Row],[DaysOff]]-Games[[#This Row],[OppDaysOff]]</f>
        <v>0</v>
      </c>
      <c r="L341" s="2">
        <f>Games[[#This Row],[OppDaysOff]]-Games[[#This Row],[DaysOff]]</f>
        <v>0</v>
      </c>
      <c r="M341" s="16">
        <f>MAX(-16, MIN(16, Games[[#This Row],[RestDiff]]*8))</f>
        <v>0</v>
      </c>
      <c r="N341" s="16">
        <f>MAX(-16, MIN(16, Games[[#This Row],[OppRestDiff]]*8))</f>
        <v>0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1600.4471272667583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1605.1467673864288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0.61218107403531352</v>
      </c>
      <c r="R341" s="1">
        <v>87</v>
      </c>
      <c r="S341" s="1">
        <v>74</v>
      </c>
      <c r="T341" s="1">
        <v>0</v>
      </c>
      <c r="U341" s="16">
        <f>Games[[#This Row],[PointsFor]]-Games[[#This Row],[PointsAgainst]]</f>
        <v>13</v>
      </c>
      <c r="V341" s="16">
        <f>IF(Games[[#This Row],[MOV]]&gt;0,1,IF(Games[[#This Row],[MOV]]=0,0.5,0))</f>
        <v>1</v>
      </c>
      <c r="W341" s="4">
        <f>((ABS(Games[[#This Row],[MOV]])+5)^0.6)/(12+0.01*(ABS(Games[[#This Row],[PreGmRate]]-Games[[#This Row],[OppPreGmRate]])))*IF(Games[[#This Row],[OT]]=1,0.9,1)</f>
        <v>0.47020227109943502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1" s="9">
        <f>MAX(kmin, kmax - 0.15 * MIN(Games[[#This Row],[GamesPlayed]], 82))</f>
        <v>71.650000000000006</v>
      </c>
      <c r="Z341" s="4">
        <f>Games[[#This Row],[K]]*Games[[#This Row],[POMult]]</f>
        <v>71.650000000000006</v>
      </c>
      <c r="AA341" s="4">
        <f>(Games[[#This Row],[Keff]]*Games[[#This Row],[MOVMult]])*(Games[[#This Row],[Result]]-Games[[#This Row],[ExpectedWin%]])</f>
        <v>13.065616794086248</v>
      </c>
      <c r="AB341" s="4">
        <f>Games[[#This Row],[PreGmRate]]+Games[[#This Row],[RatingChange]]</f>
        <v>1613.5127440608446</v>
      </c>
      <c r="AC341" s="2">
        <f>IF(Games[[#This Row],[Type]]="R",IF(Games[[#This Row],[Result]]&gt;0.5,1,0),0)</f>
        <v>1</v>
      </c>
      <c r="AD341" s="2">
        <f>IF(Games[[#This Row],[Type]]="R",IF(Games[[#This Row],[Result]]&lt;0.5,1,0),0)</f>
        <v>0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45527</v>
      </c>
      <c r="B342" s="2">
        <v>2024</v>
      </c>
      <c r="C342" s="2">
        <f>COUNTIFS(Games[Team],Games[[#This Row],[Team]],Games[Season],Games[[#This Row],[Season]],Games[Date],"&lt;=" &amp; Games[[#This Row],[Date]])</f>
        <v>29</v>
      </c>
      <c r="D342" s="2" t="s">
        <v>79</v>
      </c>
      <c r="E342" s="2" t="s">
        <v>80</v>
      </c>
      <c r="F342" s="1" t="s">
        <v>63</v>
      </c>
      <c r="G342" s="1" t="s">
        <v>65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2" s="2">
        <f>Games[[#This Row],[DaysOff]]-Games[[#This Row],[OppDaysOff]]</f>
        <v>0</v>
      </c>
      <c r="L342" s="2">
        <f>Games[[#This Row],[OppDaysOff]]-Games[[#This Row],[DaysOff]]</f>
        <v>0</v>
      </c>
      <c r="M342" s="16">
        <f>MAX(-16, MIN(16, Games[[#This Row],[RestDiff]]*8))</f>
        <v>0</v>
      </c>
      <c r="N342" s="16">
        <f>MAX(-16, MIN(16, Games[[#This Row],[OppRestDiff]]*8))</f>
        <v>0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1343.9014921329103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1369.8224175494177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0.34688595163391611</v>
      </c>
      <c r="R342" s="1">
        <v>74</v>
      </c>
      <c r="S342" s="1">
        <v>80</v>
      </c>
      <c r="T342" s="1">
        <v>0</v>
      </c>
      <c r="U342" s="16">
        <f>Games[[#This Row],[PointsFor]]-Games[[#This Row],[PointsAgainst]]</f>
        <v>-6</v>
      </c>
      <c r="V342" s="16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0.34385326538575284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2" s="9">
        <f>MAX(kmin, kmax - 0.15 * MIN(Games[[#This Row],[GamesPlayed]], 82))</f>
        <v>71.650000000000006</v>
      </c>
      <c r="Z342" s="4">
        <f>Games[[#This Row],[K]]*Games[[#This Row],[POMult]]</f>
        <v>71.650000000000006</v>
      </c>
      <c r="AA342" s="4">
        <f>(Games[[#This Row],[Keff]]*Games[[#This Row],[MOVMult]])*(Games[[#This Row],[Result]]-Games[[#This Row],[ExpectedWin%]])</f>
        <v>-8.5462591838601618</v>
      </c>
      <c r="AB342" s="4">
        <f>Games[[#This Row],[PreGmRate]]+Games[[#This Row],[RatingChange]]</f>
        <v>1335.3552329490501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45527</v>
      </c>
      <c r="B343" s="2">
        <v>2024</v>
      </c>
      <c r="C343" s="2">
        <f>COUNTIFS(Games[Team],Games[[#This Row],[Team]],Games[Season],Games[[#This Row],[Season]],Games[Date],"&lt;=" &amp; Games[[#This Row],[Date]])</f>
        <v>29</v>
      </c>
      <c r="D343" s="2" t="s">
        <v>79</v>
      </c>
      <c r="E343" s="2" t="s">
        <v>80</v>
      </c>
      <c r="F343" s="1" t="s">
        <v>65</v>
      </c>
      <c r="G343" s="1" t="s">
        <v>63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3" s="2">
        <f>Games[[#This Row],[DaysOff]]-Games[[#This Row],[OppDaysOff]]</f>
        <v>0</v>
      </c>
      <c r="L343" s="2">
        <f>Games[[#This Row],[OppDaysOff]]-Games[[#This Row],[DaysOff]]</f>
        <v>0</v>
      </c>
      <c r="M343" s="16">
        <f>MAX(-16, MIN(16, Games[[#This Row],[RestDiff]]*8))</f>
        <v>0</v>
      </c>
      <c r="N343" s="16">
        <f>MAX(-16, MIN(16, Games[[#This Row],[OppRestDiff]]*8))</f>
        <v>0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1369.8224175494177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1343.9014921329103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0.65311404836608389</v>
      </c>
      <c r="R343" s="1">
        <v>80</v>
      </c>
      <c r="S343" s="1">
        <v>74</v>
      </c>
      <c r="T343" s="1">
        <v>0</v>
      </c>
      <c r="U343" s="16">
        <f>Games[[#This Row],[PointsFor]]-Games[[#This Row],[PointsAgainst]]</f>
        <v>6</v>
      </c>
      <c r="V343" s="16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0.34385326538575284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3" s="9">
        <f>MAX(kmin, kmax - 0.15 * MIN(Games[[#This Row],[GamesPlayed]], 82))</f>
        <v>71.650000000000006</v>
      </c>
      <c r="Z343" s="4">
        <f>Games[[#This Row],[K]]*Games[[#This Row],[POMult]]</f>
        <v>71.650000000000006</v>
      </c>
      <c r="AA343" s="4">
        <f>(Games[[#This Row],[Keff]]*Games[[#This Row],[MOVMult]])*(Games[[#This Row],[Result]]-Games[[#This Row],[ExpectedWin%]])</f>
        <v>8.5462591838601618</v>
      </c>
      <c r="AB343" s="4">
        <f>Games[[#This Row],[PreGmRate]]+Games[[#This Row],[RatingChange]]</f>
        <v>1378.3686767332779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45528</v>
      </c>
      <c r="B344" s="2">
        <v>2024</v>
      </c>
      <c r="C344" s="2">
        <f>COUNTIFS(Games[Team],Games[[#This Row],[Team]],Games[Season],Games[[#This Row],[Season]],Games[Date],"&lt;=" &amp; Games[[#This Row],[Date]])</f>
        <v>29</v>
      </c>
      <c r="D344" s="2" t="s">
        <v>79</v>
      </c>
      <c r="E344" s="2" t="s">
        <v>80</v>
      </c>
      <c r="F344" s="1" t="s">
        <v>69</v>
      </c>
      <c r="G344" s="1" t="s">
        <v>67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5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44" s="2">
        <f>Games[[#This Row],[DaysOff]]-Games[[#This Row],[OppDaysOff]]</f>
        <v>5</v>
      </c>
      <c r="L344" s="2">
        <f>Games[[#This Row],[OppDaysOff]]-Games[[#This Row],[DaysOff]]</f>
        <v>-5</v>
      </c>
      <c r="M344" s="16">
        <f>MAX(-16, MIN(16, Games[[#This Row],[RestDiff]]*8))</f>
        <v>16</v>
      </c>
      <c r="N344" s="16">
        <f>MAX(-16, MIN(16, Games[[#This Row],[OppRestDiff]]*8))</f>
        <v>-16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1476.6606931744268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1613.5127440608446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0.25216102807638441</v>
      </c>
      <c r="R344" s="1">
        <v>80</v>
      </c>
      <c r="S344" s="1">
        <v>90</v>
      </c>
      <c r="T344" s="1">
        <v>0</v>
      </c>
      <c r="U344" s="16">
        <f>Games[[#This Row],[PointsFor]]-Games[[#This Row],[PointsAgainst]]</f>
        <v>-10</v>
      </c>
      <c r="V344" s="16">
        <f>IF(Games[[#This Row],[MOV]]&gt;0,1,IF(Games[[#This Row],[MOV]]=0,0.5,0))</f>
        <v>0</v>
      </c>
      <c r="W344" s="4">
        <f>((ABS(Games[[#This Row],[MOV]])+5)^0.6)/(12+0.01*(ABS(Games[[#This Row],[PreGmRate]]-Games[[#This Row],[OppPreGmRate]])))*IF(Games[[#This Row],[OT]]=1,0.9,1)</f>
        <v>0.37981438474217588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4" s="9">
        <f>MAX(kmin, kmax - 0.15 * MIN(Games[[#This Row],[GamesPlayed]], 82))</f>
        <v>71.650000000000006</v>
      </c>
      <c r="Z344" s="4">
        <f>Games[[#This Row],[K]]*Games[[#This Row],[POMult]]</f>
        <v>71.650000000000006</v>
      </c>
      <c r="AA344" s="4">
        <f>(Games[[#This Row],[Keff]]*Games[[#This Row],[MOVMult]])*(Games[[#This Row],[Result]]-Games[[#This Row],[ExpectedWin%]])</f>
        <v>-6.8622347378974524</v>
      </c>
      <c r="AB344" s="4">
        <f>Games[[#This Row],[PreGmRate]]+Games[[#This Row],[RatingChange]]</f>
        <v>1469.7984584365292</v>
      </c>
      <c r="AC344" s="2">
        <f>IF(Games[[#This Row],[Type]]="R",IF(Games[[#This Row],[Result]]&gt;0.5,1,0),0)</f>
        <v>0</v>
      </c>
      <c r="AD344" s="2">
        <f>IF(Games[[#This Row],[Type]]="R",IF(Games[[#This Row],[Result]]&lt;0.5,1,0),0)</f>
        <v>1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45528</v>
      </c>
      <c r="B345" s="2">
        <v>2024</v>
      </c>
      <c r="C345" s="2">
        <f>COUNTIFS(Games[Team],Games[[#This Row],[Team]],Games[Season],Games[[#This Row],[Season]],Games[Date],"&lt;=" &amp; Games[[#This Row],[Date]])</f>
        <v>30</v>
      </c>
      <c r="D345" s="2" t="s">
        <v>79</v>
      </c>
      <c r="E345" s="2" t="s">
        <v>80</v>
      </c>
      <c r="F345" s="1" t="s">
        <v>67</v>
      </c>
      <c r="G345" s="1" t="s">
        <v>69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0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45" s="2">
        <f>Games[[#This Row],[DaysOff]]-Games[[#This Row],[OppDaysOff]]</f>
        <v>-5</v>
      </c>
      <c r="L345" s="2">
        <f>Games[[#This Row],[OppDaysOff]]-Games[[#This Row],[DaysOff]]</f>
        <v>5</v>
      </c>
      <c r="M345" s="16">
        <f>MAX(-16, MIN(16, Games[[#This Row],[RestDiff]]*8))</f>
        <v>-16</v>
      </c>
      <c r="N345" s="16">
        <f>MAX(-16, MIN(16, Games[[#This Row],[OppRestDiff]]*8))</f>
        <v>16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1613.5127440608446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1476.6606931744268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0.7478389719236157</v>
      </c>
      <c r="R345" s="1">
        <v>90</v>
      </c>
      <c r="S345" s="1">
        <v>80</v>
      </c>
      <c r="T345" s="1">
        <v>0</v>
      </c>
      <c r="U345" s="16">
        <f>Games[[#This Row],[PointsFor]]-Games[[#This Row],[PointsAgainst]]</f>
        <v>10</v>
      </c>
      <c r="V345" s="16">
        <f>IF(Games[[#This Row],[MOV]]&gt;0,1,IF(Games[[#This Row],[MOV]]=0,0.5,0))</f>
        <v>1</v>
      </c>
      <c r="W345" s="4">
        <f>((ABS(Games[[#This Row],[MOV]])+5)^0.6)/(12+0.01*(ABS(Games[[#This Row],[PreGmRate]]-Games[[#This Row],[OppPreGmRate]])))*IF(Games[[#This Row],[OT]]=1,0.9,1)</f>
        <v>0.37981438474217588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5" s="9">
        <f>MAX(kmin, kmax - 0.15 * MIN(Games[[#This Row],[GamesPlayed]], 82))</f>
        <v>71.5</v>
      </c>
      <c r="Z345" s="4">
        <f>Games[[#This Row],[K]]*Games[[#This Row],[POMult]]</f>
        <v>71.5</v>
      </c>
      <c r="AA345" s="4">
        <f>(Games[[#This Row],[Keff]]*Games[[#This Row],[MOVMult]])*(Games[[#This Row],[Result]]-Games[[#This Row],[ExpectedWin%]])</f>
        <v>6.8478685800372308</v>
      </c>
      <c r="AB345" s="4">
        <f>Games[[#This Row],[PreGmRate]]+Games[[#This Row],[RatingChange]]</f>
        <v>1620.3606126408818</v>
      </c>
      <c r="AC345" s="2">
        <f>IF(Games[[#This Row],[Type]]="R",IF(Games[[#This Row],[Result]]&gt;0.5,1,0),0)</f>
        <v>1</v>
      </c>
      <c r="AD345" s="2">
        <f>IF(Games[[#This Row],[Type]]="R",IF(Games[[#This Row],[Result]]&lt;0.5,1,0),0)</f>
        <v>0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45528</v>
      </c>
      <c r="B346" s="2">
        <v>2024</v>
      </c>
      <c r="C346" s="2">
        <f>COUNTIFS(Games[Team],Games[[#This Row],[Team]],Games[Season],Games[[#This Row],[Season]],Games[Date],"&lt;=" &amp; Games[[#This Row],[Date]])</f>
        <v>29</v>
      </c>
      <c r="D346" s="2" t="s">
        <v>79</v>
      </c>
      <c r="E346" s="2" t="s">
        <v>80</v>
      </c>
      <c r="F346" s="1" t="s">
        <v>74</v>
      </c>
      <c r="G346" s="1" t="s">
        <v>60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0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6" s="2">
        <f>Games[[#This Row],[DaysOff]]-Games[[#This Row],[OppDaysOff]]</f>
        <v>-1</v>
      </c>
      <c r="L346" s="2">
        <f>Games[[#This Row],[OppDaysOff]]-Games[[#This Row],[DaysOff]]</f>
        <v>1</v>
      </c>
      <c r="M346" s="16">
        <f>MAX(-16, MIN(16, Games[[#This Row],[RestDiff]]*8))</f>
        <v>-8</v>
      </c>
      <c r="N346" s="16">
        <f>MAX(-16, MIN(16, Games[[#This Row],[OppRestDiff]]*8))</f>
        <v>8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1615.9447561692543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1735.6883462318699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0.22012367758031834</v>
      </c>
      <c r="R346" s="1">
        <v>72</v>
      </c>
      <c r="S346" s="1">
        <v>64</v>
      </c>
      <c r="T346" s="1">
        <v>0</v>
      </c>
      <c r="U346" s="16">
        <f>Games[[#This Row],[PointsFor]]-Games[[#This Row],[PointsAgainst]]</f>
        <v>8</v>
      </c>
      <c r="V346" s="16">
        <f>IF(Games[[#This Row],[MOV]]&gt;0,1,IF(Games[[#This Row],[MOV]]=0,0.5,0))</f>
        <v>1</v>
      </c>
      <c r="W346" s="4">
        <f>((ABS(Games[[#This Row],[MOV]])+5)^0.6)/(12+0.01*(ABS(Games[[#This Row],[PreGmRate]]-Games[[#This Row],[OppPreGmRate]])))*IF(Games[[#This Row],[OT]]=1,0.9,1)</f>
        <v>0.35308270902948513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6" s="9">
        <f>MAX(kmin, kmax - 0.15 * MIN(Games[[#This Row],[GamesPlayed]], 82))</f>
        <v>71.650000000000006</v>
      </c>
      <c r="Z346" s="4">
        <f>Games[[#This Row],[K]]*Games[[#This Row],[POMult]]</f>
        <v>71.650000000000006</v>
      </c>
      <c r="AA346" s="4">
        <f>(Games[[#This Row],[Keff]]*Games[[#This Row],[MOVMult]])*(Games[[#This Row],[Result]]-Games[[#This Row],[ExpectedWin%]])</f>
        <v>19.729604517588562</v>
      </c>
      <c r="AB346" s="4">
        <f>Games[[#This Row],[PreGmRate]]+Games[[#This Row],[RatingChange]]</f>
        <v>1635.6743606868429</v>
      </c>
      <c r="AC346" s="2">
        <f>IF(Games[[#This Row],[Type]]="R",IF(Games[[#This Row],[Result]]&gt;0.5,1,0),0)</f>
        <v>1</v>
      </c>
      <c r="AD346" s="2">
        <f>IF(Games[[#This Row],[Type]]="R",IF(Games[[#This Row],[Result]]&lt;0.5,1,0),0)</f>
        <v>0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45528</v>
      </c>
      <c r="B347" s="2">
        <v>2024</v>
      </c>
      <c r="C347" s="2">
        <f>COUNTIFS(Games[Team],Games[[#This Row],[Team]],Games[Season],Games[[#This Row],[Season]],Games[Date],"&lt;=" &amp; Games[[#This Row],[Date]])</f>
        <v>30</v>
      </c>
      <c r="D347" s="2" t="s">
        <v>79</v>
      </c>
      <c r="E347" s="2" t="s">
        <v>80</v>
      </c>
      <c r="F347" s="1" t="s">
        <v>60</v>
      </c>
      <c r="G347" s="1" t="s">
        <v>74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47" s="2">
        <f>Games[[#This Row],[DaysOff]]-Games[[#This Row],[OppDaysOff]]</f>
        <v>1</v>
      </c>
      <c r="L347" s="2">
        <f>Games[[#This Row],[OppDaysOff]]-Games[[#This Row],[DaysOff]]</f>
        <v>-1</v>
      </c>
      <c r="M347" s="16">
        <f>MAX(-16, MIN(16, Games[[#This Row],[RestDiff]]*8))</f>
        <v>8</v>
      </c>
      <c r="N347" s="16">
        <f>MAX(-16, MIN(16, Games[[#This Row],[OppRestDiff]]*8))</f>
        <v>-8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1735.6883462318699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1615.9447561692543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0.77987632241968163</v>
      </c>
      <c r="R347" s="1">
        <v>64</v>
      </c>
      <c r="S347" s="1">
        <v>72</v>
      </c>
      <c r="T347" s="1">
        <v>0</v>
      </c>
      <c r="U347" s="16">
        <f>Games[[#This Row],[PointsFor]]-Games[[#This Row],[PointsAgainst]]</f>
        <v>-8</v>
      </c>
      <c r="V347" s="16">
        <f>IF(Games[[#This Row],[MOV]]&gt;0,1,IF(Games[[#This Row],[MOV]]=0,0.5,0))</f>
        <v>0</v>
      </c>
      <c r="W347" s="4">
        <f>((ABS(Games[[#This Row],[MOV]])+5)^0.6)/(12+0.01*(ABS(Games[[#This Row],[PreGmRate]]-Games[[#This Row],[OppPreGmRate]])))*IF(Games[[#This Row],[OT]]=1,0.9,1)</f>
        <v>0.35308270902948513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7" s="9">
        <f>MAX(kmin, kmax - 0.15 * MIN(Games[[#This Row],[GamesPlayed]], 82))</f>
        <v>71.5</v>
      </c>
      <c r="Z347" s="4">
        <f>Games[[#This Row],[K]]*Games[[#This Row],[POMult]]</f>
        <v>71.5</v>
      </c>
      <c r="AA347" s="4">
        <f>(Games[[#This Row],[Keff]]*Games[[#This Row],[MOVMult]])*(Games[[#This Row],[Result]]-Games[[#This Row],[ExpectedWin%]])</f>
        <v>-19.688300390894376</v>
      </c>
      <c r="AB347" s="4">
        <f>Games[[#This Row],[PreGmRate]]+Games[[#This Row],[RatingChange]]</f>
        <v>1716.0000458409754</v>
      </c>
      <c r="AC347" s="2">
        <f>IF(Games[[#This Row],[Type]]="R",IF(Games[[#This Row],[Result]]&gt;0.5,1,0),0)</f>
        <v>0</v>
      </c>
      <c r="AD347" s="2">
        <f>IF(Games[[#This Row],[Type]]="R",IF(Games[[#This Row],[Result]]&lt;0.5,1,0),0)</f>
        <v>1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45529</v>
      </c>
      <c r="B348" s="2">
        <v>2024</v>
      </c>
      <c r="C348" s="2">
        <f>COUNTIFS(Games[Team],Games[[#This Row],[Team]],Games[Season],Games[[#This Row],[Season]],Games[Date],"&lt;=" &amp; Games[[#This Row],[Date]])</f>
        <v>29</v>
      </c>
      <c r="D348" s="2" t="s">
        <v>79</v>
      </c>
      <c r="E348" s="2" t="s">
        <v>80</v>
      </c>
      <c r="F348" s="1" t="s">
        <v>86</v>
      </c>
      <c r="G348" s="1" t="s">
        <v>75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8" s="2">
        <f>Games[[#This Row],[DaysOff]]-Games[[#This Row],[OppDaysOff]]</f>
        <v>0</v>
      </c>
      <c r="L348" s="2">
        <f>Games[[#This Row],[OppDaysOff]]-Games[[#This Row],[DaysOff]]</f>
        <v>0</v>
      </c>
      <c r="M348" s="16">
        <f>MAX(-16, MIN(16, Games[[#This Row],[RestDiff]]*8))</f>
        <v>0</v>
      </c>
      <c r="N348" s="16">
        <f>MAX(-16, MIN(16, Games[[#This Row],[OppRestDiff]]*8))</f>
        <v>0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1592.053797591378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1444.2434938455858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0.59081163294668004</v>
      </c>
      <c r="R348" s="1">
        <v>77</v>
      </c>
      <c r="S348" s="1">
        <v>75</v>
      </c>
      <c r="T348" s="1">
        <v>0</v>
      </c>
      <c r="U348" s="16">
        <f>Games[[#This Row],[PointsFor]]-Games[[#This Row],[PointsAgainst]]</f>
        <v>2</v>
      </c>
      <c r="V348" s="16">
        <f>IF(Games[[#This Row],[MOV]]&gt;0,1,IF(Games[[#This Row],[MOV]]=0,0.5,0))</f>
        <v>1</v>
      </c>
      <c r="W348" s="4">
        <f>((ABS(Games[[#This Row],[MOV]])+5)^0.6)/(12+0.01*(ABS(Games[[#This Row],[PreGmRate]]-Games[[#This Row],[OppPreGmRate]])))*IF(Games[[#This Row],[OT]]=1,0.9,1)</f>
        <v>0.2384679684361756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8" s="9">
        <f>MAX(kmin, kmax - 0.15 * MIN(Games[[#This Row],[GamesPlayed]], 82))</f>
        <v>71.650000000000006</v>
      </c>
      <c r="Z348" s="4">
        <f>Games[[#This Row],[K]]*Games[[#This Row],[POMult]]</f>
        <v>71.650000000000006</v>
      </c>
      <c r="AA348" s="4">
        <f>(Games[[#This Row],[Keff]]*Games[[#This Row],[MOVMult]])*(Games[[#This Row],[Result]]-Games[[#This Row],[ExpectedWin%]])</f>
        <v>6.9914865276127145</v>
      </c>
      <c r="AB348" s="4">
        <f>Games[[#This Row],[PreGmRate]]+Games[[#This Row],[RatingChange]]</f>
        <v>1599.0452841189908</v>
      </c>
      <c r="AC348" s="2">
        <f>IF(Games[[#This Row],[Type]]="R",IF(Games[[#This Row],[Result]]&gt;0.5,1,0),0)</f>
        <v>1</v>
      </c>
      <c r="AD348" s="2">
        <f>IF(Games[[#This Row],[Type]]="R",IF(Games[[#This Row],[Result]]&lt;0.5,1,0),0)</f>
        <v>0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45529</v>
      </c>
      <c r="B349" s="2">
        <v>2024</v>
      </c>
      <c r="C349" s="2">
        <f>COUNTIFS(Games[Team],Games[[#This Row],[Team]],Games[Season],Games[[#This Row],[Season]],Games[Date],"&lt;=" &amp; Games[[#This Row],[Date]])</f>
        <v>29</v>
      </c>
      <c r="D349" s="2" t="s">
        <v>79</v>
      </c>
      <c r="E349" s="2" t="s">
        <v>80</v>
      </c>
      <c r="F349" s="1" t="s">
        <v>75</v>
      </c>
      <c r="G349" s="1" t="s">
        <v>86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9" s="2">
        <f>Games[[#This Row],[DaysOff]]-Games[[#This Row],[OppDaysOff]]</f>
        <v>0</v>
      </c>
      <c r="L349" s="2">
        <f>Games[[#This Row],[OppDaysOff]]-Games[[#This Row],[DaysOff]]</f>
        <v>0</v>
      </c>
      <c r="M349" s="16">
        <f>MAX(-16, MIN(16, Games[[#This Row],[RestDiff]]*8))</f>
        <v>0</v>
      </c>
      <c r="N349" s="16">
        <f>MAX(-16, MIN(16, Games[[#This Row],[OppRestDiff]]*8))</f>
        <v>0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1444.2434938455858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1592.053797591378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0.4091883670533199</v>
      </c>
      <c r="R349" s="1">
        <v>75</v>
      </c>
      <c r="S349" s="1">
        <v>77</v>
      </c>
      <c r="T349" s="1">
        <v>0</v>
      </c>
      <c r="U349" s="16">
        <f>Games[[#This Row],[PointsFor]]-Games[[#This Row],[PointsAgainst]]</f>
        <v>-2</v>
      </c>
      <c r="V349" s="16">
        <f>IF(Games[[#This Row],[MOV]]&gt;0,1,IF(Games[[#This Row],[MOV]]=0,0.5,0))</f>
        <v>0</v>
      </c>
      <c r="W349" s="4">
        <f>((ABS(Games[[#This Row],[MOV]])+5)^0.6)/(12+0.01*(ABS(Games[[#This Row],[PreGmRate]]-Games[[#This Row],[OppPreGmRate]])))*IF(Games[[#This Row],[OT]]=1,0.9,1)</f>
        <v>0.2384679684361756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9" s="9">
        <f>MAX(kmin, kmax - 0.15 * MIN(Games[[#This Row],[GamesPlayed]], 82))</f>
        <v>71.650000000000006</v>
      </c>
      <c r="Z349" s="4">
        <f>Games[[#This Row],[K]]*Games[[#This Row],[POMult]]</f>
        <v>71.650000000000006</v>
      </c>
      <c r="AA349" s="4">
        <f>(Games[[#This Row],[Keff]]*Games[[#This Row],[MOVMult]])*(Games[[#This Row],[Result]]-Games[[#This Row],[ExpectedWin%]])</f>
        <v>-6.9914865276127136</v>
      </c>
      <c r="AB349" s="4">
        <f>Games[[#This Row],[PreGmRate]]+Games[[#This Row],[RatingChange]]</f>
        <v>1437.252007317973</v>
      </c>
      <c r="AC349" s="2">
        <f>IF(Games[[#This Row],[Type]]="R",IF(Games[[#This Row],[Result]]&gt;0.5,1,0),0)</f>
        <v>0</v>
      </c>
      <c r="AD349" s="2">
        <f>IF(Games[[#This Row],[Type]]="R",IF(Games[[#This Row],[Result]]&lt;0.5,1,0),0)</f>
        <v>1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45529</v>
      </c>
      <c r="B350" s="2">
        <v>2024</v>
      </c>
      <c r="C350" s="2">
        <f>COUNTIFS(Games[Team],Games[[#This Row],[Team]],Games[Season],Games[[#This Row],[Season]],Games[Date],"&lt;=" &amp; Games[[#This Row],[Date]])</f>
        <v>30</v>
      </c>
      <c r="D350" s="2" t="s">
        <v>79</v>
      </c>
      <c r="E350" s="2" t="s">
        <v>80</v>
      </c>
      <c r="F350" s="1" t="s">
        <v>63</v>
      </c>
      <c r="G350" s="1" t="s">
        <v>85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0" s="2">
        <f>Games[[#This Row],[DaysOff]]-Games[[#This Row],[OppDaysOff]]</f>
        <v>-1</v>
      </c>
      <c r="L350" s="2">
        <f>Games[[#This Row],[OppDaysOff]]-Games[[#This Row],[DaysOff]]</f>
        <v>1</v>
      </c>
      <c r="M350" s="16">
        <f>MAX(-16, MIN(16, Games[[#This Row],[RestDiff]]*8))</f>
        <v>-8</v>
      </c>
      <c r="N350" s="16">
        <f>MAX(-16, MIN(16, Games[[#This Row],[OppRestDiff]]*8))</f>
        <v>8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1335.3552329490501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1357.8198766822884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0.33071275191427285</v>
      </c>
      <c r="R350" s="1">
        <v>110</v>
      </c>
      <c r="S350" s="1">
        <v>113</v>
      </c>
      <c r="T350" s="1">
        <v>0</v>
      </c>
      <c r="U350" s="16">
        <f>Games[[#This Row],[PointsFor]]-Games[[#This Row],[PointsAgainst]]</f>
        <v>-3</v>
      </c>
      <c r="V350" s="16">
        <f>IF(Games[[#This Row],[MOV]]&gt;0,1,IF(Games[[#This Row],[MOV]]=0,0.5,0))</f>
        <v>0</v>
      </c>
      <c r="W350" s="4">
        <f>((ABS(Games[[#This Row],[MOV]])+5)^0.6)/(12+0.01*(ABS(Games[[#This Row],[PreGmRate]]-Games[[#This Row],[OppPreGmRate]])))*IF(Games[[#This Row],[OT]]=1,0.9,1)</f>
        <v>0.28485095835167318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0" s="9">
        <f>MAX(kmin, kmax - 0.15 * MIN(Games[[#This Row],[GamesPlayed]], 82))</f>
        <v>71.5</v>
      </c>
      <c r="Z350" s="4">
        <f>Games[[#This Row],[K]]*Games[[#This Row],[POMult]]</f>
        <v>71.5</v>
      </c>
      <c r="AA350" s="4">
        <f>(Games[[#This Row],[Keff]]*Games[[#This Row],[MOVMult]])*(Games[[#This Row],[Result]]-Games[[#This Row],[ExpectedWin%]])</f>
        <v>-6.7355748690158324</v>
      </c>
      <c r="AB350" s="4">
        <f>Games[[#This Row],[PreGmRate]]+Games[[#This Row],[RatingChange]]</f>
        <v>1328.6196580800342</v>
      </c>
      <c r="AC350" s="2">
        <f>IF(Games[[#This Row],[Type]]="R",IF(Games[[#This Row],[Result]]&gt;0.5,1,0),0)</f>
        <v>0</v>
      </c>
      <c r="AD350" s="2">
        <f>IF(Games[[#This Row],[Type]]="R",IF(Games[[#This Row],[Result]]&lt;0.5,1,0),0)</f>
        <v>1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45529</v>
      </c>
      <c r="B351" s="2">
        <v>2024</v>
      </c>
      <c r="C351" s="2">
        <f>COUNTIFS(Games[Team],Games[[#This Row],[Team]],Games[Season],Games[[#This Row],[Season]],Games[Date],"&lt;=" &amp; Games[[#This Row],[Date]])</f>
        <v>29</v>
      </c>
      <c r="D351" s="2" t="s">
        <v>79</v>
      </c>
      <c r="E351" s="2" t="s">
        <v>80</v>
      </c>
      <c r="F351" s="1" t="s">
        <v>85</v>
      </c>
      <c r="G351" s="1" t="s">
        <v>63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1" s="2">
        <f>Games[[#This Row],[DaysOff]]-Games[[#This Row],[OppDaysOff]]</f>
        <v>1</v>
      </c>
      <c r="L351" s="2">
        <f>Games[[#This Row],[OppDaysOff]]-Games[[#This Row],[DaysOff]]</f>
        <v>-1</v>
      </c>
      <c r="M351" s="16">
        <f>MAX(-16, MIN(16, Games[[#This Row],[RestDiff]]*8))</f>
        <v>8</v>
      </c>
      <c r="N351" s="16">
        <f>MAX(-16, MIN(16, Games[[#This Row],[OppRestDiff]]*8))</f>
        <v>-8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1357.8198766822884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1335.3552329490501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0.66928724808572715</v>
      </c>
      <c r="R351" s="1">
        <v>113</v>
      </c>
      <c r="S351" s="1">
        <v>110</v>
      </c>
      <c r="T351" s="1">
        <v>0</v>
      </c>
      <c r="U351" s="16">
        <f>Games[[#This Row],[PointsFor]]-Games[[#This Row],[PointsAgainst]]</f>
        <v>3</v>
      </c>
      <c r="V351" s="16">
        <f>IF(Games[[#This Row],[MOV]]&gt;0,1,IF(Games[[#This Row],[MOV]]=0,0.5,0))</f>
        <v>1</v>
      </c>
      <c r="W351" s="4">
        <f>((ABS(Games[[#This Row],[MOV]])+5)^0.6)/(12+0.01*(ABS(Games[[#This Row],[PreGmRate]]-Games[[#This Row],[OppPreGmRate]])))*IF(Games[[#This Row],[OT]]=1,0.9,1)</f>
        <v>0.28485095835167318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1" s="9">
        <f>MAX(kmin, kmax - 0.15 * MIN(Games[[#This Row],[GamesPlayed]], 82))</f>
        <v>71.650000000000006</v>
      </c>
      <c r="Z351" s="4">
        <f>Games[[#This Row],[K]]*Games[[#This Row],[POMult]]</f>
        <v>71.650000000000006</v>
      </c>
      <c r="AA351" s="4">
        <f>(Games[[#This Row],[Keff]]*Games[[#This Row],[MOVMult]])*(Games[[#This Row],[Result]]-Games[[#This Row],[ExpectedWin%]])</f>
        <v>6.7497054456641186</v>
      </c>
      <c r="AB351" s="4">
        <f>Games[[#This Row],[PreGmRate]]+Games[[#This Row],[RatingChange]]</f>
        <v>1364.5695821279526</v>
      </c>
      <c r="AC351" s="2">
        <f>IF(Games[[#This Row],[Type]]="R",IF(Games[[#This Row],[Result]]&gt;0.5,1,0),0)</f>
        <v>1</v>
      </c>
      <c r="AD351" s="2">
        <f>IF(Games[[#This Row],[Type]]="R",IF(Games[[#This Row],[Result]]&lt;0.5,1,0),0)</f>
        <v>0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45530</v>
      </c>
      <c r="B352" s="2">
        <v>2024</v>
      </c>
      <c r="C352" s="2">
        <f>COUNTIFS(Games[Team],Games[[#This Row],[Team]],Games[Season],Games[[#This Row],[Season]],Games[Date],"&lt;=" &amp; Games[[#This Row],[Date]])</f>
        <v>30</v>
      </c>
      <c r="D352" s="2" t="s">
        <v>79</v>
      </c>
      <c r="E352" s="2" t="s">
        <v>80</v>
      </c>
      <c r="F352" s="1" t="s">
        <v>69</v>
      </c>
      <c r="G352" s="1" t="s">
        <v>77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2" s="2">
        <f>Games[[#This Row],[DaysOff]]-Games[[#This Row],[OppDaysOff]]</f>
        <v>-1</v>
      </c>
      <c r="L352" s="2">
        <f>Games[[#This Row],[OppDaysOff]]-Games[[#This Row],[DaysOff]]</f>
        <v>1</v>
      </c>
      <c r="M352" s="16">
        <f>MAX(-16, MIN(16, Games[[#This Row],[RestDiff]]*8))</f>
        <v>-8</v>
      </c>
      <c r="N352" s="16">
        <f>MAX(-16, MIN(16, Games[[#This Row],[OppRestDiff]]*8))</f>
        <v>8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1469.7984584365292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1404.8279133728763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0.44975868532038632</v>
      </c>
      <c r="R352" s="1">
        <v>84</v>
      </c>
      <c r="S352" s="1">
        <v>79</v>
      </c>
      <c r="T352" s="1">
        <v>0</v>
      </c>
      <c r="U352" s="16">
        <f>Games[[#This Row],[PointsFor]]-Games[[#This Row],[PointsAgainst]]</f>
        <v>5</v>
      </c>
      <c r="V352" s="16">
        <f>IF(Games[[#This Row],[MOV]]&gt;0,1,IF(Games[[#This Row],[MOV]]=0,0.5,0))</f>
        <v>1</v>
      </c>
      <c r="W352" s="4">
        <f>((ABS(Games[[#This Row],[MOV]])+5)^0.6)/(12+0.01*(ABS(Games[[#This Row],[PreGmRate]]-Games[[#This Row],[OppPreGmRate]])))*IF(Games[[#This Row],[OT]]=1,0.9,1)</f>
        <v>0.31471655376249463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2" s="9">
        <f>MAX(kmin, kmax - 0.15 * MIN(Games[[#This Row],[GamesPlayed]], 82))</f>
        <v>71.5</v>
      </c>
      <c r="Z352" s="4">
        <f>Games[[#This Row],[K]]*Games[[#This Row],[POMult]]</f>
        <v>71.5</v>
      </c>
      <c r="AA352" s="4">
        <f>(Games[[#This Row],[Keff]]*Games[[#This Row],[MOVMult]])*(Games[[#This Row],[Result]]-Games[[#This Row],[ExpectedWin%]])</f>
        <v>12.381658596000435</v>
      </c>
      <c r="AB352" s="4">
        <f>Games[[#This Row],[PreGmRate]]+Games[[#This Row],[RatingChange]]</f>
        <v>1482.1801170325298</v>
      </c>
      <c r="AC352" s="2">
        <f>IF(Games[[#This Row],[Type]]="R",IF(Games[[#This Row],[Result]]&gt;0.5,1,0),0)</f>
        <v>1</v>
      </c>
      <c r="AD352" s="2">
        <f>IF(Games[[#This Row],[Type]]="R",IF(Games[[#This Row],[Result]]&lt;0.5,1,0),0)</f>
        <v>0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45530</v>
      </c>
      <c r="B353" s="2">
        <v>2024</v>
      </c>
      <c r="C353" s="2">
        <f>COUNTIFS(Games[Team],Games[[#This Row],[Team]],Games[Season],Games[[#This Row],[Season]],Games[Date],"&lt;=" &amp; Games[[#This Row],[Date]])</f>
        <v>29</v>
      </c>
      <c r="D353" s="2" t="s">
        <v>79</v>
      </c>
      <c r="E353" s="2" t="s">
        <v>80</v>
      </c>
      <c r="F353" s="1" t="s">
        <v>77</v>
      </c>
      <c r="G353" s="1" t="s">
        <v>69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3" s="2">
        <f>Games[[#This Row],[DaysOff]]-Games[[#This Row],[OppDaysOff]]</f>
        <v>1</v>
      </c>
      <c r="L353" s="2">
        <f>Games[[#This Row],[OppDaysOff]]-Games[[#This Row],[DaysOff]]</f>
        <v>-1</v>
      </c>
      <c r="M353" s="16">
        <f>MAX(-16, MIN(16, Games[[#This Row],[RestDiff]]*8))</f>
        <v>8</v>
      </c>
      <c r="N353" s="16">
        <f>MAX(-16, MIN(16, Games[[#This Row],[OppRestDiff]]*8))</f>
        <v>-8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1404.8279133728763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1469.7984584365292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0.55024131467961368</v>
      </c>
      <c r="R353" s="1">
        <v>79</v>
      </c>
      <c r="S353" s="1">
        <v>84</v>
      </c>
      <c r="T353" s="1">
        <v>0</v>
      </c>
      <c r="U353" s="16">
        <f>Games[[#This Row],[PointsFor]]-Games[[#This Row],[PointsAgainst]]</f>
        <v>-5</v>
      </c>
      <c r="V353" s="16">
        <f>IF(Games[[#This Row],[MOV]]&gt;0,1,IF(Games[[#This Row],[MOV]]=0,0.5,0))</f>
        <v>0</v>
      </c>
      <c r="W353" s="4">
        <f>((ABS(Games[[#This Row],[MOV]])+5)^0.6)/(12+0.01*(ABS(Games[[#This Row],[PreGmRate]]-Games[[#This Row],[OppPreGmRate]])))*IF(Games[[#This Row],[OT]]=1,0.9,1)</f>
        <v>0.31471655376249463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3" s="9">
        <f>MAX(kmin, kmax - 0.15 * MIN(Games[[#This Row],[GamesPlayed]], 82))</f>
        <v>71.650000000000006</v>
      </c>
      <c r="Z353" s="4">
        <f>Games[[#This Row],[K]]*Games[[#This Row],[POMult]]</f>
        <v>71.650000000000006</v>
      </c>
      <c r="AA353" s="4">
        <f>(Games[[#This Row],[Keff]]*Games[[#This Row],[MOVMult]])*(Games[[#This Row],[Result]]-Games[[#This Row],[ExpectedWin%]])</f>
        <v>-12.407634103544492</v>
      </c>
      <c r="AB353" s="4">
        <f>Games[[#This Row],[PreGmRate]]+Games[[#This Row],[RatingChange]]</f>
        <v>1392.4202792693318</v>
      </c>
      <c r="AC353" s="2">
        <f>IF(Games[[#This Row],[Type]]="R",IF(Games[[#This Row],[Result]]&gt;0.5,1,0),0)</f>
        <v>0</v>
      </c>
      <c r="AD353" s="2">
        <f>IF(Games[[#This Row],[Type]]="R",IF(Games[[#This Row],[Result]]&lt;0.5,1,0),0)</f>
        <v>1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45530</v>
      </c>
      <c r="B354" s="2">
        <v>2024</v>
      </c>
      <c r="C354" s="2">
        <f>COUNTIFS(Games[Team],Games[[#This Row],[Team]],Games[Season],Games[[#This Row],[Season]],Games[Date],"&lt;=" &amp; Games[[#This Row],[Date]])</f>
        <v>31</v>
      </c>
      <c r="D354" s="2" t="s">
        <v>79</v>
      </c>
      <c r="E354" s="2" t="s">
        <v>80</v>
      </c>
      <c r="F354" s="1" t="s">
        <v>60</v>
      </c>
      <c r="G354" s="1" t="s">
        <v>40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4" s="2">
        <f>Games[[#This Row],[DaysOff]]-Games[[#This Row],[OppDaysOff]]</f>
        <v>-1</v>
      </c>
      <c r="L354" s="2">
        <f>Games[[#This Row],[OppDaysOff]]-Games[[#This Row],[DaysOff]]</f>
        <v>1</v>
      </c>
      <c r="M354" s="16">
        <f>MAX(-16, MIN(16, Games[[#This Row],[RestDiff]]*8))</f>
        <v>-8</v>
      </c>
      <c r="N354" s="16">
        <f>MAX(-16, MIN(16, Games[[#This Row],[OppRestDiff]]*8))</f>
        <v>8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1716.0000458409754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1490.7245041794429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0.6728588810145123</v>
      </c>
      <c r="R354" s="1">
        <v>84</v>
      </c>
      <c r="S354" s="1">
        <v>70</v>
      </c>
      <c r="T354" s="1">
        <v>0</v>
      </c>
      <c r="U354" s="16">
        <f>Games[[#This Row],[PointsFor]]-Games[[#This Row],[PointsAgainst]]</f>
        <v>14</v>
      </c>
      <c r="V354" s="16">
        <f>IF(Games[[#This Row],[MOV]]&gt;0,1,IF(Games[[#This Row],[MOV]]=0,0.5,0))</f>
        <v>1</v>
      </c>
      <c r="W354" s="4">
        <f>((ABS(Games[[#This Row],[MOV]])+5)^0.6)/(12+0.01*(ABS(Games[[#This Row],[PreGmRate]]-Games[[#This Row],[OppPreGmRate]])))*IF(Games[[#This Row],[OT]]=1,0.9,1)</f>
        <v>0.41053796766820211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4" s="9">
        <f>MAX(kmin, kmax - 0.15 * MIN(Games[[#This Row],[GamesPlayed]], 82))</f>
        <v>71.349999999999994</v>
      </c>
      <c r="Z354" s="4">
        <f>Games[[#This Row],[K]]*Games[[#This Row],[POMult]]</f>
        <v>71.349999999999994</v>
      </c>
      <c r="AA354" s="4">
        <f>(Games[[#This Row],[Keff]]*Games[[#This Row],[MOVMult]])*(Games[[#This Row],[Result]]-Games[[#This Row],[ExpectedWin%]])</f>
        <v>9.5825797067044078</v>
      </c>
      <c r="AB354" s="4">
        <f>Games[[#This Row],[PreGmRate]]+Games[[#This Row],[RatingChange]]</f>
        <v>1725.5826255476798</v>
      </c>
      <c r="AC354" s="2">
        <f>IF(Games[[#This Row],[Type]]="R",IF(Games[[#This Row],[Result]]&gt;0.5,1,0),0)</f>
        <v>1</v>
      </c>
      <c r="AD354" s="2">
        <f>IF(Games[[#This Row],[Type]]="R",IF(Games[[#This Row],[Result]]&lt;0.5,1,0),0)</f>
        <v>0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45530</v>
      </c>
      <c r="B355" s="2">
        <v>2024</v>
      </c>
      <c r="C355" s="2">
        <f>COUNTIFS(Games[Team],Games[[#This Row],[Team]],Games[Season],Games[[#This Row],[Season]],Games[Date],"&lt;=" &amp; Games[[#This Row],[Date]])</f>
        <v>31</v>
      </c>
      <c r="D355" s="2" t="s">
        <v>79</v>
      </c>
      <c r="E355" s="2" t="s">
        <v>80</v>
      </c>
      <c r="F355" s="1" t="s">
        <v>40</v>
      </c>
      <c r="G355" s="1" t="s">
        <v>60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1</v>
      </c>
      <c r="L355" s="2">
        <f>Games[[#This Row],[OppDaysOff]]-Games[[#This Row],[DaysOff]]</f>
        <v>-1</v>
      </c>
      <c r="M355" s="16">
        <f>MAX(-16, MIN(16, Games[[#This Row],[RestDiff]]*8))</f>
        <v>8</v>
      </c>
      <c r="N355" s="16">
        <f>MAX(-16, MIN(16, Games[[#This Row],[OppRestDiff]]*8))</f>
        <v>-8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1490.7245041794429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1716.0000458409754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0.32714111898548764</v>
      </c>
      <c r="R355" s="1">
        <v>70</v>
      </c>
      <c r="S355" s="1">
        <v>84</v>
      </c>
      <c r="T355" s="1">
        <v>0</v>
      </c>
      <c r="U355" s="16">
        <f>Games[[#This Row],[PointsFor]]-Games[[#This Row],[PointsAgainst]]</f>
        <v>-14</v>
      </c>
      <c r="V355" s="16">
        <f>IF(Games[[#This Row],[MOV]]&gt;0,1,IF(Games[[#This Row],[MOV]]=0,0.5,0))</f>
        <v>0</v>
      </c>
      <c r="W355" s="4">
        <f>((ABS(Games[[#This Row],[MOV]])+5)^0.6)/(12+0.01*(ABS(Games[[#This Row],[PreGmRate]]-Games[[#This Row],[OppPreGmRate]])))*IF(Games[[#This Row],[OT]]=1,0.9,1)</f>
        <v>0.41053796766820211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5" s="9">
        <f>MAX(kmin, kmax - 0.15 * MIN(Games[[#This Row],[GamesPlayed]], 82))</f>
        <v>71.349999999999994</v>
      </c>
      <c r="Z355" s="4">
        <f>Games[[#This Row],[K]]*Games[[#This Row],[POMult]]</f>
        <v>71.349999999999994</v>
      </c>
      <c r="AA355" s="4">
        <f>(Games[[#This Row],[Keff]]*Games[[#This Row],[MOVMult]])*(Games[[#This Row],[Result]]-Games[[#This Row],[ExpectedWin%]])</f>
        <v>-9.5825797067044061</v>
      </c>
      <c r="AB355" s="4">
        <f>Games[[#This Row],[PreGmRate]]+Games[[#This Row],[RatingChange]]</f>
        <v>1481.1419244727385</v>
      </c>
      <c r="AC355" s="2">
        <f>IF(Games[[#This Row],[Type]]="R",IF(Games[[#This Row],[Result]]&gt;0.5,1,0),0)</f>
        <v>0</v>
      </c>
      <c r="AD355" s="2">
        <f>IF(Games[[#This Row],[Type]]="R",IF(Games[[#This Row],[Result]]&lt;0.5,1,0),0)</f>
        <v>1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45530</v>
      </c>
      <c r="B356" s="2">
        <v>2024</v>
      </c>
      <c r="C356" s="2">
        <f>COUNTIFS(Games[Team],Games[[#This Row],[Team]],Games[Season],Games[[#This Row],[Season]],Games[Date],"&lt;=" &amp; Games[[#This Row],[Date]])</f>
        <v>30</v>
      </c>
      <c r="D356" s="2" t="s">
        <v>79</v>
      </c>
      <c r="E356" s="2" t="s">
        <v>80</v>
      </c>
      <c r="F356" s="1" t="s">
        <v>65</v>
      </c>
      <c r="G356" s="1" t="s">
        <v>71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56" s="2">
        <f>Games[[#This Row],[DaysOff]]-Games[[#This Row],[OppDaysOff]]</f>
        <v>-3</v>
      </c>
      <c r="L356" s="2">
        <f>Games[[#This Row],[OppDaysOff]]-Games[[#This Row],[DaysOff]]</f>
        <v>3</v>
      </c>
      <c r="M356" s="16">
        <f>MAX(-16, MIN(16, Games[[#This Row],[RestDiff]]*8))</f>
        <v>-16</v>
      </c>
      <c r="N356" s="16">
        <f>MAX(-16, MIN(16, Games[[#This Row],[OppRestDiff]]*8))</f>
        <v>16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1378.3686767332779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1554.0507310823625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0.15722039449362016</v>
      </c>
      <c r="R356" s="1">
        <v>74</v>
      </c>
      <c r="S356" s="1">
        <v>72</v>
      </c>
      <c r="T356" s="1">
        <v>0</v>
      </c>
      <c r="U356" s="16">
        <f>Games[[#This Row],[PointsFor]]-Games[[#This Row],[PointsAgainst]]</f>
        <v>2</v>
      </c>
      <c r="V356" s="16">
        <f>IF(Games[[#This Row],[MOV]]&gt;0,1,IF(Games[[#This Row],[MOV]]=0,0.5,0))</f>
        <v>1</v>
      </c>
      <c r="W356" s="4">
        <f>((ABS(Games[[#This Row],[MOV]])+5)^0.6)/(12+0.01*(ABS(Games[[#This Row],[PreGmRate]]-Games[[#This Row],[OppPreGmRate]])))*IF(Games[[#This Row],[OT]]=1,0.9,1)</f>
        <v>0.23363653247892474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6" s="9">
        <f>MAX(kmin, kmax - 0.15 * MIN(Games[[#This Row],[GamesPlayed]], 82))</f>
        <v>71.5</v>
      </c>
      <c r="Z356" s="4">
        <f>Games[[#This Row],[K]]*Games[[#This Row],[POMult]]</f>
        <v>71.5</v>
      </c>
      <c r="AA356" s="4">
        <f>(Games[[#This Row],[Keff]]*Games[[#This Row],[MOVMult]])*(Games[[#This Row],[Result]]-Games[[#This Row],[ExpectedWin%]])</f>
        <v>14.078643484224369</v>
      </c>
      <c r="AB356" s="4">
        <f>Games[[#This Row],[PreGmRate]]+Games[[#This Row],[RatingChange]]</f>
        <v>1392.4473202175022</v>
      </c>
      <c r="AC356" s="2">
        <f>IF(Games[[#This Row],[Type]]="R",IF(Games[[#This Row],[Result]]&gt;0.5,1,0),0)</f>
        <v>1</v>
      </c>
      <c r="AD356" s="2">
        <f>IF(Games[[#This Row],[Type]]="R",IF(Games[[#This Row],[Result]]&lt;0.5,1,0),0)</f>
        <v>0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45530</v>
      </c>
      <c r="B357" s="2">
        <v>2024</v>
      </c>
      <c r="C357" s="2">
        <f>COUNTIFS(Games[Team],Games[[#This Row],[Team]],Games[Season],Games[[#This Row],[Season]],Games[Date],"&lt;=" &amp; Games[[#This Row],[Date]])</f>
        <v>29</v>
      </c>
      <c r="D357" s="2" t="s">
        <v>79</v>
      </c>
      <c r="E357" s="2" t="s">
        <v>80</v>
      </c>
      <c r="F357" s="1" t="s">
        <v>71</v>
      </c>
      <c r="G357" s="1" t="s">
        <v>65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5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7" s="2">
        <f>Games[[#This Row],[DaysOff]]-Games[[#This Row],[OppDaysOff]]</f>
        <v>3</v>
      </c>
      <c r="L357" s="2">
        <f>Games[[#This Row],[OppDaysOff]]-Games[[#This Row],[DaysOff]]</f>
        <v>-3</v>
      </c>
      <c r="M357" s="16">
        <f>MAX(-16, MIN(16, Games[[#This Row],[RestDiff]]*8))</f>
        <v>16</v>
      </c>
      <c r="N357" s="16">
        <f>MAX(-16, MIN(16, Games[[#This Row],[OppRestDiff]]*8))</f>
        <v>-16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1554.0507310823625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1378.3686767332779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0.84277960550637987</v>
      </c>
      <c r="R357" s="1">
        <v>72</v>
      </c>
      <c r="S357" s="1">
        <v>74</v>
      </c>
      <c r="T357" s="1">
        <v>0</v>
      </c>
      <c r="U357" s="16">
        <f>Games[[#This Row],[PointsFor]]-Games[[#This Row],[PointsAgainst]]</f>
        <v>-2</v>
      </c>
      <c r="V357" s="16">
        <f>IF(Games[[#This Row],[MOV]]&gt;0,1,IF(Games[[#This Row],[MOV]]=0,0.5,0))</f>
        <v>0</v>
      </c>
      <c r="W357" s="4">
        <f>((ABS(Games[[#This Row],[MOV]])+5)^0.6)/(12+0.01*(ABS(Games[[#This Row],[PreGmRate]]-Games[[#This Row],[OppPreGmRate]])))*IF(Games[[#This Row],[OT]]=1,0.9,1)</f>
        <v>0.23363653247892474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7" s="9">
        <f>MAX(kmin, kmax - 0.15 * MIN(Games[[#This Row],[GamesPlayed]], 82))</f>
        <v>71.650000000000006</v>
      </c>
      <c r="Z357" s="4">
        <f>Games[[#This Row],[K]]*Games[[#This Row],[POMult]]</f>
        <v>71.650000000000006</v>
      </c>
      <c r="AA357" s="4">
        <f>(Games[[#This Row],[Keff]]*Games[[#This Row],[MOVMult]])*(Games[[#This Row],[Result]]-Games[[#This Row],[ExpectedWin%]])</f>
        <v>-14.10817909992554</v>
      </c>
      <c r="AB357" s="4">
        <f>Games[[#This Row],[PreGmRate]]+Games[[#This Row],[RatingChange]]</f>
        <v>1539.942551982437</v>
      </c>
      <c r="AC357" s="2">
        <f>IF(Games[[#This Row],[Type]]="R",IF(Games[[#This Row],[Result]]&gt;0.5,1,0),0)</f>
        <v>0</v>
      </c>
      <c r="AD357" s="2">
        <f>IF(Games[[#This Row],[Type]]="R",IF(Games[[#This Row],[Result]]&lt;0.5,1,0),0)</f>
        <v>1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45531</v>
      </c>
      <c r="B358" s="2">
        <v>2024</v>
      </c>
      <c r="C358" s="2">
        <f>COUNTIFS(Games[Team],Games[[#This Row],[Team]],Games[Season],Games[[#This Row],[Season]],Games[Date],"&lt;=" &amp; Games[[#This Row],[Date]])</f>
        <v>30</v>
      </c>
      <c r="D358" s="2" t="s">
        <v>79</v>
      </c>
      <c r="E358" s="2" t="s">
        <v>80</v>
      </c>
      <c r="F358" s="1" t="s">
        <v>86</v>
      </c>
      <c r="G358" s="1" t="s">
        <v>85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8" s="2">
        <f>Games[[#This Row],[DaysOff]]-Games[[#This Row],[OppDaysOff]]</f>
        <v>0</v>
      </c>
      <c r="L358" s="2">
        <f>Games[[#This Row],[OppDaysOff]]-Games[[#This Row],[DaysOff]]</f>
        <v>0</v>
      </c>
      <c r="M358" s="16">
        <f>MAX(-16, MIN(16, Games[[#This Row],[RestDiff]]*8))</f>
        <v>0</v>
      </c>
      <c r="N358" s="16">
        <f>MAX(-16, MIN(16, Games[[#This Row],[OppRestDiff]]*8))</f>
        <v>0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1599.0452841189908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1364.5695821279526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0.7039560017457217</v>
      </c>
      <c r="R358" s="1">
        <v>90</v>
      </c>
      <c r="S358" s="1">
        <v>93</v>
      </c>
      <c r="T358" s="1">
        <v>0</v>
      </c>
      <c r="U358" s="16">
        <f>Games[[#This Row],[PointsFor]]-Games[[#This Row],[PointsAgainst]]</f>
        <v>-3</v>
      </c>
      <c r="V358" s="16">
        <f>IF(Games[[#This Row],[MOV]]&gt;0,1,IF(Games[[#This Row],[MOV]]=0,0.5,0))</f>
        <v>0</v>
      </c>
      <c r="W358" s="4">
        <f>((ABS(Games[[#This Row],[MOV]])+5)^0.6)/(12+0.01*(ABS(Games[[#This Row],[PreGmRate]]-Games[[#This Row],[OppPreGmRate]])))*IF(Games[[#This Row],[OT]]=1,0.9,1)</f>
        <v>0.24275087046446545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8" s="9">
        <f>MAX(kmin, kmax - 0.15 * MIN(Games[[#This Row],[GamesPlayed]], 82))</f>
        <v>71.5</v>
      </c>
      <c r="Z358" s="4">
        <f>Games[[#This Row],[K]]*Games[[#This Row],[POMult]]</f>
        <v>71.5</v>
      </c>
      <c r="AA358" s="4">
        <f>(Games[[#This Row],[Keff]]*Games[[#This Row],[MOVMult]])*(Games[[#This Row],[Result]]-Games[[#This Row],[ExpectedWin%]])</f>
        <v>-12.218344151760796</v>
      </c>
      <c r="AB358" s="4">
        <f>Games[[#This Row],[PreGmRate]]+Games[[#This Row],[RatingChange]]</f>
        <v>1586.8269399672299</v>
      </c>
      <c r="AC358" s="2">
        <f>IF(Games[[#This Row],[Type]]="R",IF(Games[[#This Row],[Result]]&gt;0.5,1,0),0)</f>
        <v>0</v>
      </c>
      <c r="AD358" s="2">
        <f>IF(Games[[#This Row],[Type]]="R",IF(Games[[#This Row],[Result]]&lt;0.5,1,0),0)</f>
        <v>1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45531</v>
      </c>
      <c r="B359" s="2">
        <v>2024</v>
      </c>
      <c r="C359" s="2">
        <f>COUNTIFS(Games[Team],Games[[#This Row],[Team]],Games[Season],Games[[#This Row],[Season]],Games[Date],"&lt;=" &amp; Games[[#This Row],[Date]])</f>
        <v>30</v>
      </c>
      <c r="D359" s="2" t="s">
        <v>79</v>
      </c>
      <c r="E359" s="2" t="s">
        <v>80</v>
      </c>
      <c r="F359" s="1" t="s">
        <v>85</v>
      </c>
      <c r="G359" s="1" t="s">
        <v>86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9" s="2">
        <f>Games[[#This Row],[DaysOff]]-Games[[#This Row],[OppDaysOff]]</f>
        <v>0</v>
      </c>
      <c r="L359" s="2">
        <f>Games[[#This Row],[OppDaysOff]]-Games[[#This Row],[DaysOff]]</f>
        <v>0</v>
      </c>
      <c r="M359" s="16">
        <f>MAX(-16, MIN(16, Games[[#This Row],[RestDiff]]*8))</f>
        <v>0</v>
      </c>
      <c r="N359" s="16">
        <f>MAX(-16, MIN(16, Games[[#This Row],[OppRestDiff]]*8))</f>
        <v>0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1364.5695821279526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1599.0452841189908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0.2960439982542783</v>
      </c>
      <c r="R359" s="1">
        <v>93</v>
      </c>
      <c r="S359" s="1">
        <v>90</v>
      </c>
      <c r="T359" s="1">
        <v>0</v>
      </c>
      <c r="U359" s="16">
        <f>Games[[#This Row],[PointsFor]]-Games[[#This Row],[PointsAgainst]]</f>
        <v>3</v>
      </c>
      <c r="V359" s="16">
        <f>IF(Games[[#This Row],[MOV]]&gt;0,1,IF(Games[[#This Row],[MOV]]=0,0.5,0))</f>
        <v>1</v>
      </c>
      <c r="W359" s="4">
        <f>((ABS(Games[[#This Row],[MOV]])+5)^0.6)/(12+0.01*(ABS(Games[[#This Row],[PreGmRate]]-Games[[#This Row],[OppPreGmRate]])))*IF(Games[[#This Row],[OT]]=1,0.9,1)</f>
        <v>0.24275087046446545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9" s="9">
        <f>MAX(kmin, kmax - 0.15 * MIN(Games[[#This Row],[GamesPlayed]], 82))</f>
        <v>71.5</v>
      </c>
      <c r="Z359" s="4">
        <f>Games[[#This Row],[K]]*Games[[#This Row],[POMult]]</f>
        <v>71.5</v>
      </c>
      <c r="AA359" s="4">
        <f>(Games[[#This Row],[Keff]]*Games[[#This Row],[MOVMult]])*(Games[[#This Row],[Result]]-Games[[#This Row],[ExpectedWin%]])</f>
        <v>12.218344151760796</v>
      </c>
      <c r="AB359" s="4">
        <f>Games[[#This Row],[PreGmRate]]+Games[[#This Row],[RatingChange]]</f>
        <v>1376.7879262797135</v>
      </c>
      <c r="AC359" s="2">
        <f>IF(Games[[#This Row],[Type]]="R",IF(Games[[#This Row],[Result]]&gt;0.5,1,0),0)</f>
        <v>1</v>
      </c>
      <c r="AD359" s="2">
        <f>IF(Games[[#This Row],[Type]]="R",IF(Games[[#This Row],[Result]]&lt;0.5,1,0),0)</f>
        <v>0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45532</v>
      </c>
      <c r="B360" s="2">
        <v>2024</v>
      </c>
      <c r="C360" s="2">
        <f>COUNTIFS(Games[Team],Games[[#This Row],[Team]],Games[Season],Games[[#This Row],[Season]],Games[Date],"&lt;=" &amp; Games[[#This Row],[Date]])</f>
        <v>31</v>
      </c>
      <c r="D360" s="2" t="s">
        <v>79</v>
      </c>
      <c r="E360" s="2" t="s">
        <v>80</v>
      </c>
      <c r="F360" s="1" t="s">
        <v>65</v>
      </c>
      <c r="G360" s="1" t="s">
        <v>75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0" s="2">
        <f>Games[[#This Row],[DaysOff]]-Games[[#This Row],[OppDaysOff]]</f>
        <v>-1</v>
      </c>
      <c r="L360" s="2">
        <f>Games[[#This Row],[OppDaysOff]]-Games[[#This Row],[DaysOff]]</f>
        <v>1</v>
      </c>
      <c r="M360" s="16">
        <f>MAX(-16, MIN(16, Games[[#This Row],[RestDiff]]*8))</f>
        <v>-8</v>
      </c>
      <c r="N360" s="16">
        <f>MAX(-16, MIN(16, Games[[#This Row],[OppRestDiff]]*8))</f>
        <v>8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1392.4473202175022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1437.252007317973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0.30289226550471599</v>
      </c>
      <c r="R360" s="1">
        <v>74</v>
      </c>
      <c r="S360" s="1">
        <v>70</v>
      </c>
      <c r="T360" s="1">
        <v>0</v>
      </c>
      <c r="U360" s="16">
        <f>Games[[#This Row],[PointsFor]]-Games[[#This Row],[PointsAgainst]]</f>
        <v>4</v>
      </c>
      <c r="V360" s="16">
        <f>IF(Games[[#This Row],[MOV]]&gt;0,1,IF(Games[[#This Row],[MOV]]=0,0.5,0))</f>
        <v>1</v>
      </c>
      <c r="W360" s="4">
        <f>((ABS(Games[[#This Row],[MOV]])+5)^0.6)/(12+0.01*(ABS(Games[[#This Row],[PreGmRate]]-Games[[#This Row],[OppPreGmRate]])))*IF(Games[[#This Row],[OT]]=1,0.9,1)</f>
        <v>0.30022322839670634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0" s="9">
        <f>MAX(kmin, kmax - 0.15 * MIN(Games[[#This Row],[GamesPlayed]], 82))</f>
        <v>71.349999999999994</v>
      </c>
      <c r="Z360" s="4">
        <f>Games[[#This Row],[K]]*Games[[#This Row],[POMult]]</f>
        <v>71.349999999999994</v>
      </c>
      <c r="AA360" s="4">
        <f>(Games[[#This Row],[Keff]]*Games[[#This Row],[MOVMult]])*(Games[[#This Row],[Result]]-Games[[#This Row],[ExpectedWin%]])</f>
        <v>14.932694133031331</v>
      </c>
      <c r="AB360" s="4">
        <f>Games[[#This Row],[PreGmRate]]+Games[[#This Row],[RatingChange]]</f>
        <v>1407.3800143505337</v>
      </c>
      <c r="AC360" s="2">
        <f>IF(Games[[#This Row],[Type]]="R",IF(Games[[#This Row],[Result]]&gt;0.5,1,0),0)</f>
        <v>1</v>
      </c>
      <c r="AD360" s="2">
        <f>IF(Games[[#This Row],[Type]]="R",IF(Games[[#This Row],[Result]]&lt;0.5,1,0),0)</f>
        <v>0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45532</v>
      </c>
      <c r="B361" s="2">
        <v>2024</v>
      </c>
      <c r="C361" s="2">
        <f>COUNTIFS(Games[Team],Games[[#This Row],[Team]],Games[Season],Games[[#This Row],[Season]],Games[Date],"&lt;=" &amp; Games[[#This Row],[Date]])</f>
        <v>30</v>
      </c>
      <c r="D361" s="2" t="s">
        <v>79</v>
      </c>
      <c r="E361" s="2" t="s">
        <v>80</v>
      </c>
      <c r="F361" s="1" t="s">
        <v>75</v>
      </c>
      <c r="G361" s="1" t="s">
        <v>65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1" s="2">
        <f>Games[[#This Row],[DaysOff]]-Games[[#This Row],[OppDaysOff]]</f>
        <v>1</v>
      </c>
      <c r="L361" s="2">
        <f>Games[[#This Row],[OppDaysOff]]-Games[[#This Row],[DaysOff]]</f>
        <v>-1</v>
      </c>
      <c r="M361" s="16">
        <f>MAX(-16, MIN(16, Games[[#This Row],[RestDiff]]*8))</f>
        <v>8</v>
      </c>
      <c r="N361" s="16">
        <f>MAX(-16, MIN(16, Games[[#This Row],[OppRestDiff]]*8))</f>
        <v>-8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1437.252007317973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1392.4473202175022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0.69710773449528407</v>
      </c>
      <c r="R361" s="1">
        <v>70</v>
      </c>
      <c r="S361" s="1">
        <v>74</v>
      </c>
      <c r="T361" s="1">
        <v>0</v>
      </c>
      <c r="U361" s="16">
        <f>Games[[#This Row],[PointsFor]]-Games[[#This Row],[PointsAgainst]]</f>
        <v>-4</v>
      </c>
      <c r="V361" s="16">
        <f>IF(Games[[#This Row],[MOV]]&gt;0,1,IF(Games[[#This Row],[MOV]]=0,0.5,0))</f>
        <v>0</v>
      </c>
      <c r="W361" s="4">
        <f>((ABS(Games[[#This Row],[MOV]])+5)^0.6)/(12+0.01*(ABS(Games[[#This Row],[PreGmRate]]-Games[[#This Row],[OppPreGmRate]])))*IF(Games[[#This Row],[OT]]=1,0.9,1)</f>
        <v>0.30022322839670634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1" s="9">
        <f>MAX(kmin, kmax - 0.15 * MIN(Games[[#This Row],[GamesPlayed]], 82))</f>
        <v>71.5</v>
      </c>
      <c r="Z361" s="4">
        <f>Games[[#This Row],[K]]*Games[[#This Row],[POMult]]</f>
        <v>71.5</v>
      </c>
      <c r="AA361" s="4">
        <f>(Games[[#This Row],[Keff]]*Games[[#This Row],[MOVMult]])*(Games[[#This Row],[Result]]-Games[[#This Row],[ExpectedWin%]])</f>
        <v>-14.964087323219907</v>
      </c>
      <c r="AB361" s="4">
        <f>Games[[#This Row],[PreGmRate]]+Games[[#This Row],[RatingChange]]</f>
        <v>1422.2879199947531</v>
      </c>
      <c r="AC361" s="2">
        <f>IF(Games[[#This Row],[Type]]="R",IF(Games[[#This Row],[Result]]&gt;0.5,1,0),0)</f>
        <v>0</v>
      </c>
      <c r="AD361" s="2">
        <f>IF(Games[[#This Row],[Type]]="R",IF(Games[[#This Row],[Result]]&lt;0.5,1,0),0)</f>
        <v>1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45532</v>
      </c>
      <c r="B362" s="2">
        <v>2024</v>
      </c>
      <c r="C362" s="2">
        <f>COUNTIFS(Games[Team],Games[[#This Row],[Team]],Games[Season],Games[[#This Row],[Season]],Games[Date],"&lt;=" &amp; Games[[#This Row],[Date]])</f>
        <v>30</v>
      </c>
      <c r="D362" s="2" t="s">
        <v>79</v>
      </c>
      <c r="E362" s="2" t="s">
        <v>80</v>
      </c>
      <c r="F362" s="1" t="s">
        <v>74</v>
      </c>
      <c r="G362" s="1" t="s">
        <v>69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2" s="2">
        <f>Games[[#This Row],[DaysOff]]-Games[[#This Row],[OppDaysOff]]</f>
        <v>2</v>
      </c>
      <c r="L362" s="2">
        <f>Games[[#This Row],[OppDaysOff]]-Games[[#This Row],[DaysOff]]</f>
        <v>-2</v>
      </c>
      <c r="M362" s="16">
        <f>MAX(-16, MIN(16, Games[[#This Row],[RestDiff]]*8))</f>
        <v>16</v>
      </c>
      <c r="N362" s="16">
        <f>MAX(-16, MIN(16, Games[[#This Row],[OppRestDiff]]*8))</f>
        <v>-16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1635.6743606868429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1482.1801170325298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0.64204424540782157</v>
      </c>
      <c r="R362" s="1">
        <v>80</v>
      </c>
      <c r="S362" s="1">
        <v>84</v>
      </c>
      <c r="T362" s="1">
        <v>0</v>
      </c>
      <c r="U362" s="16">
        <f>Games[[#This Row],[PointsFor]]-Games[[#This Row],[PointsAgainst]]</f>
        <v>-4</v>
      </c>
      <c r="V362" s="16">
        <f>IF(Games[[#This Row],[MOV]]&gt;0,1,IF(Games[[#This Row],[MOV]]=0,0.5,0))</f>
        <v>0</v>
      </c>
      <c r="W362" s="4">
        <f>((ABS(Games[[#This Row],[MOV]])+5)^0.6)/(12+0.01*(ABS(Games[[#This Row],[PreGmRate]]-Games[[#This Row],[OppPreGmRate]])))*IF(Games[[#This Row],[OT]]=1,0.9,1)</f>
        <v>0.27611442282580134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2" s="9">
        <f>MAX(kmin, kmax - 0.15 * MIN(Games[[#This Row],[GamesPlayed]], 82))</f>
        <v>71.5</v>
      </c>
      <c r="Z362" s="4">
        <f>Games[[#This Row],[K]]*Games[[#This Row],[POMult]]</f>
        <v>71.5</v>
      </c>
      <c r="AA362" s="4">
        <f>(Games[[#This Row],[Keff]]*Games[[#This Row],[MOVMult]])*(Games[[#This Row],[Result]]-Games[[#This Row],[ExpectedWin%]])</f>
        <v>-12.675353851832659</v>
      </c>
      <c r="AB362" s="4">
        <f>Games[[#This Row],[PreGmRate]]+Games[[#This Row],[RatingChange]]</f>
        <v>1622.9990068350103</v>
      </c>
      <c r="AC362" s="2">
        <f>IF(Games[[#This Row],[Type]]="R",IF(Games[[#This Row],[Result]]&gt;0.5,1,0),0)</f>
        <v>0</v>
      </c>
      <c r="AD362" s="2">
        <f>IF(Games[[#This Row],[Type]]="R",IF(Games[[#This Row],[Result]]&lt;0.5,1,0),0)</f>
        <v>1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45532</v>
      </c>
      <c r="B363" s="2">
        <v>2024</v>
      </c>
      <c r="C363" s="2">
        <f>COUNTIFS(Games[Team],Games[[#This Row],[Team]],Games[Season],Games[[#This Row],[Season]],Games[Date],"&lt;=" &amp; Games[[#This Row],[Date]])</f>
        <v>31</v>
      </c>
      <c r="D363" s="2" t="s">
        <v>79</v>
      </c>
      <c r="E363" s="2" t="s">
        <v>80</v>
      </c>
      <c r="F363" s="1" t="s">
        <v>69</v>
      </c>
      <c r="G363" s="1" t="s">
        <v>74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3" s="2">
        <f>Games[[#This Row],[DaysOff]]-Games[[#This Row],[OppDaysOff]]</f>
        <v>-2</v>
      </c>
      <c r="L363" s="2">
        <f>Games[[#This Row],[OppDaysOff]]-Games[[#This Row],[DaysOff]]</f>
        <v>2</v>
      </c>
      <c r="M363" s="16">
        <f>MAX(-16, MIN(16, Games[[#This Row],[RestDiff]]*8))</f>
        <v>-16</v>
      </c>
      <c r="N363" s="16">
        <f>MAX(-16, MIN(16, Games[[#This Row],[OppRestDiff]]*8))</f>
        <v>16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1482.1801170325298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1635.6743606868429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0.35795575459217849</v>
      </c>
      <c r="R363" s="1">
        <v>84</v>
      </c>
      <c r="S363" s="1">
        <v>80</v>
      </c>
      <c r="T363" s="1">
        <v>0</v>
      </c>
      <c r="U363" s="16">
        <f>Games[[#This Row],[PointsFor]]-Games[[#This Row],[PointsAgainst]]</f>
        <v>4</v>
      </c>
      <c r="V363" s="16">
        <f>IF(Games[[#This Row],[MOV]]&gt;0,1,IF(Games[[#This Row],[MOV]]=0,0.5,0))</f>
        <v>1</v>
      </c>
      <c r="W363" s="4">
        <f>((ABS(Games[[#This Row],[MOV]])+5)^0.6)/(12+0.01*(ABS(Games[[#This Row],[PreGmRate]]-Games[[#This Row],[OppPreGmRate]])))*IF(Games[[#This Row],[OT]]=1,0.9,1)</f>
        <v>0.27611442282580134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3" s="9">
        <f>MAX(kmin, kmax - 0.15 * MIN(Games[[#This Row],[GamesPlayed]], 82))</f>
        <v>71.349999999999994</v>
      </c>
      <c r="Z363" s="4">
        <f>Games[[#This Row],[K]]*Games[[#This Row],[POMult]]</f>
        <v>71.349999999999994</v>
      </c>
      <c r="AA363" s="4">
        <f>(Games[[#This Row],[Keff]]*Games[[#This Row],[MOVMult]])*(Games[[#This Row],[Result]]-Games[[#This Row],[ExpectedWin%]])</f>
        <v>12.648762200395243</v>
      </c>
      <c r="AB363" s="4">
        <f>Games[[#This Row],[PreGmRate]]+Games[[#This Row],[RatingChange]]</f>
        <v>1494.8288792329249</v>
      </c>
      <c r="AC363" s="2">
        <f>IF(Games[[#This Row],[Type]]="R",IF(Games[[#This Row],[Result]]&gt;0.5,1,0),0)</f>
        <v>1</v>
      </c>
      <c r="AD363" s="2">
        <f>IF(Games[[#This Row],[Type]]="R",IF(Games[[#This Row],[Result]]&lt;0.5,1,0),0)</f>
        <v>0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45532</v>
      </c>
      <c r="B364" s="2">
        <v>2024</v>
      </c>
      <c r="C364" s="2">
        <f>COUNTIFS(Games[Team],Games[[#This Row],[Team]],Games[Season],Games[[#This Row],[Season]],Games[Date],"&lt;=" &amp; Games[[#This Row],[Date]])</f>
        <v>32</v>
      </c>
      <c r="D364" s="2" t="s">
        <v>79</v>
      </c>
      <c r="E364" s="2" t="s">
        <v>80</v>
      </c>
      <c r="F364" s="1" t="s">
        <v>60</v>
      </c>
      <c r="G364" s="1" t="s">
        <v>63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4" s="2">
        <f>Games[[#This Row],[DaysOff]]-Games[[#This Row],[OppDaysOff]]</f>
        <v>-1</v>
      </c>
      <c r="L364" s="2">
        <f>Games[[#This Row],[OppDaysOff]]-Games[[#This Row],[DaysOff]]</f>
        <v>1</v>
      </c>
      <c r="M364" s="16">
        <f>MAX(-16, MIN(16, Games[[#This Row],[RestDiff]]*8))</f>
        <v>-8</v>
      </c>
      <c r="N364" s="16">
        <f>MAX(-16, MIN(16, Games[[#This Row],[OppRestDiff]]*8))</f>
        <v>8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1725.5826255476798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1328.6196580800342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0.84676574473042587</v>
      </c>
      <c r="R364" s="1">
        <v>88</v>
      </c>
      <c r="S364" s="1">
        <v>94</v>
      </c>
      <c r="T364" s="1">
        <v>0</v>
      </c>
      <c r="U364" s="16">
        <f>Games[[#This Row],[PointsFor]]-Games[[#This Row],[PointsAgainst]]</f>
        <v>-6</v>
      </c>
      <c r="V364" s="16">
        <f>IF(Games[[#This Row],[MOV]]&gt;0,1,IF(Games[[#This Row],[MOV]]=0,0.5,0))</f>
        <v>0</v>
      </c>
      <c r="W364" s="4">
        <f>((ABS(Games[[#This Row],[MOV]])+5)^0.6)/(12+0.01*(ABS(Games[[#This Row],[PreGmRate]]-Games[[#This Row],[OppPreGmRate]])))*IF(Games[[#This Row],[OT]]=1,0.9,1)</f>
        <v>0.26396160831308091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4" s="9">
        <f>MAX(kmin, kmax - 0.15 * MIN(Games[[#This Row],[GamesPlayed]], 82))</f>
        <v>71.2</v>
      </c>
      <c r="Z364" s="4">
        <f>Games[[#This Row],[K]]*Games[[#This Row],[POMult]]</f>
        <v>71.2</v>
      </c>
      <c r="AA364" s="4">
        <f>(Games[[#This Row],[Keff]]*Games[[#This Row],[MOVMult]])*(Games[[#This Row],[Result]]-Games[[#This Row],[ExpectedWin%]])</f>
        <v>-15.914171726454846</v>
      </c>
      <c r="AB364" s="4">
        <f>Games[[#This Row],[PreGmRate]]+Games[[#This Row],[RatingChange]]</f>
        <v>1709.6684538212248</v>
      </c>
      <c r="AC364" s="2">
        <f>IF(Games[[#This Row],[Type]]="R",IF(Games[[#This Row],[Result]]&gt;0.5,1,0),0)</f>
        <v>0</v>
      </c>
      <c r="AD364" s="2">
        <f>IF(Games[[#This Row],[Type]]="R",IF(Games[[#This Row],[Result]]&lt;0.5,1,0),0)</f>
        <v>1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45532</v>
      </c>
      <c r="B365" s="2">
        <v>2024</v>
      </c>
      <c r="C365" s="2">
        <f>COUNTIFS(Games[Team],Games[[#This Row],[Team]],Games[Season],Games[[#This Row],[Season]],Games[Date],"&lt;=" &amp; Games[[#This Row],[Date]])</f>
        <v>31</v>
      </c>
      <c r="D365" s="2" t="s">
        <v>79</v>
      </c>
      <c r="E365" s="2" t="s">
        <v>80</v>
      </c>
      <c r="F365" s="1" t="s">
        <v>63</v>
      </c>
      <c r="G365" s="1" t="s">
        <v>60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5" s="2">
        <f>Games[[#This Row],[DaysOff]]-Games[[#This Row],[OppDaysOff]]</f>
        <v>1</v>
      </c>
      <c r="L365" s="2">
        <f>Games[[#This Row],[OppDaysOff]]-Games[[#This Row],[DaysOff]]</f>
        <v>-1</v>
      </c>
      <c r="M365" s="16">
        <f>MAX(-16, MIN(16, Games[[#This Row],[RestDiff]]*8))</f>
        <v>8</v>
      </c>
      <c r="N365" s="16">
        <f>MAX(-16, MIN(16, Games[[#This Row],[OppRestDiff]]*8))</f>
        <v>-8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1328.6196580800342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1725.5826255476798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0.15323425526957407</v>
      </c>
      <c r="R365" s="1">
        <v>94</v>
      </c>
      <c r="S365" s="1">
        <v>88</v>
      </c>
      <c r="T365" s="1">
        <v>0</v>
      </c>
      <c r="U365" s="16">
        <f>Games[[#This Row],[PointsFor]]-Games[[#This Row],[PointsAgainst]]</f>
        <v>6</v>
      </c>
      <c r="V365" s="16">
        <f>IF(Games[[#This Row],[MOV]]&gt;0,1,IF(Games[[#This Row],[MOV]]=0,0.5,0))</f>
        <v>1</v>
      </c>
      <c r="W365" s="4">
        <f>((ABS(Games[[#This Row],[MOV]])+5)^0.6)/(12+0.01*(ABS(Games[[#This Row],[PreGmRate]]-Games[[#This Row],[OppPreGmRate]])))*IF(Games[[#This Row],[OT]]=1,0.9,1)</f>
        <v>0.26396160831308091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5" s="9">
        <f>MAX(kmin, kmax - 0.15 * MIN(Games[[#This Row],[GamesPlayed]], 82))</f>
        <v>71.349999999999994</v>
      </c>
      <c r="Z365" s="4">
        <f>Games[[#This Row],[K]]*Games[[#This Row],[POMult]]</f>
        <v>71.349999999999994</v>
      </c>
      <c r="AA365" s="4">
        <f>(Games[[#This Row],[Keff]]*Games[[#This Row],[MOVMult]])*(Games[[#This Row],[Result]]-Games[[#This Row],[ExpectedWin%]])</f>
        <v>15.947698773631366</v>
      </c>
      <c r="AB365" s="4">
        <f>Games[[#This Row],[PreGmRate]]+Games[[#This Row],[RatingChange]]</f>
        <v>1344.5673568536656</v>
      </c>
      <c r="AC365" s="2">
        <f>IF(Games[[#This Row],[Type]]="R",IF(Games[[#This Row],[Result]]&gt;0.5,1,0),0)</f>
        <v>1</v>
      </c>
      <c r="AD365" s="2">
        <f>IF(Games[[#This Row],[Type]]="R",IF(Games[[#This Row],[Result]]&lt;0.5,1,0),0)</f>
        <v>0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45532</v>
      </c>
      <c r="B366" s="2">
        <v>2024</v>
      </c>
      <c r="C366" s="2">
        <f>COUNTIFS(Games[Team],Games[[#This Row],[Team]],Games[Season],Games[[#This Row],[Season]],Games[Date],"&lt;=" &amp; Games[[#This Row],[Date]])</f>
        <v>31</v>
      </c>
      <c r="D366" s="2" t="s">
        <v>79</v>
      </c>
      <c r="E366" s="2" t="s">
        <v>80</v>
      </c>
      <c r="F366" s="1" t="s">
        <v>67</v>
      </c>
      <c r="G366" s="1" t="s">
        <v>40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6" s="2">
        <f>Games[[#This Row],[DaysOff]]-Games[[#This Row],[OppDaysOff]]</f>
        <v>2</v>
      </c>
      <c r="L366" s="2">
        <f>Games[[#This Row],[OppDaysOff]]-Games[[#This Row],[DaysOff]]</f>
        <v>-2</v>
      </c>
      <c r="M366" s="16">
        <f>MAX(-16, MIN(16, Games[[#This Row],[RestDiff]]*8))</f>
        <v>16</v>
      </c>
      <c r="N366" s="16">
        <f>MAX(-16, MIN(16, Games[[#This Row],[OppRestDiff]]*8))</f>
        <v>-16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1620.3606126408818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1481.1419244727385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0.62294593038451374</v>
      </c>
      <c r="R366" s="1">
        <v>89</v>
      </c>
      <c r="S366" s="1">
        <v>76</v>
      </c>
      <c r="T366" s="1">
        <v>0</v>
      </c>
      <c r="U366" s="16">
        <f>Games[[#This Row],[PointsFor]]-Games[[#This Row],[PointsAgainst]]</f>
        <v>13</v>
      </c>
      <c r="V366" s="16">
        <f>IF(Games[[#This Row],[MOV]]&gt;0,1,IF(Games[[#This Row],[MOV]]=0,0.5,0))</f>
        <v>1</v>
      </c>
      <c r="W366" s="4">
        <f>((ABS(Games[[#This Row],[MOV]])+5)^0.6)/(12+0.01*(ABS(Games[[#This Row],[PreGmRate]]-Games[[#This Row],[OppPreGmRate]])))*IF(Games[[#This Row],[OT]]=1,0.9,1)</f>
        <v>0.42297237320647452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6" s="9">
        <f>MAX(kmin, kmax - 0.15 * MIN(Games[[#This Row],[GamesPlayed]], 82))</f>
        <v>71.349999999999994</v>
      </c>
      <c r="Z366" s="4">
        <f>Games[[#This Row],[K]]*Games[[#This Row],[POMult]]</f>
        <v>71.349999999999994</v>
      </c>
      <c r="AA366" s="4">
        <f>(Games[[#This Row],[Keff]]*Games[[#This Row],[MOVMult]])*(Games[[#This Row],[Result]]-Games[[#This Row],[ExpectedWin%]])</f>
        <v>11.379144489450272</v>
      </c>
      <c r="AB366" s="4">
        <f>Games[[#This Row],[PreGmRate]]+Games[[#This Row],[RatingChange]]</f>
        <v>1631.739757130332</v>
      </c>
      <c r="AC366" s="2">
        <f>IF(Games[[#This Row],[Type]]="R",IF(Games[[#This Row],[Result]]&gt;0.5,1,0),0)</f>
        <v>1</v>
      </c>
      <c r="AD366" s="2">
        <f>IF(Games[[#This Row],[Type]]="R",IF(Games[[#This Row],[Result]]&lt;0.5,1,0),0)</f>
        <v>0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45532</v>
      </c>
      <c r="B367" s="2">
        <v>2024</v>
      </c>
      <c r="C367" s="2">
        <f>COUNTIFS(Games[Team],Games[[#This Row],[Team]],Games[Season],Games[[#This Row],[Season]],Games[Date],"&lt;=" &amp; Games[[#This Row],[Date]])</f>
        <v>32</v>
      </c>
      <c r="D367" s="2" t="s">
        <v>79</v>
      </c>
      <c r="E367" s="2" t="s">
        <v>80</v>
      </c>
      <c r="F367" s="1" t="s">
        <v>40</v>
      </c>
      <c r="G367" s="1" t="s">
        <v>67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7" s="2">
        <f>Games[[#This Row],[DaysOff]]-Games[[#This Row],[OppDaysOff]]</f>
        <v>-2</v>
      </c>
      <c r="L367" s="2">
        <f>Games[[#This Row],[OppDaysOff]]-Games[[#This Row],[DaysOff]]</f>
        <v>2</v>
      </c>
      <c r="M367" s="16">
        <f>MAX(-16, MIN(16, Games[[#This Row],[RestDiff]]*8))</f>
        <v>-16</v>
      </c>
      <c r="N367" s="16">
        <f>MAX(-16, MIN(16, Games[[#This Row],[OppRestDiff]]*8))</f>
        <v>16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1481.1419244727385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1620.3606126408818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0.37705406961548626</v>
      </c>
      <c r="R367" s="1">
        <v>76</v>
      </c>
      <c r="S367" s="1">
        <v>89</v>
      </c>
      <c r="T367" s="1">
        <v>0</v>
      </c>
      <c r="U367" s="16">
        <f>Games[[#This Row],[PointsFor]]-Games[[#This Row],[PointsAgainst]]</f>
        <v>-13</v>
      </c>
      <c r="V367" s="16">
        <f>IF(Games[[#This Row],[MOV]]&gt;0,1,IF(Games[[#This Row],[MOV]]=0,0.5,0))</f>
        <v>0</v>
      </c>
      <c r="W367" s="4">
        <f>((ABS(Games[[#This Row],[MOV]])+5)^0.6)/(12+0.01*(ABS(Games[[#This Row],[PreGmRate]]-Games[[#This Row],[OppPreGmRate]])))*IF(Games[[#This Row],[OT]]=1,0.9,1)</f>
        <v>0.42297237320647452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7" s="9">
        <f>MAX(kmin, kmax - 0.15 * MIN(Games[[#This Row],[GamesPlayed]], 82))</f>
        <v>71.2</v>
      </c>
      <c r="Z367" s="4">
        <f>Games[[#This Row],[K]]*Games[[#This Row],[POMult]]</f>
        <v>71.2</v>
      </c>
      <c r="AA367" s="4">
        <f>(Games[[#This Row],[Keff]]*Games[[#This Row],[MOVMult]])*(Games[[#This Row],[Result]]-Games[[#This Row],[ExpectedWin%]])</f>
        <v>-11.35522197125241</v>
      </c>
      <c r="AB367" s="4">
        <f>Games[[#This Row],[PreGmRate]]+Games[[#This Row],[RatingChange]]</f>
        <v>1469.7867025014862</v>
      </c>
      <c r="AC367" s="2">
        <f>IF(Games[[#This Row],[Type]]="R",IF(Games[[#This Row],[Result]]&gt;0.5,1,0),0)</f>
        <v>0</v>
      </c>
      <c r="AD367" s="2">
        <f>IF(Games[[#This Row],[Type]]="R",IF(Games[[#This Row],[Result]]&lt;0.5,1,0),0)</f>
        <v>1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45532</v>
      </c>
      <c r="B368" s="2">
        <v>2024</v>
      </c>
      <c r="C368" s="2">
        <f>COUNTIFS(Games[Team],Games[[#This Row],[Team]],Games[Season],Games[[#This Row],[Season]],Games[Date],"&lt;=" &amp; Games[[#This Row],[Date]])</f>
        <v>30</v>
      </c>
      <c r="D368" s="2" t="s">
        <v>79</v>
      </c>
      <c r="E368" s="2" t="s">
        <v>80</v>
      </c>
      <c r="F368" s="1" t="s">
        <v>77</v>
      </c>
      <c r="G368" s="1" t="s">
        <v>71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8" s="2">
        <f>Games[[#This Row],[DaysOff]]-Games[[#This Row],[OppDaysOff]]</f>
        <v>0</v>
      </c>
      <c r="L368" s="2">
        <f>Games[[#This Row],[OppDaysOff]]-Games[[#This Row],[DaysOff]]</f>
        <v>0</v>
      </c>
      <c r="M368" s="16">
        <f>MAX(-16, MIN(16, Games[[#This Row],[RestDiff]]*8))</f>
        <v>0</v>
      </c>
      <c r="N368" s="16">
        <f>MAX(-16, MIN(16, Games[[#This Row],[OppRestDiff]]*8))</f>
        <v>0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1392.4202792693318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1539.942551982437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0.20870495667123801</v>
      </c>
      <c r="R368" s="1">
        <v>81</v>
      </c>
      <c r="S368" s="1">
        <v>85</v>
      </c>
      <c r="T368" s="1">
        <v>0</v>
      </c>
      <c r="U368" s="16">
        <f>Games[[#This Row],[PointsFor]]-Games[[#This Row],[PointsAgainst]]</f>
        <v>-4</v>
      </c>
      <c r="V368" s="16">
        <f>IF(Games[[#This Row],[MOV]]&gt;0,1,IF(Games[[#This Row],[MOV]]=0,0.5,0))</f>
        <v>0</v>
      </c>
      <c r="W368" s="4">
        <f>((ABS(Games[[#This Row],[MOV]])+5)^0.6)/(12+0.01*(ABS(Games[[#This Row],[PreGmRate]]-Games[[#This Row],[OppPreGmRate]])))*IF(Games[[#This Row],[OT]]=1,0.9,1)</f>
        <v>0.27733811117808671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8" s="9">
        <f>MAX(kmin, kmax - 0.15 * MIN(Games[[#This Row],[GamesPlayed]], 82))</f>
        <v>71.5</v>
      </c>
      <c r="Z368" s="4">
        <f>Games[[#This Row],[K]]*Games[[#This Row],[POMult]]</f>
        <v>71.5</v>
      </c>
      <c r="AA368" s="4">
        <f>(Games[[#This Row],[Keff]]*Games[[#This Row],[MOVMult]])*(Games[[#This Row],[Result]]-Games[[#This Row],[ExpectedWin%]])</f>
        <v>-4.1385514510844486</v>
      </c>
      <c r="AB368" s="4">
        <f>Games[[#This Row],[PreGmRate]]+Games[[#This Row],[RatingChange]]</f>
        <v>1388.2817278182474</v>
      </c>
      <c r="AC368" s="2">
        <f>IF(Games[[#This Row],[Type]]="R",IF(Games[[#This Row],[Result]]&gt;0.5,1,0),0)</f>
        <v>0</v>
      </c>
      <c r="AD368" s="2">
        <f>IF(Games[[#This Row],[Type]]="R",IF(Games[[#This Row],[Result]]&lt;0.5,1,0),0)</f>
        <v>1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45532</v>
      </c>
      <c r="B369" s="2">
        <v>2024</v>
      </c>
      <c r="C369" s="2">
        <f>COUNTIFS(Games[Team],Games[[#This Row],[Team]],Games[Season],Games[[#This Row],[Season]],Games[Date],"&lt;=" &amp; Games[[#This Row],[Date]])</f>
        <v>30</v>
      </c>
      <c r="D369" s="2" t="s">
        <v>79</v>
      </c>
      <c r="E369" s="2" t="s">
        <v>80</v>
      </c>
      <c r="F369" s="1" t="s">
        <v>71</v>
      </c>
      <c r="G369" s="1" t="s">
        <v>77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9" s="2">
        <f>Games[[#This Row],[DaysOff]]-Games[[#This Row],[OppDaysOff]]</f>
        <v>0</v>
      </c>
      <c r="L369" s="2">
        <f>Games[[#This Row],[OppDaysOff]]-Games[[#This Row],[DaysOff]]</f>
        <v>0</v>
      </c>
      <c r="M369" s="16">
        <f>MAX(-16, MIN(16, Games[[#This Row],[RestDiff]]*8))</f>
        <v>0</v>
      </c>
      <c r="N369" s="16">
        <f>MAX(-16, MIN(16, Games[[#This Row],[OppRestDiff]]*8))</f>
        <v>0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1539.942551982437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1392.4202792693318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0.79129504332876199</v>
      </c>
      <c r="R369" s="1">
        <v>85</v>
      </c>
      <c r="S369" s="1">
        <v>81</v>
      </c>
      <c r="T369" s="1">
        <v>0</v>
      </c>
      <c r="U369" s="16">
        <f>Games[[#This Row],[PointsFor]]-Games[[#This Row],[PointsAgainst]]</f>
        <v>4</v>
      </c>
      <c r="V369" s="16">
        <f>IF(Games[[#This Row],[MOV]]&gt;0,1,IF(Games[[#This Row],[MOV]]=0,0.5,0))</f>
        <v>1</v>
      </c>
      <c r="W369" s="4">
        <f>((ABS(Games[[#This Row],[MOV]])+5)^0.6)/(12+0.01*(ABS(Games[[#This Row],[PreGmRate]]-Games[[#This Row],[OppPreGmRate]])))*IF(Games[[#This Row],[OT]]=1,0.9,1)</f>
        <v>0.27733811117808671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9" s="9">
        <f>MAX(kmin, kmax - 0.15 * MIN(Games[[#This Row],[GamesPlayed]], 82))</f>
        <v>71.5</v>
      </c>
      <c r="Z369" s="4">
        <f>Games[[#This Row],[K]]*Games[[#This Row],[POMult]]</f>
        <v>71.5</v>
      </c>
      <c r="AA369" s="4">
        <f>(Games[[#This Row],[Keff]]*Games[[#This Row],[MOVMult]])*(Games[[#This Row],[Result]]-Games[[#This Row],[ExpectedWin%]])</f>
        <v>4.1385514510844486</v>
      </c>
      <c r="AB369" s="4">
        <f>Games[[#This Row],[PreGmRate]]+Games[[#This Row],[RatingChange]]</f>
        <v>1544.0811034335213</v>
      </c>
      <c r="AC369" s="2">
        <f>IF(Games[[#This Row],[Type]]="R",IF(Games[[#This Row],[Result]]&gt;0.5,1,0),0)</f>
        <v>1</v>
      </c>
      <c r="AD369" s="2">
        <f>IF(Games[[#This Row],[Type]]="R",IF(Games[[#This Row],[Result]]&lt;0.5,1,0),0)</f>
        <v>0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45534</v>
      </c>
      <c r="B370" s="2">
        <v>2024</v>
      </c>
      <c r="C370" s="2">
        <f>COUNTIFS(Games[Team],Games[[#This Row],[Team]],Games[Season],Games[[#This Row],[Season]],Games[Date],"&lt;=" &amp; Games[[#This Row],[Date]])</f>
        <v>32</v>
      </c>
      <c r="D370" s="2" t="s">
        <v>79</v>
      </c>
      <c r="E370" s="2" t="s">
        <v>80</v>
      </c>
      <c r="F370" s="1" t="s">
        <v>69</v>
      </c>
      <c r="G370" s="1" t="s">
        <v>75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0" s="2">
        <f>Games[[#This Row],[DaysOff]]-Games[[#This Row],[OppDaysOff]]</f>
        <v>0</v>
      </c>
      <c r="L370" s="2">
        <f>Games[[#This Row],[OppDaysOff]]-Games[[#This Row],[DaysOff]]</f>
        <v>0</v>
      </c>
      <c r="M370" s="16">
        <f>MAX(-16, MIN(16, Games[[#This Row],[RestDiff]]*8))</f>
        <v>0</v>
      </c>
      <c r="N370" s="16">
        <f>MAX(-16, MIN(16, Games[[#This Row],[OppRestDiff]]*8))</f>
        <v>0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1494.8288792329249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1422.2879199947531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0.48351509170498957</v>
      </c>
      <c r="R370" s="1">
        <v>100</v>
      </c>
      <c r="S370" s="1">
        <v>81</v>
      </c>
      <c r="T370" s="1">
        <v>0</v>
      </c>
      <c r="U370" s="16">
        <f>Games[[#This Row],[PointsFor]]-Games[[#This Row],[PointsAgainst]]</f>
        <v>19</v>
      </c>
      <c r="V370" s="16">
        <f>IF(Games[[#This Row],[MOV]]&gt;0,1,IF(Games[[#This Row],[MOV]]=0,0.5,0))</f>
        <v>1</v>
      </c>
      <c r="W370" s="4">
        <f>((ABS(Games[[#This Row],[MOV]])+5)^0.6)/(12+0.01*(ABS(Games[[#This Row],[PreGmRate]]-Games[[#This Row],[OppPreGmRate]])))*IF(Games[[#This Row],[OT]]=1,0.9,1)</f>
        <v>0.5289991511713118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0" s="9">
        <f>MAX(kmin, kmax - 0.15 * MIN(Games[[#This Row],[GamesPlayed]], 82))</f>
        <v>71.2</v>
      </c>
      <c r="Z370" s="4">
        <f>Games[[#This Row],[K]]*Games[[#This Row],[POMult]]</f>
        <v>71.2</v>
      </c>
      <c r="AA370" s="4">
        <f>(Games[[#This Row],[Keff]]*Games[[#This Row],[MOVMult]])*(Games[[#This Row],[Result]]-Games[[#This Row],[ExpectedWin%]])</f>
        <v>19.453269559356762</v>
      </c>
      <c r="AB370" s="4">
        <f>Games[[#This Row],[PreGmRate]]+Games[[#This Row],[RatingChange]]</f>
        <v>1514.2821487922818</v>
      </c>
      <c r="AC370" s="2">
        <f>IF(Games[[#This Row],[Type]]="R",IF(Games[[#This Row],[Result]]&gt;0.5,1,0),0)</f>
        <v>1</v>
      </c>
      <c r="AD370" s="2">
        <f>IF(Games[[#This Row],[Type]]="R",IF(Games[[#This Row],[Result]]&lt;0.5,1,0),0)</f>
        <v>0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45534</v>
      </c>
      <c r="B371" s="2">
        <v>2024</v>
      </c>
      <c r="C371" s="2">
        <f>COUNTIFS(Games[Team],Games[[#This Row],[Team]],Games[Season],Games[[#This Row],[Season]],Games[Date],"&lt;=" &amp; Games[[#This Row],[Date]])</f>
        <v>31</v>
      </c>
      <c r="D371" s="2" t="s">
        <v>79</v>
      </c>
      <c r="E371" s="2" t="s">
        <v>80</v>
      </c>
      <c r="F371" s="1" t="s">
        <v>75</v>
      </c>
      <c r="G371" s="1" t="s">
        <v>69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1" s="2">
        <f>Games[[#This Row],[DaysOff]]-Games[[#This Row],[OppDaysOff]]</f>
        <v>0</v>
      </c>
      <c r="L371" s="2">
        <f>Games[[#This Row],[OppDaysOff]]-Games[[#This Row],[DaysOff]]</f>
        <v>0</v>
      </c>
      <c r="M371" s="16">
        <f>MAX(-16, MIN(16, Games[[#This Row],[RestDiff]]*8))</f>
        <v>0</v>
      </c>
      <c r="N371" s="16">
        <f>MAX(-16, MIN(16, Games[[#This Row],[OppRestDiff]]*8))</f>
        <v>0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1422.2879199947531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1494.8288792329249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0.51648490829501048</v>
      </c>
      <c r="R371" s="1">
        <v>81</v>
      </c>
      <c r="S371" s="1">
        <v>100</v>
      </c>
      <c r="T371" s="1">
        <v>0</v>
      </c>
      <c r="U371" s="16">
        <f>Games[[#This Row],[PointsFor]]-Games[[#This Row],[PointsAgainst]]</f>
        <v>-19</v>
      </c>
      <c r="V371" s="16">
        <f>IF(Games[[#This Row],[MOV]]&gt;0,1,IF(Games[[#This Row],[MOV]]=0,0.5,0))</f>
        <v>0</v>
      </c>
      <c r="W371" s="4">
        <f>((ABS(Games[[#This Row],[MOV]])+5)^0.6)/(12+0.01*(ABS(Games[[#This Row],[PreGmRate]]-Games[[#This Row],[OppPreGmRate]])))*IF(Games[[#This Row],[OT]]=1,0.9,1)</f>
        <v>0.5289991511713118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1" s="9">
        <f>MAX(kmin, kmax - 0.15 * MIN(Games[[#This Row],[GamesPlayed]], 82))</f>
        <v>71.349999999999994</v>
      </c>
      <c r="Z371" s="4">
        <f>Games[[#This Row],[K]]*Games[[#This Row],[POMult]]</f>
        <v>71.349999999999994</v>
      </c>
      <c r="AA371" s="4">
        <f>(Games[[#This Row],[Keff]]*Games[[#This Row],[MOVMult]])*(Games[[#This Row],[Result]]-Games[[#This Row],[ExpectedWin%]])</f>
        <v>-19.494252571068888</v>
      </c>
      <c r="AB371" s="4">
        <f>Games[[#This Row],[PreGmRate]]+Games[[#This Row],[RatingChange]]</f>
        <v>1402.7936674236842</v>
      </c>
      <c r="AC371" s="2">
        <f>IF(Games[[#This Row],[Type]]="R",IF(Games[[#This Row],[Result]]&gt;0.5,1,0),0)</f>
        <v>0</v>
      </c>
      <c r="AD371" s="2">
        <f>IF(Games[[#This Row],[Type]]="R",IF(Games[[#This Row],[Result]]&lt;0.5,1,0),0)</f>
        <v>1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45534</v>
      </c>
      <c r="B372" s="2">
        <v>2024</v>
      </c>
      <c r="C372" s="2">
        <f>COUNTIFS(Games[Team],Games[[#This Row],[Team]],Games[Season],Games[[#This Row],[Season]],Games[Date],"&lt;=" &amp; Games[[#This Row],[Date]])</f>
        <v>32</v>
      </c>
      <c r="D372" s="2" t="s">
        <v>79</v>
      </c>
      <c r="E372" s="2" t="s">
        <v>80</v>
      </c>
      <c r="F372" s="1" t="s">
        <v>67</v>
      </c>
      <c r="G372" s="1" t="s">
        <v>85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2" s="2">
        <f>Games[[#This Row],[DaysOff]]-Games[[#This Row],[OppDaysOff]]</f>
        <v>-1</v>
      </c>
      <c r="L372" s="2">
        <f>Games[[#This Row],[OppDaysOff]]-Games[[#This Row],[DaysOff]]</f>
        <v>1</v>
      </c>
      <c r="M372" s="16">
        <f>MAX(-16, MIN(16, Games[[#This Row],[RestDiff]]*8))</f>
        <v>-8</v>
      </c>
      <c r="N372" s="16">
        <f>MAX(-16, MIN(16, Games[[#This Row],[OppRestDiff]]*8))</f>
        <v>8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1631.739757130332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1376.7879262797135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0.70929745947882239</v>
      </c>
      <c r="R372" s="1">
        <v>76</v>
      </c>
      <c r="S372" s="1">
        <v>94</v>
      </c>
      <c r="T372" s="1">
        <v>0</v>
      </c>
      <c r="U372" s="16">
        <f>Games[[#This Row],[PointsFor]]-Games[[#This Row],[PointsAgainst]]</f>
        <v>-18</v>
      </c>
      <c r="V372" s="16">
        <f>IF(Games[[#This Row],[MOV]]&gt;0,1,IF(Games[[#This Row],[MOV]]=0,0.5,0))</f>
        <v>0</v>
      </c>
      <c r="W372" s="4">
        <f>((ABS(Games[[#This Row],[MOV]])+5)^0.6)/(12+0.01*(ABS(Games[[#This Row],[PreGmRate]]-Games[[#This Row],[OppPreGmRate]])))*IF(Games[[#This Row],[OT]]=1,0.9,1)</f>
        <v>0.45101198860167507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2" s="9">
        <f>MAX(kmin, kmax - 0.15 * MIN(Games[[#This Row],[GamesPlayed]], 82))</f>
        <v>71.2</v>
      </c>
      <c r="Z372" s="4">
        <f>Games[[#This Row],[K]]*Games[[#This Row],[POMult]]</f>
        <v>71.2</v>
      </c>
      <c r="AA372" s="4">
        <f>(Games[[#This Row],[Keff]]*Games[[#This Row],[MOVMult]])*(Games[[#This Row],[Result]]-Games[[#This Row],[ExpectedWin%]])</f>
        <v>-22.776998028927775</v>
      </c>
      <c r="AB372" s="4">
        <f>Games[[#This Row],[PreGmRate]]+Games[[#This Row],[RatingChange]]</f>
        <v>1608.9627591014043</v>
      </c>
      <c r="AC372" s="2">
        <f>IF(Games[[#This Row],[Type]]="R",IF(Games[[#This Row],[Result]]&gt;0.5,1,0),0)</f>
        <v>0</v>
      </c>
      <c r="AD372" s="2">
        <f>IF(Games[[#This Row],[Type]]="R",IF(Games[[#This Row],[Result]]&lt;0.5,1,0),0)</f>
        <v>1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45534</v>
      </c>
      <c r="B373" s="2">
        <v>2024</v>
      </c>
      <c r="C373" s="2">
        <f>COUNTIFS(Games[Team],Games[[#This Row],[Team]],Games[Season],Games[[#This Row],[Season]],Games[Date],"&lt;=" &amp; Games[[#This Row],[Date]])</f>
        <v>31</v>
      </c>
      <c r="D373" s="2" t="s">
        <v>79</v>
      </c>
      <c r="E373" s="2" t="s">
        <v>80</v>
      </c>
      <c r="F373" s="1" t="s">
        <v>85</v>
      </c>
      <c r="G373" s="1" t="s">
        <v>67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3" s="2">
        <f>Games[[#This Row],[DaysOff]]-Games[[#This Row],[OppDaysOff]]</f>
        <v>1</v>
      </c>
      <c r="L373" s="2">
        <f>Games[[#This Row],[OppDaysOff]]-Games[[#This Row],[DaysOff]]</f>
        <v>-1</v>
      </c>
      <c r="M373" s="16">
        <f>MAX(-16, MIN(16, Games[[#This Row],[RestDiff]]*8))</f>
        <v>8</v>
      </c>
      <c r="N373" s="16">
        <f>MAX(-16, MIN(16, Games[[#This Row],[OppRestDiff]]*8))</f>
        <v>-8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1376.7879262797135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1631.739757130332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0.29070254052117761</v>
      </c>
      <c r="R373" s="1">
        <v>94</v>
      </c>
      <c r="S373" s="1">
        <v>76</v>
      </c>
      <c r="T373" s="1">
        <v>0</v>
      </c>
      <c r="U373" s="16">
        <f>Games[[#This Row],[PointsFor]]-Games[[#This Row],[PointsAgainst]]</f>
        <v>18</v>
      </c>
      <c r="V373" s="16">
        <f>IF(Games[[#This Row],[MOV]]&gt;0,1,IF(Games[[#This Row],[MOV]]=0,0.5,0))</f>
        <v>1</v>
      </c>
      <c r="W373" s="4">
        <f>((ABS(Games[[#This Row],[MOV]])+5)^0.6)/(12+0.01*(ABS(Games[[#This Row],[PreGmRate]]-Games[[#This Row],[OppPreGmRate]])))*IF(Games[[#This Row],[OT]]=1,0.9,1)</f>
        <v>0.45101198860167507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3" s="9">
        <f>MAX(kmin, kmax - 0.15 * MIN(Games[[#This Row],[GamesPlayed]], 82))</f>
        <v>71.349999999999994</v>
      </c>
      <c r="Z373" s="4">
        <f>Games[[#This Row],[K]]*Games[[#This Row],[POMult]]</f>
        <v>71.349999999999994</v>
      </c>
      <c r="AA373" s="4">
        <f>(Games[[#This Row],[Keff]]*Games[[#This Row],[MOVMult]])*(Games[[#This Row],[Result]]-Games[[#This Row],[ExpectedWin%]])</f>
        <v>22.82498327758422</v>
      </c>
      <c r="AB373" s="4">
        <f>Games[[#This Row],[PreGmRate]]+Games[[#This Row],[RatingChange]]</f>
        <v>1399.6129095572976</v>
      </c>
      <c r="AC373" s="2">
        <f>IF(Games[[#This Row],[Type]]="R",IF(Games[[#This Row],[Result]]&gt;0.5,1,0),0)</f>
        <v>1</v>
      </c>
      <c r="AD373" s="2">
        <f>IF(Games[[#This Row],[Type]]="R",IF(Games[[#This Row],[Result]]&lt;0.5,1,0),0)</f>
        <v>0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45534</v>
      </c>
      <c r="B374" s="2">
        <v>2024</v>
      </c>
      <c r="C374" s="2">
        <f>COUNTIFS(Games[Team],Games[[#This Row],[Team]],Games[Season],Games[[#This Row],[Season]],Games[Date],"&lt;=" &amp; Games[[#This Row],[Date]])</f>
        <v>31</v>
      </c>
      <c r="D374" s="2" t="s">
        <v>79</v>
      </c>
      <c r="E374" s="2" t="s">
        <v>80</v>
      </c>
      <c r="F374" s="1" t="s">
        <v>77</v>
      </c>
      <c r="G374" s="1" t="s">
        <v>86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4" s="2">
        <f>Games[[#This Row],[DaysOff]]-Games[[#This Row],[OppDaysOff]]</f>
        <v>-1</v>
      </c>
      <c r="L374" s="2">
        <f>Games[[#This Row],[OppDaysOff]]-Games[[#This Row],[DaysOff]]</f>
        <v>1</v>
      </c>
      <c r="M374" s="16">
        <f>MAX(-16, MIN(16, Games[[#This Row],[RestDiff]]*8))</f>
        <v>-8</v>
      </c>
      <c r="N374" s="16">
        <f>MAX(-16, MIN(16, Games[[#This Row],[OppRestDiff]]*8))</f>
        <v>8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1388.2817278182474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1586.8269399672299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0.15205617201602431</v>
      </c>
      <c r="R374" s="1">
        <v>72</v>
      </c>
      <c r="S374" s="1">
        <v>83</v>
      </c>
      <c r="T374" s="1">
        <v>0</v>
      </c>
      <c r="U374" s="16">
        <f>Games[[#This Row],[PointsFor]]-Games[[#This Row],[PointsAgainst]]</f>
        <v>-11</v>
      </c>
      <c r="V374" s="16">
        <f>IF(Games[[#This Row],[MOV]]&gt;0,1,IF(Games[[#This Row],[MOV]]=0,0.5,0))</f>
        <v>0</v>
      </c>
      <c r="W374" s="4">
        <f>((ABS(Games[[#This Row],[MOV]])+5)^0.6)/(12+0.01*(ABS(Games[[#This Row],[PreGmRate]]-Games[[#This Row],[OppPreGmRate]])))*IF(Games[[#This Row],[OT]]=1,0.9,1)</f>
        <v>0.37739442366553433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4" s="9">
        <f>MAX(kmin, kmax - 0.15 * MIN(Games[[#This Row],[GamesPlayed]], 82))</f>
        <v>71.349999999999994</v>
      </c>
      <c r="Z374" s="4">
        <f>Games[[#This Row],[K]]*Games[[#This Row],[POMult]]</f>
        <v>71.349999999999994</v>
      </c>
      <c r="AA374" s="4">
        <f>(Games[[#This Row],[Keff]]*Games[[#This Row],[MOVMult]])*(Games[[#This Row],[Result]]-Games[[#This Row],[ExpectedWin%]])</f>
        <v>-4.0944305525879843</v>
      </c>
      <c r="AB374" s="4">
        <f>Games[[#This Row],[PreGmRate]]+Games[[#This Row],[RatingChange]]</f>
        <v>1384.1872972656595</v>
      </c>
      <c r="AC374" s="2">
        <f>IF(Games[[#This Row],[Type]]="R",IF(Games[[#This Row],[Result]]&gt;0.5,1,0),0)</f>
        <v>0</v>
      </c>
      <c r="AD374" s="2">
        <f>IF(Games[[#This Row],[Type]]="R",IF(Games[[#This Row],[Result]]&lt;0.5,1,0),0)</f>
        <v>1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45534</v>
      </c>
      <c r="B375" s="2">
        <v>2024</v>
      </c>
      <c r="C375" s="2">
        <f>COUNTIFS(Games[Team],Games[[#This Row],[Team]],Games[Season],Games[[#This Row],[Season]],Games[Date],"&lt;=" &amp; Games[[#This Row],[Date]])</f>
        <v>31</v>
      </c>
      <c r="D375" s="2" t="s">
        <v>79</v>
      </c>
      <c r="E375" s="2" t="s">
        <v>80</v>
      </c>
      <c r="F375" s="1" t="s">
        <v>86</v>
      </c>
      <c r="G375" s="1" t="s">
        <v>77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5" s="2">
        <f>Games[[#This Row],[DaysOff]]-Games[[#This Row],[OppDaysOff]]</f>
        <v>1</v>
      </c>
      <c r="L375" s="2">
        <f>Games[[#This Row],[OppDaysOff]]-Games[[#This Row],[DaysOff]]</f>
        <v>-1</v>
      </c>
      <c r="M375" s="16">
        <f>MAX(-16, MIN(16, Games[[#This Row],[RestDiff]]*8))</f>
        <v>8</v>
      </c>
      <c r="N375" s="16">
        <f>MAX(-16, MIN(16, Games[[#This Row],[OppRestDiff]]*8))</f>
        <v>-8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1586.8269399672299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1388.2817278182474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0.84794382798397572</v>
      </c>
      <c r="R375" s="1">
        <v>83</v>
      </c>
      <c r="S375" s="1">
        <v>72</v>
      </c>
      <c r="T375" s="1">
        <v>0</v>
      </c>
      <c r="U375" s="16">
        <f>Games[[#This Row],[PointsFor]]-Games[[#This Row],[PointsAgainst]]</f>
        <v>11</v>
      </c>
      <c r="V375" s="16">
        <f>IF(Games[[#This Row],[MOV]]&gt;0,1,IF(Games[[#This Row],[MOV]]=0,0.5,0))</f>
        <v>1</v>
      </c>
      <c r="W375" s="4">
        <f>((ABS(Games[[#This Row],[MOV]])+5)^0.6)/(12+0.01*(ABS(Games[[#This Row],[PreGmRate]]-Games[[#This Row],[OppPreGmRate]])))*IF(Games[[#This Row],[OT]]=1,0.9,1)</f>
        <v>0.37739442366553433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5" s="9">
        <f>MAX(kmin, kmax - 0.15 * MIN(Games[[#This Row],[GamesPlayed]], 82))</f>
        <v>71.349999999999994</v>
      </c>
      <c r="Z375" s="4">
        <f>Games[[#This Row],[K]]*Games[[#This Row],[POMult]]</f>
        <v>71.349999999999994</v>
      </c>
      <c r="AA375" s="4">
        <f>(Games[[#This Row],[Keff]]*Games[[#This Row],[MOVMult]])*(Games[[#This Row],[Result]]-Games[[#This Row],[ExpectedWin%]])</f>
        <v>4.0944305525879843</v>
      </c>
      <c r="AB375" s="4">
        <f>Games[[#This Row],[PreGmRate]]+Games[[#This Row],[RatingChange]]</f>
        <v>1590.9213705198179</v>
      </c>
      <c r="AC375" s="2">
        <f>IF(Games[[#This Row],[Type]]="R",IF(Games[[#This Row],[Result]]&gt;0.5,1,0),0)</f>
        <v>1</v>
      </c>
      <c r="AD375" s="2">
        <f>IF(Games[[#This Row],[Type]]="R",IF(Games[[#This Row],[Result]]&lt;0.5,1,0),0)</f>
        <v>0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45534</v>
      </c>
      <c r="B376" s="2">
        <v>2024</v>
      </c>
      <c r="C376" s="2">
        <f>COUNTIFS(Games[Team],Games[[#This Row],[Team]],Games[Season],Games[[#This Row],[Season]],Games[Date],"&lt;=" &amp; Games[[#This Row],[Date]])</f>
        <v>33</v>
      </c>
      <c r="D376" s="2" t="s">
        <v>79</v>
      </c>
      <c r="E376" s="2" t="s">
        <v>80</v>
      </c>
      <c r="F376" s="1" t="s">
        <v>60</v>
      </c>
      <c r="G376" s="1" t="s">
        <v>71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6" s="2">
        <f>Games[[#This Row],[DaysOff]]-Games[[#This Row],[OppDaysOff]]</f>
        <v>0</v>
      </c>
      <c r="L376" s="2">
        <f>Games[[#This Row],[OppDaysOff]]-Games[[#This Row],[DaysOff]]</f>
        <v>0</v>
      </c>
      <c r="M376" s="16">
        <f>MAX(-16, MIN(16, Games[[#This Row],[RestDiff]]*8))</f>
        <v>0</v>
      </c>
      <c r="N376" s="16">
        <f>MAX(-16, MIN(16, Games[[#This Row],[OppRestDiff]]*8))</f>
        <v>0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1709.6684538212248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1544.0811034335213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0.61530198784503443</v>
      </c>
      <c r="R376" s="1">
        <v>98</v>
      </c>
      <c r="S376" s="1">
        <v>85</v>
      </c>
      <c r="T376" s="1">
        <v>0</v>
      </c>
      <c r="U376" s="16">
        <f>Games[[#This Row],[PointsFor]]-Games[[#This Row],[PointsAgainst]]</f>
        <v>13</v>
      </c>
      <c r="V376" s="16">
        <f>IF(Games[[#This Row],[MOV]]&gt;0,1,IF(Games[[#This Row],[MOV]]=0,0.5,0))</f>
        <v>1</v>
      </c>
      <c r="W376" s="4">
        <f>((ABS(Games[[#This Row],[MOV]])+5)^0.6)/(12+0.01*(ABS(Games[[#This Row],[PreGmRate]]-Games[[#This Row],[OppPreGmRate]])))*IF(Games[[#This Row],[OT]]=1,0.9,1)</f>
        <v>0.4148050336114491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6" s="9">
        <f>MAX(kmin, kmax - 0.15 * MIN(Games[[#This Row],[GamesPlayed]], 82))</f>
        <v>71.05</v>
      </c>
      <c r="Z376" s="4">
        <f>Games[[#This Row],[K]]*Games[[#This Row],[POMult]]</f>
        <v>71.05</v>
      </c>
      <c r="AA376" s="4">
        <f>(Games[[#This Row],[Keff]]*Games[[#This Row],[MOVMult]])*(Games[[#This Row],[Result]]-Games[[#This Row],[ExpectedWin%]])</f>
        <v>11.337780435809179</v>
      </c>
      <c r="AB376" s="4">
        <f>Games[[#This Row],[PreGmRate]]+Games[[#This Row],[RatingChange]]</f>
        <v>1721.0062342570341</v>
      </c>
      <c r="AC376" s="2">
        <f>IF(Games[[#This Row],[Type]]="R",IF(Games[[#This Row],[Result]]&gt;0.5,1,0),0)</f>
        <v>1</v>
      </c>
      <c r="AD376" s="2">
        <f>IF(Games[[#This Row],[Type]]="R",IF(Games[[#This Row],[Result]]&lt;0.5,1,0),0)</f>
        <v>0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45534</v>
      </c>
      <c r="B377" s="2">
        <v>2024</v>
      </c>
      <c r="C377" s="2">
        <f>COUNTIFS(Games[Team],Games[[#This Row],[Team]],Games[Season],Games[[#This Row],[Season]],Games[Date],"&lt;=" &amp; Games[[#This Row],[Date]])</f>
        <v>31</v>
      </c>
      <c r="D377" s="2" t="s">
        <v>79</v>
      </c>
      <c r="E377" s="2" t="s">
        <v>80</v>
      </c>
      <c r="F377" s="1" t="s">
        <v>71</v>
      </c>
      <c r="G377" s="1" t="s">
        <v>60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7" s="2">
        <f>Games[[#This Row],[DaysOff]]-Games[[#This Row],[OppDaysOff]]</f>
        <v>0</v>
      </c>
      <c r="L377" s="2">
        <f>Games[[#This Row],[OppDaysOff]]-Games[[#This Row],[DaysOff]]</f>
        <v>0</v>
      </c>
      <c r="M377" s="16">
        <f>MAX(-16, MIN(16, Games[[#This Row],[RestDiff]]*8))</f>
        <v>0</v>
      </c>
      <c r="N377" s="16">
        <f>MAX(-16, MIN(16, Games[[#This Row],[OppRestDiff]]*8))</f>
        <v>0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1544.0811034335213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1709.6684538212248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0.38469801215496557</v>
      </c>
      <c r="R377" s="1">
        <v>85</v>
      </c>
      <c r="S377" s="1">
        <v>98</v>
      </c>
      <c r="T377" s="1">
        <v>0</v>
      </c>
      <c r="U377" s="16">
        <f>Games[[#This Row],[PointsFor]]-Games[[#This Row],[PointsAgainst]]</f>
        <v>-13</v>
      </c>
      <c r="V377" s="16">
        <f>IF(Games[[#This Row],[MOV]]&gt;0,1,IF(Games[[#This Row],[MOV]]=0,0.5,0))</f>
        <v>0</v>
      </c>
      <c r="W377" s="4">
        <f>((ABS(Games[[#This Row],[MOV]])+5)^0.6)/(12+0.01*(ABS(Games[[#This Row],[PreGmRate]]-Games[[#This Row],[OppPreGmRate]])))*IF(Games[[#This Row],[OT]]=1,0.9,1)</f>
        <v>0.4148050336114491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7" s="9">
        <f>MAX(kmin, kmax - 0.15 * MIN(Games[[#This Row],[GamesPlayed]], 82))</f>
        <v>71.349999999999994</v>
      </c>
      <c r="Z377" s="4">
        <f>Games[[#This Row],[K]]*Games[[#This Row],[POMult]]</f>
        <v>71.349999999999994</v>
      </c>
      <c r="AA377" s="4">
        <f>(Games[[#This Row],[Keff]]*Games[[#This Row],[MOVMult]])*(Games[[#This Row],[Result]]-Games[[#This Row],[ExpectedWin%]])</f>
        <v>-11.385652837367838</v>
      </c>
      <c r="AB377" s="4">
        <f>Games[[#This Row],[PreGmRate]]+Games[[#This Row],[RatingChange]]</f>
        <v>1532.6954505961535</v>
      </c>
      <c r="AC377" s="2">
        <f>IF(Games[[#This Row],[Type]]="R",IF(Games[[#This Row],[Result]]&gt;0.5,1,0),0)</f>
        <v>0</v>
      </c>
      <c r="AD377" s="2">
        <f>IF(Games[[#This Row],[Type]]="R",IF(Games[[#This Row],[Result]]&lt;0.5,1,0),0)</f>
        <v>1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45535</v>
      </c>
      <c r="B378" s="2">
        <v>2024</v>
      </c>
      <c r="C378" s="2">
        <f>COUNTIFS(Games[Team],Games[[#This Row],[Team]],Games[Season],Games[[#This Row],[Season]],Games[Date],"&lt;=" &amp; Games[[#This Row],[Date]])</f>
        <v>31</v>
      </c>
      <c r="D378" s="2" t="s">
        <v>79</v>
      </c>
      <c r="E378" s="2" t="s">
        <v>80</v>
      </c>
      <c r="F378" s="1" t="s">
        <v>74</v>
      </c>
      <c r="G378" s="1" t="s">
        <v>65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8" s="2">
        <f>Games[[#This Row],[DaysOff]]-Games[[#This Row],[OppDaysOff]]</f>
        <v>0</v>
      </c>
      <c r="L378" s="2">
        <f>Games[[#This Row],[OppDaysOff]]-Games[[#This Row],[DaysOff]]</f>
        <v>0</v>
      </c>
      <c r="M378" s="16">
        <f>MAX(-16, MIN(16, Games[[#This Row],[RestDiff]]*8))</f>
        <v>0</v>
      </c>
      <c r="N378" s="16">
        <f>MAX(-16, MIN(16, Games[[#This Row],[OppRestDiff]]*8))</f>
        <v>0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1622.9990068350103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1407.3800143505337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0.68084544100798872</v>
      </c>
      <c r="R378" s="1">
        <v>96</v>
      </c>
      <c r="S378" s="1">
        <v>85</v>
      </c>
      <c r="T378" s="1">
        <v>0</v>
      </c>
      <c r="U378" s="16">
        <f>Games[[#This Row],[PointsFor]]-Games[[#This Row],[PointsAgainst]]</f>
        <v>11</v>
      </c>
      <c r="V378" s="16">
        <f>IF(Games[[#This Row],[MOV]]&gt;0,1,IF(Games[[#This Row],[MOV]]=0,0.5,0))</f>
        <v>1</v>
      </c>
      <c r="W378" s="4">
        <f>((ABS(Games[[#This Row],[MOV]])+5)^0.6)/(12+0.01*(ABS(Games[[#This Row],[PreGmRate]]-Games[[#This Row],[OppPreGmRate]])))*IF(Games[[#This Row],[OT]]=1,0.9,1)</f>
        <v>0.37284266961044282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8" s="9">
        <f>MAX(kmin, kmax - 0.15 * MIN(Games[[#This Row],[GamesPlayed]], 82))</f>
        <v>71.349999999999994</v>
      </c>
      <c r="Z378" s="4">
        <f>Games[[#This Row],[K]]*Games[[#This Row],[POMult]]</f>
        <v>71.349999999999994</v>
      </c>
      <c r="AA378" s="4">
        <f>(Games[[#This Row],[Keff]]*Games[[#This Row],[MOVMult]])*(Games[[#This Row],[Result]]-Games[[#This Row],[ExpectedWin%]])</f>
        <v>8.490253136525201</v>
      </c>
      <c r="AB378" s="4">
        <f>Games[[#This Row],[PreGmRate]]+Games[[#This Row],[RatingChange]]</f>
        <v>1631.4892599715354</v>
      </c>
      <c r="AC378" s="2">
        <f>IF(Games[[#This Row],[Type]]="R",IF(Games[[#This Row],[Result]]&gt;0.5,1,0),0)</f>
        <v>1</v>
      </c>
      <c r="AD378" s="2">
        <f>IF(Games[[#This Row],[Type]]="R",IF(Games[[#This Row],[Result]]&lt;0.5,1,0),0)</f>
        <v>0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45535</v>
      </c>
      <c r="B379" s="2">
        <v>2024</v>
      </c>
      <c r="C379" s="2">
        <f>COUNTIFS(Games[Team],Games[[#This Row],[Team]],Games[Season],Games[[#This Row],[Season]],Games[Date],"&lt;=" &amp; Games[[#This Row],[Date]])</f>
        <v>32</v>
      </c>
      <c r="D379" s="2" t="s">
        <v>79</v>
      </c>
      <c r="E379" s="2" t="s">
        <v>80</v>
      </c>
      <c r="F379" s="1" t="s">
        <v>65</v>
      </c>
      <c r="G379" s="1" t="s">
        <v>74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9" s="2">
        <f>Games[[#This Row],[DaysOff]]-Games[[#This Row],[OppDaysOff]]</f>
        <v>0</v>
      </c>
      <c r="L379" s="2">
        <f>Games[[#This Row],[OppDaysOff]]-Games[[#This Row],[DaysOff]]</f>
        <v>0</v>
      </c>
      <c r="M379" s="16">
        <f>MAX(-16, MIN(16, Games[[#This Row],[RestDiff]]*8))</f>
        <v>0</v>
      </c>
      <c r="N379" s="16">
        <f>MAX(-16, MIN(16, Games[[#This Row],[OppRestDiff]]*8))</f>
        <v>0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1407.3800143505337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1622.9990068350103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0.31915455899201123</v>
      </c>
      <c r="R379" s="1">
        <v>85</v>
      </c>
      <c r="S379" s="1">
        <v>96</v>
      </c>
      <c r="T379" s="1">
        <v>0</v>
      </c>
      <c r="U379" s="16">
        <f>Games[[#This Row],[PointsFor]]-Games[[#This Row],[PointsAgainst]]</f>
        <v>-11</v>
      </c>
      <c r="V379" s="16">
        <f>IF(Games[[#This Row],[MOV]]&gt;0,1,IF(Games[[#This Row],[MOV]]=0,0.5,0))</f>
        <v>0</v>
      </c>
      <c r="W379" s="4">
        <f>((ABS(Games[[#This Row],[MOV]])+5)^0.6)/(12+0.01*(ABS(Games[[#This Row],[PreGmRate]]-Games[[#This Row],[OppPreGmRate]])))*IF(Games[[#This Row],[OT]]=1,0.9,1)</f>
        <v>0.37284266961044282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9" s="9">
        <f>MAX(kmin, kmax - 0.15 * MIN(Games[[#This Row],[GamesPlayed]], 82))</f>
        <v>71.2</v>
      </c>
      <c r="Z379" s="4">
        <f>Games[[#This Row],[K]]*Games[[#This Row],[POMult]]</f>
        <v>71.2</v>
      </c>
      <c r="AA379" s="4">
        <f>(Games[[#This Row],[Keff]]*Games[[#This Row],[MOVMult]])*(Games[[#This Row],[Result]]-Games[[#This Row],[ExpectedWin%]])</f>
        <v>-8.4724039708562611</v>
      </c>
      <c r="AB379" s="4">
        <f>Games[[#This Row],[PreGmRate]]+Games[[#This Row],[RatingChange]]</f>
        <v>1398.9076103796774</v>
      </c>
      <c r="AC379" s="2">
        <f>IF(Games[[#This Row],[Type]]="R",IF(Games[[#This Row],[Result]]&gt;0.5,1,0),0)</f>
        <v>0</v>
      </c>
      <c r="AD379" s="2">
        <f>IF(Games[[#This Row],[Type]]="R",IF(Games[[#This Row],[Result]]&lt;0.5,1,0),0)</f>
        <v>1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45536</v>
      </c>
      <c r="B380" s="2">
        <v>2024</v>
      </c>
      <c r="C380" s="2">
        <f>COUNTIFS(Games[Team],Games[[#This Row],[Team]],Games[Season],Games[[#This Row],[Season]],Games[Date],"&lt;=" &amp; Games[[#This Row],[Date]])</f>
        <v>32</v>
      </c>
      <c r="D380" s="2" t="s">
        <v>79</v>
      </c>
      <c r="E380" s="2" t="s">
        <v>80</v>
      </c>
      <c r="F380" s="1" t="s">
        <v>71</v>
      </c>
      <c r="G380" s="1" t="s">
        <v>74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80" s="2">
        <f>Games[[#This Row],[DaysOff]]-Games[[#This Row],[OppDaysOff]]</f>
        <v>1</v>
      </c>
      <c r="L380" s="2">
        <f>Games[[#This Row],[OppDaysOff]]-Games[[#This Row],[DaysOff]]</f>
        <v>-1</v>
      </c>
      <c r="M380" s="16">
        <f>MAX(-16, MIN(16, Games[[#This Row],[RestDiff]]*8))</f>
        <v>8</v>
      </c>
      <c r="N380" s="16">
        <f>MAX(-16, MIN(16, Games[[#This Row],[OppRestDiff]]*8))</f>
        <v>-8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1532.6954505961535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1631.4892599715354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0.27684969540404469</v>
      </c>
      <c r="R380" s="1">
        <v>86</v>
      </c>
      <c r="S380" s="1">
        <v>93</v>
      </c>
      <c r="T380" s="1">
        <v>0</v>
      </c>
      <c r="U380" s="16">
        <f>Games[[#This Row],[PointsFor]]-Games[[#This Row],[PointsAgainst]]</f>
        <v>-7</v>
      </c>
      <c r="V380" s="16">
        <f>IF(Games[[#This Row],[MOV]]&gt;0,1,IF(Games[[#This Row],[MOV]]=0,0.5,0))</f>
        <v>0</v>
      </c>
      <c r="W380" s="4">
        <f>((ABS(Games[[#This Row],[MOV]])+5)^0.6)/(12+0.01*(ABS(Games[[#This Row],[PreGmRate]]-Games[[#This Row],[OppPreGmRate]])))*IF(Games[[#This Row],[OT]]=1,0.9,1)</f>
        <v>0.3419546688463006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0" s="9">
        <f>MAX(kmin, kmax - 0.15 * MIN(Games[[#This Row],[GamesPlayed]], 82))</f>
        <v>71.2</v>
      </c>
      <c r="Z380" s="4">
        <f>Games[[#This Row],[K]]*Games[[#This Row],[POMult]]</f>
        <v>71.2</v>
      </c>
      <c r="AA380" s="4">
        <f>(Games[[#This Row],[Keff]]*Games[[#This Row],[MOVMult]])*(Games[[#This Row],[Result]]-Games[[#This Row],[ExpectedWin%]])</f>
        <v>-6.7405072689407586</v>
      </c>
      <c r="AB380" s="4">
        <f>Games[[#This Row],[PreGmRate]]+Games[[#This Row],[RatingChange]]</f>
        <v>1525.9549433272127</v>
      </c>
      <c r="AC380" s="2">
        <f>IF(Games[[#This Row],[Type]]="R",IF(Games[[#This Row],[Result]]&gt;0.5,1,0),0)</f>
        <v>0</v>
      </c>
      <c r="AD380" s="2">
        <f>IF(Games[[#This Row],[Type]]="R",IF(Games[[#This Row],[Result]]&lt;0.5,1,0),0)</f>
        <v>1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45536</v>
      </c>
      <c r="B381" s="2">
        <v>2024</v>
      </c>
      <c r="C381" s="2">
        <f>COUNTIFS(Games[Team],Games[[#This Row],[Team]],Games[Season],Games[[#This Row],[Season]],Games[Date],"&lt;=" &amp; Games[[#This Row],[Date]])</f>
        <v>32</v>
      </c>
      <c r="D381" s="2" t="s">
        <v>79</v>
      </c>
      <c r="E381" s="2" t="s">
        <v>80</v>
      </c>
      <c r="F381" s="1" t="s">
        <v>74</v>
      </c>
      <c r="G381" s="1" t="s">
        <v>71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0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1" s="2">
        <f>Games[[#This Row],[DaysOff]]-Games[[#This Row],[OppDaysOff]]</f>
        <v>-1</v>
      </c>
      <c r="L381" s="2">
        <f>Games[[#This Row],[OppDaysOff]]-Games[[#This Row],[DaysOff]]</f>
        <v>1</v>
      </c>
      <c r="M381" s="16">
        <f>MAX(-16, MIN(16, Games[[#This Row],[RestDiff]]*8))</f>
        <v>-8</v>
      </c>
      <c r="N381" s="16">
        <f>MAX(-16, MIN(16, Games[[#This Row],[OppRestDiff]]*8))</f>
        <v>8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1631.4892599715354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1532.6954505961535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0.72315030459595531</v>
      </c>
      <c r="R381" s="1">
        <v>93</v>
      </c>
      <c r="S381" s="1">
        <v>86</v>
      </c>
      <c r="T381" s="1">
        <v>0</v>
      </c>
      <c r="U381" s="16">
        <f>Games[[#This Row],[PointsFor]]-Games[[#This Row],[PointsAgainst]]</f>
        <v>7</v>
      </c>
      <c r="V381" s="16">
        <f>IF(Games[[#This Row],[MOV]]&gt;0,1,IF(Games[[#This Row],[MOV]]=0,0.5,0))</f>
        <v>1</v>
      </c>
      <c r="W381" s="4">
        <f>((ABS(Games[[#This Row],[MOV]])+5)^0.6)/(12+0.01*(ABS(Games[[#This Row],[PreGmRate]]-Games[[#This Row],[OppPreGmRate]])))*IF(Games[[#This Row],[OT]]=1,0.9,1)</f>
        <v>0.3419546688463006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1" s="9">
        <f>MAX(kmin, kmax - 0.15 * MIN(Games[[#This Row],[GamesPlayed]], 82))</f>
        <v>71.2</v>
      </c>
      <c r="Z381" s="4">
        <f>Games[[#This Row],[K]]*Games[[#This Row],[POMult]]</f>
        <v>71.2</v>
      </c>
      <c r="AA381" s="4">
        <f>(Games[[#This Row],[Keff]]*Games[[#This Row],[MOVMult]])*(Games[[#This Row],[Result]]-Games[[#This Row],[ExpectedWin%]])</f>
        <v>6.7405072689407586</v>
      </c>
      <c r="AB381" s="4">
        <f>Games[[#This Row],[PreGmRate]]+Games[[#This Row],[RatingChange]]</f>
        <v>1638.2297672404761</v>
      </c>
      <c r="AC381" s="2">
        <f>IF(Games[[#This Row],[Type]]="R",IF(Games[[#This Row],[Result]]&gt;0.5,1,0),0)</f>
        <v>1</v>
      </c>
      <c r="AD381" s="2">
        <f>IF(Games[[#This Row],[Type]]="R",IF(Games[[#This Row],[Result]]&lt;0.5,1,0),0)</f>
        <v>0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45536</v>
      </c>
      <c r="B382" s="2">
        <v>2024</v>
      </c>
      <c r="C382" s="2">
        <f>COUNTIFS(Games[Team],Games[[#This Row],[Team]],Games[Season],Games[[#This Row],[Season]],Games[Date],"&lt;=" &amp; Games[[#This Row],[Date]])</f>
        <v>33</v>
      </c>
      <c r="D382" s="2" t="s">
        <v>79</v>
      </c>
      <c r="E382" s="2" t="s">
        <v>80</v>
      </c>
      <c r="F382" s="1" t="s">
        <v>69</v>
      </c>
      <c r="G382" s="1" t="s">
        <v>85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0</v>
      </c>
      <c r="L382" s="2">
        <f>Games[[#This Row],[OppDaysOff]]-Games[[#This Row],[DaysOff]]</f>
        <v>0</v>
      </c>
      <c r="M382" s="16">
        <f>MAX(-16, MIN(16, Games[[#This Row],[RestDiff]]*8))</f>
        <v>0</v>
      </c>
      <c r="N382" s="16">
        <f>MAX(-16, MIN(16, Games[[#This Row],[OppRestDiff]]*8))</f>
        <v>0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1514.2821487922818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1399.6129095572976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0.54402229971146154</v>
      </c>
      <c r="R382" s="1">
        <v>100</v>
      </c>
      <c r="S382" s="1">
        <v>93</v>
      </c>
      <c r="T382" s="1">
        <v>0</v>
      </c>
      <c r="U382" s="16">
        <f>Games[[#This Row],[PointsFor]]-Games[[#This Row],[PointsAgainst]]</f>
        <v>7</v>
      </c>
      <c r="V382" s="16">
        <f>IF(Games[[#This Row],[MOV]]&gt;0,1,IF(Games[[#This Row],[MOV]]=0,0.5,0))</f>
        <v>1</v>
      </c>
      <c r="W382" s="4">
        <f>((ABS(Games[[#This Row],[MOV]])+5)^0.6)/(12+0.01*(ABS(Games[[#This Row],[PreGmRate]]-Games[[#This Row],[OppPreGmRate]])))*IF(Games[[#This Row],[OT]]=1,0.9,1)</f>
        <v>0.33782535844759382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2" s="9">
        <f>MAX(kmin, kmax - 0.15 * MIN(Games[[#This Row],[GamesPlayed]], 82))</f>
        <v>71.05</v>
      </c>
      <c r="Z382" s="4">
        <f>Games[[#This Row],[K]]*Games[[#This Row],[POMult]]</f>
        <v>71.05</v>
      </c>
      <c r="AA382" s="4">
        <f>(Games[[#This Row],[Keff]]*Games[[#This Row],[MOVMult]])*(Games[[#This Row],[Result]]-Games[[#This Row],[ExpectedWin%]])</f>
        <v>10.944600974632239</v>
      </c>
      <c r="AB382" s="4">
        <f>Games[[#This Row],[PreGmRate]]+Games[[#This Row],[RatingChange]]</f>
        <v>1525.2267497669141</v>
      </c>
      <c r="AC382" s="2">
        <f>IF(Games[[#This Row],[Type]]="R",IF(Games[[#This Row],[Result]]&gt;0.5,1,0),0)</f>
        <v>1</v>
      </c>
      <c r="AD382" s="2">
        <f>IF(Games[[#This Row],[Type]]="R",IF(Games[[#This Row],[Result]]&lt;0.5,1,0),0)</f>
        <v>0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45536</v>
      </c>
      <c r="B383" s="2">
        <v>2024</v>
      </c>
      <c r="C383" s="2">
        <f>COUNTIFS(Games[Team],Games[[#This Row],[Team]],Games[Season],Games[[#This Row],[Season]],Games[Date],"&lt;=" &amp; Games[[#This Row],[Date]])</f>
        <v>32</v>
      </c>
      <c r="D383" s="2" t="s">
        <v>79</v>
      </c>
      <c r="E383" s="2" t="s">
        <v>80</v>
      </c>
      <c r="F383" s="1" t="s">
        <v>85</v>
      </c>
      <c r="G383" s="1" t="s">
        <v>69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3" s="2">
        <f>Games[[#This Row],[DaysOff]]-Games[[#This Row],[OppDaysOff]]</f>
        <v>0</v>
      </c>
      <c r="L383" s="2">
        <f>Games[[#This Row],[OppDaysOff]]-Games[[#This Row],[DaysOff]]</f>
        <v>0</v>
      </c>
      <c r="M383" s="16">
        <f>MAX(-16, MIN(16, Games[[#This Row],[RestDiff]]*8))</f>
        <v>0</v>
      </c>
      <c r="N383" s="16">
        <f>MAX(-16, MIN(16, Games[[#This Row],[OppRestDiff]]*8))</f>
        <v>0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1399.6129095572976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1514.2821487922818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0.4559777002885384</v>
      </c>
      <c r="R383" s="1">
        <v>93</v>
      </c>
      <c r="S383" s="1">
        <v>100</v>
      </c>
      <c r="T383" s="1">
        <v>0</v>
      </c>
      <c r="U383" s="16">
        <f>Games[[#This Row],[PointsFor]]-Games[[#This Row],[PointsAgainst]]</f>
        <v>-7</v>
      </c>
      <c r="V383" s="16">
        <f>IF(Games[[#This Row],[MOV]]&gt;0,1,IF(Games[[#This Row],[MOV]]=0,0.5,0))</f>
        <v>0</v>
      </c>
      <c r="W383" s="4">
        <f>((ABS(Games[[#This Row],[MOV]])+5)^0.6)/(12+0.01*(ABS(Games[[#This Row],[PreGmRate]]-Games[[#This Row],[OppPreGmRate]])))*IF(Games[[#This Row],[OT]]=1,0.9,1)</f>
        <v>0.33782535844759382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3" s="9">
        <f>MAX(kmin, kmax - 0.15 * MIN(Games[[#This Row],[GamesPlayed]], 82))</f>
        <v>71.2</v>
      </c>
      <c r="Z383" s="4">
        <f>Games[[#This Row],[K]]*Games[[#This Row],[POMult]]</f>
        <v>71.2</v>
      </c>
      <c r="AA383" s="4">
        <f>(Games[[#This Row],[Keff]]*Games[[#This Row],[MOVMult]])*(Games[[#This Row],[Result]]-Games[[#This Row],[ExpectedWin%]])</f>
        <v>-10.967707099138853</v>
      </c>
      <c r="AB383" s="4">
        <f>Games[[#This Row],[PreGmRate]]+Games[[#This Row],[RatingChange]]</f>
        <v>1388.6452024581588</v>
      </c>
      <c r="AC383" s="2">
        <f>IF(Games[[#This Row],[Type]]="R",IF(Games[[#This Row],[Result]]&gt;0.5,1,0),0)</f>
        <v>0</v>
      </c>
      <c r="AD383" s="2">
        <f>IF(Games[[#This Row],[Type]]="R",IF(Games[[#This Row],[Result]]&lt;0.5,1,0),0)</f>
        <v>1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45536</v>
      </c>
      <c r="B384" s="2">
        <v>2024</v>
      </c>
      <c r="C384" s="2">
        <f>COUNTIFS(Games[Team],Games[[#This Row],[Team]],Games[Season],Games[[#This Row],[Season]],Games[Date],"&lt;=" &amp; Games[[#This Row],[Date]])</f>
        <v>32</v>
      </c>
      <c r="D384" s="2" t="s">
        <v>79</v>
      </c>
      <c r="E384" s="2" t="s">
        <v>80</v>
      </c>
      <c r="F384" s="1" t="s">
        <v>77</v>
      </c>
      <c r="G384" s="1" t="s">
        <v>63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4" s="2">
        <f>Games[[#This Row],[DaysOff]]-Games[[#This Row],[OppDaysOff]]</f>
        <v>-2</v>
      </c>
      <c r="L384" s="2">
        <f>Games[[#This Row],[OppDaysOff]]-Games[[#This Row],[DaysOff]]</f>
        <v>2</v>
      </c>
      <c r="M384" s="16">
        <f>MAX(-16, MIN(16, Games[[#This Row],[RestDiff]]*8))</f>
        <v>-16</v>
      </c>
      <c r="N384" s="16">
        <f>MAX(-16, MIN(16, Games[[#This Row],[OppRestDiff]]*8))</f>
        <v>16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1384.1872972656595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1344.5673568536656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0.39181746776263859</v>
      </c>
      <c r="R384" s="1">
        <v>80</v>
      </c>
      <c r="S384" s="1">
        <v>62</v>
      </c>
      <c r="T384" s="1">
        <v>0</v>
      </c>
      <c r="U384" s="16">
        <f>Games[[#This Row],[PointsFor]]-Games[[#This Row],[PointsAgainst]]</f>
        <v>18</v>
      </c>
      <c r="V384" s="16">
        <f>IF(Games[[#This Row],[MOV]]&gt;0,1,IF(Games[[#This Row],[MOV]]=0,0.5,0))</f>
        <v>1</v>
      </c>
      <c r="W384" s="4">
        <f>((ABS(Games[[#This Row],[MOV]])+5)^0.6)/(12+0.01*(ABS(Games[[#This Row],[PreGmRate]]-Games[[#This Row],[OppPreGmRate]])))*IF(Games[[#This Row],[OT]]=1,0.9,1)</f>
        <v>0.52935637541736691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4" s="9">
        <f>MAX(kmin, kmax - 0.15 * MIN(Games[[#This Row],[GamesPlayed]], 82))</f>
        <v>71.2</v>
      </c>
      <c r="Z384" s="4">
        <f>Games[[#This Row],[K]]*Games[[#This Row],[POMult]]</f>
        <v>71.2</v>
      </c>
      <c r="AA384" s="4">
        <f>(Games[[#This Row],[Keff]]*Games[[#This Row],[MOVMult]])*(Games[[#This Row],[Result]]-Games[[#This Row],[ExpectedWin%]])</f>
        <v>22.922505421041578</v>
      </c>
      <c r="AB384" s="4">
        <f>Games[[#This Row],[PreGmRate]]+Games[[#This Row],[RatingChange]]</f>
        <v>1407.109802686701</v>
      </c>
      <c r="AC384" s="2">
        <f>IF(Games[[#This Row],[Type]]="R",IF(Games[[#This Row],[Result]]&gt;0.5,1,0),0)</f>
        <v>1</v>
      </c>
      <c r="AD384" s="2">
        <f>IF(Games[[#This Row],[Type]]="R",IF(Games[[#This Row],[Result]]&lt;0.5,1,0),0)</f>
        <v>0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45536</v>
      </c>
      <c r="B385" s="2">
        <v>2024</v>
      </c>
      <c r="C385" s="2">
        <f>COUNTIFS(Games[Team],Games[[#This Row],[Team]],Games[Season],Games[[#This Row],[Season]],Games[Date],"&lt;=" &amp; Games[[#This Row],[Date]])</f>
        <v>32</v>
      </c>
      <c r="D385" s="2" t="s">
        <v>79</v>
      </c>
      <c r="E385" s="2" t="s">
        <v>80</v>
      </c>
      <c r="F385" s="1" t="s">
        <v>63</v>
      </c>
      <c r="G385" s="1" t="s">
        <v>77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2</v>
      </c>
      <c r="L385" s="2">
        <f>Games[[#This Row],[OppDaysOff]]-Games[[#This Row],[DaysOff]]</f>
        <v>-2</v>
      </c>
      <c r="M385" s="16">
        <f>MAX(-16, MIN(16, Games[[#This Row],[RestDiff]]*8))</f>
        <v>16</v>
      </c>
      <c r="N385" s="16">
        <f>MAX(-16, MIN(16, Games[[#This Row],[OppRestDiff]]*8))</f>
        <v>-16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1344.5673568536656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1384.1872972656595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0.60818253223736141</v>
      </c>
      <c r="R385" s="1">
        <v>62</v>
      </c>
      <c r="S385" s="1">
        <v>80</v>
      </c>
      <c r="T385" s="1">
        <v>0</v>
      </c>
      <c r="U385" s="16">
        <f>Games[[#This Row],[PointsFor]]-Games[[#This Row],[PointsAgainst]]</f>
        <v>-18</v>
      </c>
      <c r="V385" s="16">
        <f>IF(Games[[#This Row],[MOV]]&gt;0,1,IF(Games[[#This Row],[MOV]]=0,0.5,0))</f>
        <v>0</v>
      </c>
      <c r="W385" s="4">
        <f>((ABS(Games[[#This Row],[MOV]])+5)^0.6)/(12+0.01*(ABS(Games[[#This Row],[PreGmRate]]-Games[[#This Row],[OppPreGmRate]])))*IF(Games[[#This Row],[OT]]=1,0.9,1)</f>
        <v>0.52935637541736691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5" s="9">
        <f>MAX(kmin, kmax - 0.15 * MIN(Games[[#This Row],[GamesPlayed]], 82))</f>
        <v>71.2</v>
      </c>
      <c r="Z385" s="4">
        <f>Games[[#This Row],[K]]*Games[[#This Row],[POMult]]</f>
        <v>71.2</v>
      </c>
      <c r="AA385" s="4">
        <f>(Games[[#This Row],[Keff]]*Games[[#This Row],[MOVMult]])*(Games[[#This Row],[Result]]-Games[[#This Row],[ExpectedWin%]])</f>
        <v>-22.922505421041578</v>
      </c>
      <c r="AB385" s="4">
        <f>Games[[#This Row],[PreGmRate]]+Games[[#This Row],[RatingChange]]</f>
        <v>1321.6448514326241</v>
      </c>
      <c r="AC385" s="2">
        <f>IF(Games[[#This Row],[Type]]="R",IF(Games[[#This Row],[Result]]&gt;0.5,1,0),0)</f>
        <v>0</v>
      </c>
      <c r="AD385" s="2">
        <f>IF(Games[[#This Row],[Type]]="R",IF(Games[[#This Row],[Result]]&lt;0.5,1,0),0)</f>
        <v>1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45536</v>
      </c>
      <c r="B386" s="2">
        <v>2024</v>
      </c>
      <c r="C386" s="2">
        <f>COUNTIFS(Games[Team],Games[[#This Row],[Team]],Games[Season],Games[[#This Row],[Season]],Games[Date],"&lt;=" &amp; Games[[#This Row],[Date]])</f>
        <v>32</v>
      </c>
      <c r="D386" s="2" t="s">
        <v>79</v>
      </c>
      <c r="E386" s="2" t="s">
        <v>80</v>
      </c>
      <c r="F386" s="1" t="s">
        <v>75</v>
      </c>
      <c r="G386" s="1" t="s">
        <v>67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6" s="2">
        <f>Games[[#This Row],[DaysOff]]-Games[[#This Row],[OppDaysOff]]</f>
        <v>0</v>
      </c>
      <c r="L386" s="2">
        <f>Games[[#This Row],[OppDaysOff]]-Games[[#This Row],[DaysOff]]</f>
        <v>0</v>
      </c>
      <c r="M386" s="16">
        <f>MAX(-16, MIN(16, Games[[#This Row],[RestDiff]]*8))</f>
        <v>0</v>
      </c>
      <c r="N386" s="16">
        <f>MAX(-16, MIN(16, Games[[#This Row],[OppRestDiff]]*8))</f>
        <v>0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1402.7936674236842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1608.9627591014043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0.15837784526109569</v>
      </c>
      <c r="R386" s="1">
        <v>74</v>
      </c>
      <c r="S386" s="1">
        <v>79</v>
      </c>
      <c r="T386" s="1">
        <v>0</v>
      </c>
      <c r="U386" s="16">
        <f>Games[[#This Row],[PointsFor]]-Games[[#This Row],[PointsAgainst]]</f>
        <v>-5</v>
      </c>
      <c r="V386" s="16">
        <f>IF(Games[[#This Row],[MOV]]&gt;0,1,IF(Games[[#This Row],[MOV]]=0,0.5,0))</f>
        <v>0</v>
      </c>
      <c r="W386" s="4">
        <f>((ABS(Games[[#This Row],[MOV]])+5)^0.6)/(12+0.01*(ABS(Games[[#This Row],[PreGmRate]]-Games[[#This Row],[OppPreGmRate]])))*IF(Games[[#This Row],[OT]]=1,0.9,1)</f>
        <v>0.2831147213444366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6" s="9">
        <f>MAX(kmin, kmax - 0.15 * MIN(Games[[#This Row],[GamesPlayed]], 82))</f>
        <v>71.2</v>
      </c>
      <c r="Z386" s="4">
        <f>Games[[#This Row],[K]]*Games[[#This Row],[POMult]]</f>
        <v>71.2</v>
      </c>
      <c r="AA386" s="4">
        <f>(Games[[#This Row],[Keff]]*Games[[#This Row],[MOVMult]])*(Games[[#This Row],[Result]]-Games[[#This Row],[ExpectedWin%]])</f>
        <v>-3.1925438864097915</v>
      </c>
      <c r="AB386" s="4">
        <f>Games[[#This Row],[PreGmRate]]+Games[[#This Row],[RatingChange]]</f>
        <v>1399.6011235372744</v>
      </c>
      <c r="AC386" s="2">
        <f>IF(Games[[#This Row],[Type]]="R",IF(Games[[#This Row],[Result]]&gt;0.5,1,0),0)</f>
        <v>0</v>
      </c>
      <c r="AD386" s="2">
        <f>IF(Games[[#This Row],[Type]]="R",IF(Games[[#This Row],[Result]]&lt;0.5,1,0),0)</f>
        <v>1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45536</v>
      </c>
      <c r="B387" s="2">
        <v>2024</v>
      </c>
      <c r="C387" s="2">
        <f>COUNTIFS(Games[Team],Games[[#This Row],[Team]],Games[Season],Games[[#This Row],[Season]],Games[Date],"&lt;=" &amp; Games[[#This Row],[Date]])</f>
        <v>33</v>
      </c>
      <c r="D387" s="2" t="s">
        <v>79</v>
      </c>
      <c r="E387" s="2" t="s">
        <v>80</v>
      </c>
      <c r="F387" s="1" t="s">
        <v>67</v>
      </c>
      <c r="G387" s="1" t="s">
        <v>75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7" s="2">
        <f>Games[[#This Row],[DaysOff]]-Games[[#This Row],[OppDaysOff]]</f>
        <v>0</v>
      </c>
      <c r="L387" s="2">
        <f>Games[[#This Row],[OppDaysOff]]-Games[[#This Row],[DaysOff]]</f>
        <v>0</v>
      </c>
      <c r="M387" s="16">
        <f>MAX(-16, MIN(16, Games[[#This Row],[RestDiff]]*8))</f>
        <v>0</v>
      </c>
      <c r="N387" s="16">
        <f>MAX(-16, MIN(16, Games[[#This Row],[OppRestDiff]]*8))</f>
        <v>0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1608.9627591014043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1402.7936674236842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0.84162215473890423</v>
      </c>
      <c r="R387" s="1">
        <v>79</v>
      </c>
      <c r="S387" s="1">
        <v>74</v>
      </c>
      <c r="T387" s="1">
        <v>0</v>
      </c>
      <c r="U387" s="16">
        <f>Games[[#This Row],[PointsFor]]-Games[[#This Row],[PointsAgainst]]</f>
        <v>5</v>
      </c>
      <c r="V387" s="16">
        <f>IF(Games[[#This Row],[MOV]]&gt;0,1,IF(Games[[#This Row],[MOV]]=0,0.5,0))</f>
        <v>1</v>
      </c>
      <c r="W387" s="4">
        <f>((ABS(Games[[#This Row],[MOV]])+5)^0.6)/(12+0.01*(ABS(Games[[#This Row],[PreGmRate]]-Games[[#This Row],[OppPreGmRate]])))*IF(Games[[#This Row],[OT]]=1,0.9,1)</f>
        <v>0.2831147213444366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7" s="9">
        <f>MAX(kmin, kmax - 0.15 * MIN(Games[[#This Row],[GamesPlayed]], 82))</f>
        <v>71.05</v>
      </c>
      <c r="Z387" s="4">
        <f>Games[[#This Row],[K]]*Games[[#This Row],[POMult]]</f>
        <v>71.05</v>
      </c>
      <c r="AA387" s="4">
        <f>(Games[[#This Row],[Keff]]*Games[[#This Row],[MOVMult]])*(Games[[#This Row],[Result]]-Games[[#This Row],[ExpectedWin%]])</f>
        <v>3.1858180214805585</v>
      </c>
      <c r="AB387" s="4">
        <f>Games[[#This Row],[PreGmRate]]+Games[[#This Row],[RatingChange]]</f>
        <v>1612.1485771228849</v>
      </c>
      <c r="AC387" s="2">
        <f>IF(Games[[#This Row],[Type]]="R",IF(Games[[#This Row],[Result]]&gt;0.5,1,0),0)</f>
        <v>1</v>
      </c>
      <c r="AD387" s="2">
        <f>IF(Games[[#This Row],[Type]]="R",IF(Games[[#This Row],[Result]]&lt;0.5,1,0),0)</f>
        <v>0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45536</v>
      </c>
      <c r="B388" s="2">
        <v>2024</v>
      </c>
      <c r="C388" s="2">
        <f>COUNTIFS(Games[Team],Games[[#This Row],[Team]],Games[Season],Games[[#This Row],[Season]],Games[Date],"&lt;=" &amp; Games[[#This Row],[Date]])</f>
        <v>32</v>
      </c>
      <c r="D388" s="2" t="s">
        <v>79</v>
      </c>
      <c r="E388" s="2" t="s">
        <v>80</v>
      </c>
      <c r="F388" s="1" t="s">
        <v>86</v>
      </c>
      <c r="G388" s="1" t="s">
        <v>40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8" s="2">
        <f>Games[[#This Row],[DaysOff]]-Games[[#This Row],[OppDaysOff]]</f>
        <v>-2</v>
      </c>
      <c r="L388" s="2">
        <f>Games[[#This Row],[OppDaysOff]]-Games[[#This Row],[DaysOff]]</f>
        <v>2</v>
      </c>
      <c r="M388" s="16">
        <f>MAX(-16, MIN(16, Games[[#This Row],[RestDiff]]*8))</f>
        <v>-16</v>
      </c>
      <c r="N388" s="16">
        <f>MAX(-16, MIN(16, Games[[#This Row],[OppRestDiff]]*8))</f>
        <v>16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1590.9213705198179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1469.7867025014862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0.5073888433437217</v>
      </c>
      <c r="R388" s="1">
        <v>97</v>
      </c>
      <c r="S388" s="1">
        <v>79</v>
      </c>
      <c r="T388" s="1">
        <v>0</v>
      </c>
      <c r="U388" s="16">
        <f>Games[[#This Row],[PointsFor]]-Games[[#This Row],[PointsAgainst]]</f>
        <v>18</v>
      </c>
      <c r="V388" s="16">
        <f>IF(Games[[#This Row],[MOV]]&gt;0,1,IF(Games[[#This Row],[MOV]]=0,0.5,0))</f>
        <v>1</v>
      </c>
      <c r="W388" s="4">
        <f>((ABS(Games[[#This Row],[MOV]])+5)^0.6)/(12+0.01*(ABS(Games[[#This Row],[PreGmRate]]-Games[[#This Row],[OppPreGmRate]])))*IF(Games[[#This Row],[OT]]=1,0.9,1)</f>
        <v>0.49669479912738179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8" s="9">
        <f>MAX(kmin, kmax - 0.15 * MIN(Games[[#This Row],[GamesPlayed]], 82))</f>
        <v>71.2</v>
      </c>
      <c r="Z388" s="4">
        <f>Games[[#This Row],[K]]*Games[[#This Row],[POMult]]</f>
        <v>71.2</v>
      </c>
      <c r="AA388" s="4">
        <f>(Games[[#This Row],[Keff]]*Games[[#This Row],[MOVMult]])*(Games[[#This Row],[Result]]-Games[[#This Row],[ExpectedWin%]])</f>
        <v>17.421030844634775</v>
      </c>
      <c r="AB388" s="4">
        <f>Games[[#This Row],[PreGmRate]]+Games[[#This Row],[RatingChange]]</f>
        <v>1608.3424013644526</v>
      </c>
      <c r="AC388" s="2">
        <f>IF(Games[[#This Row],[Type]]="R",IF(Games[[#This Row],[Result]]&gt;0.5,1,0),0)</f>
        <v>1</v>
      </c>
      <c r="AD388" s="2">
        <f>IF(Games[[#This Row],[Type]]="R",IF(Games[[#This Row],[Result]]&lt;0.5,1,0),0)</f>
        <v>0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45536</v>
      </c>
      <c r="B389" s="2">
        <v>2024</v>
      </c>
      <c r="C389" s="2">
        <f>COUNTIFS(Games[Team],Games[[#This Row],[Team]],Games[Season],Games[[#This Row],[Season]],Games[Date],"&lt;=" &amp; Games[[#This Row],[Date]])</f>
        <v>33</v>
      </c>
      <c r="D389" s="2" t="s">
        <v>79</v>
      </c>
      <c r="E389" s="2" t="s">
        <v>80</v>
      </c>
      <c r="F389" s="1" t="s">
        <v>40</v>
      </c>
      <c r="G389" s="1" t="s">
        <v>86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9" s="2">
        <f>Games[[#This Row],[DaysOff]]-Games[[#This Row],[OppDaysOff]]</f>
        <v>2</v>
      </c>
      <c r="L389" s="2">
        <f>Games[[#This Row],[OppDaysOff]]-Games[[#This Row],[DaysOff]]</f>
        <v>-2</v>
      </c>
      <c r="M389" s="16">
        <f>MAX(-16, MIN(16, Games[[#This Row],[RestDiff]]*8))</f>
        <v>16</v>
      </c>
      <c r="N389" s="16">
        <f>MAX(-16, MIN(16, Games[[#This Row],[OppRestDiff]]*8))</f>
        <v>-16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1469.7867025014862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1590.9213705198179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0.49261115665627836</v>
      </c>
      <c r="R389" s="1">
        <v>79</v>
      </c>
      <c r="S389" s="1">
        <v>97</v>
      </c>
      <c r="T389" s="1">
        <v>0</v>
      </c>
      <c r="U389" s="16">
        <f>Games[[#This Row],[PointsFor]]-Games[[#This Row],[PointsAgainst]]</f>
        <v>-18</v>
      </c>
      <c r="V389" s="16">
        <f>IF(Games[[#This Row],[MOV]]&gt;0,1,IF(Games[[#This Row],[MOV]]=0,0.5,0))</f>
        <v>0</v>
      </c>
      <c r="W389" s="4">
        <f>((ABS(Games[[#This Row],[MOV]])+5)^0.6)/(12+0.01*(ABS(Games[[#This Row],[PreGmRate]]-Games[[#This Row],[OppPreGmRate]])))*IF(Games[[#This Row],[OT]]=1,0.9,1)</f>
        <v>0.49669479912738179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9" s="9">
        <f>MAX(kmin, kmax - 0.15 * MIN(Games[[#This Row],[GamesPlayed]], 82))</f>
        <v>71.05</v>
      </c>
      <c r="Z389" s="4">
        <f>Games[[#This Row],[K]]*Games[[#This Row],[POMult]]</f>
        <v>71.05</v>
      </c>
      <c r="AA389" s="4">
        <f>(Games[[#This Row],[Keff]]*Games[[#This Row],[MOVMult]])*(Games[[#This Row],[Result]]-Games[[#This Row],[ExpectedWin%]])</f>
        <v>-17.384329234709277</v>
      </c>
      <c r="AB389" s="4">
        <f>Games[[#This Row],[PreGmRate]]+Games[[#This Row],[RatingChange]]</f>
        <v>1452.402373266777</v>
      </c>
      <c r="AC389" s="2">
        <f>IF(Games[[#This Row],[Type]]="R",IF(Games[[#This Row],[Result]]&gt;0.5,1,0),0)</f>
        <v>0</v>
      </c>
      <c r="AD389" s="2">
        <f>IF(Games[[#This Row],[Type]]="R",IF(Games[[#This Row],[Result]]&lt;0.5,1,0),0)</f>
        <v>1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45538</v>
      </c>
      <c r="B390" s="2">
        <v>2024</v>
      </c>
      <c r="C390" s="2">
        <f>COUNTIFS(Games[Team],Games[[#This Row],[Team]],Games[Season],Games[[#This Row],[Season]],Games[Date],"&lt;=" &amp; Games[[#This Row],[Date]])</f>
        <v>33</v>
      </c>
      <c r="D390" s="2" t="s">
        <v>79</v>
      </c>
      <c r="E390" s="2" t="s">
        <v>80</v>
      </c>
      <c r="F390" s="1" t="s">
        <v>71</v>
      </c>
      <c r="G390" s="1" t="s">
        <v>74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0" s="2">
        <f>Games[[#This Row],[DaysOff]]-Games[[#This Row],[OppDaysOff]]</f>
        <v>0</v>
      </c>
      <c r="L390" s="2">
        <f>Games[[#This Row],[OppDaysOff]]-Games[[#This Row],[DaysOff]]</f>
        <v>0</v>
      </c>
      <c r="M390" s="16">
        <f>MAX(-16, MIN(16, Games[[#This Row],[RestDiff]]*8))</f>
        <v>0</v>
      </c>
      <c r="N390" s="16">
        <f>MAX(-16, MIN(16, Games[[#This Row],[OppRestDiff]]*8))</f>
        <v>0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1525.9549433272127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1638.2297672404761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0.24418902217045907</v>
      </c>
      <c r="R390" s="1">
        <v>71</v>
      </c>
      <c r="S390" s="1">
        <v>64</v>
      </c>
      <c r="T390" s="1">
        <v>0</v>
      </c>
      <c r="U390" s="16">
        <f>Games[[#This Row],[PointsFor]]-Games[[#This Row],[PointsAgainst]]</f>
        <v>7</v>
      </c>
      <c r="V390" s="16">
        <f>IF(Games[[#This Row],[MOV]]&gt;0,1,IF(Games[[#This Row],[MOV]]=0,0.5,0))</f>
        <v>1</v>
      </c>
      <c r="W390" s="4">
        <f>((ABS(Games[[#This Row],[MOV]])+5)^0.6)/(12+0.01*(ABS(Games[[#This Row],[PreGmRate]]-Games[[#This Row],[OppPreGmRate]])))*IF(Games[[#This Row],[OT]]=1,0.9,1)</f>
        <v>0.33844176455368719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0" s="9">
        <f>MAX(kmin, kmax - 0.15 * MIN(Games[[#This Row],[GamesPlayed]], 82))</f>
        <v>71.05</v>
      </c>
      <c r="Z390" s="4">
        <f>Games[[#This Row],[K]]*Games[[#This Row],[POMult]]</f>
        <v>71.05</v>
      </c>
      <c r="AA390" s="4">
        <f>(Games[[#This Row],[Keff]]*Games[[#This Row],[MOVMult]])*(Games[[#This Row],[Result]]-Games[[#This Row],[ExpectedWin%]])</f>
        <v>18.174447971453393</v>
      </c>
      <c r="AB390" s="4">
        <f>Games[[#This Row],[PreGmRate]]+Games[[#This Row],[RatingChange]]</f>
        <v>1544.1293912986662</v>
      </c>
      <c r="AC390" s="2">
        <f>IF(Games[[#This Row],[Type]]="R",IF(Games[[#This Row],[Result]]&gt;0.5,1,0),0)</f>
        <v>1</v>
      </c>
      <c r="AD390" s="2">
        <f>IF(Games[[#This Row],[Type]]="R",IF(Games[[#This Row],[Result]]&lt;0.5,1,0),0)</f>
        <v>0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45538</v>
      </c>
      <c r="B391" s="2">
        <v>2024</v>
      </c>
      <c r="C391" s="2">
        <f>COUNTIFS(Games[Team],Games[[#This Row],[Team]],Games[Season],Games[[#This Row],[Season]],Games[Date],"&lt;=" &amp; Games[[#This Row],[Date]])</f>
        <v>33</v>
      </c>
      <c r="D391" s="2" t="s">
        <v>79</v>
      </c>
      <c r="E391" s="2" t="s">
        <v>80</v>
      </c>
      <c r="F391" s="1" t="s">
        <v>74</v>
      </c>
      <c r="G391" s="1" t="s">
        <v>71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1" s="2">
        <f>Games[[#This Row],[DaysOff]]-Games[[#This Row],[OppDaysOff]]</f>
        <v>0</v>
      </c>
      <c r="L391" s="2">
        <f>Games[[#This Row],[OppDaysOff]]-Games[[#This Row],[DaysOff]]</f>
        <v>0</v>
      </c>
      <c r="M391" s="16">
        <f>MAX(-16, MIN(16, Games[[#This Row],[RestDiff]]*8))</f>
        <v>0</v>
      </c>
      <c r="N391" s="16">
        <f>MAX(-16, MIN(16, Games[[#This Row],[OppRestDiff]]*8))</f>
        <v>0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1638.2297672404761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1525.9549433272127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0.75581097782954088</v>
      </c>
      <c r="R391" s="1">
        <v>64</v>
      </c>
      <c r="S391" s="1">
        <v>71</v>
      </c>
      <c r="T391" s="1">
        <v>0</v>
      </c>
      <c r="U391" s="16">
        <f>Games[[#This Row],[PointsFor]]-Games[[#This Row],[PointsAgainst]]</f>
        <v>-7</v>
      </c>
      <c r="V391" s="16">
        <f>IF(Games[[#This Row],[MOV]]&gt;0,1,IF(Games[[#This Row],[MOV]]=0,0.5,0))</f>
        <v>0</v>
      </c>
      <c r="W391" s="4">
        <f>((ABS(Games[[#This Row],[MOV]])+5)^0.6)/(12+0.01*(ABS(Games[[#This Row],[PreGmRate]]-Games[[#This Row],[OppPreGmRate]])))*IF(Games[[#This Row],[OT]]=1,0.9,1)</f>
        <v>0.33844176455368719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1" s="9">
        <f>MAX(kmin, kmax - 0.15 * MIN(Games[[#This Row],[GamesPlayed]], 82))</f>
        <v>71.05</v>
      </c>
      <c r="Z391" s="4">
        <f>Games[[#This Row],[K]]*Games[[#This Row],[POMult]]</f>
        <v>71.05</v>
      </c>
      <c r="AA391" s="4">
        <f>(Games[[#This Row],[Keff]]*Games[[#This Row],[MOVMult]])*(Games[[#This Row],[Result]]-Games[[#This Row],[ExpectedWin%]])</f>
        <v>-18.17444797145339</v>
      </c>
      <c r="AB391" s="4">
        <f>Games[[#This Row],[PreGmRate]]+Games[[#This Row],[RatingChange]]</f>
        <v>1620.0553192690227</v>
      </c>
      <c r="AC391" s="2">
        <f>IF(Games[[#This Row],[Type]]="R",IF(Games[[#This Row],[Result]]&gt;0.5,1,0),0)</f>
        <v>0</v>
      </c>
      <c r="AD391" s="2">
        <f>IF(Games[[#This Row],[Type]]="R",IF(Games[[#This Row],[Result]]&lt;0.5,1,0),0)</f>
        <v>1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45538</v>
      </c>
      <c r="B392" s="2">
        <v>2024</v>
      </c>
      <c r="C392" s="2">
        <f>COUNTIFS(Games[Team],Games[[#This Row],[Team]],Games[Season],Games[[#This Row],[Season]],Games[Date],"&lt;=" &amp; Games[[#This Row],[Date]])</f>
        <v>33</v>
      </c>
      <c r="D392" s="2" t="s">
        <v>79</v>
      </c>
      <c r="E392" s="2" t="s">
        <v>80</v>
      </c>
      <c r="F392" s="1" t="s">
        <v>65</v>
      </c>
      <c r="G392" s="1" t="s">
        <v>85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2" s="2">
        <f>Games[[#This Row],[DaysOff]]-Games[[#This Row],[OppDaysOff]]</f>
        <v>1</v>
      </c>
      <c r="L392" s="2">
        <f>Games[[#This Row],[OppDaysOff]]-Games[[#This Row],[DaysOff]]</f>
        <v>-1</v>
      </c>
      <c r="M392" s="16">
        <f>MAX(-16, MIN(16, Games[[#This Row],[RestDiff]]*8))</f>
        <v>8</v>
      </c>
      <c r="N392" s="16">
        <f>MAX(-16, MIN(16, Games[[#This Row],[OppRestDiff]]*8))</f>
        <v>-8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1398.9076103796774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1388.6452024581588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0.41766546471038629</v>
      </c>
      <c r="R392" s="1">
        <v>90</v>
      </c>
      <c r="S392" s="1">
        <v>86</v>
      </c>
      <c r="T392" s="1">
        <v>0</v>
      </c>
      <c r="U392" s="16">
        <f>Games[[#This Row],[PointsFor]]-Games[[#This Row],[PointsAgainst]]</f>
        <v>4</v>
      </c>
      <c r="V392" s="16">
        <f>IF(Games[[#This Row],[MOV]]&gt;0,1,IF(Games[[#This Row],[MOV]]=0,0.5,0))</f>
        <v>1</v>
      </c>
      <c r="W392" s="4">
        <f>((ABS(Games[[#This Row],[MOV]])+5)^0.6)/(12+0.01*(ABS(Games[[#This Row],[PreGmRate]]-Games[[#This Row],[OppPreGmRate]])))*IF(Games[[#This Row],[OT]]=1,0.9,1)</f>
        <v>0.30879194415901384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2" s="9">
        <f>MAX(kmin, kmax - 0.15 * MIN(Games[[#This Row],[GamesPlayed]], 82))</f>
        <v>71.05</v>
      </c>
      <c r="Z392" s="4">
        <f>Games[[#This Row],[K]]*Games[[#This Row],[POMult]]</f>
        <v>71.05</v>
      </c>
      <c r="AA392" s="4">
        <f>(Games[[#This Row],[Keff]]*Games[[#This Row],[MOVMult]])*(Games[[#This Row],[Result]]-Games[[#This Row],[ExpectedWin%]])</f>
        <v>12.776226155179263</v>
      </c>
      <c r="AB392" s="4">
        <f>Games[[#This Row],[PreGmRate]]+Games[[#This Row],[RatingChange]]</f>
        <v>1411.6838365348567</v>
      </c>
      <c r="AC392" s="2">
        <f>IF(Games[[#This Row],[Type]]="R",IF(Games[[#This Row],[Result]]&gt;0.5,1,0),0)</f>
        <v>1</v>
      </c>
      <c r="AD392" s="2">
        <f>IF(Games[[#This Row],[Type]]="R",IF(Games[[#This Row],[Result]]&lt;0.5,1,0),0)</f>
        <v>0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45538</v>
      </c>
      <c r="B393" s="2">
        <v>2024</v>
      </c>
      <c r="C393" s="2">
        <f>COUNTIFS(Games[Team],Games[[#This Row],[Team]],Games[Season],Games[[#This Row],[Season]],Games[Date],"&lt;=" &amp; Games[[#This Row],[Date]])</f>
        <v>33</v>
      </c>
      <c r="D393" s="2" t="s">
        <v>79</v>
      </c>
      <c r="E393" s="2" t="s">
        <v>80</v>
      </c>
      <c r="F393" s="1" t="s">
        <v>85</v>
      </c>
      <c r="G393" s="1" t="s">
        <v>65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3" s="2">
        <f>Games[[#This Row],[DaysOff]]-Games[[#This Row],[OppDaysOff]]</f>
        <v>-1</v>
      </c>
      <c r="L393" s="2">
        <f>Games[[#This Row],[OppDaysOff]]-Games[[#This Row],[DaysOff]]</f>
        <v>1</v>
      </c>
      <c r="M393" s="16">
        <f>MAX(-16, MIN(16, Games[[#This Row],[RestDiff]]*8))</f>
        <v>-8</v>
      </c>
      <c r="N393" s="16">
        <f>MAX(-16, MIN(16, Games[[#This Row],[OppRestDiff]]*8))</f>
        <v>8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1388.6452024581588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1398.9076103796774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0.58233453528961376</v>
      </c>
      <c r="R393" s="1">
        <v>86</v>
      </c>
      <c r="S393" s="1">
        <v>90</v>
      </c>
      <c r="T393" s="1">
        <v>0</v>
      </c>
      <c r="U393" s="16">
        <f>Games[[#This Row],[PointsFor]]-Games[[#This Row],[PointsAgainst]]</f>
        <v>-4</v>
      </c>
      <c r="V393" s="16">
        <f>IF(Games[[#This Row],[MOV]]&gt;0,1,IF(Games[[#This Row],[MOV]]=0,0.5,0))</f>
        <v>0</v>
      </c>
      <c r="W393" s="4">
        <f>((ABS(Games[[#This Row],[MOV]])+5)^0.6)/(12+0.01*(ABS(Games[[#This Row],[PreGmRate]]-Games[[#This Row],[OppPreGmRate]])))*IF(Games[[#This Row],[OT]]=1,0.9,1)</f>
        <v>0.30879194415901384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3" s="9">
        <f>MAX(kmin, kmax - 0.15 * MIN(Games[[#This Row],[GamesPlayed]], 82))</f>
        <v>71.05</v>
      </c>
      <c r="Z393" s="4">
        <f>Games[[#This Row],[K]]*Games[[#This Row],[POMult]]</f>
        <v>71.05</v>
      </c>
      <c r="AA393" s="4">
        <f>(Games[[#This Row],[Keff]]*Games[[#This Row],[MOVMult]])*(Games[[#This Row],[Result]]-Games[[#This Row],[ExpectedWin%]])</f>
        <v>-12.776226155179264</v>
      </c>
      <c r="AB393" s="4">
        <f>Games[[#This Row],[PreGmRate]]+Games[[#This Row],[RatingChange]]</f>
        <v>1375.8689763029795</v>
      </c>
      <c r="AC393" s="2">
        <f>IF(Games[[#This Row],[Type]]="R",IF(Games[[#This Row],[Result]]&gt;0.5,1,0),0)</f>
        <v>0</v>
      </c>
      <c r="AD393" s="2">
        <f>IF(Games[[#This Row],[Type]]="R",IF(Games[[#This Row],[Result]]&lt;0.5,1,0),0)</f>
        <v>1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45538</v>
      </c>
      <c r="B394" s="2">
        <v>2024</v>
      </c>
      <c r="C394" s="2">
        <f>COUNTIFS(Games[Team],Games[[#This Row],[Team]],Games[Season],Games[[#This Row],[Season]],Games[Date],"&lt;=" &amp; Games[[#This Row],[Date]])</f>
        <v>33</v>
      </c>
      <c r="D394" s="2" t="s">
        <v>79</v>
      </c>
      <c r="E394" s="2" t="s">
        <v>80</v>
      </c>
      <c r="F394" s="1" t="s">
        <v>75</v>
      </c>
      <c r="G394" s="1" t="s">
        <v>86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4" s="2">
        <f>Games[[#This Row],[DaysOff]]-Games[[#This Row],[OppDaysOff]]</f>
        <v>0</v>
      </c>
      <c r="L394" s="2">
        <f>Games[[#This Row],[OppDaysOff]]-Games[[#This Row],[DaysOff]]</f>
        <v>0</v>
      </c>
      <c r="M394" s="16">
        <f>MAX(-16, MIN(16, Games[[#This Row],[RestDiff]]*8))</f>
        <v>0</v>
      </c>
      <c r="N394" s="16">
        <f>MAX(-16, MIN(16, Games[[#This Row],[OppRestDiff]]*8))</f>
        <v>0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1399.6011235372744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1608.3424013644526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0.15641416608124048</v>
      </c>
      <c r="R394" s="1">
        <v>71</v>
      </c>
      <c r="S394" s="1">
        <v>90</v>
      </c>
      <c r="T394" s="1">
        <v>0</v>
      </c>
      <c r="U394" s="16">
        <f>Games[[#This Row],[PointsFor]]-Games[[#This Row],[PointsAgainst]]</f>
        <v>-19</v>
      </c>
      <c r="V394" s="16">
        <f>IF(Games[[#This Row],[MOV]]&gt;0,1,IF(Games[[#This Row],[MOV]]=0,0.5,0))</f>
        <v>0</v>
      </c>
      <c r="W394" s="4">
        <f>((ABS(Games[[#This Row],[MOV]])+5)^0.6)/(12+0.01*(ABS(Games[[#This Row],[PreGmRate]]-Games[[#This Row],[OppPreGmRate]])))*IF(Games[[#This Row],[OT]]=1,0.9,1)</f>
        <v>0.47785430714858579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4" s="9">
        <f>MAX(kmin, kmax - 0.15 * MIN(Games[[#This Row],[GamesPlayed]], 82))</f>
        <v>71.05</v>
      </c>
      <c r="Z394" s="4">
        <f>Games[[#This Row],[K]]*Games[[#This Row],[POMult]]</f>
        <v>71.05</v>
      </c>
      <c r="AA394" s="4">
        <f>(Games[[#This Row],[Keff]]*Games[[#This Row],[MOVMult]])*(Games[[#This Row],[Result]]-Games[[#This Row],[ExpectedWin%]])</f>
        <v>-5.310503149377273</v>
      </c>
      <c r="AB394" s="4">
        <f>Games[[#This Row],[PreGmRate]]+Games[[#This Row],[RatingChange]]</f>
        <v>1394.290620387897</v>
      </c>
      <c r="AC394" s="2">
        <f>IF(Games[[#This Row],[Type]]="R",IF(Games[[#This Row],[Result]]&gt;0.5,1,0),0)</f>
        <v>0</v>
      </c>
      <c r="AD394" s="2">
        <f>IF(Games[[#This Row],[Type]]="R",IF(Games[[#This Row],[Result]]&lt;0.5,1,0),0)</f>
        <v>1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45538</v>
      </c>
      <c r="B395" s="2">
        <v>2024</v>
      </c>
      <c r="C395" s="2">
        <f>COUNTIFS(Games[Team],Games[[#This Row],[Team]],Games[Season],Games[[#This Row],[Season]],Games[Date],"&lt;=" &amp; Games[[#This Row],[Date]])</f>
        <v>33</v>
      </c>
      <c r="D395" s="2" t="s">
        <v>79</v>
      </c>
      <c r="E395" s="2" t="s">
        <v>80</v>
      </c>
      <c r="F395" s="1" t="s">
        <v>86</v>
      </c>
      <c r="G395" s="1" t="s">
        <v>75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5" s="2">
        <f>Games[[#This Row],[DaysOff]]-Games[[#This Row],[OppDaysOff]]</f>
        <v>0</v>
      </c>
      <c r="L395" s="2">
        <f>Games[[#This Row],[OppDaysOff]]-Games[[#This Row],[DaysOff]]</f>
        <v>0</v>
      </c>
      <c r="M395" s="16">
        <f>MAX(-16, MIN(16, Games[[#This Row],[RestDiff]]*8))</f>
        <v>0</v>
      </c>
      <c r="N395" s="16">
        <f>MAX(-16, MIN(16, Games[[#This Row],[OppRestDiff]]*8))</f>
        <v>0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1608.3424013644526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1399.6011235372744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0.84358583391875952</v>
      </c>
      <c r="R395" s="1">
        <v>90</v>
      </c>
      <c r="S395" s="1">
        <v>71</v>
      </c>
      <c r="T395" s="1">
        <v>0</v>
      </c>
      <c r="U395" s="16">
        <f>Games[[#This Row],[PointsFor]]-Games[[#This Row],[PointsAgainst]]</f>
        <v>19</v>
      </c>
      <c r="V395" s="16">
        <f>IF(Games[[#This Row],[MOV]]&gt;0,1,IF(Games[[#This Row],[MOV]]=0,0.5,0))</f>
        <v>1</v>
      </c>
      <c r="W395" s="4">
        <f>((ABS(Games[[#This Row],[MOV]])+5)^0.6)/(12+0.01*(ABS(Games[[#This Row],[PreGmRate]]-Games[[#This Row],[OppPreGmRate]])))*IF(Games[[#This Row],[OT]]=1,0.9,1)</f>
        <v>0.47785430714858579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5" s="9">
        <f>MAX(kmin, kmax - 0.15 * MIN(Games[[#This Row],[GamesPlayed]], 82))</f>
        <v>71.05</v>
      </c>
      <c r="Z395" s="4">
        <f>Games[[#This Row],[K]]*Games[[#This Row],[POMult]]</f>
        <v>71.05</v>
      </c>
      <c r="AA395" s="4">
        <f>(Games[[#This Row],[Keff]]*Games[[#This Row],[MOVMult]])*(Games[[#This Row],[Result]]-Games[[#This Row],[ExpectedWin%]])</f>
        <v>5.310503149377273</v>
      </c>
      <c r="AB395" s="4">
        <f>Games[[#This Row],[PreGmRate]]+Games[[#This Row],[RatingChange]]</f>
        <v>1613.65290451383</v>
      </c>
      <c r="AC395" s="2">
        <f>IF(Games[[#This Row],[Type]]="R",IF(Games[[#This Row],[Result]]&gt;0.5,1,0),0)</f>
        <v>1</v>
      </c>
      <c r="AD395" s="2">
        <f>IF(Games[[#This Row],[Type]]="R",IF(Games[[#This Row],[Result]]&lt;0.5,1,0),0)</f>
        <v>0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45538</v>
      </c>
      <c r="B396" s="2">
        <v>2024</v>
      </c>
      <c r="C396" s="2">
        <f>COUNTIFS(Games[Team],Games[[#This Row],[Team]],Games[Season],Games[[#This Row],[Season]],Games[Date],"&lt;=" &amp; Games[[#This Row],[Date]])</f>
        <v>33</v>
      </c>
      <c r="D396" s="2" t="s">
        <v>79</v>
      </c>
      <c r="E396" s="2" t="s">
        <v>80</v>
      </c>
      <c r="F396" s="1" t="s">
        <v>77</v>
      </c>
      <c r="G396" s="1" t="s">
        <v>40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6" s="2">
        <f>Games[[#This Row],[DaysOff]]-Games[[#This Row],[OppDaysOff]]</f>
        <v>0</v>
      </c>
      <c r="L396" s="2">
        <f>Games[[#This Row],[OppDaysOff]]-Games[[#This Row],[DaysOff]]</f>
        <v>0</v>
      </c>
      <c r="M396" s="16">
        <f>MAX(-16, MIN(16, Games[[#This Row],[RestDiff]]*8))</f>
        <v>0</v>
      </c>
      <c r="N396" s="16">
        <f>MAX(-16, MIN(16, Games[[#This Row],[OppRestDiff]]*8))</f>
        <v>0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1407.109802686701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1452.402373266777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0.32207158524845036</v>
      </c>
      <c r="R396" s="1">
        <v>66</v>
      </c>
      <c r="S396" s="1">
        <v>74</v>
      </c>
      <c r="T396" s="1">
        <v>0</v>
      </c>
      <c r="U396" s="16">
        <f>Games[[#This Row],[PointsFor]]-Games[[#This Row],[PointsAgainst]]</f>
        <v>-8</v>
      </c>
      <c r="V396" s="16">
        <f>IF(Games[[#This Row],[MOV]]&gt;0,1,IF(Games[[#This Row],[MOV]]=0,0.5,0))</f>
        <v>0</v>
      </c>
      <c r="W396" s="4">
        <f>((ABS(Games[[#This Row],[MOV]])+5)^0.6)/(12+0.01*(ABS(Games[[#This Row],[PreGmRate]]-Games[[#This Row],[OppPreGmRate]])))*IF(Games[[#This Row],[OT]]=1,0.9,1)</f>
        <v>0.37419209992278901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6" s="9">
        <f>MAX(kmin, kmax - 0.15 * MIN(Games[[#This Row],[GamesPlayed]], 82))</f>
        <v>71.05</v>
      </c>
      <c r="Z396" s="4">
        <f>Games[[#This Row],[K]]*Games[[#This Row],[POMult]]</f>
        <v>71.05</v>
      </c>
      <c r="AA396" s="4">
        <f>(Games[[#This Row],[Keff]]*Games[[#This Row],[MOVMult]])*(Games[[#This Row],[Result]]-Games[[#This Row],[ExpectedWin%]])</f>
        <v>-8.5627074716206018</v>
      </c>
      <c r="AB396" s="4">
        <f>Games[[#This Row],[PreGmRate]]+Games[[#This Row],[RatingChange]]</f>
        <v>1398.5470952150804</v>
      </c>
      <c r="AC396" s="2">
        <f>IF(Games[[#This Row],[Type]]="R",IF(Games[[#This Row],[Result]]&gt;0.5,1,0),0)</f>
        <v>0</v>
      </c>
      <c r="AD396" s="2">
        <f>IF(Games[[#This Row],[Type]]="R",IF(Games[[#This Row],[Result]]&lt;0.5,1,0),0)</f>
        <v>1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45538</v>
      </c>
      <c r="B397" s="2">
        <v>2024</v>
      </c>
      <c r="C397" s="2">
        <f>COUNTIFS(Games[Team],Games[[#This Row],[Team]],Games[Season],Games[[#This Row],[Season]],Games[Date],"&lt;=" &amp; Games[[#This Row],[Date]])</f>
        <v>34</v>
      </c>
      <c r="D397" s="2" t="s">
        <v>79</v>
      </c>
      <c r="E397" s="2" t="s">
        <v>80</v>
      </c>
      <c r="F397" s="1" t="s">
        <v>40</v>
      </c>
      <c r="G397" s="1" t="s">
        <v>77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7" s="2">
        <f>Games[[#This Row],[DaysOff]]-Games[[#This Row],[OppDaysOff]]</f>
        <v>0</v>
      </c>
      <c r="L397" s="2">
        <f>Games[[#This Row],[OppDaysOff]]-Games[[#This Row],[DaysOff]]</f>
        <v>0</v>
      </c>
      <c r="M397" s="16">
        <f>MAX(-16, MIN(16, Games[[#This Row],[RestDiff]]*8))</f>
        <v>0</v>
      </c>
      <c r="N397" s="16">
        <f>MAX(-16, MIN(16, Games[[#This Row],[OppRestDiff]]*8))</f>
        <v>0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1452.402373266777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1407.109802686701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0.67792841475154964</v>
      </c>
      <c r="R397" s="1">
        <v>74</v>
      </c>
      <c r="S397" s="1">
        <v>66</v>
      </c>
      <c r="T397" s="1">
        <v>0</v>
      </c>
      <c r="U397" s="16">
        <f>Games[[#This Row],[PointsFor]]-Games[[#This Row],[PointsAgainst]]</f>
        <v>8</v>
      </c>
      <c r="V397" s="16">
        <f>IF(Games[[#This Row],[MOV]]&gt;0,1,IF(Games[[#This Row],[MOV]]=0,0.5,0))</f>
        <v>1</v>
      </c>
      <c r="W397" s="4">
        <f>((ABS(Games[[#This Row],[MOV]])+5)^0.6)/(12+0.01*(ABS(Games[[#This Row],[PreGmRate]]-Games[[#This Row],[OppPreGmRate]])))*IF(Games[[#This Row],[OT]]=1,0.9,1)</f>
        <v>0.37419209992278901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7" s="9">
        <f>MAX(kmin, kmax - 0.15 * MIN(Games[[#This Row],[GamesPlayed]], 82))</f>
        <v>70.900000000000006</v>
      </c>
      <c r="Z397" s="4">
        <f>Games[[#This Row],[K]]*Games[[#This Row],[POMult]]</f>
        <v>70.900000000000006</v>
      </c>
      <c r="AA397" s="4">
        <f>(Games[[#This Row],[Keff]]*Games[[#This Row],[MOVMult]])*(Games[[#This Row],[Result]]-Games[[#This Row],[ExpectedWin%]])</f>
        <v>8.5446299751991663</v>
      </c>
      <c r="AB397" s="4">
        <f>Games[[#This Row],[PreGmRate]]+Games[[#This Row],[RatingChange]]</f>
        <v>1460.9470032419761</v>
      </c>
      <c r="AC397" s="2">
        <f>IF(Games[[#This Row],[Type]]="R",IF(Games[[#This Row],[Result]]&gt;0.5,1,0),0)</f>
        <v>1</v>
      </c>
      <c r="AD397" s="2">
        <f>IF(Games[[#This Row],[Type]]="R",IF(Games[[#This Row],[Result]]&lt;0.5,1,0),0)</f>
        <v>0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45539</v>
      </c>
      <c r="B398" s="2">
        <v>2024</v>
      </c>
      <c r="C398" s="2">
        <f>COUNTIFS(Games[Team],Games[[#This Row],[Team]],Games[Season],Games[[#This Row],[Season]],Games[Date],"&lt;=" &amp; Games[[#This Row],[Date]])</f>
        <v>33</v>
      </c>
      <c r="D398" s="2" t="s">
        <v>79</v>
      </c>
      <c r="E398" s="2" t="s">
        <v>80</v>
      </c>
      <c r="F398" s="1" t="s">
        <v>63</v>
      </c>
      <c r="G398" s="1" t="s">
        <v>69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8" s="2">
        <f>Games[[#This Row],[DaysOff]]-Games[[#This Row],[OppDaysOff]]</f>
        <v>0</v>
      </c>
      <c r="L398" s="2">
        <f>Games[[#This Row],[OppDaysOff]]-Games[[#This Row],[DaysOff]]</f>
        <v>0</v>
      </c>
      <c r="M398" s="16">
        <f>MAX(-16, MIN(16, Games[[#This Row],[RestDiff]]*8))</f>
        <v>0</v>
      </c>
      <c r="N398" s="16">
        <f>MAX(-16, MIN(16, Games[[#This Row],[OppRestDiff]]*8))</f>
        <v>0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1321.6448514326241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1525.2267497669141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0.1603731229676213</v>
      </c>
      <c r="R398" s="1">
        <v>86</v>
      </c>
      <c r="S398" s="1">
        <v>93</v>
      </c>
      <c r="T398" s="1">
        <v>0</v>
      </c>
      <c r="U398" s="16">
        <f>Games[[#This Row],[PointsFor]]-Games[[#This Row],[PointsAgainst]]</f>
        <v>-7</v>
      </c>
      <c r="V398" s="16">
        <f>IF(Games[[#This Row],[MOV]]&gt;0,1,IF(Games[[#This Row],[MOV]]=0,0.5,0))</f>
        <v>0</v>
      </c>
      <c r="W398" s="4">
        <f>((ABS(Games[[#This Row],[MOV]])+5)^0.6)/(12+0.01*(ABS(Games[[#This Row],[PreGmRate]]-Games[[#This Row],[OppPreGmRate]])))*IF(Games[[#This Row],[OT]]=1,0.9,1)</f>
        <v>0.31642514591535881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8" s="9">
        <f>MAX(kmin, kmax - 0.15 * MIN(Games[[#This Row],[GamesPlayed]], 82))</f>
        <v>71.05</v>
      </c>
      <c r="Z398" s="4">
        <f>Games[[#This Row],[K]]*Games[[#This Row],[POMult]]</f>
        <v>71.05</v>
      </c>
      <c r="AA398" s="4">
        <f>(Games[[#This Row],[Keff]]*Games[[#This Row],[MOVMult]])*(Games[[#This Row],[Result]]-Games[[#This Row],[ExpectedWin%]])</f>
        <v>-3.6055096117929222</v>
      </c>
      <c r="AB398" s="4">
        <f>Games[[#This Row],[PreGmRate]]+Games[[#This Row],[RatingChange]]</f>
        <v>1318.0393418208312</v>
      </c>
      <c r="AC398" s="2">
        <f>IF(Games[[#This Row],[Type]]="R",IF(Games[[#This Row],[Result]]&gt;0.5,1,0),0)</f>
        <v>0</v>
      </c>
      <c r="AD398" s="2">
        <f>IF(Games[[#This Row],[Type]]="R",IF(Games[[#This Row],[Result]]&lt;0.5,1,0),0)</f>
        <v>1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45539</v>
      </c>
      <c r="B399" s="2">
        <v>2024</v>
      </c>
      <c r="C399" s="2">
        <f>COUNTIFS(Games[Team],Games[[#This Row],[Team]],Games[Season],Games[[#This Row],[Season]],Games[Date],"&lt;=" &amp; Games[[#This Row],[Date]])</f>
        <v>34</v>
      </c>
      <c r="D399" s="2" t="s">
        <v>79</v>
      </c>
      <c r="E399" s="2" t="s">
        <v>80</v>
      </c>
      <c r="F399" s="1" t="s">
        <v>69</v>
      </c>
      <c r="G399" s="1" t="s">
        <v>63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9" s="2">
        <f>Games[[#This Row],[DaysOff]]-Games[[#This Row],[OppDaysOff]]</f>
        <v>0</v>
      </c>
      <c r="L399" s="2">
        <f>Games[[#This Row],[OppDaysOff]]-Games[[#This Row],[DaysOff]]</f>
        <v>0</v>
      </c>
      <c r="M399" s="16">
        <f>MAX(-16, MIN(16, Games[[#This Row],[RestDiff]]*8))</f>
        <v>0</v>
      </c>
      <c r="N399" s="16">
        <f>MAX(-16, MIN(16, Games[[#This Row],[OppRestDiff]]*8))</f>
        <v>0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1525.2267497669141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1321.6448514326241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0.83962687703237859</v>
      </c>
      <c r="R399" s="1">
        <v>93</v>
      </c>
      <c r="S399" s="1">
        <v>86</v>
      </c>
      <c r="T399" s="1">
        <v>0</v>
      </c>
      <c r="U399" s="16">
        <f>Games[[#This Row],[PointsFor]]-Games[[#This Row],[PointsAgainst]]</f>
        <v>7</v>
      </c>
      <c r="V399" s="16">
        <f>IF(Games[[#This Row],[MOV]]&gt;0,1,IF(Games[[#This Row],[MOV]]=0,0.5,0))</f>
        <v>1</v>
      </c>
      <c r="W399" s="4">
        <f>((ABS(Games[[#This Row],[MOV]])+5)^0.6)/(12+0.01*(ABS(Games[[#This Row],[PreGmRate]]-Games[[#This Row],[OppPreGmRate]])))*IF(Games[[#This Row],[OT]]=1,0.9,1)</f>
        <v>0.31642514591535881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9" s="9">
        <f>MAX(kmin, kmax - 0.15 * MIN(Games[[#This Row],[GamesPlayed]], 82))</f>
        <v>70.900000000000006</v>
      </c>
      <c r="Z399" s="4">
        <f>Games[[#This Row],[K]]*Games[[#This Row],[POMult]]</f>
        <v>70.900000000000006</v>
      </c>
      <c r="AA399" s="4">
        <f>(Games[[#This Row],[Keff]]*Games[[#This Row],[MOVMult]])*(Games[[#This Row],[Result]]-Games[[#This Row],[ExpectedWin%]])</f>
        <v>3.5978976984675355</v>
      </c>
      <c r="AB399" s="4">
        <f>Games[[#This Row],[PreGmRate]]+Games[[#This Row],[RatingChange]]</f>
        <v>1528.8246474653815</v>
      </c>
      <c r="AC399" s="2">
        <f>IF(Games[[#This Row],[Type]]="R",IF(Games[[#This Row],[Result]]&gt;0.5,1,0),0)</f>
        <v>1</v>
      </c>
      <c r="AD399" s="2">
        <f>IF(Games[[#This Row],[Type]]="R",IF(Games[[#This Row],[Result]]&lt;0.5,1,0),0)</f>
        <v>0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45540</v>
      </c>
      <c r="B400" s="2">
        <v>2024</v>
      </c>
      <c r="C400" s="2">
        <f>COUNTIFS(Games[Team],Games[[#This Row],[Team]],Games[Season],Games[[#This Row],[Season]],Games[Date],"&lt;=" &amp; Games[[#This Row],[Date]])</f>
        <v>34</v>
      </c>
      <c r="D400" s="2" t="s">
        <v>79</v>
      </c>
      <c r="E400" s="2" t="s">
        <v>80</v>
      </c>
      <c r="F400" s="1" t="s">
        <v>71</v>
      </c>
      <c r="G400" s="1" t="s">
        <v>60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00" s="2">
        <f>Games[[#This Row],[DaysOff]]-Games[[#This Row],[OppDaysOff]]</f>
        <v>-4</v>
      </c>
      <c r="L400" s="2">
        <f>Games[[#This Row],[OppDaysOff]]-Games[[#This Row],[DaysOff]]</f>
        <v>4</v>
      </c>
      <c r="M400" s="16">
        <f>MAX(-16, MIN(16, Games[[#This Row],[RestDiff]]*8))</f>
        <v>-16</v>
      </c>
      <c r="N400" s="16">
        <f>MAX(-16, MIN(16, Games[[#This Row],[OppRestDiff]]*8))</f>
        <v>16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1544.1293912986662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1721.0062342570341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0.15631122408027617</v>
      </c>
      <c r="R400" s="1">
        <v>70</v>
      </c>
      <c r="S400" s="1">
        <v>77</v>
      </c>
      <c r="T400" s="1">
        <v>0</v>
      </c>
      <c r="U400" s="16">
        <f>Games[[#This Row],[PointsFor]]-Games[[#This Row],[PointsAgainst]]</f>
        <v>-7</v>
      </c>
      <c r="V400" s="16">
        <f>IF(Games[[#This Row],[MOV]]&gt;0,1,IF(Games[[#This Row],[MOV]]=0,0.5,0))</f>
        <v>0</v>
      </c>
      <c r="W400" s="4">
        <f>((ABS(Games[[#This Row],[MOV]])+5)^0.6)/(12+0.01*(ABS(Games[[#This Row],[PreGmRate]]-Games[[#This Row],[OppPreGmRate]])))*IF(Games[[#This Row],[OT]]=1,0.9,1)</f>
        <v>0.3225623331933784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0" s="9">
        <f>MAX(kmin, kmax - 0.15 * MIN(Games[[#This Row],[GamesPlayed]], 82))</f>
        <v>70.900000000000006</v>
      </c>
      <c r="Z400" s="4">
        <f>Games[[#This Row],[K]]*Games[[#This Row],[POMult]]</f>
        <v>70.900000000000006</v>
      </c>
      <c r="AA400" s="4">
        <f>(Games[[#This Row],[Keff]]*Games[[#This Row],[MOVMult]])*(Games[[#This Row],[Result]]-Games[[#This Row],[ExpectedWin%]])</f>
        <v>-3.574786021884564</v>
      </c>
      <c r="AB400" s="4">
        <f>Games[[#This Row],[PreGmRate]]+Games[[#This Row],[RatingChange]]</f>
        <v>1540.5546052767816</v>
      </c>
      <c r="AC400" s="2">
        <f>IF(Games[[#This Row],[Type]]="R",IF(Games[[#This Row],[Result]]&gt;0.5,1,0),0)</f>
        <v>0</v>
      </c>
      <c r="AD400" s="2">
        <f>IF(Games[[#This Row],[Type]]="R",IF(Games[[#This Row],[Result]]&lt;0.5,1,0),0)</f>
        <v>1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45540</v>
      </c>
      <c r="B401" s="2">
        <v>2024</v>
      </c>
      <c r="C401" s="2">
        <f>COUNTIFS(Games[Team],Games[[#This Row],[Team]],Games[Season],Games[[#This Row],[Season]],Games[Date],"&lt;=" &amp; Games[[#This Row],[Date]])</f>
        <v>34</v>
      </c>
      <c r="D401" s="2" t="s">
        <v>79</v>
      </c>
      <c r="E401" s="2" t="s">
        <v>80</v>
      </c>
      <c r="F401" s="1" t="s">
        <v>60</v>
      </c>
      <c r="G401" s="1" t="s">
        <v>71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5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1" s="2">
        <f>Games[[#This Row],[DaysOff]]-Games[[#This Row],[OppDaysOff]]</f>
        <v>4</v>
      </c>
      <c r="L401" s="2">
        <f>Games[[#This Row],[OppDaysOff]]-Games[[#This Row],[DaysOff]]</f>
        <v>-4</v>
      </c>
      <c r="M401" s="16">
        <f>MAX(-16, MIN(16, Games[[#This Row],[RestDiff]]*8))</f>
        <v>16</v>
      </c>
      <c r="N401" s="16">
        <f>MAX(-16, MIN(16, Games[[#This Row],[OppRestDiff]]*8))</f>
        <v>-16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1721.0062342570341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1544.1293912986662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0.8436887759197238</v>
      </c>
      <c r="R401" s="1">
        <v>77</v>
      </c>
      <c r="S401" s="1">
        <v>70</v>
      </c>
      <c r="T401" s="1">
        <v>0</v>
      </c>
      <c r="U401" s="16">
        <f>Games[[#This Row],[PointsFor]]-Games[[#This Row],[PointsAgainst]]</f>
        <v>7</v>
      </c>
      <c r="V401" s="16">
        <f>IF(Games[[#This Row],[MOV]]&gt;0,1,IF(Games[[#This Row],[MOV]]=0,0.5,0))</f>
        <v>1</v>
      </c>
      <c r="W401" s="4">
        <f>((ABS(Games[[#This Row],[MOV]])+5)^0.6)/(12+0.01*(ABS(Games[[#This Row],[PreGmRate]]-Games[[#This Row],[OppPreGmRate]])))*IF(Games[[#This Row],[OT]]=1,0.9,1)</f>
        <v>0.3225623331933784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1" s="9">
        <f>MAX(kmin, kmax - 0.15 * MIN(Games[[#This Row],[GamesPlayed]], 82))</f>
        <v>70.900000000000006</v>
      </c>
      <c r="Z401" s="4">
        <f>Games[[#This Row],[K]]*Games[[#This Row],[POMult]]</f>
        <v>70.900000000000006</v>
      </c>
      <c r="AA401" s="4">
        <f>(Games[[#This Row],[Keff]]*Games[[#This Row],[MOVMult]])*(Games[[#This Row],[Result]]-Games[[#This Row],[ExpectedWin%]])</f>
        <v>3.5747860218845644</v>
      </c>
      <c r="AB401" s="4">
        <f>Games[[#This Row],[PreGmRate]]+Games[[#This Row],[RatingChange]]</f>
        <v>1724.5810202789187</v>
      </c>
      <c r="AC401" s="2">
        <f>IF(Games[[#This Row],[Type]]="R",IF(Games[[#This Row],[Result]]&gt;0.5,1,0),0)</f>
        <v>1</v>
      </c>
      <c r="AD401" s="2">
        <f>IF(Games[[#This Row],[Type]]="R",IF(Games[[#This Row],[Result]]&lt;0.5,1,0),0)</f>
        <v>0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45540</v>
      </c>
      <c r="B402" s="2">
        <v>2024</v>
      </c>
      <c r="C402" s="2">
        <f>COUNTIFS(Games[Team],Games[[#This Row],[Team]],Games[Season],Games[[#This Row],[Season]],Games[Date],"&lt;=" &amp; Games[[#This Row],[Date]])</f>
        <v>34</v>
      </c>
      <c r="D402" s="2" t="s">
        <v>79</v>
      </c>
      <c r="E402" s="2" t="s">
        <v>80</v>
      </c>
      <c r="F402" s="1" t="s">
        <v>65</v>
      </c>
      <c r="G402" s="1" t="s">
        <v>40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2" s="2">
        <f>Games[[#This Row],[DaysOff]]-Games[[#This Row],[OppDaysOff]]</f>
        <v>0</v>
      </c>
      <c r="L402" s="2">
        <f>Games[[#This Row],[OppDaysOff]]-Games[[#This Row],[DaysOff]]</f>
        <v>0</v>
      </c>
      <c r="M402" s="16">
        <f>MAX(-16, MIN(16, Games[[#This Row],[RestDiff]]*8))</f>
        <v>0</v>
      </c>
      <c r="N402" s="16">
        <f>MAX(-16, MIN(16, Games[[#This Row],[OppRestDiff]]*8))</f>
        <v>0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1411.6838365348567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1460.9470032419761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0.31710147288496926</v>
      </c>
      <c r="R402" s="1">
        <v>90</v>
      </c>
      <c r="S402" s="1">
        <v>77</v>
      </c>
      <c r="T402" s="1">
        <v>0</v>
      </c>
      <c r="U402" s="16">
        <f>Games[[#This Row],[PointsFor]]-Games[[#This Row],[PointsAgainst]]</f>
        <v>13</v>
      </c>
      <c r="V402" s="16">
        <f>IF(Games[[#This Row],[MOV]]&gt;0,1,IF(Games[[#This Row],[MOV]]=0,0.5,0))</f>
        <v>1</v>
      </c>
      <c r="W402" s="4">
        <f>((ABS(Games[[#This Row],[MOV]])+5)^0.6)/(12+0.01*(ABS(Games[[#This Row],[PreGmRate]]-Games[[#This Row],[OppPreGmRate]])))*IF(Games[[#This Row],[OT]]=1,0.9,1)</f>
        <v>0.45342928685717165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2" s="9">
        <f>MAX(kmin, kmax - 0.15 * MIN(Games[[#This Row],[GamesPlayed]], 82))</f>
        <v>70.900000000000006</v>
      </c>
      <c r="Z402" s="4">
        <f>Games[[#This Row],[K]]*Games[[#This Row],[POMult]]</f>
        <v>70.900000000000006</v>
      </c>
      <c r="AA402" s="4">
        <f>(Games[[#This Row],[Keff]]*Games[[#This Row],[MOVMult]])*(Games[[#This Row],[Result]]-Games[[#This Row],[ExpectedWin%]])</f>
        <v>21.953915023121716</v>
      </c>
      <c r="AB402" s="4">
        <f>Games[[#This Row],[PreGmRate]]+Games[[#This Row],[RatingChange]]</f>
        <v>1433.6377515579784</v>
      </c>
      <c r="AC402" s="2">
        <f>IF(Games[[#This Row],[Type]]="R",IF(Games[[#This Row],[Result]]&gt;0.5,1,0),0)</f>
        <v>1</v>
      </c>
      <c r="AD402" s="2">
        <f>IF(Games[[#This Row],[Type]]="R",IF(Games[[#This Row],[Result]]&lt;0.5,1,0),0)</f>
        <v>0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45540</v>
      </c>
      <c r="B403" s="2">
        <v>2024</v>
      </c>
      <c r="C403" s="2">
        <f>COUNTIFS(Games[Team],Games[[#This Row],[Team]],Games[Season],Games[[#This Row],[Season]],Games[Date],"&lt;=" &amp; Games[[#This Row],[Date]])</f>
        <v>35</v>
      </c>
      <c r="D403" s="2" t="s">
        <v>79</v>
      </c>
      <c r="E403" s="2" t="s">
        <v>80</v>
      </c>
      <c r="F403" s="1" t="s">
        <v>40</v>
      </c>
      <c r="G403" s="1" t="s">
        <v>65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3" s="2">
        <f>Games[[#This Row],[DaysOff]]-Games[[#This Row],[OppDaysOff]]</f>
        <v>0</v>
      </c>
      <c r="L403" s="2">
        <f>Games[[#This Row],[OppDaysOff]]-Games[[#This Row],[DaysOff]]</f>
        <v>0</v>
      </c>
      <c r="M403" s="16">
        <f>MAX(-16, MIN(16, Games[[#This Row],[RestDiff]]*8))</f>
        <v>0</v>
      </c>
      <c r="N403" s="16">
        <f>MAX(-16, MIN(16, Games[[#This Row],[OppRestDiff]]*8))</f>
        <v>0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1460.9470032419761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1411.6838365348567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0.68289852711503085</v>
      </c>
      <c r="R403" s="1">
        <v>77</v>
      </c>
      <c r="S403" s="1">
        <v>90</v>
      </c>
      <c r="T403" s="1">
        <v>0</v>
      </c>
      <c r="U403" s="16">
        <f>Games[[#This Row],[PointsFor]]-Games[[#This Row],[PointsAgainst]]</f>
        <v>-13</v>
      </c>
      <c r="V403" s="16">
        <f>IF(Games[[#This Row],[MOV]]&gt;0,1,IF(Games[[#This Row],[MOV]]=0,0.5,0))</f>
        <v>0</v>
      </c>
      <c r="W403" s="4">
        <f>((ABS(Games[[#This Row],[MOV]])+5)^0.6)/(12+0.01*(ABS(Games[[#This Row],[PreGmRate]]-Games[[#This Row],[OppPreGmRate]])))*IF(Games[[#This Row],[OT]]=1,0.9,1)</f>
        <v>0.45342928685717165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3" s="9">
        <f>MAX(kmin, kmax - 0.15 * MIN(Games[[#This Row],[GamesPlayed]], 82))</f>
        <v>70.75</v>
      </c>
      <c r="Z403" s="4">
        <f>Games[[#This Row],[K]]*Games[[#This Row],[POMult]]</f>
        <v>70.75</v>
      </c>
      <c r="AA403" s="4">
        <f>(Games[[#This Row],[Keff]]*Games[[#This Row],[MOVMult]])*(Games[[#This Row],[Result]]-Games[[#This Row],[ExpectedWin%]])</f>
        <v>-21.90746809429988</v>
      </c>
      <c r="AB403" s="4">
        <f>Games[[#This Row],[PreGmRate]]+Games[[#This Row],[RatingChange]]</f>
        <v>1439.0395351476761</v>
      </c>
      <c r="AC403" s="2">
        <f>IF(Games[[#This Row],[Type]]="R",IF(Games[[#This Row],[Result]]&gt;0.5,1,0),0)</f>
        <v>0</v>
      </c>
      <c r="AD403" s="2">
        <f>IF(Games[[#This Row],[Type]]="R",IF(Games[[#This Row],[Result]]&lt;0.5,1,0),0)</f>
        <v>1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45541</v>
      </c>
      <c r="B404" s="2">
        <v>2024</v>
      </c>
      <c r="C404" s="2">
        <f>COUNTIFS(Games[Team],Games[[#This Row],[Team]],Games[Season],Games[[#This Row],[Season]],Games[Date],"&lt;=" &amp; Games[[#This Row],[Date]])</f>
        <v>34</v>
      </c>
      <c r="D404" s="2" t="s">
        <v>79</v>
      </c>
      <c r="E404" s="2" t="s">
        <v>80</v>
      </c>
      <c r="F404" s="1" t="s">
        <v>85</v>
      </c>
      <c r="G404" s="1" t="s">
        <v>77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4" s="2">
        <f>Games[[#This Row],[DaysOff]]-Games[[#This Row],[OppDaysOff]]</f>
        <v>0</v>
      </c>
      <c r="L404" s="2">
        <f>Games[[#This Row],[OppDaysOff]]-Games[[#This Row],[DaysOff]]</f>
        <v>0</v>
      </c>
      <c r="M404" s="16">
        <f>MAX(-16, MIN(16, Games[[#This Row],[RestDiff]]*8))</f>
        <v>0</v>
      </c>
      <c r="N404" s="16">
        <f>MAX(-16, MIN(16, Games[[#This Row],[OppRestDiff]]*8))</f>
        <v>0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1375.8689763029795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1398.5470952150804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0.35112709446351659</v>
      </c>
      <c r="R404" s="1">
        <v>96</v>
      </c>
      <c r="S404" s="1">
        <v>107</v>
      </c>
      <c r="T404" s="1">
        <v>1</v>
      </c>
      <c r="U404" s="16">
        <f>Games[[#This Row],[PointsFor]]-Games[[#This Row],[PointsAgainst]]</f>
        <v>-11</v>
      </c>
      <c r="V404" s="16">
        <f>IF(Games[[#This Row],[MOV]]&gt;0,1,IF(Games[[#This Row],[MOV]]=0,0.5,0))</f>
        <v>0</v>
      </c>
      <c r="W404" s="4">
        <f>((ABS(Games[[#This Row],[MOV]])+5)^0.6)/(12+0.01*(ABS(Games[[#This Row],[PreGmRate]]-Games[[#This Row],[OppPreGmRate]])))*IF(Games[[#This Row],[OT]]=1,0.9,1)</f>
        <v>0.38851014059276839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4" s="9">
        <f>MAX(kmin, kmax - 0.15 * MIN(Games[[#This Row],[GamesPlayed]], 82))</f>
        <v>70.900000000000006</v>
      </c>
      <c r="Z404" s="4">
        <f>Games[[#This Row],[K]]*Games[[#This Row],[POMult]]</f>
        <v>70.900000000000006</v>
      </c>
      <c r="AA404" s="4">
        <f>(Games[[#This Row],[Keff]]*Games[[#This Row],[MOVMult]])*(Games[[#This Row],[Result]]-Games[[#This Row],[ExpectedWin%]])</f>
        <v>-9.6719253716689337</v>
      </c>
      <c r="AB404" s="4">
        <f>Games[[#This Row],[PreGmRate]]+Games[[#This Row],[RatingChange]]</f>
        <v>1366.1970509313105</v>
      </c>
      <c r="AC404" s="2">
        <f>IF(Games[[#This Row],[Type]]="R",IF(Games[[#This Row],[Result]]&gt;0.5,1,0),0)</f>
        <v>0</v>
      </c>
      <c r="AD404" s="2">
        <f>IF(Games[[#This Row],[Type]]="R",IF(Games[[#This Row],[Result]]&lt;0.5,1,0),0)</f>
        <v>1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45541</v>
      </c>
      <c r="B405" s="2">
        <v>2024</v>
      </c>
      <c r="C405" s="2">
        <f>COUNTIFS(Games[Team],Games[[#This Row],[Team]],Games[Season],Games[[#This Row],[Season]],Games[Date],"&lt;=" &amp; Games[[#This Row],[Date]])</f>
        <v>34</v>
      </c>
      <c r="D405" s="2" t="s">
        <v>79</v>
      </c>
      <c r="E405" s="2" t="s">
        <v>80</v>
      </c>
      <c r="F405" s="1" t="s">
        <v>77</v>
      </c>
      <c r="G405" s="1" t="s">
        <v>85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5" s="2">
        <f>Games[[#This Row],[DaysOff]]-Games[[#This Row],[OppDaysOff]]</f>
        <v>0</v>
      </c>
      <c r="L405" s="2">
        <f>Games[[#This Row],[OppDaysOff]]-Games[[#This Row],[DaysOff]]</f>
        <v>0</v>
      </c>
      <c r="M405" s="16">
        <f>MAX(-16, MIN(16, Games[[#This Row],[RestDiff]]*8))</f>
        <v>0</v>
      </c>
      <c r="N405" s="16">
        <f>MAX(-16, MIN(16, Games[[#This Row],[OppRestDiff]]*8))</f>
        <v>0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1398.5470952150804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1375.8689763029795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0.64887290553648347</v>
      </c>
      <c r="R405" s="1">
        <v>107</v>
      </c>
      <c r="S405" s="1">
        <v>96</v>
      </c>
      <c r="T405" s="1">
        <v>1</v>
      </c>
      <c r="U405" s="16">
        <f>Games[[#This Row],[PointsFor]]-Games[[#This Row],[PointsAgainst]]</f>
        <v>11</v>
      </c>
      <c r="V405" s="16">
        <f>IF(Games[[#This Row],[MOV]]&gt;0,1,IF(Games[[#This Row],[MOV]]=0,0.5,0))</f>
        <v>1</v>
      </c>
      <c r="W405" s="4">
        <f>((ABS(Games[[#This Row],[MOV]])+5)^0.6)/(12+0.01*(ABS(Games[[#This Row],[PreGmRate]]-Games[[#This Row],[OppPreGmRate]])))*IF(Games[[#This Row],[OT]]=1,0.9,1)</f>
        <v>0.38851014059276839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5" s="9">
        <f>MAX(kmin, kmax - 0.15 * MIN(Games[[#This Row],[GamesPlayed]], 82))</f>
        <v>70.900000000000006</v>
      </c>
      <c r="Z405" s="4">
        <f>Games[[#This Row],[K]]*Games[[#This Row],[POMult]]</f>
        <v>70.900000000000006</v>
      </c>
      <c r="AA405" s="4">
        <f>(Games[[#This Row],[Keff]]*Games[[#This Row],[MOVMult]])*(Games[[#This Row],[Result]]-Games[[#This Row],[ExpectedWin%]])</f>
        <v>9.671925371668932</v>
      </c>
      <c r="AB405" s="4">
        <f>Games[[#This Row],[PreGmRate]]+Games[[#This Row],[RatingChange]]</f>
        <v>1408.2190205867494</v>
      </c>
      <c r="AC405" s="2">
        <f>IF(Games[[#This Row],[Type]]="R",IF(Games[[#This Row],[Result]]&gt;0.5,1,0),0)</f>
        <v>1</v>
      </c>
      <c r="AD405" s="2">
        <f>IF(Games[[#This Row],[Type]]="R",IF(Games[[#This Row],[Result]]&lt;0.5,1,0),0)</f>
        <v>0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45541</v>
      </c>
      <c r="B406" s="2">
        <v>2024</v>
      </c>
      <c r="C406" s="2">
        <f>COUNTIFS(Games[Team],Games[[#This Row],[Team]],Games[Season],Games[[#This Row],[Season]],Games[Date],"&lt;=" &amp; Games[[#This Row],[Date]])</f>
        <v>34</v>
      </c>
      <c r="D406" s="2" t="s">
        <v>79</v>
      </c>
      <c r="E406" s="2" t="s">
        <v>80</v>
      </c>
      <c r="F406" s="1" t="s">
        <v>63</v>
      </c>
      <c r="G406" s="1" t="s">
        <v>75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6" s="2">
        <f>Games[[#This Row],[DaysOff]]-Games[[#This Row],[OppDaysOff]]</f>
        <v>-1</v>
      </c>
      <c r="L406" s="2">
        <f>Games[[#This Row],[OppDaysOff]]-Games[[#This Row],[DaysOff]]</f>
        <v>1</v>
      </c>
      <c r="M406" s="16">
        <f>MAX(-16, MIN(16, Games[[#This Row],[RestDiff]]*8))</f>
        <v>-8</v>
      </c>
      <c r="N406" s="16">
        <f>MAX(-16, MIN(16, Games[[#This Row],[OppRestDiff]]*8))</f>
        <v>8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1318.0393418208312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1394.290620387897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0.26608372965381599</v>
      </c>
      <c r="R406" s="1">
        <v>78</v>
      </c>
      <c r="S406" s="1">
        <v>92</v>
      </c>
      <c r="T406" s="1">
        <v>0</v>
      </c>
      <c r="U406" s="16">
        <f>Games[[#This Row],[PointsFor]]-Games[[#This Row],[PointsAgainst]]</f>
        <v>-14</v>
      </c>
      <c r="V406" s="16">
        <f>IF(Games[[#This Row],[MOV]]&gt;0,1,IF(Games[[#This Row],[MOV]]=0,0.5,0))</f>
        <v>0</v>
      </c>
      <c r="W406" s="4">
        <f>((ABS(Games[[#This Row],[MOV]])+5)^0.6)/(12+0.01*(ABS(Games[[#This Row],[PreGmRate]]-Games[[#This Row],[OppPreGmRate]])))*IF(Games[[#This Row],[OT]]=1,0.9,1)</f>
        <v>0.45847532854022799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6" s="9">
        <f>MAX(kmin, kmax - 0.15 * MIN(Games[[#This Row],[GamesPlayed]], 82))</f>
        <v>70.900000000000006</v>
      </c>
      <c r="Z406" s="4">
        <f>Games[[#This Row],[K]]*Games[[#This Row],[POMult]]</f>
        <v>70.900000000000006</v>
      </c>
      <c r="AA406" s="4">
        <f>(Games[[#This Row],[Keff]]*Games[[#This Row],[MOVMult]])*(Games[[#This Row],[Result]]-Games[[#This Row],[ExpectedWin%]])</f>
        <v>-8.6492913188919918</v>
      </c>
      <c r="AB406" s="4">
        <f>Games[[#This Row],[PreGmRate]]+Games[[#This Row],[RatingChange]]</f>
        <v>1309.3900505019392</v>
      </c>
      <c r="AC406" s="2">
        <f>IF(Games[[#This Row],[Type]]="R",IF(Games[[#This Row],[Result]]&gt;0.5,1,0),0)</f>
        <v>0</v>
      </c>
      <c r="AD406" s="2">
        <f>IF(Games[[#This Row],[Type]]="R",IF(Games[[#This Row],[Result]]&lt;0.5,1,0),0)</f>
        <v>1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45541</v>
      </c>
      <c r="B407" s="2">
        <v>2024</v>
      </c>
      <c r="C407" s="2">
        <f>COUNTIFS(Games[Team],Games[[#This Row],[Team]],Games[Season],Games[[#This Row],[Season]],Games[Date],"&lt;=" &amp; Games[[#This Row],[Date]])</f>
        <v>34</v>
      </c>
      <c r="D407" s="2" t="s">
        <v>79</v>
      </c>
      <c r="E407" s="2" t="s">
        <v>80</v>
      </c>
      <c r="F407" s="1" t="s">
        <v>75</v>
      </c>
      <c r="G407" s="1" t="s">
        <v>63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7" s="2">
        <f>Games[[#This Row],[DaysOff]]-Games[[#This Row],[OppDaysOff]]</f>
        <v>1</v>
      </c>
      <c r="L407" s="2">
        <f>Games[[#This Row],[OppDaysOff]]-Games[[#This Row],[DaysOff]]</f>
        <v>-1</v>
      </c>
      <c r="M407" s="16">
        <f>MAX(-16, MIN(16, Games[[#This Row],[RestDiff]]*8))</f>
        <v>8</v>
      </c>
      <c r="N407" s="16">
        <f>MAX(-16, MIN(16, Games[[#This Row],[OppRestDiff]]*8))</f>
        <v>-8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1394.290620387897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1318.0393418208312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0.73391627034618401</v>
      </c>
      <c r="R407" s="1">
        <v>92</v>
      </c>
      <c r="S407" s="1">
        <v>78</v>
      </c>
      <c r="T407" s="1">
        <v>0</v>
      </c>
      <c r="U407" s="16">
        <f>Games[[#This Row],[PointsFor]]-Games[[#This Row],[PointsAgainst]]</f>
        <v>14</v>
      </c>
      <c r="V407" s="16">
        <f>IF(Games[[#This Row],[MOV]]&gt;0,1,IF(Games[[#This Row],[MOV]]=0,0.5,0))</f>
        <v>1</v>
      </c>
      <c r="W407" s="4">
        <f>((ABS(Games[[#This Row],[MOV]])+5)^0.6)/(12+0.01*(ABS(Games[[#This Row],[PreGmRate]]-Games[[#This Row],[OppPreGmRate]])))*IF(Games[[#This Row],[OT]]=1,0.9,1)</f>
        <v>0.45847532854022799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7" s="9">
        <f>MAX(kmin, kmax - 0.15 * MIN(Games[[#This Row],[GamesPlayed]], 82))</f>
        <v>70.900000000000006</v>
      </c>
      <c r="Z407" s="4">
        <f>Games[[#This Row],[K]]*Games[[#This Row],[POMult]]</f>
        <v>70.900000000000006</v>
      </c>
      <c r="AA407" s="4">
        <f>(Games[[#This Row],[Keff]]*Games[[#This Row],[MOVMult]])*(Games[[#This Row],[Result]]-Games[[#This Row],[ExpectedWin%]])</f>
        <v>8.6492913188919918</v>
      </c>
      <c r="AB407" s="4">
        <f>Games[[#This Row],[PreGmRate]]+Games[[#This Row],[RatingChange]]</f>
        <v>1402.939911706789</v>
      </c>
      <c r="AC407" s="2">
        <f>IF(Games[[#This Row],[Type]]="R",IF(Games[[#This Row],[Result]]&gt;0.5,1,0),0)</f>
        <v>1</v>
      </c>
      <c r="AD407" s="2">
        <f>IF(Games[[#This Row],[Type]]="R",IF(Games[[#This Row],[Result]]&lt;0.5,1,0),0)</f>
        <v>0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45541</v>
      </c>
      <c r="B408" s="2">
        <v>2024</v>
      </c>
      <c r="C408" s="2">
        <f>COUNTIFS(Games[Team],Games[[#This Row],[Team]],Games[Season],Games[[#This Row],[Season]],Games[Date],"&lt;=" &amp; Games[[#This Row],[Date]])</f>
        <v>34</v>
      </c>
      <c r="D408" s="2" t="s">
        <v>79</v>
      </c>
      <c r="E408" s="2" t="s">
        <v>80</v>
      </c>
      <c r="F408" s="1" t="s">
        <v>86</v>
      </c>
      <c r="G408" s="1" t="s">
        <v>74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8" s="2">
        <f>Games[[#This Row],[DaysOff]]-Games[[#This Row],[OppDaysOff]]</f>
        <v>0</v>
      </c>
      <c r="L408" s="2">
        <f>Games[[#This Row],[OppDaysOff]]-Games[[#This Row],[DaysOff]]</f>
        <v>0</v>
      </c>
      <c r="M408" s="16">
        <f>MAX(-16, MIN(16, Games[[#This Row],[RestDiff]]*8))</f>
        <v>0</v>
      </c>
      <c r="N408" s="16">
        <f>MAX(-16, MIN(16, Games[[#This Row],[OppRestDiff]]*8))</f>
        <v>0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1613.65290451383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1620.0553192690227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0.37275914194826504</v>
      </c>
      <c r="R408" s="1">
        <v>72</v>
      </c>
      <c r="S408" s="1">
        <v>67</v>
      </c>
      <c r="T408" s="1">
        <v>0</v>
      </c>
      <c r="U408" s="16">
        <f>Games[[#This Row],[PointsFor]]-Games[[#This Row],[PointsAgainst]]</f>
        <v>5</v>
      </c>
      <c r="V408" s="16">
        <f>IF(Games[[#This Row],[MOV]]&gt;0,1,IF(Games[[#This Row],[MOV]]=0,0.5,0))</f>
        <v>1</v>
      </c>
      <c r="W408" s="4">
        <f>((ABS(Games[[#This Row],[MOV]])+5)^0.6)/(12+0.01*(ABS(Games[[#This Row],[PreGmRate]]-Games[[#This Row],[OppPreGmRate]])))*IF(Games[[#This Row],[OT]]=1,0.9,1)</f>
        <v>0.32999533628609534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8" s="9">
        <f>MAX(kmin, kmax - 0.15 * MIN(Games[[#This Row],[GamesPlayed]], 82))</f>
        <v>70.900000000000006</v>
      </c>
      <c r="Z408" s="4">
        <f>Games[[#This Row],[K]]*Games[[#This Row],[POMult]]</f>
        <v>70.900000000000006</v>
      </c>
      <c r="AA408" s="4">
        <f>(Games[[#This Row],[Keff]]*Games[[#This Row],[MOVMult]])*(Games[[#This Row],[Result]]-Games[[#This Row],[ExpectedWin%]])</f>
        <v>14.675346954057938</v>
      </c>
      <c r="AB408" s="4">
        <f>Games[[#This Row],[PreGmRate]]+Games[[#This Row],[RatingChange]]</f>
        <v>1628.3282514678879</v>
      </c>
      <c r="AC408" s="2">
        <f>IF(Games[[#This Row],[Type]]="R",IF(Games[[#This Row],[Result]]&gt;0.5,1,0),0)</f>
        <v>1</v>
      </c>
      <c r="AD408" s="2">
        <f>IF(Games[[#This Row],[Type]]="R",IF(Games[[#This Row],[Result]]&lt;0.5,1,0),0)</f>
        <v>0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45541</v>
      </c>
      <c r="B409" s="2">
        <v>2024</v>
      </c>
      <c r="C409" s="2">
        <f>COUNTIFS(Games[Team],Games[[#This Row],[Team]],Games[Season],Games[[#This Row],[Season]],Games[Date],"&lt;=" &amp; Games[[#This Row],[Date]])</f>
        <v>34</v>
      </c>
      <c r="D409" s="2" t="s">
        <v>79</v>
      </c>
      <c r="E409" s="2" t="s">
        <v>80</v>
      </c>
      <c r="F409" s="1" t="s">
        <v>74</v>
      </c>
      <c r="G409" s="1" t="s">
        <v>86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9" s="2">
        <f>Games[[#This Row],[DaysOff]]-Games[[#This Row],[OppDaysOff]]</f>
        <v>0</v>
      </c>
      <c r="L409" s="2">
        <f>Games[[#This Row],[OppDaysOff]]-Games[[#This Row],[DaysOff]]</f>
        <v>0</v>
      </c>
      <c r="M409" s="16">
        <f>MAX(-16, MIN(16, Games[[#This Row],[RestDiff]]*8))</f>
        <v>0</v>
      </c>
      <c r="N409" s="16">
        <f>MAX(-16, MIN(16, Games[[#This Row],[OppRestDiff]]*8))</f>
        <v>0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1620.0553192690227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1613.65290451383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0.62724085805173502</v>
      </c>
      <c r="R409" s="1">
        <v>67</v>
      </c>
      <c r="S409" s="1">
        <v>72</v>
      </c>
      <c r="T409" s="1">
        <v>0</v>
      </c>
      <c r="U409" s="16">
        <f>Games[[#This Row],[PointsFor]]-Games[[#This Row],[PointsAgainst]]</f>
        <v>-5</v>
      </c>
      <c r="V409" s="16">
        <f>IF(Games[[#This Row],[MOV]]&gt;0,1,IF(Games[[#This Row],[MOV]]=0,0.5,0))</f>
        <v>0</v>
      </c>
      <c r="W409" s="4">
        <f>((ABS(Games[[#This Row],[MOV]])+5)^0.6)/(12+0.01*(ABS(Games[[#This Row],[PreGmRate]]-Games[[#This Row],[OppPreGmRate]])))*IF(Games[[#This Row],[OT]]=1,0.9,1)</f>
        <v>0.32999533628609534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9" s="9">
        <f>MAX(kmin, kmax - 0.15 * MIN(Games[[#This Row],[GamesPlayed]], 82))</f>
        <v>70.900000000000006</v>
      </c>
      <c r="Z409" s="4">
        <f>Games[[#This Row],[K]]*Games[[#This Row],[POMult]]</f>
        <v>70.900000000000006</v>
      </c>
      <c r="AA409" s="4">
        <f>(Games[[#This Row],[Keff]]*Games[[#This Row],[MOVMult]])*(Games[[#This Row],[Result]]-Games[[#This Row],[ExpectedWin%]])</f>
        <v>-14.675346954057938</v>
      </c>
      <c r="AB409" s="4">
        <f>Games[[#This Row],[PreGmRate]]+Games[[#This Row],[RatingChange]]</f>
        <v>1605.3799723149648</v>
      </c>
      <c r="AC409" s="2">
        <f>IF(Games[[#This Row],[Type]]="R",IF(Games[[#This Row],[Result]]&gt;0.5,1,0),0)</f>
        <v>0</v>
      </c>
      <c r="AD409" s="2">
        <f>IF(Games[[#This Row],[Type]]="R",IF(Games[[#This Row],[Result]]&lt;0.5,1,0),0)</f>
        <v>1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45541</v>
      </c>
      <c r="B410" s="2">
        <v>2024</v>
      </c>
      <c r="C410" s="2">
        <f>COUNTIFS(Games[Team],Games[[#This Row],[Team]],Games[Season],Games[[#This Row],[Season]],Games[Date],"&lt;=" &amp; Games[[#This Row],[Date]])</f>
        <v>34</v>
      </c>
      <c r="D410" s="2" t="s">
        <v>79</v>
      </c>
      <c r="E410" s="2" t="s">
        <v>80</v>
      </c>
      <c r="F410" s="1" t="s">
        <v>67</v>
      </c>
      <c r="G410" s="1" t="s">
        <v>69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4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0" s="2">
        <f>Games[[#This Row],[DaysOff]]-Games[[#This Row],[OppDaysOff]]</f>
        <v>3</v>
      </c>
      <c r="L410" s="2">
        <f>Games[[#This Row],[OppDaysOff]]-Games[[#This Row],[DaysOff]]</f>
        <v>-3</v>
      </c>
      <c r="M410" s="16">
        <f>MAX(-16, MIN(16, Games[[#This Row],[RestDiff]]*8))</f>
        <v>16</v>
      </c>
      <c r="N410" s="16">
        <f>MAX(-16, MIN(16, Games[[#This Row],[OppRestDiff]]*8))</f>
        <v>-16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1612.1485771228849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1528.8246474653815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0.54495701518139472</v>
      </c>
      <c r="R410" s="1">
        <v>99</v>
      </c>
      <c r="S410" s="1">
        <v>88</v>
      </c>
      <c r="T410" s="1">
        <v>0</v>
      </c>
      <c r="U410" s="16">
        <f>Games[[#This Row],[PointsFor]]-Games[[#This Row],[PointsAgainst]]</f>
        <v>11</v>
      </c>
      <c r="V410" s="16">
        <f>IF(Games[[#This Row],[MOV]]&gt;0,1,IF(Games[[#This Row],[MOV]]=0,0.5,0))</f>
        <v>1</v>
      </c>
      <c r="W410" s="4">
        <f>((ABS(Games[[#This Row],[MOV]])+5)^0.6)/(12+0.01*(ABS(Games[[#This Row],[PreGmRate]]-Games[[#This Row],[OppPreGmRate]])))*IF(Games[[#This Row],[OT]]=1,0.9,1)</f>
        <v>0.41127820662552367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0" s="9">
        <f>MAX(kmin, kmax - 0.15 * MIN(Games[[#This Row],[GamesPlayed]], 82))</f>
        <v>70.900000000000006</v>
      </c>
      <c r="Z410" s="4">
        <f>Games[[#This Row],[K]]*Games[[#This Row],[POMult]]</f>
        <v>70.900000000000006</v>
      </c>
      <c r="AA410" s="4">
        <f>(Games[[#This Row],[Keff]]*Games[[#This Row],[MOVMult]])*(Games[[#This Row],[Result]]-Games[[#This Row],[ExpectedWin%]])</f>
        <v>13.268882727820847</v>
      </c>
      <c r="AB410" s="4">
        <f>Games[[#This Row],[PreGmRate]]+Games[[#This Row],[RatingChange]]</f>
        <v>1625.4174598507059</v>
      </c>
      <c r="AC410" s="2">
        <f>IF(Games[[#This Row],[Type]]="R",IF(Games[[#This Row],[Result]]&gt;0.5,1,0),0)</f>
        <v>1</v>
      </c>
      <c r="AD410" s="2">
        <f>IF(Games[[#This Row],[Type]]="R",IF(Games[[#This Row],[Result]]&lt;0.5,1,0),0)</f>
        <v>0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45541</v>
      </c>
      <c r="B411" s="2">
        <v>2024</v>
      </c>
      <c r="C411" s="2">
        <f>COUNTIFS(Games[Team],Games[[#This Row],[Team]],Games[Season],Games[[#This Row],[Season]],Games[Date],"&lt;=" &amp; Games[[#This Row],[Date]])</f>
        <v>35</v>
      </c>
      <c r="D411" s="2" t="s">
        <v>79</v>
      </c>
      <c r="E411" s="2" t="s">
        <v>80</v>
      </c>
      <c r="F411" s="1" t="s">
        <v>69</v>
      </c>
      <c r="G411" s="1" t="s">
        <v>67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11" s="2">
        <f>Games[[#This Row],[DaysOff]]-Games[[#This Row],[OppDaysOff]]</f>
        <v>-3</v>
      </c>
      <c r="L411" s="2">
        <f>Games[[#This Row],[OppDaysOff]]-Games[[#This Row],[DaysOff]]</f>
        <v>3</v>
      </c>
      <c r="M411" s="16">
        <f>MAX(-16, MIN(16, Games[[#This Row],[RestDiff]]*8))</f>
        <v>-16</v>
      </c>
      <c r="N411" s="16">
        <f>MAX(-16, MIN(16, Games[[#This Row],[OppRestDiff]]*8))</f>
        <v>16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1528.8246474653815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1612.1485771228849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0.45504298481860539</v>
      </c>
      <c r="R411" s="1">
        <v>88</v>
      </c>
      <c r="S411" s="1">
        <v>99</v>
      </c>
      <c r="T411" s="1">
        <v>0</v>
      </c>
      <c r="U411" s="16">
        <f>Games[[#This Row],[PointsFor]]-Games[[#This Row],[PointsAgainst]]</f>
        <v>-11</v>
      </c>
      <c r="V411" s="16">
        <f>IF(Games[[#This Row],[MOV]]&gt;0,1,IF(Games[[#This Row],[MOV]]=0,0.5,0))</f>
        <v>0</v>
      </c>
      <c r="W411" s="4">
        <f>((ABS(Games[[#This Row],[MOV]])+5)^0.6)/(12+0.01*(ABS(Games[[#This Row],[PreGmRate]]-Games[[#This Row],[OppPreGmRate]])))*IF(Games[[#This Row],[OT]]=1,0.9,1)</f>
        <v>0.41127820662552367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1" s="9">
        <f>MAX(kmin, kmax - 0.15 * MIN(Games[[#This Row],[GamesPlayed]], 82))</f>
        <v>70.75</v>
      </c>
      <c r="Z411" s="4">
        <f>Games[[#This Row],[K]]*Games[[#This Row],[POMult]]</f>
        <v>70.75</v>
      </c>
      <c r="AA411" s="4">
        <f>(Games[[#This Row],[Keff]]*Games[[#This Row],[MOVMult]])*(Games[[#This Row],[Result]]-Games[[#This Row],[ExpectedWin%]])</f>
        <v>-13.240810338410791</v>
      </c>
      <c r="AB411" s="4">
        <f>Games[[#This Row],[PreGmRate]]+Games[[#This Row],[RatingChange]]</f>
        <v>1515.5838371269708</v>
      </c>
      <c r="AC411" s="2">
        <f>IF(Games[[#This Row],[Type]]="R",IF(Games[[#This Row],[Result]]&gt;0.5,1,0),0)</f>
        <v>0</v>
      </c>
      <c r="AD411" s="2">
        <f>IF(Games[[#This Row],[Type]]="R",IF(Games[[#This Row],[Result]]&lt;0.5,1,0),0)</f>
        <v>1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45542</v>
      </c>
      <c r="B412" s="2">
        <v>2024</v>
      </c>
      <c r="C412" s="2">
        <f>COUNTIFS(Games[Team],Games[[#This Row],[Team]],Games[Season],Games[[#This Row],[Season]],Games[Date],"&lt;=" &amp; Games[[#This Row],[Date]])</f>
        <v>36</v>
      </c>
      <c r="D412" s="2" t="s">
        <v>79</v>
      </c>
      <c r="E412" s="2" t="s">
        <v>80</v>
      </c>
      <c r="F412" s="1" t="s">
        <v>40</v>
      </c>
      <c r="G412" s="1" t="s">
        <v>71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2" s="2">
        <f>Games[[#This Row],[DaysOff]]-Games[[#This Row],[OppDaysOff]]</f>
        <v>0</v>
      </c>
      <c r="L412" s="2">
        <f>Games[[#This Row],[OppDaysOff]]-Games[[#This Row],[DaysOff]]</f>
        <v>0</v>
      </c>
      <c r="M412" s="16">
        <f>MAX(-16, MIN(16, Games[[#This Row],[RestDiff]]*8))</f>
        <v>0</v>
      </c>
      <c r="N412" s="16">
        <f>MAX(-16, MIN(16, Games[[#This Row],[OppRestDiff]]*8))</f>
        <v>0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1439.0395351476761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1540.5546052767816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0.2558006356823801</v>
      </c>
      <c r="R412" s="1">
        <v>66</v>
      </c>
      <c r="S412" s="1">
        <v>90</v>
      </c>
      <c r="T412" s="1">
        <v>0</v>
      </c>
      <c r="U412" s="16">
        <f>Games[[#This Row],[PointsFor]]-Games[[#This Row],[PointsAgainst]]</f>
        <v>-24</v>
      </c>
      <c r="V412" s="16">
        <f>IF(Games[[#This Row],[MOV]]&gt;0,1,IF(Games[[#This Row],[MOV]]=0,0.5,0))</f>
        <v>0</v>
      </c>
      <c r="W412" s="4">
        <f>((ABS(Games[[#This Row],[MOV]])+5)^0.6)/(12+0.01*(ABS(Games[[#This Row],[PreGmRate]]-Games[[#This Row],[OppPreGmRate]])))*IF(Games[[#This Row],[OT]]=1,0.9,1)</f>
        <v>0.57941481788832339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2" s="9">
        <f>MAX(kmin, kmax - 0.15 * MIN(Games[[#This Row],[GamesPlayed]], 82))</f>
        <v>70.599999999999994</v>
      </c>
      <c r="Z412" s="4">
        <f>Games[[#This Row],[K]]*Games[[#This Row],[POMult]]</f>
        <v>70.599999999999994</v>
      </c>
      <c r="AA412" s="4">
        <f>(Games[[#This Row],[Keff]]*Games[[#This Row],[MOVMult]])*(Games[[#This Row],[Result]]-Games[[#This Row],[ExpectedWin%]])</f>
        <v>-10.463956319017425</v>
      </c>
      <c r="AB412" s="4">
        <f>Games[[#This Row],[PreGmRate]]+Games[[#This Row],[RatingChange]]</f>
        <v>1428.5755788286588</v>
      </c>
      <c r="AC412" s="2">
        <f>IF(Games[[#This Row],[Type]]="R",IF(Games[[#This Row],[Result]]&gt;0.5,1,0),0)</f>
        <v>0</v>
      </c>
      <c r="AD412" s="2">
        <f>IF(Games[[#This Row],[Type]]="R",IF(Games[[#This Row],[Result]]&lt;0.5,1,0),0)</f>
        <v>1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45542</v>
      </c>
      <c r="B413" s="2">
        <v>2024</v>
      </c>
      <c r="C413" s="2">
        <f>COUNTIFS(Games[Team],Games[[#This Row],[Team]],Games[Season],Games[[#This Row],[Season]],Games[Date],"&lt;=" &amp; Games[[#This Row],[Date]])</f>
        <v>35</v>
      </c>
      <c r="D413" s="2" t="s">
        <v>79</v>
      </c>
      <c r="E413" s="2" t="s">
        <v>80</v>
      </c>
      <c r="F413" s="1" t="s">
        <v>71</v>
      </c>
      <c r="G413" s="1" t="s">
        <v>40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3" s="2">
        <f>Games[[#This Row],[DaysOff]]-Games[[#This Row],[OppDaysOff]]</f>
        <v>0</v>
      </c>
      <c r="L413" s="2">
        <f>Games[[#This Row],[OppDaysOff]]-Games[[#This Row],[DaysOff]]</f>
        <v>0</v>
      </c>
      <c r="M413" s="16">
        <f>MAX(-16, MIN(16, Games[[#This Row],[RestDiff]]*8))</f>
        <v>0</v>
      </c>
      <c r="N413" s="16">
        <f>MAX(-16, MIN(16, Games[[#This Row],[OppRestDiff]]*8))</f>
        <v>0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1540.5546052767816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1439.0395351476761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0.74419936431762002</v>
      </c>
      <c r="R413" s="1">
        <v>90</v>
      </c>
      <c r="S413" s="1">
        <v>66</v>
      </c>
      <c r="T413" s="1">
        <v>0</v>
      </c>
      <c r="U413" s="16">
        <f>Games[[#This Row],[PointsFor]]-Games[[#This Row],[PointsAgainst]]</f>
        <v>24</v>
      </c>
      <c r="V413" s="16">
        <f>IF(Games[[#This Row],[MOV]]&gt;0,1,IF(Games[[#This Row],[MOV]]=0,0.5,0))</f>
        <v>1</v>
      </c>
      <c r="W413" s="4">
        <f>((ABS(Games[[#This Row],[MOV]])+5)^0.6)/(12+0.01*(ABS(Games[[#This Row],[PreGmRate]]-Games[[#This Row],[OppPreGmRate]])))*IF(Games[[#This Row],[OT]]=1,0.9,1)</f>
        <v>0.57941481788832339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3" s="9">
        <f>MAX(kmin, kmax - 0.15 * MIN(Games[[#This Row],[GamesPlayed]], 82))</f>
        <v>70.75</v>
      </c>
      <c r="Z413" s="4">
        <f>Games[[#This Row],[K]]*Games[[#This Row],[POMult]]</f>
        <v>70.75</v>
      </c>
      <c r="AA413" s="4">
        <f>(Games[[#This Row],[Keff]]*Games[[#This Row],[MOVMult]])*(Games[[#This Row],[Result]]-Games[[#This Row],[ExpectedWin%]])</f>
        <v>10.486188520828366</v>
      </c>
      <c r="AB413" s="4">
        <f>Games[[#This Row],[PreGmRate]]+Games[[#This Row],[RatingChange]]</f>
        <v>1551.0407937976099</v>
      </c>
      <c r="AC413" s="2">
        <f>IF(Games[[#This Row],[Type]]="R",IF(Games[[#This Row],[Result]]&gt;0.5,1,0),0)</f>
        <v>1</v>
      </c>
      <c r="AD413" s="2">
        <f>IF(Games[[#This Row],[Type]]="R",IF(Games[[#This Row],[Result]]&lt;0.5,1,0),0)</f>
        <v>0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45543</v>
      </c>
      <c r="B414" s="2">
        <v>2024</v>
      </c>
      <c r="C414" s="2">
        <f>COUNTIFS(Games[Team],Games[[#This Row],[Team]],Games[Season],Games[[#This Row],[Season]],Games[Date],"&lt;=" &amp; Games[[#This Row],[Date]])</f>
        <v>35</v>
      </c>
      <c r="D414" s="2" t="s">
        <v>79</v>
      </c>
      <c r="E414" s="2" t="s">
        <v>80</v>
      </c>
      <c r="F414" s="1" t="s">
        <v>85</v>
      </c>
      <c r="G414" s="1" t="s">
        <v>75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4" s="2">
        <f>Games[[#This Row],[DaysOff]]-Games[[#This Row],[OppDaysOff]]</f>
        <v>0</v>
      </c>
      <c r="L414" s="2">
        <f>Games[[#This Row],[OppDaysOff]]-Games[[#This Row],[DaysOff]]</f>
        <v>0</v>
      </c>
      <c r="M414" s="16">
        <f>MAX(-16, MIN(16, Games[[#This Row],[RestDiff]]*8))</f>
        <v>0</v>
      </c>
      <c r="N414" s="16">
        <f>MAX(-16, MIN(16, Games[[#This Row],[OppRestDiff]]*8))</f>
        <v>0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1366.1970509313105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1402.939911706789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0.33291022383508007</v>
      </c>
      <c r="R414" s="1">
        <v>77</v>
      </c>
      <c r="S414" s="1">
        <v>92</v>
      </c>
      <c r="T414" s="1">
        <v>0</v>
      </c>
      <c r="U414" s="16">
        <f>Games[[#This Row],[PointsFor]]-Games[[#This Row],[PointsAgainst]]</f>
        <v>-15</v>
      </c>
      <c r="V414" s="16">
        <f>IF(Games[[#This Row],[MOV]]&gt;0,1,IF(Games[[#This Row],[MOV]]=0,0.5,0))</f>
        <v>0</v>
      </c>
      <c r="W414" s="4">
        <f>((ABS(Games[[#This Row],[MOV]])+5)^0.6)/(12+0.01*(ABS(Games[[#This Row],[PreGmRate]]-Games[[#This Row],[OppPreGmRate]])))*IF(Games[[#This Row],[OT]]=1,0.9,1)</f>
        <v>0.4879087260517142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4" s="9">
        <f>MAX(kmin, kmax - 0.15 * MIN(Games[[#This Row],[GamesPlayed]], 82))</f>
        <v>70.75</v>
      </c>
      <c r="Z414" s="4">
        <f>Games[[#This Row],[K]]*Games[[#This Row],[POMult]]</f>
        <v>70.75</v>
      </c>
      <c r="AA414" s="4">
        <f>(Games[[#This Row],[Keff]]*Games[[#This Row],[MOVMult]])*(Games[[#This Row],[Result]]-Games[[#This Row],[ExpectedWin%]])</f>
        <v>-11.491908576468269</v>
      </c>
      <c r="AB414" s="4">
        <f>Games[[#This Row],[PreGmRate]]+Games[[#This Row],[RatingChange]]</f>
        <v>1354.7051423548423</v>
      </c>
      <c r="AC414" s="2">
        <f>IF(Games[[#This Row],[Type]]="R",IF(Games[[#This Row],[Result]]&gt;0.5,1,0),0)</f>
        <v>0</v>
      </c>
      <c r="AD414" s="2">
        <f>IF(Games[[#This Row],[Type]]="R",IF(Games[[#This Row],[Result]]&lt;0.5,1,0),0)</f>
        <v>1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45543</v>
      </c>
      <c r="B415" s="2">
        <v>2024</v>
      </c>
      <c r="C415" s="2">
        <f>COUNTIFS(Games[Team],Games[[#This Row],[Team]],Games[Season],Games[[#This Row],[Season]],Games[Date],"&lt;=" &amp; Games[[#This Row],[Date]])</f>
        <v>35</v>
      </c>
      <c r="D415" s="2" t="s">
        <v>79</v>
      </c>
      <c r="E415" s="2" t="s">
        <v>80</v>
      </c>
      <c r="F415" s="1" t="s">
        <v>75</v>
      </c>
      <c r="G415" s="1" t="s">
        <v>85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5" s="2">
        <f>Games[[#This Row],[DaysOff]]-Games[[#This Row],[OppDaysOff]]</f>
        <v>0</v>
      </c>
      <c r="L415" s="2">
        <f>Games[[#This Row],[OppDaysOff]]-Games[[#This Row],[DaysOff]]</f>
        <v>0</v>
      </c>
      <c r="M415" s="16">
        <f>MAX(-16, MIN(16, Games[[#This Row],[RestDiff]]*8))</f>
        <v>0</v>
      </c>
      <c r="N415" s="16">
        <f>MAX(-16, MIN(16, Games[[#This Row],[OppRestDiff]]*8))</f>
        <v>0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1402.939911706789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1366.1970509313105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0.66708977616491993</v>
      </c>
      <c r="R415" s="1">
        <v>92</v>
      </c>
      <c r="S415" s="1">
        <v>77</v>
      </c>
      <c r="T415" s="1">
        <v>0</v>
      </c>
      <c r="U415" s="16">
        <f>Games[[#This Row],[PointsFor]]-Games[[#This Row],[PointsAgainst]]</f>
        <v>15</v>
      </c>
      <c r="V415" s="16">
        <f>IF(Games[[#This Row],[MOV]]&gt;0,1,IF(Games[[#This Row],[MOV]]=0,0.5,0))</f>
        <v>1</v>
      </c>
      <c r="W415" s="4">
        <f>((ABS(Games[[#This Row],[MOV]])+5)^0.6)/(12+0.01*(ABS(Games[[#This Row],[PreGmRate]]-Games[[#This Row],[OppPreGmRate]])))*IF(Games[[#This Row],[OT]]=1,0.9,1)</f>
        <v>0.4879087260517142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5" s="9">
        <f>MAX(kmin, kmax - 0.15 * MIN(Games[[#This Row],[GamesPlayed]], 82))</f>
        <v>70.75</v>
      </c>
      <c r="Z415" s="4">
        <f>Games[[#This Row],[K]]*Games[[#This Row],[POMult]]</f>
        <v>70.75</v>
      </c>
      <c r="AA415" s="4">
        <f>(Games[[#This Row],[Keff]]*Games[[#This Row],[MOVMult]])*(Games[[#This Row],[Result]]-Games[[#This Row],[ExpectedWin%]])</f>
        <v>11.491908576468269</v>
      </c>
      <c r="AB415" s="4">
        <f>Games[[#This Row],[PreGmRate]]+Games[[#This Row],[RatingChange]]</f>
        <v>1414.4318202832571</v>
      </c>
      <c r="AC415" s="2">
        <f>IF(Games[[#This Row],[Type]]="R",IF(Games[[#This Row],[Result]]&gt;0.5,1,0),0)</f>
        <v>1</v>
      </c>
      <c r="AD415" s="2">
        <f>IF(Games[[#This Row],[Type]]="R",IF(Games[[#This Row],[Result]]&lt;0.5,1,0),0)</f>
        <v>0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45543</v>
      </c>
      <c r="B416" s="2">
        <v>2024</v>
      </c>
      <c r="C416" s="2">
        <f>COUNTIFS(Games[Team],Games[[#This Row],[Team]],Games[Season],Games[[#This Row],[Season]],Games[Date],"&lt;=" &amp; Games[[#This Row],[Date]])</f>
        <v>35</v>
      </c>
      <c r="D416" s="2" t="s">
        <v>79</v>
      </c>
      <c r="E416" s="2" t="s">
        <v>80</v>
      </c>
      <c r="F416" s="1" t="s">
        <v>77</v>
      </c>
      <c r="G416" s="1" t="s">
        <v>69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6" s="2">
        <f>Games[[#This Row],[DaysOff]]-Games[[#This Row],[OppDaysOff]]</f>
        <v>0</v>
      </c>
      <c r="L416" s="2">
        <f>Games[[#This Row],[OppDaysOff]]-Games[[#This Row],[DaysOff]]</f>
        <v>0</v>
      </c>
      <c r="M416" s="16">
        <f>MAX(-16, MIN(16, Games[[#This Row],[RestDiff]]*8))</f>
        <v>0</v>
      </c>
      <c r="N416" s="16">
        <f>MAX(-16, MIN(16, Games[[#This Row],[OppRestDiff]]*8))</f>
        <v>0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1408.2190205867494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1515.5838371269708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0.24944313679439908</v>
      </c>
      <c r="R416" s="1">
        <v>100</v>
      </c>
      <c r="S416" s="1">
        <v>104</v>
      </c>
      <c r="T416" s="1">
        <v>1</v>
      </c>
      <c r="U416" s="16">
        <f>Games[[#This Row],[PointsFor]]-Games[[#This Row],[PointsAgainst]]</f>
        <v>-4</v>
      </c>
      <c r="V416" s="16">
        <f>IF(Games[[#This Row],[MOV]]&gt;0,1,IF(Games[[#This Row],[MOV]]=0,0.5,0))</f>
        <v>0</v>
      </c>
      <c r="W416" s="4">
        <f>((ABS(Games[[#This Row],[MOV]])+5)^0.6)/(12+0.01*(ABS(Games[[#This Row],[PreGmRate]]-Games[[#This Row],[OppPreGmRate]])))*IF(Games[[#This Row],[OT]]=1,0.9,1)</f>
        <v>0.25727122945398762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6" s="9">
        <f>MAX(kmin, kmax - 0.15 * MIN(Games[[#This Row],[GamesPlayed]], 82))</f>
        <v>70.75</v>
      </c>
      <c r="Z416" s="4">
        <f>Games[[#This Row],[K]]*Games[[#This Row],[POMult]]</f>
        <v>70.75</v>
      </c>
      <c r="AA416" s="4">
        <f>(Games[[#This Row],[Keff]]*Games[[#This Row],[MOVMult]])*(Games[[#This Row],[Result]]-Games[[#This Row],[ExpectedWin%]])</f>
        <v>-4.5403488805982644</v>
      </c>
      <c r="AB416" s="4">
        <f>Games[[#This Row],[PreGmRate]]+Games[[#This Row],[RatingChange]]</f>
        <v>1403.6786717061511</v>
      </c>
      <c r="AC416" s="2">
        <f>IF(Games[[#This Row],[Type]]="R",IF(Games[[#This Row],[Result]]&gt;0.5,1,0),0)</f>
        <v>0</v>
      </c>
      <c r="AD416" s="2">
        <f>IF(Games[[#This Row],[Type]]="R",IF(Games[[#This Row],[Result]]&lt;0.5,1,0),0)</f>
        <v>1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45543</v>
      </c>
      <c r="B417" s="2">
        <v>2024</v>
      </c>
      <c r="C417" s="2">
        <f>COUNTIFS(Games[Team],Games[[#This Row],[Team]],Games[Season],Games[[#This Row],[Season]],Games[Date],"&lt;=" &amp; Games[[#This Row],[Date]])</f>
        <v>36</v>
      </c>
      <c r="D417" s="2" t="s">
        <v>79</v>
      </c>
      <c r="E417" s="2" t="s">
        <v>80</v>
      </c>
      <c r="F417" s="1" t="s">
        <v>69</v>
      </c>
      <c r="G417" s="1" t="s">
        <v>77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7" s="2">
        <f>Games[[#This Row],[DaysOff]]-Games[[#This Row],[OppDaysOff]]</f>
        <v>0</v>
      </c>
      <c r="L417" s="2">
        <f>Games[[#This Row],[OppDaysOff]]-Games[[#This Row],[DaysOff]]</f>
        <v>0</v>
      </c>
      <c r="M417" s="16">
        <f>MAX(-16, MIN(16, Games[[#This Row],[RestDiff]]*8))</f>
        <v>0</v>
      </c>
      <c r="N417" s="16">
        <f>MAX(-16, MIN(16, Games[[#This Row],[OppRestDiff]]*8))</f>
        <v>0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1515.5838371269708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1408.2190205867494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0.75055686320560089</v>
      </c>
      <c r="R417" s="1">
        <v>104</v>
      </c>
      <c r="S417" s="1">
        <v>100</v>
      </c>
      <c r="T417" s="1">
        <v>1</v>
      </c>
      <c r="U417" s="16">
        <f>Games[[#This Row],[PointsFor]]-Games[[#This Row],[PointsAgainst]]</f>
        <v>4</v>
      </c>
      <c r="V417" s="16">
        <f>IF(Games[[#This Row],[MOV]]&gt;0,1,IF(Games[[#This Row],[MOV]]=0,0.5,0))</f>
        <v>1</v>
      </c>
      <c r="W417" s="4">
        <f>((ABS(Games[[#This Row],[MOV]])+5)^0.6)/(12+0.01*(ABS(Games[[#This Row],[PreGmRate]]-Games[[#This Row],[OppPreGmRate]])))*IF(Games[[#This Row],[OT]]=1,0.9,1)</f>
        <v>0.25727122945398762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7" s="9">
        <f>MAX(kmin, kmax - 0.15 * MIN(Games[[#This Row],[GamesPlayed]], 82))</f>
        <v>70.599999999999994</v>
      </c>
      <c r="Z417" s="4">
        <f>Games[[#This Row],[K]]*Games[[#This Row],[POMult]]</f>
        <v>70.599999999999994</v>
      </c>
      <c r="AA417" s="4">
        <f>(Games[[#This Row],[Keff]]*Games[[#This Row],[MOVMult]])*(Games[[#This Row],[Result]]-Games[[#This Row],[ExpectedWin%]])</f>
        <v>4.5307226992259713</v>
      </c>
      <c r="AB417" s="4">
        <f>Games[[#This Row],[PreGmRate]]+Games[[#This Row],[RatingChange]]</f>
        <v>1520.1145598261967</v>
      </c>
      <c r="AC417" s="2">
        <f>IF(Games[[#This Row],[Type]]="R",IF(Games[[#This Row],[Result]]&gt;0.5,1,0),0)</f>
        <v>1</v>
      </c>
      <c r="AD417" s="2">
        <f>IF(Games[[#This Row],[Type]]="R",IF(Games[[#This Row],[Result]]&lt;0.5,1,0),0)</f>
        <v>0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45543</v>
      </c>
      <c r="B418" s="2">
        <v>2024</v>
      </c>
      <c r="C418" s="2">
        <f>COUNTIFS(Games[Team],Games[[#This Row],[Team]],Games[Season],Games[[#This Row],[Season]],Games[Date],"&lt;=" &amp; Games[[#This Row],[Date]])</f>
        <v>35</v>
      </c>
      <c r="D418" s="2" t="s">
        <v>79</v>
      </c>
      <c r="E418" s="2" t="s">
        <v>80</v>
      </c>
      <c r="F418" s="1" t="s">
        <v>74</v>
      </c>
      <c r="G418" s="1" t="s">
        <v>63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8" s="2">
        <f>Games[[#This Row],[DaysOff]]-Games[[#This Row],[OppDaysOff]]</f>
        <v>0</v>
      </c>
      <c r="L418" s="2">
        <f>Games[[#This Row],[OppDaysOff]]-Games[[#This Row],[DaysOff]]</f>
        <v>0</v>
      </c>
      <c r="M418" s="16">
        <f>MAX(-16, MIN(16, Games[[#This Row],[RestDiff]]*8))</f>
        <v>0</v>
      </c>
      <c r="N418" s="16">
        <f>MAX(-16, MIN(16, Games[[#This Row],[OppRestDiff]]*8))</f>
        <v>0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1605.3799723149648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1309.3900505019392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0.77211846585253407</v>
      </c>
      <c r="R418" s="1">
        <v>79</v>
      </c>
      <c r="S418" s="1">
        <v>67</v>
      </c>
      <c r="T418" s="1">
        <v>0</v>
      </c>
      <c r="U418" s="16">
        <f>Games[[#This Row],[PointsFor]]-Games[[#This Row],[PointsAgainst]]</f>
        <v>12</v>
      </c>
      <c r="V418" s="16">
        <f>IF(Games[[#This Row],[MOV]]&gt;0,1,IF(Games[[#This Row],[MOV]]=0,0.5,0))</f>
        <v>1</v>
      </c>
      <c r="W418" s="4">
        <f>((ABS(Games[[#This Row],[MOV]])+5)^0.6)/(12+0.01*(ABS(Games[[#This Row],[PreGmRate]]-Games[[#This Row],[OppPreGmRate]])))*IF(Games[[#This Row],[OT]]=1,0.9,1)</f>
        <v>0.36588169727005643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8" s="9">
        <f>MAX(kmin, kmax - 0.15 * MIN(Games[[#This Row],[GamesPlayed]], 82))</f>
        <v>70.75</v>
      </c>
      <c r="Z418" s="4">
        <f>Games[[#This Row],[K]]*Games[[#This Row],[POMult]]</f>
        <v>70.75</v>
      </c>
      <c r="AA418" s="4">
        <f>(Games[[#This Row],[Keff]]*Games[[#This Row],[MOVMult]])*(Games[[#This Row],[Result]]-Games[[#This Row],[ExpectedWin%]])</f>
        <v>5.8989710361943253</v>
      </c>
      <c r="AB418" s="4">
        <f>Games[[#This Row],[PreGmRate]]+Games[[#This Row],[RatingChange]]</f>
        <v>1611.2789433511591</v>
      </c>
      <c r="AC418" s="2">
        <f>IF(Games[[#This Row],[Type]]="R",IF(Games[[#This Row],[Result]]&gt;0.5,1,0),0)</f>
        <v>1</v>
      </c>
      <c r="AD418" s="2">
        <f>IF(Games[[#This Row],[Type]]="R",IF(Games[[#This Row],[Result]]&lt;0.5,1,0),0)</f>
        <v>0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45543</v>
      </c>
      <c r="B419" s="2">
        <v>2024</v>
      </c>
      <c r="C419" s="2">
        <f>COUNTIFS(Games[Team],Games[[#This Row],[Team]],Games[Season],Games[[#This Row],[Season]],Games[Date],"&lt;=" &amp; Games[[#This Row],[Date]])</f>
        <v>35</v>
      </c>
      <c r="D419" s="2" t="s">
        <v>79</v>
      </c>
      <c r="E419" s="2" t="s">
        <v>80</v>
      </c>
      <c r="F419" s="1" t="s">
        <v>63</v>
      </c>
      <c r="G419" s="1" t="s">
        <v>74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9" s="2">
        <f>Games[[#This Row],[DaysOff]]-Games[[#This Row],[OppDaysOff]]</f>
        <v>0</v>
      </c>
      <c r="L419" s="2">
        <f>Games[[#This Row],[OppDaysOff]]-Games[[#This Row],[DaysOff]]</f>
        <v>0</v>
      </c>
      <c r="M419" s="16">
        <f>MAX(-16, MIN(16, Games[[#This Row],[RestDiff]]*8))</f>
        <v>0</v>
      </c>
      <c r="N419" s="16">
        <f>MAX(-16, MIN(16, Games[[#This Row],[OppRestDiff]]*8))</f>
        <v>0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1309.3900505019392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1605.3799723149648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0.22788153414746601</v>
      </c>
      <c r="R419" s="1">
        <v>67</v>
      </c>
      <c r="S419" s="1">
        <v>79</v>
      </c>
      <c r="T419" s="1">
        <v>0</v>
      </c>
      <c r="U419" s="16">
        <f>Games[[#This Row],[PointsFor]]-Games[[#This Row],[PointsAgainst]]</f>
        <v>-12</v>
      </c>
      <c r="V419" s="16">
        <f>IF(Games[[#This Row],[MOV]]&gt;0,1,IF(Games[[#This Row],[MOV]]=0,0.5,0))</f>
        <v>0</v>
      </c>
      <c r="W419" s="4">
        <f>((ABS(Games[[#This Row],[MOV]])+5)^0.6)/(12+0.01*(ABS(Games[[#This Row],[PreGmRate]]-Games[[#This Row],[OppPreGmRate]])))*IF(Games[[#This Row],[OT]]=1,0.9,1)</f>
        <v>0.36588169727005643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9" s="9">
        <f>MAX(kmin, kmax - 0.15 * MIN(Games[[#This Row],[GamesPlayed]], 82))</f>
        <v>70.75</v>
      </c>
      <c r="Z419" s="4">
        <f>Games[[#This Row],[K]]*Games[[#This Row],[POMult]]</f>
        <v>70.75</v>
      </c>
      <c r="AA419" s="4">
        <f>(Games[[#This Row],[Keff]]*Games[[#This Row],[MOVMult]])*(Games[[#This Row],[Result]]-Games[[#This Row],[ExpectedWin%]])</f>
        <v>-5.8989710361943271</v>
      </c>
      <c r="AB419" s="4">
        <f>Games[[#This Row],[PreGmRate]]+Games[[#This Row],[RatingChange]]</f>
        <v>1303.4910794657449</v>
      </c>
      <c r="AC419" s="2">
        <f>IF(Games[[#This Row],[Type]]="R",IF(Games[[#This Row],[Result]]&gt;0.5,1,0),0)</f>
        <v>0</v>
      </c>
      <c r="AD419" s="2">
        <f>IF(Games[[#This Row],[Type]]="R",IF(Games[[#This Row],[Result]]&lt;0.5,1,0),0)</f>
        <v>1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  <row r="420" spans="1:38" x14ac:dyDescent="0.35">
      <c r="A420" s="10">
        <v>45543</v>
      </c>
      <c r="B420" s="2">
        <v>2024</v>
      </c>
      <c r="C420" s="2">
        <f>COUNTIFS(Games[Team],Games[[#This Row],[Team]],Games[Season],Games[[#This Row],[Season]],Games[Date],"&lt;=" &amp; Games[[#This Row],[Date]])</f>
        <v>35</v>
      </c>
      <c r="D420" s="2" t="s">
        <v>79</v>
      </c>
      <c r="E420" s="2" t="s">
        <v>80</v>
      </c>
      <c r="F420" s="1" t="s">
        <v>86</v>
      </c>
      <c r="G420" s="1" t="s">
        <v>60</v>
      </c>
      <c r="H420" s="1" t="s">
        <v>81</v>
      </c>
      <c r="I420" s="2" cm="1">
        <f t="array" ref="I4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0" s="2" cm="1">
        <f t="array" ref="J4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0" s="2">
        <f>Games[[#This Row],[DaysOff]]-Games[[#This Row],[OppDaysOff]]</f>
        <v>-1</v>
      </c>
      <c r="L420" s="2">
        <f>Games[[#This Row],[OppDaysOff]]-Games[[#This Row],[DaysOff]]</f>
        <v>1</v>
      </c>
      <c r="M420" s="16">
        <f>MAX(-16, MIN(16, Games[[#This Row],[RestDiff]]*8))</f>
        <v>-8</v>
      </c>
      <c r="N420" s="16">
        <f>MAX(-16, MIN(16, Games[[#This Row],[OppRestDiff]]*8))</f>
        <v>8</v>
      </c>
      <c r="O420" s="4" cm="1">
        <f t="array" ref="O4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1628.3282514678879</v>
      </c>
      <c r="P420" s="4" cm="1">
        <f t="array" ref="P4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1724.5810202789187</v>
      </c>
      <c r="Q420" s="4">
        <f>1/(1+10^(((Games[[#This Row],[OppPreGmRate]]+IF(Games[[#This Row],[HomeAway]]="A",HCA,0)+Games[[#This Row],[OppRestAdj]])-(Games[[#This Row],[PreGmRate]]+IF(Games[[#This Row],[HomeAway]]="H",HCA,0)+Games[[#This Row],[RestAdj]]))/400))</f>
        <v>0.24421245464794505</v>
      </c>
      <c r="R420" s="1">
        <v>71</v>
      </c>
      <c r="S420" s="1">
        <v>75</v>
      </c>
      <c r="T420" s="1">
        <v>0</v>
      </c>
      <c r="U420" s="16">
        <f>Games[[#This Row],[PointsFor]]-Games[[#This Row],[PointsAgainst]]</f>
        <v>-4</v>
      </c>
      <c r="V420" s="16">
        <f>IF(Games[[#This Row],[MOV]]&gt;0,1,IF(Games[[#This Row],[MOV]]=0,0.5,0))</f>
        <v>0</v>
      </c>
      <c r="W420" s="4">
        <f>((ABS(Games[[#This Row],[MOV]])+5)^0.6)/(12+0.01*(ABS(Games[[#This Row],[PreGmRate]]-Games[[#This Row],[OppPreGmRate]])))*IF(Games[[#This Row],[OT]]=1,0.9,1)</f>
        <v>0.28830741262558218</v>
      </c>
      <c r="X420" s="7" cm="1">
        <f t="array" ref="X4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0" s="9">
        <f>MAX(kmin, kmax - 0.15 * MIN(Games[[#This Row],[GamesPlayed]], 82))</f>
        <v>70.75</v>
      </c>
      <c r="Z420" s="4">
        <f>Games[[#This Row],[K]]*Games[[#This Row],[POMult]]</f>
        <v>70.75</v>
      </c>
      <c r="AA420" s="4">
        <f>(Games[[#This Row],[Keff]]*Games[[#This Row],[MOVMult]])*(Games[[#This Row],[Result]]-Games[[#This Row],[ExpectedWin%]])</f>
        <v>-4.9813844608322642</v>
      </c>
      <c r="AB420" s="4">
        <f>Games[[#This Row],[PreGmRate]]+Games[[#This Row],[RatingChange]]</f>
        <v>1623.3468670070556</v>
      </c>
      <c r="AC420" s="2">
        <f>IF(Games[[#This Row],[Type]]="R",IF(Games[[#This Row],[Result]]&gt;0.5,1,0),0)</f>
        <v>0</v>
      </c>
      <c r="AD420" s="2">
        <f>IF(Games[[#This Row],[Type]]="R",IF(Games[[#This Row],[Result]]&lt;0.5,1,0),0)</f>
        <v>1</v>
      </c>
      <c r="AE420" s="2">
        <f>IF(AND(Games[[#This Row],[Type]]="P",Games[[#This Row],[Round]]=1),IF(Games[[#This Row],[Result]]&gt;0.5,1,0),0)</f>
        <v>0</v>
      </c>
      <c r="AF420" s="2">
        <f>IF(AND(Games[[#This Row],[Type]]="P",Games[[#This Row],[Round]]=1),IF(Games[[#This Row],[Result]]&lt;0.5,1,0),0)</f>
        <v>0</v>
      </c>
      <c r="AG420" s="2">
        <f>IF(AND(Games[[#This Row],[Type]]="P",Games[[#This Row],[Round]]=2),IF(Games[[#This Row],[Result]]&gt;0.5,1,0),0)</f>
        <v>0</v>
      </c>
      <c r="AH420" s="2">
        <f>IF(AND(Games[[#This Row],[Type]]="P",Games[[#This Row],[Round]]=2),IF(Games[[#This Row],[Result]]&lt;0.5,1,0),0)</f>
        <v>0</v>
      </c>
      <c r="AI420" s="2">
        <f>IF(AND(Games[[#This Row],[Type]]="P",Games[[#This Row],[Round]]=3),IF(Games[[#This Row],[Result]]&gt;0.5,1,0),0)</f>
        <v>0</v>
      </c>
      <c r="AJ420" s="2">
        <f>IF(AND(Games[[#This Row],[Type]]="P",Games[[#This Row],[Round]]=3),IF(Games[[#This Row],[Result]]&lt;0.5,1,0),0)</f>
        <v>0</v>
      </c>
      <c r="AK420" s="2">
        <f>IF(AND(Games[[#This Row],[Type]]="P",Games[[#This Row],[Round]]=4),IF(Games[[#This Row],[Result]]&gt;0.5,1,0),0)</f>
        <v>0</v>
      </c>
      <c r="AL420" s="2">
        <f>IF(AND(Games[[#This Row],[Type]]="P",Games[[#This Row],[Round]]=4),IF(Games[[#This Row],[Result]]&lt;0.5,1,0),0)</f>
        <v>0</v>
      </c>
    </row>
    <row r="421" spans="1:38" x14ac:dyDescent="0.35">
      <c r="A421" s="10">
        <v>45543</v>
      </c>
      <c r="B421" s="2">
        <v>2024</v>
      </c>
      <c r="C421" s="2">
        <f>COUNTIFS(Games[Team],Games[[#This Row],[Team]],Games[Season],Games[[#This Row],[Season]],Games[Date],"&lt;=" &amp; Games[[#This Row],[Date]])</f>
        <v>35</v>
      </c>
      <c r="D421" s="2" t="s">
        <v>79</v>
      </c>
      <c r="E421" s="2" t="s">
        <v>80</v>
      </c>
      <c r="F421" s="1" t="s">
        <v>60</v>
      </c>
      <c r="G421" s="1" t="s">
        <v>86</v>
      </c>
      <c r="H421" s="1" t="s">
        <v>82</v>
      </c>
      <c r="I421" s="2" cm="1">
        <f t="array" ref="I4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1" s="2" cm="1">
        <f t="array" ref="J4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1" s="2">
        <f>Games[[#This Row],[DaysOff]]-Games[[#This Row],[OppDaysOff]]</f>
        <v>1</v>
      </c>
      <c r="L421" s="2">
        <f>Games[[#This Row],[OppDaysOff]]-Games[[#This Row],[DaysOff]]</f>
        <v>-1</v>
      </c>
      <c r="M421" s="16">
        <f>MAX(-16, MIN(16, Games[[#This Row],[RestDiff]]*8))</f>
        <v>8</v>
      </c>
      <c r="N421" s="16">
        <f>MAX(-16, MIN(16, Games[[#This Row],[OppRestDiff]]*8))</f>
        <v>-8</v>
      </c>
      <c r="O421" s="4" cm="1">
        <f t="array" ref="O4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1724.5810202789187</v>
      </c>
      <c r="P421" s="4" cm="1">
        <f t="array" ref="P4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1628.3282514678879</v>
      </c>
      <c r="Q421" s="4">
        <f>1/(1+10^(((Games[[#This Row],[OppPreGmRate]]+IF(Games[[#This Row],[HomeAway]]="A",HCA,0)+Games[[#This Row],[OppRestAdj]])-(Games[[#This Row],[PreGmRate]]+IF(Games[[#This Row],[HomeAway]]="H",HCA,0)+Games[[#This Row],[RestAdj]]))/400))</f>
        <v>0.75578754535205495</v>
      </c>
      <c r="R421" s="1">
        <v>75</v>
      </c>
      <c r="S421" s="1">
        <v>71</v>
      </c>
      <c r="T421" s="1">
        <v>0</v>
      </c>
      <c r="U421" s="16">
        <f>Games[[#This Row],[PointsFor]]-Games[[#This Row],[PointsAgainst]]</f>
        <v>4</v>
      </c>
      <c r="V421" s="16">
        <f>IF(Games[[#This Row],[MOV]]&gt;0,1,IF(Games[[#This Row],[MOV]]=0,0.5,0))</f>
        <v>1</v>
      </c>
      <c r="W421" s="4">
        <f>((ABS(Games[[#This Row],[MOV]])+5)^0.6)/(12+0.01*(ABS(Games[[#This Row],[PreGmRate]]-Games[[#This Row],[OppPreGmRate]])))*IF(Games[[#This Row],[OT]]=1,0.9,1)</f>
        <v>0.28830741262558218</v>
      </c>
      <c r="X421" s="7" cm="1">
        <f t="array" ref="X4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1" s="9">
        <f>MAX(kmin, kmax - 0.15 * MIN(Games[[#This Row],[GamesPlayed]], 82))</f>
        <v>70.75</v>
      </c>
      <c r="Z421" s="4">
        <f>Games[[#This Row],[K]]*Games[[#This Row],[POMult]]</f>
        <v>70.75</v>
      </c>
      <c r="AA421" s="4">
        <f>(Games[[#This Row],[Keff]]*Games[[#This Row],[MOVMult]])*(Games[[#This Row],[Result]]-Games[[#This Row],[ExpectedWin%]])</f>
        <v>4.9813844608322642</v>
      </c>
      <c r="AB421" s="4">
        <f>Games[[#This Row],[PreGmRate]]+Games[[#This Row],[RatingChange]]</f>
        <v>1729.5624047397509</v>
      </c>
      <c r="AC421" s="2">
        <f>IF(Games[[#This Row],[Type]]="R",IF(Games[[#This Row],[Result]]&gt;0.5,1,0),0)</f>
        <v>1</v>
      </c>
      <c r="AD421" s="2">
        <f>IF(Games[[#This Row],[Type]]="R",IF(Games[[#This Row],[Result]]&lt;0.5,1,0),0)</f>
        <v>0</v>
      </c>
      <c r="AE421" s="2">
        <f>IF(AND(Games[[#This Row],[Type]]="P",Games[[#This Row],[Round]]=1),IF(Games[[#This Row],[Result]]&gt;0.5,1,0),0)</f>
        <v>0</v>
      </c>
      <c r="AF421" s="2">
        <f>IF(AND(Games[[#This Row],[Type]]="P",Games[[#This Row],[Round]]=1),IF(Games[[#This Row],[Result]]&lt;0.5,1,0),0)</f>
        <v>0</v>
      </c>
      <c r="AG421" s="2">
        <f>IF(AND(Games[[#This Row],[Type]]="P",Games[[#This Row],[Round]]=2),IF(Games[[#This Row],[Result]]&gt;0.5,1,0),0)</f>
        <v>0</v>
      </c>
      <c r="AH421" s="2">
        <f>IF(AND(Games[[#This Row],[Type]]="P",Games[[#This Row],[Round]]=2),IF(Games[[#This Row],[Result]]&lt;0.5,1,0),0)</f>
        <v>0</v>
      </c>
      <c r="AI421" s="2">
        <f>IF(AND(Games[[#This Row],[Type]]="P",Games[[#This Row],[Round]]=3),IF(Games[[#This Row],[Result]]&gt;0.5,1,0),0)</f>
        <v>0</v>
      </c>
      <c r="AJ421" s="2">
        <f>IF(AND(Games[[#This Row],[Type]]="P",Games[[#This Row],[Round]]=3),IF(Games[[#This Row],[Result]]&lt;0.5,1,0),0)</f>
        <v>0</v>
      </c>
      <c r="AK421" s="2">
        <f>IF(AND(Games[[#This Row],[Type]]="P",Games[[#This Row],[Round]]=4),IF(Games[[#This Row],[Result]]&gt;0.5,1,0),0)</f>
        <v>0</v>
      </c>
      <c r="AL421" s="2">
        <f>IF(AND(Games[[#This Row],[Type]]="P",Games[[#This Row],[Round]]=4),IF(Games[[#This Row],[Result]]&lt;0.5,1,0),0)</f>
        <v>0</v>
      </c>
    </row>
    <row r="422" spans="1:38" x14ac:dyDescent="0.35">
      <c r="A422" s="10">
        <v>45543</v>
      </c>
      <c r="B422" s="2">
        <v>2024</v>
      </c>
      <c r="C422" s="2">
        <f>COUNTIFS(Games[Team],Games[[#This Row],[Team]],Games[Season],Games[[#This Row],[Season]],Games[Date],"&lt;=" &amp; Games[[#This Row],[Date]])</f>
        <v>35</v>
      </c>
      <c r="D422" s="2" t="s">
        <v>79</v>
      </c>
      <c r="E422" s="2" t="s">
        <v>80</v>
      </c>
      <c r="F422" s="1" t="s">
        <v>67</v>
      </c>
      <c r="G422" s="1" t="s">
        <v>65</v>
      </c>
      <c r="H422" s="1" t="s">
        <v>81</v>
      </c>
      <c r="I422" s="2" cm="1">
        <f t="array" ref="I4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2" s="2" cm="1">
        <f t="array" ref="J4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2" s="2">
        <f>Games[[#This Row],[DaysOff]]-Games[[#This Row],[OppDaysOff]]</f>
        <v>-1</v>
      </c>
      <c r="L422" s="2">
        <f>Games[[#This Row],[OppDaysOff]]-Games[[#This Row],[DaysOff]]</f>
        <v>1</v>
      </c>
      <c r="M422" s="16">
        <f>MAX(-16, MIN(16, Games[[#This Row],[RestDiff]]*8))</f>
        <v>-8</v>
      </c>
      <c r="N422" s="16">
        <f>MAX(-16, MIN(16, Games[[#This Row],[OppRestDiff]]*8))</f>
        <v>8</v>
      </c>
      <c r="O422" s="4" cm="1">
        <f t="array" ref="O4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1625.4174598507059</v>
      </c>
      <c r="P422" s="4" cm="1">
        <f t="array" ref="P4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1433.6377515579784</v>
      </c>
      <c r="Q422" s="4">
        <f>1/(1+10^(((Games[[#This Row],[OppPreGmRate]]+IF(Games[[#This Row],[HomeAway]]="A",HCA,0)+Games[[#This Row],[OppRestAdj]])-(Games[[#This Row],[PreGmRate]]+IF(Games[[#This Row],[HomeAway]]="H",HCA,0)+Games[[#This Row],[RestAdj]]))/400))</f>
        <v>0.62909270324619182</v>
      </c>
      <c r="R422" s="1">
        <v>78</v>
      </c>
      <c r="S422" s="1">
        <v>71</v>
      </c>
      <c r="T422" s="1">
        <v>0</v>
      </c>
      <c r="U422" s="16">
        <f>Games[[#This Row],[PointsFor]]-Games[[#This Row],[PointsAgainst]]</f>
        <v>7</v>
      </c>
      <c r="V422" s="16">
        <f>IF(Games[[#This Row],[MOV]]&gt;0,1,IF(Games[[#This Row],[MOV]]=0,0.5,0))</f>
        <v>1</v>
      </c>
      <c r="W422" s="4">
        <f>((ABS(Games[[#This Row],[MOV]])+5)^0.6)/(12+0.01*(ABS(Games[[#This Row],[PreGmRate]]-Games[[#This Row],[OppPreGmRate]])))*IF(Games[[#This Row],[OT]]=1,0.9,1)</f>
        <v>0.31910840798892592</v>
      </c>
      <c r="X422" s="7" cm="1">
        <f t="array" ref="X4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2" s="9">
        <f>MAX(kmin, kmax - 0.15 * MIN(Games[[#This Row],[GamesPlayed]], 82))</f>
        <v>70.75</v>
      </c>
      <c r="Z422" s="4">
        <f>Games[[#This Row],[K]]*Games[[#This Row],[POMult]]</f>
        <v>70.75</v>
      </c>
      <c r="AA422" s="4">
        <f>(Games[[#This Row],[Keff]]*Games[[#This Row],[MOVMult]])*(Games[[#This Row],[Result]]-Games[[#This Row],[ExpectedWin%]])</f>
        <v>8.3739443162348071</v>
      </c>
      <c r="AB422" s="4">
        <f>Games[[#This Row],[PreGmRate]]+Games[[#This Row],[RatingChange]]</f>
        <v>1633.7914041669408</v>
      </c>
      <c r="AC422" s="2">
        <f>IF(Games[[#This Row],[Type]]="R",IF(Games[[#This Row],[Result]]&gt;0.5,1,0),0)</f>
        <v>1</v>
      </c>
      <c r="AD422" s="2">
        <f>IF(Games[[#This Row],[Type]]="R",IF(Games[[#This Row],[Result]]&lt;0.5,1,0),0)</f>
        <v>0</v>
      </c>
      <c r="AE422" s="2">
        <f>IF(AND(Games[[#This Row],[Type]]="P",Games[[#This Row],[Round]]=1),IF(Games[[#This Row],[Result]]&gt;0.5,1,0),0)</f>
        <v>0</v>
      </c>
      <c r="AF422" s="2">
        <f>IF(AND(Games[[#This Row],[Type]]="P",Games[[#This Row],[Round]]=1),IF(Games[[#This Row],[Result]]&lt;0.5,1,0),0)</f>
        <v>0</v>
      </c>
      <c r="AG422" s="2">
        <f>IF(AND(Games[[#This Row],[Type]]="P",Games[[#This Row],[Round]]=2),IF(Games[[#This Row],[Result]]&gt;0.5,1,0),0)</f>
        <v>0</v>
      </c>
      <c r="AH422" s="2">
        <f>IF(AND(Games[[#This Row],[Type]]="P",Games[[#This Row],[Round]]=2),IF(Games[[#This Row],[Result]]&lt;0.5,1,0),0)</f>
        <v>0</v>
      </c>
      <c r="AI422" s="2">
        <f>IF(AND(Games[[#This Row],[Type]]="P",Games[[#This Row],[Round]]=3),IF(Games[[#This Row],[Result]]&gt;0.5,1,0),0)</f>
        <v>0</v>
      </c>
      <c r="AJ422" s="2">
        <f>IF(AND(Games[[#This Row],[Type]]="P",Games[[#This Row],[Round]]=3),IF(Games[[#This Row],[Result]]&lt;0.5,1,0),0)</f>
        <v>0</v>
      </c>
      <c r="AK422" s="2">
        <f>IF(AND(Games[[#This Row],[Type]]="P",Games[[#This Row],[Round]]=4),IF(Games[[#This Row],[Result]]&gt;0.5,1,0),0)</f>
        <v>0</v>
      </c>
      <c r="AL422" s="2">
        <f>IF(AND(Games[[#This Row],[Type]]="P",Games[[#This Row],[Round]]=4),IF(Games[[#This Row],[Result]]&lt;0.5,1,0),0)</f>
        <v>0</v>
      </c>
    </row>
    <row r="423" spans="1:38" x14ac:dyDescent="0.35">
      <c r="A423" s="10">
        <v>45543</v>
      </c>
      <c r="B423" s="2">
        <v>2024</v>
      </c>
      <c r="C423" s="2">
        <f>COUNTIFS(Games[Team],Games[[#This Row],[Team]],Games[Season],Games[[#This Row],[Season]],Games[Date],"&lt;=" &amp; Games[[#This Row],[Date]])</f>
        <v>35</v>
      </c>
      <c r="D423" s="2" t="s">
        <v>79</v>
      </c>
      <c r="E423" s="2" t="s">
        <v>80</v>
      </c>
      <c r="F423" s="1" t="s">
        <v>65</v>
      </c>
      <c r="G423" s="1" t="s">
        <v>67</v>
      </c>
      <c r="H423" s="1" t="s">
        <v>82</v>
      </c>
      <c r="I423" s="2" cm="1">
        <f t="array" ref="I4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3" s="2" cm="1">
        <f t="array" ref="J4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3" s="2">
        <f>Games[[#This Row],[DaysOff]]-Games[[#This Row],[OppDaysOff]]</f>
        <v>1</v>
      </c>
      <c r="L423" s="2">
        <f>Games[[#This Row],[OppDaysOff]]-Games[[#This Row],[DaysOff]]</f>
        <v>-1</v>
      </c>
      <c r="M423" s="16">
        <f>MAX(-16, MIN(16, Games[[#This Row],[RestDiff]]*8))</f>
        <v>8</v>
      </c>
      <c r="N423" s="16">
        <f>MAX(-16, MIN(16, Games[[#This Row],[OppRestDiff]]*8))</f>
        <v>-8</v>
      </c>
      <c r="O423" s="4" cm="1">
        <f t="array" ref="O4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1433.6377515579784</v>
      </c>
      <c r="P423" s="4" cm="1">
        <f t="array" ref="P4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1625.4174598507059</v>
      </c>
      <c r="Q423" s="4">
        <f>1/(1+10^(((Games[[#This Row],[OppPreGmRate]]+IF(Games[[#This Row],[HomeAway]]="A",HCA,0)+Games[[#This Row],[OppRestAdj]])-(Games[[#This Row],[PreGmRate]]+IF(Games[[#This Row],[HomeAway]]="H",HCA,0)+Games[[#This Row],[RestAdj]]))/400))</f>
        <v>0.37090729675380824</v>
      </c>
      <c r="R423" s="1">
        <v>71</v>
      </c>
      <c r="S423" s="1">
        <v>78</v>
      </c>
      <c r="T423" s="1">
        <v>0</v>
      </c>
      <c r="U423" s="16">
        <f>Games[[#This Row],[PointsFor]]-Games[[#This Row],[PointsAgainst]]</f>
        <v>-7</v>
      </c>
      <c r="V423" s="16">
        <f>IF(Games[[#This Row],[MOV]]&gt;0,1,IF(Games[[#This Row],[MOV]]=0,0.5,0))</f>
        <v>0</v>
      </c>
      <c r="W423" s="4">
        <f>((ABS(Games[[#This Row],[MOV]])+5)^0.6)/(12+0.01*(ABS(Games[[#This Row],[PreGmRate]]-Games[[#This Row],[OppPreGmRate]])))*IF(Games[[#This Row],[OT]]=1,0.9,1)</f>
        <v>0.31910840798892592</v>
      </c>
      <c r="X423" s="7" cm="1">
        <f t="array" ref="X4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3" s="9">
        <f>MAX(kmin, kmax - 0.15 * MIN(Games[[#This Row],[GamesPlayed]], 82))</f>
        <v>70.75</v>
      </c>
      <c r="Z423" s="4">
        <f>Games[[#This Row],[K]]*Games[[#This Row],[POMult]]</f>
        <v>70.75</v>
      </c>
      <c r="AA423" s="4">
        <f>(Games[[#This Row],[Keff]]*Games[[#This Row],[MOVMult]])*(Games[[#This Row],[Result]]-Games[[#This Row],[ExpectedWin%]])</f>
        <v>-8.3739443162348088</v>
      </c>
      <c r="AB423" s="4">
        <f>Games[[#This Row],[PreGmRate]]+Games[[#This Row],[RatingChange]]</f>
        <v>1425.2638072417435</v>
      </c>
      <c r="AC423" s="2">
        <f>IF(Games[[#This Row],[Type]]="R",IF(Games[[#This Row],[Result]]&gt;0.5,1,0),0)</f>
        <v>0</v>
      </c>
      <c r="AD423" s="2">
        <f>IF(Games[[#This Row],[Type]]="R",IF(Games[[#This Row],[Result]]&lt;0.5,1,0),0)</f>
        <v>1</v>
      </c>
      <c r="AE423" s="2">
        <f>IF(AND(Games[[#This Row],[Type]]="P",Games[[#This Row],[Round]]=1),IF(Games[[#This Row],[Result]]&gt;0.5,1,0),0)</f>
        <v>0</v>
      </c>
      <c r="AF423" s="2">
        <f>IF(AND(Games[[#This Row],[Type]]="P",Games[[#This Row],[Round]]=1),IF(Games[[#This Row],[Result]]&lt;0.5,1,0),0)</f>
        <v>0</v>
      </c>
      <c r="AG423" s="2">
        <f>IF(AND(Games[[#This Row],[Type]]="P",Games[[#This Row],[Round]]=2),IF(Games[[#This Row],[Result]]&gt;0.5,1,0),0)</f>
        <v>0</v>
      </c>
      <c r="AH423" s="2">
        <f>IF(AND(Games[[#This Row],[Type]]="P",Games[[#This Row],[Round]]=2),IF(Games[[#This Row],[Result]]&lt;0.5,1,0),0)</f>
        <v>0</v>
      </c>
      <c r="AI423" s="2">
        <f>IF(AND(Games[[#This Row],[Type]]="P",Games[[#This Row],[Round]]=3),IF(Games[[#This Row],[Result]]&gt;0.5,1,0),0)</f>
        <v>0</v>
      </c>
      <c r="AJ423" s="2">
        <f>IF(AND(Games[[#This Row],[Type]]="P",Games[[#This Row],[Round]]=3),IF(Games[[#This Row],[Result]]&lt;0.5,1,0),0)</f>
        <v>0</v>
      </c>
      <c r="AK423" s="2">
        <f>IF(AND(Games[[#This Row],[Type]]="P",Games[[#This Row],[Round]]=4),IF(Games[[#This Row],[Result]]&gt;0.5,1,0),0)</f>
        <v>0</v>
      </c>
      <c r="AL423" s="2">
        <f>IF(AND(Games[[#This Row],[Type]]="P",Games[[#This Row],[Round]]=4),IF(Games[[#This Row],[Result]]&lt;0.5,1,0),0)</f>
        <v>0</v>
      </c>
    </row>
    <row r="424" spans="1:38" x14ac:dyDescent="0.35">
      <c r="A424" s="10">
        <v>45545</v>
      </c>
      <c r="B424" s="2">
        <v>2024</v>
      </c>
      <c r="C424" s="2">
        <f>COUNTIFS(Games[Team],Games[[#This Row],[Team]],Games[Season],Games[[#This Row],[Season]],Games[Date],"&lt;=" &amp; Games[[#This Row],[Date]])</f>
        <v>36</v>
      </c>
      <c r="D424" s="2" t="s">
        <v>79</v>
      </c>
      <c r="E424" s="2" t="s">
        <v>80</v>
      </c>
      <c r="F424" s="1" t="s">
        <v>67</v>
      </c>
      <c r="G424" s="1" t="s">
        <v>77</v>
      </c>
      <c r="H424" s="1" t="s">
        <v>81</v>
      </c>
      <c r="I424" s="2" cm="1">
        <f t="array" ref="I4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4" s="2" cm="1">
        <f t="array" ref="J4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4" s="2">
        <f>Games[[#This Row],[DaysOff]]-Games[[#This Row],[OppDaysOff]]</f>
        <v>0</v>
      </c>
      <c r="L424" s="2">
        <f>Games[[#This Row],[OppDaysOff]]-Games[[#This Row],[DaysOff]]</f>
        <v>0</v>
      </c>
      <c r="M424" s="16">
        <f>MAX(-16, MIN(16, Games[[#This Row],[RestDiff]]*8))</f>
        <v>0</v>
      </c>
      <c r="N424" s="16">
        <f>MAX(-16, MIN(16, Games[[#This Row],[OppRestDiff]]*8))</f>
        <v>0</v>
      </c>
      <c r="O424" s="4" cm="1">
        <f t="array" ref="O4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1633.7914041669408</v>
      </c>
      <c r="P424" s="4" cm="1">
        <f t="array" ref="P4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1403.6786717061511</v>
      </c>
      <c r="Q424" s="4">
        <f>1/(1+10^(((Games[[#This Row],[OppPreGmRate]]+IF(Games[[#This Row],[HomeAway]]="A",HCA,0)+Games[[#This Row],[OppRestAdj]])-(Games[[#This Row],[PreGmRate]]+IF(Games[[#This Row],[HomeAway]]="H",HCA,0)+Games[[#This Row],[RestAdj]]))/400))</f>
        <v>0.69869525904959473</v>
      </c>
      <c r="R424" s="1">
        <v>76</v>
      </c>
      <c r="S424" s="1">
        <v>64</v>
      </c>
      <c r="T424" s="1">
        <v>0</v>
      </c>
      <c r="U424" s="16">
        <f>Games[[#This Row],[PointsFor]]-Games[[#This Row],[PointsAgainst]]</f>
        <v>12</v>
      </c>
      <c r="V424" s="16">
        <f>IF(Games[[#This Row],[MOV]]&gt;0,1,IF(Games[[#This Row],[MOV]]=0,0.5,0))</f>
        <v>1</v>
      </c>
      <c r="W424" s="4">
        <f>((ABS(Games[[#This Row],[MOV]])+5)^0.6)/(12+0.01*(ABS(Games[[#This Row],[PreGmRate]]-Games[[#This Row],[OppPreGmRate]])))*IF(Games[[#This Row],[OT]]=1,0.9,1)</f>
        <v>0.3827357936671304</v>
      </c>
      <c r="X424" s="7" cm="1">
        <f t="array" ref="X4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4" s="9">
        <f>MAX(kmin, kmax - 0.15 * MIN(Games[[#This Row],[GamesPlayed]], 82))</f>
        <v>70.599999999999994</v>
      </c>
      <c r="Z424" s="4">
        <f>Games[[#This Row],[K]]*Games[[#This Row],[POMult]]</f>
        <v>70.599999999999994</v>
      </c>
      <c r="AA424" s="4">
        <f>(Games[[#This Row],[Keff]]*Games[[#This Row],[MOVMult]])*(Games[[#This Row],[Result]]-Games[[#This Row],[ExpectedWin%]])</f>
        <v>8.1415997069305668</v>
      </c>
      <c r="AB424" s="4">
        <f>Games[[#This Row],[PreGmRate]]+Games[[#This Row],[RatingChange]]</f>
        <v>1641.9330038738713</v>
      </c>
      <c r="AC424" s="2">
        <f>IF(Games[[#This Row],[Type]]="R",IF(Games[[#This Row],[Result]]&gt;0.5,1,0),0)</f>
        <v>1</v>
      </c>
      <c r="AD424" s="2">
        <f>IF(Games[[#This Row],[Type]]="R",IF(Games[[#This Row],[Result]]&lt;0.5,1,0),0)</f>
        <v>0</v>
      </c>
      <c r="AE424" s="2">
        <f>IF(AND(Games[[#This Row],[Type]]="P",Games[[#This Row],[Round]]=1),IF(Games[[#This Row],[Result]]&gt;0.5,1,0),0)</f>
        <v>0</v>
      </c>
      <c r="AF424" s="2">
        <f>IF(AND(Games[[#This Row],[Type]]="P",Games[[#This Row],[Round]]=1),IF(Games[[#This Row],[Result]]&lt;0.5,1,0),0)</f>
        <v>0</v>
      </c>
      <c r="AG424" s="2">
        <f>IF(AND(Games[[#This Row],[Type]]="P",Games[[#This Row],[Round]]=2),IF(Games[[#This Row],[Result]]&gt;0.5,1,0),0)</f>
        <v>0</v>
      </c>
      <c r="AH424" s="2">
        <f>IF(AND(Games[[#This Row],[Type]]="P",Games[[#This Row],[Round]]=2),IF(Games[[#This Row],[Result]]&lt;0.5,1,0),0)</f>
        <v>0</v>
      </c>
      <c r="AI424" s="2">
        <f>IF(AND(Games[[#This Row],[Type]]="P",Games[[#This Row],[Round]]=3),IF(Games[[#This Row],[Result]]&gt;0.5,1,0),0)</f>
        <v>0</v>
      </c>
      <c r="AJ424" s="2">
        <f>IF(AND(Games[[#This Row],[Type]]="P",Games[[#This Row],[Round]]=3),IF(Games[[#This Row],[Result]]&lt;0.5,1,0),0)</f>
        <v>0</v>
      </c>
      <c r="AK424" s="2">
        <f>IF(AND(Games[[#This Row],[Type]]="P",Games[[#This Row],[Round]]=4),IF(Games[[#This Row],[Result]]&gt;0.5,1,0),0)</f>
        <v>0</v>
      </c>
      <c r="AL424" s="2">
        <f>IF(AND(Games[[#This Row],[Type]]="P",Games[[#This Row],[Round]]=4),IF(Games[[#This Row],[Result]]&lt;0.5,1,0),0)</f>
        <v>0</v>
      </c>
    </row>
    <row r="425" spans="1:38" x14ac:dyDescent="0.35">
      <c r="A425" s="10">
        <v>45545</v>
      </c>
      <c r="B425" s="2">
        <v>2024</v>
      </c>
      <c r="C425" s="2">
        <f>COUNTIFS(Games[Team],Games[[#This Row],[Team]],Games[Season],Games[[#This Row],[Season]],Games[Date],"&lt;=" &amp; Games[[#This Row],[Date]])</f>
        <v>36</v>
      </c>
      <c r="D425" s="2" t="s">
        <v>79</v>
      </c>
      <c r="E425" s="2" t="s">
        <v>80</v>
      </c>
      <c r="F425" s="1" t="s">
        <v>77</v>
      </c>
      <c r="G425" s="1" t="s">
        <v>67</v>
      </c>
      <c r="H425" s="1" t="s">
        <v>82</v>
      </c>
      <c r="I425" s="2" cm="1">
        <f t="array" ref="I4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5" s="2" cm="1">
        <f t="array" ref="J4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5" s="2">
        <f>Games[[#This Row],[DaysOff]]-Games[[#This Row],[OppDaysOff]]</f>
        <v>0</v>
      </c>
      <c r="L425" s="2">
        <f>Games[[#This Row],[OppDaysOff]]-Games[[#This Row],[DaysOff]]</f>
        <v>0</v>
      </c>
      <c r="M425" s="16">
        <f>MAX(-16, MIN(16, Games[[#This Row],[RestDiff]]*8))</f>
        <v>0</v>
      </c>
      <c r="N425" s="16">
        <f>MAX(-16, MIN(16, Games[[#This Row],[OppRestDiff]]*8))</f>
        <v>0</v>
      </c>
      <c r="O425" s="4" cm="1">
        <f t="array" ref="O4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1403.6786717061511</v>
      </c>
      <c r="P425" s="4" cm="1">
        <f t="array" ref="P4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1633.7914041669408</v>
      </c>
      <c r="Q425" s="4">
        <f>1/(1+10^(((Games[[#This Row],[OppPreGmRate]]+IF(Games[[#This Row],[HomeAway]]="A",HCA,0)+Games[[#This Row],[OppRestAdj]])-(Games[[#This Row],[PreGmRate]]+IF(Games[[#This Row],[HomeAway]]="H",HCA,0)+Games[[#This Row],[RestAdj]]))/400))</f>
        <v>0.30130474095040527</v>
      </c>
      <c r="R425" s="1">
        <v>64</v>
      </c>
      <c r="S425" s="1">
        <v>76</v>
      </c>
      <c r="T425" s="1">
        <v>0</v>
      </c>
      <c r="U425" s="16">
        <f>Games[[#This Row],[PointsFor]]-Games[[#This Row],[PointsAgainst]]</f>
        <v>-12</v>
      </c>
      <c r="V425" s="16">
        <f>IF(Games[[#This Row],[MOV]]&gt;0,1,IF(Games[[#This Row],[MOV]]=0,0.5,0))</f>
        <v>0</v>
      </c>
      <c r="W425" s="4">
        <f>((ABS(Games[[#This Row],[MOV]])+5)^0.6)/(12+0.01*(ABS(Games[[#This Row],[PreGmRate]]-Games[[#This Row],[OppPreGmRate]])))*IF(Games[[#This Row],[OT]]=1,0.9,1)</f>
        <v>0.3827357936671304</v>
      </c>
      <c r="X425" s="7" cm="1">
        <f t="array" ref="X4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5" s="9">
        <f>MAX(kmin, kmax - 0.15 * MIN(Games[[#This Row],[GamesPlayed]], 82))</f>
        <v>70.599999999999994</v>
      </c>
      <c r="Z425" s="4">
        <f>Games[[#This Row],[K]]*Games[[#This Row],[POMult]]</f>
        <v>70.599999999999994</v>
      </c>
      <c r="AA425" s="4">
        <f>(Games[[#This Row],[Keff]]*Games[[#This Row],[MOVMult]])*(Games[[#This Row],[Result]]-Games[[#This Row],[ExpectedWin%]])</f>
        <v>-8.1415997069305668</v>
      </c>
      <c r="AB425" s="4">
        <f>Games[[#This Row],[PreGmRate]]+Games[[#This Row],[RatingChange]]</f>
        <v>1395.5370719992206</v>
      </c>
      <c r="AC425" s="2">
        <f>IF(Games[[#This Row],[Type]]="R",IF(Games[[#This Row],[Result]]&gt;0.5,1,0),0)</f>
        <v>0</v>
      </c>
      <c r="AD425" s="2">
        <f>IF(Games[[#This Row],[Type]]="R",IF(Games[[#This Row],[Result]]&lt;0.5,1,0),0)</f>
        <v>1</v>
      </c>
      <c r="AE425" s="2">
        <f>IF(AND(Games[[#This Row],[Type]]="P",Games[[#This Row],[Round]]=1),IF(Games[[#This Row],[Result]]&gt;0.5,1,0),0)</f>
        <v>0</v>
      </c>
      <c r="AF425" s="2">
        <f>IF(AND(Games[[#This Row],[Type]]="P",Games[[#This Row],[Round]]=1),IF(Games[[#This Row],[Result]]&lt;0.5,1,0),0)</f>
        <v>0</v>
      </c>
      <c r="AG425" s="2">
        <f>IF(AND(Games[[#This Row],[Type]]="P",Games[[#This Row],[Round]]=2),IF(Games[[#This Row],[Result]]&gt;0.5,1,0),0)</f>
        <v>0</v>
      </c>
      <c r="AH425" s="2">
        <f>IF(AND(Games[[#This Row],[Type]]="P",Games[[#This Row],[Round]]=2),IF(Games[[#This Row],[Result]]&lt;0.5,1,0),0)</f>
        <v>0</v>
      </c>
      <c r="AI425" s="2">
        <f>IF(AND(Games[[#This Row],[Type]]="P",Games[[#This Row],[Round]]=3),IF(Games[[#This Row],[Result]]&gt;0.5,1,0),0)</f>
        <v>0</v>
      </c>
      <c r="AJ425" s="2">
        <f>IF(AND(Games[[#This Row],[Type]]="P",Games[[#This Row],[Round]]=3),IF(Games[[#This Row],[Result]]&lt;0.5,1,0),0)</f>
        <v>0</v>
      </c>
      <c r="AK425" s="2">
        <f>IF(AND(Games[[#This Row],[Type]]="P",Games[[#This Row],[Round]]=4),IF(Games[[#This Row],[Result]]&gt;0.5,1,0),0)</f>
        <v>0</v>
      </c>
      <c r="AL425" s="2">
        <f>IF(AND(Games[[#This Row],[Type]]="P",Games[[#This Row],[Round]]=4),IF(Games[[#This Row],[Result]]&lt;0.5,1,0),0)</f>
        <v>0</v>
      </c>
    </row>
    <row r="426" spans="1:38" x14ac:dyDescent="0.35">
      <c r="A426" s="10">
        <v>45545</v>
      </c>
      <c r="B426" s="2">
        <v>2024</v>
      </c>
      <c r="C426" s="2">
        <f>COUNTIFS(Games[Team],Games[[#This Row],[Team]],Games[Season],Games[[#This Row],[Season]],Games[Date],"&lt;=" &amp; Games[[#This Row],[Date]])</f>
        <v>36</v>
      </c>
      <c r="D426" s="2" t="s">
        <v>79</v>
      </c>
      <c r="E426" s="2" t="s">
        <v>80</v>
      </c>
      <c r="F426" s="1" t="s">
        <v>60</v>
      </c>
      <c r="G426" s="1" t="s">
        <v>85</v>
      </c>
      <c r="H426" s="1" t="s">
        <v>81</v>
      </c>
      <c r="I426" s="2" cm="1">
        <f t="array" ref="I4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6" s="2" cm="1">
        <f t="array" ref="J4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6" s="2">
        <f>Games[[#This Row],[DaysOff]]-Games[[#This Row],[OppDaysOff]]</f>
        <v>0</v>
      </c>
      <c r="L426" s="2">
        <f>Games[[#This Row],[OppDaysOff]]-Games[[#This Row],[DaysOff]]</f>
        <v>0</v>
      </c>
      <c r="M426" s="16">
        <f>MAX(-16, MIN(16, Games[[#This Row],[RestDiff]]*8))</f>
        <v>0</v>
      </c>
      <c r="N426" s="16">
        <f>MAX(-16, MIN(16, Games[[#This Row],[OppRestDiff]]*8))</f>
        <v>0</v>
      </c>
      <c r="O426" s="4" cm="1">
        <f t="array" ref="O4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1729.5624047397509</v>
      </c>
      <c r="P426" s="4" cm="1">
        <f t="array" ref="P4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1354.7051423548423</v>
      </c>
      <c r="Q426" s="4">
        <f>1/(1+10^(((Games[[#This Row],[OppPreGmRate]]+IF(Games[[#This Row],[HomeAway]]="A",HCA,0)+Games[[#This Row],[OppRestAdj]])-(Games[[#This Row],[PreGmRate]]+IF(Games[[#This Row],[HomeAway]]="H",HCA,0)+Games[[#This Row],[RestAdj]]))/400))</f>
        <v>0.84214947634161674</v>
      </c>
      <c r="R426" s="1">
        <v>105</v>
      </c>
      <c r="S426" s="1">
        <v>91</v>
      </c>
      <c r="T426" s="1">
        <v>0</v>
      </c>
      <c r="U426" s="16">
        <f>Games[[#This Row],[PointsFor]]-Games[[#This Row],[PointsAgainst]]</f>
        <v>14</v>
      </c>
      <c r="V426" s="16">
        <f>IF(Games[[#This Row],[MOV]]&gt;0,1,IF(Games[[#This Row],[MOV]]=0,0.5,0))</f>
        <v>1</v>
      </c>
      <c r="W426" s="4">
        <f>((ABS(Games[[#This Row],[MOV]])+5)^0.6)/(12+0.01*(ABS(Games[[#This Row],[PreGmRate]]-Games[[#This Row],[OppPreGmRate]])))*IF(Games[[#This Row],[OT]]=1,0.9,1)</f>
        <v>0.37154460802042566</v>
      </c>
      <c r="X426" s="7" cm="1">
        <f t="array" ref="X4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6" s="9">
        <f>MAX(kmin, kmax - 0.15 * MIN(Games[[#This Row],[GamesPlayed]], 82))</f>
        <v>70.599999999999994</v>
      </c>
      <c r="Z426" s="4">
        <f>Games[[#This Row],[K]]*Games[[#This Row],[POMult]]</f>
        <v>70.599999999999994</v>
      </c>
      <c r="AA426" s="4">
        <f>(Games[[#This Row],[Keff]]*Games[[#This Row],[MOVMult]])*(Games[[#This Row],[Result]]-Games[[#This Row],[ExpectedWin%]])</f>
        <v>4.1405848722561887</v>
      </c>
      <c r="AB426" s="4">
        <f>Games[[#This Row],[PreGmRate]]+Games[[#This Row],[RatingChange]]</f>
        <v>1733.7029896120071</v>
      </c>
      <c r="AC426" s="2">
        <f>IF(Games[[#This Row],[Type]]="R",IF(Games[[#This Row],[Result]]&gt;0.5,1,0),0)</f>
        <v>1</v>
      </c>
      <c r="AD426" s="2">
        <f>IF(Games[[#This Row],[Type]]="R",IF(Games[[#This Row],[Result]]&lt;0.5,1,0),0)</f>
        <v>0</v>
      </c>
      <c r="AE426" s="2">
        <f>IF(AND(Games[[#This Row],[Type]]="P",Games[[#This Row],[Round]]=1),IF(Games[[#This Row],[Result]]&gt;0.5,1,0),0)</f>
        <v>0</v>
      </c>
      <c r="AF426" s="2">
        <f>IF(AND(Games[[#This Row],[Type]]="P",Games[[#This Row],[Round]]=1),IF(Games[[#This Row],[Result]]&lt;0.5,1,0),0)</f>
        <v>0</v>
      </c>
      <c r="AG426" s="2">
        <f>IF(AND(Games[[#This Row],[Type]]="P",Games[[#This Row],[Round]]=2),IF(Games[[#This Row],[Result]]&gt;0.5,1,0),0)</f>
        <v>0</v>
      </c>
      <c r="AH426" s="2">
        <f>IF(AND(Games[[#This Row],[Type]]="P",Games[[#This Row],[Round]]=2),IF(Games[[#This Row],[Result]]&lt;0.5,1,0),0)</f>
        <v>0</v>
      </c>
      <c r="AI426" s="2">
        <f>IF(AND(Games[[#This Row],[Type]]="P",Games[[#This Row],[Round]]=3),IF(Games[[#This Row],[Result]]&gt;0.5,1,0),0)</f>
        <v>0</v>
      </c>
      <c r="AJ426" s="2">
        <f>IF(AND(Games[[#This Row],[Type]]="P",Games[[#This Row],[Round]]=3),IF(Games[[#This Row],[Result]]&lt;0.5,1,0),0)</f>
        <v>0</v>
      </c>
      <c r="AK426" s="2">
        <f>IF(AND(Games[[#This Row],[Type]]="P",Games[[#This Row],[Round]]=4),IF(Games[[#This Row],[Result]]&gt;0.5,1,0),0)</f>
        <v>0</v>
      </c>
      <c r="AL426" s="2">
        <f>IF(AND(Games[[#This Row],[Type]]="P",Games[[#This Row],[Round]]=4),IF(Games[[#This Row],[Result]]&lt;0.5,1,0),0)</f>
        <v>0</v>
      </c>
    </row>
    <row r="427" spans="1:38" x14ac:dyDescent="0.35">
      <c r="A427" s="10">
        <v>45545</v>
      </c>
      <c r="B427" s="2">
        <v>2024</v>
      </c>
      <c r="C427" s="2">
        <f>COUNTIFS(Games[Team],Games[[#This Row],[Team]],Games[Season],Games[[#This Row],[Season]],Games[Date],"&lt;=" &amp; Games[[#This Row],[Date]])</f>
        <v>36</v>
      </c>
      <c r="D427" s="2" t="s">
        <v>79</v>
      </c>
      <c r="E427" s="2" t="s">
        <v>80</v>
      </c>
      <c r="F427" s="1" t="s">
        <v>85</v>
      </c>
      <c r="G427" s="1" t="s">
        <v>60</v>
      </c>
      <c r="H427" s="1" t="s">
        <v>82</v>
      </c>
      <c r="I427" s="2" cm="1">
        <f t="array" ref="I4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7" s="2" cm="1">
        <f t="array" ref="J4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7" s="2">
        <f>Games[[#This Row],[DaysOff]]-Games[[#This Row],[OppDaysOff]]</f>
        <v>0</v>
      </c>
      <c r="L427" s="2">
        <f>Games[[#This Row],[OppDaysOff]]-Games[[#This Row],[DaysOff]]</f>
        <v>0</v>
      </c>
      <c r="M427" s="16">
        <f>MAX(-16, MIN(16, Games[[#This Row],[RestDiff]]*8))</f>
        <v>0</v>
      </c>
      <c r="N427" s="16">
        <f>MAX(-16, MIN(16, Games[[#This Row],[OppRestDiff]]*8))</f>
        <v>0</v>
      </c>
      <c r="O427" s="4" cm="1">
        <f t="array" ref="O4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1354.7051423548423</v>
      </c>
      <c r="P427" s="4" cm="1">
        <f t="array" ref="P4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1729.5624047397509</v>
      </c>
      <c r="Q427" s="4">
        <f>1/(1+10^(((Games[[#This Row],[OppPreGmRate]]+IF(Games[[#This Row],[HomeAway]]="A",HCA,0)+Games[[#This Row],[OppRestAdj]])-(Games[[#This Row],[PreGmRate]]+IF(Games[[#This Row],[HomeAway]]="H",HCA,0)+Games[[#This Row],[RestAdj]]))/400))</f>
        <v>0.15785052365838328</v>
      </c>
      <c r="R427" s="1">
        <v>91</v>
      </c>
      <c r="S427" s="1">
        <v>105</v>
      </c>
      <c r="T427" s="1">
        <v>0</v>
      </c>
      <c r="U427" s="16">
        <f>Games[[#This Row],[PointsFor]]-Games[[#This Row],[PointsAgainst]]</f>
        <v>-14</v>
      </c>
      <c r="V427" s="16">
        <f>IF(Games[[#This Row],[MOV]]&gt;0,1,IF(Games[[#This Row],[MOV]]=0,0.5,0))</f>
        <v>0</v>
      </c>
      <c r="W427" s="4">
        <f>((ABS(Games[[#This Row],[MOV]])+5)^0.6)/(12+0.01*(ABS(Games[[#This Row],[PreGmRate]]-Games[[#This Row],[OppPreGmRate]])))*IF(Games[[#This Row],[OT]]=1,0.9,1)</f>
        <v>0.37154460802042566</v>
      </c>
      <c r="X427" s="7" cm="1">
        <f t="array" ref="X4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7" s="9">
        <f>MAX(kmin, kmax - 0.15 * MIN(Games[[#This Row],[GamesPlayed]], 82))</f>
        <v>70.599999999999994</v>
      </c>
      <c r="Z427" s="4">
        <f>Games[[#This Row],[K]]*Games[[#This Row],[POMult]]</f>
        <v>70.599999999999994</v>
      </c>
      <c r="AA427" s="4">
        <f>(Games[[#This Row],[Keff]]*Games[[#This Row],[MOVMult]])*(Games[[#This Row],[Result]]-Games[[#This Row],[ExpectedWin%]])</f>
        <v>-4.1405848722561895</v>
      </c>
      <c r="AB427" s="4">
        <f>Games[[#This Row],[PreGmRate]]+Games[[#This Row],[RatingChange]]</f>
        <v>1350.5645574825862</v>
      </c>
      <c r="AC427" s="2">
        <f>IF(Games[[#This Row],[Type]]="R",IF(Games[[#This Row],[Result]]&gt;0.5,1,0),0)</f>
        <v>0</v>
      </c>
      <c r="AD427" s="2">
        <f>IF(Games[[#This Row],[Type]]="R",IF(Games[[#This Row],[Result]]&lt;0.5,1,0),0)</f>
        <v>1</v>
      </c>
      <c r="AE427" s="2">
        <f>IF(AND(Games[[#This Row],[Type]]="P",Games[[#This Row],[Round]]=1),IF(Games[[#This Row],[Result]]&gt;0.5,1,0),0)</f>
        <v>0</v>
      </c>
      <c r="AF427" s="2">
        <f>IF(AND(Games[[#This Row],[Type]]="P",Games[[#This Row],[Round]]=1),IF(Games[[#This Row],[Result]]&lt;0.5,1,0),0)</f>
        <v>0</v>
      </c>
      <c r="AG427" s="2">
        <f>IF(AND(Games[[#This Row],[Type]]="P",Games[[#This Row],[Round]]=2),IF(Games[[#This Row],[Result]]&gt;0.5,1,0),0)</f>
        <v>0</v>
      </c>
      <c r="AH427" s="2">
        <f>IF(AND(Games[[#This Row],[Type]]="P",Games[[#This Row],[Round]]=2),IF(Games[[#This Row],[Result]]&lt;0.5,1,0),0)</f>
        <v>0</v>
      </c>
      <c r="AI427" s="2">
        <f>IF(AND(Games[[#This Row],[Type]]="P",Games[[#This Row],[Round]]=3),IF(Games[[#This Row],[Result]]&gt;0.5,1,0),0)</f>
        <v>0</v>
      </c>
      <c r="AJ427" s="2">
        <f>IF(AND(Games[[#This Row],[Type]]="P",Games[[#This Row],[Round]]=3),IF(Games[[#This Row],[Result]]&lt;0.5,1,0),0)</f>
        <v>0</v>
      </c>
      <c r="AK427" s="2">
        <f>IF(AND(Games[[#This Row],[Type]]="P",Games[[#This Row],[Round]]=4),IF(Games[[#This Row],[Result]]&gt;0.5,1,0),0)</f>
        <v>0</v>
      </c>
      <c r="AL427" s="2">
        <f>IF(AND(Games[[#This Row],[Type]]="P",Games[[#This Row],[Round]]=4),IF(Games[[#This Row],[Result]]&lt;0.5,1,0),0)</f>
        <v>0</v>
      </c>
    </row>
    <row r="428" spans="1:38" x14ac:dyDescent="0.35">
      <c r="A428" s="10">
        <v>45545</v>
      </c>
      <c r="B428" s="2">
        <v>2024</v>
      </c>
      <c r="C428" s="2">
        <f>COUNTIFS(Games[Team],Games[[#This Row],[Team]],Games[Season],Games[[#This Row],[Season]],Games[Date],"&lt;=" &amp; Games[[#This Row],[Date]])</f>
        <v>36</v>
      </c>
      <c r="D428" s="2" t="s">
        <v>79</v>
      </c>
      <c r="E428" s="2" t="s">
        <v>80</v>
      </c>
      <c r="F428" s="1" t="s">
        <v>74</v>
      </c>
      <c r="G428" s="1" t="s">
        <v>63</v>
      </c>
      <c r="H428" s="1" t="s">
        <v>81</v>
      </c>
      <c r="I428" s="2" cm="1">
        <f t="array" ref="I4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8" s="2" cm="1">
        <f t="array" ref="J4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8" s="2">
        <f>Games[[#This Row],[DaysOff]]-Games[[#This Row],[OppDaysOff]]</f>
        <v>0</v>
      </c>
      <c r="L428" s="2">
        <f>Games[[#This Row],[OppDaysOff]]-Games[[#This Row],[DaysOff]]</f>
        <v>0</v>
      </c>
      <c r="M428" s="16">
        <f>MAX(-16, MIN(16, Games[[#This Row],[RestDiff]]*8))</f>
        <v>0</v>
      </c>
      <c r="N428" s="16">
        <f>MAX(-16, MIN(16, Games[[#This Row],[OppRestDiff]]*8))</f>
        <v>0</v>
      </c>
      <c r="O428" s="4" cm="1">
        <f t="array" ref="O4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1611.2789433511591</v>
      </c>
      <c r="P428" s="4" cm="1">
        <f t="array" ref="P4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1303.4910794657449</v>
      </c>
      <c r="Q428" s="4">
        <f>1/(1+10^(((Games[[#This Row],[OppPreGmRate]]+IF(Games[[#This Row],[HomeAway]]="A",HCA,0)+Games[[#This Row],[OppRestAdj]])-(Games[[#This Row],[PreGmRate]]+IF(Games[[#This Row],[HomeAway]]="H",HCA,0)+Games[[#This Row],[RestAdj]]))/400))</f>
        <v>0.78384685436774126</v>
      </c>
      <c r="R428" s="1">
        <v>86</v>
      </c>
      <c r="S428" s="1">
        <v>66</v>
      </c>
      <c r="T428" s="1">
        <v>0</v>
      </c>
      <c r="U428" s="16">
        <f>Games[[#This Row],[PointsFor]]-Games[[#This Row],[PointsAgainst]]</f>
        <v>20</v>
      </c>
      <c r="V428" s="16">
        <f>IF(Games[[#This Row],[MOV]]&gt;0,1,IF(Games[[#This Row],[MOV]]=0,0.5,0))</f>
        <v>1</v>
      </c>
      <c r="W428" s="4">
        <f>((ABS(Games[[#This Row],[MOV]])+5)^0.6)/(12+0.01*(ABS(Games[[#This Row],[PreGmRate]]-Games[[#This Row],[OppPreGmRate]])))*IF(Games[[#This Row],[OT]]=1,0.9,1)</f>
        <v>0.45753441001501133</v>
      </c>
      <c r="X428" s="7" cm="1">
        <f t="array" ref="X4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8" s="9">
        <f>MAX(kmin, kmax - 0.15 * MIN(Games[[#This Row],[GamesPlayed]], 82))</f>
        <v>70.599999999999994</v>
      </c>
      <c r="Z428" s="4">
        <f>Games[[#This Row],[K]]*Games[[#This Row],[POMult]]</f>
        <v>70.599999999999994</v>
      </c>
      <c r="AA428" s="4">
        <f>(Games[[#This Row],[Keff]]*Games[[#This Row],[MOVMult]])*(Games[[#This Row],[Result]]-Games[[#This Row],[ExpectedWin%]])</f>
        <v>6.9821636383579486</v>
      </c>
      <c r="AB428" s="4">
        <f>Games[[#This Row],[PreGmRate]]+Games[[#This Row],[RatingChange]]</f>
        <v>1618.261106989517</v>
      </c>
      <c r="AC428" s="2">
        <f>IF(Games[[#This Row],[Type]]="R",IF(Games[[#This Row],[Result]]&gt;0.5,1,0),0)</f>
        <v>1</v>
      </c>
      <c r="AD428" s="2">
        <f>IF(Games[[#This Row],[Type]]="R",IF(Games[[#This Row],[Result]]&lt;0.5,1,0),0)</f>
        <v>0</v>
      </c>
      <c r="AE428" s="2">
        <f>IF(AND(Games[[#This Row],[Type]]="P",Games[[#This Row],[Round]]=1),IF(Games[[#This Row],[Result]]&gt;0.5,1,0),0)</f>
        <v>0</v>
      </c>
      <c r="AF428" s="2">
        <f>IF(AND(Games[[#This Row],[Type]]="P",Games[[#This Row],[Round]]=1),IF(Games[[#This Row],[Result]]&lt;0.5,1,0),0)</f>
        <v>0</v>
      </c>
      <c r="AG428" s="2">
        <f>IF(AND(Games[[#This Row],[Type]]="P",Games[[#This Row],[Round]]=2),IF(Games[[#This Row],[Result]]&gt;0.5,1,0),0)</f>
        <v>0</v>
      </c>
      <c r="AH428" s="2">
        <f>IF(AND(Games[[#This Row],[Type]]="P",Games[[#This Row],[Round]]=2),IF(Games[[#This Row],[Result]]&lt;0.5,1,0),0)</f>
        <v>0</v>
      </c>
      <c r="AI428" s="2">
        <f>IF(AND(Games[[#This Row],[Type]]="P",Games[[#This Row],[Round]]=3),IF(Games[[#This Row],[Result]]&gt;0.5,1,0),0)</f>
        <v>0</v>
      </c>
      <c r="AJ428" s="2">
        <f>IF(AND(Games[[#This Row],[Type]]="P",Games[[#This Row],[Round]]=3),IF(Games[[#This Row],[Result]]&lt;0.5,1,0),0)</f>
        <v>0</v>
      </c>
      <c r="AK428" s="2">
        <f>IF(AND(Games[[#This Row],[Type]]="P",Games[[#This Row],[Round]]=4),IF(Games[[#This Row],[Result]]&gt;0.5,1,0),0)</f>
        <v>0</v>
      </c>
      <c r="AL428" s="2">
        <f>IF(AND(Games[[#This Row],[Type]]="P",Games[[#This Row],[Round]]=4),IF(Games[[#This Row],[Result]]&lt;0.5,1,0),0)</f>
        <v>0</v>
      </c>
    </row>
    <row r="429" spans="1:38" x14ac:dyDescent="0.35">
      <c r="A429" s="10">
        <v>45545</v>
      </c>
      <c r="B429" s="2">
        <v>2024</v>
      </c>
      <c r="C429" s="2">
        <f>COUNTIFS(Games[Team],Games[[#This Row],[Team]],Games[Season],Games[[#This Row],[Season]],Games[Date],"&lt;=" &amp; Games[[#This Row],[Date]])</f>
        <v>36</v>
      </c>
      <c r="D429" s="2" t="s">
        <v>79</v>
      </c>
      <c r="E429" s="2" t="s">
        <v>80</v>
      </c>
      <c r="F429" s="1" t="s">
        <v>63</v>
      </c>
      <c r="G429" s="1" t="s">
        <v>74</v>
      </c>
      <c r="H429" s="1" t="s">
        <v>82</v>
      </c>
      <c r="I429" s="2" cm="1">
        <f t="array" ref="I4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9" s="2" cm="1">
        <f t="array" ref="J4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9" s="2">
        <f>Games[[#This Row],[DaysOff]]-Games[[#This Row],[OppDaysOff]]</f>
        <v>0</v>
      </c>
      <c r="L429" s="2">
        <f>Games[[#This Row],[OppDaysOff]]-Games[[#This Row],[DaysOff]]</f>
        <v>0</v>
      </c>
      <c r="M429" s="16">
        <f>MAX(-16, MIN(16, Games[[#This Row],[RestDiff]]*8))</f>
        <v>0</v>
      </c>
      <c r="N429" s="16">
        <f>MAX(-16, MIN(16, Games[[#This Row],[OppRestDiff]]*8))</f>
        <v>0</v>
      </c>
      <c r="O429" s="4" cm="1">
        <f t="array" ref="O4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1303.4910794657449</v>
      </c>
      <c r="P429" s="4" cm="1">
        <f t="array" ref="P4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1611.2789433511591</v>
      </c>
      <c r="Q429" s="4">
        <f>1/(1+10^(((Games[[#This Row],[OppPreGmRate]]+IF(Games[[#This Row],[HomeAway]]="A",HCA,0)+Games[[#This Row],[OppRestAdj]])-(Games[[#This Row],[PreGmRate]]+IF(Games[[#This Row],[HomeAway]]="H",HCA,0)+Games[[#This Row],[RestAdj]]))/400))</f>
        <v>0.21615314563225863</v>
      </c>
      <c r="R429" s="1">
        <v>66</v>
      </c>
      <c r="S429" s="1">
        <v>86</v>
      </c>
      <c r="T429" s="1">
        <v>0</v>
      </c>
      <c r="U429" s="16">
        <f>Games[[#This Row],[PointsFor]]-Games[[#This Row],[PointsAgainst]]</f>
        <v>-20</v>
      </c>
      <c r="V429" s="16">
        <f>IF(Games[[#This Row],[MOV]]&gt;0,1,IF(Games[[#This Row],[MOV]]=0,0.5,0))</f>
        <v>0</v>
      </c>
      <c r="W429" s="4">
        <f>((ABS(Games[[#This Row],[MOV]])+5)^0.6)/(12+0.01*(ABS(Games[[#This Row],[PreGmRate]]-Games[[#This Row],[OppPreGmRate]])))*IF(Games[[#This Row],[OT]]=1,0.9,1)</f>
        <v>0.45753441001501133</v>
      </c>
      <c r="X429" s="7" cm="1">
        <f t="array" ref="X4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9" s="9">
        <f>MAX(kmin, kmax - 0.15 * MIN(Games[[#This Row],[GamesPlayed]], 82))</f>
        <v>70.599999999999994</v>
      </c>
      <c r="Z429" s="4">
        <f>Games[[#This Row],[K]]*Games[[#This Row],[POMult]]</f>
        <v>70.599999999999994</v>
      </c>
      <c r="AA429" s="4">
        <f>(Games[[#This Row],[Keff]]*Games[[#This Row],[MOVMult]])*(Games[[#This Row],[Result]]-Games[[#This Row],[ExpectedWin%]])</f>
        <v>-6.9821636383579451</v>
      </c>
      <c r="AB429" s="4">
        <f>Games[[#This Row],[PreGmRate]]+Games[[#This Row],[RatingChange]]</f>
        <v>1296.508915827387</v>
      </c>
      <c r="AC429" s="2">
        <f>IF(Games[[#This Row],[Type]]="R",IF(Games[[#This Row],[Result]]&gt;0.5,1,0),0)</f>
        <v>0</v>
      </c>
      <c r="AD429" s="2">
        <f>IF(Games[[#This Row],[Type]]="R",IF(Games[[#This Row],[Result]]&lt;0.5,1,0),0)</f>
        <v>1</v>
      </c>
      <c r="AE429" s="2">
        <f>IF(AND(Games[[#This Row],[Type]]="P",Games[[#This Row],[Round]]=1),IF(Games[[#This Row],[Result]]&gt;0.5,1,0),0)</f>
        <v>0</v>
      </c>
      <c r="AF429" s="2">
        <f>IF(AND(Games[[#This Row],[Type]]="P",Games[[#This Row],[Round]]=1),IF(Games[[#This Row],[Result]]&lt;0.5,1,0),0)</f>
        <v>0</v>
      </c>
      <c r="AG429" s="2">
        <f>IF(AND(Games[[#This Row],[Type]]="P",Games[[#This Row],[Round]]=2),IF(Games[[#This Row],[Result]]&gt;0.5,1,0),0)</f>
        <v>0</v>
      </c>
      <c r="AH429" s="2">
        <f>IF(AND(Games[[#This Row],[Type]]="P",Games[[#This Row],[Round]]=2),IF(Games[[#This Row],[Result]]&lt;0.5,1,0),0)</f>
        <v>0</v>
      </c>
      <c r="AI429" s="2">
        <f>IF(AND(Games[[#This Row],[Type]]="P",Games[[#This Row],[Round]]=3),IF(Games[[#This Row],[Result]]&gt;0.5,1,0),0)</f>
        <v>0</v>
      </c>
      <c r="AJ429" s="2">
        <f>IF(AND(Games[[#This Row],[Type]]="P",Games[[#This Row],[Round]]=3),IF(Games[[#This Row],[Result]]&lt;0.5,1,0),0)</f>
        <v>0</v>
      </c>
      <c r="AK429" s="2">
        <f>IF(AND(Games[[#This Row],[Type]]="P",Games[[#This Row],[Round]]=4),IF(Games[[#This Row],[Result]]&gt;0.5,1,0),0)</f>
        <v>0</v>
      </c>
      <c r="AL429" s="2">
        <f>IF(AND(Games[[#This Row],[Type]]="P",Games[[#This Row],[Round]]=4),IF(Games[[#This Row],[Result]]&lt;0.5,1,0),0)</f>
        <v>0</v>
      </c>
    </row>
    <row r="430" spans="1:38" x14ac:dyDescent="0.35">
      <c r="A430" s="10">
        <v>45546</v>
      </c>
      <c r="B430" s="2">
        <v>2024</v>
      </c>
      <c r="C430" s="2">
        <f>COUNTIFS(Games[Team],Games[[#This Row],[Team]],Games[Season],Games[[#This Row],[Season]],Games[Date],"&lt;=" &amp; Games[[#This Row],[Date]])</f>
        <v>36</v>
      </c>
      <c r="D430" s="2" t="s">
        <v>79</v>
      </c>
      <c r="E430" s="2" t="s">
        <v>80</v>
      </c>
      <c r="F430" s="1" t="s">
        <v>65</v>
      </c>
      <c r="G430" s="1" t="s">
        <v>75</v>
      </c>
      <c r="H430" s="1" t="s">
        <v>81</v>
      </c>
      <c r="I430" s="2" cm="1">
        <f t="array" ref="I4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0" s="2" cm="1">
        <f t="array" ref="J4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0" s="2">
        <f>Games[[#This Row],[DaysOff]]-Games[[#This Row],[OppDaysOff]]</f>
        <v>0</v>
      </c>
      <c r="L430" s="2">
        <f>Games[[#This Row],[OppDaysOff]]-Games[[#This Row],[DaysOff]]</f>
        <v>0</v>
      </c>
      <c r="M430" s="16">
        <f>MAX(-16, MIN(16, Games[[#This Row],[RestDiff]]*8))</f>
        <v>0</v>
      </c>
      <c r="N430" s="16">
        <f>MAX(-16, MIN(16, Games[[#This Row],[OppRestDiff]]*8))</f>
        <v>0</v>
      </c>
      <c r="O430" s="4" cm="1">
        <f t="array" ref="O4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1425.2638072417435</v>
      </c>
      <c r="P430" s="4" cm="1">
        <f t="array" ref="P4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1414.4318202832571</v>
      </c>
      <c r="Q430" s="4">
        <f>1/(1+10^(((Games[[#This Row],[OppPreGmRate]]+IF(Games[[#This Row],[HomeAway]]="A",HCA,0)+Games[[#This Row],[OppRestAdj]])-(Games[[#This Row],[PreGmRate]]+IF(Games[[#This Row],[HomeAway]]="H",HCA,0)+Games[[#This Row],[RestAdj]]))/400))</f>
        <v>0.39623228220104489</v>
      </c>
      <c r="R430" s="1">
        <v>89</v>
      </c>
      <c r="S430" s="1">
        <v>58</v>
      </c>
      <c r="T430" s="1">
        <v>0</v>
      </c>
      <c r="U430" s="16">
        <f>Games[[#This Row],[PointsFor]]-Games[[#This Row],[PointsAgainst]]</f>
        <v>31</v>
      </c>
      <c r="V430" s="16">
        <f>IF(Games[[#This Row],[MOV]]&gt;0,1,IF(Games[[#This Row],[MOV]]=0,0.5,0))</f>
        <v>1</v>
      </c>
      <c r="W430" s="4">
        <f>((ABS(Games[[#This Row],[MOV]])+5)^0.6)/(12+0.01*(ABS(Games[[#This Row],[PreGmRate]]-Games[[#This Row],[OppPreGmRate]])))*IF(Games[[#This Row],[OT]]=1,0.9,1)</f>
        <v>0.70908388439575443</v>
      </c>
      <c r="X430" s="7" cm="1">
        <f t="array" ref="X4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0" s="9">
        <f>MAX(kmin, kmax - 0.15 * MIN(Games[[#This Row],[GamesPlayed]], 82))</f>
        <v>70.599999999999994</v>
      </c>
      <c r="Z430" s="4">
        <f>Games[[#This Row],[K]]*Games[[#This Row],[POMult]]</f>
        <v>70.599999999999994</v>
      </c>
      <c r="AA430" s="4">
        <f>(Games[[#This Row],[Keff]]*Games[[#This Row],[MOVMult]])*(Games[[#This Row],[Result]]-Games[[#This Row],[ExpectedWin%]])</f>
        <v>30.225410277840776</v>
      </c>
      <c r="AB430" s="4">
        <f>Games[[#This Row],[PreGmRate]]+Games[[#This Row],[RatingChange]]</f>
        <v>1455.4892175195844</v>
      </c>
      <c r="AC430" s="2">
        <f>IF(Games[[#This Row],[Type]]="R",IF(Games[[#This Row],[Result]]&gt;0.5,1,0),0)</f>
        <v>1</v>
      </c>
      <c r="AD430" s="2">
        <f>IF(Games[[#This Row],[Type]]="R",IF(Games[[#This Row],[Result]]&lt;0.5,1,0),0)</f>
        <v>0</v>
      </c>
      <c r="AE430" s="2">
        <f>IF(AND(Games[[#This Row],[Type]]="P",Games[[#This Row],[Round]]=1),IF(Games[[#This Row],[Result]]&gt;0.5,1,0),0)</f>
        <v>0</v>
      </c>
      <c r="AF430" s="2">
        <f>IF(AND(Games[[#This Row],[Type]]="P",Games[[#This Row],[Round]]=1),IF(Games[[#This Row],[Result]]&lt;0.5,1,0),0)</f>
        <v>0</v>
      </c>
      <c r="AG430" s="2">
        <f>IF(AND(Games[[#This Row],[Type]]="P",Games[[#This Row],[Round]]=2),IF(Games[[#This Row],[Result]]&gt;0.5,1,0),0)</f>
        <v>0</v>
      </c>
      <c r="AH430" s="2">
        <f>IF(AND(Games[[#This Row],[Type]]="P",Games[[#This Row],[Round]]=2),IF(Games[[#This Row],[Result]]&lt;0.5,1,0),0)</f>
        <v>0</v>
      </c>
      <c r="AI430" s="2">
        <f>IF(AND(Games[[#This Row],[Type]]="P",Games[[#This Row],[Round]]=3),IF(Games[[#This Row],[Result]]&gt;0.5,1,0),0)</f>
        <v>0</v>
      </c>
      <c r="AJ430" s="2">
        <f>IF(AND(Games[[#This Row],[Type]]="P",Games[[#This Row],[Round]]=3),IF(Games[[#This Row],[Result]]&lt;0.5,1,0),0)</f>
        <v>0</v>
      </c>
      <c r="AK430" s="2">
        <f>IF(AND(Games[[#This Row],[Type]]="P",Games[[#This Row],[Round]]=4),IF(Games[[#This Row],[Result]]&gt;0.5,1,0),0)</f>
        <v>0</v>
      </c>
      <c r="AL430" s="2">
        <f>IF(AND(Games[[#This Row],[Type]]="P",Games[[#This Row],[Round]]=4),IF(Games[[#This Row],[Result]]&lt;0.5,1,0),0)</f>
        <v>0</v>
      </c>
    </row>
    <row r="431" spans="1:38" x14ac:dyDescent="0.35">
      <c r="A431" s="10">
        <v>45546</v>
      </c>
      <c r="B431" s="2">
        <v>2024</v>
      </c>
      <c r="C431" s="2">
        <f>COUNTIFS(Games[Team],Games[[#This Row],[Team]],Games[Season],Games[[#This Row],[Season]],Games[Date],"&lt;=" &amp; Games[[#This Row],[Date]])</f>
        <v>36</v>
      </c>
      <c r="D431" s="2" t="s">
        <v>79</v>
      </c>
      <c r="E431" s="2" t="s">
        <v>80</v>
      </c>
      <c r="F431" s="1" t="s">
        <v>75</v>
      </c>
      <c r="G431" s="1" t="s">
        <v>65</v>
      </c>
      <c r="H431" s="1" t="s">
        <v>82</v>
      </c>
      <c r="I431" s="2" cm="1">
        <f t="array" ref="I4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1" s="2" cm="1">
        <f t="array" ref="J4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1" s="2">
        <f>Games[[#This Row],[DaysOff]]-Games[[#This Row],[OppDaysOff]]</f>
        <v>0</v>
      </c>
      <c r="L431" s="2">
        <f>Games[[#This Row],[OppDaysOff]]-Games[[#This Row],[DaysOff]]</f>
        <v>0</v>
      </c>
      <c r="M431" s="16">
        <f>MAX(-16, MIN(16, Games[[#This Row],[RestDiff]]*8))</f>
        <v>0</v>
      </c>
      <c r="N431" s="16">
        <f>MAX(-16, MIN(16, Games[[#This Row],[OppRestDiff]]*8))</f>
        <v>0</v>
      </c>
      <c r="O431" s="4" cm="1">
        <f t="array" ref="O4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1414.4318202832571</v>
      </c>
      <c r="P431" s="4" cm="1">
        <f t="array" ref="P4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1425.2638072417435</v>
      </c>
      <c r="Q431" s="4">
        <f>1/(1+10^(((Games[[#This Row],[OppPreGmRate]]+IF(Games[[#This Row],[HomeAway]]="A",HCA,0)+Games[[#This Row],[OppRestAdj]])-(Games[[#This Row],[PreGmRate]]+IF(Games[[#This Row],[HomeAway]]="H",HCA,0)+Games[[#This Row],[RestAdj]]))/400))</f>
        <v>0.60376771779895511</v>
      </c>
      <c r="R431" s="1">
        <v>58</v>
      </c>
      <c r="S431" s="1">
        <v>89</v>
      </c>
      <c r="T431" s="1">
        <v>0</v>
      </c>
      <c r="U431" s="16">
        <f>Games[[#This Row],[PointsFor]]-Games[[#This Row],[PointsAgainst]]</f>
        <v>-31</v>
      </c>
      <c r="V431" s="16">
        <f>IF(Games[[#This Row],[MOV]]&gt;0,1,IF(Games[[#This Row],[MOV]]=0,0.5,0))</f>
        <v>0</v>
      </c>
      <c r="W431" s="4">
        <f>((ABS(Games[[#This Row],[MOV]])+5)^0.6)/(12+0.01*(ABS(Games[[#This Row],[PreGmRate]]-Games[[#This Row],[OppPreGmRate]])))*IF(Games[[#This Row],[OT]]=1,0.9,1)</f>
        <v>0.70908388439575443</v>
      </c>
      <c r="X431" s="7" cm="1">
        <f t="array" ref="X4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1" s="9">
        <f>MAX(kmin, kmax - 0.15 * MIN(Games[[#This Row],[GamesPlayed]], 82))</f>
        <v>70.599999999999994</v>
      </c>
      <c r="Z431" s="4">
        <f>Games[[#This Row],[K]]*Games[[#This Row],[POMult]]</f>
        <v>70.599999999999994</v>
      </c>
      <c r="AA431" s="4">
        <f>(Games[[#This Row],[Keff]]*Games[[#This Row],[MOVMult]])*(Games[[#This Row],[Result]]-Games[[#This Row],[ExpectedWin%]])</f>
        <v>-30.225410277840776</v>
      </c>
      <c r="AB431" s="4">
        <f>Games[[#This Row],[PreGmRate]]+Games[[#This Row],[RatingChange]]</f>
        <v>1384.2064100054163</v>
      </c>
      <c r="AC431" s="2">
        <f>IF(Games[[#This Row],[Type]]="R",IF(Games[[#This Row],[Result]]&gt;0.5,1,0),0)</f>
        <v>0</v>
      </c>
      <c r="AD431" s="2">
        <f>IF(Games[[#This Row],[Type]]="R",IF(Games[[#This Row],[Result]]&lt;0.5,1,0),0)</f>
        <v>1</v>
      </c>
      <c r="AE431" s="2">
        <f>IF(AND(Games[[#This Row],[Type]]="P",Games[[#This Row],[Round]]=1),IF(Games[[#This Row],[Result]]&gt;0.5,1,0),0)</f>
        <v>0</v>
      </c>
      <c r="AF431" s="2">
        <f>IF(AND(Games[[#This Row],[Type]]="P",Games[[#This Row],[Round]]=1),IF(Games[[#This Row],[Result]]&lt;0.5,1,0),0)</f>
        <v>0</v>
      </c>
      <c r="AG431" s="2">
        <f>IF(AND(Games[[#This Row],[Type]]="P",Games[[#This Row],[Round]]=2),IF(Games[[#This Row],[Result]]&gt;0.5,1,0),0)</f>
        <v>0</v>
      </c>
      <c r="AH431" s="2">
        <f>IF(AND(Games[[#This Row],[Type]]="P",Games[[#This Row],[Round]]=2),IF(Games[[#This Row],[Result]]&lt;0.5,1,0),0)</f>
        <v>0</v>
      </c>
      <c r="AI431" s="2">
        <f>IF(AND(Games[[#This Row],[Type]]="P",Games[[#This Row],[Round]]=3),IF(Games[[#This Row],[Result]]&gt;0.5,1,0),0)</f>
        <v>0</v>
      </c>
      <c r="AJ431" s="2">
        <f>IF(AND(Games[[#This Row],[Type]]="P",Games[[#This Row],[Round]]=3),IF(Games[[#This Row],[Result]]&lt;0.5,1,0),0)</f>
        <v>0</v>
      </c>
      <c r="AK431" s="2">
        <f>IF(AND(Games[[#This Row],[Type]]="P",Games[[#This Row],[Round]]=4),IF(Games[[#This Row],[Result]]&gt;0.5,1,0),0)</f>
        <v>0</v>
      </c>
      <c r="AL431" s="2">
        <f>IF(AND(Games[[#This Row],[Type]]="P",Games[[#This Row],[Round]]=4),IF(Games[[#This Row],[Result]]&lt;0.5,1,0),0)</f>
        <v>0</v>
      </c>
    </row>
    <row r="432" spans="1:38" x14ac:dyDescent="0.35">
      <c r="A432" s="10">
        <v>45546</v>
      </c>
      <c r="B432" s="2">
        <v>2024</v>
      </c>
      <c r="C432" s="2">
        <f>COUNTIFS(Games[Team],Games[[#This Row],[Team]],Games[Season],Games[[#This Row],[Season]],Games[Date],"&lt;=" &amp; Games[[#This Row],[Date]])</f>
        <v>36</v>
      </c>
      <c r="D432" s="2" t="s">
        <v>79</v>
      </c>
      <c r="E432" s="2" t="s">
        <v>80</v>
      </c>
      <c r="F432" s="1" t="s">
        <v>86</v>
      </c>
      <c r="G432" s="1" t="s">
        <v>69</v>
      </c>
      <c r="H432" s="1" t="s">
        <v>81</v>
      </c>
      <c r="I432" s="2" cm="1">
        <f t="array" ref="I4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2" s="2" cm="1">
        <f t="array" ref="J4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2" s="2">
        <f>Games[[#This Row],[DaysOff]]-Games[[#This Row],[OppDaysOff]]</f>
        <v>0</v>
      </c>
      <c r="L432" s="2">
        <f>Games[[#This Row],[OppDaysOff]]-Games[[#This Row],[DaysOff]]</f>
        <v>0</v>
      </c>
      <c r="M432" s="16">
        <f>MAX(-16, MIN(16, Games[[#This Row],[RestDiff]]*8))</f>
        <v>0</v>
      </c>
      <c r="N432" s="16">
        <f>MAX(-16, MIN(16, Games[[#This Row],[OppRestDiff]]*8))</f>
        <v>0</v>
      </c>
      <c r="O432" s="4" cm="1">
        <f t="array" ref="O4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1623.3468670070556</v>
      </c>
      <c r="P432" s="4" cm="1">
        <f t="array" ref="P4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1520.1145598261967</v>
      </c>
      <c r="Q432" s="4">
        <f>1/(1+10^(((Games[[#This Row],[OppPreGmRate]]+IF(Games[[#This Row],[HomeAway]]="A",HCA,0)+Games[[#This Row],[OppRestAdj]])-(Games[[#This Row],[PreGmRate]]+IF(Games[[#This Row],[HomeAway]]="H",HCA,0)+Games[[#This Row],[RestAdj]]))/400))</f>
        <v>0.52764927987001098</v>
      </c>
      <c r="R432" s="1">
        <v>86</v>
      </c>
      <c r="S432" s="1">
        <v>75</v>
      </c>
      <c r="T432" s="1">
        <v>0</v>
      </c>
      <c r="U432" s="16">
        <f>Games[[#This Row],[PointsFor]]-Games[[#This Row],[PointsAgainst]]</f>
        <v>11</v>
      </c>
      <c r="V432" s="16">
        <f>IF(Games[[#This Row],[MOV]]&gt;0,1,IF(Games[[#This Row],[MOV]]=0,0.5,0))</f>
        <v>1</v>
      </c>
      <c r="W432" s="4">
        <f>((ABS(Games[[#This Row],[MOV]])+5)^0.6)/(12+0.01*(ABS(Games[[#This Row],[PreGmRate]]-Games[[#This Row],[OppPreGmRate]])))*IF(Games[[#This Row],[OT]]=1,0.9,1)</f>
        <v>0.40499545737236747</v>
      </c>
      <c r="X432" s="7" cm="1">
        <f t="array" ref="X4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2" s="9">
        <f>MAX(kmin, kmax - 0.15 * MIN(Games[[#This Row],[GamesPlayed]], 82))</f>
        <v>70.599999999999994</v>
      </c>
      <c r="Z432" s="4">
        <f>Games[[#This Row],[K]]*Games[[#This Row],[POMult]]</f>
        <v>70.599999999999994</v>
      </c>
      <c r="AA432" s="4">
        <f>(Games[[#This Row],[Keff]]*Games[[#This Row],[MOVMult]])*(Games[[#This Row],[Result]]-Games[[#This Row],[ExpectedWin%]])</f>
        <v>13.50577265330837</v>
      </c>
      <c r="AB432" s="4">
        <f>Games[[#This Row],[PreGmRate]]+Games[[#This Row],[RatingChange]]</f>
        <v>1636.852639660364</v>
      </c>
      <c r="AC432" s="2">
        <f>IF(Games[[#This Row],[Type]]="R",IF(Games[[#This Row],[Result]]&gt;0.5,1,0),0)</f>
        <v>1</v>
      </c>
      <c r="AD432" s="2">
        <f>IF(Games[[#This Row],[Type]]="R",IF(Games[[#This Row],[Result]]&lt;0.5,1,0),0)</f>
        <v>0</v>
      </c>
      <c r="AE432" s="2">
        <f>IF(AND(Games[[#This Row],[Type]]="P",Games[[#This Row],[Round]]=1),IF(Games[[#This Row],[Result]]&gt;0.5,1,0),0)</f>
        <v>0</v>
      </c>
      <c r="AF432" s="2">
        <f>IF(AND(Games[[#This Row],[Type]]="P",Games[[#This Row],[Round]]=1),IF(Games[[#This Row],[Result]]&lt;0.5,1,0),0)</f>
        <v>0</v>
      </c>
      <c r="AG432" s="2">
        <f>IF(AND(Games[[#This Row],[Type]]="P",Games[[#This Row],[Round]]=2),IF(Games[[#This Row],[Result]]&gt;0.5,1,0),0)</f>
        <v>0</v>
      </c>
      <c r="AH432" s="2">
        <f>IF(AND(Games[[#This Row],[Type]]="P",Games[[#This Row],[Round]]=2),IF(Games[[#This Row],[Result]]&lt;0.5,1,0),0)</f>
        <v>0</v>
      </c>
      <c r="AI432" s="2">
        <f>IF(AND(Games[[#This Row],[Type]]="P",Games[[#This Row],[Round]]=3),IF(Games[[#This Row],[Result]]&gt;0.5,1,0),0)</f>
        <v>0</v>
      </c>
      <c r="AJ432" s="2">
        <f>IF(AND(Games[[#This Row],[Type]]="P",Games[[#This Row],[Round]]=3),IF(Games[[#This Row],[Result]]&lt;0.5,1,0),0)</f>
        <v>0</v>
      </c>
      <c r="AK432" s="2">
        <f>IF(AND(Games[[#This Row],[Type]]="P",Games[[#This Row],[Round]]=4),IF(Games[[#This Row],[Result]]&gt;0.5,1,0),0)</f>
        <v>0</v>
      </c>
      <c r="AL432" s="2">
        <f>IF(AND(Games[[#This Row],[Type]]="P",Games[[#This Row],[Round]]=4),IF(Games[[#This Row],[Result]]&lt;0.5,1,0),0)</f>
        <v>0</v>
      </c>
    </row>
    <row r="433" spans="1:38" x14ac:dyDescent="0.35">
      <c r="A433" s="10">
        <v>45546</v>
      </c>
      <c r="B433" s="2">
        <v>2024</v>
      </c>
      <c r="C433" s="2">
        <f>COUNTIFS(Games[Team],Games[[#This Row],[Team]],Games[Season],Games[[#This Row],[Season]],Games[Date],"&lt;=" &amp; Games[[#This Row],[Date]])</f>
        <v>37</v>
      </c>
      <c r="D433" s="2" t="s">
        <v>79</v>
      </c>
      <c r="E433" s="2" t="s">
        <v>80</v>
      </c>
      <c r="F433" s="1" t="s">
        <v>69</v>
      </c>
      <c r="G433" s="1" t="s">
        <v>86</v>
      </c>
      <c r="H433" s="1" t="s">
        <v>82</v>
      </c>
      <c r="I433" s="2" cm="1">
        <f t="array" ref="I4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3" s="2" cm="1">
        <f t="array" ref="J4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3" s="2">
        <f>Games[[#This Row],[DaysOff]]-Games[[#This Row],[OppDaysOff]]</f>
        <v>0</v>
      </c>
      <c r="L433" s="2">
        <f>Games[[#This Row],[OppDaysOff]]-Games[[#This Row],[DaysOff]]</f>
        <v>0</v>
      </c>
      <c r="M433" s="16">
        <f>MAX(-16, MIN(16, Games[[#This Row],[RestDiff]]*8))</f>
        <v>0</v>
      </c>
      <c r="N433" s="16">
        <f>MAX(-16, MIN(16, Games[[#This Row],[OppRestDiff]]*8))</f>
        <v>0</v>
      </c>
      <c r="O433" s="4" cm="1">
        <f t="array" ref="O4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1520.1145598261967</v>
      </c>
      <c r="P433" s="4" cm="1">
        <f t="array" ref="P4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1623.3468670070556</v>
      </c>
      <c r="Q433" s="4">
        <f>1/(1+10^(((Games[[#This Row],[OppPreGmRate]]+IF(Games[[#This Row],[HomeAway]]="A",HCA,0)+Games[[#This Row],[OppRestAdj]])-(Games[[#This Row],[PreGmRate]]+IF(Games[[#This Row],[HomeAway]]="H",HCA,0)+Games[[#This Row],[RestAdj]]))/400))</f>
        <v>0.47235072012998897</v>
      </c>
      <c r="R433" s="1">
        <v>75</v>
      </c>
      <c r="S433" s="1">
        <v>86</v>
      </c>
      <c r="T433" s="1">
        <v>0</v>
      </c>
      <c r="U433" s="16">
        <f>Games[[#This Row],[PointsFor]]-Games[[#This Row],[PointsAgainst]]</f>
        <v>-11</v>
      </c>
      <c r="V433" s="16">
        <f>IF(Games[[#This Row],[MOV]]&gt;0,1,IF(Games[[#This Row],[MOV]]=0,0.5,0))</f>
        <v>0</v>
      </c>
      <c r="W433" s="4">
        <f>((ABS(Games[[#This Row],[MOV]])+5)^0.6)/(12+0.01*(ABS(Games[[#This Row],[PreGmRate]]-Games[[#This Row],[OppPreGmRate]])))*IF(Games[[#This Row],[OT]]=1,0.9,1)</f>
        <v>0.40499545737236747</v>
      </c>
      <c r="X433" s="7" cm="1">
        <f t="array" ref="X4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3" s="9">
        <f>MAX(kmin, kmax - 0.15 * MIN(Games[[#This Row],[GamesPlayed]], 82))</f>
        <v>70.45</v>
      </c>
      <c r="Z433" s="4">
        <f>Games[[#This Row],[K]]*Games[[#This Row],[POMult]]</f>
        <v>70.45</v>
      </c>
      <c r="AA433" s="4">
        <f>(Games[[#This Row],[Keff]]*Games[[#This Row],[MOVMult]])*(Games[[#This Row],[Result]]-Games[[#This Row],[ExpectedWin%]])</f>
        <v>-13.477077668917488</v>
      </c>
      <c r="AB433" s="4">
        <f>Games[[#This Row],[PreGmRate]]+Games[[#This Row],[RatingChange]]</f>
        <v>1506.6374821572792</v>
      </c>
      <c r="AC433" s="2">
        <f>IF(Games[[#This Row],[Type]]="R",IF(Games[[#This Row],[Result]]&gt;0.5,1,0),0)</f>
        <v>0</v>
      </c>
      <c r="AD433" s="2">
        <f>IF(Games[[#This Row],[Type]]="R",IF(Games[[#This Row],[Result]]&lt;0.5,1,0),0)</f>
        <v>1</v>
      </c>
      <c r="AE433" s="2">
        <f>IF(AND(Games[[#This Row],[Type]]="P",Games[[#This Row],[Round]]=1),IF(Games[[#This Row],[Result]]&gt;0.5,1,0),0)</f>
        <v>0</v>
      </c>
      <c r="AF433" s="2">
        <f>IF(AND(Games[[#This Row],[Type]]="P",Games[[#This Row],[Round]]=1),IF(Games[[#This Row],[Result]]&lt;0.5,1,0),0)</f>
        <v>0</v>
      </c>
      <c r="AG433" s="2">
        <f>IF(AND(Games[[#This Row],[Type]]="P",Games[[#This Row],[Round]]=2),IF(Games[[#This Row],[Result]]&gt;0.5,1,0),0)</f>
        <v>0</v>
      </c>
      <c r="AH433" s="2">
        <f>IF(AND(Games[[#This Row],[Type]]="P",Games[[#This Row],[Round]]=2),IF(Games[[#This Row],[Result]]&lt;0.5,1,0),0)</f>
        <v>0</v>
      </c>
      <c r="AI433" s="2">
        <f>IF(AND(Games[[#This Row],[Type]]="P",Games[[#This Row],[Round]]=3),IF(Games[[#This Row],[Result]]&gt;0.5,1,0),0)</f>
        <v>0</v>
      </c>
      <c r="AJ433" s="2">
        <f>IF(AND(Games[[#This Row],[Type]]="P",Games[[#This Row],[Round]]=3),IF(Games[[#This Row],[Result]]&lt;0.5,1,0),0)</f>
        <v>0</v>
      </c>
      <c r="AK433" s="2">
        <f>IF(AND(Games[[#This Row],[Type]]="P",Games[[#This Row],[Round]]=4),IF(Games[[#This Row],[Result]]&gt;0.5,1,0),0)</f>
        <v>0</v>
      </c>
      <c r="AL433" s="2">
        <f>IF(AND(Games[[#This Row],[Type]]="P",Games[[#This Row],[Round]]=4),IF(Games[[#This Row],[Result]]&lt;0.5,1,0),0)</f>
        <v>0</v>
      </c>
    </row>
    <row r="434" spans="1:38" x14ac:dyDescent="0.35">
      <c r="A434" s="10">
        <v>45546</v>
      </c>
      <c r="B434" s="2">
        <v>2024</v>
      </c>
      <c r="C434" s="2">
        <f>COUNTIFS(Games[Team],Games[[#This Row],[Team]],Games[Season],Games[[#This Row],[Season]],Games[Date],"&lt;=" &amp; Games[[#This Row],[Date]])</f>
        <v>36</v>
      </c>
      <c r="D434" s="2" t="s">
        <v>79</v>
      </c>
      <c r="E434" s="2" t="s">
        <v>80</v>
      </c>
      <c r="F434" s="1" t="s">
        <v>71</v>
      </c>
      <c r="G434" s="1" t="s">
        <v>63</v>
      </c>
      <c r="H434" s="1" t="s">
        <v>81</v>
      </c>
      <c r="I434" s="2" cm="1">
        <f t="array" ref="I434">IFERROR(
    Games[[#This Row],[Date]]
    - LOOKUP(
        2,
        1/((Games[Team]=Games[[#This Row],[Team]]) * (Games[Date] &lt; Games[[#This Row],[Date]])),
        Games[Date]
    )
    - 1,
Games[[#This Row],[Date]]-$A$2)</f>
        <v>3</v>
      </c>
      <c r="J434" s="2" cm="1">
        <f t="array" ref="J43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34" s="2">
        <f>Games[[#This Row],[DaysOff]]-Games[[#This Row],[OppDaysOff]]</f>
        <v>3</v>
      </c>
      <c r="L434" s="2">
        <f>Games[[#This Row],[OppDaysOff]]-Games[[#This Row],[DaysOff]]</f>
        <v>-3</v>
      </c>
      <c r="M434" s="16">
        <f>MAX(-16, MIN(16, Games[[#This Row],[RestDiff]]*8))</f>
        <v>16</v>
      </c>
      <c r="N434" s="16">
        <f>MAX(-16, MIN(16, Games[[#This Row],[OppRestDiff]]*8))</f>
        <v>-16</v>
      </c>
      <c r="O434" s="4" cm="1">
        <f t="array" ref="O4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1551.0407937976099</v>
      </c>
      <c r="P434" s="4" cm="1">
        <f t="array" ref="P4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1296.508915827387</v>
      </c>
      <c r="Q434" s="4">
        <f>1/(1+10^(((Games[[#This Row],[OppPreGmRate]]+IF(Games[[#This Row],[HomeAway]]="A",HCA,0)+Games[[#This Row],[OppRestAdj]])-(Games[[#This Row],[PreGmRate]]+IF(Games[[#This Row],[HomeAway]]="H",HCA,0)+Games[[#This Row],[RestAdj]]))/400))</f>
        <v>0.76239718186461436</v>
      </c>
      <c r="R434" s="1">
        <v>90</v>
      </c>
      <c r="S434" s="1">
        <v>82</v>
      </c>
      <c r="T434" s="1">
        <v>0</v>
      </c>
      <c r="U434" s="16">
        <f>Games[[#This Row],[PointsFor]]-Games[[#This Row],[PointsAgainst]]</f>
        <v>8</v>
      </c>
      <c r="V434" s="16">
        <f>IF(Games[[#This Row],[MOV]]&gt;0,1,IF(Games[[#This Row],[MOV]]=0,0.5,0))</f>
        <v>1</v>
      </c>
      <c r="W434" s="4">
        <f>((ABS(Games[[#This Row],[MOV]])+5)^0.6)/(12+0.01*(ABS(Games[[#This Row],[PreGmRate]]-Games[[#This Row],[OppPreGmRate]])))*IF(Games[[#This Row],[OT]]=1,0.9,1)</f>
        <v>0.32036330661509643</v>
      </c>
      <c r="X434" s="7" cm="1">
        <f t="array" ref="X4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4" s="9">
        <f>MAX(kmin, kmax - 0.15 * MIN(Games[[#This Row],[GamesPlayed]], 82))</f>
        <v>70.599999999999994</v>
      </c>
      <c r="Z434" s="4">
        <f>Games[[#This Row],[K]]*Games[[#This Row],[POMult]]</f>
        <v>70.599999999999994</v>
      </c>
      <c r="AA434" s="4">
        <f>(Games[[#This Row],[Keff]]*Games[[#This Row],[MOVMult]])*(Games[[#This Row],[Result]]-Games[[#This Row],[ExpectedWin%]])</f>
        <v>5.3740172482115778</v>
      </c>
      <c r="AB434" s="4">
        <f>Games[[#This Row],[PreGmRate]]+Games[[#This Row],[RatingChange]]</f>
        <v>1556.4148110458216</v>
      </c>
      <c r="AC434" s="2">
        <f>IF(Games[[#This Row],[Type]]="R",IF(Games[[#This Row],[Result]]&gt;0.5,1,0),0)</f>
        <v>1</v>
      </c>
      <c r="AD434" s="2">
        <f>IF(Games[[#This Row],[Type]]="R",IF(Games[[#This Row],[Result]]&lt;0.5,1,0),0)</f>
        <v>0</v>
      </c>
      <c r="AE434" s="2">
        <f>IF(AND(Games[[#This Row],[Type]]="P",Games[[#This Row],[Round]]=1),IF(Games[[#This Row],[Result]]&gt;0.5,1,0),0)</f>
        <v>0</v>
      </c>
      <c r="AF434" s="2">
        <f>IF(AND(Games[[#This Row],[Type]]="P",Games[[#This Row],[Round]]=1),IF(Games[[#This Row],[Result]]&lt;0.5,1,0),0)</f>
        <v>0</v>
      </c>
      <c r="AG434" s="2">
        <f>IF(AND(Games[[#This Row],[Type]]="P",Games[[#This Row],[Round]]=2),IF(Games[[#This Row],[Result]]&gt;0.5,1,0),0)</f>
        <v>0</v>
      </c>
      <c r="AH434" s="2">
        <f>IF(AND(Games[[#This Row],[Type]]="P",Games[[#This Row],[Round]]=2),IF(Games[[#This Row],[Result]]&lt;0.5,1,0),0)</f>
        <v>0</v>
      </c>
      <c r="AI434" s="2">
        <f>IF(AND(Games[[#This Row],[Type]]="P",Games[[#This Row],[Round]]=3),IF(Games[[#This Row],[Result]]&gt;0.5,1,0),0)</f>
        <v>0</v>
      </c>
      <c r="AJ434" s="2">
        <f>IF(AND(Games[[#This Row],[Type]]="P",Games[[#This Row],[Round]]=3),IF(Games[[#This Row],[Result]]&lt;0.5,1,0),0)</f>
        <v>0</v>
      </c>
      <c r="AK434" s="2">
        <f>IF(AND(Games[[#This Row],[Type]]="P",Games[[#This Row],[Round]]=4),IF(Games[[#This Row],[Result]]&gt;0.5,1,0),0)</f>
        <v>0</v>
      </c>
      <c r="AL434" s="2">
        <f>IF(AND(Games[[#This Row],[Type]]="P",Games[[#This Row],[Round]]=4),IF(Games[[#This Row],[Result]]&lt;0.5,1,0),0)</f>
        <v>0</v>
      </c>
    </row>
    <row r="435" spans="1:38" x14ac:dyDescent="0.35">
      <c r="A435" s="10">
        <v>45546</v>
      </c>
      <c r="B435" s="2">
        <v>2024</v>
      </c>
      <c r="C435" s="2">
        <f>COUNTIFS(Games[Team],Games[[#This Row],[Team]],Games[Season],Games[[#This Row],[Season]],Games[Date],"&lt;=" &amp; Games[[#This Row],[Date]])</f>
        <v>37</v>
      </c>
      <c r="D435" s="2" t="s">
        <v>79</v>
      </c>
      <c r="E435" s="2" t="s">
        <v>80</v>
      </c>
      <c r="F435" s="1" t="s">
        <v>63</v>
      </c>
      <c r="G435" s="1" t="s">
        <v>71</v>
      </c>
      <c r="H435" s="1" t="s">
        <v>82</v>
      </c>
      <c r="I435" s="2" cm="1">
        <f t="array" ref="I435">IFERROR(
    Games[[#This Row],[Date]]
    - LOOKUP(
        2,
        1/((Games[Team]=Games[[#This Row],[Team]]) * (Games[Date] &lt; Games[[#This Row],[Date]])),
        Games[Date]
    )
    - 1,
Games[[#This Row],[Date]]-$A$2)</f>
        <v>0</v>
      </c>
      <c r="J435" s="2" cm="1">
        <f t="array" ref="J43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35" s="2">
        <f>Games[[#This Row],[DaysOff]]-Games[[#This Row],[OppDaysOff]]</f>
        <v>-3</v>
      </c>
      <c r="L435" s="2">
        <f>Games[[#This Row],[OppDaysOff]]-Games[[#This Row],[DaysOff]]</f>
        <v>3</v>
      </c>
      <c r="M435" s="16">
        <f>MAX(-16, MIN(16, Games[[#This Row],[RestDiff]]*8))</f>
        <v>-16</v>
      </c>
      <c r="N435" s="16">
        <f>MAX(-16, MIN(16, Games[[#This Row],[OppRestDiff]]*8))</f>
        <v>16</v>
      </c>
      <c r="O435" s="4" cm="1">
        <f t="array" ref="O4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1296.508915827387</v>
      </c>
      <c r="P435" s="4" cm="1">
        <f t="array" ref="P4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1551.0407937976099</v>
      </c>
      <c r="Q435" s="4">
        <f>1/(1+10^(((Games[[#This Row],[OppPreGmRate]]+IF(Games[[#This Row],[HomeAway]]="A",HCA,0)+Games[[#This Row],[OppRestAdj]])-(Games[[#This Row],[PreGmRate]]+IF(Games[[#This Row],[HomeAway]]="H",HCA,0)+Games[[#This Row],[RestAdj]]))/400))</f>
        <v>0.23760281813538561</v>
      </c>
      <c r="R435" s="1">
        <v>82</v>
      </c>
      <c r="S435" s="1">
        <v>90</v>
      </c>
      <c r="T435" s="1">
        <v>0</v>
      </c>
      <c r="U435" s="16">
        <f>Games[[#This Row],[PointsFor]]-Games[[#This Row],[PointsAgainst]]</f>
        <v>-8</v>
      </c>
      <c r="V435" s="16">
        <f>IF(Games[[#This Row],[MOV]]&gt;0,1,IF(Games[[#This Row],[MOV]]=0,0.5,0))</f>
        <v>0</v>
      </c>
      <c r="W435" s="4">
        <f>((ABS(Games[[#This Row],[MOV]])+5)^0.6)/(12+0.01*(ABS(Games[[#This Row],[PreGmRate]]-Games[[#This Row],[OppPreGmRate]])))*IF(Games[[#This Row],[OT]]=1,0.9,1)</f>
        <v>0.32036330661509643</v>
      </c>
      <c r="X435" s="7" cm="1">
        <f t="array" ref="X4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5" s="9">
        <f>MAX(kmin, kmax - 0.15 * MIN(Games[[#This Row],[GamesPlayed]], 82))</f>
        <v>70.45</v>
      </c>
      <c r="Z435" s="4">
        <f>Games[[#This Row],[K]]*Games[[#This Row],[POMult]]</f>
        <v>70.45</v>
      </c>
      <c r="AA435" s="4">
        <f>(Games[[#This Row],[Keff]]*Games[[#This Row],[MOVMult]])*(Games[[#This Row],[Result]]-Games[[#This Row],[ExpectedWin%]])</f>
        <v>-5.3625993645397401</v>
      </c>
      <c r="AB435" s="4">
        <f>Games[[#This Row],[PreGmRate]]+Games[[#This Row],[RatingChange]]</f>
        <v>1291.1463164628472</v>
      </c>
      <c r="AC435" s="2">
        <f>IF(Games[[#This Row],[Type]]="R",IF(Games[[#This Row],[Result]]&gt;0.5,1,0),0)</f>
        <v>0</v>
      </c>
      <c r="AD435" s="2">
        <f>IF(Games[[#This Row],[Type]]="R",IF(Games[[#This Row],[Result]]&lt;0.5,1,0),0)</f>
        <v>1</v>
      </c>
      <c r="AE435" s="2">
        <f>IF(AND(Games[[#This Row],[Type]]="P",Games[[#This Row],[Round]]=1),IF(Games[[#This Row],[Result]]&gt;0.5,1,0),0)</f>
        <v>0</v>
      </c>
      <c r="AF435" s="2">
        <f>IF(AND(Games[[#This Row],[Type]]="P",Games[[#This Row],[Round]]=1),IF(Games[[#This Row],[Result]]&lt;0.5,1,0),0)</f>
        <v>0</v>
      </c>
      <c r="AG435" s="2">
        <f>IF(AND(Games[[#This Row],[Type]]="P",Games[[#This Row],[Round]]=2),IF(Games[[#This Row],[Result]]&gt;0.5,1,0),0)</f>
        <v>0</v>
      </c>
      <c r="AH435" s="2">
        <f>IF(AND(Games[[#This Row],[Type]]="P",Games[[#This Row],[Round]]=2),IF(Games[[#This Row],[Result]]&lt;0.5,1,0),0)</f>
        <v>0</v>
      </c>
      <c r="AI435" s="2">
        <f>IF(AND(Games[[#This Row],[Type]]="P",Games[[#This Row],[Round]]=3),IF(Games[[#This Row],[Result]]&gt;0.5,1,0),0)</f>
        <v>0</v>
      </c>
      <c r="AJ435" s="2">
        <f>IF(AND(Games[[#This Row],[Type]]="P",Games[[#This Row],[Round]]=3),IF(Games[[#This Row],[Result]]&lt;0.5,1,0),0)</f>
        <v>0</v>
      </c>
      <c r="AK435" s="2">
        <f>IF(AND(Games[[#This Row],[Type]]="P",Games[[#This Row],[Round]]=4),IF(Games[[#This Row],[Result]]&gt;0.5,1,0),0)</f>
        <v>0</v>
      </c>
      <c r="AL435" s="2">
        <f>IF(AND(Games[[#This Row],[Type]]="P",Games[[#This Row],[Round]]=4),IF(Games[[#This Row],[Result]]&lt;0.5,1,0),0)</f>
        <v>0</v>
      </c>
    </row>
    <row r="436" spans="1:38" x14ac:dyDescent="0.35">
      <c r="A436" s="10">
        <v>45547</v>
      </c>
      <c r="B436" s="2">
        <v>2024</v>
      </c>
      <c r="C436" s="2">
        <f>COUNTIFS(Games[Team],Games[[#This Row],[Team]],Games[Season],Games[[#This Row],[Season]],Games[Date],"&lt;=" &amp; Games[[#This Row],[Date]])</f>
        <v>37</v>
      </c>
      <c r="D436" s="2" t="s">
        <v>79</v>
      </c>
      <c r="E436" s="2" t="s">
        <v>80</v>
      </c>
      <c r="F436" s="1" t="s">
        <v>60</v>
      </c>
      <c r="G436" s="1" t="s">
        <v>85</v>
      </c>
      <c r="H436" s="1" t="s">
        <v>81</v>
      </c>
      <c r="I436" s="2" cm="1">
        <f t="array" ref="I4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6" s="2" cm="1">
        <f t="array" ref="J4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6" s="2">
        <f>Games[[#This Row],[DaysOff]]-Games[[#This Row],[OppDaysOff]]</f>
        <v>0</v>
      </c>
      <c r="L436" s="2">
        <f>Games[[#This Row],[OppDaysOff]]-Games[[#This Row],[DaysOff]]</f>
        <v>0</v>
      </c>
      <c r="M436" s="16">
        <f>MAX(-16, MIN(16, Games[[#This Row],[RestDiff]]*8))</f>
        <v>0</v>
      </c>
      <c r="N436" s="16">
        <f>MAX(-16, MIN(16, Games[[#This Row],[OppRestDiff]]*8))</f>
        <v>0</v>
      </c>
      <c r="O436" s="4" cm="1">
        <f t="array" ref="O4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1733.7029896120071</v>
      </c>
      <c r="P436" s="4" cm="1">
        <f t="array" ref="P4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1350.5645574825862</v>
      </c>
      <c r="Q436" s="4">
        <f>1/(1+10^(((Games[[#This Row],[OppPreGmRate]]+IF(Games[[#This Row],[HomeAway]]="A",HCA,0)+Games[[#This Row],[OppRestAdj]])-(Games[[#This Row],[PreGmRate]]+IF(Games[[#This Row],[HomeAway]]="H",HCA,0)+Games[[#This Row],[RestAdj]]))/400))</f>
        <v>0.84838359886609171</v>
      </c>
      <c r="R436" s="1">
        <v>99</v>
      </c>
      <c r="S436" s="1">
        <v>67</v>
      </c>
      <c r="T436" s="1">
        <v>0</v>
      </c>
      <c r="U436" s="16">
        <f>Games[[#This Row],[PointsFor]]-Games[[#This Row],[PointsAgainst]]</f>
        <v>32</v>
      </c>
      <c r="V436" s="16">
        <f>IF(Games[[#This Row],[MOV]]&gt;0,1,IF(Games[[#This Row],[MOV]]=0,0.5,0))</f>
        <v>1</v>
      </c>
      <c r="W436" s="4">
        <f>((ABS(Games[[#This Row],[MOV]])+5)^0.6)/(12+0.01*(ABS(Games[[#This Row],[PreGmRate]]-Games[[#This Row],[OppPreGmRate]])))*IF(Games[[#This Row],[OT]]=1,0.9,1)</f>
        <v>0.55131796256984611</v>
      </c>
      <c r="X436" s="7" cm="1">
        <f t="array" ref="X4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6" s="9">
        <f>MAX(kmin, kmax - 0.15 * MIN(Games[[#This Row],[GamesPlayed]], 82))</f>
        <v>70.45</v>
      </c>
      <c r="Z436" s="4">
        <f>Games[[#This Row],[K]]*Games[[#This Row],[POMult]]</f>
        <v>70.45</v>
      </c>
      <c r="AA436" s="4">
        <f>(Games[[#This Row],[Keff]]*Games[[#This Row],[MOVMult]])*(Games[[#This Row],[Result]]-Games[[#This Row],[ExpectedWin%]])</f>
        <v>5.8888341559867108</v>
      </c>
      <c r="AB436" s="4">
        <f>Games[[#This Row],[PreGmRate]]+Games[[#This Row],[RatingChange]]</f>
        <v>1739.5918237679937</v>
      </c>
      <c r="AC436" s="2">
        <f>IF(Games[[#This Row],[Type]]="R",IF(Games[[#This Row],[Result]]&gt;0.5,1,0),0)</f>
        <v>1</v>
      </c>
      <c r="AD436" s="2">
        <f>IF(Games[[#This Row],[Type]]="R",IF(Games[[#This Row],[Result]]&lt;0.5,1,0),0)</f>
        <v>0</v>
      </c>
      <c r="AE436" s="2">
        <f>IF(AND(Games[[#This Row],[Type]]="P",Games[[#This Row],[Round]]=1),IF(Games[[#This Row],[Result]]&gt;0.5,1,0),0)</f>
        <v>0</v>
      </c>
      <c r="AF436" s="2">
        <f>IF(AND(Games[[#This Row],[Type]]="P",Games[[#This Row],[Round]]=1),IF(Games[[#This Row],[Result]]&lt;0.5,1,0),0)</f>
        <v>0</v>
      </c>
      <c r="AG436" s="2">
        <f>IF(AND(Games[[#This Row],[Type]]="P",Games[[#This Row],[Round]]=2),IF(Games[[#This Row],[Result]]&gt;0.5,1,0),0)</f>
        <v>0</v>
      </c>
      <c r="AH436" s="2">
        <f>IF(AND(Games[[#This Row],[Type]]="P",Games[[#This Row],[Round]]=2),IF(Games[[#This Row],[Result]]&lt;0.5,1,0),0)</f>
        <v>0</v>
      </c>
      <c r="AI436" s="2">
        <f>IF(AND(Games[[#This Row],[Type]]="P",Games[[#This Row],[Round]]=3),IF(Games[[#This Row],[Result]]&gt;0.5,1,0),0)</f>
        <v>0</v>
      </c>
      <c r="AJ436" s="2">
        <f>IF(AND(Games[[#This Row],[Type]]="P",Games[[#This Row],[Round]]=3),IF(Games[[#This Row],[Result]]&lt;0.5,1,0),0)</f>
        <v>0</v>
      </c>
      <c r="AK436" s="2">
        <f>IF(AND(Games[[#This Row],[Type]]="P",Games[[#This Row],[Round]]=4),IF(Games[[#This Row],[Result]]&gt;0.5,1,0),0)</f>
        <v>0</v>
      </c>
      <c r="AL436" s="2">
        <f>IF(AND(Games[[#This Row],[Type]]="P",Games[[#This Row],[Round]]=4),IF(Games[[#This Row],[Result]]&lt;0.5,1,0),0)</f>
        <v>0</v>
      </c>
    </row>
    <row r="437" spans="1:38" x14ac:dyDescent="0.35">
      <c r="A437" s="10">
        <v>45547</v>
      </c>
      <c r="B437" s="2">
        <v>2024</v>
      </c>
      <c r="C437" s="2">
        <f>COUNTIFS(Games[Team],Games[[#This Row],[Team]],Games[Season],Games[[#This Row],[Season]],Games[Date],"&lt;=" &amp; Games[[#This Row],[Date]])</f>
        <v>37</v>
      </c>
      <c r="D437" s="2" t="s">
        <v>79</v>
      </c>
      <c r="E437" s="2" t="s">
        <v>80</v>
      </c>
      <c r="F437" s="1" t="s">
        <v>85</v>
      </c>
      <c r="G437" s="1" t="s">
        <v>60</v>
      </c>
      <c r="H437" s="1" t="s">
        <v>82</v>
      </c>
      <c r="I437" s="2" cm="1">
        <f t="array" ref="I4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7" s="2" cm="1">
        <f t="array" ref="J4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7" s="2">
        <f>Games[[#This Row],[DaysOff]]-Games[[#This Row],[OppDaysOff]]</f>
        <v>0</v>
      </c>
      <c r="L437" s="2">
        <f>Games[[#This Row],[OppDaysOff]]-Games[[#This Row],[DaysOff]]</f>
        <v>0</v>
      </c>
      <c r="M437" s="16">
        <f>MAX(-16, MIN(16, Games[[#This Row],[RestDiff]]*8))</f>
        <v>0</v>
      </c>
      <c r="N437" s="16">
        <f>MAX(-16, MIN(16, Games[[#This Row],[OppRestDiff]]*8))</f>
        <v>0</v>
      </c>
      <c r="O437" s="4" cm="1">
        <f t="array" ref="O4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1350.5645574825862</v>
      </c>
      <c r="P437" s="4" cm="1">
        <f t="array" ref="P4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1733.7029896120071</v>
      </c>
      <c r="Q437" s="4">
        <f>1/(1+10^(((Games[[#This Row],[OppPreGmRate]]+IF(Games[[#This Row],[HomeAway]]="A",HCA,0)+Games[[#This Row],[OppRestAdj]])-(Games[[#This Row],[PreGmRate]]+IF(Games[[#This Row],[HomeAway]]="H",HCA,0)+Games[[#This Row],[RestAdj]]))/400))</f>
        <v>0.15161640113390823</v>
      </c>
      <c r="R437" s="1">
        <v>67</v>
      </c>
      <c r="S437" s="1">
        <v>99</v>
      </c>
      <c r="T437" s="1">
        <v>0</v>
      </c>
      <c r="U437" s="16">
        <f>Games[[#This Row],[PointsFor]]-Games[[#This Row],[PointsAgainst]]</f>
        <v>-32</v>
      </c>
      <c r="V437" s="16">
        <f>IF(Games[[#This Row],[MOV]]&gt;0,1,IF(Games[[#This Row],[MOV]]=0,0.5,0))</f>
        <v>0</v>
      </c>
      <c r="W437" s="4">
        <f>((ABS(Games[[#This Row],[MOV]])+5)^0.6)/(12+0.01*(ABS(Games[[#This Row],[PreGmRate]]-Games[[#This Row],[OppPreGmRate]])))*IF(Games[[#This Row],[OT]]=1,0.9,1)</f>
        <v>0.55131796256984611</v>
      </c>
      <c r="X437" s="7" cm="1">
        <f t="array" ref="X4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7" s="9">
        <f>MAX(kmin, kmax - 0.15 * MIN(Games[[#This Row],[GamesPlayed]], 82))</f>
        <v>70.45</v>
      </c>
      <c r="Z437" s="4">
        <f>Games[[#This Row],[K]]*Games[[#This Row],[POMult]]</f>
        <v>70.45</v>
      </c>
      <c r="AA437" s="4">
        <f>(Games[[#This Row],[Keff]]*Games[[#This Row],[MOVMult]])*(Games[[#This Row],[Result]]-Games[[#This Row],[ExpectedWin%]])</f>
        <v>-5.888834155986709</v>
      </c>
      <c r="AB437" s="4">
        <f>Games[[#This Row],[PreGmRate]]+Games[[#This Row],[RatingChange]]</f>
        <v>1344.6757233265996</v>
      </c>
      <c r="AC437" s="2">
        <f>IF(Games[[#This Row],[Type]]="R",IF(Games[[#This Row],[Result]]&gt;0.5,1,0),0)</f>
        <v>0</v>
      </c>
      <c r="AD437" s="2">
        <f>IF(Games[[#This Row],[Type]]="R",IF(Games[[#This Row],[Result]]&lt;0.5,1,0),0)</f>
        <v>1</v>
      </c>
      <c r="AE437" s="2">
        <f>IF(AND(Games[[#This Row],[Type]]="P",Games[[#This Row],[Round]]=1),IF(Games[[#This Row],[Result]]&gt;0.5,1,0),0)</f>
        <v>0</v>
      </c>
      <c r="AF437" s="2">
        <f>IF(AND(Games[[#This Row],[Type]]="P",Games[[#This Row],[Round]]=1),IF(Games[[#This Row],[Result]]&lt;0.5,1,0),0)</f>
        <v>0</v>
      </c>
      <c r="AG437" s="2">
        <f>IF(AND(Games[[#This Row],[Type]]="P",Games[[#This Row],[Round]]=2),IF(Games[[#This Row],[Result]]&gt;0.5,1,0),0)</f>
        <v>0</v>
      </c>
      <c r="AH437" s="2">
        <f>IF(AND(Games[[#This Row],[Type]]="P",Games[[#This Row],[Round]]=2),IF(Games[[#This Row],[Result]]&lt;0.5,1,0),0)</f>
        <v>0</v>
      </c>
      <c r="AI437" s="2">
        <f>IF(AND(Games[[#This Row],[Type]]="P",Games[[#This Row],[Round]]=3),IF(Games[[#This Row],[Result]]&gt;0.5,1,0),0)</f>
        <v>0</v>
      </c>
      <c r="AJ437" s="2">
        <f>IF(AND(Games[[#This Row],[Type]]="P",Games[[#This Row],[Round]]=3),IF(Games[[#This Row],[Result]]&lt;0.5,1,0),0)</f>
        <v>0</v>
      </c>
      <c r="AK437" s="2">
        <f>IF(AND(Games[[#This Row],[Type]]="P",Games[[#This Row],[Round]]=4),IF(Games[[#This Row],[Result]]&gt;0.5,1,0),0)</f>
        <v>0</v>
      </c>
      <c r="AL437" s="2">
        <f>IF(AND(Games[[#This Row],[Type]]="P",Games[[#This Row],[Round]]=4),IF(Games[[#This Row],[Result]]&lt;0.5,1,0),0)</f>
        <v>0</v>
      </c>
    </row>
    <row r="438" spans="1:38" x14ac:dyDescent="0.35">
      <c r="A438" s="10">
        <v>45548</v>
      </c>
      <c r="B438" s="2">
        <v>2024</v>
      </c>
      <c r="C438" s="2">
        <f>COUNTIFS(Games[Team],Games[[#This Row],[Team]],Games[Season],Games[[#This Row],[Season]],Games[Date],"&lt;=" &amp; Games[[#This Row],[Date]])</f>
        <v>37</v>
      </c>
      <c r="D438" s="2" t="s">
        <v>79</v>
      </c>
      <c r="E438" s="2" t="s">
        <v>80</v>
      </c>
      <c r="F438" s="1" t="s">
        <v>65</v>
      </c>
      <c r="G438" s="1" t="s">
        <v>77</v>
      </c>
      <c r="H438" s="1" t="s">
        <v>81</v>
      </c>
      <c r="I438" s="2" cm="1">
        <f t="array" ref="I4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8" s="2" cm="1">
        <f t="array" ref="J4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8" s="2">
        <f>Games[[#This Row],[DaysOff]]-Games[[#This Row],[OppDaysOff]]</f>
        <v>-1</v>
      </c>
      <c r="L438" s="2">
        <f>Games[[#This Row],[OppDaysOff]]-Games[[#This Row],[DaysOff]]</f>
        <v>1</v>
      </c>
      <c r="M438" s="16">
        <f>MAX(-16, MIN(16, Games[[#This Row],[RestDiff]]*8))</f>
        <v>-8</v>
      </c>
      <c r="N438" s="16">
        <f>MAX(-16, MIN(16, Games[[#This Row],[OppRestDiff]]*8))</f>
        <v>8</v>
      </c>
      <c r="O438" s="4" cm="1">
        <f t="array" ref="O4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1455.4892175195844</v>
      </c>
      <c r="P438" s="4" cm="1">
        <f t="array" ref="P4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1395.5370719992206</v>
      </c>
      <c r="Q438" s="4">
        <f>1/(1+10^(((Games[[#This Row],[OppPreGmRate]]+IF(Games[[#This Row],[HomeAway]]="A",HCA,0)+Games[[#This Row],[OppRestAdj]])-(Games[[#This Row],[PreGmRate]]+IF(Games[[#This Row],[HomeAway]]="H",HCA,0)+Games[[#This Row],[RestAdj]]))/400))</f>
        <v>0.44262040400246144</v>
      </c>
      <c r="R438" s="1">
        <v>72</v>
      </c>
      <c r="S438" s="1">
        <v>69</v>
      </c>
      <c r="T438" s="1">
        <v>0</v>
      </c>
      <c r="U438" s="16">
        <f>Games[[#This Row],[PointsFor]]-Games[[#This Row],[PointsAgainst]]</f>
        <v>3</v>
      </c>
      <c r="V438" s="16">
        <f>IF(Games[[#This Row],[MOV]]&gt;0,1,IF(Games[[#This Row],[MOV]]=0,0.5,0))</f>
        <v>1</v>
      </c>
      <c r="W438" s="4">
        <f>((ABS(Games[[#This Row],[MOV]])+5)^0.6)/(12+0.01*(ABS(Games[[#This Row],[PreGmRate]]-Games[[#This Row],[OppPreGmRate]])))*IF(Games[[#This Row],[OT]]=1,0.9,1)</f>
        <v>0.27637575487014526</v>
      </c>
      <c r="X438" s="7" cm="1">
        <f t="array" ref="X4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8" s="9">
        <f>MAX(kmin, kmax - 0.15 * MIN(Games[[#This Row],[GamesPlayed]], 82))</f>
        <v>70.45</v>
      </c>
      <c r="Z438" s="4">
        <f>Games[[#This Row],[K]]*Games[[#This Row],[POMult]]</f>
        <v>70.45</v>
      </c>
      <c r="AA438" s="4">
        <f>(Games[[#This Row],[Keff]]*Games[[#This Row],[MOVMult]])*(Games[[#This Row],[Result]]-Games[[#This Row],[ExpectedWin%]])</f>
        <v>10.852555254479409</v>
      </c>
      <c r="AB438" s="4">
        <f>Games[[#This Row],[PreGmRate]]+Games[[#This Row],[RatingChange]]</f>
        <v>1466.3417727740639</v>
      </c>
      <c r="AC438" s="2">
        <f>IF(Games[[#This Row],[Type]]="R",IF(Games[[#This Row],[Result]]&gt;0.5,1,0),0)</f>
        <v>1</v>
      </c>
      <c r="AD438" s="2">
        <f>IF(Games[[#This Row],[Type]]="R",IF(Games[[#This Row],[Result]]&lt;0.5,1,0),0)</f>
        <v>0</v>
      </c>
      <c r="AE438" s="2">
        <f>IF(AND(Games[[#This Row],[Type]]="P",Games[[#This Row],[Round]]=1),IF(Games[[#This Row],[Result]]&gt;0.5,1,0),0)</f>
        <v>0</v>
      </c>
      <c r="AF438" s="2">
        <f>IF(AND(Games[[#This Row],[Type]]="P",Games[[#This Row],[Round]]=1),IF(Games[[#This Row],[Result]]&lt;0.5,1,0),0)</f>
        <v>0</v>
      </c>
      <c r="AG438" s="2">
        <f>IF(AND(Games[[#This Row],[Type]]="P",Games[[#This Row],[Round]]=2),IF(Games[[#This Row],[Result]]&gt;0.5,1,0),0)</f>
        <v>0</v>
      </c>
      <c r="AH438" s="2">
        <f>IF(AND(Games[[#This Row],[Type]]="P",Games[[#This Row],[Round]]=2),IF(Games[[#This Row],[Result]]&lt;0.5,1,0),0)</f>
        <v>0</v>
      </c>
      <c r="AI438" s="2">
        <f>IF(AND(Games[[#This Row],[Type]]="P",Games[[#This Row],[Round]]=3),IF(Games[[#This Row],[Result]]&gt;0.5,1,0),0)</f>
        <v>0</v>
      </c>
      <c r="AJ438" s="2">
        <f>IF(AND(Games[[#This Row],[Type]]="P",Games[[#This Row],[Round]]=3),IF(Games[[#This Row],[Result]]&lt;0.5,1,0),0)</f>
        <v>0</v>
      </c>
      <c r="AK438" s="2">
        <f>IF(AND(Games[[#This Row],[Type]]="P",Games[[#This Row],[Round]]=4),IF(Games[[#This Row],[Result]]&gt;0.5,1,0),0)</f>
        <v>0</v>
      </c>
      <c r="AL438" s="2">
        <f>IF(AND(Games[[#This Row],[Type]]="P",Games[[#This Row],[Round]]=4),IF(Games[[#This Row],[Result]]&lt;0.5,1,0),0)</f>
        <v>0</v>
      </c>
    </row>
    <row r="439" spans="1:38" x14ac:dyDescent="0.35">
      <c r="A439" s="10">
        <v>45548</v>
      </c>
      <c r="B439" s="2">
        <v>2024</v>
      </c>
      <c r="C439" s="2">
        <f>COUNTIFS(Games[Team],Games[[#This Row],[Team]],Games[Season],Games[[#This Row],[Season]],Games[Date],"&lt;=" &amp; Games[[#This Row],[Date]])</f>
        <v>37</v>
      </c>
      <c r="D439" s="2" t="s">
        <v>79</v>
      </c>
      <c r="E439" s="2" t="s">
        <v>80</v>
      </c>
      <c r="F439" s="1" t="s">
        <v>77</v>
      </c>
      <c r="G439" s="1" t="s">
        <v>65</v>
      </c>
      <c r="H439" s="1" t="s">
        <v>82</v>
      </c>
      <c r="I439" s="2" cm="1">
        <f t="array" ref="I4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9" s="2" cm="1">
        <f t="array" ref="J4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9" s="2">
        <f>Games[[#This Row],[DaysOff]]-Games[[#This Row],[OppDaysOff]]</f>
        <v>1</v>
      </c>
      <c r="L439" s="2">
        <f>Games[[#This Row],[OppDaysOff]]-Games[[#This Row],[DaysOff]]</f>
        <v>-1</v>
      </c>
      <c r="M439" s="16">
        <f>MAX(-16, MIN(16, Games[[#This Row],[RestDiff]]*8))</f>
        <v>8</v>
      </c>
      <c r="N439" s="16">
        <f>MAX(-16, MIN(16, Games[[#This Row],[OppRestDiff]]*8))</f>
        <v>-8</v>
      </c>
      <c r="O439" s="4" cm="1">
        <f t="array" ref="O4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1395.5370719992206</v>
      </c>
      <c r="P439" s="4" cm="1">
        <f t="array" ref="P4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1455.4892175195844</v>
      </c>
      <c r="Q439" s="4">
        <f>1/(1+10^(((Games[[#This Row],[OppPreGmRate]]+IF(Games[[#This Row],[HomeAway]]="A",HCA,0)+Games[[#This Row],[OppRestAdj]])-(Games[[#This Row],[PreGmRate]]+IF(Games[[#This Row],[HomeAway]]="H",HCA,0)+Games[[#This Row],[RestAdj]]))/400))</f>
        <v>0.5573795959975385</v>
      </c>
      <c r="R439" s="1">
        <v>69</v>
      </c>
      <c r="S439" s="1">
        <v>72</v>
      </c>
      <c r="T439" s="1">
        <v>0</v>
      </c>
      <c r="U439" s="16">
        <f>Games[[#This Row],[PointsFor]]-Games[[#This Row],[PointsAgainst]]</f>
        <v>-3</v>
      </c>
      <c r="V439" s="16">
        <f>IF(Games[[#This Row],[MOV]]&gt;0,1,IF(Games[[#This Row],[MOV]]=0,0.5,0))</f>
        <v>0</v>
      </c>
      <c r="W439" s="4">
        <f>((ABS(Games[[#This Row],[MOV]])+5)^0.6)/(12+0.01*(ABS(Games[[#This Row],[PreGmRate]]-Games[[#This Row],[OppPreGmRate]])))*IF(Games[[#This Row],[OT]]=1,0.9,1)</f>
        <v>0.27637575487014526</v>
      </c>
      <c r="X439" s="7" cm="1">
        <f t="array" ref="X4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9" s="9">
        <f>MAX(kmin, kmax - 0.15 * MIN(Games[[#This Row],[GamesPlayed]], 82))</f>
        <v>70.45</v>
      </c>
      <c r="Z439" s="4">
        <f>Games[[#This Row],[K]]*Games[[#This Row],[POMult]]</f>
        <v>70.45</v>
      </c>
      <c r="AA439" s="4">
        <f>(Games[[#This Row],[Keff]]*Games[[#This Row],[MOVMult]])*(Games[[#This Row],[Result]]-Games[[#This Row],[ExpectedWin%]])</f>
        <v>-10.852555254479409</v>
      </c>
      <c r="AB439" s="4">
        <f>Games[[#This Row],[PreGmRate]]+Games[[#This Row],[RatingChange]]</f>
        <v>1384.6845167447411</v>
      </c>
      <c r="AC439" s="2">
        <f>IF(Games[[#This Row],[Type]]="R",IF(Games[[#This Row],[Result]]&gt;0.5,1,0),0)</f>
        <v>0</v>
      </c>
      <c r="AD439" s="2">
        <f>IF(Games[[#This Row],[Type]]="R",IF(Games[[#This Row],[Result]]&lt;0.5,1,0),0)</f>
        <v>1</v>
      </c>
      <c r="AE439" s="2">
        <f>IF(AND(Games[[#This Row],[Type]]="P",Games[[#This Row],[Round]]=1),IF(Games[[#This Row],[Result]]&gt;0.5,1,0),0)</f>
        <v>0</v>
      </c>
      <c r="AF439" s="2">
        <f>IF(AND(Games[[#This Row],[Type]]="P",Games[[#This Row],[Round]]=1),IF(Games[[#This Row],[Result]]&lt;0.5,1,0),0)</f>
        <v>0</v>
      </c>
      <c r="AG439" s="2">
        <f>IF(AND(Games[[#This Row],[Type]]="P",Games[[#This Row],[Round]]=2),IF(Games[[#This Row],[Result]]&gt;0.5,1,0),0)</f>
        <v>0</v>
      </c>
      <c r="AH439" s="2">
        <f>IF(AND(Games[[#This Row],[Type]]="P",Games[[#This Row],[Round]]=2),IF(Games[[#This Row],[Result]]&lt;0.5,1,0),0)</f>
        <v>0</v>
      </c>
      <c r="AI439" s="2">
        <f>IF(AND(Games[[#This Row],[Type]]="P",Games[[#This Row],[Round]]=3),IF(Games[[#This Row],[Result]]&gt;0.5,1,0),0)</f>
        <v>0</v>
      </c>
      <c r="AJ439" s="2">
        <f>IF(AND(Games[[#This Row],[Type]]="P",Games[[#This Row],[Round]]=3),IF(Games[[#This Row],[Result]]&lt;0.5,1,0),0)</f>
        <v>0</v>
      </c>
      <c r="AK439" s="2">
        <f>IF(AND(Games[[#This Row],[Type]]="P",Games[[#This Row],[Round]]=4),IF(Games[[#This Row],[Result]]&gt;0.5,1,0),0)</f>
        <v>0</v>
      </c>
      <c r="AL439" s="2">
        <f>IF(AND(Games[[#This Row],[Type]]="P",Games[[#This Row],[Round]]=4),IF(Games[[#This Row],[Result]]&lt;0.5,1,0),0)</f>
        <v>0</v>
      </c>
    </row>
    <row r="440" spans="1:38" x14ac:dyDescent="0.35">
      <c r="A440" s="10">
        <v>45548</v>
      </c>
      <c r="B440" s="2">
        <v>2024</v>
      </c>
      <c r="C440" s="2">
        <f>COUNTIFS(Games[Team],Games[[#This Row],[Team]],Games[Season],Games[[#This Row],[Season]],Games[Date],"&lt;=" &amp; Games[[#This Row],[Date]])</f>
        <v>37</v>
      </c>
      <c r="D440" s="2" t="s">
        <v>79</v>
      </c>
      <c r="E440" s="2" t="s">
        <v>80</v>
      </c>
      <c r="F440" s="1" t="s">
        <v>71</v>
      </c>
      <c r="G440" s="1" t="s">
        <v>85</v>
      </c>
      <c r="H440" s="1" t="s">
        <v>81</v>
      </c>
      <c r="I440" s="2" cm="1">
        <f t="array" ref="I4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0" s="2" cm="1">
        <f t="array" ref="J44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40" s="2">
        <f>Games[[#This Row],[DaysOff]]-Games[[#This Row],[OppDaysOff]]</f>
        <v>1</v>
      </c>
      <c r="L440" s="2">
        <f>Games[[#This Row],[OppDaysOff]]-Games[[#This Row],[DaysOff]]</f>
        <v>-1</v>
      </c>
      <c r="M440" s="16">
        <f>MAX(-16, MIN(16, Games[[#This Row],[RestDiff]]*8))</f>
        <v>8</v>
      </c>
      <c r="N440" s="16">
        <f>MAX(-16, MIN(16, Games[[#This Row],[OppRestDiff]]*8))</f>
        <v>-8</v>
      </c>
      <c r="O440" s="4" cm="1">
        <f t="array" ref="O4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1556.4148110458216</v>
      </c>
      <c r="P440" s="4" cm="1">
        <f t="array" ref="P4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1344.6757233265996</v>
      </c>
      <c r="Q440" s="4">
        <f>1/(1+10^(((Games[[#This Row],[OppPreGmRate]]+IF(Games[[#This Row],[HomeAway]]="A",HCA,0)+Games[[#This Row],[OppRestAdj]])-(Games[[#This Row],[PreGmRate]]+IF(Games[[#This Row],[HomeAway]]="H",HCA,0)+Games[[#This Row],[RestAdj]]))/400))</f>
        <v>0.69581096797069331</v>
      </c>
      <c r="R440" s="1">
        <v>83</v>
      </c>
      <c r="S440" s="1">
        <v>81</v>
      </c>
      <c r="T440" s="1">
        <v>0</v>
      </c>
      <c r="U440" s="16">
        <f>Games[[#This Row],[PointsFor]]-Games[[#This Row],[PointsAgainst]]</f>
        <v>2</v>
      </c>
      <c r="V440" s="16">
        <f>IF(Games[[#This Row],[MOV]]&gt;0,1,IF(Games[[#This Row],[MOV]]=0,0.5,0))</f>
        <v>1</v>
      </c>
      <c r="W440" s="4">
        <f>((ABS(Games[[#This Row],[MOV]])+5)^0.6)/(12+0.01*(ABS(Games[[#This Row],[PreGmRate]]-Games[[#This Row],[OppPreGmRate]])))*IF(Games[[#This Row],[OT]]=1,0.9,1)</f>
        <v>0.22766925401978269</v>
      </c>
      <c r="X440" s="7" cm="1">
        <f t="array" ref="X4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0" s="9">
        <f>MAX(kmin, kmax - 0.15 * MIN(Games[[#This Row],[GamesPlayed]], 82))</f>
        <v>70.45</v>
      </c>
      <c r="Z440" s="4">
        <f>Games[[#This Row],[K]]*Games[[#This Row],[POMult]]</f>
        <v>70.45</v>
      </c>
      <c r="AA440" s="4">
        <f>(Games[[#This Row],[Keff]]*Games[[#This Row],[MOVMult]])*(Games[[#This Row],[Result]]-Games[[#This Row],[ExpectedWin%]])</f>
        <v>4.8789788207192428</v>
      </c>
      <c r="AB440" s="4">
        <f>Games[[#This Row],[PreGmRate]]+Games[[#This Row],[RatingChange]]</f>
        <v>1561.2937898665409</v>
      </c>
      <c r="AC440" s="2">
        <f>IF(Games[[#This Row],[Type]]="R",IF(Games[[#This Row],[Result]]&gt;0.5,1,0),0)</f>
        <v>1</v>
      </c>
      <c r="AD440" s="2">
        <f>IF(Games[[#This Row],[Type]]="R",IF(Games[[#This Row],[Result]]&lt;0.5,1,0),0)</f>
        <v>0</v>
      </c>
      <c r="AE440" s="2">
        <f>IF(AND(Games[[#This Row],[Type]]="P",Games[[#This Row],[Round]]=1),IF(Games[[#This Row],[Result]]&gt;0.5,1,0),0)</f>
        <v>0</v>
      </c>
      <c r="AF440" s="2">
        <f>IF(AND(Games[[#This Row],[Type]]="P",Games[[#This Row],[Round]]=1),IF(Games[[#This Row],[Result]]&lt;0.5,1,0),0)</f>
        <v>0</v>
      </c>
      <c r="AG440" s="2">
        <f>IF(AND(Games[[#This Row],[Type]]="P",Games[[#This Row],[Round]]=2),IF(Games[[#This Row],[Result]]&gt;0.5,1,0),0)</f>
        <v>0</v>
      </c>
      <c r="AH440" s="2">
        <f>IF(AND(Games[[#This Row],[Type]]="P",Games[[#This Row],[Round]]=2),IF(Games[[#This Row],[Result]]&lt;0.5,1,0),0)</f>
        <v>0</v>
      </c>
      <c r="AI440" s="2">
        <f>IF(AND(Games[[#This Row],[Type]]="P",Games[[#This Row],[Round]]=3),IF(Games[[#This Row],[Result]]&gt;0.5,1,0),0)</f>
        <v>0</v>
      </c>
      <c r="AJ440" s="2">
        <f>IF(AND(Games[[#This Row],[Type]]="P",Games[[#This Row],[Round]]=3),IF(Games[[#This Row],[Result]]&lt;0.5,1,0),0)</f>
        <v>0</v>
      </c>
      <c r="AK440" s="2">
        <f>IF(AND(Games[[#This Row],[Type]]="P",Games[[#This Row],[Round]]=4),IF(Games[[#This Row],[Result]]&gt;0.5,1,0),0)</f>
        <v>0</v>
      </c>
      <c r="AL440" s="2">
        <f>IF(AND(Games[[#This Row],[Type]]="P",Games[[#This Row],[Round]]=4),IF(Games[[#This Row],[Result]]&lt;0.5,1,0),0)</f>
        <v>0</v>
      </c>
    </row>
    <row r="441" spans="1:38" x14ac:dyDescent="0.35">
      <c r="A441" s="10">
        <v>45548</v>
      </c>
      <c r="B441" s="2">
        <v>2024</v>
      </c>
      <c r="C441" s="2">
        <f>COUNTIFS(Games[Team],Games[[#This Row],[Team]],Games[Season],Games[[#This Row],[Season]],Games[Date],"&lt;=" &amp; Games[[#This Row],[Date]])</f>
        <v>38</v>
      </c>
      <c r="D441" s="2" t="s">
        <v>79</v>
      </c>
      <c r="E441" s="2" t="s">
        <v>80</v>
      </c>
      <c r="F441" s="1" t="s">
        <v>85</v>
      </c>
      <c r="G441" s="1" t="s">
        <v>71</v>
      </c>
      <c r="H441" s="1" t="s">
        <v>82</v>
      </c>
      <c r="I441" s="2" cm="1">
        <f t="array" ref="I441">IFERROR(
    Games[[#This Row],[Date]]
    - LOOKUP(
        2,
        1/((Games[Team]=Games[[#This Row],[Team]]) * (Games[Date] &lt; Games[[#This Row],[Date]])),
        Games[Date]
    )
    - 1,
Games[[#This Row],[Date]]-$A$2)</f>
        <v>0</v>
      </c>
      <c r="J441" s="2" cm="1">
        <f t="array" ref="J4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1" s="2">
        <f>Games[[#This Row],[DaysOff]]-Games[[#This Row],[OppDaysOff]]</f>
        <v>-1</v>
      </c>
      <c r="L441" s="2">
        <f>Games[[#This Row],[OppDaysOff]]-Games[[#This Row],[DaysOff]]</f>
        <v>1</v>
      </c>
      <c r="M441" s="16">
        <f>MAX(-16, MIN(16, Games[[#This Row],[RestDiff]]*8))</f>
        <v>-8</v>
      </c>
      <c r="N441" s="16">
        <f>MAX(-16, MIN(16, Games[[#This Row],[OppRestDiff]]*8))</f>
        <v>8</v>
      </c>
      <c r="O441" s="4" cm="1">
        <f t="array" ref="O4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1344.6757233265996</v>
      </c>
      <c r="P441" s="4" cm="1">
        <f t="array" ref="P4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1556.4148110458216</v>
      </c>
      <c r="Q441" s="4">
        <f>1/(1+10^(((Games[[#This Row],[OppPreGmRate]]+IF(Games[[#This Row],[HomeAway]]="A",HCA,0)+Games[[#This Row],[OppRestAdj]])-(Games[[#This Row],[PreGmRate]]+IF(Games[[#This Row],[HomeAway]]="H",HCA,0)+Games[[#This Row],[RestAdj]]))/400))</f>
        <v>0.30418903202930664</v>
      </c>
      <c r="R441" s="1">
        <v>81</v>
      </c>
      <c r="S441" s="1">
        <v>83</v>
      </c>
      <c r="T441" s="1">
        <v>0</v>
      </c>
      <c r="U441" s="16">
        <f>Games[[#This Row],[PointsFor]]-Games[[#This Row],[PointsAgainst]]</f>
        <v>-2</v>
      </c>
      <c r="V441" s="16">
        <f>IF(Games[[#This Row],[MOV]]&gt;0,1,IF(Games[[#This Row],[MOV]]=0,0.5,0))</f>
        <v>0</v>
      </c>
      <c r="W441" s="4">
        <f>((ABS(Games[[#This Row],[MOV]])+5)^0.6)/(12+0.01*(ABS(Games[[#This Row],[PreGmRate]]-Games[[#This Row],[OppPreGmRate]])))*IF(Games[[#This Row],[OT]]=1,0.9,1)</f>
        <v>0.22766925401978269</v>
      </c>
      <c r="X441" s="7" cm="1">
        <f t="array" ref="X4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1" s="9">
        <f>MAX(kmin, kmax - 0.15 * MIN(Games[[#This Row],[GamesPlayed]], 82))</f>
        <v>70.3</v>
      </c>
      <c r="Z441" s="4">
        <f>Games[[#This Row],[K]]*Games[[#This Row],[POMult]]</f>
        <v>70.3</v>
      </c>
      <c r="AA441" s="4">
        <f>(Games[[#This Row],[Keff]]*Games[[#This Row],[MOVMult]])*(Games[[#This Row],[Result]]-Games[[#This Row],[ExpectedWin%]])</f>
        <v>-4.8685906472187748</v>
      </c>
      <c r="AB441" s="4">
        <f>Games[[#This Row],[PreGmRate]]+Games[[#This Row],[RatingChange]]</f>
        <v>1339.8071326793809</v>
      </c>
      <c r="AC441" s="2">
        <f>IF(Games[[#This Row],[Type]]="R",IF(Games[[#This Row],[Result]]&gt;0.5,1,0),0)</f>
        <v>0</v>
      </c>
      <c r="AD441" s="2">
        <f>IF(Games[[#This Row],[Type]]="R",IF(Games[[#This Row],[Result]]&lt;0.5,1,0),0)</f>
        <v>1</v>
      </c>
      <c r="AE441" s="2">
        <f>IF(AND(Games[[#This Row],[Type]]="P",Games[[#This Row],[Round]]=1),IF(Games[[#This Row],[Result]]&gt;0.5,1,0),0)</f>
        <v>0</v>
      </c>
      <c r="AF441" s="2">
        <f>IF(AND(Games[[#This Row],[Type]]="P",Games[[#This Row],[Round]]=1),IF(Games[[#This Row],[Result]]&lt;0.5,1,0),0)</f>
        <v>0</v>
      </c>
      <c r="AG441" s="2">
        <f>IF(AND(Games[[#This Row],[Type]]="P",Games[[#This Row],[Round]]=2),IF(Games[[#This Row],[Result]]&gt;0.5,1,0),0)</f>
        <v>0</v>
      </c>
      <c r="AH441" s="2">
        <f>IF(AND(Games[[#This Row],[Type]]="P",Games[[#This Row],[Round]]=2),IF(Games[[#This Row],[Result]]&lt;0.5,1,0),0)</f>
        <v>0</v>
      </c>
      <c r="AI441" s="2">
        <f>IF(AND(Games[[#This Row],[Type]]="P",Games[[#This Row],[Round]]=3),IF(Games[[#This Row],[Result]]&gt;0.5,1,0),0)</f>
        <v>0</v>
      </c>
      <c r="AJ441" s="2">
        <f>IF(AND(Games[[#This Row],[Type]]="P",Games[[#This Row],[Round]]=3),IF(Games[[#This Row],[Result]]&lt;0.5,1,0),0)</f>
        <v>0</v>
      </c>
      <c r="AK441" s="2">
        <f>IF(AND(Games[[#This Row],[Type]]="P",Games[[#This Row],[Round]]=4),IF(Games[[#This Row],[Result]]&gt;0.5,1,0),0)</f>
        <v>0</v>
      </c>
      <c r="AL441" s="2">
        <f>IF(AND(Games[[#This Row],[Type]]="P",Games[[#This Row],[Round]]=4),IF(Games[[#This Row],[Result]]&lt;0.5,1,0),0)</f>
        <v>0</v>
      </c>
    </row>
    <row r="442" spans="1:38" x14ac:dyDescent="0.35">
      <c r="A442" s="10">
        <v>45548</v>
      </c>
      <c r="B442" s="2">
        <v>2024</v>
      </c>
      <c r="C442" s="2">
        <f>COUNTIFS(Games[Team],Games[[#This Row],[Team]],Games[Season],Games[[#This Row],[Season]],Games[Date],"&lt;=" &amp; Games[[#This Row],[Date]])</f>
        <v>37</v>
      </c>
      <c r="D442" s="2" t="s">
        <v>79</v>
      </c>
      <c r="E442" s="2" t="s">
        <v>80</v>
      </c>
      <c r="F442" s="1" t="s">
        <v>86</v>
      </c>
      <c r="G442" s="1" t="s">
        <v>69</v>
      </c>
      <c r="H442" s="1" t="s">
        <v>81</v>
      </c>
      <c r="I442" s="2" cm="1">
        <f t="array" ref="I4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2" s="2" cm="1">
        <f t="array" ref="J4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2" s="2">
        <f>Games[[#This Row],[DaysOff]]-Games[[#This Row],[OppDaysOff]]</f>
        <v>0</v>
      </c>
      <c r="L442" s="2">
        <f>Games[[#This Row],[OppDaysOff]]-Games[[#This Row],[DaysOff]]</f>
        <v>0</v>
      </c>
      <c r="M442" s="16">
        <f>MAX(-16, MIN(16, Games[[#This Row],[RestDiff]]*8))</f>
        <v>0</v>
      </c>
      <c r="N442" s="16">
        <f>MAX(-16, MIN(16, Games[[#This Row],[OppRestDiff]]*8))</f>
        <v>0</v>
      </c>
      <c r="O442" s="4" cm="1">
        <f t="array" ref="O4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1636.852639660364</v>
      </c>
      <c r="P442" s="4" cm="1">
        <f t="array" ref="P4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1506.6374821572792</v>
      </c>
      <c r="Q442" s="4">
        <f>1/(1+10^(((Games[[#This Row],[OppPreGmRate]]+IF(Games[[#This Row],[HomeAway]]="A",HCA,0)+Games[[#This Row],[OppRestAdj]])-(Games[[#This Row],[PreGmRate]]+IF(Games[[#This Row],[HomeAway]]="H",HCA,0)+Games[[#This Row],[RestAdj]]))/400))</f>
        <v>0.56611944982942586</v>
      </c>
      <c r="R442" s="1">
        <v>78</v>
      </c>
      <c r="S442" s="1">
        <v>74</v>
      </c>
      <c r="T442" s="1">
        <v>0</v>
      </c>
      <c r="U442" s="16">
        <f>Games[[#This Row],[PointsFor]]-Games[[#This Row],[PointsAgainst]]</f>
        <v>4</v>
      </c>
      <c r="V442" s="16">
        <f>IF(Games[[#This Row],[MOV]]&gt;0,1,IF(Games[[#This Row],[MOV]]=0,0.5,0))</f>
        <v>1</v>
      </c>
      <c r="W442" s="4">
        <f>((ABS(Games[[#This Row],[MOV]])+5)^0.6)/(12+0.01*(ABS(Games[[#This Row],[PreGmRate]]-Games[[#This Row],[OppPreGmRate]])))*IF(Games[[#This Row],[OT]]=1,0.9,1)</f>
        <v>0.28094649183381337</v>
      </c>
      <c r="X442" s="7" cm="1">
        <f t="array" ref="X4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2" s="9">
        <f>MAX(kmin, kmax - 0.15 * MIN(Games[[#This Row],[GamesPlayed]], 82))</f>
        <v>70.45</v>
      </c>
      <c r="Z442" s="4">
        <f>Games[[#This Row],[K]]*Games[[#This Row],[POMult]]</f>
        <v>70.45</v>
      </c>
      <c r="AA442" s="4">
        <f>(Games[[#This Row],[Keff]]*Games[[#This Row],[MOVMult]])*(Games[[#This Row],[Result]]-Games[[#This Row],[ExpectedWin%]])</f>
        <v>8.5876590394747421</v>
      </c>
      <c r="AB442" s="4">
        <f>Games[[#This Row],[PreGmRate]]+Games[[#This Row],[RatingChange]]</f>
        <v>1645.4402986998389</v>
      </c>
      <c r="AC442" s="2">
        <f>IF(Games[[#This Row],[Type]]="R",IF(Games[[#This Row],[Result]]&gt;0.5,1,0),0)</f>
        <v>1</v>
      </c>
      <c r="AD442" s="2">
        <f>IF(Games[[#This Row],[Type]]="R",IF(Games[[#This Row],[Result]]&lt;0.5,1,0),0)</f>
        <v>0</v>
      </c>
      <c r="AE442" s="2">
        <f>IF(AND(Games[[#This Row],[Type]]="P",Games[[#This Row],[Round]]=1),IF(Games[[#This Row],[Result]]&gt;0.5,1,0),0)</f>
        <v>0</v>
      </c>
      <c r="AF442" s="2">
        <f>IF(AND(Games[[#This Row],[Type]]="P",Games[[#This Row],[Round]]=1),IF(Games[[#This Row],[Result]]&lt;0.5,1,0),0)</f>
        <v>0</v>
      </c>
      <c r="AG442" s="2">
        <f>IF(AND(Games[[#This Row],[Type]]="P",Games[[#This Row],[Round]]=2),IF(Games[[#This Row],[Result]]&gt;0.5,1,0),0)</f>
        <v>0</v>
      </c>
      <c r="AH442" s="2">
        <f>IF(AND(Games[[#This Row],[Type]]="P",Games[[#This Row],[Round]]=2),IF(Games[[#This Row],[Result]]&lt;0.5,1,0),0)</f>
        <v>0</v>
      </c>
      <c r="AI442" s="2">
        <f>IF(AND(Games[[#This Row],[Type]]="P",Games[[#This Row],[Round]]=3),IF(Games[[#This Row],[Result]]&gt;0.5,1,0),0)</f>
        <v>0</v>
      </c>
      <c r="AJ442" s="2">
        <f>IF(AND(Games[[#This Row],[Type]]="P",Games[[#This Row],[Round]]=3),IF(Games[[#This Row],[Result]]&lt;0.5,1,0),0)</f>
        <v>0</v>
      </c>
      <c r="AK442" s="2">
        <f>IF(AND(Games[[#This Row],[Type]]="P",Games[[#This Row],[Round]]=4),IF(Games[[#This Row],[Result]]&gt;0.5,1,0),0)</f>
        <v>0</v>
      </c>
      <c r="AL442" s="2">
        <f>IF(AND(Games[[#This Row],[Type]]="P",Games[[#This Row],[Round]]=4),IF(Games[[#This Row],[Result]]&lt;0.5,1,0),0)</f>
        <v>0</v>
      </c>
    </row>
    <row r="443" spans="1:38" x14ac:dyDescent="0.35">
      <c r="A443" s="10">
        <v>45548</v>
      </c>
      <c r="B443" s="2">
        <v>2024</v>
      </c>
      <c r="C443" s="2">
        <f>COUNTIFS(Games[Team],Games[[#This Row],[Team]],Games[Season],Games[[#This Row],[Season]],Games[Date],"&lt;=" &amp; Games[[#This Row],[Date]])</f>
        <v>38</v>
      </c>
      <c r="D443" s="2" t="s">
        <v>79</v>
      </c>
      <c r="E443" s="2" t="s">
        <v>80</v>
      </c>
      <c r="F443" s="1" t="s">
        <v>69</v>
      </c>
      <c r="G443" s="1" t="s">
        <v>86</v>
      </c>
      <c r="H443" s="1" t="s">
        <v>82</v>
      </c>
      <c r="I443" s="2" cm="1">
        <f t="array" ref="I4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3" s="2" cm="1">
        <f t="array" ref="J4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3" s="2">
        <f>Games[[#This Row],[DaysOff]]-Games[[#This Row],[OppDaysOff]]</f>
        <v>0</v>
      </c>
      <c r="L443" s="2">
        <f>Games[[#This Row],[OppDaysOff]]-Games[[#This Row],[DaysOff]]</f>
        <v>0</v>
      </c>
      <c r="M443" s="16">
        <f>MAX(-16, MIN(16, Games[[#This Row],[RestDiff]]*8))</f>
        <v>0</v>
      </c>
      <c r="N443" s="16">
        <f>MAX(-16, MIN(16, Games[[#This Row],[OppRestDiff]]*8))</f>
        <v>0</v>
      </c>
      <c r="O443" s="4" cm="1">
        <f t="array" ref="O4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1506.6374821572792</v>
      </c>
      <c r="P443" s="4" cm="1">
        <f t="array" ref="P4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1636.852639660364</v>
      </c>
      <c r="Q443" s="4">
        <f>1/(1+10^(((Games[[#This Row],[OppPreGmRate]]+IF(Games[[#This Row],[HomeAway]]="A",HCA,0)+Games[[#This Row],[OppRestAdj]])-(Games[[#This Row],[PreGmRate]]+IF(Games[[#This Row],[HomeAway]]="H",HCA,0)+Games[[#This Row],[RestAdj]]))/400))</f>
        <v>0.4338805501705742</v>
      </c>
      <c r="R443" s="1">
        <v>74</v>
      </c>
      <c r="S443" s="1">
        <v>78</v>
      </c>
      <c r="T443" s="1">
        <v>0</v>
      </c>
      <c r="U443" s="16">
        <f>Games[[#This Row],[PointsFor]]-Games[[#This Row],[PointsAgainst]]</f>
        <v>-4</v>
      </c>
      <c r="V443" s="16">
        <f>IF(Games[[#This Row],[MOV]]&gt;0,1,IF(Games[[#This Row],[MOV]]=0,0.5,0))</f>
        <v>0</v>
      </c>
      <c r="W443" s="4">
        <f>((ABS(Games[[#This Row],[MOV]])+5)^0.6)/(12+0.01*(ABS(Games[[#This Row],[PreGmRate]]-Games[[#This Row],[OppPreGmRate]])))*IF(Games[[#This Row],[OT]]=1,0.9,1)</f>
        <v>0.28094649183381337</v>
      </c>
      <c r="X443" s="7" cm="1">
        <f t="array" ref="X4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3" s="9">
        <f>MAX(kmin, kmax - 0.15 * MIN(Games[[#This Row],[GamesPlayed]], 82))</f>
        <v>70.3</v>
      </c>
      <c r="Z443" s="4">
        <f>Games[[#This Row],[K]]*Games[[#This Row],[POMult]]</f>
        <v>70.3</v>
      </c>
      <c r="AA443" s="4">
        <f>(Games[[#This Row],[Keff]]*Games[[#This Row],[MOVMult]])*(Games[[#This Row],[Result]]-Games[[#This Row],[ExpectedWin%]])</f>
        <v>-8.5693744567079406</v>
      </c>
      <c r="AB443" s="4">
        <f>Games[[#This Row],[PreGmRate]]+Games[[#This Row],[RatingChange]]</f>
        <v>1498.0681077005713</v>
      </c>
      <c r="AC443" s="2">
        <f>IF(Games[[#This Row],[Type]]="R",IF(Games[[#This Row],[Result]]&gt;0.5,1,0),0)</f>
        <v>0</v>
      </c>
      <c r="AD443" s="2">
        <f>IF(Games[[#This Row],[Type]]="R",IF(Games[[#This Row],[Result]]&lt;0.5,1,0),0)</f>
        <v>1</v>
      </c>
      <c r="AE443" s="2">
        <f>IF(AND(Games[[#This Row],[Type]]="P",Games[[#This Row],[Round]]=1),IF(Games[[#This Row],[Result]]&gt;0.5,1,0),0)</f>
        <v>0</v>
      </c>
      <c r="AF443" s="2">
        <f>IF(AND(Games[[#This Row],[Type]]="P",Games[[#This Row],[Round]]=1),IF(Games[[#This Row],[Result]]&lt;0.5,1,0),0)</f>
        <v>0</v>
      </c>
      <c r="AG443" s="2">
        <f>IF(AND(Games[[#This Row],[Type]]="P",Games[[#This Row],[Round]]=2),IF(Games[[#This Row],[Result]]&gt;0.5,1,0),0)</f>
        <v>0</v>
      </c>
      <c r="AH443" s="2">
        <f>IF(AND(Games[[#This Row],[Type]]="P",Games[[#This Row],[Round]]=2),IF(Games[[#This Row],[Result]]&lt;0.5,1,0),0)</f>
        <v>0</v>
      </c>
      <c r="AI443" s="2">
        <f>IF(AND(Games[[#This Row],[Type]]="P",Games[[#This Row],[Round]]=3),IF(Games[[#This Row],[Result]]&gt;0.5,1,0),0)</f>
        <v>0</v>
      </c>
      <c r="AJ443" s="2">
        <f>IF(AND(Games[[#This Row],[Type]]="P",Games[[#This Row],[Round]]=3),IF(Games[[#This Row],[Result]]&lt;0.5,1,0),0)</f>
        <v>0</v>
      </c>
      <c r="AK443" s="2">
        <f>IF(AND(Games[[#This Row],[Type]]="P",Games[[#This Row],[Round]]=4),IF(Games[[#This Row],[Result]]&gt;0.5,1,0),0)</f>
        <v>0</v>
      </c>
      <c r="AL443" s="2">
        <f>IF(AND(Games[[#This Row],[Type]]="P",Games[[#This Row],[Round]]=4),IF(Games[[#This Row],[Result]]&lt;0.5,1,0),0)</f>
        <v>0</v>
      </c>
    </row>
    <row r="444" spans="1:38" x14ac:dyDescent="0.35">
      <c r="A444" s="10">
        <v>45548</v>
      </c>
      <c r="B444" s="2">
        <v>2024</v>
      </c>
      <c r="C444" s="2">
        <f>COUNTIFS(Games[Team],Games[[#This Row],[Team]],Games[Season],Games[[#This Row],[Season]],Games[Date],"&lt;=" &amp; Games[[#This Row],[Date]])</f>
        <v>37</v>
      </c>
      <c r="D444" s="2" t="s">
        <v>79</v>
      </c>
      <c r="E444" s="2" t="s">
        <v>80</v>
      </c>
      <c r="F444" s="1" t="s">
        <v>75</v>
      </c>
      <c r="G444" s="1" t="s">
        <v>67</v>
      </c>
      <c r="H444" s="1" t="s">
        <v>81</v>
      </c>
      <c r="I444" s="2" cm="1">
        <f t="array" ref="I4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4" s="2" cm="1">
        <f t="array" ref="J4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4" s="2">
        <f>Games[[#This Row],[DaysOff]]-Games[[#This Row],[OppDaysOff]]</f>
        <v>-1</v>
      </c>
      <c r="L444" s="2">
        <f>Games[[#This Row],[OppDaysOff]]-Games[[#This Row],[DaysOff]]</f>
        <v>1</v>
      </c>
      <c r="M444" s="16">
        <f>MAX(-16, MIN(16, Games[[#This Row],[RestDiff]]*8))</f>
        <v>-8</v>
      </c>
      <c r="N444" s="16">
        <f>MAX(-16, MIN(16, Games[[#This Row],[OppRestDiff]]*8))</f>
        <v>8</v>
      </c>
      <c r="O444" s="4" cm="1">
        <f t="array" ref="O4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1384.2064100054163</v>
      </c>
      <c r="P444" s="4" cm="1">
        <f t="array" ref="P4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1641.9330038738713</v>
      </c>
      <c r="Q444" s="4">
        <f>1/(1+10^(((Games[[#This Row],[OppPreGmRate]]+IF(Games[[#This Row],[HomeAway]]="A",HCA,0)+Games[[#This Row],[OppRestAdj]])-(Games[[#This Row],[PreGmRate]]+IF(Games[[#This Row],[HomeAway]]="H",HCA,0)+Games[[#This Row],[RestAdj]]))/400))</f>
        <v>0.11312207446338945</v>
      </c>
      <c r="R444" s="1">
        <v>66</v>
      </c>
      <c r="S444" s="1">
        <v>83</v>
      </c>
      <c r="T444" s="1">
        <v>0</v>
      </c>
      <c r="U444" s="16">
        <f>Games[[#This Row],[PointsFor]]-Games[[#This Row],[PointsAgainst]]</f>
        <v>-17</v>
      </c>
      <c r="V444" s="16">
        <f>IF(Games[[#This Row],[MOV]]&gt;0,1,IF(Games[[#This Row],[MOV]]=0,0.5,0))</f>
        <v>0</v>
      </c>
      <c r="W444" s="4">
        <f>((ABS(Games[[#This Row],[MOV]])+5)^0.6)/(12+0.01*(ABS(Games[[#This Row],[PreGmRate]]-Games[[#This Row],[OppPreGmRate]])))*IF(Games[[#This Row],[OT]]=1,0.9,1)</f>
        <v>0.43830611692610294</v>
      </c>
      <c r="X444" s="7" cm="1">
        <f t="array" ref="X4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4" s="9">
        <f>MAX(kmin, kmax - 0.15 * MIN(Games[[#This Row],[GamesPlayed]], 82))</f>
        <v>70.45</v>
      </c>
      <c r="Z444" s="4">
        <f>Games[[#This Row],[K]]*Games[[#This Row],[POMult]]</f>
        <v>70.45</v>
      </c>
      <c r="AA444" s="4">
        <f>(Games[[#This Row],[Keff]]*Games[[#This Row],[MOVMult]])*(Games[[#This Row],[Result]]-Games[[#This Row],[ExpectedWin%]])</f>
        <v>-3.4930587475056623</v>
      </c>
      <c r="AB444" s="4">
        <f>Games[[#This Row],[PreGmRate]]+Games[[#This Row],[RatingChange]]</f>
        <v>1380.7133512579105</v>
      </c>
      <c r="AC444" s="2">
        <f>IF(Games[[#This Row],[Type]]="R",IF(Games[[#This Row],[Result]]&gt;0.5,1,0),0)</f>
        <v>0</v>
      </c>
      <c r="AD444" s="2">
        <f>IF(Games[[#This Row],[Type]]="R",IF(Games[[#This Row],[Result]]&lt;0.5,1,0),0)</f>
        <v>1</v>
      </c>
      <c r="AE444" s="2">
        <f>IF(AND(Games[[#This Row],[Type]]="P",Games[[#This Row],[Round]]=1),IF(Games[[#This Row],[Result]]&gt;0.5,1,0),0)</f>
        <v>0</v>
      </c>
      <c r="AF444" s="2">
        <f>IF(AND(Games[[#This Row],[Type]]="P",Games[[#This Row],[Round]]=1),IF(Games[[#This Row],[Result]]&lt;0.5,1,0),0)</f>
        <v>0</v>
      </c>
      <c r="AG444" s="2">
        <f>IF(AND(Games[[#This Row],[Type]]="P",Games[[#This Row],[Round]]=2),IF(Games[[#This Row],[Result]]&gt;0.5,1,0),0)</f>
        <v>0</v>
      </c>
      <c r="AH444" s="2">
        <f>IF(AND(Games[[#This Row],[Type]]="P",Games[[#This Row],[Round]]=2),IF(Games[[#This Row],[Result]]&lt;0.5,1,0),0)</f>
        <v>0</v>
      </c>
      <c r="AI444" s="2">
        <f>IF(AND(Games[[#This Row],[Type]]="P",Games[[#This Row],[Round]]=3),IF(Games[[#This Row],[Result]]&gt;0.5,1,0),0)</f>
        <v>0</v>
      </c>
      <c r="AJ444" s="2">
        <f>IF(AND(Games[[#This Row],[Type]]="P",Games[[#This Row],[Round]]=3),IF(Games[[#This Row],[Result]]&lt;0.5,1,0),0)</f>
        <v>0</v>
      </c>
      <c r="AK444" s="2">
        <f>IF(AND(Games[[#This Row],[Type]]="P",Games[[#This Row],[Round]]=4),IF(Games[[#This Row],[Result]]&gt;0.5,1,0),0)</f>
        <v>0</v>
      </c>
      <c r="AL444" s="2">
        <f>IF(AND(Games[[#This Row],[Type]]="P",Games[[#This Row],[Round]]=4),IF(Games[[#This Row],[Result]]&lt;0.5,1,0),0)</f>
        <v>0</v>
      </c>
    </row>
    <row r="445" spans="1:38" x14ac:dyDescent="0.35">
      <c r="A445" s="10">
        <v>45548</v>
      </c>
      <c r="B445" s="2">
        <v>2024</v>
      </c>
      <c r="C445" s="2">
        <f>COUNTIFS(Games[Team],Games[[#This Row],[Team]],Games[Season],Games[[#This Row],[Season]],Games[Date],"&lt;=" &amp; Games[[#This Row],[Date]])</f>
        <v>37</v>
      </c>
      <c r="D445" s="2" t="s">
        <v>79</v>
      </c>
      <c r="E445" s="2" t="s">
        <v>80</v>
      </c>
      <c r="F445" s="1" t="s">
        <v>67</v>
      </c>
      <c r="G445" s="1" t="s">
        <v>75</v>
      </c>
      <c r="H445" s="1" t="s">
        <v>82</v>
      </c>
      <c r="I445" s="2" cm="1">
        <f t="array" ref="I4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5" s="2" cm="1">
        <f t="array" ref="J4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5" s="2">
        <f>Games[[#This Row],[DaysOff]]-Games[[#This Row],[OppDaysOff]]</f>
        <v>1</v>
      </c>
      <c r="L445" s="2">
        <f>Games[[#This Row],[OppDaysOff]]-Games[[#This Row],[DaysOff]]</f>
        <v>-1</v>
      </c>
      <c r="M445" s="16">
        <f>MAX(-16, MIN(16, Games[[#This Row],[RestDiff]]*8))</f>
        <v>8</v>
      </c>
      <c r="N445" s="16">
        <f>MAX(-16, MIN(16, Games[[#This Row],[OppRestDiff]]*8))</f>
        <v>-8</v>
      </c>
      <c r="O445" s="4" cm="1">
        <f t="array" ref="O4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1641.9330038738713</v>
      </c>
      <c r="P445" s="4" cm="1">
        <f t="array" ref="P4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1384.2064100054163</v>
      </c>
      <c r="Q445" s="4">
        <f>1/(1+10^(((Games[[#This Row],[OppPreGmRate]]+IF(Games[[#This Row],[HomeAway]]="A",HCA,0)+Games[[#This Row],[OppRestAdj]])-(Games[[#This Row],[PreGmRate]]+IF(Games[[#This Row],[HomeAway]]="H",HCA,0)+Games[[#This Row],[RestAdj]]))/400))</f>
        <v>0.88687792553661049</v>
      </c>
      <c r="R445" s="1">
        <v>83</v>
      </c>
      <c r="S445" s="1">
        <v>66</v>
      </c>
      <c r="T445" s="1">
        <v>0</v>
      </c>
      <c r="U445" s="16">
        <f>Games[[#This Row],[PointsFor]]-Games[[#This Row],[PointsAgainst]]</f>
        <v>17</v>
      </c>
      <c r="V445" s="16">
        <f>IF(Games[[#This Row],[MOV]]&gt;0,1,IF(Games[[#This Row],[MOV]]=0,0.5,0))</f>
        <v>1</v>
      </c>
      <c r="W445" s="4">
        <f>((ABS(Games[[#This Row],[MOV]])+5)^0.6)/(12+0.01*(ABS(Games[[#This Row],[PreGmRate]]-Games[[#This Row],[OppPreGmRate]])))*IF(Games[[#This Row],[OT]]=1,0.9,1)</f>
        <v>0.43830611692610294</v>
      </c>
      <c r="X445" s="7" cm="1">
        <f t="array" ref="X4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5" s="9">
        <f>MAX(kmin, kmax - 0.15 * MIN(Games[[#This Row],[GamesPlayed]], 82))</f>
        <v>70.45</v>
      </c>
      <c r="Z445" s="4">
        <f>Games[[#This Row],[K]]*Games[[#This Row],[POMult]]</f>
        <v>70.45</v>
      </c>
      <c r="AA445" s="4">
        <f>(Games[[#This Row],[Keff]]*Games[[#This Row],[MOVMult]])*(Games[[#This Row],[Result]]-Games[[#This Row],[ExpectedWin%]])</f>
        <v>3.493058747505664</v>
      </c>
      <c r="AB445" s="4">
        <f>Games[[#This Row],[PreGmRate]]+Games[[#This Row],[RatingChange]]</f>
        <v>1645.426062621377</v>
      </c>
      <c r="AC445" s="2">
        <f>IF(Games[[#This Row],[Type]]="R",IF(Games[[#This Row],[Result]]&gt;0.5,1,0),0)</f>
        <v>1</v>
      </c>
      <c r="AD445" s="2">
        <f>IF(Games[[#This Row],[Type]]="R",IF(Games[[#This Row],[Result]]&lt;0.5,1,0),0)</f>
        <v>0</v>
      </c>
      <c r="AE445" s="2">
        <f>IF(AND(Games[[#This Row],[Type]]="P",Games[[#This Row],[Round]]=1),IF(Games[[#This Row],[Result]]&gt;0.5,1,0),0)</f>
        <v>0</v>
      </c>
      <c r="AF445" s="2">
        <f>IF(AND(Games[[#This Row],[Type]]="P",Games[[#This Row],[Round]]=1),IF(Games[[#This Row],[Result]]&lt;0.5,1,0),0)</f>
        <v>0</v>
      </c>
      <c r="AG445" s="2">
        <f>IF(AND(Games[[#This Row],[Type]]="P",Games[[#This Row],[Round]]=2),IF(Games[[#This Row],[Result]]&gt;0.5,1,0),0)</f>
        <v>0</v>
      </c>
      <c r="AH445" s="2">
        <f>IF(AND(Games[[#This Row],[Type]]="P",Games[[#This Row],[Round]]=2),IF(Games[[#This Row],[Result]]&lt;0.5,1,0),0)</f>
        <v>0</v>
      </c>
      <c r="AI445" s="2">
        <f>IF(AND(Games[[#This Row],[Type]]="P",Games[[#This Row],[Round]]=3),IF(Games[[#This Row],[Result]]&gt;0.5,1,0),0)</f>
        <v>0</v>
      </c>
      <c r="AJ445" s="2">
        <f>IF(AND(Games[[#This Row],[Type]]="P",Games[[#This Row],[Round]]=3),IF(Games[[#This Row],[Result]]&lt;0.5,1,0),0)</f>
        <v>0</v>
      </c>
      <c r="AK445" s="2">
        <f>IF(AND(Games[[#This Row],[Type]]="P",Games[[#This Row],[Round]]=4),IF(Games[[#This Row],[Result]]&gt;0.5,1,0),0)</f>
        <v>0</v>
      </c>
      <c r="AL445" s="2">
        <f>IF(AND(Games[[#This Row],[Type]]="P",Games[[#This Row],[Round]]=4),IF(Games[[#This Row],[Result]]&lt;0.5,1,0),0)</f>
        <v>0</v>
      </c>
    </row>
    <row r="446" spans="1:38" x14ac:dyDescent="0.35">
      <c r="A446" s="10">
        <v>45548</v>
      </c>
      <c r="B446" s="2">
        <v>2024</v>
      </c>
      <c r="C446" s="2">
        <f>COUNTIFS(Games[Team],Games[[#This Row],[Team]],Games[Season],Games[[#This Row],[Season]],Games[Date],"&lt;=" &amp; Games[[#This Row],[Date]])</f>
        <v>37</v>
      </c>
      <c r="D446" s="2" t="s">
        <v>79</v>
      </c>
      <c r="E446" s="2" t="s">
        <v>80</v>
      </c>
      <c r="F446" s="1" t="s">
        <v>74</v>
      </c>
      <c r="G446" s="1" t="s">
        <v>40</v>
      </c>
      <c r="H446" s="1" t="s">
        <v>81</v>
      </c>
      <c r="I446" s="2" cm="1">
        <f t="array" ref="I4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6" s="2" cm="1">
        <f t="array" ref="J44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46" s="2">
        <f>Games[[#This Row],[DaysOff]]-Games[[#This Row],[OppDaysOff]]</f>
        <v>-3</v>
      </c>
      <c r="L446" s="2">
        <f>Games[[#This Row],[OppDaysOff]]-Games[[#This Row],[DaysOff]]</f>
        <v>3</v>
      </c>
      <c r="M446" s="16">
        <f>MAX(-16, MIN(16, Games[[#This Row],[RestDiff]]*8))</f>
        <v>-16</v>
      </c>
      <c r="N446" s="16">
        <f>MAX(-16, MIN(16, Games[[#This Row],[OppRestDiff]]*8))</f>
        <v>16</v>
      </c>
      <c r="O446" s="4" cm="1">
        <f t="array" ref="O4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1618.261106989517</v>
      </c>
      <c r="P446" s="4" cm="1">
        <f t="array" ref="P4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1428.5755788286588</v>
      </c>
      <c r="Q446" s="4">
        <f>1/(1+10^(((Games[[#This Row],[OppPreGmRate]]+IF(Games[[#This Row],[HomeAway]]="A",HCA,0)+Games[[#This Row],[OppRestAdj]])-(Games[[#This Row],[PreGmRate]]+IF(Games[[#This Row],[HomeAway]]="H",HCA,0)+Games[[#This Row],[RestAdj]]))/400))</f>
        <v>0.60448018344850807</v>
      </c>
      <c r="R446" s="1">
        <v>88</v>
      </c>
      <c r="S446" s="1">
        <v>69</v>
      </c>
      <c r="T446" s="1">
        <v>0</v>
      </c>
      <c r="U446" s="16">
        <f>Games[[#This Row],[PointsFor]]-Games[[#This Row],[PointsAgainst]]</f>
        <v>19</v>
      </c>
      <c r="V446" s="16">
        <f>IF(Games[[#This Row],[MOV]]&gt;0,1,IF(Games[[#This Row],[MOV]]=0,0.5,0))</f>
        <v>1</v>
      </c>
      <c r="W446" s="4">
        <f>((ABS(Games[[#This Row],[MOV]])+5)^0.6)/(12+0.01*(ABS(Games[[#This Row],[PreGmRate]]-Games[[#This Row],[OppPreGmRate]])))*IF(Games[[#This Row],[OT]]=1,0.9,1)</f>
        <v>0.48440677666019338</v>
      </c>
      <c r="X446" s="7" cm="1">
        <f t="array" ref="X4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6" s="9">
        <f>MAX(kmin, kmax - 0.15 * MIN(Games[[#This Row],[GamesPlayed]], 82))</f>
        <v>70.45</v>
      </c>
      <c r="Z446" s="4">
        <f>Games[[#This Row],[K]]*Games[[#This Row],[POMult]]</f>
        <v>70.45</v>
      </c>
      <c r="AA446" s="4">
        <f>(Games[[#This Row],[Keff]]*Games[[#This Row],[MOVMult]])*(Games[[#This Row],[Result]]-Games[[#This Row],[ExpectedWin%]])</f>
        <v>13.497690176614167</v>
      </c>
      <c r="AB446" s="4">
        <f>Games[[#This Row],[PreGmRate]]+Games[[#This Row],[RatingChange]]</f>
        <v>1631.7587971661312</v>
      </c>
      <c r="AC446" s="2">
        <f>IF(Games[[#This Row],[Type]]="R",IF(Games[[#This Row],[Result]]&gt;0.5,1,0),0)</f>
        <v>1</v>
      </c>
      <c r="AD446" s="2">
        <f>IF(Games[[#This Row],[Type]]="R",IF(Games[[#This Row],[Result]]&lt;0.5,1,0),0)</f>
        <v>0</v>
      </c>
      <c r="AE446" s="2">
        <f>IF(AND(Games[[#This Row],[Type]]="P",Games[[#This Row],[Round]]=1),IF(Games[[#This Row],[Result]]&gt;0.5,1,0),0)</f>
        <v>0</v>
      </c>
      <c r="AF446" s="2">
        <f>IF(AND(Games[[#This Row],[Type]]="P",Games[[#This Row],[Round]]=1),IF(Games[[#This Row],[Result]]&lt;0.5,1,0),0)</f>
        <v>0</v>
      </c>
      <c r="AG446" s="2">
        <f>IF(AND(Games[[#This Row],[Type]]="P",Games[[#This Row],[Round]]=2),IF(Games[[#This Row],[Result]]&gt;0.5,1,0),0)</f>
        <v>0</v>
      </c>
      <c r="AH446" s="2">
        <f>IF(AND(Games[[#This Row],[Type]]="P",Games[[#This Row],[Round]]=2),IF(Games[[#This Row],[Result]]&lt;0.5,1,0),0)</f>
        <v>0</v>
      </c>
      <c r="AI446" s="2">
        <f>IF(AND(Games[[#This Row],[Type]]="P",Games[[#This Row],[Round]]=3),IF(Games[[#This Row],[Result]]&gt;0.5,1,0),0)</f>
        <v>0</v>
      </c>
      <c r="AJ446" s="2">
        <f>IF(AND(Games[[#This Row],[Type]]="P",Games[[#This Row],[Round]]=3),IF(Games[[#This Row],[Result]]&lt;0.5,1,0),0)</f>
        <v>0</v>
      </c>
      <c r="AK446" s="2">
        <f>IF(AND(Games[[#This Row],[Type]]="P",Games[[#This Row],[Round]]=4),IF(Games[[#This Row],[Result]]&gt;0.5,1,0),0)</f>
        <v>0</v>
      </c>
      <c r="AL446" s="2">
        <f>IF(AND(Games[[#This Row],[Type]]="P",Games[[#This Row],[Round]]=4),IF(Games[[#This Row],[Result]]&lt;0.5,1,0),0)</f>
        <v>0</v>
      </c>
    </row>
    <row r="447" spans="1:38" x14ac:dyDescent="0.35">
      <c r="A447" s="10">
        <v>45548</v>
      </c>
      <c r="B447" s="2">
        <v>2024</v>
      </c>
      <c r="C447" s="2">
        <f>COUNTIFS(Games[Team],Games[[#This Row],[Team]],Games[Season],Games[[#This Row],[Season]],Games[Date],"&lt;=" &amp; Games[[#This Row],[Date]])</f>
        <v>37</v>
      </c>
      <c r="D447" s="2" t="s">
        <v>79</v>
      </c>
      <c r="E447" s="2" t="s">
        <v>80</v>
      </c>
      <c r="F447" s="1" t="s">
        <v>40</v>
      </c>
      <c r="G447" s="1" t="s">
        <v>74</v>
      </c>
      <c r="H447" s="1" t="s">
        <v>82</v>
      </c>
      <c r="I447" s="2" cm="1">
        <f t="array" ref="I447">IFERROR(
    Games[[#This Row],[Date]]
    - LOOKUP(
        2,
        1/((Games[Team]=Games[[#This Row],[Team]]) * (Games[Date] &lt; Games[[#This Row],[Date]])),
        Games[Date]
    )
    - 1,
Games[[#This Row],[Date]]-$A$2)</f>
        <v>5</v>
      </c>
      <c r="J447" s="2" cm="1">
        <f t="array" ref="J4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7" s="2">
        <f>Games[[#This Row],[DaysOff]]-Games[[#This Row],[OppDaysOff]]</f>
        <v>3</v>
      </c>
      <c r="L447" s="2">
        <f>Games[[#This Row],[OppDaysOff]]-Games[[#This Row],[DaysOff]]</f>
        <v>-3</v>
      </c>
      <c r="M447" s="16">
        <f>MAX(-16, MIN(16, Games[[#This Row],[RestDiff]]*8))</f>
        <v>16</v>
      </c>
      <c r="N447" s="16">
        <f>MAX(-16, MIN(16, Games[[#This Row],[OppRestDiff]]*8))</f>
        <v>-16</v>
      </c>
      <c r="O447" s="4" cm="1">
        <f t="array" ref="O4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1428.5755788286588</v>
      </c>
      <c r="P447" s="4" cm="1">
        <f t="array" ref="P4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1618.261106989517</v>
      </c>
      <c r="Q447" s="4">
        <f>1/(1+10^(((Games[[#This Row],[OppPreGmRate]]+IF(Games[[#This Row],[HomeAway]]="A",HCA,0)+Games[[#This Row],[OppRestAdj]])-(Games[[#This Row],[PreGmRate]]+IF(Games[[#This Row],[HomeAway]]="H",HCA,0)+Games[[#This Row],[RestAdj]]))/400))</f>
        <v>0.39551981655149193</v>
      </c>
      <c r="R447" s="1">
        <v>69</v>
      </c>
      <c r="S447" s="1">
        <v>88</v>
      </c>
      <c r="T447" s="1">
        <v>0</v>
      </c>
      <c r="U447" s="16">
        <f>Games[[#This Row],[PointsFor]]-Games[[#This Row],[PointsAgainst]]</f>
        <v>-19</v>
      </c>
      <c r="V447" s="16">
        <f>IF(Games[[#This Row],[MOV]]&gt;0,1,IF(Games[[#This Row],[MOV]]=0,0.5,0))</f>
        <v>0</v>
      </c>
      <c r="W447" s="4">
        <f>((ABS(Games[[#This Row],[MOV]])+5)^0.6)/(12+0.01*(ABS(Games[[#This Row],[PreGmRate]]-Games[[#This Row],[OppPreGmRate]])))*IF(Games[[#This Row],[OT]]=1,0.9,1)</f>
        <v>0.48440677666019338</v>
      </c>
      <c r="X447" s="7" cm="1">
        <f t="array" ref="X4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7" s="9">
        <f>MAX(kmin, kmax - 0.15 * MIN(Games[[#This Row],[GamesPlayed]], 82))</f>
        <v>70.45</v>
      </c>
      <c r="Z447" s="4">
        <f>Games[[#This Row],[K]]*Games[[#This Row],[POMult]]</f>
        <v>70.45</v>
      </c>
      <c r="AA447" s="4">
        <f>(Games[[#This Row],[Keff]]*Games[[#This Row],[MOVMult]])*(Games[[#This Row],[Result]]-Games[[#This Row],[ExpectedWin%]])</f>
        <v>-13.497690176614167</v>
      </c>
      <c r="AB447" s="4">
        <f>Games[[#This Row],[PreGmRate]]+Games[[#This Row],[RatingChange]]</f>
        <v>1415.0778886520445</v>
      </c>
      <c r="AC447" s="2">
        <f>IF(Games[[#This Row],[Type]]="R",IF(Games[[#This Row],[Result]]&gt;0.5,1,0),0)</f>
        <v>0</v>
      </c>
      <c r="AD447" s="2">
        <f>IF(Games[[#This Row],[Type]]="R",IF(Games[[#This Row],[Result]]&lt;0.5,1,0),0)</f>
        <v>1</v>
      </c>
      <c r="AE447" s="2">
        <f>IF(AND(Games[[#This Row],[Type]]="P",Games[[#This Row],[Round]]=1),IF(Games[[#This Row],[Result]]&gt;0.5,1,0),0)</f>
        <v>0</v>
      </c>
      <c r="AF447" s="2">
        <f>IF(AND(Games[[#This Row],[Type]]="P",Games[[#This Row],[Round]]=1),IF(Games[[#This Row],[Result]]&lt;0.5,1,0),0)</f>
        <v>0</v>
      </c>
      <c r="AG447" s="2">
        <f>IF(AND(Games[[#This Row],[Type]]="P",Games[[#This Row],[Round]]=2),IF(Games[[#This Row],[Result]]&gt;0.5,1,0),0)</f>
        <v>0</v>
      </c>
      <c r="AH447" s="2">
        <f>IF(AND(Games[[#This Row],[Type]]="P",Games[[#This Row],[Round]]=2),IF(Games[[#This Row],[Result]]&lt;0.5,1,0),0)</f>
        <v>0</v>
      </c>
      <c r="AI447" s="2">
        <f>IF(AND(Games[[#This Row],[Type]]="P",Games[[#This Row],[Round]]=3),IF(Games[[#This Row],[Result]]&gt;0.5,1,0),0)</f>
        <v>0</v>
      </c>
      <c r="AJ447" s="2">
        <f>IF(AND(Games[[#This Row],[Type]]="P",Games[[#This Row],[Round]]=3),IF(Games[[#This Row],[Result]]&lt;0.5,1,0),0)</f>
        <v>0</v>
      </c>
      <c r="AK447" s="2">
        <f>IF(AND(Games[[#This Row],[Type]]="P",Games[[#This Row],[Round]]=4),IF(Games[[#This Row],[Result]]&gt;0.5,1,0),0)</f>
        <v>0</v>
      </c>
      <c r="AL447" s="2">
        <f>IF(AND(Games[[#This Row],[Type]]="P",Games[[#This Row],[Round]]=4),IF(Games[[#This Row],[Result]]&lt;0.5,1,0),0)</f>
        <v>0</v>
      </c>
    </row>
    <row r="448" spans="1:38" x14ac:dyDescent="0.35">
      <c r="A448" s="10">
        <v>45550</v>
      </c>
      <c r="B448" s="2">
        <v>2024</v>
      </c>
      <c r="C448" s="2">
        <f>COUNTIFS(Games[Team],Games[[#This Row],[Team]],Games[Season],Games[[#This Row],[Season]],Games[Date],"&lt;=" &amp; Games[[#This Row],[Date]])</f>
        <v>38</v>
      </c>
      <c r="D448" s="2" t="s">
        <v>79</v>
      </c>
      <c r="E448" s="2" t="s">
        <v>80</v>
      </c>
      <c r="F448" s="1" t="s">
        <v>40</v>
      </c>
      <c r="G448" s="1" t="s">
        <v>75</v>
      </c>
      <c r="H448" s="1" t="s">
        <v>81</v>
      </c>
      <c r="I448" s="2" cm="1">
        <f t="array" ref="I4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8" s="2" cm="1">
        <f t="array" ref="J4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8" s="2">
        <f>Games[[#This Row],[DaysOff]]-Games[[#This Row],[OppDaysOff]]</f>
        <v>0</v>
      </c>
      <c r="L448" s="2">
        <f>Games[[#This Row],[OppDaysOff]]-Games[[#This Row],[DaysOff]]</f>
        <v>0</v>
      </c>
      <c r="M448" s="16">
        <f>MAX(-16, MIN(16, Games[[#This Row],[RestDiff]]*8))</f>
        <v>0</v>
      </c>
      <c r="N448" s="16">
        <f>MAX(-16, MIN(16, Games[[#This Row],[OppRestDiff]]*8))</f>
        <v>0</v>
      </c>
      <c r="O448" s="4" cm="1">
        <f t="array" ref="O4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1415.0778886520445</v>
      </c>
      <c r="P448" s="4" cm="1">
        <f t="array" ref="P4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1380.7133512579105</v>
      </c>
      <c r="Q448" s="4">
        <f>1/(1+10^(((Games[[#This Row],[OppPreGmRate]]+IF(Games[[#This Row],[HomeAway]]="A",HCA,0)+Games[[#This Row],[OppRestAdj]])-(Games[[#This Row],[PreGmRate]]+IF(Games[[#This Row],[HomeAway]]="H",HCA,0)+Games[[#This Row],[RestAdj]]))/400))</f>
        <v>0.42905085424456596</v>
      </c>
      <c r="R448" s="1">
        <v>93</v>
      </c>
      <c r="S448" s="1">
        <v>88</v>
      </c>
      <c r="T448" s="1">
        <v>0</v>
      </c>
      <c r="U448" s="16">
        <f>Games[[#This Row],[PointsFor]]-Games[[#This Row],[PointsAgainst]]</f>
        <v>5</v>
      </c>
      <c r="V448" s="16">
        <f>IF(Games[[#This Row],[MOV]]&gt;0,1,IF(Games[[#This Row],[MOV]]=0,0.5,0))</f>
        <v>1</v>
      </c>
      <c r="W448" s="4">
        <f>((ABS(Games[[#This Row],[MOV]])+5)^0.6)/(12+0.01*(ABS(Games[[#This Row],[PreGmRate]]-Games[[#This Row],[OppPreGmRate]])))*IF(Games[[#This Row],[OT]]=1,0.9,1)</f>
        <v>0.32251993515136218</v>
      </c>
      <c r="X448" s="7" cm="1">
        <f t="array" ref="X4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8" s="9">
        <f>MAX(kmin, kmax - 0.15 * MIN(Games[[#This Row],[GamesPlayed]], 82))</f>
        <v>70.3</v>
      </c>
      <c r="Z448" s="4">
        <f>Games[[#This Row],[K]]*Games[[#This Row],[POMult]]</f>
        <v>70.3</v>
      </c>
      <c r="AA448" s="4">
        <f>(Games[[#This Row],[Keff]]*Games[[#This Row],[MOVMult]])*(Games[[#This Row],[Result]]-Games[[#This Row],[ExpectedWin%]])</f>
        <v>12.945216446902906</v>
      </c>
      <c r="AB448" s="4">
        <f>Games[[#This Row],[PreGmRate]]+Games[[#This Row],[RatingChange]]</f>
        <v>1428.0231050989473</v>
      </c>
      <c r="AC448" s="2">
        <f>IF(Games[[#This Row],[Type]]="R",IF(Games[[#This Row],[Result]]&gt;0.5,1,0),0)</f>
        <v>1</v>
      </c>
      <c r="AD448" s="2">
        <f>IF(Games[[#This Row],[Type]]="R",IF(Games[[#This Row],[Result]]&lt;0.5,1,0),0)</f>
        <v>0</v>
      </c>
      <c r="AE448" s="2">
        <f>IF(AND(Games[[#This Row],[Type]]="P",Games[[#This Row],[Round]]=1),IF(Games[[#This Row],[Result]]&gt;0.5,1,0),0)</f>
        <v>0</v>
      </c>
      <c r="AF448" s="2">
        <f>IF(AND(Games[[#This Row],[Type]]="P",Games[[#This Row],[Round]]=1),IF(Games[[#This Row],[Result]]&lt;0.5,1,0),0)</f>
        <v>0</v>
      </c>
      <c r="AG448" s="2">
        <f>IF(AND(Games[[#This Row],[Type]]="P",Games[[#This Row],[Round]]=2),IF(Games[[#This Row],[Result]]&gt;0.5,1,0),0)</f>
        <v>0</v>
      </c>
      <c r="AH448" s="2">
        <f>IF(AND(Games[[#This Row],[Type]]="P",Games[[#This Row],[Round]]=2),IF(Games[[#This Row],[Result]]&lt;0.5,1,0),0)</f>
        <v>0</v>
      </c>
      <c r="AI448" s="2">
        <f>IF(AND(Games[[#This Row],[Type]]="P",Games[[#This Row],[Round]]=3),IF(Games[[#This Row],[Result]]&gt;0.5,1,0),0)</f>
        <v>0</v>
      </c>
      <c r="AJ448" s="2">
        <f>IF(AND(Games[[#This Row],[Type]]="P",Games[[#This Row],[Round]]=3),IF(Games[[#This Row],[Result]]&lt;0.5,1,0),0)</f>
        <v>0</v>
      </c>
      <c r="AK448" s="2">
        <f>IF(AND(Games[[#This Row],[Type]]="P",Games[[#This Row],[Round]]=4),IF(Games[[#This Row],[Result]]&gt;0.5,1,0),0)</f>
        <v>0</v>
      </c>
      <c r="AL448" s="2">
        <f>IF(AND(Games[[#This Row],[Type]]="P",Games[[#This Row],[Round]]=4),IF(Games[[#This Row],[Result]]&lt;0.5,1,0),0)</f>
        <v>0</v>
      </c>
    </row>
    <row r="449" spans="1:38" x14ac:dyDescent="0.35">
      <c r="A449" s="10">
        <v>45550</v>
      </c>
      <c r="B449" s="2">
        <v>2024</v>
      </c>
      <c r="C449" s="2">
        <f>COUNTIFS(Games[Team],Games[[#This Row],[Team]],Games[Season],Games[[#This Row],[Season]],Games[Date],"&lt;=" &amp; Games[[#This Row],[Date]])</f>
        <v>38</v>
      </c>
      <c r="D449" s="2" t="s">
        <v>79</v>
      </c>
      <c r="E449" s="2" t="s">
        <v>80</v>
      </c>
      <c r="F449" s="1" t="s">
        <v>75</v>
      </c>
      <c r="G449" s="1" t="s">
        <v>40</v>
      </c>
      <c r="H449" s="1" t="s">
        <v>82</v>
      </c>
      <c r="I449" s="2" cm="1">
        <f t="array" ref="I4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9" s="2" cm="1">
        <f t="array" ref="J4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9" s="2">
        <f>Games[[#This Row],[DaysOff]]-Games[[#This Row],[OppDaysOff]]</f>
        <v>0</v>
      </c>
      <c r="L449" s="2">
        <f>Games[[#This Row],[OppDaysOff]]-Games[[#This Row],[DaysOff]]</f>
        <v>0</v>
      </c>
      <c r="M449" s="16">
        <f>MAX(-16, MIN(16, Games[[#This Row],[RestDiff]]*8))</f>
        <v>0</v>
      </c>
      <c r="N449" s="16">
        <f>MAX(-16, MIN(16, Games[[#This Row],[OppRestDiff]]*8))</f>
        <v>0</v>
      </c>
      <c r="O449" s="4" cm="1">
        <f t="array" ref="O4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1380.7133512579105</v>
      </c>
      <c r="P449" s="4" cm="1">
        <f t="array" ref="P4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1415.0778886520445</v>
      </c>
      <c r="Q449" s="4">
        <f>1/(1+10^(((Games[[#This Row],[OppPreGmRate]]+IF(Games[[#This Row],[HomeAway]]="A",HCA,0)+Games[[#This Row],[OppRestAdj]])-(Games[[#This Row],[PreGmRate]]+IF(Games[[#This Row],[HomeAway]]="H",HCA,0)+Games[[#This Row],[RestAdj]]))/400))</f>
        <v>0.57094914575543398</v>
      </c>
      <c r="R449" s="1">
        <v>88</v>
      </c>
      <c r="S449" s="1">
        <v>93</v>
      </c>
      <c r="T449" s="1">
        <v>0</v>
      </c>
      <c r="U449" s="16">
        <f>Games[[#This Row],[PointsFor]]-Games[[#This Row],[PointsAgainst]]</f>
        <v>-5</v>
      </c>
      <c r="V449" s="16">
        <f>IF(Games[[#This Row],[MOV]]&gt;0,1,IF(Games[[#This Row],[MOV]]=0,0.5,0))</f>
        <v>0</v>
      </c>
      <c r="W449" s="4">
        <f>((ABS(Games[[#This Row],[MOV]])+5)^0.6)/(12+0.01*(ABS(Games[[#This Row],[PreGmRate]]-Games[[#This Row],[OppPreGmRate]])))*IF(Games[[#This Row],[OT]]=1,0.9,1)</f>
        <v>0.32251993515136218</v>
      </c>
      <c r="X449" s="7" cm="1">
        <f t="array" ref="X4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9" s="9">
        <f>MAX(kmin, kmax - 0.15 * MIN(Games[[#This Row],[GamesPlayed]], 82))</f>
        <v>70.3</v>
      </c>
      <c r="Z449" s="4">
        <f>Games[[#This Row],[K]]*Games[[#This Row],[POMult]]</f>
        <v>70.3</v>
      </c>
      <c r="AA449" s="4">
        <f>(Games[[#This Row],[Keff]]*Games[[#This Row],[MOVMult]])*(Games[[#This Row],[Result]]-Games[[#This Row],[ExpectedWin%]])</f>
        <v>-12.945216446902904</v>
      </c>
      <c r="AB449" s="4">
        <f>Games[[#This Row],[PreGmRate]]+Games[[#This Row],[RatingChange]]</f>
        <v>1367.7681348110077</v>
      </c>
      <c r="AC449" s="2">
        <f>IF(Games[[#This Row],[Type]]="R",IF(Games[[#This Row],[Result]]&gt;0.5,1,0),0)</f>
        <v>0</v>
      </c>
      <c r="AD449" s="2">
        <f>IF(Games[[#This Row],[Type]]="R",IF(Games[[#This Row],[Result]]&lt;0.5,1,0),0)</f>
        <v>1</v>
      </c>
      <c r="AE449" s="2">
        <f>IF(AND(Games[[#This Row],[Type]]="P",Games[[#This Row],[Round]]=1),IF(Games[[#This Row],[Result]]&gt;0.5,1,0),0)</f>
        <v>0</v>
      </c>
      <c r="AF449" s="2">
        <f>IF(AND(Games[[#This Row],[Type]]="P",Games[[#This Row],[Round]]=1),IF(Games[[#This Row],[Result]]&lt;0.5,1,0),0)</f>
        <v>0</v>
      </c>
      <c r="AG449" s="2">
        <f>IF(AND(Games[[#This Row],[Type]]="P",Games[[#This Row],[Round]]=2),IF(Games[[#This Row],[Result]]&gt;0.5,1,0),0)</f>
        <v>0</v>
      </c>
      <c r="AH449" s="2">
        <f>IF(AND(Games[[#This Row],[Type]]="P",Games[[#This Row],[Round]]=2),IF(Games[[#This Row],[Result]]&lt;0.5,1,0),0)</f>
        <v>0</v>
      </c>
      <c r="AI449" s="2">
        <f>IF(AND(Games[[#This Row],[Type]]="P",Games[[#This Row],[Round]]=3),IF(Games[[#This Row],[Result]]&gt;0.5,1,0),0)</f>
        <v>0</v>
      </c>
      <c r="AJ449" s="2">
        <f>IF(AND(Games[[#This Row],[Type]]="P",Games[[#This Row],[Round]]=3),IF(Games[[#This Row],[Result]]&lt;0.5,1,0),0)</f>
        <v>0</v>
      </c>
      <c r="AK449" s="2">
        <f>IF(AND(Games[[#This Row],[Type]]="P",Games[[#This Row],[Round]]=4),IF(Games[[#This Row],[Result]]&gt;0.5,1,0),0)</f>
        <v>0</v>
      </c>
      <c r="AL449" s="2">
        <f>IF(AND(Games[[#This Row],[Type]]="P",Games[[#This Row],[Round]]=4),IF(Games[[#This Row],[Result]]&lt;0.5,1,0),0)</f>
        <v>0</v>
      </c>
    </row>
    <row r="450" spans="1:38" x14ac:dyDescent="0.35">
      <c r="A450" s="10">
        <v>45550</v>
      </c>
      <c r="B450" s="2">
        <v>2024</v>
      </c>
      <c r="C450" s="2">
        <f>COUNTIFS(Games[Team],Games[[#This Row],[Team]],Games[Season],Games[[#This Row],[Season]],Games[Date],"&lt;=" &amp; Games[[#This Row],[Date]])</f>
        <v>39</v>
      </c>
      <c r="D450" s="2" t="s">
        <v>79</v>
      </c>
      <c r="E450" s="2" t="s">
        <v>80</v>
      </c>
      <c r="F450" s="1" t="s">
        <v>85</v>
      </c>
      <c r="G450" s="1" t="s">
        <v>69</v>
      </c>
      <c r="H450" s="1" t="s">
        <v>81</v>
      </c>
      <c r="I450" s="2" cm="1">
        <f t="array" ref="I4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0" s="2" cm="1">
        <f t="array" ref="J4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0" s="2">
        <f>Games[[#This Row],[DaysOff]]-Games[[#This Row],[OppDaysOff]]</f>
        <v>0</v>
      </c>
      <c r="L450" s="2">
        <f>Games[[#This Row],[OppDaysOff]]-Games[[#This Row],[DaysOff]]</f>
        <v>0</v>
      </c>
      <c r="M450" s="16">
        <f>MAX(-16, MIN(16, Games[[#This Row],[RestDiff]]*8))</f>
        <v>0</v>
      </c>
      <c r="N450" s="16">
        <f>MAX(-16, MIN(16, Games[[#This Row],[OppRestDiff]]*8))</f>
        <v>0</v>
      </c>
      <c r="O450" s="4" cm="1">
        <f t="array" ref="O4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1339.8071326793809</v>
      </c>
      <c r="P450" s="4" cm="1">
        <f t="array" ref="P4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1498.0681077005713</v>
      </c>
      <c r="Q450" s="4">
        <f>1/(1+10^(((Games[[#This Row],[OppPreGmRate]]+IF(Games[[#This Row],[HomeAway]]="A",HCA,0)+Games[[#This Row],[OppRestAdj]])-(Games[[#This Row],[PreGmRate]]+IF(Games[[#This Row],[HomeAway]]="H",HCA,0)+Games[[#This Row],[RestAdj]]))/400))</f>
        <v>0.19867977765730083</v>
      </c>
      <c r="R450" s="1">
        <v>109</v>
      </c>
      <c r="S450" s="1">
        <v>110</v>
      </c>
      <c r="T450" s="1">
        <v>0</v>
      </c>
      <c r="U450" s="16">
        <f>Games[[#This Row],[PointsFor]]-Games[[#This Row],[PointsAgainst]]</f>
        <v>-1</v>
      </c>
      <c r="V450" s="16">
        <f>IF(Games[[#This Row],[MOV]]&gt;0,1,IF(Games[[#This Row],[MOV]]=0,0.5,0))</f>
        <v>0</v>
      </c>
      <c r="W450" s="4">
        <f>((ABS(Games[[#This Row],[MOV]])+5)^0.6)/(12+0.01*(ABS(Games[[#This Row],[PreGmRate]]-Games[[#This Row],[OppPreGmRate]])))*IF(Games[[#This Row],[OT]]=1,0.9,1)</f>
        <v>0.21572850177321831</v>
      </c>
      <c r="X450" s="7" cm="1">
        <f t="array" ref="X4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0" s="9">
        <f>MAX(kmin, kmax - 0.15 * MIN(Games[[#This Row],[GamesPlayed]], 82))</f>
        <v>70.150000000000006</v>
      </c>
      <c r="Z450" s="4">
        <f>Games[[#This Row],[K]]*Games[[#This Row],[POMult]]</f>
        <v>70.150000000000006</v>
      </c>
      <c r="AA450" s="4">
        <f>(Games[[#This Row],[Keff]]*Games[[#This Row],[MOVMult]])*(Games[[#This Row],[Result]]-Games[[#This Row],[ExpectedWin%]])</f>
        <v>-3.0066914872801918</v>
      </c>
      <c r="AB450" s="4">
        <f>Games[[#This Row],[PreGmRate]]+Games[[#This Row],[RatingChange]]</f>
        <v>1336.8004411921006</v>
      </c>
      <c r="AC450" s="2">
        <f>IF(Games[[#This Row],[Type]]="R",IF(Games[[#This Row],[Result]]&gt;0.5,1,0),0)</f>
        <v>0</v>
      </c>
      <c r="AD450" s="2">
        <f>IF(Games[[#This Row],[Type]]="R",IF(Games[[#This Row],[Result]]&lt;0.5,1,0),0)</f>
        <v>1</v>
      </c>
      <c r="AE450" s="2">
        <f>IF(AND(Games[[#This Row],[Type]]="P",Games[[#This Row],[Round]]=1),IF(Games[[#This Row],[Result]]&gt;0.5,1,0),0)</f>
        <v>0</v>
      </c>
      <c r="AF450" s="2">
        <f>IF(AND(Games[[#This Row],[Type]]="P",Games[[#This Row],[Round]]=1),IF(Games[[#This Row],[Result]]&lt;0.5,1,0),0)</f>
        <v>0</v>
      </c>
      <c r="AG450" s="2">
        <f>IF(AND(Games[[#This Row],[Type]]="P",Games[[#This Row],[Round]]=2),IF(Games[[#This Row],[Result]]&gt;0.5,1,0),0)</f>
        <v>0</v>
      </c>
      <c r="AH450" s="2">
        <f>IF(AND(Games[[#This Row],[Type]]="P",Games[[#This Row],[Round]]=2),IF(Games[[#This Row],[Result]]&lt;0.5,1,0),0)</f>
        <v>0</v>
      </c>
      <c r="AI450" s="2">
        <f>IF(AND(Games[[#This Row],[Type]]="P",Games[[#This Row],[Round]]=3),IF(Games[[#This Row],[Result]]&gt;0.5,1,0),0)</f>
        <v>0</v>
      </c>
      <c r="AJ450" s="2">
        <f>IF(AND(Games[[#This Row],[Type]]="P",Games[[#This Row],[Round]]=3),IF(Games[[#This Row],[Result]]&lt;0.5,1,0),0)</f>
        <v>0</v>
      </c>
      <c r="AK450" s="2">
        <f>IF(AND(Games[[#This Row],[Type]]="P",Games[[#This Row],[Round]]=4),IF(Games[[#This Row],[Result]]&gt;0.5,1,0),0)</f>
        <v>0</v>
      </c>
      <c r="AL450" s="2">
        <f>IF(AND(Games[[#This Row],[Type]]="P",Games[[#This Row],[Round]]=4),IF(Games[[#This Row],[Result]]&lt;0.5,1,0),0)</f>
        <v>0</v>
      </c>
    </row>
    <row r="451" spans="1:38" x14ac:dyDescent="0.35">
      <c r="A451" s="10">
        <v>45550</v>
      </c>
      <c r="B451" s="2">
        <v>2024</v>
      </c>
      <c r="C451" s="2">
        <f>COUNTIFS(Games[Team],Games[[#This Row],[Team]],Games[Season],Games[[#This Row],[Season]],Games[Date],"&lt;=" &amp; Games[[#This Row],[Date]])</f>
        <v>39</v>
      </c>
      <c r="D451" s="2" t="s">
        <v>79</v>
      </c>
      <c r="E451" s="2" t="s">
        <v>80</v>
      </c>
      <c r="F451" s="1" t="s">
        <v>69</v>
      </c>
      <c r="G451" s="1" t="s">
        <v>85</v>
      </c>
      <c r="H451" s="1" t="s">
        <v>82</v>
      </c>
      <c r="I451" s="2" cm="1">
        <f t="array" ref="I4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1" s="2" cm="1">
        <f t="array" ref="J4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1" s="2">
        <f>Games[[#This Row],[DaysOff]]-Games[[#This Row],[OppDaysOff]]</f>
        <v>0</v>
      </c>
      <c r="L451" s="2">
        <f>Games[[#This Row],[OppDaysOff]]-Games[[#This Row],[DaysOff]]</f>
        <v>0</v>
      </c>
      <c r="M451" s="16">
        <f>MAX(-16, MIN(16, Games[[#This Row],[RestDiff]]*8))</f>
        <v>0</v>
      </c>
      <c r="N451" s="16">
        <f>MAX(-16, MIN(16, Games[[#This Row],[OppRestDiff]]*8))</f>
        <v>0</v>
      </c>
      <c r="O451" s="4" cm="1">
        <f t="array" ref="O4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1498.0681077005713</v>
      </c>
      <c r="P451" s="4" cm="1">
        <f t="array" ref="P4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1339.8071326793809</v>
      </c>
      <c r="Q451" s="4">
        <f>1/(1+10^(((Games[[#This Row],[OppPreGmRate]]+IF(Games[[#This Row],[HomeAway]]="A",HCA,0)+Games[[#This Row],[OppRestAdj]])-(Games[[#This Row],[PreGmRate]]+IF(Games[[#This Row],[HomeAway]]="H",HCA,0)+Games[[#This Row],[RestAdj]]))/400))</f>
        <v>0.80132022234269917</v>
      </c>
      <c r="R451" s="1">
        <v>110</v>
      </c>
      <c r="S451" s="1">
        <v>109</v>
      </c>
      <c r="T451" s="1">
        <v>0</v>
      </c>
      <c r="U451" s="16">
        <f>Games[[#This Row],[PointsFor]]-Games[[#This Row],[PointsAgainst]]</f>
        <v>1</v>
      </c>
      <c r="V451" s="16">
        <f>IF(Games[[#This Row],[MOV]]&gt;0,1,IF(Games[[#This Row],[MOV]]=0,0.5,0))</f>
        <v>1</v>
      </c>
      <c r="W451" s="4">
        <f>((ABS(Games[[#This Row],[MOV]])+5)^0.6)/(12+0.01*(ABS(Games[[#This Row],[PreGmRate]]-Games[[#This Row],[OppPreGmRate]])))*IF(Games[[#This Row],[OT]]=1,0.9,1)</f>
        <v>0.21572850177321831</v>
      </c>
      <c r="X451" s="7" cm="1">
        <f t="array" ref="X4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1" s="9">
        <f>MAX(kmin, kmax - 0.15 * MIN(Games[[#This Row],[GamesPlayed]], 82))</f>
        <v>70.150000000000006</v>
      </c>
      <c r="Z451" s="4">
        <f>Games[[#This Row],[K]]*Games[[#This Row],[POMult]]</f>
        <v>70.150000000000006</v>
      </c>
      <c r="AA451" s="4">
        <f>(Games[[#This Row],[Keff]]*Games[[#This Row],[MOVMult]])*(Games[[#This Row],[Result]]-Games[[#This Row],[ExpectedWin%]])</f>
        <v>3.0066914872801918</v>
      </c>
      <c r="AB451" s="4">
        <f>Games[[#This Row],[PreGmRate]]+Games[[#This Row],[RatingChange]]</f>
        <v>1501.0747991878516</v>
      </c>
      <c r="AC451" s="2">
        <f>IF(Games[[#This Row],[Type]]="R",IF(Games[[#This Row],[Result]]&gt;0.5,1,0),0)</f>
        <v>1</v>
      </c>
      <c r="AD451" s="2">
        <f>IF(Games[[#This Row],[Type]]="R",IF(Games[[#This Row],[Result]]&lt;0.5,1,0),0)</f>
        <v>0</v>
      </c>
      <c r="AE451" s="2">
        <f>IF(AND(Games[[#This Row],[Type]]="P",Games[[#This Row],[Round]]=1),IF(Games[[#This Row],[Result]]&gt;0.5,1,0),0)</f>
        <v>0</v>
      </c>
      <c r="AF451" s="2">
        <f>IF(AND(Games[[#This Row],[Type]]="P",Games[[#This Row],[Round]]=1),IF(Games[[#This Row],[Result]]&lt;0.5,1,0),0)</f>
        <v>0</v>
      </c>
      <c r="AG451" s="2">
        <f>IF(AND(Games[[#This Row],[Type]]="P",Games[[#This Row],[Round]]=2),IF(Games[[#This Row],[Result]]&gt;0.5,1,0),0)</f>
        <v>0</v>
      </c>
      <c r="AH451" s="2">
        <f>IF(AND(Games[[#This Row],[Type]]="P",Games[[#This Row],[Round]]=2),IF(Games[[#This Row],[Result]]&lt;0.5,1,0),0)</f>
        <v>0</v>
      </c>
      <c r="AI451" s="2">
        <f>IF(AND(Games[[#This Row],[Type]]="P",Games[[#This Row],[Round]]=3),IF(Games[[#This Row],[Result]]&gt;0.5,1,0),0)</f>
        <v>0</v>
      </c>
      <c r="AJ451" s="2">
        <f>IF(AND(Games[[#This Row],[Type]]="P",Games[[#This Row],[Round]]=3),IF(Games[[#This Row],[Result]]&lt;0.5,1,0),0)</f>
        <v>0</v>
      </c>
      <c r="AK451" s="2">
        <f>IF(AND(Games[[#This Row],[Type]]="P",Games[[#This Row],[Round]]=4),IF(Games[[#This Row],[Result]]&gt;0.5,1,0),0)</f>
        <v>0</v>
      </c>
      <c r="AL451" s="2">
        <f>IF(AND(Games[[#This Row],[Type]]="P",Games[[#This Row],[Round]]=4),IF(Games[[#This Row],[Result]]&lt;0.5,1,0),0)</f>
        <v>0</v>
      </c>
    </row>
    <row r="452" spans="1:38" x14ac:dyDescent="0.35">
      <c r="A452" s="10">
        <v>45550</v>
      </c>
      <c r="B452" s="2">
        <v>2024</v>
      </c>
      <c r="C452" s="2">
        <f>COUNTIFS(Games[Team],Games[[#This Row],[Team]],Games[Season],Games[[#This Row],[Season]],Games[Date],"&lt;=" &amp; Games[[#This Row],[Date]])</f>
        <v>38</v>
      </c>
      <c r="D452" s="2" t="s">
        <v>79</v>
      </c>
      <c r="E452" s="2" t="s">
        <v>80</v>
      </c>
      <c r="F452" s="1" t="s">
        <v>74</v>
      </c>
      <c r="G452" s="1" t="s">
        <v>86</v>
      </c>
      <c r="H452" s="1" t="s">
        <v>81</v>
      </c>
      <c r="I452" s="2" cm="1">
        <f t="array" ref="I4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2" s="2" cm="1">
        <f t="array" ref="J4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2" s="2">
        <f>Games[[#This Row],[DaysOff]]-Games[[#This Row],[OppDaysOff]]</f>
        <v>0</v>
      </c>
      <c r="L452" s="2">
        <f>Games[[#This Row],[OppDaysOff]]-Games[[#This Row],[DaysOff]]</f>
        <v>0</v>
      </c>
      <c r="M452" s="16">
        <f>MAX(-16, MIN(16, Games[[#This Row],[RestDiff]]*8))</f>
        <v>0</v>
      </c>
      <c r="N452" s="16">
        <f>MAX(-16, MIN(16, Games[[#This Row],[OppRestDiff]]*8))</f>
        <v>0</v>
      </c>
      <c r="O452" s="4" cm="1">
        <f t="array" ref="O4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1631.7587971661312</v>
      </c>
      <c r="P452" s="4" cm="1">
        <f t="array" ref="P4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1645.4402986998389</v>
      </c>
      <c r="Q452" s="4">
        <f>1/(1+10^(((Games[[#This Row],[OppPreGmRate]]+IF(Games[[#This Row],[HomeAway]]="A",HCA,0)+Games[[#This Row],[OppRestAdj]])-(Games[[#This Row],[PreGmRate]]+IF(Games[[#This Row],[HomeAway]]="H",HCA,0)+Games[[#This Row],[RestAdj]]))/400))</f>
        <v>0.36301546905062687</v>
      </c>
      <c r="R452" s="1">
        <v>71</v>
      </c>
      <c r="S452" s="1">
        <v>84</v>
      </c>
      <c r="T452" s="1">
        <v>0</v>
      </c>
      <c r="U452" s="16">
        <f>Games[[#This Row],[PointsFor]]-Games[[#This Row],[PointsAgainst]]</f>
        <v>-13</v>
      </c>
      <c r="V452" s="16">
        <f>IF(Games[[#This Row],[MOV]]&gt;0,1,IF(Games[[#This Row],[MOV]]=0,0.5,0))</f>
        <v>0</v>
      </c>
      <c r="W452" s="4">
        <f>((ABS(Games[[#This Row],[MOV]])+5)^0.6)/(12+0.01*(ABS(Games[[#This Row],[PreGmRate]]-Games[[#This Row],[OppPreGmRate]])))*IF(Games[[#This Row],[OT]]=1,0.9,1)</f>
        <v>0.46672253475160097</v>
      </c>
      <c r="X452" s="7" cm="1">
        <f t="array" ref="X4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2" s="9">
        <f>MAX(kmin, kmax - 0.15 * MIN(Games[[#This Row],[GamesPlayed]], 82))</f>
        <v>70.3</v>
      </c>
      <c r="Z452" s="4">
        <f>Games[[#This Row],[K]]*Games[[#This Row],[POMult]]</f>
        <v>70.3</v>
      </c>
      <c r="AA452" s="4">
        <f>(Games[[#This Row],[Keff]]*Games[[#This Row],[MOVMult]])*(Games[[#This Row],[Result]]-Games[[#This Row],[ExpectedWin%]])</f>
        <v>-11.910753240815298</v>
      </c>
      <c r="AB452" s="4">
        <f>Games[[#This Row],[PreGmRate]]+Games[[#This Row],[RatingChange]]</f>
        <v>1619.848043925316</v>
      </c>
      <c r="AC452" s="2">
        <f>IF(Games[[#This Row],[Type]]="R",IF(Games[[#This Row],[Result]]&gt;0.5,1,0),0)</f>
        <v>0</v>
      </c>
      <c r="AD452" s="2">
        <f>IF(Games[[#This Row],[Type]]="R",IF(Games[[#This Row],[Result]]&lt;0.5,1,0),0)</f>
        <v>1</v>
      </c>
      <c r="AE452" s="2">
        <f>IF(AND(Games[[#This Row],[Type]]="P",Games[[#This Row],[Round]]=1),IF(Games[[#This Row],[Result]]&gt;0.5,1,0),0)</f>
        <v>0</v>
      </c>
      <c r="AF452" s="2">
        <f>IF(AND(Games[[#This Row],[Type]]="P",Games[[#This Row],[Round]]=1),IF(Games[[#This Row],[Result]]&lt;0.5,1,0),0)</f>
        <v>0</v>
      </c>
      <c r="AG452" s="2">
        <f>IF(AND(Games[[#This Row],[Type]]="P",Games[[#This Row],[Round]]=2),IF(Games[[#This Row],[Result]]&gt;0.5,1,0),0)</f>
        <v>0</v>
      </c>
      <c r="AH452" s="2">
        <f>IF(AND(Games[[#This Row],[Type]]="P",Games[[#This Row],[Round]]=2),IF(Games[[#This Row],[Result]]&lt;0.5,1,0),0)</f>
        <v>0</v>
      </c>
      <c r="AI452" s="2">
        <f>IF(AND(Games[[#This Row],[Type]]="P",Games[[#This Row],[Round]]=3),IF(Games[[#This Row],[Result]]&gt;0.5,1,0),0)</f>
        <v>0</v>
      </c>
      <c r="AJ452" s="2">
        <f>IF(AND(Games[[#This Row],[Type]]="P",Games[[#This Row],[Round]]=3),IF(Games[[#This Row],[Result]]&lt;0.5,1,0),0)</f>
        <v>0</v>
      </c>
      <c r="AK452" s="2">
        <f>IF(AND(Games[[#This Row],[Type]]="P",Games[[#This Row],[Round]]=4),IF(Games[[#This Row],[Result]]&gt;0.5,1,0),0)</f>
        <v>0</v>
      </c>
      <c r="AL452" s="2">
        <f>IF(AND(Games[[#This Row],[Type]]="P",Games[[#This Row],[Round]]=4),IF(Games[[#This Row],[Result]]&lt;0.5,1,0),0)</f>
        <v>0</v>
      </c>
    </row>
    <row r="453" spans="1:38" x14ac:dyDescent="0.35">
      <c r="A453" s="10">
        <v>45550</v>
      </c>
      <c r="B453" s="2">
        <v>2024</v>
      </c>
      <c r="C453" s="2">
        <f>COUNTIFS(Games[Team],Games[[#This Row],[Team]],Games[Season],Games[[#This Row],[Season]],Games[Date],"&lt;=" &amp; Games[[#This Row],[Date]])</f>
        <v>38</v>
      </c>
      <c r="D453" s="2" t="s">
        <v>79</v>
      </c>
      <c r="E453" s="2" t="s">
        <v>80</v>
      </c>
      <c r="F453" s="1" t="s">
        <v>86</v>
      </c>
      <c r="G453" s="1" t="s">
        <v>74</v>
      </c>
      <c r="H453" s="1" t="s">
        <v>82</v>
      </c>
      <c r="I453" s="2" cm="1">
        <f t="array" ref="I4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3" s="2" cm="1">
        <f t="array" ref="J4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3" s="2">
        <f>Games[[#This Row],[DaysOff]]-Games[[#This Row],[OppDaysOff]]</f>
        <v>0</v>
      </c>
      <c r="L453" s="2">
        <f>Games[[#This Row],[OppDaysOff]]-Games[[#This Row],[DaysOff]]</f>
        <v>0</v>
      </c>
      <c r="M453" s="16">
        <f>MAX(-16, MIN(16, Games[[#This Row],[RestDiff]]*8))</f>
        <v>0</v>
      </c>
      <c r="N453" s="16">
        <f>MAX(-16, MIN(16, Games[[#This Row],[OppRestDiff]]*8))</f>
        <v>0</v>
      </c>
      <c r="O453" s="4" cm="1">
        <f t="array" ref="O4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1645.4402986998389</v>
      </c>
      <c r="P453" s="4" cm="1">
        <f t="array" ref="P4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1631.7587971661312</v>
      </c>
      <c r="Q453" s="4">
        <f>1/(1+10^(((Games[[#This Row],[OppPreGmRate]]+IF(Games[[#This Row],[HomeAway]]="A",HCA,0)+Games[[#This Row],[OppRestAdj]])-(Games[[#This Row],[PreGmRate]]+IF(Games[[#This Row],[HomeAway]]="H",HCA,0)+Games[[#This Row],[RestAdj]]))/400))</f>
        <v>0.63698453094937313</v>
      </c>
      <c r="R453" s="1">
        <v>84</v>
      </c>
      <c r="S453" s="1">
        <v>71</v>
      </c>
      <c r="T453" s="1">
        <v>0</v>
      </c>
      <c r="U453" s="16">
        <f>Games[[#This Row],[PointsFor]]-Games[[#This Row],[PointsAgainst]]</f>
        <v>13</v>
      </c>
      <c r="V453" s="16">
        <f>IF(Games[[#This Row],[MOV]]&gt;0,1,IF(Games[[#This Row],[MOV]]=0,0.5,0))</f>
        <v>1</v>
      </c>
      <c r="W453" s="4">
        <f>((ABS(Games[[#This Row],[MOV]])+5)^0.6)/(12+0.01*(ABS(Games[[#This Row],[PreGmRate]]-Games[[#This Row],[OppPreGmRate]])))*IF(Games[[#This Row],[OT]]=1,0.9,1)</f>
        <v>0.46672253475160097</v>
      </c>
      <c r="X453" s="7" cm="1">
        <f t="array" ref="X4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3" s="9">
        <f>MAX(kmin, kmax - 0.15 * MIN(Games[[#This Row],[GamesPlayed]], 82))</f>
        <v>70.3</v>
      </c>
      <c r="Z453" s="4">
        <f>Games[[#This Row],[K]]*Games[[#This Row],[POMult]]</f>
        <v>70.3</v>
      </c>
      <c r="AA453" s="4">
        <f>(Games[[#This Row],[Keff]]*Games[[#This Row],[MOVMult]])*(Games[[#This Row],[Result]]-Games[[#This Row],[ExpectedWin%]])</f>
        <v>11.910753240815298</v>
      </c>
      <c r="AB453" s="4">
        <f>Games[[#This Row],[PreGmRate]]+Games[[#This Row],[RatingChange]]</f>
        <v>1657.3510519406541</v>
      </c>
      <c r="AC453" s="2">
        <f>IF(Games[[#This Row],[Type]]="R",IF(Games[[#This Row],[Result]]&gt;0.5,1,0),0)</f>
        <v>1</v>
      </c>
      <c r="AD453" s="2">
        <f>IF(Games[[#This Row],[Type]]="R",IF(Games[[#This Row],[Result]]&lt;0.5,1,0),0)</f>
        <v>0</v>
      </c>
      <c r="AE453" s="2">
        <f>IF(AND(Games[[#This Row],[Type]]="P",Games[[#This Row],[Round]]=1),IF(Games[[#This Row],[Result]]&gt;0.5,1,0),0)</f>
        <v>0</v>
      </c>
      <c r="AF453" s="2">
        <f>IF(AND(Games[[#This Row],[Type]]="P",Games[[#This Row],[Round]]=1),IF(Games[[#This Row],[Result]]&lt;0.5,1,0),0)</f>
        <v>0</v>
      </c>
      <c r="AG453" s="2">
        <f>IF(AND(Games[[#This Row],[Type]]="P",Games[[#This Row],[Round]]=2),IF(Games[[#This Row],[Result]]&gt;0.5,1,0),0)</f>
        <v>0</v>
      </c>
      <c r="AH453" s="2">
        <f>IF(AND(Games[[#This Row],[Type]]="P",Games[[#This Row],[Round]]=2),IF(Games[[#This Row],[Result]]&lt;0.5,1,0),0)</f>
        <v>0</v>
      </c>
      <c r="AI453" s="2">
        <f>IF(AND(Games[[#This Row],[Type]]="P",Games[[#This Row],[Round]]=3),IF(Games[[#This Row],[Result]]&gt;0.5,1,0),0)</f>
        <v>0</v>
      </c>
      <c r="AJ453" s="2">
        <f>IF(AND(Games[[#This Row],[Type]]="P",Games[[#This Row],[Round]]=3),IF(Games[[#This Row],[Result]]&lt;0.5,1,0),0)</f>
        <v>0</v>
      </c>
      <c r="AK453" s="2">
        <f>IF(AND(Games[[#This Row],[Type]]="P",Games[[#This Row],[Round]]=4),IF(Games[[#This Row],[Result]]&gt;0.5,1,0),0)</f>
        <v>0</v>
      </c>
      <c r="AL453" s="2">
        <f>IF(AND(Games[[#This Row],[Type]]="P",Games[[#This Row],[Round]]=4),IF(Games[[#This Row],[Result]]&lt;0.5,1,0),0)</f>
        <v>0</v>
      </c>
    </row>
    <row r="454" spans="1:38" x14ac:dyDescent="0.35">
      <c r="A454" s="10">
        <v>45550</v>
      </c>
      <c r="B454" s="2">
        <v>2024</v>
      </c>
      <c r="C454" s="2">
        <f>COUNTIFS(Games[Team],Games[[#This Row],[Team]],Games[Season],Games[[#This Row],[Season]],Games[Date],"&lt;=" &amp; Games[[#This Row],[Date]])</f>
        <v>38</v>
      </c>
      <c r="D454" s="2" t="s">
        <v>79</v>
      </c>
      <c r="E454" s="2" t="s">
        <v>80</v>
      </c>
      <c r="F454" s="1" t="s">
        <v>67</v>
      </c>
      <c r="G454" s="1" t="s">
        <v>60</v>
      </c>
      <c r="H454" s="1" t="s">
        <v>81</v>
      </c>
      <c r="I454" s="2" cm="1">
        <f t="array" ref="I4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4" s="2" cm="1">
        <f t="array" ref="J4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4" s="2">
        <f>Games[[#This Row],[DaysOff]]-Games[[#This Row],[OppDaysOff]]</f>
        <v>-1</v>
      </c>
      <c r="L454" s="2">
        <f>Games[[#This Row],[OppDaysOff]]-Games[[#This Row],[DaysOff]]</f>
        <v>1</v>
      </c>
      <c r="M454" s="16">
        <f>MAX(-16, MIN(16, Games[[#This Row],[RestDiff]]*8))</f>
        <v>-8</v>
      </c>
      <c r="N454" s="16">
        <f>MAX(-16, MIN(16, Games[[#This Row],[OppRestDiff]]*8))</f>
        <v>8</v>
      </c>
      <c r="O454" s="4" cm="1">
        <f t="array" ref="O4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1645.426062621377</v>
      </c>
      <c r="P454" s="4" cm="1">
        <f t="array" ref="P4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1739.5918237679937</v>
      </c>
      <c r="Q454" s="4">
        <f>1/(1+10^(((Games[[#This Row],[OppPreGmRate]]+IF(Games[[#This Row],[HomeAway]]="A",HCA,0)+Games[[#This Row],[OppRestAdj]])-(Games[[#This Row],[PreGmRate]]+IF(Games[[#This Row],[HomeAway]]="H",HCA,0)+Games[[#This Row],[RestAdj]]))/400))</f>
        <v>0.24643667941683736</v>
      </c>
      <c r="R454" s="1">
        <v>88</v>
      </c>
      <c r="S454" s="1">
        <v>79</v>
      </c>
      <c r="T454" s="1">
        <v>0</v>
      </c>
      <c r="U454" s="16">
        <f>Games[[#This Row],[PointsFor]]-Games[[#This Row],[PointsAgainst]]</f>
        <v>9</v>
      </c>
      <c r="V454" s="16">
        <f>IF(Games[[#This Row],[MOV]]&gt;0,1,IF(Games[[#This Row],[MOV]]=0,0.5,0))</f>
        <v>1</v>
      </c>
      <c r="W454" s="4">
        <f>((ABS(Games[[#This Row],[MOV]])+5)^0.6)/(12+0.01*(ABS(Games[[#This Row],[PreGmRate]]-Games[[#This Row],[OppPreGmRate]])))*IF(Games[[#This Row],[OT]]=1,0.9,1)</f>
        <v>0.3764323297697722</v>
      </c>
      <c r="X454" s="7" cm="1">
        <f t="array" ref="X4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4" s="9">
        <f>MAX(kmin, kmax - 0.15 * MIN(Games[[#This Row],[GamesPlayed]], 82))</f>
        <v>70.3</v>
      </c>
      <c r="Z454" s="4">
        <f>Games[[#This Row],[K]]*Games[[#This Row],[POMult]]</f>
        <v>70.3</v>
      </c>
      <c r="AA454" s="4">
        <f>(Games[[#This Row],[Keff]]*Games[[#This Row],[MOVMult]])*(Games[[#This Row],[Result]]-Games[[#This Row],[ExpectedWin%]])</f>
        <v>19.941691426650447</v>
      </c>
      <c r="AB454" s="4">
        <f>Games[[#This Row],[PreGmRate]]+Games[[#This Row],[RatingChange]]</f>
        <v>1665.3677540480276</v>
      </c>
      <c r="AC454" s="2">
        <f>IF(Games[[#This Row],[Type]]="R",IF(Games[[#This Row],[Result]]&gt;0.5,1,0),0)</f>
        <v>1</v>
      </c>
      <c r="AD454" s="2">
        <f>IF(Games[[#This Row],[Type]]="R",IF(Games[[#This Row],[Result]]&lt;0.5,1,0),0)</f>
        <v>0</v>
      </c>
      <c r="AE454" s="2">
        <f>IF(AND(Games[[#This Row],[Type]]="P",Games[[#This Row],[Round]]=1),IF(Games[[#This Row],[Result]]&gt;0.5,1,0),0)</f>
        <v>0</v>
      </c>
      <c r="AF454" s="2">
        <f>IF(AND(Games[[#This Row],[Type]]="P",Games[[#This Row],[Round]]=1),IF(Games[[#This Row],[Result]]&lt;0.5,1,0),0)</f>
        <v>0</v>
      </c>
      <c r="AG454" s="2">
        <f>IF(AND(Games[[#This Row],[Type]]="P",Games[[#This Row],[Round]]=2),IF(Games[[#This Row],[Result]]&gt;0.5,1,0),0)</f>
        <v>0</v>
      </c>
      <c r="AH454" s="2">
        <f>IF(AND(Games[[#This Row],[Type]]="P",Games[[#This Row],[Round]]=2),IF(Games[[#This Row],[Result]]&lt;0.5,1,0),0)</f>
        <v>0</v>
      </c>
      <c r="AI454" s="2">
        <f>IF(AND(Games[[#This Row],[Type]]="P",Games[[#This Row],[Round]]=3),IF(Games[[#This Row],[Result]]&gt;0.5,1,0),0)</f>
        <v>0</v>
      </c>
      <c r="AJ454" s="2">
        <f>IF(AND(Games[[#This Row],[Type]]="P",Games[[#This Row],[Round]]=3),IF(Games[[#This Row],[Result]]&lt;0.5,1,0),0)</f>
        <v>0</v>
      </c>
      <c r="AK454" s="2">
        <f>IF(AND(Games[[#This Row],[Type]]="P",Games[[#This Row],[Round]]=4),IF(Games[[#This Row],[Result]]&gt;0.5,1,0),0)</f>
        <v>0</v>
      </c>
      <c r="AL454" s="2">
        <f>IF(AND(Games[[#This Row],[Type]]="P",Games[[#This Row],[Round]]=4),IF(Games[[#This Row],[Result]]&lt;0.5,1,0),0)</f>
        <v>0</v>
      </c>
    </row>
    <row r="455" spans="1:38" x14ac:dyDescent="0.35">
      <c r="A455" s="10">
        <v>45550</v>
      </c>
      <c r="B455" s="2">
        <v>2024</v>
      </c>
      <c r="C455" s="2">
        <f>COUNTIFS(Games[Team],Games[[#This Row],[Team]],Games[Season],Games[[#This Row],[Season]],Games[Date],"&lt;=" &amp; Games[[#This Row],[Date]])</f>
        <v>38</v>
      </c>
      <c r="D455" s="2" t="s">
        <v>79</v>
      </c>
      <c r="E455" s="2" t="s">
        <v>80</v>
      </c>
      <c r="F455" s="1" t="s">
        <v>60</v>
      </c>
      <c r="G455" s="1" t="s">
        <v>67</v>
      </c>
      <c r="H455" s="1" t="s">
        <v>82</v>
      </c>
      <c r="I455" s="2" cm="1">
        <f t="array" ref="I4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5" s="2" cm="1">
        <f t="array" ref="J4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5" s="2">
        <f>Games[[#This Row],[DaysOff]]-Games[[#This Row],[OppDaysOff]]</f>
        <v>1</v>
      </c>
      <c r="L455" s="2">
        <f>Games[[#This Row],[OppDaysOff]]-Games[[#This Row],[DaysOff]]</f>
        <v>-1</v>
      </c>
      <c r="M455" s="16">
        <f>MAX(-16, MIN(16, Games[[#This Row],[RestDiff]]*8))</f>
        <v>8</v>
      </c>
      <c r="N455" s="16">
        <f>MAX(-16, MIN(16, Games[[#This Row],[OppRestDiff]]*8))</f>
        <v>-8</v>
      </c>
      <c r="O455" s="4" cm="1">
        <f t="array" ref="O4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1739.5918237679937</v>
      </c>
      <c r="P455" s="4" cm="1">
        <f t="array" ref="P4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1645.426062621377</v>
      </c>
      <c r="Q455" s="4">
        <f>1/(1+10^(((Games[[#This Row],[OppPreGmRate]]+IF(Games[[#This Row],[HomeAway]]="A",HCA,0)+Games[[#This Row],[OppRestAdj]])-(Games[[#This Row],[PreGmRate]]+IF(Games[[#This Row],[HomeAway]]="H",HCA,0)+Games[[#This Row],[RestAdj]]))/400))</f>
        <v>0.75356332058316267</v>
      </c>
      <c r="R455" s="1">
        <v>79</v>
      </c>
      <c r="S455" s="1">
        <v>88</v>
      </c>
      <c r="T455" s="1">
        <v>0</v>
      </c>
      <c r="U455" s="16">
        <f>Games[[#This Row],[PointsFor]]-Games[[#This Row],[PointsAgainst]]</f>
        <v>-9</v>
      </c>
      <c r="V455" s="16">
        <f>IF(Games[[#This Row],[MOV]]&gt;0,1,IF(Games[[#This Row],[MOV]]=0,0.5,0))</f>
        <v>0</v>
      </c>
      <c r="W455" s="4">
        <f>((ABS(Games[[#This Row],[MOV]])+5)^0.6)/(12+0.01*(ABS(Games[[#This Row],[PreGmRate]]-Games[[#This Row],[OppPreGmRate]])))*IF(Games[[#This Row],[OT]]=1,0.9,1)</f>
        <v>0.3764323297697722</v>
      </c>
      <c r="X455" s="7" cm="1">
        <f t="array" ref="X4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5" s="9">
        <f>MAX(kmin, kmax - 0.15 * MIN(Games[[#This Row],[GamesPlayed]], 82))</f>
        <v>70.3</v>
      </c>
      <c r="Z455" s="4">
        <f>Games[[#This Row],[K]]*Games[[#This Row],[POMult]]</f>
        <v>70.3</v>
      </c>
      <c r="AA455" s="4">
        <f>(Games[[#This Row],[Keff]]*Games[[#This Row],[MOVMult]])*(Games[[#This Row],[Result]]-Games[[#This Row],[ExpectedWin%]])</f>
        <v>-19.941691426650447</v>
      </c>
      <c r="AB455" s="4">
        <f>Games[[#This Row],[PreGmRate]]+Games[[#This Row],[RatingChange]]</f>
        <v>1719.6501323413431</v>
      </c>
      <c r="AC455" s="2">
        <f>IF(Games[[#This Row],[Type]]="R",IF(Games[[#This Row],[Result]]&gt;0.5,1,0),0)</f>
        <v>0</v>
      </c>
      <c r="AD455" s="2">
        <f>IF(Games[[#This Row],[Type]]="R",IF(Games[[#This Row],[Result]]&lt;0.5,1,0),0)</f>
        <v>1</v>
      </c>
      <c r="AE455" s="2">
        <f>IF(AND(Games[[#This Row],[Type]]="P",Games[[#This Row],[Round]]=1),IF(Games[[#This Row],[Result]]&gt;0.5,1,0),0)</f>
        <v>0</v>
      </c>
      <c r="AF455" s="2">
        <f>IF(AND(Games[[#This Row],[Type]]="P",Games[[#This Row],[Round]]=1),IF(Games[[#This Row],[Result]]&lt;0.5,1,0),0)</f>
        <v>0</v>
      </c>
      <c r="AG455" s="2">
        <f>IF(AND(Games[[#This Row],[Type]]="P",Games[[#This Row],[Round]]=2),IF(Games[[#This Row],[Result]]&gt;0.5,1,0),0)</f>
        <v>0</v>
      </c>
      <c r="AH455" s="2">
        <f>IF(AND(Games[[#This Row],[Type]]="P",Games[[#This Row],[Round]]=2),IF(Games[[#This Row],[Result]]&lt;0.5,1,0),0)</f>
        <v>0</v>
      </c>
      <c r="AI455" s="2">
        <f>IF(AND(Games[[#This Row],[Type]]="P",Games[[#This Row],[Round]]=3),IF(Games[[#This Row],[Result]]&gt;0.5,1,0),0)</f>
        <v>0</v>
      </c>
      <c r="AJ455" s="2">
        <f>IF(AND(Games[[#This Row],[Type]]="P",Games[[#This Row],[Round]]=3),IF(Games[[#This Row],[Result]]&lt;0.5,1,0),0)</f>
        <v>0</v>
      </c>
      <c r="AK455" s="2">
        <f>IF(AND(Games[[#This Row],[Type]]="P",Games[[#This Row],[Round]]=4),IF(Games[[#This Row],[Result]]&gt;0.5,1,0),0)</f>
        <v>0</v>
      </c>
      <c r="AL455" s="2">
        <f>IF(AND(Games[[#This Row],[Type]]="P",Games[[#This Row],[Round]]=4),IF(Games[[#This Row],[Result]]&lt;0.5,1,0),0)</f>
        <v>0</v>
      </c>
    </row>
    <row r="456" spans="1:38" x14ac:dyDescent="0.35">
      <c r="A456" s="10">
        <v>45550</v>
      </c>
      <c r="B456" s="2">
        <v>2024</v>
      </c>
      <c r="C456" s="2">
        <f>COUNTIFS(Games[Team],Games[[#This Row],[Team]],Games[Season],Games[[#This Row],[Season]],Games[Date],"&lt;=" &amp; Games[[#This Row],[Date]])</f>
        <v>38</v>
      </c>
      <c r="D456" s="2" t="s">
        <v>79</v>
      </c>
      <c r="E456" s="2" t="s">
        <v>80</v>
      </c>
      <c r="F456" s="1" t="s">
        <v>63</v>
      </c>
      <c r="G456" s="1" t="s">
        <v>71</v>
      </c>
      <c r="H456" s="1" t="s">
        <v>81</v>
      </c>
      <c r="I456" s="2" cm="1">
        <f t="array" ref="I45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56" s="2" cm="1">
        <f t="array" ref="J4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6" s="2">
        <f>Games[[#This Row],[DaysOff]]-Games[[#This Row],[OppDaysOff]]</f>
        <v>2</v>
      </c>
      <c r="L456" s="2">
        <f>Games[[#This Row],[OppDaysOff]]-Games[[#This Row],[DaysOff]]</f>
        <v>-2</v>
      </c>
      <c r="M456" s="16">
        <f>MAX(-16, MIN(16, Games[[#This Row],[RestDiff]]*8))</f>
        <v>16</v>
      </c>
      <c r="N456" s="16">
        <f>MAX(-16, MIN(16, Games[[#This Row],[OppRestDiff]]*8))</f>
        <v>-16</v>
      </c>
      <c r="O456" s="4" cm="1">
        <f t="array" ref="O4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1291.1463164628472</v>
      </c>
      <c r="P456" s="4" cm="1">
        <f t="array" ref="P4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1561.2937898665409</v>
      </c>
      <c r="Q456" s="4">
        <f>1/(1+10^(((Games[[#This Row],[OppPreGmRate]]+IF(Games[[#This Row],[HomeAway]]="A",HCA,0)+Games[[#This Row],[OppRestAdj]])-(Games[[#This Row],[PreGmRate]]+IF(Games[[#This Row],[HomeAway]]="H",HCA,0)+Games[[#This Row],[RestAdj]]))/400))</f>
        <v>0.13535361156286624</v>
      </c>
      <c r="R456" s="1">
        <v>87</v>
      </c>
      <c r="S456" s="1">
        <v>90</v>
      </c>
      <c r="T456" s="1">
        <v>0</v>
      </c>
      <c r="U456" s="16">
        <f>Games[[#This Row],[PointsFor]]-Games[[#This Row],[PointsAgainst]]</f>
        <v>-3</v>
      </c>
      <c r="V456" s="16">
        <f>IF(Games[[#This Row],[MOV]]&gt;0,1,IF(Games[[#This Row],[MOV]]=0,0.5,0))</f>
        <v>0</v>
      </c>
      <c r="W456" s="4">
        <f>((ABS(Games[[#This Row],[MOV]])+5)^0.6)/(12+0.01*(ABS(Games[[#This Row],[PreGmRate]]-Games[[#This Row],[OppPreGmRate]])))*IF(Games[[#This Row],[OT]]=1,0.9,1)</f>
        <v>0.23686074466546422</v>
      </c>
      <c r="X456" s="7" cm="1">
        <f t="array" ref="X4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6" s="9">
        <f>MAX(kmin, kmax - 0.15 * MIN(Games[[#This Row],[GamesPlayed]], 82))</f>
        <v>70.3</v>
      </c>
      <c r="Z456" s="4">
        <f>Games[[#This Row],[K]]*Games[[#This Row],[POMult]]</f>
        <v>70.3</v>
      </c>
      <c r="AA456" s="4">
        <f>(Games[[#This Row],[Keff]]*Games[[#This Row],[MOVMult]])*(Games[[#This Row],[Result]]-Games[[#This Row],[ExpectedWin%]])</f>
        <v>-2.253814993124216</v>
      </c>
      <c r="AB456" s="4">
        <f>Games[[#This Row],[PreGmRate]]+Games[[#This Row],[RatingChange]]</f>
        <v>1288.8925014697229</v>
      </c>
      <c r="AC456" s="2">
        <f>IF(Games[[#This Row],[Type]]="R",IF(Games[[#This Row],[Result]]&gt;0.5,1,0),0)</f>
        <v>0</v>
      </c>
      <c r="AD456" s="2">
        <f>IF(Games[[#This Row],[Type]]="R",IF(Games[[#This Row],[Result]]&lt;0.5,1,0),0)</f>
        <v>1</v>
      </c>
      <c r="AE456" s="2">
        <f>IF(AND(Games[[#This Row],[Type]]="P",Games[[#This Row],[Round]]=1),IF(Games[[#This Row],[Result]]&gt;0.5,1,0),0)</f>
        <v>0</v>
      </c>
      <c r="AF456" s="2">
        <f>IF(AND(Games[[#This Row],[Type]]="P",Games[[#This Row],[Round]]=1),IF(Games[[#This Row],[Result]]&lt;0.5,1,0),0)</f>
        <v>0</v>
      </c>
      <c r="AG456" s="2">
        <f>IF(AND(Games[[#This Row],[Type]]="P",Games[[#This Row],[Round]]=2),IF(Games[[#This Row],[Result]]&gt;0.5,1,0),0)</f>
        <v>0</v>
      </c>
      <c r="AH456" s="2">
        <f>IF(AND(Games[[#This Row],[Type]]="P",Games[[#This Row],[Round]]=2),IF(Games[[#This Row],[Result]]&lt;0.5,1,0),0)</f>
        <v>0</v>
      </c>
      <c r="AI456" s="2">
        <f>IF(AND(Games[[#This Row],[Type]]="P",Games[[#This Row],[Round]]=3),IF(Games[[#This Row],[Result]]&gt;0.5,1,0),0)</f>
        <v>0</v>
      </c>
      <c r="AJ456" s="2">
        <f>IF(AND(Games[[#This Row],[Type]]="P",Games[[#This Row],[Round]]=3),IF(Games[[#This Row],[Result]]&lt;0.5,1,0),0)</f>
        <v>0</v>
      </c>
      <c r="AK456" s="2">
        <f>IF(AND(Games[[#This Row],[Type]]="P",Games[[#This Row],[Round]]=4),IF(Games[[#This Row],[Result]]&gt;0.5,1,0),0)</f>
        <v>0</v>
      </c>
      <c r="AL456" s="2">
        <f>IF(AND(Games[[#This Row],[Type]]="P",Games[[#This Row],[Round]]=4),IF(Games[[#This Row],[Result]]&lt;0.5,1,0),0)</f>
        <v>0</v>
      </c>
    </row>
    <row r="457" spans="1:38" x14ac:dyDescent="0.35">
      <c r="A457" s="10">
        <v>45550</v>
      </c>
      <c r="B457" s="2">
        <v>2024</v>
      </c>
      <c r="C457" s="2">
        <f>COUNTIFS(Games[Team],Games[[#This Row],[Team]],Games[Season],Games[[#This Row],[Season]],Games[Date],"&lt;=" &amp; Games[[#This Row],[Date]])</f>
        <v>38</v>
      </c>
      <c r="D457" s="2" t="s">
        <v>79</v>
      </c>
      <c r="E457" s="2" t="s">
        <v>80</v>
      </c>
      <c r="F457" s="1" t="s">
        <v>71</v>
      </c>
      <c r="G457" s="1" t="s">
        <v>63</v>
      </c>
      <c r="H457" s="1" t="s">
        <v>82</v>
      </c>
      <c r="I457" s="2" cm="1">
        <f t="array" ref="I4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7" s="2" cm="1">
        <f t="array" ref="J45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57" s="2">
        <f>Games[[#This Row],[DaysOff]]-Games[[#This Row],[OppDaysOff]]</f>
        <v>-2</v>
      </c>
      <c r="L457" s="2">
        <f>Games[[#This Row],[OppDaysOff]]-Games[[#This Row],[DaysOff]]</f>
        <v>2</v>
      </c>
      <c r="M457" s="16">
        <f>MAX(-16, MIN(16, Games[[#This Row],[RestDiff]]*8))</f>
        <v>-16</v>
      </c>
      <c r="N457" s="16">
        <f>MAX(-16, MIN(16, Games[[#This Row],[OppRestDiff]]*8))</f>
        <v>16</v>
      </c>
      <c r="O457" s="4" cm="1">
        <f t="array" ref="O4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1561.2937898665409</v>
      </c>
      <c r="P457" s="4" cm="1">
        <f t="array" ref="P4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1291.1463164628472</v>
      </c>
      <c r="Q457" s="4">
        <f>1/(1+10^(((Games[[#This Row],[OppPreGmRate]]+IF(Games[[#This Row],[HomeAway]]="A",HCA,0)+Games[[#This Row],[OppRestAdj]])-(Games[[#This Row],[PreGmRate]]+IF(Games[[#This Row],[HomeAway]]="H",HCA,0)+Games[[#This Row],[RestAdj]]))/400))</f>
        <v>0.86464638843713382</v>
      </c>
      <c r="R457" s="1">
        <v>90</v>
      </c>
      <c r="S457" s="1">
        <v>87</v>
      </c>
      <c r="T457" s="1">
        <v>0</v>
      </c>
      <c r="U457" s="16">
        <f>Games[[#This Row],[PointsFor]]-Games[[#This Row],[PointsAgainst]]</f>
        <v>3</v>
      </c>
      <c r="V457" s="16">
        <f>IF(Games[[#This Row],[MOV]]&gt;0,1,IF(Games[[#This Row],[MOV]]=0,0.5,0))</f>
        <v>1</v>
      </c>
      <c r="W457" s="4">
        <f>((ABS(Games[[#This Row],[MOV]])+5)^0.6)/(12+0.01*(ABS(Games[[#This Row],[PreGmRate]]-Games[[#This Row],[OppPreGmRate]])))*IF(Games[[#This Row],[OT]]=1,0.9,1)</f>
        <v>0.23686074466546422</v>
      </c>
      <c r="X457" s="7" cm="1">
        <f t="array" ref="X4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7" s="9">
        <f>MAX(kmin, kmax - 0.15 * MIN(Games[[#This Row],[GamesPlayed]], 82))</f>
        <v>70.3</v>
      </c>
      <c r="Z457" s="4">
        <f>Games[[#This Row],[K]]*Games[[#This Row],[POMult]]</f>
        <v>70.3</v>
      </c>
      <c r="AA457" s="4">
        <f>(Games[[#This Row],[Keff]]*Games[[#This Row],[MOVMult]])*(Games[[#This Row],[Result]]-Games[[#This Row],[ExpectedWin%]])</f>
        <v>2.2538149931242151</v>
      </c>
      <c r="AB457" s="4">
        <f>Games[[#This Row],[PreGmRate]]+Games[[#This Row],[RatingChange]]</f>
        <v>1563.5476048596652</v>
      </c>
      <c r="AC457" s="2">
        <f>IF(Games[[#This Row],[Type]]="R",IF(Games[[#This Row],[Result]]&gt;0.5,1,0),0)</f>
        <v>1</v>
      </c>
      <c r="AD457" s="2">
        <f>IF(Games[[#This Row],[Type]]="R",IF(Games[[#This Row],[Result]]&lt;0.5,1,0),0)</f>
        <v>0</v>
      </c>
      <c r="AE457" s="2">
        <f>IF(AND(Games[[#This Row],[Type]]="P",Games[[#This Row],[Round]]=1),IF(Games[[#This Row],[Result]]&gt;0.5,1,0),0)</f>
        <v>0</v>
      </c>
      <c r="AF457" s="2">
        <f>IF(AND(Games[[#This Row],[Type]]="P",Games[[#This Row],[Round]]=1),IF(Games[[#This Row],[Result]]&lt;0.5,1,0),0)</f>
        <v>0</v>
      </c>
      <c r="AG457" s="2">
        <f>IF(AND(Games[[#This Row],[Type]]="P",Games[[#This Row],[Round]]=2),IF(Games[[#This Row],[Result]]&gt;0.5,1,0),0)</f>
        <v>0</v>
      </c>
      <c r="AH457" s="2">
        <f>IF(AND(Games[[#This Row],[Type]]="P",Games[[#This Row],[Round]]=2),IF(Games[[#This Row],[Result]]&lt;0.5,1,0),0)</f>
        <v>0</v>
      </c>
      <c r="AI457" s="2">
        <f>IF(AND(Games[[#This Row],[Type]]="P",Games[[#This Row],[Round]]=3),IF(Games[[#This Row],[Result]]&gt;0.5,1,0),0)</f>
        <v>0</v>
      </c>
      <c r="AJ457" s="2">
        <f>IF(AND(Games[[#This Row],[Type]]="P",Games[[#This Row],[Round]]=3),IF(Games[[#This Row],[Result]]&lt;0.5,1,0),0)</f>
        <v>0</v>
      </c>
      <c r="AK457" s="2">
        <f>IF(AND(Games[[#This Row],[Type]]="P",Games[[#This Row],[Round]]=4),IF(Games[[#This Row],[Result]]&gt;0.5,1,0),0)</f>
        <v>0</v>
      </c>
      <c r="AL457" s="2">
        <f>IF(AND(Games[[#This Row],[Type]]="P",Games[[#This Row],[Round]]=4),IF(Games[[#This Row],[Result]]&lt;0.5,1,0),0)</f>
        <v>0</v>
      </c>
    </row>
    <row r="458" spans="1:38" x14ac:dyDescent="0.35">
      <c r="A458" s="10">
        <v>45550</v>
      </c>
      <c r="B458" s="2">
        <v>2024</v>
      </c>
      <c r="C458" s="2">
        <f>COUNTIFS(Games[Team],Games[[#This Row],[Team]],Games[Season],Games[[#This Row],[Season]],Games[Date],"&lt;=" &amp; Games[[#This Row],[Date]])</f>
        <v>38</v>
      </c>
      <c r="D458" s="2" t="s">
        <v>79</v>
      </c>
      <c r="E458" s="2" t="s">
        <v>80</v>
      </c>
      <c r="F458" s="1" t="s">
        <v>77</v>
      </c>
      <c r="G458" s="1" t="s">
        <v>65</v>
      </c>
      <c r="H458" s="1" t="s">
        <v>81</v>
      </c>
      <c r="I458" s="2" cm="1">
        <f t="array" ref="I4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8" s="2" cm="1">
        <f t="array" ref="J4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8" s="2">
        <f>Games[[#This Row],[DaysOff]]-Games[[#This Row],[OppDaysOff]]</f>
        <v>0</v>
      </c>
      <c r="L458" s="2">
        <f>Games[[#This Row],[OppDaysOff]]-Games[[#This Row],[DaysOff]]</f>
        <v>0</v>
      </c>
      <c r="M458" s="16">
        <f>MAX(-16, MIN(16, Games[[#This Row],[RestDiff]]*8))</f>
        <v>0</v>
      </c>
      <c r="N458" s="16">
        <f>MAX(-16, MIN(16, Games[[#This Row],[OppRestDiff]]*8))</f>
        <v>0</v>
      </c>
      <c r="O458" s="4" cm="1">
        <f t="array" ref="O4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1384.6845167447411</v>
      </c>
      <c r="P458" s="4" cm="1">
        <f t="array" ref="P4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1466.3417727740639</v>
      </c>
      <c r="Q458" s="4">
        <f>1/(1+10^(((Games[[#This Row],[OppPreGmRate]]+IF(Games[[#This Row],[HomeAway]]="A",HCA,0)+Games[[#This Row],[OppRestAdj]])-(Games[[#This Row],[PreGmRate]]+IF(Games[[#This Row],[HomeAway]]="H",HCA,0)+Games[[#This Row],[RestAdj]]))/400))</f>
        <v>0.27816144552587158</v>
      </c>
      <c r="R458" s="1">
        <v>76</v>
      </c>
      <c r="S458" s="1">
        <v>73</v>
      </c>
      <c r="T458" s="1">
        <v>1</v>
      </c>
      <c r="U458" s="16">
        <f>Games[[#This Row],[PointsFor]]-Games[[#This Row],[PointsAgainst]]</f>
        <v>3</v>
      </c>
      <c r="V458" s="16">
        <f>IF(Games[[#This Row],[MOV]]&gt;0,1,IF(Games[[#This Row],[MOV]]=0,0.5,0))</f>
        <v>1</v>
      </c>
      <c r="W458" s="4">
        <f>((ABS(Games[[#This Row],[MOV]])+5)^0.6)/(12+0.01*(ABS(Games[[#This Row],[PreGmRate]]-Games[[#This Row],[OppPreGmRate]])))*IF(Games[[#This Row],[OT]]=1,0.9,1)</f>
        <v>0.24452575079045513</v>
      </c>
      <c r="X458" s="7" cm="1">
        <f t="array" ref="X4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8" s="9">
        <f>MAX(kmin, kmax - 0.15 * MIN(Games[[#This Row],[GamesPlayed]], 82))</f>
        <v>70.3</v>
      </c>
      <c r="Z458" s="4">
        <f>Games[[#This Row],[K]]*Games[[#This Row],[POMult]]</f>
        <v>70.3</v>
      </c>
      <c r="AA458" s="4">
        <f>(Games[[#This Row],[Keff]]*Games[[#This Row],[MOVMult]])*(Games[[#This Row],[Result]]-Games[[#This Row],[ExpectedWin%]])</f>
        <v>12.4085204481045</v>
      </c>
      <c r="AB458" s="4">
        <f>Games[[#This Row],[PreGmRate]]+Games[[#This Row],[RatingChange]]</f>
        <v>1397.0930371928457</v>
      </c>
      <c r="AC458" s="2">
        <f>IF(Games[[#This Row],[Type]]="R",IF(Games[[#This Row],[Result]]&gt;0.5,1,0),0)</f>
        <v>1</v>
      </c>
      <c r="AD458" s="2">
        <f>IF(Games[[#This Row],[Type]]="R",IF(Games[[#This Row],[Result]]&lt;0.5,1,0),0)</f>
        <v>0</v>
      </c>
      <c r="AE458" s="2">
        <f>IF(AND(Games[[#This Row],[Type]]="P",Games[[#This Row],[Round]]=1),IF(Games[[#This Row],[Result]]&gt;0.5,1,0),0)</f>
        <v>0</v>
      </c>
      <c r="AF458" s="2">
        <f>IF(AND(Games[[#This Row],[Type]]="P",Games[[#This Row],[Round]]=1),IF(Games[[#This Row],[Result]]&lt;0.5,1,0),0)</f>
        <v>0</v>
      </c>
      <c r="AG458" s="2">
        <f>IF(AND(Games[[#This Row],[Type]]="P",Games[[#This Row],[Round]]=2),IF(Games[[#This Row],[Result]]&gt;0.5,1,0),0)</f>
        <v>0</v>
      </c>
      <c r="AH458" s="2">
        <f>IF(AND(Games[[#This Row],[Type]]="P",Games[[#This Row],[Round]]=2),IF(Games[[#This Row],[Result]]&lt;0.5,1,0),0)</f>
        <v>0</v>
      </c>
      <c r="AI458" s="2">
        <f>IF(AND(Games[[#This Row],[Type]]="P",Games[[#This Row],[Round]]=3),IF(Games[[#This Row],[Result]]&gt;0.5,1,0),0)</f>
        <v>0</v>
      </c>
      <c r="AJ458" s="2">
        <f>IF(AND(Games[[#This Row],[Type]]="P",Games[[#This Row],[Round]]=3),IF(Games[[#This Row],[Result]]&lt;0.5,1,0),0)</f>
        <v>0</v>
      </c>
      <c r="AK458" s="2">
        <f>IF(AND(Games[[#This Row],[Type]]="P",Games[[#This Row],[Round]]=4),IF(Games[[#This Row],[Result]]&gt;0.5,1,0),0)</f>
        <v>0</v>
      </c>
      <c r="AL458" s="2">
        <f>IF(AND(Games[[#This Row],[Type]]="P",Games[[#This Row],[Round]]=4),IF(Games[[#This Row],[Result]]&lt;0.5,1,0),0)</f>
        <v>0</v>
      </c>
    </row>
    <row r="459" spans="1:38" x14ac:dyDescent="0.35">
      <c r="A459" s="10">
        <v>45550</v>
      </c>
      <c r="B459" s="2">
        <v>2024</v>
      </c>
      <c r="C459" s="2">
        <f>COUNTIFS(Games[Team],Games[[#This Row],[Team]],Games[Season],Games[[#This Row],[Season]],Games[Date],"&lt;=" &amp; Games[[#This Row],[Date]])</f>
        <v>38</v>
      </c>
      <c r="D459" s="2" t="s">
        <v>79</v>
      </c>
      <c r="E459" s="2" t="s">
        <v>80</v>
      </c>
      <c r="F459" s="1" t="s">
        <v>65</v>
      </c>
      <c r="G459" s="1" t="s">
        <v>77</v>
      </c>
      <c r="H459" s="1" t="s">
        <v>82</v>
      </c>
      <c r="I459" s="2" cm="1">
        <f t="array" ref="I4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9" s="2" cm="1">
        <f t="array" ref="J4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9" s="2">
        <f>Games[[#This Row],[DaysOff]]-Games[[#This Row],[OppDaysOff]]</f>
        <v>0</v>
      </c>
      <c r="L459" s="2">
        <f>Games[[#This Row],[OppDaysOff]]-Games[[#This Row],[DaysOff]]</f>
        <v>0</v>
      </c>
      <c r="M459" s="16">
        <f>MAX(-16, MIN(16, Games[[#This Row],[RestDiff]]*8))</f>
        <v>0</v>
      </c>
      <c r="N459" s="16">
        <f>MAX(-16, MIN(16, Games[[#This Row],[OppRestDiff]]*8))</f>
        <v>0</v>
      </c>
      <c r="O459" s="4" cm="1">
        <f t="array" ref="O4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1466.3417727740639</v>
      </c>
      <c r="P459" s="4" cm="1">
        <f t="array" ref="P4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1384.6845167447411</v>
      </c>
      <c r="Q459" s="4">
        <f>1/(1+10^(((Games[[#This Row],[OppPreGmRate]]+IF(Games[[#This Row],[HomeAway]]="A",HCA,0)+Games[[#This Row],[OppRestAdj]])-(Games[[#This Row],[PreGmRate]]+IF(Games[[#This Row],[HomeAway]]="H",HCA,0)+Games[[#This Row],[RestAdj]]))/400))</f>
        <v>0.72183855447412848</v>
      </c>
      <c r="R459" s="1">
        <v>73</v>
      </c>
      <c r="S459" s="1">
        <v>76</v>
      </c>
      <c r="T459" s="1">
        <v>1</v>
      </c>
      <c r="U459" s="16">
        <f>Games[[#This Row],[PointsFor]]-Games[[#This Row],[PointsAgainst]]</f>
        <v>-3</v>
      </c>
      <c r="V459" s="16">
        <f>IF(Games[[#This Row],[MOV]]&gt;0,1,IF(Games[[#This Row],[MOV]]=0,0.5,0))</f>
        <v>0</v>
      </c>
      <c r="W459" s="4">
        <f>((ABS(Games[[#This Row],[MOV]])+5)^0.6)/(12+0.01*(ABS(Games[[#This Row],[PreGmRate]]-Games[[#This Row],[OppPreGmRate]])))*IF(Games[[#This Row],[OT]]=1,0.9,1)</f>
        <v>0.24452575079045513</v>
      </c>
      <c r="X459" s="7" cm="1">
        <f t="array" ref="X4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9" s="9">
        <f>MAX(kmin, kmax - 0.15 * MIN(Games[[#This Row],[GamesPlayed]], 82))</f>
        <v>70.3</v>
      </c>
      <c r="Z459" s="4">
        <f>Games[[#This Row],[K]]*Games[[#This Row],[POMult]]</f>
        <v>70.3</v>
      </c>
      <c r="AA459" s="4">
        <f>(Games[[#This Row],[Keff]]*Games[[#This Row],[MOVMult]])*(Games[[#This Row],[Result]]-Games[[#This Row],[ExpectedWin%]])</f>
        <v>-12.408520448104502</v>
      </c>
      <c r="AB459" s="4">
        <f>Games[[#This Row],[PreGmRate]]+Games[[#This Row],[RatingChange]]</f>
        <v>1453.9332523259593</v>
      </c>
      <c r="AC459" s="2">
        <f>IF(Games[[#This Row],[Type]]="R",IF(Games[[#This Row],[Result]]&gt;0.5,1,0),0)</f>
        <v>0</v>
      </c>
      <c r="AD459" s="2">
        <f>IF(Games[[#This Row],[Type]]="R",IF(Games[[#This Row],[Result]]&lt;0.5,1,0),0)</f>
        <v>1</v>
      </c>
      <c r="AE459" s="2">
        <f>IF(AND(Games[[#This Row],[Type]]="P",Games[[#This Row],[Round]]=1),IF(Games[[#This Row],[Result]]&gt;0.5,1,0),0)</f>
        <v>0</v>
      </c>
      <c r="AF459" s="2">
        <f>IF(AND(Games[[#This Row],[Type]]="P",Games[[#This Row],[Round]]=1),IF(Games[[#This Row],[Result]]&lt;0.5,1,0),0)</f>
        <v>0</v>
      </c>
      <c r="AG459" s="2">
        <f>IF(AND(Games[[#This Row],[Type]]="P",Games[[#This Row],[Round]]=2),IF(Games[[#This Row],[Result]]&gt;0.5,1,0),0)</f>
        <v>0</v>
      </c>
      <c r="AH459" s="2">
        <f>IF(AND(Games[[#This Row],[Type]]="P",Games[[#This Row],[Round]]=2),IF(Games[[#This Row],[Result]]&lt;0.5,1,0),0)</f>
        <v>0</v>
      </c>
      <c r="AI459" s="2">
        <f>IF(AND(Games[[#This Row],[Type]]="P",Games[[#This Row],[Round]]=3),IF(Games[[#This Row],[Result]]&gt;0.5,1,0),0)</f>
        <v>0</v>
      </c>
      <c r="AJ459" s="2">
        <f>IF(AND(Games[[#This Row],[Type]]="P",Games[[#This Row],[Round]]=3),IF(Games[[#This Row],[Result]]&lt;0.5,1,0),0)</f>
        <v>0</v>
      </c>
      <c r="AK459" s="2">
        <f>IF(AND(Games[[#This Row],[Type]]="P",Games[[#This Row],[Round]]=4),IF(Games[[#This Row],[Result]]&gt;0.5,1,0),0)</f>
        <v>0</v>
      </c>
      <c r="AL459" s="2">
        <f>IF(AND(Games[[#This Row],[Type]]="P",Games[[#This Row],[Round]]=4),IF(Games[[#This Row],[Result]]&lt;0.5,1,0),0)</f>
        <v>0</v>
      </c>
    </row>
    <row r="460" spans="1:38" x14ac:dyDescent="0.35">
      <c r="A460" s="10">
        <v>45552</v>
      </c>
      <c r="B460" s="2">
        <v>2024</v>
      </c>
      <c r="C460" s="2">
        <f>COUNTIFS(Games[Team],Games[[#This Row],[Team]],Games[Season],Games[[#This Row],[Season]],Games[Date],"&lt;=" &amp; Games[[#This Row],[Date]])</f>
        <v>39</v>
      </c>
      <c r="D460" s="2" t="s">
        <v>79</v>
      </c>
      <c r="E460" s="2" t="s">
        <v>80</v>
      </c>
      <c r="F460" s="1" t="s">
        <v>75</v>
      </c>
      <c r="G460" s="1" t="s">
        <v>77</v>
      </c>
      <c r="H460" s="1" t="s">
        <v>81</v>
      </c>
      <c r="I460" s="2" cm="1">
        <f t="array" ref="I4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0" s="2" cm="1">
        <f t="array" ref="J4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0" s="2">
        <f>Games[[#This Row],[DaysOff]]-Games[[#This Row],[OppDaysOff]]</f>
        <v>0</v>
      </c>
      <c r="L460" s="2">
        <f>Games[[#This Row],[OppDaysOff]]-Games[[#This Row],[DaysOff]]</f>
        <v>0</v>
      </c>
      <c r="M460" s="16">
        <f>MAX(-16, MIN(16, Games[[#This Row],[RestDiff]]*8))</f>
        <v>0</v>
      </c>
      <c r="N460" s="16">
        <f>MAX(-16, MIN(16, Games[[#This Row],[OppRestDiff]]*8))</f>
        <v>0</v>
      </c>
      <c r="O460" s="4" cm="1">
        <f t="array" ref="O4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1367.7681348110077</v>
      </c>
      <c r="P460" s="4" cm="1">
        <f t="array" ref="P4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1397.0930371928457</v>
      </c>
      <c r="Q460" s="4">
        <f>1/(1+10^(((Games[[#This Row],[OppPreGmRate]]+IF(Games[[#This Row],[HomeAway]]="A",HCA,0)+Games[[#This Row],[OppRestAdj]])-(Games[[#This Row],[PreGmRate]]+IF(Games[[#This Row],[HomeAway]]="H",HCA,0)+Games[[#This Row],[RestAdj]]))/400))</f>
        <v>0.34246003578555628</v>
      </c>
      <c r="R460" s="1">
        <v>70</v>
      </c>
      <c r="S460" s="1">
        <v>86</v>
      </c>
      <c r="T460" s="1">
        <v>0</v>
      </c>
      <c r="U460" s="16">
        <f>Games[[#This Row],[PointsFor]]-Games[[#This Row],[PointsAgainst]]</f>
        <v>-16</v>
      </c>
      <c r="V460" s="16">
        <f>IF(Games[[#This Row],[MOV]]&gt;0,1,IF(Games[[#This Row],[MOV]]=0,0.5,0))</f>
        <v>0</v>
      </c>
      <c r="W460" s="4">
        <f>((ABS(Games[[#This Row],[MOV]])+5)^0.6)/(12+0.01*(ABS(Games[[#This Row],[PreGmRate]]-Games[[#This Row],[OppPreGmRate]])))*IF(Games[[#This Row],[OT]]=1,0.9,1)</f>
        <v>0.50543451737796175</v>
      </c>
      <c r="X460" s="7" cm="1">
        <f t="array" ref="X4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0" s="9">
        <f>MAX(kmin, kmax - 0.15 * MIN(Games[[#This Row],[GamesPlayed]], 82))</f>
        <v>70.150000000000006</v>
      </c>
      <c r="Z460" s="4">
        <f>Games[[#This Row],[K]]*Games[[#This Row],[POMult]]</f>
        <v>70.150000000000006</v>
      </c>
      <c r="AA460" s="4">
        <f>(Games[[#This Row],[Keff]]*Games[[#This Row],[MOVMult]])*(Games[[#This Row],[Result]]-Games[[#This Row],[ExpectedWin%]])</f>
        <v>-12.142342272032128</v>
      </c>
      <c r="AB460" s="4">
        <f>Games[[#This Row],[PreGmRate]]+Games[[#This Row],[RatingChange]]</f>
        <v>1355.6257925389755</v>
      </c>
      <c r="AC460" s="2">
        <f>IF(Games[[#This Row],[Type]]="R",IF(Games[[#This Row],[Result]]&gt;0.5,1,0),0)</f>
        <v>0</v>
      </c>
      <c r="AD460" s="2">
        <f>IF(Games[[#This Row],[Type]]="R",IF(Games[[#This Row],[Result]]&lt;0.5,1,0),0)</f>
        <v>1</v>
      </c>
      <c r="AE460" s="2">
        <f>IF(AND(Games[[#This Row],[Type]]="P",Games[[#This Row],[Round]]=1),IF(Games[[#This Row],[Result]]&gt;0.5,1,0),0)</f>
        <v>0</v>
      </c>
      <c r="AF460" s="2">
        <f>IF(AND(Games[[#This Row],[Type]]="P",Games[[#This Row],[Round]]=1),IF(Games[[#This Row],[Result]]&lt;0.5,1,0),0)</f>
        <v>0</v>
      </c>
      <c r="AG460" s="2">
        <f>IF(AND(Games[[#This Row],[Type]]="P",Games[[#This Row],[Round]]=2),IF(Games[[#This Row],[Result]]&gt;0.5,1,0),0)</f>
        <v>0</v>
      </c>
      <c r="AH460" s="2">
        <f>IF(AND(Games[[#This Row],[Type]]="P",Games[[#This Row],[Round]]=2),IF(Games[[#This Row],[Result]]&lt;0.5,1,0),0)</f>
        <v>0</v>
      </c>
      <c r="AI460" s="2">
        <f>IF(AND(Games[[#This Row],[Type]]="P",Games[[#This Row],[Round]]=3),IF(Games[[#This Row],[Result]]&gt;0.5,1,0),0)</f>
        <v>0</v>
      </c>
      <c r="AJ460" s="2">
        <f>IF(AND(Games[[#This Row],[Type]]="P",Games[[#This Row],[Round]]=3),IF(Games[[#This Row],[Result]]&lt;0.5,1,0),0)</f>
        <v>0</v>
      </c>
      <c r="AK460" s="2">
        <f>IF(AND(Games[[#This Row],[Type]]="P",Games[[#This Row],[Round]]=4),IF(Games[[#This Row],[Result]]&gt;0.5,1,0),0)</f>
        <v>0</v>
      </c>
      <c r="AL460" s="2">
        <f>IF(AND(Games[[#This Row],[Type]]="P",Games[[#This Row],[Round]]=4),IF(Games[[#This Row],[Result]]&lt;0.5,1,0),0)</f>
        <v>0</v>
      </c>
    </row>
    <row r="461" spans="1:38" x14ac:dyDescent="0.35">
      <c r="A461" s="10">
        <v>45552</v>
      </c>
      <c r="B461" s="2">
        <v>2024</v>
      </c>
      <c r="C461" s="2">
        <f>COUNTIFS(Games[Team],Games[[#This Row],[Team]],Games[Season],Games[[#This Row],[Season]],Games[Date],"&lt;=" &amp; Games[[#This Row],[Date]])</f>
        <v>39</v>
      </c>
      <c r="D461" s="2" t="s">
        <v>79</v>
      </c>
      <c r="E461" s="2" t="s">
        <v>80</v>
      </c>
      <c r="F461" s="1" t="s">
        <v>77</v>
      </c>
      <c r="G461" s="1" t="s">
        <v>75</v>
      </c>
      <c r="H461" s="1" t="s">
        <v>82</v>
      </c>
      <c r="I461" s="2" cm="1">
        <f t="array" ref="I4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1" s="2" cm="1">
        <f t="array" ref="J4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1" s="2">
        <f>Games[[#This Row],[DaysOff]]-Games[[#This Row],[OppDaysOff]]</f>
        <v>0</v>
      </c>
      <c r="L461" s="2">
        <f>Games[[#This Row],[OppDaysOff]]-Games[[#This Row],[DaysOff]]</f>
        <v>0</v>
      </c>
      <c r="M461" s="16">
        <f>MAX(-16, MIN(16, Games[[#This Row],[RestDiff]]*8))</f>
        <v>0</v>
      </c>
      <c r="N461" s="16">
        <f>MAX(-16, MIN(16, Games[[#This Row],[OppRestDiff]]*8))</f>
        <v>0</v>
      </c>
      <c r="O461" s="4" cm="1">
        <f t="array" ref="O4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1397.0930371928457</v>
      </c>
      <c r="P461" s="4" cm="1">
        <f t="array" ref="P4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1367.7681348110077</v>
      </c>
      <c r="Q461" s="4">
        <f>1/(1+10^(((Games[[#This Row],[OppPreGmRate]]+IF(Games[[#This Row],[HomeAway]]="A",HCA,0)+Games[[#This Row],[OppRestAdj]])-(Games[[#This Row],[PreGmRate]]+IF(Games[[#This Row],[HomeAway]]="H",HCA,0)+Games[[#This Row],[RestAdj]]))/400))</f>
        <v>0.65753996421444372</v>
      </c>
      <c r="R461" s="1">
        <v>86</v>
      </c>
      <c r="S461" s="1">
        <v>70</v>
      </c>
      <c r="T461" s="1">
        <v>0</v>
      </c>
      <c r="U461" s="16">
        <f>Games[[#This Row],[PointsFor]]-Games[[#This Row],[PointsAgainst]]</f>
        <v>16</v>
      </c>
      <c r="V461" s="16">
        <f>IF(Games[[#This Row],[MOV]]&gt;0,1,IF(Games[[#This Row],[MOV]]=0,0.5,0))</f>
        <v>1</v>
      </c>
      <c r="W461" s="4">
        <f>((ABS(Games[[#This Row],[MOV]])+5)^0.6)/(12+0.01*(ABS(Games[[#This Row],[PreGmRate]]-Games[[#This Row],[OppPreGmRate]])))*IF(Games[[#This Row],[OT]]=1,0.9,1)</f>
        <v>0.50543451737796175</v>
      </c>
      <c r="X461" s="7" cm="1">
        <f t="array" ref="X4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1" s="9">
        <f>MAX(kmin, kmax - 0.15 * MIN(Games[[#This Row],[GamesPlayed]], 82))</f>
        <v>70.150000000000006</v>
      </c>
      <c r="Z461" s="4">
        <f>Games[[#This Row],[K]]*Games[[#This Row],[POMult]]</f>
        <v>70.150000000000006</v>
      </c>
      <c r="AA461" s="4">
        <f>(Games[[#This Row],[Keff]]*Games[[#This Row],[MOVMult]])*(Games[[#This Row],[Result]]-Games[[#This Row],[ExpectedWin%]])</f>
        <v>12.142342272032128</v>
      </c>
      <c r="AB461" s="4">
        <f>Games[[#This Row],[PreGmRate]]+Games[[#This Row],[RatingChange]]</f>
        <v>1409.235379464878</v>
      </c>
      <c r="AC461" s="2">
        <f>IF(Games[[#This Row],[Type]]="R",IF(Games[[#This Row],[Result]]&gt;0.5,1,0),0)</f>
        <v>1</v>
      </c>
      <c r="AD461" s="2">
        <f>IF(Games[[#This Row],[Type]]="R",IF(Games[[#This Row],[Result]]&lt;0.5,1,0),0)</f>
        <v>0</v>
      </c>
      <c r="AE461" s="2">
        <f>IF(AND(Games[[#This Row],[Type]]="P",Games[[#This Row],[Round]]=1),IF(Games[[#This Row],[Result]]&gt;0.5,1,0),0)</f>
        <v>0</v>
      </c>
      <c r="AF461" s="2">
        <f>IF(AND(Games[[#This Row],[Type]]="P",Games[[#This Row],[Round]]=1),IF(Games[[#This Row],[Result]]&lt;0.5,1,0),0)</f>
        <v>0</v>
      </c>
      <c r="AG461" s="2">
        <f>IF(AND(Games[[#This Row],[Type]]="P",Games[[#This Row],[Round]]=2),IF(Games[[#This Row],[Result]]&gt;0.5,1,0),0)</f>
        <v>0</v>
      </c>
      <c r="AH461" s="2">
        <f>IF(AND(Games[[#This Row],[Type]]="P",Games[[#This Row],[Round]]=2),IF(Games[[#This Row],[Result]]&lt;0.5,1,0),0)</f>
        <v>0</v>
      </c>
      <c r="AI461" s="2">
        <f>IF(AND(Games[[#This Row],[Type]]="P",Games[[#This Row],[Round]]=3),IF(Games[[#This Row],[Result]]&gt;0.5,1,0),0)</f>
        <v>0</v>
      </c>
      <c r="AJ461" s="2">
        <f>IF(AND(Games[[#This Row],[Type]]="P",Games[[#This Row],[Round]]=3),IF(Games[[#This Row],[Result]]&lt;0.5,1,0),0)</f>
        <v>0</v>
      </c>
      <c r="AK461" s="2">
        <f>IF(AND(Games[[#This Row],[Type]]="P",Games[[#This Row],[Round]]=4),IF(Games[[#This Row],[Result]]&gt;0.5,1,0),0)</f>
        <v>0</v>
      </c>
      <c r="AL461" s="2">
        <f>IF(AND(Games[[#This Row],[Type]]="P",Games[[#This Row],[Round]]=4),IF(Games[[#This Row],[Result]]&lt;0.5,1,0),0)</f>
        <v>0</v>
      </c>
    </row>
    <row r="462" spans="1:38" x14ac:dyDescent="0.35">
      <c r="A462" s="10">
        <v>45552</v>
      </c>
      <c r="B462" s="2">
        <v>2024</v>
      </c>
      <c r="C462" s="2">
        <f>COUNTIFS(Games[Team],Games[[#This Row],[Team]],Games[Season],Games[[#This Row],[Season]],Games[Date],"&lt;=" &amp; Games[[#This Row],[Date]])</f>
        <v>39</v>
      </c>
      <c r="D462" s="2" t="s">
        <v>79</v>
      </c>
      <c r="E462" s="2" t="s">
        <v>80</v>
      </c>
      <c r="F462" s="1" t="s">
        <v>67</v>
      </c>
      <c r="G462" s="1" t="s">
        <v>74</v>
      </c>
      <c r="H462" s="1" t="s">
        <v>81</v>
      </c>
      <c r="I462" s="2" cm="1">
        <f t="array" ref="I4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2" s="2" cm="1">
        <f t="array" ref="J4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2" s="2">
        <f>Games[[#This Row],[DaysOff]]-Games[[#This Row],[OppDaysOff]]</f>
        <v>0</v>
      </c>
      <c r="L462" s="2">
        <f>Games[[#This Row],[OppDaysOff]]-Games[[#This Row],[DaysOff]]</f>
        <v>0</v>
      </c>
      <c r="M462" s="16">
        <f>MAX(-16, MIN(16, Games[[#This Row],[RestDiff]]*8))</f>
        <v>0</v>
      </c>
      <c r="N462" s="16">
        <f>MAX(-16, MIN(16, Games[[#This Row],[OppRestDiff]]*8))</f>
        <v>0</v>
      </c>
      <c r="O462" s="4" cm="1">
        <f t="array" ref="O4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1665.3677540480276</v>
      </c>
      <c r="P462" s="4" cm="1">
        <f t="array" ref="P4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1619.848043925316</v>
      </c>
      <c r="Q462" s="4">
        <f>1/(1+10^(((Games[[#This Row],[OppPreGmRate]]+IF(Games[[#This Row],[HomeAway]]="A",HCA,0)+Games[[#This Row],[OppRestAdj]])-(Games[[#This Row],[PreGmRate]]+IF(Games[[#This Row],[HomeAway]]="H",HCA,0)+Games[[#This Row],[RestAdj]]))/400))</f>
        <v>0.44484773939155892</v>
      </c>
      <c r="R462" s="1">
        <v>78</v>
      </c>
      <c r="S462" s="1">
        <v>76</v>
      </c>
      <c r="T462" s="1">
        <v>0</v>
      </c>
      <c r="U462" s="16">
        <f>Games[[#This Row],[PointsFor]]-Games[[#This Row],[PointsAgainst]]</f>
        <v>2</v>
      </c>
      <c r="V462" s="16">
        <f>IF(Games[[#This Row],[MOV]]&gt;0,1,IF(Games[[#This Row],[MOV]]=0,0.5,0))</f>
        <v>1</v>
      </c>
      <c r="W462" s="4">
        <f>((ABS(Games[[#This Row],[MOV]])+5)^0.6)/(12+0.01*(ABS(Games[[#This Row],[PreGmRate]]-Games[[#This Row],[OppPreGmRate]])))*IF(Games[[#This Row],[OT]]=1,0.9,1)</f>
        <v>0.25805258829660577</v>
      </c>
      <c r="X462" s="7" cm="1">
        <f t="array" ref="X4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2" s="9">
        <f>MAX(kmin, kmax - 0.15 * MIN(Games[[#This Row],[GamesPlayed]], 82))</f>
        <v>70.150000000000006</v>
      </c>
      <c r="Z462" s="4">
        <f>Games[[#This Row],[K]]*Games[[#This Row],[POMult]]</f>
        <v>70.150000000000006</v>
      </c>
      <c r="AA462" s="4">
        <f>(Games[[#This Row],[Keff]]*Games[[#This Row],[MOVMult]])*(Games[[#This Row],[Result]]-Games[[#This Row],[ExpectedWin%]])</f>
        <v>10.049582214072712</v>
      </c>
      <c r="AB462" s="4">
        <f>Games[[#This Row],[PreGmRate]]+Games[[#This Row],[RatingChange]]</f>
        <v>1675.4173362621002</v>
      </c>
      <c r="AC462" s="2">
        <f>IF(Games[[#This Row],[Type]]="R",IF(Games[[#This Row],[Result]]&gt;0.5,1,0),0)</f>
        <v>1</v>
      </c>
      <c r="AD462" s="2">
        <f>IF(Games[[#This Row],[Type]]="R",IF(Games[[#This Row],[Result]]&lt;0.5,1,0),0)</f>
        <v>0</v>
      </c>
      <c r="AE462" s="2">
        <f>IF(AND(Games[[#This Row],[Type]]="P",Games[[#This Row],[Round]]=1),IF(Games[[#This Row],[Result]]&gt;0.5,1,0),0)</f>
        <v>0</v>
      </c>
      <c r="AF462" s="2">
        <f>IF(AND(Games[[#This Row],[Type]]="P",Games[[#This Row],[Round]]=1),IF(Games[[#This Row],[Result]]&lt;0.5,1,0),0)</f>
        <v>0</v>
      </c>
      <c r="AG462" s="2">
        <f>IF(AND(Games[[#This Row],[Type]]="P",Games[[#This Row],[Round]]=2),IF(Games[[#This Row],[Result]]&gt;0.5,1,0),0)</f>
        <v>0</v>
      </c>
      <c r="AH462" s="2">
        <f>IF(AND(Games[[#This Row],[Type]]="P",Games[[#This Row],[Round]]=2),IF(Games[[#This Row],[Result]]&lt;0.5,1,0),0)</f>
        <v>0</v>
      </c>
      <c r="AI462" s="2">
        <f>IF(AND(Games[[#This Row],[Type]]="P",Games[[#This Row],[Round]]=3),IF(Games[[#This Row],[Result]]&gt;0.5,1,0),0)</f>
        <v>0</v>
      </c>
      <c r="AJ462" s="2">
        <f>IF(AND(Games[[#This Row],[Type]]="P",Games[[#This Row],[Round]]=3),IF(Games[[#This Row],[Result]]&lt;0.5,1,0),0)</f>
        <v>0</v>
      </c>
      <c r="AK462" s="2">
        <f>IF(AND(Games[[#This Row],[Type]]="P",Games[[#This Row],[Round]]=4),IF(Games[[#This Row],[Result]]&gt;0.5,1,0),0)</f>
        <v>0</v>
      </c>
      <c r="AL462" s="2">
        <f>IF(AND(Games[[#This Row],[Type]]="P",Games[[#This Row],[Round]]=4),IF(Games[[#This Row],[Result]]&lt;0.5,1,0),0)</f>
        <v>0</v>
      </c>
    </row>
    <row r="463" spans="1:38" x14ac:dyDescent="0.35">
      <c r="A463" s="10">
        <v>45552</v>
      </c>
      <c r="B463" s="2">
        <v>2024</v>
      </c>
      <c r="C463" s="2">
        <f>COUNTIFS(Games[Team],Games[[#This Row],[Team]],Games[Season],Games[[#This Row],[Season]],Games[Date],"&lt;=" &amp; Games[[#This Row],[Date]])</f>
        <v>39</v>
      </c>
      <c r="D463" s="2" t="s">
        <v>79</v>
      </c>
      <c r="E463" s="2" t="s">
        <v>80</v>
      </c>
      <c r="F463" s="1" t="s">
        <v>74</v>
      </c>
      <c r="G463" s="1" t="s">
        <v>67</v>
      </c>
      <c r="H463" s="1" t="s">
        <v>82</v>
      </c>
      <c r="I463" s="2" cm="1">
        <f t="array" ref="I4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3" s="2" cm="1">
        <f t="array" ref="J4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3" s="2">
        <f>Games[[#This Row],[DaysOff]]-Games[[#This Row],[OppDaysOff]]</f>
        <v>0</v>
      </c>
      <c r="L463" s="2">
        <f>Games[[#This Row],[OppDaysOff]]-Games[[#This Row],[DaysOff]]</f>
        <v>0</v>
      </c>
      <c r="M463" s="16">
        <f>MAX(-16, MIN(16, Games[[#This Row],[RestDiff]]*8))</f>
        <v>0</v>
      </c>
      <c r="N463" s="16">
        <f>MAX(-16, MIN(16, Games[[#This Row],[OppRestDiff]]*8))</f>
        <v>0</v>
      </c>
      <c r="O463" s="4" cm="1">
        <f t="array" ref="O4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1619.848043925316</v>
      </c>
      <c r="P463" s="4" cm="1">
        <f t="array" ref="P4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1665.3677540480276</v>
      </c>
      <c r="Q463" s="4">
        <f>1/(1+10^(((Games[[#This Row],[OppPreGmRate]]+IF(Games[[#This Row],[HomeAway]]="A",HCA,0)+Games[[#This Row],[OppRestAdj]])-(Games[[#This Row],[PreGmRate]]+IF(Games[[#This Row],[HomeAway]]="H",HCA,0)+Games[[#This Row],[RestAdj]]))/400))</f>
        <v>0.55515226060844103</v>
      </c>
      <c r="R463" s="1">
        <v>76</v>
      </c>
      <c r="S463" s="1">
        <v>78</v>
      </c>
      <c r="T463" s="1">
        <v>0</v>
      </c>
      <c r="U463" s="16">
        <f>Games[[#This Row],[PointsFor]]-Games[[#This Row],[PointsAgainst]]</f>
        <v>-2</v>
      </c>
      <c r="V463" s="16">
        <f>IF(Games[[#This Row],[MOV]]&gt;0,1,IF(Games[[#This Row],[MOV]]=0,0.5,0))</f>
        <v>0</v>
      </c>
      <c r="W463" s="4">
        <f>((ABS(Games[[#This Row],[MOV]])+5)^0.6)/(12+0.01*(ABS(Games[[#This Row],[PreGmRate]]-Games[[#This Row],[OppPreGmRate]])))*IF(Games[[#This Row],[OT]]=1,0.9,1)</f>
        <v>0.25805258829660577</v>
      </c>
      <c r="X463" s="7" cm="1">
        <f t="array" ref="X4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3" s="9">
        <f>MAX(kmin, kmax - 0.15 * MIN(Games[[#This Row],[GamesPlayed]], 82))</f>
        <v>70.150000000000006</v>
      </c>
      <c r="Z463" s="4">
        <f>Games[[#This Row],[K]]*Games[[#This Row],[POMult]]</f>
        <v>70.150000000000006</v>
      </c>
      <c r="AA463" s="4">
        <f>(Games[[#This Row],[Keff]]*Games[[#This Row],[MOVMult]])*(Games[[#This Row],[Result]]-Games[[#This Row],[ExpectedWin%]])</f>
        <v>-10.049582214072711</v>
      </c>
      <c r="AB463" s="4">
        <f>Games[[#This Row],[PreGmRate]]+Games[[#This Row],[RatingChange]]</f>
        <v>1609.7984617112434</v>
      </c>
      <c r="AC463" s="2">
        <f>IF(Games[[#This Row],[Type]]="R",IF(Games[[#This Row],[Result]]&gt;0.5,1,0),0)</f>
        <v>0</v>
      </c>
      <c r="AD463" s="2">
        <f>IF(Games[[#This Row],[Type]]="R",IF(Games[[#This Row],[Result]]&lt;0.5,1,0),0)</f>
        <v>1</v>
      </c>
      <c r="AE463" s="2">
        <f>IF(AND(Games[[#This Row],[Type]]="P",Games[[#This Row],[Round]]=1),IF(Games[[#This Row],[Result]]&gt;0.5,1,0),0)</f>
        <v>0</v>
      </c>
      <c r="AF463" s="2">
        <f>IF(AND(Games[[#This Row],[Type]]="P",Games[[#This Row],[Round]]=1),IF(Games[[#This Row],[Result]]&lt;0.5,1,0),0)</f>
        <v>0</v>
      </c>
      <c r="AG463" s="2">
        <f>IF(AND(Games[[#This Row],[Type]]="P",Games[[#This Row],[Round]]=2),IF(Games[[#This Row],[Result]]&gt;0.5,1,0),0)</f>
        <v>0</v>
      </c>
      <c r="AH463" s="2">
        <f>IF(AND(Games[[#This Row],[Type]]="P",Games[[#This Row],[Round]]=2),IF(Games[[#This Row],[Result]]&lt;0.5,1,0),0)</f>
        <v>0</v>
      </c>
      <c r="AI463" s="2">
        <f>IF(AND(Games[[#This Row],[Type]]="P",Games[[#This Row],[Round]]=3),IF(Games[[#This Row],[Result]]&gt;0.5,1,0),0)</f>
        <v>0</v>
      </c>
      <c r="AJ463" s="2">
        <f>IF(AND(Games[[#This Row],[Type]]="P",Games[[#This Row],[Round]]=3),IF(Games[[#This Row],[Result]]&lt;0.5,1,0),0)</f>
        <v>0</v>
      </c>
      <c r="AK463" s="2">
        <f>IF(AND(Games[[#This Row],[Type]]="P",Games[[#This Row],[Round]]=4),IF(Games[[#This Row],[Result]]&gt;0.5,1,0),0)</f>
        <v>0</v>
      </c>
      <c r="AL463" s="2">
        <f>IF(AND(Games[[#This Row],[Type]]="P",Games[[#This Row],[Round]]=4),IF(Games[[#This Row],[Result]]&lt;0.5,1,0),0)</f>
        <v>0</v>
      </c>
    </row>
    <row r="464" spans="1:38" x14ac:dyDescent="0.35">
      <c r="A464" s="10">
        <v>45552</v>
      </c>
      <c r="B464" s="2">
        <v>2024</v>
      </c>
      <c r="C464" s="2">
        <f>COUNTIFS(Games[Team],Games[[#This Row],[Team]],Games[Season],Games[[#This Row],[Season]],Games[Date],"&lt;=" &amp; Games[[#This Row],[Date]])</f>
        <v>39</v>
      </c>
      <c r="D464" s="2" t="s">
        <v>79</v>
      </c>
      <c r="E464" s="2" t="s">
        <v>80</v>
      </c>
      <c r="F464" s="1" t="s">
        <v>40</v>
      </c>
      <c r="G464" s="1" t="s">
        <v>63</v>
      </c>
      <c r="H464" s="1" t="s">
        <v>81</v>
      </c>
      <c r="I464" s="2" cm="1">
        <f t="array" ref="I4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4" s="2" cm="1">
        <f t="array" ref="J4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4" s="2">
        <f>Games[[#This Row],[DaysOff]]-Games[[#This Row],[OppDaysOff]]</f>
        <v>0</v>
      </c>
      <c r="L464" s="2">
        <f>Games[[#This Row],[OppDaysOff]]-Games[[#This Row],[DaysOff]]</f>
        <v>0</v>
      </c>
      <c r="M464" s="16">
        <f>MAX(-16, MIN(16, Games[[#This Row],[RestDiff]]*8))</f>
        <v>0</v>
      </c>
      <c r="N464" s="16">
        <f>MAX(-16, MIN(16, Games[[#This Row],[OppRestDiff]]*8))</f>
        <v>0</v>
      </c>
      <c r="O464" s="4" cm="1">
        <f t="array" ref="O4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1428.0231050989473</v>
      </c>
      <c r="P464" s="4" cm="1">
        <f t="array" ref="P4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1288.8925014697229</v>
      </c>
      <c r="Q464" s="4">
        <f>1/(1+10^(((Games[[#This Row],[OppPreGmRate]]+IF(Games[[#This Row],[HomeAway]]="A",HCA,0)+Games[[#This Row],[OppRestAdj]])-(Games[[#This Row],[PreGmRate]]+IF(Games[[#This Row],[HomeAway]]="H",HCA,0)+Games[[#This Row],[RestAdj]]))/400))</f>
        <v>0.57868006276093942</v>
      </c>
      <c r="R464" s="1">
        <v>85</v>
      </c>
      <c r="S464" s="1">
        <v>81</v>
      </c>
      <c r="T464" s="1">
        <v>0</v>
      </c>
      <c r="U464" s="16">
        <f>Games[[#This Row],[PointsFor]]-Games[[#This Row],[PointsAgainst]]</f>
        <v>4</v>
      </c>
      <c r="V464" s="16">
        <f>IF(Games[[#This Row],[MOV]]&gt;0,1,IF(Games[[#This Row],[MOV]]=0,0.5,0))</f>
        <v>1</v>
      </c>
      <c r="W464" s="4">
        <f>((ABS(Games[[#This Row],[MOV]])+5)^0.6)/(12+0.01*(ABS(Games[[#This Row],[PreGmRate]]-Games[[#This Row],[OppPreGmRate]])))*IF(Games[[#This Row],[OT]]=1,0.9,1)</f>
        <v>0.27907605193386337</v>
      </c>
      <c r="X464" s="7" cm="1">
        <f t="array" ref="X4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4" s="9">
        <f>MAX(kmin, kmax - 0.15 * MIN(Games[[#This Row],[GamesPlayed]], 82))</f>
        <v>70.150000000000006</v>
      </c>
      <c r="Z464" s="4">
        <f>Games[[#This Row],[K]]*Games[[#This Row],[POMult]]</f>
        <v>70.150000000000006</v>
      </c>
      <c r="AA464" s="4">
        <f>(Games[[#This Row],[Keff]]*Games[[#This Row],[MOVMult]])*(Games[[#This Row],[Result]]-Games[[#This Row],[ExpectedWin%]])</f>
        <v>8.248258373701864</v>
      </c>
      <c r="AB464" s="4">
        <f>Games[[#This Row],[PreGmRate]]+Games[[#This Row],[RatingChange]]</f>
        <v>1436.2713634726492</v>
      </c>
      <c r="AC464" s="2">
        <f>IF(Games[[#This Row],[Type]]="R",IF(Games[[#This Row],[Result]]&gt;0.5,1,0),0)</f>
        <v>1</v>
      </c>
      <c r="AD464" s="2">
        <f>IF(Games[[#This Row],[Type]]="R",IF(Games[[#This Row],[Result]]&lt;0.5,1,0),0)</f>
        <v>0</v>
      </c>
      <c r="AE464" s="2">
        <f>IF(AND(Games[[#This Row],[Type]]="P",Games[[#This Row],[Round]]=1),IF(Games[[#This Row],[Result]]&gt;0.5,1,0),0)</f>
        <v>0</v>
      </c>
      <c r="AF464" s="2">
        <f>IF(AND(Games[[#This Row],[Type]]="P",Games[[#This Row],[Round]]=1),IF(Games[[#This Row],[Result]]&lt;0.5,1,0),0)</f>
        <v>0</v>
      </c>
      <c r="AG464" s="2">
        <f>IF(AND(Games[[#This Row],[Type]]="P",Games[[#This Row],[Round]]=2),IF(Games[[#This Row],[Result]]&gt;0.5,1,0),0)</f>
        <v>0</v>
      </c>
      <c r="AH464" s="2">
        <f>IF(AND(Games[[#This Row],[Type]]="P",Games[[#This Row],[Round]]=2),IF(Games[[#This Row],[Result]]&lt;0.5,1,0),0)</f>
        <v>0</v>
      </c>
      <c r="AI464" s="2">
        <f>IF(AND(Games[[#This Row],[Type]]="P",Games[[#This Row],[Round]]=3),IF(Games[[#This Row],[Result]]&gt;0.5,1,0),0)</f>
        <v>0</v>
      </c>
      <c r="AJ464" s="2">
        <f>IF(AND(Games[[#This Row],[Type]]="P",Games[[#This Row],[Round]]=3),IF(Games[[#This Row],[Result]]&lt;0.5,1,0),0)</f>
        <v>0</v>
      </c>
      <c r="AK464" s="2">
        <f>IF(AND(Games[[#This Row],[Type]]="P",Games[[#This Row],[Round]]=4),IF(Games[[#This Row],[Result]]&gt;0.5,1,0),0)</f>
        <v>0</v>
      </c>
      <c r="AL464" s="2">
        <f>IF(AND(Games[[#This Row],[Type]]="P",Games[[#This Row],[Round]]=4),IF(Games[[#This Row],[Result]]&lt;0.5,1,0),0)</f>
        <v>0</v>
      </c>
    </row>
    <row r="465" spans="1:38" x14ac:dyDescent="0.35">
      <c r="A465" s="10">
        <v>45552</v>
      </c>
      <c r="B465" s="2">
        <v>2024</v>
      </c>
      <c r="C465" s="2">
        <f>COUNTIFS(Games[Team],Games[[#This Row],[Team]],Games[Season],Games[[#This Row],[Season]],Games[Date],"&lt;=" &amp; Games[[#This Row],[Date]])</f>
        <v>39</v>
      </c>
      <c r="D465" s="2" t="s">
        <v>79</v>
      </c>
      <c r="E465" s="2" t="s">
        <v>80</v>
      </c>
      <c r="F465" s="1" t="s">
        <v>63</v>
      </c>
      <c r="G465" s="1" t="s">
        <v>40</v>
      </c>
      <c r="H465" s="1" t="s">
        <v>82</v>
      </c>
      <c r="I465" s="2" cm="1">
        <f t="array" ref="I4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5" s="2" cm="1">
        <f t="array" ref="J4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5" s="2">
        <f>Games[[#This Row],[DaysOff]]-Games[[#This Row],[OppDaysOff]]</f>
        <v>0</v>
      </c>
      <c r="L465" s="2">
        <f>Games[[#This Row],[OppDaysOff]]-Games[[#This Row],[DaysOff]]</f>
        <v>0</v>
      </c>
      <c r="M465" s="16">
        <f>MAX(-16, MIN(16, Games[[#This Row],[RestDiff]]*8))</f>
        <v>0</v>
      </c>
      <c r="N465" s="16">
        <f>MAX(-16, MIN(16, Games[[#This Row],[OppRestDiff]]*8))</f>
        <v>0</v>
      </c>
      <c r="O465" s="4" cm="1">
        <f t="array" ref="O4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1288.8925014697229</v>
      </c>
      <c r="P465" s="4" cm="1">
        <f t="array" ref="P4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1428.0231050989473</v>
      </c>
      <c r="Q465" s="4">
        <f>1/(1+10^(((Games[[#This Row],[OppPreGmRate]]+IF(Games[[#This Row],[HomeAway]]="A",HCA,0)+Games[[#This Row],[OppRestAdj]])-(Games[[#This Row],[PreGmRate]]+IF(Games[[#This Row],[HomeAway]]="H",HCA,0)+Games[[#This Row],[RestAdj]]))/400))</f>
        <v>0.42131993723906058</v>
      </c>
      <c r="R465" s="1">
        <v>81</v>
      </c>
      <c r="S465" s="1">
        <v>85</v>
      </c>
      <c r="T465" s="1">
        <v>0</v>
      </c>
      <c r="U465" s="16">
        <f>Games[[#This Row],[PointsFor]]-Games[[#This Row],[PointsAgainst]]</f>
        <v>-4</v>
      </c>
      <c r="V465" s="16">
        <f>IF(Games[[#This Row],[MOV]]&gt;0,1,IF(Games[[#This Row],[MOV]]=0,0.5,0))</f>
        <v>0</v>
      </c>
      <c r="W465" s="4">
        <f>((ABS(Games[[#This Row],[MOV]])+5)^0.6)/(12+0.01*(ABS(Games[[#This Row],[PreGmRate]]-Games[[#This Row],[OppPreGmRate]])))*IF(Games[[#This Row],[OT]]=1,0.9,1)</f>
        <v>0.27907605193386337</v>
      </c>
      <c r="X465" s="7" cm="1">
        <f t="array" ref="X4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5" s="9">
        <f>MAX(kmin, kmax - 0.15 * MIN(Games[[#This Row],[GamesPlayed]], 82))</f>
        <v>70.150000000000006</v>
      </c>
      <c r="Z465" s="4">
        <f>Games[[#This Row],[K]]*Games[[#This Row],[POMult]]</f>
        <v>70.150000000000006</v>
      </c>
      <c r="AA465" s="4">
        <f>(Games[[#This Row],[Keff]]*Games[[#This Row],[MOVMult]])*(Games[[#This Row],[Result]]-Games[[#This Row],[ExpectedWin%]])</f>
        <v>-8.248258373701864</v>
      </c>
      <c r="AB465" s="4">
        <f>Games[[#This Row],[PreGmRate]]+Games[[#This Row],[RatingChange]]</f>
        <v>1280.644243096021</v>
      </c>
      <c r="AC465" s="2">
        <f>IF(Games[[#This Row],[Type]]="R",IF(Games[[#This Row],[Result]]&gt;0.5,1,0),0)</f>
        <v>0</v>
      </c>
      <c r="AD465" s="2">
        <f>IF(Games[[#This Row],[Type]]="R",IF(Games[[#This Row],[Result]]&lt;0.5,1,0),0)</f>
        <v>1</v>
      </c>
      <c r="AE465" s="2">
        <f>IF(AND(Games[[#This Row],[Type]]="P",Games[[#This Row],[Round]]=1),IF(Games[[#This Row],[Result]]&gt;0.5,1,0),0)</f>
        <v>0</v>
      </c>
      <c r="AF465" s="2">
        <f>IF(AND(Games[[#This Row],[Type]]="P",Games[[#This Row],[Round]]=1),IF(Games[[#This Row],[Result]]&lt;0.5,1,0),0)</f>
        <v>0</v>
      </c>
      <c r="AG465" s="2">
        <f>IF(AND(Games[[#This Row],[Type]]="P",Games[[#This Row],[Round]]=2),IF(Games[[#This Row],[Result]]&gt;0.5,1,0),0)</f>
        <v>0</v>
      </c>
      <c r="AH465" s="2">
        <f>IF(AND(Games[[#This Row],[Type]]="P",Games[[#This Row],[Round]]=2),IF(Games[[#This Row],[Result]]&lt;0.5,1,0),0)</f>
        <v>0</v>
      </c>
      <c r="AI465" s="2">
        <f>IF(AND(Games[[#This Row],[Type]]="P",Games[[#This Row],[Round]]=3),IF(Games[[#This Row],[Result]]&gt;0.5,1,0),0)</f>
        <v>0</v>
      </c>
      <c r="AJ465" s="2">
        <f>IF(AND(Games[[#This Row],[Type]]="P",Games[[#This Row],[Round]]=3),IF(Games[[#This Row],[Result]]&lt;0.5,1,0),0)</f>
        <v>0</v>
      </c>
      <c r="AK465" s="2">
        <f>IF(AND(Games[[#This Row],[Type]]="P",Games[[#This Row],[Round]]=4),IF(Games[[#This Row],[Result]]&gt;0.5,1,0),0)</f>
        <v>0</v>
      </c>
      <c r="AL465" s="2">
        <f>IF(AND(Games[[#This Row],[Type]]="P",Games[[#This Row],[Round]]=4),IF(Games[[#This Row],[Result]]&lt;0.5,1,0),0)</f>
        <v>0</v>
      </c>
    </row>
    <row r="466" spans="1:38" x14ac:dyDescent="0.35">
      <c r="A466" s="10">
        <v>45552</v>
      </c>
      <c r="B466" s="2">
        <v>2024</v>
      </c>
      <c r="C466" s="2">
        <f>COUNTIFS(Games[Team],Games[[#This Row],[Team]],Games[Season],Games[[#This Row],[Season]],Games[Date],"&lt;=" &amp; Games[[#This Row],[Date]])</f>
        <v>39</v>
      </c>
      <c r="D466" s="2" t="s">
        <v>79</v>
      </c>
      <c r="E466" s="2" t="s">
        <v>80</v>
      </c>
      <c r="F466" s="1" t="s">
        <v>86</v>
      </c>
      <c r="G466" s="1" t="s">
        <v>71</v>
      </c>
      <c r="H466" s="1" t="s">
        <v>81</v>
      </c>
      <c r="I466" s="2" cm="1">
        <f t="array" ref="I4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6" s="2" cm="1">
        <f t="array" ref="J4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6" s="2">
        <f>Games[[#This Row],[DaysOff]]-Games[[#This Row],[OppDaysOff]]</f>
        <v>0</v>
      </c>
      <c r="L466" s="2">
        <f>Games[[#This Row],[OppDaysOff]]-Games[[#This Row],[DaysOff]]</f>
        <v>0</v>
      </c>
      <c r="M466" s="16">
        <f>MAX(-16, MIN(16, Games[[#This Row],[RestDiff]]*8))</f>
        <v>0</v>
      </c>
      <c r="N466" s="16">
        <f>MAX(-16, MIN(16, Games[[#This Row],[OppRestDiff]]*8))</f>
        <v>0</v>
      </c>
      <c r="O466" s="4" cm="1">
        <f t="array" ref="O4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1657.3510519406541</v>
      </c>
      <c r="P466" s="4" cm="1">
        <f t="array" ref="P4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1563.5476048596652</v>
      </c>
      <c r="Q466" s="4">
        <f>1/(1+10^(((Games[[#This Row],[OppPreGmRate]]+IF(Games[[#This Row],[HomeAway]]="A",HCA,0)+Games[[#This Row],[OppRestAdj]])-(Games[[#This Row],[PreGmRate]]+IF(Games[[#This Row],[HomeAway]]="H",HCA,0)+Games[[#This Row],[RestAdj]]))/400))</f>
        <v>0.51410455140698841</v>
      </c>
      <c r="R466" s="1">
        <v>85</v>
      </c>
      <c r="S466" s="1">
        <v>72</v>
      </c>
      <c r="T466" s="1">
        <v>0</v>
      </c>
      <c r="U466" s="16">
        <f>Games[[#This Row],[PointsFor]]-Games[[#This Row],[PointsAgainst]]</f>
        <v>13</v>
      </c>
      <c r="V466" s="16">
        <f>IF(Games[[#This Row],[MOV]]&gt;0,1,IF(Games[[#This Row],[MOV]]=0,0.5,0))</f>
        <v>1</v>
      </c>
      <c r="W466" s="4">
        <f>((ABS(Games[[#This Row],[MOV]])+5)^0.6)/(12+0.01*(ABS(Games[[#This Row],[PreGmRate]]-Games[[#This Row],[OppPreGmRate]])))*IF(Games[[#This Row],[OT]]=1,0.9,1)</f>
        <v>0.43781959930230618</v>
      </c>
      <c r="X466" s="7" cm="1">
        <f t="array" ref="X4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6" s="9">
        <f>MAX(kmin, kmax - 0.15 * MIN(Games[[#This Row],[GamesPlayed]], 82))</f>
        <v>70.150000000000006</v>
      </c>
      <c r="Z466" s="4">
        <f>Games[[#This Row],[K]]*Games[[#This Row],[POMult]]</f>
        <v>70.150000000000006</v>
      </c>
      <c r="AA466" s="4">
        <f>(Games[[#This Row],[Keff]]*Games[[#This Row],[MOVMult]])*(Games[[#This Row],[Result]]-Games[[#This Row],[ExpectedWin%]])</f>
        <v>14.923328724997338</v>
      </c>
      <c r="AB466" s="4">
        <f>Games[[#This Row],[PreGmRate]]+Games[[#This Row],[RatingChange]]</f>
        <v>1672.2743806656515</v>
      </c>
      <c r="AC466" s="2">
        <f>IF(Games[[#This Row],[Type]]="R",IF(Games[[#This Row],[Result]]&gt;0.5,1,0),0)</f>
        <v>1</v>
      </c>
      <c r="AD466" s="2">
        <f>IF(Games[[#This Row],[Type]]="R",IF(Games[[#This Row],[Result]]&lt;0.5,1,0),0)</f>
        <v>0</v>
      </c>
      <c r="AE466" s="2">
        <f>IF(AND(Games[[#This Row],[Type]]="P",Games[[#This Row],[Round]]=1),IF(Games[[#This Row],[Result]]&gt;0.5,1,0),0)</f>
        <v>0</v>
      </c>
      <c r="AF466" s="2">
        <f>IF(AND(Games[[#This Row],[Type]]="P",Games[[#This Row],[Round]]=1),IF(Games[[#This Row],[Result]]&lt;0.5,1,0),0)</f>
        <v>0</v>
      </c>
      <c r="AG466" s="2">
        <f>IF(AND(Games[[#This Row],[Type]]="P",Games[[#This Row],[Round]]=2),IF(Games[[#This Row],[Result]]&gt;0.5,1,0),0)</f>
        <v>0</v>
      </c>
      <c r="AH466" s="2">
        <f>IF(AND(Games[[#This Row],[Type]]="P",Games[[#This Row],[Round]]=2),IF(Games[[#This Row],[Result]]&lt;0.5,1,0),0)</f>
        <v>0</v>
      </c>
      <c r="AI466" s="2">
        <f>IF(AND(Games[[#This Row],[Type]]="P",Games[[#This Row],[Round]]=3),IF(Games[[#This Row],[Result]]&gt;0.5,1,0),0)</f>
        <v>0</v>
      </c>
      <c r="AJ466" s="2">
        <f>IF(AND(Games[[#This Row],[Type]]="P",Games[[#This Row],[Round]]=3),IF(Games[[#This Row],[Result]]&lt;0.5,1,0),0)</f>
        <v>0</v>
      </c>
      <c r="AK466" s="2">
        <f>IF(AND(Games[[#This Row],[Type]]="P",Games[[#This Row],[Round]]=4),IF(Games[[#This Row],[Result]]&gt;0.5,1,0),0)</f>
        <v>0</v>
      </c>
      <c r="AL466" s="2">
        <f>IF(AND(Games[[#This Row],[Type]]="P",Games[[#This Row],[Round]]=4),IF(Games[[#This Row],[Result]]&lt;0.5,1,0),0)</f>
        <v>0</v>
      </c>
    </row>
    <row r="467" spans="1:38" x14ac:dyDescent="0.35">
      <c r="A467" s="10">
        <v>45552</v>
      </c>
      <c r="B467" s="2">
        <v>2024</v>
      </c>
      <c r="C467" s="2">
        <f>COUNTIFS(Games[Team],Games[[#This Row],[Team]],Games[Season],Games[[#This Row],[Season]],Games[Date],"&lt;=" &amp; Games[[#This Row],[Date]])</f>
        <v>39</v>
      </c>
      <c r="D467" s="2" t="s">
        <v>79</v>
      </c>
      <c r="E467" s="2" t="s">
        <v>80</v>
      </c>
      <c r="F467" s="1" t="s">
        <v>71</v>
      </c>
      <c r="G467" s="1" t="s">
        <v>86</v>
      </c>
      <c r="H467" s="1" t="s">
        <v>82</v>
      </c>
      <c r="I467" s="2" cm="1">
        <f t="array" ref="I4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7" s="2" cm="1">
        <f t="array" ref="J4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7" s="2">
        <f>Games[[#This Row],[DaysOff]]-Games[[#This Row],[OppDaysOff]]</f>
        <v>0</v>
      </c>
      <c r="L467" s="2">
        <f>Games[[#This Row],[OppDaysOff]]-Games[[#This Row],[DaysOff]]</f>
        <v>0</v>
      </c>
      <c r="M467" s="16">
        <f>MAX(-16, MIN(16, Games[[#This Row],[RestDiff]]*8))</f>
        <v>0</v>
      </c>
      <c r="N467" s="16">
        <f>MAX(-16, MIN(16, Games[[#This Row],[OppRestDiff]]*8))</f>
        <v>0</v>
      </c>
      <c r="O467" s="4" cm="1">
        <f t="array" ref="O4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1563.5476048596652</v>
      </c>
      <c r="P467" s="4" cm="1">
        <f t="array" ref="P4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1657.3510519406541</v>
      </c>
      <c r="Q467" s="4">
        <f>1/(1+10^(((Games[[#This Row],[OppPreGmRate]]+IF(Games[[#This Row],[HomeAway]]="A",HCA,0)+Games[[#This Row],[OppRestAdj]])-(Games[[#This Row],[PreGmRate]]+IF(Games[[#This Row],[HomeAway]]="H",HCA,0)+Games[[#This Row],[RestAdj]]))/400))</f>
        <v>0.48589544859301159</v>
      </c>
      <c r="R467" s="1">
        <v>72</v>
      </c>
      <c r="S467" s="1">
        <v>85</v>
      </c>
      <c r="T467" s="1">
        <v>0</v>
      </c>
      <c r="U467" s="16">
        <f>Games[[#This Row],[PointsFor]]-Games[[#This Row],[PointsAgainst]]</f>
        <v>-13</v>
      </c>
      <c r="V467" s="16">
        <f>IF(Games[[#This Row],[MOV]]&gt;0,1,IF(Games[[#This Row],[MOV]]=0,0.5,0))</f>
        <v>0</v>
      </c>
      <c r="W467" s="4">
        <f>((ABS(Games[[#This Row],[MOV]])+5)^0.6)/(12+0.01*(ABS(Games[[#This Row],[PreGmRate]]-Games[[#This Row],[OppPreGmRate]])))*IF(Games[[#This Row],[OT]]=1,0.9,1)</f>
        <v>0.43781959930230618</v>
      </c>
      <c r="X467" s="7" cm="1">
        <f t="array" ref="X4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7" s="9">
        <f>MAX(kmin, kmax - 0.15 * MIN(Games[[#This Row],[GamesPlayed]], 82))</f>
        <v>70.150000000000006</v>
      </c>
      <c r="Z467" s="4">
        <f>Games[[#This Row],[K]]*Games[[#This Row],[POMult]]</f>
        <v>70.150000000000006</v>
      </c>
      <c r="AA467" s="4">
        <f>(Games[[#This Row],[Keff]]*Games[[#This Row],[MOVMult]])*(Games[[#This Row],[Result]]-Games[[#This Row],[ExpectedWin%]])</f>
        <v>-14.923328724997338</v>
      </c>
      <c r="AB467" s="4">
        <f>Games[[#This Row],[PreGmRate]]+Games[[#This Row],[RatingChange]]</f>
        <v>1548.6242761346678</v>
      </c>
      <c r="AC467" s="2">
        <f>IF(Games[[#This Row],[Type]]="R",IF(Games[[#This Row],[Result]]&gt;0.5,1,0),0)</f>
        <v>0</v>
      </c>
      <c r="AD467" s="2">
        <f>IF(Games[[#This Row],[Type]]="R",IF(Games[[#This Row],[Result]]&lt;0.5,1,0),0)</f>
        <v>1</v>
      </c>
      <c r="AE467" s="2">
        <f>IF(AND(Games[[#This Row],[Type]]="P",Games[[#This Row],[Round]]=1),IF(Games[[#This Row],[Result]]&gt;0.5,1,0),0)</f>
        <v>0</v>
      </c>
      <c r="AF467" s="2">
        <f>IF(AND(Games[[#This Row],[Type]]="P",Games[[#This Row],[Round]]=1),IF(Games[[#This Row],[Result]]&lt;0.5,1,0),0)</f>
        <v>0</v>
      </c>
      <c r="AG467" s="2">
        <f>IF(AND(Games[[#This Row],[Type]]="P",Games[[#This Row],[Round]]=2),IF(Games[[#This Row],[Result]]&gt;0.5,1,0),0)</f>
        <v>0</v>
      </c>
      <c r="AH467" s="2">
        <f>IF(AND(Games[[#This Row],[Type]]="P",Games[[#This Row],[Round]]=2),IF(Games[[#This Row],[Result]]&lt;0.5,1,0),0)</f>
        <v>0</v>
      </c>
      <c r="AI467" s="2">
        <f>IF(AND(Games[[#This Row],[Type]]="P",Games[[#This Row],[Round]]=3),IF(Games[[#This Row],[Result]]&gt;0.5,1,0),0)</f>
        <v>0</v>
      </c>
      <c r="AJ467" s="2">
        <f>IF(AND(Games[[#This Row],[Type]]="P",Games[[#This Row],[Round]]=3),IF(Games[[#This Row],[Result]]&lt;0.5,1,0),0)</f>
        <v>0</v>
      </c>
      <c r="AK467" s="2">
        <f>IF(AND(Games[[#This Row],[Type]]="P",Games[[#This Row],[Round]]=4),IF(Games[[#This Row],[Result]]&gt;0.5,1,0),0)</f>
        <v>0</v>
      </c>
      <c r="AL467" s="2">
        <f>IF(AND(Games[[#This Row],[Type]]="P",Games[[#This Row],[Round]]=4),IF(Games[[#This Row],[Result]]&lt;0.5,1,0),0)</f>
        <v>0</v>
      </c>
    </row>
    <row r="468" spans="1:38" x14ac:dyDescent="0.35">
      <c r="A468" s="10">
        <v>45552</v>
      </c>
      <c r="B468" s="2">
        <v>2024</v>
      </c>
      <c r="C468" s="2">
        <f>COUNTIFS(Games[Team],Games[[#This Row],[Team]],Games[Season],Games[[#This Row],[Season]],Games[Date],"&lt;=" &amp; Games[[#This Row],[Date]])</f>
        <v>39</v>
      </c>
      <c r="D468" s="2" t="s">
        <v>79</v>
      </c>
      <c r="E468" s="2" t="s">
        <v>80</v>
      </c>
      <c r="F468" s="1" t="s">
        <v>60</v>
      </c>
      <c r="G468" s="1" t="s">
        <v>65</v>
      </c>
      <c r="H468" s="1" t="s">
        <v>81</v>
      </c>
      <c r="I468" s="2" cm="1">
        <f t="array" ref="I4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8" s="2" cm="1">
        <f t="array" ref="J4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8" s="2">
        <f>Games[[#This Row],[DaysOff]]-Games[[#This Row],[OppDaysOff]]</f>
        <v>0</v>
      </c>
      <c r="L468" s="2">
        <f>Games[[#This Row],[OppDaysOff]]-Games[[#This Row],[DaysOff]]</f>
        <v>0</v>
      </c>
      <c r="M468" s="16">
        <f>MAX(-16, MIN(16, Games[[#This Row],[RestDiff]]*8))</f>
        <v>0</v>
      </c>
      <c r="N468" s="16">
        <f>MAX(-16, MIN(16, Games[[#This Row],[OppRestDiff]]*8))</f>
        <v>0</v>
      </c>
      <c r="O468" s="4" cm="1">
        <f t="array" ref="O4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1719.6501323413431</v>
      </c>
      <c r="P468" s="4" cm="1">
        <f t="array" ref="P4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1453.9332523259593</v>
      </c>
      <c r="Q468" s="4">
        <f>1/(1+10^(((Games[[#This Row],[OppPreGmRate]]+IF(Games[[#This Row],[HomeAway]]="A",HCA,0)+Games[[#This Row],[OppRestAdj]])-(Games[[#This Row],[PreGmRate]]+IF(Games[[#This Row],[HomeAway]]="H",HCA,0)+Games[[#This Row],[RestAdj]]))/400))</f>
        <v>0.74001498623478557</v>
      </c>
      <c r="R468" s="1">
        <v>87</v>
      </c>
      <c r="S468" s="1">
        <v>71</v>
      </c>
      <c r="T468" s="1">
        <v>0</v>
      </c>
      <c r="U468" s="16">
        <f>Games[[#This Row],[PointsFor]]-Games[[#This Row],[PointsAgainst]]</f>
        <v>16</v>
      </c>
      <c r="V468" s="16">
        <f>IF(Games[[#This Row],[MOV]]&gt;0,1,IF(Games[[#This Row],[MOV]]=0,0.5,0))</f>
        <v>1</v>
      </c>
      <c r="W468" s="4">
        <f>((ABS(Games[[#This Row],[MOV]])+5)^0.6)/(12+0.01*(ABS(Games[[#This Row],[PreGmRate]]-Games[[#This Row],[OppPreGmRate]])))*IF(Games[[#This Row],[OT]]=1,0.9,1)</f>
        <v>0.42391763867081395</v>
      </c>
      <c r="X468" s="7" cm="1">
        <f t="array" ref="X4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8" s="9">
        <f>MAX(kmin, kmax - 0.15 * MIN(Games[[#This Row],[GamesPlayed]], 82))</f>
        <v>70.150000000000006</v>
      </c>
      <c r="Z468" s="4">
        <f>Games[[#This Row],[K]]*Games[[#This Row],[POMult]]</f>
        <v>70.150000000000006</v>
      </c>
      <c r="AA468" s="4">
        <f>(Games[[#This Row],[Keff]]*Games[[#This Row],[MOVMult]])*(Games[[#This Row],[Result]]-Games[[#This Row],[ExpectedWin%]])</f>
        <v>7.7313881537291866</v>
      </c>
      <c r="AB468" s="4">
        <f>Games[[#This Row],[PreGmRate]]+Games[[#This Row],[RatingChange]]</f>
        <v>1727.3815204950722</v>
      </c>
      <c r="AC468" s="2">
        <f>IF(Games[[#This Row],[Type]]="R",IF(Games[[#This Row],[Result]]&gt;0.5,1,0),0)</f>
        <v>1</v>
      </c>
      <c r="AD468" s="2">
        <f>IF(Games[[#This Row],[Type]]="R",IF(Games[[#This Row],[Result]]&lt;0.5,1,0),0)</f>
        <v>0</v>
      </c>
      <c r="AE468" s="2">
        <f>IF(AND(Games[[#This Row],[Type]]="P",Games[[#This Row],[Round]]=1),IF(Games[[#This Row],[Result]]&gt;0.5,1,0),0)</f>
        <v>0</v>
      </c>
      <c r="AF468" s="2">
        <f>IF(AND(Games[[#This Row],[Type]]="P",Games[[#This Row],[Round]]=1),IF(Games[[#This Row],[Result]]&lt;0.5,1,0),0)</f>
        <v>0</v>
      </c>
      <c r="AG468" s="2">
        <f>IF(AND(Games[[#This Row],[Type]]="P",Games[[#This Row],[Round]]=2),IF(Games[[#This Row],[Result]]&gt;0.5,1,0),0)</f>
        <v>0</v>
      </c>
      <c r="AH468" s="2">
        <f>IF(AND(Games[[#This Row],[Type]]="P",Games[[#This Row],[Round]]=2),IF(Games[[#This Row],[Result]]&lt;0.5,1,0),0)</f>
        <v>0</v>
      </c>
      <c r="AI468" s="2">
        <f>IF(AND(Games[[#This Row],[Type]]="P",Games[[#This Row],[Round]]=3),IF(Games[[#This Row],[Result]]&gt;0.5,1,0),0)</f>
        <v>0</v>
      </c>
      <c r="AJ468" s="2">
        <f>IF(AND(Games[[#This Row],[Type]]="P",Games[[#This Row],[Round]]=3),IF(Games[[#This Row],[Result]]&lt;0.5,1,0),0)</f>
        <v>0</v>
      </c>
      <c r="AK468" s="2">
        <f>IF(AND(Games[[#This Row],[Type]]="P",Games[[#This Row],[Round]]=4),IF(Games[[#This Row],[Result]]&gt;0.5,1,0),0)</f>
        <v>0</v>
      </c>
      <c r="AL468" s="2">
        <f>IF(AND(Games[[#This Row],[Type]]="P",Games[[#This Row],[Round]]=4),IF(Games[[#This Row],[Result]]&lt;0.5,1,0),0)</f>
        <v>0</v>
      </c>
    </row>
    <row r="469" spans="1:38" x14ac:dyDescent="0.35">
      <c r="A469" s="10">
        <v>45552</v>
      </c>
      <c r="B469" s="2">
        <v>2024</v>
      </c>
      <c r="C469" s="2">
        <f>COUNTIFS(Games[Team],Games[[#This Row],[Team]],Games[Season],Games[[#This Row],[Season]],Games[Date],"&lt;=" &amp; Games[[#This Row],[Date]])</f>
        <v>39</v>
      </c>
      <c r="D469" s="2" t="s">
        <v>79</v>
      </c>
      <c r="E469" s="2" t="s">
        <v>80</v>
      </c>
      <c r="F469" s="1" t="s">
        <v>65</v>
      </c>
      <c r="G469" s="1" t="s">
        <v>60</v>
      </c>
      <c r="H469" s="1" t="s">
        <v>82</v>
      </c>
      <c r="I469" s="2" cm="1">
        <f t="array" ref="I4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9" s="2" cm="1">
        <f t="array" ref="J4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9" s="2">
        <f>Games[[#This Row],[DaysOff]]-Games[[#This Row],[OppDaysOff]]</f>
        <v>0</v>
      </c>
      <c r="L469" s="2">
        <f>Games[[#This Row],[OppDaysOff]]-Games[[#This Row],[DaysOff]]</f>
        <v>0</v>
      </c>
      <c r="M469" s="16">
        <f>MAX(-16, MIN(16, Games[[#This Row],[RestDiff]]*8))</f>
        <v>0</v>
      </c>
      <c r="N469" s="16">
        <f>MAX(-16, MIN(16, Games[[#This Row],[OppRestDiff]]*8))</f>
        <v>0</v>
      </c>
      <c r="O469" s="4" cm="1">
        <f t="array" ref="O4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1453.9332523259593</v>
      </c>
      <c r="P469" s="4" cm="1">
        <f t="array" ref="P4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1719.6501323413431</v>
      </c>
      <c r="Q469" s="4">
        <f>1/(1+10^(((Games[[#This Row],[OppPreGmRate]]+IF(Games[[#This Row],[HomeAway]]="A",HCA,0)+Games[[#This Row],[OppRestAdj]])-(Games[[#This Row],[PreGmRate]]+IF(Games[[#This Row],[HomeAway]]="H",HCA,0)+Games[[#This Row],[RestAdj]]))/400))</f>
        <v>0.25998501376521449</v>
      </c>
      <c r="R469" s="1">
        <v>71</v>
      </c>
      <c r="S469" s="1">
        <v>87</v>
      </c>
      <c r="T469" s="1">
        <v>0</v>
      </c>
      <c r="U469" s="16">
        <f>Games[[#This Row],[PointsFor]]-Games[[#This Row],[PointsAgainst]]</f>
        <v>-16</v>
      </c>
      <c r="V469" s="16">
        <f>IF(Games[[#This Row],[MOV]]&gt;0,1,IF(Games[[#This Row],[MOV]]=0,0.5,0))</f>
        <v>0</v>
      </c>
      <c r="W469" s="4">
        <f>((ABS(Games[[#This Row],[MOV]])+5)^0.6)/(12+0.01*(ABS(Games[[#This Row],[PreGmRate]]-Games[[#This Row],[OppPreGmRate]])))*IF(Games[[#This Row],[OT]]=1,0.9,1)</f>
        <v>0.42391763867081395</v>
      </c>
      <c r="X469" s="7" cm="1">
        <f t="array" ref="X4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9" s="9">
        <f>MAX(kmin, kmax - 0.15 * MIN(Games[[#This Row],[GamesPlayed]], 82))</f>
        <v>70.150000000000006</v>
      </c>
      <c r="Z469" s="4">
        <f>Games[[#This Row],[K]]*Games[[#This Row],[POMult]]</f>
        <v>70.150000000000006</v>
      </c>
      <c r="AA469" s="4">
        <f>(Games[[#This Row],[Keff]]*Games[[#This Row],[MOVMult]])*(Games[[#This Row],[Result]]-Games[[#This Row],[ExpectedWin%]])</f>
        <v>-7.7313881537291875</v>
      </c>
      <c r="AB469" s="4">
        <f>Games[[#This Row],[PreGmRate]]+Games[[#This Row],[RatingChange]]</f>
        <v>1446.2018641722302</v>
      </c>
      <c r="AC469" s="2">
        <f>IF(Games[[#This Row],[Type]]="R",IF(Games[[#This Row],[Result]]&gt;0.5,1,0),0)</f>
        <v>0</v>
      </c>
      <c r="AD469" s="2">
        <f>IF(Games[[#This Row],[Type]]="R",IF(Games[[#This Row],[Result]]&lt;0.5,1,0),0)</f>
        <v>1</v>
      </c>
      <c r="AE469" s="2">
        <f>IF(AND(Games[[#This Row],[Type]]="P",Games[[#This Row],[Round]]=1),IF(Games[[#This Row],[Result]]&gt;0.5,1,0),0)</f>
        <v>0</v>
      </c>
      <c r="AF469" s="2">
        <f>IF(AND(Games[[#This Row],[Type]]="P",Games[[#This Row],[Round]]=1),IF(Games[[#This Row],[Result]]&lt;0.5,1,0),0)</f>
        <v>0</v>
      </c>
      <c r="AG469" s="2">
        <f>IF(AND(Games[[#This Row],[Type]]="P",Games[[#This Row],[Round]]=2),IF(Games[[#This Row],[Result]]&gt;0.5,1,0),0)</f>
        <v>0</v>
      </c>
      <c r="AH469" s="2">
        <f>IF(AND(Games[[#This Row],[Type]]="P",Games[[#This Row],[Round]]=2),IF(Games[[#This Row],[Result]]&lt;0.5,1,0),0)</f>
        <v>0</v>
      </c>
      <c r="AI469" s="2">
        <f>IF(AND(Games[[#This Row],[Type]]="P",Games[[#This Row],[Round]]=3),IF(Games[[#This Row],[Result]]&gt;0.5,1,0),0)</f>
        <v>0</v>
      </c>
      <c r="AJ469" s="2">
        <f>IF(AND(Games[[#This Row],[Type]]="P",Games[[#This Row],[Round]]=3),IF(Games[[#This Row],[Result]]&lt;0.5,1,0),0)</f>
        <v>0</v>
      </c>
      <c r="AK469" s="2">
        <f>IF(AND(Games[[#This Row],[Type]]="P",Games[[#This Row],[Round]]=4),IF(Games[[#This Row],[Result]]&gt;0.5,1,0),0)</f>
        <v>0</v>
      </c>
      <c r="AL469" s="2">
        <f>IF(AND(Games[[#This Row],[Type]]="P",Games[[#This Row],[Round]]=4),IF(Games[[#This Row],[Result]]&lt;0.5,1,0),0)</f>
        <v>0</v>
      </c>
    </row>
    <row r="470" spans="1:38" x14ac:dyDescent="0.35">
      <c r="A470" s="10">
        <v>45554</v>
      </c>
      <c r="B470" s="2">
        <v>2024</v>
      </c>
      <c r="C470" s="2">
        <f>COUNTIFS(Games[Team],Games[[#This Row],[Team]],Games[Season],Games[[#This Row],[Season]],Games[Date],"&lt;=" &amp; Games[[#This Row],[Date]])</f>
        <v>40</v>
      </c>
      <c r="D470" s="2" t="s">
        <v>79</v>
      </c>
      <c r="E470" s="2" t="s">
        <v>80</v>
      </c>
      <c r="F470" s="1" t="s">
        <v>75</v>
      </c>
      <c r="G470" s="1" t="s">
        <v>74</v>
      </c>
      <c r="H470" s="1" t="s">
        <v>81</v>
      </c>
      <c r="I470" s="2" cm="1">
        <f t="array" ref="I4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0" s="2" cm="1">
        <f t="array" ref="J4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0" s="2">
        <f>Games[[#This Row],[DaysOff]]-Games[[#This Row],[OppDaysOff]]</f>
        <v>0</v>
      </c>
      <c r="L470" s="2">
        <f>Games[[#This Row],[OppDaysOff]]-Games[[#This Row],[DaysOff]]</f>
        <v>0</v>
      </c>
      <c r="M470" s="16">
        <f>MAX(-16, MIN(16, Games[[#This Row],[RestDiff]]*8))</f>
        <v>0</v>
      </c>
      <c r="N470" s="16">
        <f>MAX(-16, MIN(16, Games[[#This Row],[OppRestDiff]]*8))</f>
        <v>0</v>
      </c>
      <c r="O470" s="4" cm="1">
        <f t="array" ref="O4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1355.6257925389755</v>
      </c>
      <c r="P470" s="4" cm="1">
        <f t="array" ref="P4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1609.7984617112434</v>
      </c>
      <c r="Q470" s="4">
        <f>1/(1+10^(((Games[[#This Row],[OppPreGmRate]]+IF(Games[[#This Row],[HomeAway]]="A",HCA,0)+Games[[#This Row],[OppRestAdj]])-(Games[[#This Row],[PreGmRate]]+IF(Games[[#This Row],[HomeAway]]="H",HCA,0)+Games[[#This Row],[RestAdj]]))/400))</f>
        <v>0.12491600033948332</v>
      </c>
      <c r="R470" s="1">
        <v>54</v>
      </c>
      <c r="S470" s="1">
        <v>87</v>
      </c>
      <c r="T470" s="1">
        <v>0</v>
      </c>
      <c r="U470" s="16">
        <f>Games[[#This Row],[PointsFor]]-Games[[#This Row],[PointsAgainst]]</f>
        <v>-33</v>
      </c>
      <c r="V470" s="16">
        <f>IF(Games[[#This Row],[MOV]]&gt;0,1,IF(Games[[#This Row],[MOV]]=0,0.5,0))</f>
        <v>0</v>
      </c>
      <c r="W470" s="4">
        <f>((ABS(Games[[#This Row],[MOV]])+5)^0.6)/(12+0.01*(ABS(Games[[#This Row],[PreGmRate]]-Games[[#This Row],[OppPreGmRate]])))*IF(Games[[#This Row],[OT]]=1,0.9,1)</f>
        <v>0.60989374603942625</v>
      </c>
      <c r="X470" s="7" cm="1">
        <f t="array" ref="X4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0" s="9">
        <f>MAX(kmin, kmax - 0.15 * MIN(Games[[#This Row],[GamesPlayed]], 82))</f>
        <v>70</v>
      </c>
      <c r="Z470" s="4">
        <f>Games[[#This Row],[K]]*Games[[#This Row],[POMult]]</f>
        <v>70</v>
      </c>
      <c r="AA470" s="4">
        <f>(Games[[#This Row],[Keff]]*Games[[#This Row],[MOVMult]])*(Games[[#This Row],[Result]]-Games[[#This Row],[ExpectedWin%]])</f>
        <v>-5.332984117111681</v>
      </c>
      <c r="AB470" s="4">
        <f>Games[[#This Row],[PreGmRate]]+Games[[#This Row],[RatingChange]]</f>
        <v>1350.2928084218638</v>
      </c>
      <c r="AC470" s="2">
        <f>IF(Games[[#This Row],[Type]]="R",IF(Games[[#This Row],[Result]]&gt;0.5,1,0),0)</f>
        <v>0</v>
      </c>
      <c r="AD470" s="2">
        <f>IF(Games[[#This Row],[Type]]="R",IF(Games[[#This Row],[Result]]&lt;0.5,1,0),0)</f>
        <v>1</v>
      </c>
      <c r="AE470" s="2">
        <f>IF(AND(Games[[#This Row],[Type]]="P",Games[[#This Row],[Round]]=1),IF(Games[[#This Row],[Result]]&gt;0.5,1,0),0)</f>
        <v>0</v>
      </c>
      <c r="AF470" s="2">
        <f>IF(AND(Games[[#This Row],[Type]]="P",Games[[#This Row],[Round]]=1),IF(Games[[#This Row],[Result]]&lt;0.5,1,0),0)</f>
        <v>0</v>
      </c>
      <c r="AG470" s="2">
        <f>IF(AND(Games[[#This Row],[Type]]="P",Games[[#This Row],[Round]]=2),IF(Games[[#This Row],[Result]]&gt;0.5,1,0),0)</f>
        <v>0</v>
      </c>
      <c r="AH470" s="2">
        <f>IF(AND(Games[[#This Row],[Type]]="P",Games[[#This Row],[Round]]=2),IF(Games[[#This Row],[Result]]&lt;0.5,1,0),0)</f>
        <v>0</v>
      </c>
      <c r="AI470" s="2">
        <f>IF(AND(Games[[#This Row],[Type]]="P",Games[[#This Row],[Round]]=3),IF(Games[[#This Row],[Result]]&gt;0.5,1,0),0)</f>
        <v>0</v>
      </c>
      <c r="AJ470" s="2">
        <f>IF(AND(Games[[#This Row],[Type]]="P",Games[[#This Row],[Round]]=3),IF(Games[[#This Row],[Result]]&lt;0.5,1,0),0)</f>
        <v>0</v>
      </c>
      <c r="AK470" s="2">
        <f>IF(AND(Games[[#This Row],[Type]]="P",Games[[#This Row],[Round]]=4),IF(Games[[#This Row],[Result]]&gt;0.5,1,0),0)</f>
        <v>0</v>
      </c>
      <c r="AL470" s="2">
        <f>IF(AND(Games[[#This Row],[Type]]="P",Games[[#This Row],[Round]]=4),IF(Games[[#This Row],[Result]]&lt;0.5,1,0),0)</f>
        <v>0</v>
      </c>
    </row>
    <row r="471" spans="1:38" x14ac:dyDescent="0.35">
      <c r="A471" s="10">
        <v>45554</v>
      </c>
      <c r="B471" s="2">
        <v>2024</v>
      </c>
      <c r="C471" s="2">
        <f>COUNTIFS(Games[Team],Games[[#This Row],[Team]],Games[Season],Games[[#This Row],[Season]],Games[Date],"&lt;=" &amp; Games[[#This Row],[Date]])</f>
        <v>40</v>
      </c>
      <c r="D471" s="2" t="s">
        <v>79</v>
      </c>
      <c r="E471" s="2" t="s">
        <v>80</v>
      </c>
      <c r="F471" s="1" t="s">
        <v>74</v>
      </c>
      <c r="G471" s="1" t="s">
        <v>75</v>
      </c>
      <c r="H471" s="1" t="s">
        <v>82</v>
      </c>
      <c r="I471" s="2" cm="1">
        <f t="array" ref="I4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1" s="2" cm="1">
        <f t="array" ref="J4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1" s="2">
        <f>Games[[#This Row],[DaysOff]]-Games[[#This Row],[OppDaysOff]]</f>
        <v>0</v>
      </c>
      <c r="L471" s="2">
        <f>Games[[#This Row],[OppDaysOff]]-Games[[#This Row],[DaysOff]]</f>
        <v>0</v>
      </c>
      <c r="M471" s="16">
        <f>MAX(-16, MIN(16, Games[[#This Row],[RestDiff]]*8))</f>
        <v>0</v>
      </c>
      <c r="N471" s="16">
        <f>MAX(-16, MIN(16, Games[[#This Row],[OppRestDiff]]*8))</f>
        <v>0</v>
      </c>
      <c r="O471" s="4" cm="1">
        <f t="array" ref="O4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1609.7984617112434</v>
      </c>
      <c r="P471" s="4" cm="1">
        <f t="array" ref="P4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1355.6257925389755</v>
      </c>
      <c r="Q471" s="4">
        <f>1/(1+10^(((Games[[#This Row],[OppPreGmRate]]+IF(Games[[#This Row],[HomeAway]]="A",HCA,0)+Games[[#This Row],[OppRestAdj]])-(Games[[#This Row],[PreGmRate]]+IF(Games[[#This Row],[HomeAway]]="H",HCA,0)+Games[[#This Row],[RestAdj]]))/400))</f>
        <v>0.87508399966051664</v>
      </c>
      <c r="R471" s="1">
        <v>87</v>
      </c>
      <c r="S471" s="1">
        <v>54</v>
      </c>
      <c r="T471" s="1">
        <v>0</v>
      </c>
      <c r="U471" s="16">
        <f>Games[[#This Row],[PointsFor]]-Games[[#This Row],[PointsAgainst]]</f>
        <v>33</v>
      </c>
      <c r="V471" s="16">
        <f>IF(Games[[#This Row],[MOV]]&gt;0,1,IF(Games[[#This Row],[MOV]]=0,0.5,0))</f>
        <v>1</v>
      </c>
      <c r="W471" s="4">
        <f>((ABS(Games[[#This Row],[MOV]])+5)^0.6)/(12+0.01*(ABS(Games[[#This Row],[PreGmRate]]-Games[[#This Row],[OppPreGmRate]])))*IF(Games[[#This Row],[OT]]=1,0.9,1)</f>
        <v>0.60989374603942625</v>
      </c>
      <c r="X471" s="7" cm="1">
        <f t="array" ref="X4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1" s="9">
        <f>MAX(kmin, kmax - 0.15 * MIN(Games[[#This Row],[GamesPlayed]], 82))</f>
        <v>70</v>
      </c>
      <c r="Z471" s="4">
        <f>Games[[#This Row],[K]]*Games[[#This Row],[POMult]]</f>
        <v>70</v>
      </c>
      <c r="AA471" s="4">
        <f>(Games[[#This Row],[Keff]]*Games[[#This Row],[MOVMult]])*(Games[[#This Row],[Result]]-Games[[#This Row],[ExpectedWin%]])</f>
        <v>5.3329841171116827</v>
      </c>
      <c r="AB471" s="4">
        <f>Games[[#This Row],[PreGmRate]]+Games[[#This Row],[RatingChange]]</f>
        <v>1615.131445828355</v>
      </c>
      <c r="AC471" s="2">
        <f>IF(Games[[#This Row],[Type]]="R",IF(Games[[#This Row],[Result]]&gt;0.5,1,0),0)</f>
        <v>1</v>
      </c>
      <c r="AD471" s="2">
        <f>IF(Games[[#This Row],[Type]]="R",IF(Games[[#This Row],[Result]]&lt;0.5,1,0),0)</f>
        <v>0</v>
      </c>
      <c r="AE471" s="2">
        <f>IF(AND(Games[[#This Row],[Type]]="P",Games[[#This Row],[Round]]=1),IF(Games[[#This Row],[Result]]&gt;0.5,1,0),0)</f>
        <v>0</v>
      </c>
      <c r="AF471" s="2">
        <f>IF(AND(Games[[#This Row],[Type]]="P",Games[[#This Row],[Round]]=1),IF(Games[[#This Row],[Result]]&lt;0.5,1,0),0)</f>
        <v>0</v>
      </c>
      <c r="AG471" s="2">
        <f>IF(AND(Games[[#This Row],[Type]]="P",Games[[#This Row],[Round]]=2),IF(Games[[#This Row],[Result]]&gt;0.5,1,0),0)</f>
        <v>0</v>
      </c>
      <c r="AH471" s="2">
        <f>IF(AND(Games[[#This Row],[Type]]="P",Games[[#This Row],[Round]]=2),IF(Games[[#This Row],[Result]]&lt;0.5,1,0),0)</f>
        <v>0</v>
      </c>
      <c r="AI471" s="2">
        <f>IF(AND(Games[[#This Row],[Type]]="P",Games[[#This Row],[Round]]=3),IF(Games[[#This Row],[Result]]&gt;0.5,1,0),0)</f>
        <v>0</v>
      </c>
      <c r="AJ471" s="2">
        <f>IF(AND(Games[[#This Row],[Type]]="P",Games[[#This Row],[Round]]=3),IF(Games[[#This Row],[Result]]&lt;0.5,1,0),0)</f>
        <v>0</v>
      </c>
      <c r="AK471" s="2">
        <f>IF(AND(Games[[#This Row],[Type]]="P",Games[[#This Row],[Round]]=4),IF(Games[[#This Row],[Result]]&gt;0.5,1,0),0)</f>
        <v>0</v>
      </c>
      <c r="AL471" s="2">
        <f>IF(AND(Games[[#This Row],[Type]]="P",Games[[#This Row],[Round]]=4),IF(Games[[#This Row],[Result]]&lt;0.5,1,0),0)</f>
        <v>0</v>
      </c>
    </row>
    <row r="472" spans="1:38" x14ac:dyDescent="0.35">
      <c r="A472" s="10">
        <v>45554</v>
      </c>
      <c r="B472" s="2">
        <v>2024</v>
      </c>
      <c r="C472" s="2">
        <f>COUNTIFS(Games[Team],Games[[#This Row],[Team]],Games[Season],Games[[#This Row],[Season]],Games[Date],"&lt;=" &amp; Games[[#This Row],[Date]])</f>
        <v>40</v>
      </c>
      <c r="D472" s="2" t="s">
        <v>79</v>
      </c>
      <c r="E472" s="2" t="s">
        <v>80</v>
      </c>
      <c r="F472" s="1" t="s">
        <v>85</v>
      </c>
      <c r="G472" s="1" t="s">
        <v>86</v>
      </c>
      <c r="H472" s="1" t="s">
        <v>81</v>
      </c>
      <c r="I472" s="2" cm="1">
        <f t="array" ref="I472">IFERROR(
    Games[[#This Row],[Date]]
    - LOOKUP(
        2,
        1/((Games[Team]=Games[[#This Row],[Team]]) * (Games[Date] &lt; Games[[#This Row],[Date]])),
        Games[Date]
    )
    - 1,
Games[[#This Row],[Date]]-$A$2)</f>
        <v>3</v>
      </c>
      <c r="J472" s="2" cm="1">
        <f t="array" ref="J4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2" s="2">
        <f>Games[[#This Row],[DaysOff]]-Games[[#This Row],[OppDaysOff]]</f>
        <v>2</v>
      </c>
      <c r="L472" s="2">
        <f>Games[[#This Row],[OppDaysOff]]-Games[[#This Row],[DaysOff]]</f>
        <v>-2</v>
      </c>
      <c r="M472" s="16">
        <f>MAX(-16, MIN(16, Games[[#This Row],[RestDiff]]*8))</f>
        <v>16</v>
      </c>
      <c r="N472" s="16">
        <f>MAX(-16, MIN(16, Games[[#This Row],[OppRestDiff]]*8))</f>
        <v>-16</v>
      </c>
      <c r="O472" s="4" cm="1">
        <f t="array" ref="O4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1336.8004411921006</v>
      </c>
      <c r="P472" s="4" cm="1">
        <f t="array" ref="P4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1672.2743806656515</v>
      </c>
      <c r="Q472" s="4">
        <f>1/(1+10^(((Games[[#This Row],[OppPreGmRate]]+IF(Games[[#This Row],[HomeAway]]="A",HCA,0)+Games[[#This Row],[OppRestAdj]])-(Games[[#This Row],[PreGmRate]]+IF(Games[[#This Row],[HomeAway]]="H",HCA,0)+Games[[#This Row],[RestAdj]]))/400))</f>
        <v>9.7046633160811385E-2</v>
      </c>
      <c r="R472" s="1">
        <v>84</v>
      </c>
      <c r="S472" s="1">
        <v>98</v>
      </c>
      <c r="T472" s="1">
        <v>0</v>
      </c>
      <c r="U472" s="16">
        <f>Games[[#This Row],[PointsFor]]-Games[[#This Row],[PointsAgainst]]</f>
        <v>-14</v>
      </c>
      <c r="V472" s="16">
        <f>IF(Games[[#This Row],[MOV]]&gt;0,1,IF(Games[[#This Row],[MOV]]=0,0.5,0))</f>
        <v>0</v>
      </c>
      <c r="W472" s="4">
        <f>((ABS(Games[[#This Row],[MOV]])+5)^0.6)/(12+0.01*(ABS(Games[[#This Row],[PreGmRate]]-Games[[#This Row],[OppPreGmRate]])))*IF(Games[[#This Row],[OT]]=1,0.9,1)</f>
        <v>0.38107434401754664</v>
      </c>
      <c r="X472" s="7" cm="1">
        <f t="array" ref="X4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2" s="9">
        <f>MAX(kmin, kmax - 0.15 * MIN(Games[[#This Row],[GamesPlayed]], 82))</f>
        <v>70</v>
      </c>
      <c r="Z472" s="4">
        <f>Games[[#This Row],[K]]*Games[[#This Row],[POMult]]</f>
        <v>70</v>
      </c>
      <c r="AA472" s="4">
        <f>(Games[[#This Row],[Keff]]*Games[[#This Row],[MOVMult]])*(Games[[#This Row],[Result]]-Games[[#This Row],[ExpectedWin%]])</f>
        <v>-2.5887387449607382</v>
      </c>
      <c r="AB472" s="4">
        <f>Games[[#This Row],[PreGmRate]]+Games[[#This Row],[RatingChange]]</f>
        <v>1334.2117024471399</v>
      </c>
      <c r="AC472" s="2">
        <f>IF(Games[[#This Row],[Type]]="R",IF(Games[[#This Row],[Result]]&gt;0.5,1,0),0)</f>
        <v>0</v>
      </c>
      <c r="AD472" s="2">
        <f>IF(Games[[#This Row],[Type]]="R",IF(Games[[#This Row],[Result]]&lt;0.5,1,0),0)</f>
        <v>1</v>
      </c>
      <c r="AE472" s="2">
        <f>IF(AND(Games[[#This Row],[Type]]="P",Games[[#This Row],[Round]]=1),IF(Games[[#This Row],[Result]]&gt;0.5,1,0),0)</f>
        <v>0</v>
      </c>
      <c r="AF472" s="2">
        <f>IF(AND(Games[[#This Row],[Type]]="P",Games[[#This Row],[Round]]=1),IF(Games[[#This Row],[Result]]&lt;0.5,1,0),0)</f>
        <v>0</v>
      </c>
      <c r="AG472" s="2">
        <f>IF(AND(Games[[#This Row],[Type]]="P",Games[[#This Row],[Round]]=2),IF(Games[[#This Row],[Result]]&gt;0.5,1,0),0)</f>
        <v>0</v>
      </c>
      <c r="AH472" s="2">
        <f>IF(AND(Games[[#This Row],[Type]]="P",Games[[#This Row],[Round]]=2),IF(Games[[#This Row],[Result]]&lt;0.5,1,0),0)</f>
        <v>0</v>
      </c>
      <c r="AI472" s="2">
        <f>IF(AND(Games[[#This Row],[Type]]="P",Games[[#This Row],[Round]]=3),IF(Games[[#This Row],[Result]]&gt;0.5,1,0),0)</f>
        <v>0</v>
      </c>
      <c r="AJ472" s="2">
        <f>IF(AND(Games[[#This Row],[Type]]="P",Games[[#This Row],[Round]]=3),IF(Games[[#This Row],[Result]]&lt;0.5,1,0),0)</f>
        <v>0</v>
      </c>
      <c r="AK472" s="2">
        <f>IF(AND(Games[[#This Row],[Type]]="P",Games[[#This Row],[Round]]=4),IF(Games[[#This Row],[Result]]&gt;0.5,1,0),0)</f>
        <v>0</v>
      </c>
      <c r="AL472" s="2">
        <f>IF(AND(Games[[#This Row],[Type]]="P",Games[[#This Row],[Round]]=4),IF(Games[[#This Row],[Result]]&lt;0.5,1,0),0)</f>
        <v>0</v>
      </c>
    </row>
    <row r="473" spans="1:38" x14ac:dyDescent="0.35">
      <c r="A473" s="10">
        <v>45554</v>
      </c>
      <c r="B473" s="2">
        <v>2024</v>
      </c>
      <c r="C473" s="2">
        <f>COUNTIFS(Games[Team],Games[[#This Row],[Team]],Games[Season],Games[[#This Row],[Season]],Games[Date],"&lt;=" &amp; Games[[#This Row],[Date]])</f>
        <v>40</v>
      </c>
      <c r="D473" s="2" t="s">
        <v>79</v>
      </c>
      <c r="E473" s="2" t="s">
        <v>80</v>
      </c>
      <c r="F473" s="1" t="s">
        <v>86</v>
      </c>
      <c r="G473" s="1" t="s">
        <v>85</v>
      </c>
      <c r="H473" s="1" t="s">
        <v>82</v>
      </c>
      <c r="I473" s="2" cm="1">
        <f t="array" ref="I4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3" s="2" cm="1">
        <f t="array" ref="J47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73" s="2">
        <f>Games[[#This Row],[DaysOff]]-Games[[#This Row],[OppDaysOff]]</f>
        <v>-2</v>
      </c>
      <c r="L473" s="2">
        <f>Games[[#This Row],[OppDaysOff]]-Games[[#This Row],[DaysOff]]</f>
        <v>2</v>
      </c>
      <c r="M473" s="16">
        <f>MAX(-16, MIN(16, Games[[#This Row],[RestDiff]]*8))</f>
        <v>-16</v>
      </c>
      <c r="N473" s="16">
        <f>MAX(-16, MIN(16, Games[[#This Row],[OppRestDiff]]*8))</f>
        <v>16</v>
      </c>
      <c r="O473" s="4" cm="1">
        <f t="array" ref="O4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1672.2743806656515</v>
      </c>
      <c r="P473" s="4" cm="1">
        <f t="array" ref="P4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1336.8004411921006</v>
      </c>
      <c r="Q473" s="4">
        <f>1/(1+10^(((Games[[#This Row],[OppPreGmRate]]+IF(Games[[#This Row],[HomeAway]]="A",HCA,0)+Games[[#This Row],[OppRestAdj]])-(Games[[#This Row],[PreGmRate]]+IF(Games[[#This Row],[HomeAway]]="H",HCA,0)+Games[[#This Row],[RestAdj]]))/400))</f>
        <v>0.90295336683918859</v>
      </c>
      <c r="R473" s="1">
        <v>98</v>
      </c>
      <c r="S473" s="1">
        <v>84</v>
      </c>
      <c r="T473" s="1">
        <v>0</v>
      </c>
      <c r="U473" s="16">
        <f>Games[[#This Row],[PointsFor]]-Games[[#This Row],[PointsAgainst]]</f>
        <v>14</v>
      </c>
      <c r="V473" s="16">
        <f>IF(Games[[#This Row],[MOV]]&gt;0,1,IF(Games[[#This Row],[MOV]]=0,0.5,0))</f>
        <v>1</v>
      </c>
      <c r="W473" s="4">
        <f>((ABS(Games[[#This Row],[MOV]])+5)^0.6)/(12+0.01*(ABS(Games[[#This Row],[PreGmRate]]-Games[[#This Row],[OppPreGmRate]])))*IF(Games[[#This Row],[OT]]=1,0.9,1)</f>
        <v>0.38107434401754664</v>
      </c>
      <c r="X473" s="7" cm="1">
        <f t="array" ref="X4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3" s="9">
        <f>MAX(kmin, kmax - 0.15 * MIN(Games[[#This Row],[GamesPlayed]], 82))</f>
        <v>70</v>
      </c>
      <c r="Z473" s="4">
        <f>Games[[#This Row],[K]]*Games[[#This Row],[POMult]]</f>
        <v>70</v>
      </c>
      <c r="AA473" s="4">
        <f>(Games[[#This Row],[Keff]]*Games[[#This Row],[MOVMult]])*(Games[[#This Row],[Result]]-Games[[#This Row],[ExpectedWin%]])</f>
        <v>2.5887387449607391</v>
      </c>
      <c r="AB473" s="4">
        <f>Games[[#This Row],[PreGmRate]]+Games[[#This Row],[RatingChange]]</f>
        <v>1674.8631194106122</v>
      </c>
      <c r="AC473" s="2">
        <f>IF(Games[[#This Row],[Type]]="R",IF(Games[[#This Row],[Result]]&gt;0.5,1,0),0)</f>
        <v>1</v>
      </c>
      <c r="AD473" s="2">
        <f>IF(Games[[#This Row],[Type]]="R",IF(Games[[#This Row],[Result]]&lt;0.5,1,0),0)</f>
        <v>0</v>
      </c>
      <c r="AE473" s="2">
        <f>IF(AND(Games[[#This Row],[Type]]="P",Games[[#This Row],[Round]]=1),IF(Games[[#This Row],[Result]]&gt;0.5,1,0),0)</f>
        <v>0</v>
      </c>
      <c r="AF473" s="2">
        <f>IF(AND(Games[[#This Row],[Type]]="P",Games[[#This Row],[Round]]=1),IF(Games[[#This Row],[Result]]&lt;0.5,1,0),0)</f>
        <v>0</v>
      </c>
      <c r="AG473" s="2">
        <f>IF(AND(Games[[#This Row],[Type]]="P",Games[[#This Row],[Round]]=2),IF(Games[[#This Row],[Result]]&gt;0.5,1,0),0)</f>
        <v>0</v>
      </c>
      <c r="AH473" s="2">
        <f>IF(AND(Games[[#This Row],[Type]]="P",Games[[#This Row],[Round]]=2),IF(Games[[#This Row],[Result]]&lt;0.5,1,0),0)</f>
        <v>0</v>
      </c>
      <c r="AI473" s="2">
        <f>IF(AND(Games[[#This Row],[Type]]="P",Games[[#This Row],[Round]]=3),IF(Games[[#This Row],[Result]]&gt;0.5,1,0),0)</f>
        <v>0</v>
      </c>
      <c r="AJ473" s="2">
        <f>IF(AND(Games[[#This Row],[Type]]="P",Games[[#This Row],[Round]]=3),IF(Games[[#This Row],[Result]]&lt;0.5,1,0),0)</f>
        <v>0</v>
      </c>
      <c r="AK473" s="2">
        <f>IF(AND(Games[[#This Row],[Type]]="P",Games[[#This Row],[Round]]=4),IF(Games[[#This Row],[Result]]&gt;0.5,1,0),0)</f>
        <v>0</v>
      </c>
      <c r="AL473" s="2">
        <f>IF(AND(Games[[#This Row],[Type]]="P",Games[[#This Row],[Round]]=4),IF(Games[[#This Row],[Result]]&lt;0.5,1,0),0)</f>
        <v>0</v>
      </c>
    </row>
    <row r="474" spans="1:38" x14ac:dyDescent="0.35">
      <c r="A474" s="10">
        <v>45554</v>
      </c>
      <c r="B474" s="2">
        <v>2024</v>
      </c>
      <c r="C474" s="2">
        <f>COUNTIFS(Games[Team],Games[[#This Row],[Team]],Games[Season],Games[[#This Row],[Season]],Games[Date],"&lt;=" &amp; Games[[#This Row],[Date]])</f>
        <v>40</v>
      </c>
      <c r="D474" s="2" t="s">
        <v>79</v>
      </c>
      <c r="E474" s="2" t="s">
        <v>80</v>
      </c>
      <c r="F474" s="1" t="s">
        <v>63</v>
      </c>
      <c r="G474" s="1" t="s">
        <v>67</v>
      </c>
      <c r="H474" s="1" t="s">
        <v>81</v>
      </c>
      <c r="I474" s="2" cm="1">
        <f t="array" ref="I4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4" s="2" cm="1">
        <f t="array" ref="J4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4" s="2">
        <f>Games[[#This Row],[DaysOff]]-Games[[#This Row],[OppDaysOff]]</f>
        <v>0</v>
      </c>
      <c r="L474" s="2">
        <f>Games[[#This Row],[OppDaysOff]]-Games[[#This Row],[DaysOff]]</f>
        <v>0</v>
      </c>
      <c r="M474" s="16">
        <f>MAX(-16, MIN(16, Games[[#This Row],[RestDiff]]*8))</f>
        <v>0</v>
      </c>
      <c r="N474" s="16">
        <f>MAX(-16, MIN(16, Games[[#This Row],[OppRestDiff]]*8))</f>
        <v>0</v>
      </c>
      <c r="O474" s="4" cm="1">
        <f t="array" ref="O4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1280.644243096021</v>
      </c>
      <c r="P474" s="4" cm="1">
        <f t="array" ref="P4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1675.4173362621002</v>
      </c>
      <c r="Q474" s="4">
        <f>1/(1+10^(((Games[[#This Row],[OppPreGmRate]]+IF(Games[[#This Row],[HomeAway]]="A",HCA,0)+Games[[#This Row],[OppRestAdj]])-(Games[[#This Row],[PreGmRate]]+IF(Games[[#This Row],[HomeAway]]="H",HCA,0)+Games[[#This Row],[RestAdj]]))/400))</f>
        <v>5.9746468537630035E-2</v>
      </c>
      <c r="R474" s="1">
        <v>68</v>
      </c>
      <c r="S474" s="1">
        <v>51</v>
      </c>
      <c r="T474" s="1">
        <v>0</v>
      </c>
      <c r="U474" s="16">
        <f>Games[[#This Row],[PointsFor]]-Games[[#This Row],[PointsAgainst]]</f>
        <v>17</v>
      </c>
      <c r="V474" s="16">
        <f>IF(Games[[#This Row],[MOV]]&gt;0,1,IF(Games[[#This Row],[MOV]]=0,0.5,0))</f>
        <v>1</v>
      </c>
      <c r="W474" s="4">
        <f>((ABS(Games[[#This Row],[MOV]])+5)^0.6)/(12+0.01*(ABS(Games[[#This Row],[PreGmRate]]-Games[[#This Row],[OppPreGmRate]])))*IF(Games[[#This Row],[OT]]=1,0.9,1)</f>
        <v>0.40064037049304463</v>
      </c>
      <c r="X474" s="7" cm="1">
        <f t="array" ref="X4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4" s="9">
        <f>MAX(kmin, kmax - 0.15 * MIN(Games[[#This Row],[GamesPlayed]], 82))</f>
        <v>70</v>
      </c>
      <c r="Z474" s="4">
        <f>Games[[#This Row],[K]]*Games[[#This Row],[POMult]]</f>
        <v>70</v>
      </c>
      <c r="AA474" s="4">
        <f>(Games[[#This Row],[Keff]]*Games[[#This Row],[MOVMult]])*(Games[[#This Row],[Result]]-Games[[#This Row],[ExpectedWin%]])</f>
        <v>26.369246624173424</v>
      </c>
      <c r="AB474" s="4">
        <f>Games[[#This Row],[PreGmRate]]+Games[[#This Row],[RatingChange]]</f>
        <v>1307.0134897201945</v>
      </c>
      <c r="AC474" s="2">
        <f>IF(Games[[#This Row],[Type]]="R",IF(Games[[#This Row],[Result]]&gt;0.5,1,0),0)</f>
        <v>1</v>
      </c>
      <c r="AD474" s="2">
        <f>IF(Games[[#This Row],[Type]]="R",IF(Games[[#This Row],[Result]]&lt;0.5,1,0),0)</f>
        <v>0</v>
      </c>
      <c r="AE474" s="2">
        <f>IF(AND(Games[[#This Row],[Type]]="P",Games[[#This Row],[Round]]=1),IF(Games[[#This Row],[Result]]&gt;0.5,1,0),0)</f>
        <v>0</v>
      </c>
      <c r="AF474" s="2">
        <f>IF(AND(Games[[#This Row],[Type]]="P",Games[[#This Row],[Round]]=1),IF(Games[[#This Row],[Result]]&lt;0.5,1,0),0)</f>
        <v>0</v>
      </c>
      <c r="AG474" s="2">
        <f>IF(AND(Games[[#This Row],[Type]]="P",Games[[#This Row],[Round]]=2),IF(Games[[#This Row],[Result]]&gt;0.5,1,0),0)</f>
        <v>0</v>
      </c>
      <c r="AH474" s="2">
        <f>IF(AND(Games[[#This Row],[Type]]="P",Games[[#This Row],[Round]]=2),IF(Games[[#This Row],[Result]]&lt;0.5,1,0),0)</f>
        <v>0</v>
      </c>
      <c r="AI474" s="2">
        <f>IF(AND(Games[[#This Row],[Type]]="P",Games[[#This Row],[Round]]=3),IF(Games[[#This Row],[Result]]&gt;0.5,1,0),0)</f>
        <v>0</v>
      </c>
      <c r="AJ474" s="2">
        <f>IF(AND(Games[[#This Row],[Type]]="P",Games[[#This Row],[Round]]=3),IF(Games[[#This Row],[Result]]&lt;0.5,1,0),0)</f>
        <v>0</v>
      </c>
      <c r="AK474" s="2">
        <f>IF(AND(Games[[#This Row],[Type]]="P",Games[[#This Row],[Round]]=4),IF(Games[[#This Row],[Result]]&gt;0.5,1,0),0)</f>
        <v>0</v>
      </c>
      <c r="AL474" s="2">
        <f>IF(AND(Games[[#This Row],[Type]]="P",Games[[#This Row],[Round]]=4),IF(Games[[#This Row],[Result]]&lt;0.5,1,0),0)</f>
        <v>0</v>
      </c>
    </row>
    <row r="475" spans="1:38" x14ac:dyDescent="0.35">
      <c r="A475" s="10">
        <v>45554</v>
      </c>
      <c r="B475" s="2">
        <v>2024</v>
      </c>
      <c r="C475" s="2">
        <f>COUNTIFS(Games[Team],Games[[#This Row],[Team]],Games[Season],Games[[#This Row],[Season]],Games[Date],"&lt;=" &amp; Games[[#This Row],[Date]])</f>
        <v>40</v>
      </c>
      <c r="D475" s="2" t="s">
        <v>79</v>
      </c>
      <c r="E475" s="2" t="s">
        <v>80</v>
      </c>
      <c r="F475" s="1" t="s">
        <v>67</v>
      </c>
      <c r="G475" s="1" t="s">
        <v>63</v>
      </c>
      <c r="H475" s="1" t="s">
        <v>82</v>
      </c>
      <c r="I475" s="2" cm="1">
        <f t="array" ref="I4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5" s="2" cm="1">
        <f t="array" ref="J4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5" s="2">
        <f>Games[[#This Row],[DaysOff]]-Games[[#This Row],[OppDaysOff]]</f>
        <v>0</v>
      </c>
      <c r="L475" s="2">
        <f>Games[[#This Row],[OppDaysOff]]-Games[[#This Row],[DaysOff]]</f>
        <v>0</v>
      </c>
      <c r="M475" s="16">
        <f>MAX(-16, MIN(16, Games[[#This Row],[RestDiff]]*8))</f>
        <v>0</v>
      </c>
      <c r="N475" s="16">
        <f>MAX(-16, MIN(16, Games[[#This Row],[OppRestDiff]]*8))</f>
        <v>0</v>
      </c>
      <c r="O475" s="4" cm="1">
        <f t="array" ref="O4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1675.4173362621002</v>
      </c>
      <c r="P475" s="4" cm="1">
        <f t="array" ref="P4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1280.644243096021</v>
      </c>
      <c r="Q475" s="4">
        <f>1/(1+10^(((Games[[#This Row],[OppPreGmRate]]+IF(Games[[#This Row],[HomeAway]]="A",HCA,0)+Games[[#This Row],[OppRestAdj]])-(Games[[#This Row],[PreGmRate]]+IF(Games[[#This Row],[HomeAway]]="H",HCA,0)+Games[[#This Row],[RestAdj]]))/400))</f>
        <v>0.9402535314623699</v>
      </c>
      <c r="R475" s="1">
        <v>51</v>
      </c>
      <c r="S475" s="1">
        <v>68</v>
      </c>
      <c r="T475" s="1">
        <v>0</v>
      </c>
      <c r="U475" s="16">
        <f>Games[[#This Row],[PointsFor]]-Games[[#This Row],[PointsAgainst]]</f>
        <v>-17</v>
      </c>
      <c r="V475" s="16">
        <f>IF(Games[[#This Row],[MOV]]&gt;0,1,IF(Games[[#This Row],[MOV]]=0,0.5,0))</f>
        <v>0</v>
      </c>
      <c r="W475" s="4">
        <f>((ABS(Games[[#This Row],[MOV]])+5)^0.6)/(12+0.01*(ABS(Games[[#This Row],[PreGmRate]]-Games[[#This Row],[OppPreGmRate]])))*IF(Games[[#This Row],[OT]]=1,0.9,1)</f>
        <v>0.40064037049304463</v>
      </c>
      <c r="X475" s="7" cm="1">
        <f t="array" ref="X4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5" s="9">
        <f>MAX(kmin, kmax - 0.15 * MIN(Games[[#This Row],[GamesPlayed]], 82))</f>
        <v>70</v>
      </c>
      <c r="Z475" s="4">
        <f>Games[[#This Row],[K]]*Games[[#This Row],[POMult]]</f>
        <v>70</v>
      </c>
      <c r="AA475" s="4">
        <f>(Games[[#This Row],[Keff]]*Games[[#This Row],[MOVMult]])*(Games[[#This Row],[Result]]-Games[[#This Row],[ExpectedWin%]])</f>
        <v>-26.369246624173424</v>
      </c>
      <c r="AB475" s="4">
        <f>Games[[#This Row],[PreGmRate]]+Games[[#This Row],[RatingChange]]</f>
        <v>1649.0480896379268</v>
      </c>
      <c r="AC475" s="2">
        <f>IF(Games[[#This Row],[Type]]="R",IF(Games[[#This Row],[Result]]&gt;0.5,1,0),0)</f>
        <v>0</v>
      </c>
      <c r="AD475" s="2">
        <f>IF(Games[[#This Row],[Type]]="R",IF(Games[[#This Row],[Result]]&lt;0.5,1,0),0)</f>
        <v>1</v>
      </c>
      <c r="AE475" s="2">
        <f>IF(AND(Games[[#This Row],[Type]]="P",Games[[#This Row],[Round]]=1),IF(Games[[#This Row],[Result]]&gt;0.5,1,0),0)</f>
        <v>0</v>
      </c>
      <c r="AF475" s="2">
        <f>IF(AND(Games[[#This Row],[Type]]="P",Games[[#This Row],[Round]]=1),IF(Games[[#This Row],[Result]]&lt;0.5,1,0),0)</f>
        <v>0</v>
      </c>
      <c r="AG475" s="2">
        <f>IF(AND(Games[[#This Row],[Type]]="P",Games[[#This Row],[Round]]=2),IF(Games[[#This Row],[Result]]&gt;0.5,1,0),0)</f>
        <v>0</v>
      </c>
      <c r="AH475" s="2">
        <f>IF(AND(Games[[#This Row],[Type]]="P",Games[[#This Row],[Round]]=2),IF(Games[[#This Row],[Result]]&lt;0.5,1,0),0)</f>
        <v>0</v>
      </c>
      <c r="AI475" s="2">
        <f>IF(AND(Games[[#This Row],[Type]]="P",Games[[#This Row],[Round]]=3),IF(Games[[#This Row],[Result]]&gt;0.5,1,0),0)</f>
        <v>0</v>
      </c>
      <c r="AJ475" s="2">
        <f>IF(AND(Games[[#This Row],[Type]]="P",Games[[#This Row],[Round]]=3),IF(Games[[#This Row],[Result]]&lt;0.5,1,0),0)</f>
        <v>0</v>
      </c>
      <c r="AK475" s="2">
        <f>IF(AND(Games[[#This Row],[Type]]="P",Games[[#This Row],[Round]]=4),IF(Games[[#This Row],[Result]]&gt;0.5,1,0),0)</f>
        <v>0</v>
      </c>
      <c r="AL475" s="2">
        <f>IF(AND(Games[[#This Row],[Type]]="P",Games[[#This Row],[Round]]=4),IF(Games[[#This Row],[Result]]&lt;0.5,1,0),0)</f>
        <v>0</v>
      </c>
    </row>
    <row r="476" spans="1:38" x14ac:dyDescent="0.35">
      <c r="A476" s="10">
        <v>45554</v>
      </c>
      <c r="B476" s="2">
        <v>2024</v>
      </c>
      <c r="C476" s="2">
        <f>COUNTIFS(Games[Team],Games[[#This Row],[Team]],Games[Season],Games[[#This Row],[Season]],Games[Date],"&lt;=" &amp; Games[[#This Row],[Date]])</f>
        <v>40</v>
      </c>
      <c r="D476" s="2" t="s">
        <v>79</v>
      </c>
      <c r="E476" s="2" t="s">
        <v>80</v>
      </c>
      <c r="F476" s="1" t="s">
        <v>77</v>
      </c>
      <c r="G476" s="1" t="s">
        <v>60</v>
      </c>
      <c r="H476" s="1" t="s">
        <v>81</v>
      </c>
      <c r="I476" s="2" cm="1">
        <f t="array" ref="I4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6" s="2" cm="1">
        <f t="array" ref="J4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6" s="2">
        <f>Games[[#This Row],[DaysOff]]-Games[[#This Row],[OppDaysOff]]</f>
        <v>0</v>
      </c>
      <c r="L476" s="2">
        <f>Games[[#This Row],[OppDaysOff]]-Games[[#This Row],[DaysOff]]</f>
        <v>0</v>
      </c>
      <c r="M476" s="16">
        <f>MAX(-16, MIN(16, Games[[#This Row],[RestDiff]]*8))</f>
        <v>0</v>
      </c>
      <c r="N476" s="16">
        <f>MAX(-16, MIN(16, Games[[#This Row],[OppRestDiff]]*8))</f>
        <v>0</v>
      </c>
      <c r="O476" s="4" cm="1">
        <f t="array" ref="O4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1409.235379464878</v>
      </c>
      <c r="P476" s="4" cm="1">
        <f t="array" ref="P4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1727.3815204950722</v>
      </c>
      <c r="Q476" s="4">
        <f>1/(1+10^(((Games[[#This Row],[OppPreGmRate]]+IF(Games[[#This Row],[HomeAway]]="A",HCA,0)+Games[[#This Row],[OppRestAdj]])-(Games[[#This Row],[PreGmRate]]+IF(Games[[#This Row],[HomeAway]]="H",HCA,0)+Games[[#This Row],[RestAdj]]))/400))</f>
        <v>8.9893231284383104E-2</v>
      </c>
      <c r="R476" s="1">
        <v>78</v>
      </c>
      <c r="S476" s="1">
        <v>67</v>
      </c>
      <c r="T476" s="1">
        <v>0</v>
      </c>
      <c r="U476" s="16">
        <f>Games[[#This Row],[PointsFor]]-Games[[#This Row],[PointsAgainst]]</f>
        <v>11</v>
      </c>
      <c r="V476" s="16">
        <f>IF(Games[[#This Row],[MOV]]&gt;0,1,IF(Games[[#This Row],[MOV]]=0,0.5,0))</f>
        <v>1</v>
      </c>
      <c r="W476" s="4">
        <f>((ABS(Games[[#This Row],[MOV]])+5)^0.6)/(12+0.01*(ABS(Games[[#This Row],[PreGmRate]]-Games[[#This Row],[OppPreGmRate]])))*IF(Games[[#This Row],[OT]]=1,0.9,1)</f>
        <v>0.34766294893783894</v>
      </c>
      <c r="X476" s="7" cm="1">
        <f t="array" ref="X4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6" s="9">
        <f>MAX(kmin, kmax - 0.15 * MIN(Games[[#This Row],[GamesPlayed]], 82))</f>
        <v>70</v>
      </c>
      <c r="Z476" s="4">
        <f>Games[[#This Row],[K]]*Games[[#This Row],[POMult]]</f>
        <v>70</v>
      </c>
      <c r="AA476" s="4">
        <f>(Games[[#This Row],[Keff]]*Games[[#This Row],[MOVMult]])*(Games[[#This Row],[Result]]-Games[[#This Row],[ExpectedWin%]])</f>
        <v>22.148728214197138</v>
      </c>
      <c r="AB476" s="4">
        <f>Games[[#This Row],[PreGmRate]]+Games[[#This Row],[RatingChange]]</f>
        <v>1431.384107679075</v>
      </c>
      <c r="AC476" s="2">
        <f>IF(Games[[#This Row],[Type]]="R",IF(Games[[#This Row],[Result]]&gt;0.5,1,0),0)</f>
        <v>1</v>
      </c>
      <c r="AD476" s="2">
        <f>IF(Games[[#This Row],[Type]]="R",IF(Games[[#This Row],[Result]]&lt;0.5,1,0),0)</f>
        <v>0</v>
      </c>
      <c r="AE476" s="2">
        <f>IF(AND(Games[[#This Row],[Type]]="P",Games[[#This Row],[Round]]=1),IF(Games[[#This Row],[Result]]&gt;0.5,1,0),0)</f>
        <v>0</v>
      </c>
      <c r="AF476" s="2">
        <f>IF(AND(Games[[#This Row],[Type]]="P",Games[[#This Row],[Round]]=1),IF(Games[[#This Row],[Result]]&lt;0.5,1,0),0)</f>
        <v>0</v>
      </c>
      <c r="AG476" s="2">
        <f>IF(AND(Games[[#This Row],[Type]]="P",Games[[#This Row],[Round]]=2),IF(Games[[#This Row],[Result]]&gt;0.5,1,0),0)</f>
        <v>0</v>
      </c>
      <c r="AH476" s="2">
        <f>IF(AND(Games[[#This Row],[Type]]="P",Games[[#This Row],[Round]]=2),IF(Games[[#This Row],[Result]]&lt;0.5,1,0),0)</f>
        <v>0</v>
      </c>
      <c r="AI476" s="2">
        <f>IF(AND(Games[[#This Row],[Type]]="P",Games[[#This Row],[Round]]=3),IF(Games[[#This Row],[Result]]&gt;0.5,1,0),0)</f>
        <v>0</v>
      </c>
      <c r="AJ476" s="2">
        <f>IF(AND(Games[[#This Row],[Type]]="P",Games[[#This Row],[Round]]=3),IF(Games[[#This Row],[Result]]&lt;0.5,1,0),0)</f>
        <v>0</v>
      </c>
      <c r="AK476" s="2">
        <f>IF(AND(Games[[#This Row],[Type]]="P",Games[[#This Row],[Round]]=4),IF(Games[[#This Row],[Result]]&gt;0.5,1,0),0)</f>
        <v>0</v>
      </c>
      <c r="AL476" s="2">
        <f>IF(AND(Games[[#This Row],[Type]]="P",Games[[#This Row],[Round]]=4),IF(Games[[#This Row],[Result]]&lt;0.5,1,0),0)</f>
        <v>0</v>
      </c>
    </row>
    <row r="477" spans="1:38" x14ac:dyDescent="0.35">
      <c r="A477" s="10">
        <v>45554</v>
      </c>
      <c r="B477" s="2">
        <v>2024</v>
      </c>
      <c r="C477" s="2">
        <f>COUNTIFS(Games[Team],Games[[#This Row],[Team]],Games[Season],Games[[#This Row],[Season]],Games[Date],"&lt;=" &amp; Games[[#This Row],[Date]])</f>
        <v>40</v>
      </c>
      <c r="D477" s="2" t="s">
        <v>79</v>
      </c>
      <c r="E477" s="2" t="s">
        <v>80</v>
      </c>
      <c r="F477" s="1" t="s">
        <v>60</v>
      </c>
      <c r="G477" s="1" t="s">
        <v>77</v>
      </c>
      <c r="H477" s="1" t="s">
        <v>82</v>
      </c>
      <c r="I477" s="2" cm="1">
        <f t="array" ref="I4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7" s="2" cm="1">
        <f t="array" ref="J4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7" s="2">
        <f>Games[[#This Row],[DaysOff]]-Games[[#This Row],[OppDaysOff]]</f>
        <v>0</v>
      </c>
      <c r="L477" s="2">
        <f>Games[[#This Row],[OppDaysOff]]-Games[[#This Row],[DaysOff]]</f>
        <v>0</v>
      </c>
      <c r="M477" s="16">
        <f>MAX(-16, MIN(16, Games[[#This Row],[RestDiff]]*8))</f>
        <v>0</v>
      </c>
      <c r="N477" s="16">
        <f>MAX(-16, MIN(16, Games[[#This Row],[OppRestDiff]]*8))</f>
        <v>0</v>
      </c>
      <c r="O477" s="4" cm="1">
        <f t="array" ref="O4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1727.3815204950722</v>
      </c>
      <c r="P477" s="4" cm="1">
        <f t="array" ref="P4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1409.235379464878</v>
      </c>
      <c r="Q477" s="4">
        <f>1/(1+10^(((Games[[#This Row],[OppPreGmRate]]+IF(Games[[#This Row],[HomeAway]]="A",HCA,0)+Games[[#This Row],[OppRestAdj]])-(Games[[#This Row],[PreGmRate]]+IF(Games[[#This Row],[HomeAway]]="H",HCA,0)+Games[[#This Row],[RestAdj]]))/400))</f>
        <v>0.9101067687156168</v>
      </c>
      <c r="R477" s="1">
        <v>67</v>
      </c>
      <c r="S477" s="1">
        <v>78</v>
      </c>
      <c r="T477" s="1">
        <v>0</v>
      </c>
      <c r="U477" s="16">
        <f>Games[[#This Row],[PointsFor]]-Games[[#This Row],[PointsAgainst]]</f>
        <v>-11</v>
      </c>
      <c r="V477" s="16">
        <f>IF(Games[[#This Row],[MOV]]&gt;0,1,IF(Games[[#This Row],[MOV]]=0,0.5,0))</f>
        <v>0</v>
      </c>
      <c r="W477" s="4">
        <f>((ABS(Games[[#This Row],[MOV]])+5)^0.6)/(12+0.01*(ABS(Games[[#This Row],[PreGmRate]]-Games[[#This Row],[OppPreGmRate]])))*IF(Games[[#This Row],[OT]]=1,0.9,1)</f>
        <v>0.34766294893783894</v>
      </c>
      <c r="X477" s="7" cm="1">
        <f t="array" ref="X4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7" s="9">
        <f>MAX(kmin, kmax - 0.15 * MIN(Games[[#This Row],[GamesPlayed]], 82))</f>
        <v>70</v>
      </c>
      <c r="Z477" s="4">
        <f>Games[[#This Row],[K]]*Games[[#This Row],[POMult]]</f>
        <v>70</v>
      </c>
      <c r="AA477" s="4">
        <f>(Games[[#This Row],[Keff]]*Games[[#This Row],[MOVMult]])*(Games[[#This Row],[Result]]-Games[[#This Row],[ExpectedWin%]])</f>
        <v>-22.148728214197135</v>
      </c>
      <c r="AB477" s="4">
        <f>Games[[#This Row],[PreGmRate]]+Games[[#This Row],[RatingChange]]</f>
        <v>1705.2327922808752</v>
      </c>
      <c r="AC477" s="2">
        <f>IF(Games[[#This Row],[Type]]="R",IF(Games[[#This Row],[Result]]&gt;0.5,1,0),0)</f>
        <v>0</v>
      </c>
      <c r="AD477" s="2">
        <f>IF(Games[[#This Row],[Type]]="R",IF(Games[[#This Row],[Result]]&lt;0.5,1,0),0)</f>
        <v>1</v>
      </c>
      <c r="AE477" s="2">
        <f>IF(AND(Games[[#This Row],[Type]]="P",Games[[#This Row],[Round]]=1),IF(Games[[#This Row],[Result]]&gt;0.5,1,0),0)</f>
        <v>0</v>
      </c>
      <c r="AF477" s="2">
        <f>IF(AND(Games[[#This Row],[Type]]="P",Games[[#This Row],[Round]]=1),IF(Games[[#This Row],[Result]]&lt;0.5,1,0),0)</f>
        <v>0</v>
      </c>
      <c r="AG477" s="2">
        <f>IF(AND(Games[[#This Row],[Type]]="P",Games[[#This Row],[Round]]=2),IF(Games[[#This Row],[Result]]&gt;0.5,1,0),0)</f>
        <v>0</v>
      </c>
      <c r="AH477" s="2">
        <f>IF(AND(Games[[#This Row],[Type]]="P",Games[[#This Row],[Round]]=2),IF(Games[[#This Row],[Result]]&lt;0.5,1,0),0)</f>
        <v>0</v>
      </c>
      <c r="AI477" s="2">
        <f>IF(AND(Games[[#This Row],[Type]]="P",Games[[#This Row],[Round]]=3),IF(Games[[#This Row],[Result]]&gt;0.5,1,0),0)</f>
        <v>0</v>
      </c>
      <c r="AJ477" s="2">
        <f>IF(AND(Games[[#This Row],[Type]]="P",Games[[#This Row],[Round]]=3),IF(Games[[#This Row],[Result]]&lt;0.5,1,0),0)</f>
        <v>0</v>
      </c>
      <c r="AK477" s="2">
        <f>IF(AND(Games[[#This Row],[Type]]="P",Games[[#This Row],[Round]]=4),IF(Games[[#This Row],[Result]]&gt;0.5,1,0),0)</f>
        <v>0</v>
      </c>
      <c r="AL477" s="2">
        <f>IF(AND(Games[[#This Row],[Type]]="P",Games[[#This Row],[Round]]=4),IF(Games[[#This Row],[Result]]&lt;0.5,1,0),0)</f>
        <v>0</v>
      </c>
    </row>
    <row r="478" spans="1:38" x14ac:dyDescent="0.35">
      <c r="A478" s="10">
        <v>45554</v>
      </c>
      <c r="B478" s="2">
        <v>2024</v>
      </c>
      <c r="C478" s="2">
        <f>COUNTIFS(Games[Team],Games[[#This Row],[Team]],Games[Season],Games[[#This Row],[Season]],Games[Date],"&lt;=" &amp; Games[[#This Row],[Date]])</f>
        <v>40</v>
      </c>
      <c r="D478" s="2" t="s">
        <v>79</v>
      </c>
      <c r="E478" s="2" t="s">
        <v>80</v>
      </c>
      <c r="F478" s="1" t="s">
        <v>71</v>
      </c>
      <c r="G478" s="1" t="s">
        <v>40</v>
      </c>
      <c r="H478" s="1" t="s">
        <v>81</v>
      </c>
      <c r="I478" s="2" cm="1">
        <f t="array" ref="I4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8" s="2" cm="1">
        <f t="array" ref="J4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8" s="2">
        <f>Games[[#This Row],[DaysOff]]-Games[[#This Row],[OppDaysOff]]</f>
        <v>0</v>
      </c>
      <c r="L478" s="2">
        <f>Games[[#This Row],[OppDaysOff]]-Games[[#This Row],[DaysOff]]</f>
        <v>0</v>
      </c>
      <c r="M478" s="16">
        <f>MAX(-16, MIN(16, Games[[#This Row],[RestDiff]]*8))</f>
        <v>0</v>
      </c>
      <c r="N478" s="16">
        <f>MAX(-16, MIN(16, Games[[#This Row],[OppRestDiff]]*8))</f>
        <v>0</v>
      </c>
      <c r="O478" s="4" cm="1">
        <f t="array" ref="O4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1548.6242761346678</v>
      </c>
      <c r="P478" s="4" cm="1">
        <f t="array" ref="P4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1436.2713634726492</v>
      </c>
      <c r="Q478" s="4">
        <f>1/(1+10^(((Games[[#This Row],[OppPreGmRate]]+IF(Games[[#This Row],[HomeAway]]="A",HCA,0)+Games[[#This Row],[OppRestAdj]])-(Games[[#This Row],[PreGmRate]]+IF(Games[[#This Row],[HomeAway]]="H",HCA,0)+Games[[#This Row],[RestAdj]]))/400))</f>
        <v>0.54071278470706441</v>
      </c>
      <c r="R478" s="1">
        <v>89</v>
      </c>
      <c r="S478" s="1">
        <v>70</v>
      </c>
      <c r="T478" s="1">
        <v>0</v>
      </c>
      <c r="U478" s="16">
        <f>Games[[#This Row],[PointsFor]]-Games[[#This Row],[PointsAgainst]]</f>
        <v>19</v>
      </c>
      <c r="V478" s="16">
        <f>IF(Games[[#This Row],[MOV]]&gt;0,1,IF(Games[[#This Row],[MOV]]=0,0.5,0))</f>
        <v>1</v>
      </c>
      <c r="W478" s="4">
        <f>((ABS(Games[[#This Row],[MOV]])+5)^0.6)/(12+0.01*(ABS(Games[[#This Row],[PreGmRate]]-Games[[#This Row],[OppPreGmRate]])))*IF(Games[[#This Row],[OT]]=1,0.9,1)</f>
        <v>0.51295126545056691</v>
      </c>
      <c r="X478" s="7" cm="1">
        <f t="array" ref="X4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8" s="9">
        <f>MAX(kmin, kmax - 0.15 * MIN(Games[[#This Row],[GamesPlayed]], 82))</f>
        <v>70</v>
      </c>
      <c r="Z478" s="4">
        <f>Games[[#This Row],[K]]*Games[[#This Row],[POMult]]</f>
        <v>70</v>
      </c>
      <c r="AA478" s="4">
        <f>(Games[[#This Row],[Keff]]*Games[[#This Row],[MOVMult]])*(Games[[#This Row],[Result]]-Games[[#This Row],[ExpectedWin%]])</f>
        <v>16.491437080284481</v>
      </c>
      <c r="AB478" s="4">
        <f>Games[[#This Row],[PreGmRate]]+Games[[#This Row],[RatingChange]]</f>
        <v>1565.1157132149522</v>
      </c>
      <c r="AC478" s="2">
        <f>IF(Games[[#This Row],[Type]]="R",IF(Games[[#This Row],[Result]]&gt;0.5,1,0),0)</f>
        <v>1</v>
      </c>
      <c r="AD478" s="2">
        <f>IF(Games[[#This Row],[Type]]="R",IF(Games[[#This Row],[Result]]&lt;0.5,1,0),0)</f>
        <v>0</v>
      </c>
      <c r="AE478" s="2">
        <f>IF(AND(Games[[#This Row],[Type]]="P",Games[[#This Row],[Round]]=1),IF(Games[[#This Row],[Result]]&gt;0.5,1,0),0)</f>
        <v>0</v>
      </c>
      <c r="AF478" s="2">
        <f>IF(AND(Games[[#This Row],[Type]]="P",Games[[#This Row],[Round]]=1),IF(Games[[#This Row],[Result]]&lt;0.5,1,0),0)</f>
        <v>0</v>
      </c>
      <c r="AG478" s="2">
        <f>IF(AND(Games[[#This Row],[Type]]="P",Games[[#This Row],[Round]]=2),IF(Games[[#This Row],[Result]]&gt;0.5,1,0),0)</f>
        <v>0</v>
      </c>
      <c r="AH478" s="2">
        <f>IF(AND(Games[[#This Row],[Type]]="P",Games[[#This Row],[Round]]=2),IF(Games[[#This Row],[Result]]&lt;0.5,1,0),0)</f>
        <v>0</v>
      </c>
      <c r="AI478" s="2">
        <f>IF(AND(Games[[#This Row],[Type]]="P",Games[[#This Row],[Round]]=3),IF(Games[[#This Row],[Result]]&gt;0.5,1,0),0)</f>
        <v>0</v>
      </c>
      <c r="AJ478" s="2">
        <f>IF(AND(Games[[#This Row],[Type]]="P",Games[[#This Row],[Round]]=3),IF(Games[[#This Row],[Result]]&lt;0.5,1,0),0)</f>
        <v>0</v>
      </c>
      <c r="AK478" s="2">
        <f>IF(AND(Games[[#This Row],[Type]]="P",Games[[#This Row],[Round]]=4),IF(Games[[#This Row],[Result]]&gt;0.5,1,0),0)</f>
        <v>0</v>
      </c>
      <c r="AL478" s="2">
        <f>IF(AND(Games[[#This Row],[Type]]="P",Games[[#This Row],[Round]]=4),IF(Games[[#This Row],[Result]]&lt;0.5,1,0),0)</f>
        <v>0</v>
      </c>
    </row>
    <row r="479" spans="1:38" x14ac:dyDescent="0.35">
      <c r="A479" s="10">
        <v>45554</v>
      </c>
      <c r="B479" s="2">
        <v>2024</v>
      </c>
      <c r="C479" s="2">
        <f>COUNTIFS(Games[Team],Games[[#This Row],[Team]],Games[Season],Games[[#This Row],[Season]],Games[Date],"&lt;=" &amp; Games[[#This Row],[Date]])</f>
        <v>40</v>
      </c>
      <c r="D479" s="2" t="s">
        <v>79</v>
      </c>
      <c r="E479" s="2" t="s">
        <v>80</v>
      </c>
      <c r="F479" s="1" t="s">
        <v>40</v>
      </c>
      <c r="G479" s="1" t="s">
        <v>71</v>
      </c>
      <c r="H479" s="1" t="s">
        <v>82</v>
      </c>
      <c r="I479" s="2" cm="1">
        <f t="array" ref="I4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9" s="2" cm="1">
        <f t="array" ref="J4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9" s="2">
        <f>Games[[#This Row],[DaysOff]]-Games[[#This Row],[OppDaysOff]]</f>
        <v>0</v>
      </c>
      <c r="L479" s="2">
        <f>Games[[#This Row],[OppDaysOff]]-Games[[#This Row],[DaysOff]]</f>
        <v>0</v>
      </c>
      <c r="M479" s="16">
        <f>MAX(-16, MIN(16, Games[[#This Row],[RestDiff]]*8))</f>
        <v>0</v>
      </c>
      <c r="N479" s="16">
        <f>MAX(-16, MIN(16, Games[[#This Row],[OppRestDiff]]*8))</f>
        <v>0</v>
      </c>
      <c r="O479" s="4" cm="1">
        <f t="array" ref="O4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1436.2713634726492</v>
      </c>
      <c r="P479" s="4" cm="1">
        <f t="array" ref="P4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1548.6242761346678</v>
      </c>
      <c r="Q479" s="4">
        <f>1/(1+10^(((Games[[#This Row],[OppPreGmRate]]+IF(Games[[#This Row],[HomeAway]]="A",HCA,0)+Games[[#This Row],[OppRestAdj]])-(Games[[#This Row],[PreGmRate]]+IF(Games[[#This Row],[HomeAway]]="H",HCA,0)+Games[[#This Row],[RestAdj]]))/400))</f>
        <v>0.45928721529293559</v>
      </c>
      <c r="R479" s="1">
        <v>70</v>
      </c>
      <c r="S479" s="1">
        <v>89</v>
      </c>
      <c r="T479" s="1">
        <v>0</v>
      </c>
      <c r="U479" s="16">
        <f>Games[[#This Row],[PointsFor]]-Games[[#This Row],[PointsAgainst]]</f>
        <v>-19</v>
      </c>
      <c r="V479" s="16">
        <f>IF(Games[[#This Row],[MOV]]&gt;0,1,IF(Games[[#This Row],[MOV]]=0,0.5,0))</f>
        <v>0</v>
      </c>
      <c r="W479" s="4">
        <f>((ABS(Games[[#This Row],[MOV]])+5)^0.6)/(12+0.01*(ABS(Games[[#This Row],[PreGmRate]]-Games[[#This Row],[OppPreGmRate]])))*IF(Games[[#This Row],[OT]]=1,0.9,1)</f>
        <v>0.51295126545056691</v>
      </c>
      <c r="X479" s="7" cm="1">
        <f t="array" ref="X4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9" s="9">
        <f>MAX(kmin, kmax - 0.15 * MIN(Games[[#This Row],[GamesPlayed]], 82))</f>
        <v>70</v>
      </c>
      <c r="Z479" s="4">
        <f>Games[[#This Row],[K]]*Games[[#This Row],[POMult]]</f>
        <v>70</v>
      </c>
      <c r="AA479" s="4">
        <f>(Games[[#This Row],[Keff]]*Games[[#This Row],[MOVMult]])*(Games[[#This Row],[Result]]-Games[[#This Row],[ExpectedWin%]])</f>
        <v>-16.491437080284481</v>
      </c>
      <c r="AB479" s="4">
        <f>Games[[#This Row],[PreGmRate]]+Games[[#This Row],[RatingChange]]</f>
        <v>1419.7799263923648</v>
      </c>
      <c r="AC479" s="2">
        <f>IF(Games[[#This Row],[Type]]="R",IF(Games[[#This Row],[Result]]&gt;0.5,1,0),0)</f>
        <v>0</v>
      </c>
      <c r="AD479" s="2">
        <f>IF(Games[[#This Row],[Type]]="R",IF(Games[[#This Row],[Result]]&lt;0.5,1,0),0)</f>
        <v>1</v>
      </c>
      <c r="AE479" s="2">
        <f>IF(AND(Games[[#This Row],[Type]]="P",Games[[#This Row],[Round]]=1),IF(Games[[#This Row],[Result]]&gt;0.5,1,0),0)</f>
        <v>0</v>
      </c>
      <c r="AF479" s="2">
        <f>IF(AND(Games[[#This Row],[Type]]="P",Games[[#This Row],[Round]]=1),IF(Games[[#This Row],[Result]]&lt;0.5,1,0),0)</f>
        <v>0</v>
      </c>
      <c r="AG479" s="2">
        <f>IF(AND(Games[[#This Row],[Type]]="P",Games[[#This Row],[Round]]=2),IF(Games[[#This Row],[Result]]&gt;0.5,1,0),0)</f>
        <v>0</v>
      </c>
      <c r="AH479" s="2">
        <f>IF(AND(Games[[#This Row],[Type]]="P",Games[[#This Row],[Round]]=2),IF(Games[[#This Row],[Result]]&lt;0.5,1,0),0)</f>
        <v>0</v>
      </c>
      <c r="AI479" s="2">
        <f>IF(AND(Games[[#This Row],[Type]]="P",Games[[#This Row],[Round]]=3),IF(Games[[#This Row],[Result]]&gt;0.5,1,0),0)</f>
        <v>0</v>
      </c>
      <c r="AJ479" s="2">
        <f>IF(AND(Games[[#This Row],[Type]]="P",Games[[#This Row],[Round]]=3),IF(Games[[#This Row],[Result]]&lt;0.5,1,0),0)</f>
        <v>0</v>
      </c>
      <c r="AK479" s="2">
        <f>IF(AND(Games[[#This Row],[Type]]="P",Games[[#This Row],[Round]]=4),IF(Games[[#This Row],[Result]]&gt;0.5,1,0),0)</f>
        <v>0</v>
      </c>
      <c r="AL479" s="2">
        <f>IF(AND(Games[[#This Row],[Type]]="P",Games[[#This Row],[Round]]=4),IF(Games[[#This Row],[Result]]&lt;0.5,1,0),0)</f>
        <v>0</v>
      </c>
    </row>
    <row r="480" spans="1:38" x14ac:dyDescent="0.35">
      <c r="A480" s="10">
        <v>45554</v>
      </c>
      <c r="B480" s="2">
        <v>2024</v>
      </c>
      <c r="C480" s="2">
        <f>COUNTIFS(Games[Team],Games[[#This Row],[Team]],Games[Season],Games[[#This Row],[Season]],Games[Date],"&lt;=" &amp; Games[[#This Row],[Date]])</f>
        <v>40</v>
      </c>
      <c r="D480" s="2" t="s">
        <v>79</v>
      </c>
      <c r="E480" s="2" t="s">
        <v>80</v>
      </c>
      <c r="F480" s="1" t="s">
        <v>69</v>
      </c>
      <c r="G480" s="1" t="s">
        <v>65</v>
      </c>
      <c r="H480" s="1" t="s">
        <v>81</v>
      </c>
      <c r="I480" s="2" cm="1">
        <f t="array" ref="I480">IFERROR(
    Games[[#This Row],[Date]]
    - LOOKUP(
        2,
        1/((Games[Team]=Games[[#This Row],[Team]]) * (Games[Date] &lt; Games[[#This Row],[Date]])),
        Games[Date]
    )
    - 1,
Games[[#This Row],[Date]]-$A$2)</f>
        <v>3</v>
      </c>
      <c r="J480" s="2" cm="1">
        <f t="array" ref="J4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0" s="2">
        <f>Games[[#This Row],[DaysOff]]-Games[[#This Row],[OppDaysOff]]</f>
        <v>2</v>
      </c>
      <c r="L480" s="2">
        <f>Games[[#This Row],[OppDaysOff]]-Games[[#This Row],[DaysOff]]</f>
        <v>-2</v>
      </c>
      <c r="M480" s="16">
        <f>MAX(-16, MIN(16, Games[[#This Row],[RestDiff]]*8))</f>
        <v>16</v>
      </c>
      <c r="N480" s="16">
        <f>MAX(-16, MIN(16, Games[[#This Row],[OppRestDiff]]*8))</f>
        <v>-16</v>
      </c>
      <c r="O480" s="4" cm="1">
        <f t="array" ref="O4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1501.0747991878516</v>
      </c>
      <c r="P480" s="4" cm="1">
        <f t="array" ref="P4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1446.2018641722302</v>
      </c>
      <c r="Q480" s="4">
        <f>1/(1+10^(((Games[[#This Row],[OppPreGmRate]]+IF(Games[[#This Row],[HomeAway]]="A",HCA,0)+Games[[#This Row],[OppRestAdj]])-(Games[[#This Row],[PreGmRate]]+IF(Games[[#This Row],[HomeAway]]="H",HCA,0)+Games[[#This Row],[RestAdj]]))/400))</f>
        <v>0.50413439160709306</v>
      </c>
      <c r="R480" s="1">
        <v>91</v>
      </c>
      <c r="S480" s="1">
        <v>92</v>
      </c>
      <c r="T480" s="1">
        <v>0</v>
      </c>
      <c r="U480" s="16">
        <f>Games[[#This Row],[PointsFor]]-Games[[#This Row],[PointsAgainst]]</f>
        <v>-1</v>
      </c>
      <c r="V480" s="16">
        <f>IF(Games[[#This Row],[MOV]]&gt;0,1,IF(Games[[#This Row],[MOV]]=0,0.5,0))</f>
        <v>0</v>
      </c>
      <c r="W480" s="4">
        <f>((ABS(Games[[#This Row],[MOV]])+5)^0.6)/(12+0.01*(ABS(Games[[#This Row],[PreGmRate]]-Games[[#This Row],[OppPreGmRate]])))*IF(Games[[#This Row],[OT]]=1,0.9,1)</f>
        <v>0.23350221124555889</v>
      </c>
      <c r="X480" s="7" cm="1">
        <f t="array" ref="X4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0" s="9">
        <f>MAX(kmin, kmax - 0.15 * MIN(Games[[#This Row],[GamesPlayed]], 82))</f>
        <v>70</v>
      </c>
      <c r="Z480" s="4">
        <f>Games[[#This Row],[K]]*Games[[#This Row],[POMult]]</f>
        <v>70</v>
      </c>
      <c r="AA480" s="4">
        <f>(Games[[#This Row],[Keff]]*Games[[#This Row],[MOVMult]])*(Games[[#This Row],[Result]]-Games[[#This Row],[ExpectedWin%]])</f>
        <v>-8.2401546643633541</v>
      </c>
      <c r="AB480" s="4">
        <f>Games[[#This Row],[PreGmRate]]+Games[[#This Row],[RatingChange]]</f>
        <v>1492.8346445234881</v>
      </c>
      <c r="AC480" s="2">
        <f>IF(Games[[#This Row],[Type]]="R",IF(Games[[#This Row],[Result]]&gt;0.5,1,0),0)</f>
        <v>0</v>
      </c>
      <c r="AD480" s="2">
        <f>IF(Games[[#This Row],[Type]]="R",IF(Games[[#This Row],[Result]]&lt;0.5,1,0),0)</f>
        <v>1</v>
      </c>
      <c r="AE480" s="2">
        <f>IF(AND(Games[[#This Row],[Type]]="P",Games[[#This Row],[Round]]=1),IF(Games[[#This Row],[Result]]&gt;0.5,1,0),0)</f>
        <v>0</v>
      </c>
      <c r="AF480" s="2">
        <f>IF(AND(Games[[#This Row],[Type]]="P",Games[[#This Row],[Round]]=1),IF(Games[[#This Row],[Result]]&lt;0.5,1,0),0)</f>
        <v>0</v>
      </c>
      <c r="AG480" s="2">
        <f>IF(AND(Games[[#This Row],[Type]]="P",Games[[#This Row],[Round]]=2),IF(Games[[#This Row],[Result]]&gt;0.5,1,0),0)</f>
        <v>0</v>
      </c>
      <c r="AH480" s="2">
        <f>IF(AND(Games[[#This Row],[Type]]="P",Games[[#This Row],[Round]]=2),IF(Games[[#This Row],[Result]]&lt;0.5,1,0),0)</f>
        <v>0</v>
      </c>
      <c r="AI480" s="2">
        <f>IF(AND(Games[[#This Row],[Type]]="P",Games[[#This Row],[Round]]=3),IF(Games[[#This Row],[Result]]&gt;0.5,1,0),0)</f>
        <v>0</v>
      </c>
      <c r="AJ480" s="2">
        <f>IF(AND(Games[[#This Row],[Type]]="P",Games[[#This Row],[Round]]=3),IF(Games[[#This Row],[Result]]&lt;0.5,1,0),0)</f>
        <v>0</v>
      </c>
      <c r="AK480" s="2">
        <f>IF(AND(Games[[#This Row],[Type]]="P",Games[[#This Row],[Round]]=4),IF(Games[[#This Row],[Result]]&gt;0.5,1,0),0)</f>
        <v>0</v>
      </c>
      <c r="AL480" s="2">
        <f>IF(AND(Games[[#This Row],[Type]]="P",Games[[#This Row],[Round]]=4),IF(Games[[#This Row],[Result]]&lt;0.5,1,0),0)</f>
        <v>0</v>
      </c>
    </row>
    <row r="481" spans="1:38" x14ac:dyDescent="0.35">
      <c r="A481" s="10">
        <v>45554</v>
      </c>
      <c r="B481" s="2">
        <v>2024</v>
      </c>
      <c r="C481" s="2">
        <f>COUNTIFS(Games[Team],Games[[#This Row],[Team]],Games[Season],Games[[#This Row],[Season]],Games[Date],"&lt;=" &amp; Games[[#This Row],[Date]])</f>
        <v>40</v>
      </c>
      <c r="D481" s="2" t="s">
        <v>79</v>
      </c>
      <c r="E481" s="2" t="s">
        <v>80</v>
      </c>
      <c r="F481" s="1" t="s">
        <v>65</v>
      </c>
      <c r="G481" s="1" t="s">
        <v>69</v>
      </c>
      <c r="H481" s="1" t="s">
        <v>82</v>
      </c>
      <c r="I481" s="2" cm="1">
        <f t="array" ref="I4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1" s="2" cm="1">
        <f t="array" ref="J48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81" s="2">
        <f>Games[[#This Row],[DaysOff]]-Games[[#This Row],[OppDaysOff]]</f>
        <v>-2</v>
      </c>
      <c r="L481" s="2">
        <f>Games[[#This Row],[OppDaysOff]]-Games[[#This Row],[DaysOff]]</f>
        <v>2</v>
      </c>
      <c r="M481" s="16">
        <f>MAX(-16, MIN(16, Games[[#This Row],[RestDiff]]*8))</f>
        <v>-16</v>
      </c>
      <c r="N481" s="16">
        <f>MAX(-16, MIN(16, Games[[#This Row],[OppRestDiff]]*8))</f>
        <v>16</v>
      </c>
      <c r="O481" s="4" cm="1">
        <f t="array" ref="O4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1446.2018641722302</v>
      </c>
      <c r="P481" s="4" cm="1">
        <f t="array" ref="P4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1501.0747991878516</v>
      </c>
      <c r="Q481" s="4">
        <f>1/(1+10^(((Games[[#This Row],[OppPreGmRate]]+IF(Games[[#This Row],[HomeAway]]="A",HCA,0)+Games[[#This Row],[OppRestAdj]])-(Games[[#This Row],[PreGmRate]]+IF(Games[[#This Row],[HomeAway]]="H",HCA,0)+Games[[#This Row],[RestAdj]]))/400))</f>
        <v>0.49586560839290694</v>
      </c>
      <c r="R481" s="1">
        <v>92</v>
      </c>
      <c r="S481" s="1">
        <v>91</v>
      </c>
      <c r="T481" s="1">
        <v>0</v>
      </c>
      <c r="U481" s="16">
        <f>Games[[#This Row],[PointsFor]]-Games[[#This Row],[PointsAgainst]]</f>
        <v>1</v>
      </c>
      <c r="V481" s="16">
        <f>IF(Games[[#This Row],[MOV]]&gt;0,1,IF(Games[[#This Row],[MOV]]=0,0.5,0))</f>
        <v>1</v>
      </c>
      <c r="W481" s="4">
        <f>((ABS(Games[[#This Row],[MOV]])+5)^0.6)/(12+0.01*(ABS(Games[[#This Row],[PreGmRate]]-Games[[#This Row],[OppPreGmRate]])))*IF(Games[[#This Row],[OT]]=1,0.9,1)</f>
        <v>0.23350221124555889</v>
      </c>
      <c r="X481" s="7" cm="1">
        <f t="array" ref="X4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1" s="9">
        <f>MAX(kmin, kmax - 0.15 * MIN(Games[[#This Row],[GamesPlayed]], 82))</f>
        <v>70</v>
      </c>
      <c r="Z481" s="4">
        <f>Games[[#This Row],[K]]*Games[[#This Row],[POMult]]</f>
        <v>70</v>
      </c>
      <c r="AA481" s="4">
        <f>(Games[[#This Row],[Keff]]*Games[[#This Row],[MOVMult]])*(Games[[#This Row],[Result]]-Games[[#This Row],[ExpectedWin%]])</f>
        <v>8.2401546643633541</v>
      </c>
      <c r="AB481" s="4">
        <f>Games[[#This Row],[PreGmRate]]+Games[[#This Row],[RatingChange]]</f>
        <v>1454.4420188365937</v>
      </c>
      <c r="AC481" s="2">
        <f>IF(Games[[#This Row],[Type]]="R",IF(Games[[#This Row],[Result]]&gt;0.5,1,0),0)</f>
        <v>1</v>
      </c>
      <c r="AD481" s="2">
        <f>IF(Games[[#This Row],[Type]]="R",IF(Games[[#This Row],[Result]]&lt;0.5,1,0),0)</f>
        <v>0</v>
      </c>
      <c r="AE481" s="2">
        <f>IF(AND(Games[[#This Row],[Type]]="P",Games[[#This Row],[Round]]=1),IF(Games[[#This Row],[Result]]&gt;0.5,1,0),0)</f>
        <v>0</v>
      </c>
      <c r="AF481" s="2">
        <f>IF(AND(Games[[#This Row],[Type]]="P",Games[[#This Row],[Round]]=1),IF(Games[[#This Row],[Result]]&lt;0.5,1,0),0)</f>
        <v>0</v>
      </c>
      <c r="AG481" s="2">
        <f>IF(AND(Games[[#This Row],[Type]]="P",Games[[#This Row],[Round]]=2),IF(Games[[#This Row],[Result]]&gt;0.5,1,0),0)</f>
        <v>0</v>
      </c>
      <c r="AH481" s="2">
        <f>IF(AND(Games[[#This Row],[Type]]="P",Games[[#This Row],[Round]]=2),IF(Games[[#This Row],[Result]]&lt;0.5,1,0),0)</f>
        <v>0</v>
      </c>
      <c r="AI481" s="2">
        <f>IF(AND(Games[[#This Row],[Type]]="P",Games[[#This Row],[Round]]=3),IF(Games[[#This Row],[Result]]&gt;0.5,1,0),0)</f>
        <v>0</v>
      </c>
      <c r="AJ481" s="2">
        <f>IF(AND(Games[[#This Row],[Type]]="P",Games[[#This Row],[Round]]=3),IF(Games[[#This Row],[Result]]&lt;0.5,1,0),0)</f>
        <v>0</v>
      </c>
      <c r="AK481" s="2">
        <f>IF(AND(Games[[#This Row],[Type]]="P",Games[[#This Row],[Round]]=4),IF(Games[[#This Row],[Result]]&gt;0.5,1,0),0)</f>
        <v>0</v>
      </c>
      <c r="AL481" s="2">
        <f>IF(AND(Games[[#This Row],[Type]]="P",Games[[#This Row],[Round]]=4),IF(Games[[#This Row],[Result]]&lt;0.5,1,0),0)</f>
        <v>0</v>
      </c>
    </row>
    <row r="482" spans="1:38" x14ac:dyDescent="0.35">
      <c r="A482" s="10">
        <v>45557</v>
      </c>
      <c r="B482" s="2">
        <v>2024</v>
      </c>
      <c r="C482" s="2">
        <f>COUNTIFS(Games[Team],Games[[#This Row],[Team]],Games[Season],Games[[#This Row],[Season]],Games[Date],"&lt;=" &amp; Games[[#This Row],[Date]])</f>
        <v>41</v>
      </c>
      <c r="D482" s="2" t="s">
        <v>83</v>
      </c>
      <c r="E482" s="2">
        <v>1</v>
      </c>
      <c r="F482" s="1" t="s">
        <v>69</v>
      </c>
      <c r="G482" s="1" t="s">
        <v>74</v>
      </c>
      <c r="H482" s="1" t="s">
        <v>81</v>
      </c>
      <c r="I482" s="2" cm="1">
        <f t="array" ref="I4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2" s="2" cm="1">
        <f t="array" ref="J4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2" s="2">
        <f>Games[[#This Row],[DaysOff]]-Games[[#This Row],[OppDaysOff]]</f>
        <v>0</v>
      </c>
      <c r="L482" s="2">
        <f>Games[[#This Row],[OppDaysOff]]-Games[[#This Row],[DaysOff]]</f>
        <v>0</v>
      </c>
      <c r="M482" s="16">
        <f>MAX(-16, MIN(16, Games[[#This Row],[RestDiff]]*8))</f>
        <v>0</v>
      </c>
      <c r="N482" s="16">
        <f>MAX(-16, MIN(16, Games[[#This Row],[OppRestDiff]]*8))</f>
        <v>0</v>
      </c>
      <c r="O482" s="4" cm="1">
        <f t="array" ref="O4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1492.8346445234881</v>
      </c>
      <c r="P482" s="4" cm="1">
        <f t="array" ref="P4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1615.131445828355</v>
      </c>
      <c r="Q482" s="4">
        <f>1/(1+10^(((Games[[#This Row],[OppPreGmRate]]+IF(Games[[#This Row],[HomeAway]]="A",HCA,0)+Games[[#This Row],[OppRestAdj]])-(Games[[#This Row],[PreGmRate]]+IF(Games[[#This Row],[HomeAway]]="H",HCA,0)+Games[[#This Row],[RestAdj]]))/400))</f>
        <v>0.23369922060614243</v>
      </c>
      <c r="R482" s="1">
        <v>69</v>
      </c>
      <c r="S482" s="1">
        <v>93</v>
      </c>
      <c r="T482" s="1">
        <v>0</v>
      </c>
      <c r="U482" s="16">
        <f>Games[[#This Row],[PointsFor]]-Games[[#This Row],[PointsAgainst]]</f>
        <v>-24</v>
      </c>
      <c r="V482" s="16">
        <f>IF(Games[[#This Row],[MOV]]&gt;0,1,IF(Games[[#This Row],[MOV]]=0,0.5,0))</f>
        <v>0</v>
      </c>
      <c r="W482" s="4">
        <f>((ABS(Games[[#This Row],[MOV]])+5)^0.6)/(12+0.01*(ABS(Games[[#This Row],[PreGmRate]]-Games[[#This Row],[OppPreGmRate]])))*IF(Games[[#This Row],[OT]]=1,0.9,1)</f>
        <v>0.57030850909840158</v>
      </c>
      <c r="X482" s="7" cm="1">
        <f t="array" ref="X4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2" s="9">
        <f>MAX(kmin, kmax - 0.15 * MIN(Games[[#This Row],[GamesPlayed]], 82))</f>
        <v>69.849999999999994</v>
      </c>
      <c r="Z482" s="4">
        <f>Games[[#This Row],[K]]*Games[[#This Row],[POMult]]</f>
        <v>76.834999999999994</v>
      </c>
      <c r="AA482" s="4">
        <f>(Games[[#This Row],[Keff]]*Games[[#This Row],[MOVMult]])*(Games[[#This Row],[Result]]-Games[[#This Row],[ExpectedWin%]])</f>
        <v>-10.240619056340337</v>
      </c>
      <c r="AB482" s="4">
        <f>Games[[#This Row],[PreGmRate]]+Games[[#This Row],[RatingChange]]</f>
        <v>1482.5940254671477</v>
      </c>
      <c r="AC482" s="2">
        <f>IF(Games[[#This Row],[Type]]="R",IF(Games[[#This Row],[Result]]&gt;0.5,1,0),0)</f>
        <v>0</v>
      </c>
      <c r="AD482" s="2">
        <f>IF(Games[[#This Row],[Type]]="R",IF(Games[[#This Row],[Result]]&lt;0.5,1,0),0)</f>
        <v>0</v>
      </c>
      <c r="AE482" s="2">
        <f>IF(AND(Games[[#This Row],[Type]]="P",Games[[#This Row],[Round]]=1),IF(Games[[#This Row],[Result]]&gt;0.5,1,0),0)</f>
        <v>0</v>
      </c>
      <c r="AF482" s="2">
        <f>IF(AND(Games[[#This Row],[Type]]="P",Games[[#This Row],[Round]]=1),IF(Games[[#This Row],[Result]]&lt;0.5,1,0),0)</f>
        <v>1</v>
      </c>
      <c r="AG482" s="2">
        <f>IF(AND(Games[[#This Row],[Type]]="P",Games[[#This Row],[Round]]=2),IF(Games[[#This Row],[Result]]&gt;0.5,1,0),0)</f>
        <v>0</v>
      </c>
      <c r="AH482" s="2">
        <f>IF(AND(Games[[#This Row],[Type]]="P",Games[[#This Row],[Round]]=2),IF(Games[[#This Row],[Result]]&lt;0.5,1,0),0)</f>
        <v>0</v>
      </c>
      <c r="AI482" s="2">
        <f>IF(AND(Games[[#This Row],[Type]]="P",Games[[#This Row],[Round]]=3),IF(Games[[#This Row],[Result]]&gt;0.5,1,0),0)</f>
        <v>0</v>
      </c>
      <c r="AJ482" s="2">
        <f>IF(AND(Games[[#This Row],[Type]]="P",Games[[#This Row],[Round]]=3),IF(Games[[#This Row],[Result]]&lt;0.5,1,0),0)</f>
        <v>0</v>
      </c>
      <c r="AK482" s="2">
        <f>IF(AND(Games[[#This Row],[Type]]="P",Games[[#This Row],[Round]]=4),IF(Games[[#This Row],[Result]]&gt;0.5,1,0),0)</f>
        <v>0</v>
      </c>
      <c r="AL482" s="2">
        <f>IF(AND(Games[[#This Row],[Type]]="P",Games[[#This Row],[Round]]=4),IF(Games[[#This Row],[Result]]&lt;0.5,1,0),0)</f>
        <v>0</v>
      </c>
    </row>
    <row r="483" spans="1:38" x14ac:dyDescent="0.35">
      <c r="A483" s="10">
        <v>45557</v>
      </c>
      <c r="B483" s="2">
        <v>2024</v>
      </c>
      <c r="C483" s="2">
        <f>COUNTIFS(Games[Team],Games[[#This Row],[Team]],Games[Season],Games[[#This Row],[Season]],Games[Date],"&lt;=" &amp; Games[[#This Row],[Date]])</f>
        <v>41</v>
      </c>
      <c r="D483" s="2" t="s">
        <v>83</v>
      </c>
      <c r="E483" s="2">
        <v>1</v>
      </c>
      <c r="F483" s="1" t="s">
        <v>74</v>
      </c>
      <c r="G483" s="1" t="s">
        <v>69</v>
      </c>
      <c r="H483" s="1" t="s">
        <v>82</v>
      </c>
      <c r="I483" s="2" cm="1">
        <f t="array" ref="I4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3" s="2" cm="1">
        <f t="array" ref="J4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3" s="2">
        <f>Games[[#This Row],[DaysOff]]-Games[[#This Row],[OppDaysOff]]</f>
        <v>0</v>
      </c>
      <c r="L483" s="2">
        <f>Games[[#This Row],[OppDaysOff]]-Games[[#This Row],[DaysOff]]</f>
        <v>0</v>
      </c>
      <c r="M483" s="16">
        <f>MAX(-16, MIN(16, Games[[#This Row],[RestDiff]]*8))</f>
        <v>0</v>
      </c>
      <c r="N483" s="16">
        <f>MAX(-16, MIN(16, Games[[#This Row],[OppRestDiff]]*8))</f>
        <v>0</v>
      </c>
      <c r="O483" s="4" cm="1">
        <f t="array" ref="O4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1615.131445828355</v>
      </c>
      <c r="P483" s="4" cm="1">
        <f t="array" ref="P4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1492.8346445234881</v>
      </c>
      <c r="Q483" s="4">
        <f>1/(1+10^(((Games[[#This Row],[OppPreGmRate]]+IF(Games[[#This Row],[HomeAway]]="A",HCA,0)+Games[[#This Row],[OppRestAdj]])-(Games[[#This Row],[PreGmRate]]+IF(Games[[#This Row],[HomeAway]]="H",HCA,0)+Games[[#This Row],[RestAdj]]))/400))</f>
        <v>0.76630077939385766</v>
      </c>
      <c r="R483" s="1">
        <v>93</v>
      </c>
      <c r="S483" s="1">
        <v>69</v>
      </c>
      <c r="T483" s="1">
        <v>0</v>
      </c>
      <c r="U483" s="16">
        <f>Games[[#This Row],[PointsFor]]-Games[[#This Row],[PointsAgainst]]</f>
        <v>24</v>
      </c>
      <c r="V483" s="16">
        <f>IF(Games[[#This Row],[MOV]]&gt;0,1,IF(Games[[#This Row],[MOV]]=0,0.5,0))</f>
        <v>1</v>
      </c>
      <c r="W483" s="4">
        <f>((ABS(Games[[#This Row],[MOV]])+5)^0.6)/(12+0.01*(ABS(Games[[#This Row],[PreGmRate]]-Games[[#This Row],[OppPreGmRate]])))*IF(Games[[#This Row],[OT]]=1,0.9,1)</f>
        <v>0.57030850909840158</v>
      </c>
      <c r="X483" s="7" cm="1">
        <f t="array" ref="X4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3" s="9">
        <f>MAX(kmin, kmax - 0.15 * MIN(Games[[#This Row],[GamesPlayed]], 82))</f>
        <v>69.849999999999994</v>
      </c>
      <c r="Z483" s="4">
        <f>Games[[#This Row],[K]]*Games[[#This Row],[POMult]]</f>
        <v>76.834999999999994</v>
      </c>
      <c r="AA483" s="4">
        <f>(Games[[#This Row],[Keff]]*Games[[#This Row],[MOVMult]])*(Games[[#This Row],[Result]]-Games[[#This Row],[ExpectedWin%]])</f>
        <v>10.240619056340334</v>
      </c>
      <c r="AB483" s="4">
        <f>Games[[#This Row],[PreGmRate]]+Games[[#This Row],[RatingChange]]</f>
        <v>1625.3720648846954</v>
      </c>
      <c r="AC483" s="2">
        <f>IF(Games[[#This Row],[Type]]="R",IF(Games[[#This Row],[Result]]&gt;0.5,1,0),0)</f>
        <v>0</v>
      </c>
      <c r="AD483" s="2">
        <f>IF(Games[[#This Row],[Type]]="R",IF(Games[[#This Row],[Result]]&lt;0.5,1,0),0)</f>
        <v>0</v>
      </c>
      <c r="AE483" s="2">
        <f>IF(AND(Games[[#This Row],[Type]]="P",Games[[#This Row],[Round]]=1),IF(Games[[#This Row],[Result]]&gt;0.5,1,0),0)</f>
        <v>1</v>
      </c>
      <c r="AF483" s="2">
        <f>IF(AND(Games[[#This Row],[Type]]="P",Games[[#This Row],[Round]]=1),IF(Games[[#This Row],[Result]]&lt;0.5,1,0),0)</f>
        <v>0</v>
      </c>
      <c r="AG483" s="2">
        <f>IF(AND(Games[[#This Row],[Type]]="P",Games[[#This Row],[Round]]=2),IF(Games[[#This Row],[Result]]&gt;0.5,1,0),0)</f>
        <v>0</v>
      </c>
      <c r="AH483" s="2">
        <f>IF(AND(Games[[#This Row],[Type]]="P",Games[[#This Row],[Round]]=2),IF(Games[[#This Row],[Result]]&lt;0.5,1,0),0)</f>
        <v>0</v>
      </c>
      <c r="AI483" s="2">
        <f>IF(AND(Games[[#This Row],[Type]]="P",Games[[#This Row],[Round]]=3),IF(Games[[#This Row],[Result]]&gt;0.5,1,0),0)</f>
        <v>0</v>
      </c>
      <c r="AJ483" s="2">
        <f>IF(AND(Games[[#This Row],[Type]]="P",Games[[#This Row],[Round]]=3),IF(Games[[#This Row],[Result]]&lt;0.5,1,0),0)</f>
        <v>0</v>
      </c>
      <c r="AK483" s="2">
        <f>IF(AND(Games[[#This Row],[Type]]="P",Games[[#This Row],[Round]]=4),IF(Games[[#This Row],[Result]]&gt;0.5,1,0),0)</f>
        <v>0</v>
      </c>
      <c r="AL483" s="2">
        <f>IF(AND(Games[[#This Row],[Type]]="P",Games[[#This Row],[Round]]=4),IF(Games[[#This Row],[Result]]&lt;0.5,1,0),0)</f>
        <v>0</v>
      </c>
    </row>
    <row r="484" spans="1:38" x14ac:dyDescent="0.35">
      <c r="A484" s="10">
        <v>45557</v>
      </c>
      <c r="B484" s="2">
        <v>2024</v>
      </c>
      <c r="C484" s="2">
        <f>COUNTIFS(Games[Team],Games[[#This Row],[Team]],Games[Season],Games[[#This Row],[Season]],Games[Date],"&lt;=" &amp; Games[[#This Row],[Date]])</f>
        <v>41</v>
      </c>
      <c r="D484" s="2" t="s">
        <v>83</v>
      </c>
      <c r="E484" s="2">
        <v>1</v>
      </c>
      <c r="F484" s="1" t="s">
        <v>71</v>
      </c>
      <c r="G484" s="1" t="s">
        <v>86</v>
      </c>
      <c r="H484" s="1" t="s">
        <v>81</v>
      </c>
      <c r="I484" s="2" cm="1">
        <f t="array" ref="I48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4" s="2" cm="1">
        <f t="array" ref="J4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4" s="2">
        <f>Games[[#This Row],[DaysOff]]-Games[[#This Row],[OppDaysOff]]</f>
        <v>0</v>
      </c>
      <c r="L484" s="2">
        <f>Games[[#This Row],[OppDaysOff]]-Games[[#This Row],[DaysOff]]</f>
        <v>0</v>
      </c>
      <c r="M484" s="16">
        <f>MAX(-16, MIN(16, Games[[#This Row],[RestDiff]]*8))</f>
        <v>0</v>
      </c>
      <c r="N484" s="16">
        <f>MAX(-16, MIN(16, Games[[#This Row],[OppRestDiff]]*8))</f>
        <v>0</v>
      </c>
      <c r="O484" s="4" cm="1">
        <f t="array" ref="O4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1565.1157132149522</v>
      </c>
      <c r="P484" s="4" cm="1">
        <f t="array" ref="P4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1674.8631194106122</v>
      </c>
      <c r="Q484" s="4">
        <f>1/(1+10^(((Games[[#This Row],[OppPreGmRate]]+IF(Games[[#This Row],[HomeAway]]="A",HCA,0)+Games[[#This Row],[OppRestAdj]])-(Games[[#This Row],[PreGmRate]]+IF(Games[[#This Row],[HomeAway]]="H",HCA,0)+Games[[#This Row],[RestAdj]]))/400))</f>
        <v>0.24688417708792051</v>
      </c>
      <c r="R484" s="1">
        <v>67</v>
      </c>
      <c r="S484" s="1">
        <v>78</v>
      </c>
      <c r="T484" s="1">
        <v>0</v>
      </c>
      <c r="U484" s="16">
        <f>Games[[#This Row],[PointsFor]]-Games[[#This Row],[PointsAgainst]]</f>
        <v>-11</v>
      </c>
      <c r="V484" s="16">
        <f>IF(Games[[#This Row],[MOV]]&gt;0,1,IF(Games[[#This Row],[MOV]]=0,0.5,0))</f>
        <v>0</v>
      </c>
      <c r="W484" s="4">
        <f>((ABS(Games[[#This Row],[MOV]])+5)^0.6)/(12+0.01*(ABS(Games[[#This Row],[PreGmRate]]-Games[[#This Row],[OppPreGmRate]])))*IF(Games[[#This Row],[OT]]=1,0.9,1)</f>
        <v>0.40298088151381339</v>
      </c>
      <c r="X484" s="7" cm="1">
        <f t="array" ref="X4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4" s="9">
        <f>MAX(kmin, kmax - 0.15 * MIN(Games[[#This Row],[GamesPlayed]], 82))</f>
        <v>69.849999999999994</v>
      </c>
      <c r="Z484" s="4">
        <f>Games[[#This Row],[K]]*Games[[#This Row],[POMult]]</f>
        <v>76.834999999999994</v>
      </c>
      <c r="AA484" s="4">
        <f>(Games[[#This Row],[Keff]]*Games[[#This Row],[MOVMult]])*(Games[[#This Row],[Result]]-Games[[#This Row],[ExpectedWin%]])</f>
        <v>-7.6442836706851747</v>
      </c>
      <c r="AB484" s="4">
        <f>Games[[#This Row],[PreGmRate]]+Games[[#This Row],[RatingChange]]</f>
        <v>1557.471429544267</v>
      </c>
      <c r="AC484" s="2">
        <f>IF(Games[[#This Row],[Type]]="R",IF(Games[[#This Row],[Result]]&gt;0.5,1,0),0)</f>
        <v>0</v>
      </c>
      <c r="AD484" s="2">
        <f>IF(Games[[#This Row],[Type]]="R",IF(Games[[#This Row],[Result]]&lt;0.5,1,0),0)</f>
        <v>0</v>
      </c>
      <c r="AE484" s="2">
        <f>IF(AND(Games[[#This Row],[Type]]="P",Games[[#This Row],[Round]]=1),IF(Games[[#This Row],[Result]]&gt;0.5,1,0),0)</f>
        <v>0</v>
      </c>
      <c r="AF484" s="2">
        <f>IF(AND(Games[[#This Row],[Type]]="P",Games[[#This Row],[Round]]=1),IF(Games[[#This Row],[Result]]&lt;0.5,1,0),0)</f>
        <v>1</v>
      </c>
      <c r="AG484" s="2">
        <f>IF(AND(Games[[#This Row],[Type]]="P",Games[[#This Row],[Round]]=2),IF(Games[[#This Row],[Result]]&gt;0.5,1,0),0)</f>
        <v>0</v>
      </c>
      <c r="AH484" s="2">
        <f>IF(AND(Games[[#This Row],[Type]]="P",Games[[#This Row],[Round]]=2),IF(Games[[#This Row],[Result]]&lt;0.5,1,0),0)</f>
        <v>0</v>
      </c>
      <c r="AI484" s="2">
        <f>IF(AND(Games[[#This Row],[Type]]="P",Games[[#This Row],[Round]]=3),IF(Games[[#This Row],[Result]]&gt;0.5,1,0),0)</f>
        <v>0</v>
      </c>
      <c r="AJ484" s="2">
        <f>IF(AND(Games[[#This Row],[Type]]="P",Games[[#This Row],[Round]]=3),IF(Games[[#This Row],[Result]]&lt;0.5,1,0),0)</f>
        <v>0</v>
      </c>
      <c r="AK484" s="2">
        <f>IF(AND(Games[[#This Row],[Type]]="P",Games[[#This Row],[Round]]=4),IF(Games[[#This Row],[Result]]&gt;0.5,1,0),0)</f>
        <v>0</v>
      </c>
      <c r="AL484" s="2">
        <f>IF(AND(Games[[#This Row],[Type]]="P",Games[[#This Row],[Round]]=4),IF(Games[[#This Row],[Result]]&lt;0.5,1,0),0)</f>
        <v>0</v>
      </c>
    </row>
    <row r="485" spans="1:38" x14ac:dyDescent="0.35">
      <c r="A485" s="10">
        <v>45557</v>
      </c>
      <c r="B485" s="2">
        <v>2024</v>
      </c>
      <c r="C485" s="2">
        <f>COUNTIFS(Games[Team],Games[[#This Row],[Team]],Games[Season],Games[[#This Row],[Season]],Games[Date],"&lt;=" &amp; Games[[#This Row],[Date]])</f>
        <v>41</v>
      </c>
      <c r="D485" s="2" t="s">
        <v>83</v>
      </c>
      <c r="E485" s="2">
        <v>1</v>
      </c>
      <c r="F485" s="1" t="s">
        <v>86</v>
      </c>
      <c r="G485" s="1" t="s">
        <v>71</v>
      </c>
      <c r="H485" s="1" t="s">
        <v>82</v>
      </c>
      <c r="I485" s="2" cm="1">
        <f t="array" ref="I4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5" s="2" cm="1">
        <f t="array" ref="J48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5" s="2">
        <f>Games[[#This Row],[DaysOff]]-Games[[#This Row],[OppDaysOff]]</f>
        <v>0</v>
      </c>
      <c r="L485" s="2">
        <f>Games[[#This Row],[OppDaysOff]]-Games[[#This Row],[DaysOff]]</f>
        <v>0</v>
      </c>
      <c r="M485" s="16">
        <f>MAX(-16, MIN(16, Games[[#This Row],[RestDiff]]*8))</f>
        <v>0</v>
      </c>
      <c r="N485" s="16">
        <f>MAX(-16, MIN(16, Games[[#This Row],[OppRestDiff]]*8))</f>
        <v>0</v>
      </c>
      <c r="O485" s="4" cm="1">
        <f t="array" ref="O4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1674.8631194106122</v>
      </c>
      <c r="P485" s="4" cm="1">
        <f t="array" ref="P4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1565.1157132149522</v>
      </c>
      <c r="Q485" s="4">
        <f>1/(1+10^(((Games[[#This Row],[OppPreGmRate]]+IF(Games[[#This Row],[HomeAway]]="A",HCA,0)+Games[[#This Row],[OppRestAdj]])-(Games[[#This Row],[PreGmRate]]+IF(Games[[#This Row],[HomeAway]]="H",HCA,0)+Games[[#This Row],[RestAdj]]))/400))</f>
        <v>0.75311582291207946</v>
      </c>
      <c r="R485" s="1">
        <v>78</v>
      </c>
      <c r="S485" s="1">
        <v>67</v>
      </c>
      <c r="T485" s="1">
        <v>0</v>
      </c>
      <c r="U485" s="16">
        <f>Games[[#This Row],[PointsFor]]-Games[[#This Row],[PointsAgainst]]</f>
        <v>11</v>
      </c>
      <c r="V485" s="16">
        <f>IF(Games[[#This Row],[MOV]]&gt;0,1,IF(Games[[#This Row],[MOV]]=0,0.5,0))</f>
        <v>1</v>
      </c>
      <c r="W485" s="4">
        <f>((ABS(Games[[#This Row],[MOV]])+5)^0.6)/(12+0.01*(ABS(Games[[#This Row],[PreGmRate]]-Games[[#This Row],[OppPreGmRate]])))*IF(Games[[#This Row],[OT]]=1,0.9,1)</f>
        <v>0.40298088151381339</v>
      </c>
      <c r="X485" s="7" cm="1">
        <f t="array" ref="X4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5" s="9">
        <f>MAX(kmin, kmax - 0.15 * MIN(Games[[#This Row],[GamesPlayed]], 82))</f>
        <v>69.849999999999994</v>
      </c>
      <c r="Z485" s="4">
        <f>Games[[#This Row],[K]]*Games[[#This Row],[POMult]]</f>
        <v>76.834999999999994</v>
      </c>
      <c r="AA485" s="4">
        <f>(Games[[#This Row],[Keff]]*Games[[#This Row],[MOVMult]])*(Games[[#This Row],[Result]]-Games[[#This Row],[ExpectedWin%]])</f>
        <v>7.6442836706851756</v>
      </c>
      <c r="AB485" s="4">
        <f>Games[[#This Row],[PreGmRate]]+Games[[#This Row],[RatingChange]]</f>
        <v>1682.5074030812973</v>
      </c>
      <c r="AC485" s="2">
        <f>IF(Games[[#This Row],[Type]]="R",IF(Games[[#This Row],[Result]]&gt;0.5,1,0),0)</f>
        <v>0</v>
      </c>
      <c r="AD485" s="2">
        <f>IF(Games[[#This Row],[Type]]="R",IF(Games[[#This Row],[Result]]&lt;0.5,1,0),0)</f>
        <v>0</v>
      </c>
      <c r="AE485" s="2">
        <f>IF(AND(Games[[#This Row],[Type]]="P",Games[[#This Row],[Round]]=1),IF(Games[[#This Row],[Result]]&gt;0.5,1,0),0)</f>
        <v>1</v>
      </c>
      <c r="AF485" s="2">
        <f>IF(AND(Games[[#This Row],[Type]]="P",Games[[#This Row],[Round]]=1),IF(Games[[#This Row],[Result]]&lt;0.5,1,0),0)</f>
        <v>0</v>
      </c>
      <c r="AG485" s="2">
        <f>IF(AND(Games[[#This Row],[Type]]="P",Games[[#This Row],[Round]]=2),IF(Games[[#This Row],[Result]]&gt;0.5,1,0),0)</f>
        <v>0</v>
      </c>
      <c r="AH485" s="2">
        <f>IF(AND(Games[[#This Row],[Type]]="P",Games[[#This Row],[Round]]=2),IF(Games[[#This Row],[Result]]&lt;0.5,1,0),0)</f>
        <v>0</v>
      </c>
      <c r="AI485" s="2">
        <f>IF(AND(Games[[#This Row],[Type]]="P",Games[[#This Row],[Round]]=3),IF(Games[[#This Row],[Result]]&gt;0.5,1,0),0)</f>
        <v>0</v>
      </c>
      <c r="AJ485" s="2">
        <f>IF(AND(Games[[#This Row],[Type]]="P",Games[[#This Row],[Round]]=3),IF(Games[[#This Row],[Result]]&lt;0.5,1,0),0)</f>
        <v>0</v>
      </c>
      <c r="AK485" s="2">
        <f>IF(AND(Games[[#This Row],[Type]]="P",Games[[#This Row],[Round]]=4),IF(Games[[#This Row],[Result]]&gt;0.5,1,0),0)</f>
        <v>0</v>
      </c>
      <c r="AL485" s="2">
        <f>IF(AND(Games[[#This Row],[Type]]="P",Games[[#This Row],[Round]]=4),IF(Games[[#This Row],[Result]]&lt;0.5,1,0),0)</f>
        <v>0</v>
      </c>
    </row>
    <row r="486" spans="1:38" x14ac:dyDescent="0.35">
      <c r="A486" s="10">
        <v>45557</v>
      </c>
      <c r="B486" s="2">
        <v>2024</v>
      </c>
      <c r="C486" s="2">
        <f>COUNTIFS(Games[Team],Games[[#This Row],[Team]],Games[Season],Games[[#This Row],[Season]],Games[Date],"&lt;=" &amp; Games[[#This Row],[Date]])</f>
        <v>41</v>
      </c>
      <c r="D486" s="2" t="s">
        <v>83</v>
      </c>
      <c r="E486" s="2">
        <v>1</v>
      </c>
      <c r="F486" s="1" t="s">
        <v>40</v>
      </c>
      <c r="G486" s="1" t="s">
        <v>67</v>
      </c>
      <c r="H486" s="1" t="s">
        <v>81</v>
      </c>
      <c r="I486" s="2" cm="1">
        <f t="array" ref="I4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6" s="2" cm="1">
        <f t="array" ref="J4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6" s="2">
        <f>Games[[#This Row],[DaysOff]]-Games[[#This Row],[OppDaysOff]]</f>
        <v>0</v>
      </c>
      <c r="L486" s="2">
        <f>Games[[#This Row],[OppDaysOff]]-Games[[#This Row],[DaysOff]]</f>
        <v>0</v>
      </c>
      <c r="M486" s="16">
        <f>MAX(-16, MIN(16, Games[[#This Row],[RestDiff]]*8))</f>
        <v>0</v>
      </c>
      <c r="N486" s="16">
        <f>MAX(-16, MIN(16, Games[[#This Row],[OppRestDiff]]*8))</f>
        <v>0</v>
      </c>
      <c r="O486" s="4" cm="1">
        <f t="array" ref="O4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1419.7799263923648</v>
      </c>
      <c r="P486" s="4" cm="1">
        <f t="array" ref="P4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1649.0480896379268</v>
      </c>
      <c r="Q486" s="4">
        <f>1/(1+10^(((Games[[#This Row],[OppPreGmRate]]+IF(Games[[#This Row],[HomeAway]]="A",HCA,0)+Games[[#This Row],[OppRestAdj]])-(Games[[#This Row],[PreGmRate]]+IF(Games[[#This Row],[HomeAway]]="H",HCA,0)+Games[[#This Row],[RestAdj]]))/400))</f>
        <v>0.14144782802742456</v>
      </c>
      <c r="R486" s="1">
        <v>95</v>
      </c>
      <c r="S486" s="1">
        <v>102</v>
      </c>
      <c r="T486" s="1">
        <v>0</v>
      </c>
      <c r="U486" s="16">
        <f>Games[[#This Row],[PointsFor]]-Games[[#This Row],[PointsAgainst]]</f>
        <v>-7</v>
      </c>
      <c r="V486" s="16">
        <f>IF(Games[[#This Row],[MOV]]&gt;0,1,IF(Games[[#This Row],[MOV]]=0,0.5,0))</f>
        <v>0</v>
      </c>
      <c r="W486" s="4">
        <f>((ABS(Games[[#This Row],[MOV]])+5)^0.6)/(12+0.01*(ABS(Games[[#This Row],[PreGmRate]]-Games[[#This Row],[OppPreGmRate]])))*IF(Games[[#This Row],[OT]]=1,0.9,1)</f>
        <v>0.31073847330095361</v>
      </c>
      <c r="X486" s="7" cm="1">
        <f t="array" ref="X4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6" s="9">
        <f>MAX(kmin, kmax - 0.15 * MIN(Games[[#This Row],[GamesPlayed]], 82))</f>
        <v>69.849999999999994</v>
      </c>
      <c r="Z486" s="4">
        <f>Games[[#This Row],[K]]*Games[[#This Row],[POMult]]</f>
        <v>76.834999999999994</v>
      </c>
      <c r="AA486" s="4">
        <f>(Games[[#This Row],[Keff]]*Games[[#This Row],[MOVMult]])*(Games[[#This Row],[Result]]-Games[[#This Row],[ExpectedWin%]])</f>
        <v>-3.3771504326873449</v>
      </c>
      <c r="AB486" s="4">
        <f>Games[[#This Row],[PreGmRate]]+Games[[#This Row],[RatingChange]]</f>
        <v>1416.4027759596775</v>
      </c>
      <c r="AC486" s="2">
        <f>IF(Games[[#This Row],[Type]]="R",IF(Games[[#This Row],[Result]]&gt;0.5,1,0),0)</f>
        <v>0</v>
      </c>
      <c r="AD486" s="2">
        <f>IF(Games[[#This Row],[Type]]="R",IF(Games[[#This Row],[Result]]&lt;0.5,1,0),0)</f>
        <v>0</v>
      </c>
      <c r="AE486" s="2">
        <f>IF(AND(Games[[#This Row],[Type]]="P",Games[[#This Row],[Round]]=1),IF(Games[[#This Row],[Result]]&gt;0.5,1,0),0)</f>
        <v>0</v>
      </c>
      <c r="AF486" s="2">
        <f>IF(AND(Games[[#This Row],[Type]]="P",Games[[#This Row],[Round]]=1),IF(Games[[#This Row],[Result]]&lt;0.5,1,0),0)</f>
        <v>1</v>
      </c>
      <c r="AG486" s="2">
        <f>IF(AND(Games[[#This Row],[Type]]="P",Games[[#This Row],[Round]]=2),IF(Games[[#This Row],[Result]]&gt;0.5,1,0),0)</f>
        <v>0</v>
      </c>
      <c r="AH486" s="2">
        <f>IF(AND(Games[[#This Row],[Type]]="P",Games[[#This Row],[Round]]=2),IF(Games[[#This Row],[Result]]&lt;0.5,1,0),0)</f>
        <v>0</v>
      </c>
      <c r="AI486" s="2">
        <f>IF(AND(Games[[#This Row],[Type]]="P",Games[[#This Row],[Round]]=3),IF(Games[[#This Row],[Result]]&gt;0.5,1,0),0)</f>
        <v>0</v>
      </c>
      <c r="AJ486" s="2">
        <f>IF(AND(Games[[#This Row],[Type]]="P",Games[[#This Row],[Round]]=3),IF(Games[[#This Row],[Result]]&lt;0.5,1,0),0)</f>
        <v>0</v>
      </c>
      <c r="AK486" s="2">
        <f>IF(AND(Games[[#This Row],[Type]]="P",Games[[#This Row],[Round]]=4),IF(Games[[#This Row],[Result]]&gt;0.5,1,0),0)</f>
        <v>0</v>
      </c>
      <c r="AL486" s="2">
        <f>IF(AND(Games[[#This Row],[Type]]="P",Games[[#This Row],[Round]]=4),IF(Games[[#This Row],[Result]]&lt;0.5,1,0),0)</f>
        <v>0</v>
      </c>
    </row>
    <row r="487" spans="1:38" x14ac:dyDescent="0.35">
      <c r="A487" s="10">
        <v>45557</v>
      </c>
      <c r="B487" s="2">
        <v>2024</v>
      </c>
      <c r="C487" s="2">
        <f>COUNTIFS(Games[Team],Games[[#This Row],[Team]],Games[Season],Games[[#This Row],[Season]],Games[Date],"&lt;=" &amp; Games[[#This Row],[Date]])</f>
        <v>41</v>
      </c>
      <c r="D487" s="2" t="s">
        <v>83</v>
      </c>
      <c r="E487" s="2">
        <v>1</v>
      </c>
      <c r="F487" s="1" t="s">
        <v>67</v>
      </c>
      <c r="G487" s="1" t="s">
        <v>40</v>
      </c>
      <c r="H487" s="1" t="s">
        <v>82</v>
      </c>
      <c r="I487" s="2" cm="1">
        <f t="array" ref="I4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7" s="2" cm="1">
        <f t="array" ref="J4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7" s="2">
        <f>Games[[#This Row],[DaysOff]]-Games[[#This Row],[OppDaysOff]]</f>
        <v>0</v>
      </c>
      <c r="L487" s="2">
        <f>Games[[#This Row],[OppDaysOff]]-Games[[#This Row],[DaysOff]]</f>
        <v>0</v>
      </c>
      <c r="M487" s="16">
        <f>MAX(-16, MIN(16, Games[[#This Row],[RestDiff]]*8))</f>
        <v>0</v>
      </c>
      <c r="N487" s="16">
        <f>MAX(-16, MIN(16, Games[[#This Row],[OppRestDiff]]*8))</f>
        <v>0</v>
      </c>
      <c r="O487" s="4" cm="1">
        <f t="array" ref="O4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1649.0480896379268</v>
      </c>
      <c r="P487" s="4" cm="1">
        <f t="array" ref="P4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1419.7799263923648</v>
      </c>
      <c r="Q487" s="4">
        <f>1/(1+10^(((Games[[#This Row],[OppPreGmRate]]+IF(Games[[#This Row],[HomeAway]]="A",HCA,0)+Games[[#This Row],[OppRestAdj]])-(Games[[#This Row],[PreGmRate]]+IF(Games[[#This Row],[HomeAway]]="H",HCA,0)+Games[[#This Row],[RestAdj]]))/400))</f>
        <v>0.8585521719725755</v>
      </c>
      <c r="R487" s="1">
        <v>102</v>
      </c>
      <c r="S487" s="1">
        <v>95</v>
      </c>
      <c r="T487" s="1">
        <v>0</v>
      </c>
      <c r="U487" s="16">
        <f>Games[[#This Row],[PointsFor]]-Games[[#This Row],[PointsAgainst]]</f>
        <v>7</v>
      </c>
      <c r="V487" s="16">
        <f>IF(Games[[#This Row],[MOV]]&gt;0,1,IF(Games[[#This Row],[MOV]]=0,0.5,0))</f>
        <v>1</v>
      </c>
      <c r="W487" s="4">
        <f>((ABS(Games[[#This Row],[MOV]])+5)^0.6)/(12+0.01*(ABS(Games[[#This Row],[PreGmRate]]-Games[[#This Row],[OppPreGmRate]])))*IF(Games[[#This Row],[OT]]=1,0.9,1)</f>
        <v>0.31073847330095361</v>
      </c>
      <c r="X487" s="7" cm="1">
        <f t="array" ref="X4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7" s="9">
        <f>MAX(kmin, kmax - 0.15 * MIN(Games[[#This Row],[GamesPlayed]], 82))</f>
        <v>69.849999999999994</v>
      </c>
      <c r="Z487" s="4">
        <f>Games[[#This Row],[K]]*Games[[#This Row],[POMult]]</f>
        <v>76.834999999999994</v>
      </c>
      <c r="AA487" s="4">
        <f>(Games[[#This Row],[Keff]]*Games[[#This Row],[MOVMult]])*(Games[[#This Row],[Result]]-Games[[#This Row],[ExpectedWin%]])</f>
        <v>3.3771504326873436</v>
      </c>
      <c r="AB487" s="4">
        <f>Games[[#This Row],[PreGmRate]]+Games[[#This Row],[RatingChange]]</f>
        <v>1652.4252400706141</v>
      </c>
      <c r="AC487" s="2">
        <f>IF(Games[[#This Row],[Type]]="R",IF(Games[[#This Row],[Result]]&gt;0.5,1,0),0)</f>
        <v>0</v>
      </c>
      <c r="AD487" s="2">
        <f>IF(Games[[#This Row],[Type]]="R",IF(Games[[#This Row],[Result]]&lt;0.5,1,0),0)</f>
        <v>0</v>
      </c>
      <c r="AE487" s="2">
        <f>IF(AND(Games[[#This Row],[Type]]="P",Games[[#This Row],[Round]]=1),IF(Games[[#This Row],[Result]]&gt;0.5,1,0),0)</f>
        <v>1</v>
      </c>
      <c r="AF487" s="2">
        <f>IF(AND(Games[[#This Row],[Type]]="P",Games[[#This Row],[Round]]=1),IF(Games[[#This Row],[Result]]&lt;0.5,1,0),0)</f>
        <v>0</v>
      </c>
      <c r="AG487" s="2">
        <f>IF(AND(Games[[#This Row],[Type]]="P",Games[[#This Row],[Round]]=2),IF(Games[[#This Row],[Result]]&gt;0.5,1,0),0)</f>
        <v>0</v>
      </c>
      <c r="AH487" s="2">
        <f>IF(AND(Games[[#This Row],[Type]]="P",Games[[#This Row],[Round]]=2),IF(Games[[#This Row],[Result]]&lt;0.5,1,0),0)</f>
        <v>0</v>
      </c>
      <c r="AI487" s="2">
        <f>IF(AND(Games[[#This Row],[Type]]="P",Games[[#This Row],[Round]]=3),IF(Games[[#This Row],[Result]]&gt;0.5,1,0),0)</f>
        <v>0</v>
      </c>
      <c r="AJ487" s="2">
        <f>IF(AND(Games[[#This Row],[Type]]="P",Games[[#This Row],[Round]]=3),IF(Games[[#This Row],[Result]]&lt;0.5,1,0),0)</f>
        <v>0</v>
      </c>
      <c r="AK487" s="2">
        <f>IF(AND(Games[[#This Row],[Type]]="P",Games[[#This Row],[Round]]=4),IF(Games[[#This Row],[Result]]&gt;0.5,1,0),0)</f>
        <v>0</v>
      </c>
      <c r="AL487" s="2">
        <f>IF(AND(Games[[#This Row],[Type]]="P",Games[[#This Row],[Round]]=4),IF(Games[[#This Row],[Result]]&lt;0.5,1,0),0)</f>
        <v>0</v>
      </c>
    </row>
    <row r="488" spans="1:38" x14ac:dyDescent="0.35">
      <c r="A488" s="10">
        <v>45557</v>
      </c>
      <c r="B488" s="2">
        <v>2024</v>
      </c>
      <c r="C488" s="2">
        <f>COUNTIFS(Games[Team],Games[[#This Row],[Team]],Games[Season],Games[[#This Row],[Season]],Games[Date],"&lt;=" &amp; Games[[#This Row],[Date]])</f>
        <v>41</v>
      </c>
      <c r="D488" s="2" t="s">
        <v>83</v>
      </c>
      <c r="E488" s="2">
        <v>1</v>
      </c>
      <c r="F488" s="1" t="s">
        <v>77</v>
      </c>
      <c r="G488" s="1" t="s">
        <v>60</v>
      </c>
      <c r="H488" s="1" t="s">
        <v>81</v>
      </c>
      <c r="I488" s="2" cm="1">
        <f t="array" ref="I4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8" s="2" cm="1">
        <f t="array" ref="J4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8" s="2">
        <f>Games[[#This Row],[DaysOff]]-Games[[#This Row],[OppDaysOff]]</f>
        <v>0</v>
      </c>
      <c r="L488" s="2">
        <f>Games[[#This Row],[OppDaysOff]]-Games[[#This Row],[DaysOff]]</f>
        <v>0</v>
      </c>
      <c r="M488" s="16">
        <f>MAX(-16, MIN(16, Games[[#This Row],[RestDiff]]*8))</f>
        <v>0</v>
      </c>
      <c r="N488" s="16">
        <f>MAX(-16, MIN(16, Games[[#This Row],[OppRestDiff]]*8))</f>
        <v>0</v>
      </c>
      <c r="O488" s="4" cm="1">
        <f t="array" ref="O4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1431.384107679075</v>
      </c>
      <c r="P488" s="4" cm="1">
        <f t="array" ref="P4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1705.2327922808752</v>
      </c>
      <c r="Q488" s="4">
        <f>1/(1+10^(((Games[[#This Row],[OppPreGmRate]]+IF(Games[[#This Row],[HomeAway]]="A",HCA,0)+Games[[#This Row],[OppRestAdj]])-(Games[[#This Row],[PreGmRate]]+IF(Games[[#This Row],[HomeAway]]="H",HCA,0)+Games[[#This Row],[RestAdj]]))/400))</f>
        <v>0.11305158381285751</v>
      </c>
      <c r="R488" s="1">
        <v>69</v>
      </c>
      <c r="S488" s="1">
        <v>83</v>
      </c>
      <c r="T488" s="1">
        <v>0</v>
      </c>
      <c r="U488" s="16">
        <f>Games[[#This Row],[PointsFor]]-Games[[#This Row],[PointsAgainst]]</f>
        <v>-14</v>
      </c>
      <c r="V488" s="16">
        <f>IF(Games[[#This Row],[MOV]]&gt;0,1,IF(Games[[#This Row],[MOV]]=0,0.5,0))</f>
        <v>0</v>
      </c>
      <c r="W488" s="4">
        <f>((ABS(Games[[#This Row],[MOV]])+5)^0.6)/(12+0.01*(ABS(Games[[#This Row],[PreGmRate]]-Games[[#This Row],[OppPreGmRate]])))*IF(Games[[#This Row],[OT]]=1,0.9,1)</f>
        <v>0.39700800384335927</v>
      </c>
      <c r="X488" s="7" cm="1">
        <f t="array" ref="X4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8" s="9">
        <f>MAX(kmin, kmax - 0.15 * MIN(Games[[#This Row],[GamesPlayed]], 82))</f>
        <v>69.849999999999994</v>
      </c>
      <c r="Z488" s="4">
        <f>Games[[#This Row],[K]]*Games[[#This Row],[POMult]]</f>
        <v>76.834999999999994</v>
      </c>
      <c r="AA488" s="4">
        <f>(Games[[#This Row],[Keff]]*Games[[#This Row],[MOVMult]])*(Games[[#This Row],[Result]]-Games[[#This Row],[ExpectedWin%]])</f>
        <v>-3.4485379455097602</v>
      </c>
      <c r="AB488" s="4">
        <f>Games[[#This Row],[PreGmRate]]+Games[[#This Row],[RatingChange]]</f>
        <v>1427.9355697335652</v>
      </c>
      <c r="AC488" s="2">
        <f>IF(Games[[#This Row],[Type]]="R",IF(Games[[#This Row],[Result]]&gt;0.5,1,0),0)</f>
        <v>0</v>
      </c>
      <c r="AD488" s="2">
        <f>IF(Games[[#This Row],[Type]]="R",IF(Games[[#This Row],[Result]]&lt;0.5,1,0),0)</f>
        <v>0</v>
      </c>
      <c r="AE488" s="2">
        <f>IF(AND(Games[[#This Row],[Type]]="P",Games[[#This Row],[Round]]=1),IF(Games[[#This Row],[Result]]&gt;0.5,1,0),0)</f>
        <v>0</v>
      </c>
      <c r="AF488" s="2">
        <f>IF(AND(Games[[#This Row],[Type]]="P",Games[[#This Row],[Round]]=1),IF(Games[[#This Row],[Result]]&lt;0.5,1,0),0)</f>
        <v>1</v>
      </c>
      <c r="AG488" s="2">
        <f>IF(AND(Games[[#This Row],[Type]]="P",Games[[#This Row],[Round]]=2),IF(Games[[#This Row],[Result]]&gt;0.5,1,0),0)</f>
        <v>0</v>
      </c>
      <c r="AH488" s="2">
        <f>IF(AND(Games[[#This Row],[Type]]="P",Games[[#This Row],[Round]]=2),IF(Games[[#This Row],[Result]]&lt;0.5,1,0),0)</f>
        <v>0</v>
      </c>
      <c r="AI488" s="2">
        <f>IF(AND(Games[[#This Row],[Type]]="P",Games[[#This Row],[Round]]=3),IF(Games[[#This Row],[Result]]&gt;0.5,1,0),0)</f>
        <v>0</v>
      </c>
      <c r="AJ488" s="2">
        <f>IF(AND(Games[[#This Row],[Type]]="P",Games[[#This Row],[Round]]=3),IF(Games[[#This Row],[Result]]&lt;0.5,1,0),0)</f>
        <v>0</v>
      </c>
      <c r="AK488" s="2">
        <f>IF(AND(Games[[#This Row],[Type]]="P",Games[[#This Row],[Round]]=4),IF(Games[[#This Row],[Result]]&gt;0.5,1,0),0)</f>
        <v>0</v>
      </c>
      <c r="AL488" s="2">
        <f>IF(AND(Games[[#This Row],[Type]]="P",Games[[#This Row],[Round]]=4),IF(Games[[#This Row],[Result]]&lt;0.5,1,0),0)</f>
        <v>0</v>
      </c>
    </row>
    <row r="489" spans="1:38" x14ac:dyDescent="0.35">
      <c r="A489" s="10">
        <v>45557</v>
      </c>
      <c r="B489" s="2">
        <v>2024</v>
      </c>
      <c r="C489" s="2">
        <f>COUNTIFS(Games[Team],Games[[#This Row],[Team]],Games[Season],Games[[#This Row],[Season]],Games[Date],"&lt;=" &amp; Games[[#This Row],[Date]])</f>
        <v>41</v>
      </c>
      <c r="D489" s="2" t="s">
        <v>83</v>
      </c>
      <c r="E489" s="2">
        <v>1</v>
      </c>
      <c r="F489" s="1" t="s">
        <v>60</v>
      </c>
      <c r="G489" s="1" t="s">
        <v>77</v>
      </c>
      <c r="H489" s="1" t="s">
        <v>82</v>
      </c>
      <c r="I489" s="2" cm="1">
        <f t="array" ref="I4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9" s="2" cm="1">
        <f t="array" ref="J4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9" s="2">
        <f>Games[[#This Row],[DaysOff]]-Games[[#This Row],[OppDaysOff]]</f>
        <v>0</v>
      </c>
      <c r="L489" s="2">
        <f>Games[[#This Row],[OppDaysOff]]-Games[[#This Row],[DaysOff]]</f>
        <v>0</v>
      </c>
      <c r="M489" s="16">
        <f>MAX(-16, MIN(16, Games[[#This Row],[RestDiff]]*8))</f>
        <v>0</v>
      </c>
      <c r="N489" s="16">
        <f>MAX(-16, MIN(16, Games[[#This Row],[OppRestDiff]]*8))</f>
        <v>0</v>
      </c>
      <c r="O489" s="4" cm="1">
        <f t="array" ref="O4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1705.2327922808752</v>
      </c>
      <c r="P489" s="4" cm="1">
        <f t="array" ref="P4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1431.384107679075</v>
      </c>
      <c r="Q489" s="4">
        <f>1/(1+10^(((Games[[#This Row],[OppPreGmRate]]+IF(Games[[#This Row],[HomeAway]]="A",HCA,0)+Games[[#This Row],[OppRestAdj]])-(Games[[#This Row],[PreGmRate]]+IF(Games[[#This Row],[HomeAway]]="H",HCA,0)+Games[[#This Row],[RestAdj]]))/400))</f>
        <v>0.88694841618714249</v>
      </c>
      <c r="R489" s="1">
        <v>83</v>
      </c>
      <c r="S489" s="1">
        <v>69</v>
      </c>
      <c r="T489" s="1">
        <v>0</v>
      </c>
      <c r="U489" s="16">
        <f>Games[[#This Row],[PointsFor]]-Games[[#This Row],[PointsAgainst]]</f>
        <v>14</v>
      </c>
      <c r="V489" s="16">
        <f>IF(Games[[#This Row],[MOV]]&gt;0,1,IF(Games[[#This Row],[MOV]]=0,0.5,0))</f>
        <v>1</v>
      </c>
      <c r="W489" s="4">
        <f>((ABS(Games[[#This Row],[MOV]])+5)^0.6)/(12+0.01*(ABS(Games[[#This Row],[PreGmRate]]-Games[[#This Row],[OppPreGmRate]])))*IF(Games[[#This Row],[OT]]=1,0.9,1)</f>
        <v>0.39700800384335927</v>
      </c>
      <c r="X489" s="7" cm="1">
        <f t="array" ref="X4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9" s="9">
        <f>MAX(kmin, kmax - 0.15 * MIN(Games[[#This Row],[GamesPlayed]], 82))</f>
        <v>69.849999999999994</v>
      </c>
      <c r="Z489" s="4">
        <f>Games[[#This Row],[K]]*Games[[#This Row],[POMult]]</f>
        <v>76.834999999999994</v>
      </c>
      <c r="AA489" s="4">
        <f>(Games[[#This Row],[Keff]]*Games[[#This Row],[MOVMult]])*(Games[[#This Row],[Result]]-Games[[#This Row],[ExpectedWin%]])</f>
        <v>3.4485379455097602</v>
      </c>
      <c r="AB489" s="4">
        <f>Games[[#This Row],[PreGmRate]]+Games[[#This Row],[RatingChange]]</f>
        <v>1708.6813302263849</v>
      </c>
      <c r="AC489" s="2">
        <f>IF(Games[[#This Row],[Type]]="R",IF(Games[[#This Row],[Result]]&gt;0.5,1,0),0)</f>
        <v>0</v>
      </c>
      <c r="AD489" s="2">
        <f>IF(Games[[#This Row],[Type]]="R",IF(Games[[#This Row],[Result]]&lt;0.5,1,0),0)</f>
        <v>0</v>
      </c>
      <c r="AE489" s="2">
        <f>IF(AND(Games[[#This Row],[Type]]="P",Games[[#This Row],[Round]]=1),IF(Games[[#This Row],[Result]]&gt;0.5,1,0),0)</f>
        <v>1</v>
      </c>
      <c r="AF489" s="2">
        <f>IF(AND(Games[[#This Row],[Type]]="P",Games[[#This Row],[Round]]=1),IF(Games[[#This Row],[Result]]&lt;0.5,1,0),0)</f>
        <v>0</v>
      </c>
      <c r="AG489" s="2">
        <f>IF(AND(Games[[#This Row],[Type]]="P",Games[[#This Row],[Round]]=2),IF(Games[[#This Row],[Result]]&gt;0.5,1,0),0)</f>
        <v>0</v>
      </c>
      <c r="AH489" s="2">
        <f>IF(AND(Games[[#This Row],[Type]]="P",Games[[#This Row],[Round]]=2),IF(Games[[#This Row],[Result]]&lt;0.5,1,0),0)</f>
        <v>0</v>
      </c>
      <c r="AI489" s="2">
        <f>IF(AND(Games[[#This Row],[Type]]="P",Games[[#This Row],[Round]]=3),IF(Games[[#This Row],[Result]]&gt;0.5,1,0),0)</f>
        <v>0</v>
      </c>
      <c r="AJ489" s="2">
        <f>IF(AND(Games[[#This Row],[Type]]="P",Games[[#This Row],[Round]]=3),IF(Games[[#This Row],[Result]]&lt;0.5,1,0),0)</f>
        <v>0</v>
      </c>
      <c r="AK489" s="2">
        <f>IF(AND(Games[[#This Row],[Type]]="P",Games[[#This Row],[Round]]=4),IF(Games[[#This Row],[Result]]&gt;0.5,1,0),0)</f>
        <v>0</v>
      </c>
      <c r="AL489" s="2">
        <f>IF(AND(Games[[#This Row],[Type]]="P",Games[[#This Row],[Round]]=4),IF(Games[[#This Row],[Result]]&lt;0.5,1,0),0)</f>
        <v>0</v>
      </c>
    </row>
    <row r="490" spans="1:38" x14ac:dyDescent="0.35">
      <c r="A490" s="10">
        <v>45559</v>
      </c>
      <c r="B490" s="2">
        <v>2024</v>
      </c>
      <c r="C490" s="2">
        <f>COUNTIFS(Games[Team],Games[[#This Row],[Team]],Games[Season],Games[[#This Row],[Season]],Games[Date],"&lt;=" &amp; Games[[#This Row],[Date]])</f>
        <v>42</v>
      </c>
      <c r="D490" s="2" t="s">
        <v>83</v>
      </c>
      <c r="E490" s="2">
        <v>1</v>
      </c>
      <c r="F490" s="1" t="s">
        <v>71</v>
      </c>
      <c r="G490" s="1" t="s">
        <v>86</v>
      </c>
      <c r="H490" s="1" t="s">
        <v>81</v>
      </c>
      <c r="I490" s="2" cm="1">
        <f t="array" ref="I4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0" s="2" cm="1">
        <f t="array" ref="J4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0" s="2">
        <f>Games[[#This Row],[DaysOff]]-Games[[#This Row],[OppDaysOff]]</f>
        <v>0</v>
      </c>
      <c r="L490" s="2">
        <f>Games[[#This Row],[OppDaysOff]]-Games[[#This Row],[DaysOff]]</f>
        <v>0</v>
      </c>
      <c r="M490" s="16">
        <f>MAX(-16, MIN(16, Games[[#This Row],[RestDiff]]*8))</f>
        <v>0</v>
      </c>
      <c r="N490" s="16">
        <f>MAX(-16, MIN(16, Games[[#This Row],[OppRestDiff]]*8))</f>
        <v>0</v>
      </c>
      <c r="O490" s="4" cm="1">
        <f t="array" ref="O4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1557.471429544267</v>
      </c>
      <c r="P490" s="4" cm="1">
        <f t="array" ref="P4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1682.5074030812973</v>
      </c>
      <c r="Q490" s="4">
        <f>1/(1+10^(((Games[[#This Row],[OppPreGmRate]]+IF(Games[[#This Row],[HomeAway]]="A",HCA,0)+Games[[#This Row],[OppRestAdj]])-(Games[[#This Row],[PreGmRate]]+IF(Games[[#This Row],[HomeAway]]="H",HCA,0)+Games[[#This Row],[RestAdj]]))/400))</f>
        <v>0.23088730153371859</v>
      </c>
      <c r="R490" s="1">
        <v>76</v>
      </c>
      <c r="S490" s="1">
        <v>83</v>
      </c>
      <c r="T490" s="1">
        <v>0</v>
      </c>
      <c r="U490" s="16">
        <f>Games[[#This Row],[PointsFor]]-Games[[#This Row],[PointsAgainst]]</f>
        <v>-7</v>
      </c>
      <c r="V490" s="16">
        <f>IF(Games[[#This Row],[MOV]]&gt;0,1,IF(Games[[#This Row],[MOV]]=0,0.5,0))</f>
        <v>0</v>
      </c>
      <c r="W490" s="4">
        <f>((ABS(Games[[#This Row],[MOV]])+5)^0.6)/(12+0.01*(ABS(Games[[#This Row],[PreGmRate]]-Games[[#This Row],[OppPreGmRate]])))*IF(Games[[#This Row],[OT]]=1,0.9,1)</f>
        <v>0.33518230135219201</v>
      </c>
      <c r="X490" s="7" cm="1">
        <f t="array" ref="X4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0" s="9">
        <f>MAX(kmin, kmax - 0.15 * MIN(Games[[#This Row],[GamesPlayed]], 82))</f>
        <v>69.7</v>
      </c>
      <c r="Z490" s="4">
        <f>Games[[#This Row],[K]]*Games[[#This Row],[POMult]]</f>
        <v>76.670000000000016</v>
      </c>
      <c r="AA490" s="4">
        <f>(Games[[#This Row],[Keff]]*Games[[#This Row],[MOVMult]])*(Games[[#This Row],[Result]]-Games[[#This Row],[ExpectedWin%]])</f>
        <v>-5.9334404740055833</v>
      </c>
      <c r="AB490" s="4">
        <f>Games[[#This Row],[PreGmRate]]+Games[[#This Row],[RatingChange]]</f>
        <v>1551.5379890702613</v>
      </c>
      <c r="AC490" s="2">
        <f>IF(Games[[#This Row],[Type]]="R",IF(Games[[#This Row],[Result]]&gt;0.5,1,0),0)</f>
        <v>0</v>
      </c>
      <c r="AD490" s="2">
        <f>IF(Games[[#This Row],[Type]]="R",IF(Games[[#This Row],[Result]]&lt;0.5,1,0),0)</f>
        <v>0</v>
      </c>
      <c r="AE490" s="2">
        <f>IF(AND(Games[[#This Row],[Type]]="P",Games[[#This Row],[Round]]=1),IF(Games[[#This Row],[Result]]&gt;0.5,1,0),0)</f>
        <v>0</v>
      </c>
      <c r="AF490" s="2">
        <f>IF(AND(Games[[#This Row],[Type]]="P",Games[[#This Row],[Round]]=1),IF(Games[[#This Row],[Result]]&lt;0.5,1,0),0)</f>
        <v>1</v>
      </c>
      <c r="AG490" s="2">
        <f>IF(AND(Games[[#This Row],[Type]]="P",Games[[#This Row],[Round]]=2),IF(Games[[#This Row],[Result]]&gt;0.5,1,0),0)</f>
        <v>0</v>
      </c>
      <c r="AH490" s="2">
        <f>IF(AND(Games[[#This Row],[Type]]="P",Games[[#This Row],[Round]]=2),IF(Games[[#This Row],[Result]]&lt;0.5,1,0),0)</f>
        <v>0</v>
      </c>
      <c r="AI490" s="2">
        <f>IF(AND(Games[[#This Row],[Type]]="P",Games[[#This Row],[Round]]=3),IF(Games[[#This Row],[Result]]&gt;0.5,1,0),0)</f>
        <v>0</v>
      </c>
      <c r="AJ490" s="2">
        <f>IF(AND(Games[[#This Row],[Type]]="P",Games[[#This Row],[Round]]=3),IF(Games[[#This Row],[Result]]&lt;0.5,1,0),0)</f>
        <v>0</v>
      </c>
      <c r="AK490" s="2">
        <f>IF(AND(Games[[#This Row],[Type]]="P",Games[[#This Row],[Round]]=4),IF(Games[[#This Row],[Result]]&gt;0.5,1,0),0)</f>
        <v>0</v>
      </c>
      <c r="AL490" s="2">
        <f>IF(AND(Games[[#This Row],[Type]]="P",Games[[#This Row],[Round]]=4),IF(Games[[#This Row],[Result]]&lt;0.5,1,0),0)</f>
        <v>0</v>
      </c>
    </row>
    <row r="491" spans="1:38" x14ac:dyDescent="0.35">
      <c r="A491" s="10">
        <v>45559</v>
      </c>
      <c r="B491" s="2">
        <v>2024</v>
      </c>
      <c r="C491" s="2">
        <f>COUNTIFS(Games[Team],Games[[#This Row],[Team]],Games[Season],Games[[#This Row],[Season]],Games[Date],"&lt;=" &amp; Games[[#This Row],[Date]])</f>
        <v>42</v>
      </c>
      <c r="D491" s="2" t="s">
        <v>83</v>
      </c>
      <c r="E491" s="2">
        <v>1</v>
      </c>
      <c r="F491" s="1" t="s">
        <v>86</v>
      </c>
      <c r="G491" s="1" t="s">
        <v>71</v>
      </c>
      <c r="H491" s="1" t="s">
        <v>82</v>
      </c>
      <c r="I491" s="2" cm="1">
        <f t="array" ref="I4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1" s="2" cm="1">
        <f t="array" ref="J4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1" s="2">
        <f>Games[[#This Row],[DaysOff]]-Games[[#This Row],[OppDaysOff]]</f>
        <v>0</v>
      </c>
      <c r="L491" s="2">
        <f>Games[[#This Row],[OppDaysOff]]-Games[[#This Row],[DaysOff]]</f>
        <v>0</v>
      </c>
      <c r="M491" s="16">
        <f>MAX(-16, MIN(16, Games[[#This Row],[RestDiff]]*8))</f>
        <v>0</v>
      </c>
      <c r="N491" s="16">
        <f>MAX(-16, MIN(16, Games[[#This Row],[OppRestDiff]]*8))</f>
        <v>0</v>
      </c>
      <c r="O491" s="4" cm="1">
        <f t="array" ref="O4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1682.5074030812973</v>
      </c>
      <c r="P491" s="4" cm="1">
        <f t="array" ref="P4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1557.471429544267</v>
      </c>
      <c r="Q491" s="4">
        <f>1/(1+10^(((Games[[#This Row],[OppPreGmRate]]+IF(Games[[#This Row],[HomeAway]]="A",HCA,0)+Games[[#This Row],[OppRestAdj]])-(Games[[#This Row],[PreGmRate]]+IF(Games[[#This Row],[HomeAway]]="H",HCA,0)+Games[[#This Row],[RestAdj]]))/400))</f>
        <v>0.7691126984662815</v>
      </c>
      <c r="R491" s="1">
        <v>83</v>
      </c>
      <c r="S491" s="1">
        <v>76</v>
      </c>
      <c r="T491" s="1">
        <v>0</v>
      </c>
      <c r="U491" s="16">
        <f>Games[[#This Row],[PointsFor]]-Games[[#This Row],[PointsAgainst]]</f>
        <v>7</v>
      </c>
      <c r="V491" s="16">
        <f>IF(Games[[#This Row],[MOV]]&gt;0,1,IF(Games[[#This Row],[MOV]]=0,0.5,0))</f>
        <v>1</v>
      </c>
      <c r="W491" s="4">
        <f>((ABS(Games[[#This Row],[MOV]])+5)^0.6)/(12+0.01*(ABS(Games[[#This Row],[PreGmRate]]-Games[[#This Row],[OppPreGmRate]])))*IF(Games[[#This Row],[OT]]=1,0.9,1)</f>
        <v>0.33518230135219201</v>
      </c>
      <c r="X491" s="7" cm="1">
        <f t="array" ref="X4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1" s="9">
        <f>MAX(kmin, kmax - 0.15 * MIN(Games[[#This Row],[GamesPlayed]], 82))</f>
        <v>69.7</v>
      </c>
      <c r="Z491" s="4">
        <f>Games[[#This Row],[K]]*Games[[#This Row],[POMult]]</f>
        <v>76.670000000000016</v>
      </c>
      <c r="AA491" s="4">
        <f>(Games[[#This Row],[Keff]]*Games[[#This Row],[MOVMult]])*(Games[[#This Row],[Result]]-Games[[#This Row],[ExpectedWin%]])</f>
        <v>5.9334404740055815</v>
      </c>
      <c r="AB491" s="4">
        <f>Games[[#This Row],[PreGmRate]]+Games[[#This Row],[RatingChange]]</f>
        <v>1688.440843555303</v>
      </c>
      <c r="AC491" s="2">
        <f>IF(Games[[#This Row],[Type]]="R",IF(Games[[#This Row],[Result]]&gt;0.5,1,0),0)</f>
        <v>0</v>
      </c>
      <c r="AD491" s="2">
        <f>IF(Games[[#This Row],[Type]]="R",IF(Games[[#This Row],[Result]]&lt;0.5,1,0),0)</f>
        <v>0</v>
      </c>
      <c r="AE491" s="2">
        <f>IF(AND(Games[[#This Row],[Type]]="P",Games[[#This Row],[Round]]=1),IF(Games[[#This Row],[Result]]&gt;0.5,1,0),0)</f>
        <v>1</v>
      </c>
      <c r="AF491" s="2">
        <f>IF(AND(Games[[#This Row],[Type]]="P",Games[[#This Row],[Round]]=1),IF(Games[[#This Row],[Result]]&lt;0.5,1,0),0)</f>
        <v>0</v>
      </c>
      <c r="AG491" s="2">
        <f>IF(AND(Games[[#This Row],[Type]]="P",Games[[#This Row],[Round]]=2),IF(Games[[#This Row],[Result]]&gt;0.5,1,0),0)</f>
        <v>0</v>
      </c>
      <c r="AH491" s="2">
        <f>IF(AND(Games[[#This Row],[Type]]="P",Games[[#This Row],[Round]]=2),IF(Games[[#This Row],[Result]]&lt;0.5,1,0),0)</f>
        <v>0</v>
      </c>
      <c r="AI491" s="2">
        <f>IF(AND(Games[[#This Row],[Type]]="P",Games[[#This Row],[Round]]=3),IF(Games[[#This Row],[Result]]&gt;0.5,1,0),0)</f>
        <v>0</v>
      </c>
      <c r="AJ491" s="2">
        <f>IF(AND(Games[[#This Row],[Type]]="P",Games[[#This Row],[Round]]=3),IF(Games[[#This Row],[Result]]&lt;0.5,1,0),0)</f>
        <v>0</v>
      </c>
      <c r="AK491" s="2">
        <f>IF(AND(Games[[#This Row],[Type]]="P",Games[[#This Row],[Round]]=4),IF(Games[[#This Row],[Result]]&gt;0.5,1,0),0)</f>
        <v>0</v>
      </c>
      <c r="AL491" s="2">
        <f>IF(AND(Games[[#This Row],[Type]]="P",Games[[#This Row],[Round]]=4),IF(Games[[#This Row],[Result]]&lt;0.5,1,0),0)</f>
        <v>0</v>
      </c>
    </row>
    <row r="492" spans="1:38" x14ac:dyDescent="0.35">
      <c r="A492" s="10">
        <v>45559</v>
      </c>
      <c r="B492" s="2">
        <v>2024</v>
      </c>
      <c r="C492" s="2">
        <f>COUNTIFS(Games[Team],Games[[#This Row],[Team]],Games[Season],Games[[#This Row],[Season]],Games[Date],"&lt;=" &amp; Games[[#This Row],[Date]])</f>
        <v>42</v>
      </c>
      <c r="D492" s="2" t="s">
        <v>83</v>
      </c>
      <c r="E492" s="2">
        <v>1</v>
      </c>
      <c r="F492" s="1" t="s">
        <v>77</v>
      </c>
      <c r="G492" s="1" t="s">
        <v>60</v>
      </c>
      <c r="H492" s="1" t="s">
        <v>81</v>
      </c>
      <c r="I492" s="2" cm="1">
        <f t="array" ref="I4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2" s="2" cm="1">
        <f t="array" ref="J4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2" s="2">
        <f>Games[[#This Row],[DaysOff]]-Games[[#This Row],[OppDaysOff]]</f>
        <v>0</v>
      </c>
      <c r="L492" s="2">
        <f>Games[[#This Row],[OppDaysOff]]-Games[[#This Row],[DaysOff]]</f>
        <v>0</v>
      </c>
      <c r="M492" s="16">
        <f>MAX(-16, MIN(16, Games[[#This Row],[RestDiff]]*8))</f>
        <v>0</v>
      </c>
      <c r="N492" s="16">
        <f>MAX(-16, MIN(16, Games[[#This Row],[OppRestDiff]]*8))</f>
        <v>0</v>
      </c>
      <c r="O492" s="4" cm="1">
        <f t="array" ref="O4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1427.9355697335652</v>
      </c>
      <c r="P492" s="4" cm="1">
        <f t="array" ref="P4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1708.6813302263849</v>
      </c>
      <c r="Q492" s="4">
        <f>1/(1+10^(((Games[[#This Row],[OppPreGmRate]]+IF(Games[[#This Row],[HomeAway]]="A",HCA,0)+Games[[#This Row],[OppRestAdj]])-(Games[[#This Row],[PreGmRate]]+IF(Games[[#This Row],[HomeAway]]="H",HCA,0)+Games[[#This Row],[RestAdj]]))/400))</f>
        <v>0.10913129344112524</v>
      </c>
      <c r="R492" s="1">
        <v>82</v>
      </c>
      <c r="S492" s="1">
        <v>91</v>
      </c>
      <c r="T492" s="1">
        <v>0</v>
      </c>
      <c r="U492" s="16">
        <f>Games[[#This Row],[PointsFor]]-Games[[#This Row],[PointsAgainst]]</f>
        <v>-9</v>
      </c>
      <c r="V492" s="16">
        <f>IF(Games[[#This Row],[MOV]]&gt;0,1,IF(Games[[#This Row],[MOV]]=0,0.5,0))</f>
        <v>0</v>
      </c>
      <c r="W492" s="4">
        <f>((ABS(Games[[#This Row],[MOV]])+5)^0.6)/(12+0.01*(ABS(Games[[#This Row],[PreGmRate]]-Games[[#This Row],[OppPreGmRate]])))*IF(Games[[#This Row],[OT]]=1,0.9,1)</f>
        <v>0.32900032238792537</v>
      </c>
      <c r="X492" s="7" cm="1">
        <f t="array" ref="X4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2" s="9">
        <f>MAX(kmin, kmax - 0.15 * MIN(Games[[#This Row],[GamesPlayed]], 82))</f>
        <v>69.7</v>
      </c>
      <c r="Z492" s="4">
        <f>Games[[#This Row],[K]]*Games[[#This Row],[POMult]]</f>
        <v>76.670000000000016</v>
      </c>
      <c r="AA492" s="4">
        <f>(Games[[#This Row],[Keff]]*Games[[#This Row],[MOVMult]])*(Games[[#This Row],[Result]]-Games[[#This Row],[ExpectedWin%]])</f>
        <v>-2.7527773696659303</v>
      </c>
      <c r="AB492" s="4">
        <f>Games[[#This Row],[PreGmRate]]+Games[[#This Row],[RatingChange]]</f>
        <v>1425.1827923638994</v>
      </c>
      <c r="AC492" s="2">
        <f>IF(Games[[#This Row],[Type]]="R",IF(Games[[#This Row],[Result]]&gt;0.5,1,0),0)</f>
        <v>0</v>
      </c>
      <c r="AD492" s="2">
        <f>IF(Games[[#This Row],[Type]]="R",IF(Games[[#This Row],[Result]]&lt;0.5,1,0),0)</f>
        <v>0</v>
      </c>
      <c r="AE492" s="2">
        <f>IF(AND(Games[[#This Row],[Type]]="P",Games[[#This Row],[Round]]=1),IF(Games[[#This Row],[Result]]&gt;0.5,1,0),0)</f>
        <v>0</v>
      </c>
      <c r="AF492" s="2">
        <f>IF(AND(Games[[#This Row],[Type]]="P",Games[[#This Row],[Round]]=1),IF(Games[[#This Row],[Result]]&lt;0.5,1,0),0)</f>
        <v>1</v>
      </c>
      <c r="AG492" s="2">
        <f>IF(AND(Games[[#This Row],[Type]]="P",Games[[#This Row],[Round]]=2),IF(Games[[#This Row],[Result]]&gt;0.5,1,0),0)</f>
        <v>0</v>
      </c>
      <c r="AH492" s="2">
        <f>IF(AND(Games[[#This Row],[Type]]="P",Games[[#This Row],[Round]]=2),IF(Games[[#This Row],[Result]]&lt;0.5,1,0),0)</f>
        <v>0</v>
      </c>
      <c r="AI492" s="2">
        <f>IF(AND(Games[[#This Row],[Type]]="P",Games[[#This Row],[Round]]=3),IF(Games[[#This Row],[Result]]&gt;0.5,1,0),0)</f>
        <v>0</v>
      </c>
      <c r="AJ492" s="2">
        <f>IF(AND(Games[[#This Row],[Type]]="P",Games[[#This Row],[Round]]=3),IF(Games[[#This Row],[Result]]&lt;0.5,1,0),0)</f>
        <v>0</v>
      </c>
      <c r="AK492" s="2">
        <f>IF(AND(Games[[#This Row],[Type]]="P",Games[[#This Row],[Round]]=4),IF(Games[[#This Row],[Result]]&gt;0.5,1,0),0)</f>
        <v>0</v>
      </c>
      <c r="AL492" s="2">
        <f>IF(AND(Games[[#This Row],[Type]]="P",Games[[#This Row],[Round]]=4),IF(Games[[#This Row],[Result]]&lt;0.5,1,0),0)</f>
        <v>0</v>
      </c>
    </row>
    <row r="493" spans="1:38" x14ac:dyDescent="0.35">
      <c r="A493" s="10">
        <v>45559</v>
      </c>
      <c r="B493" s="2">
        <v>2024</v>
      </c>
      <c r="C493" s="2">
        <f>COUNTIFS(Games[Team],Games[[#This Row],[Team]],Games[Season],Games[[#This Row],[Season]],Games[Date],"&lt;=" &amp; Games[[#This Row],[Date]])</f>
        <v>42</v>
      </c>
      <c r="D493" s="2" t="s">
        <v>83</v>
      </c>
      <c r="E493" s="2">
        <v>1</v>
      </c>
      <c r="F493" s="1" t="s">
        <v>60</v>
      </c>
      <c r="G493" s="1" t="s">
        <v>77</v>
      </c>
      <c r="H493" s="1" t="s">
        <v>82</v>
      </c>
      <c r="I493" s="2" cm="1">
        <f t="array" ref="I4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3" s="2" cm="1">
        <f t="array" ref="J4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3" s="2">
        <f>Games[[#This Row],[DaysOff]]-Games[[#This Row],[OppDaysOff]]</f>
        <v>0</v>
      </c>
      <c r="L493" s="2">
        <f>Games[[#This Row],[OppDaysOff]]-Games[[#This Row],[DaysOff]]</f>
        <v>0</v>
      </c>
      <c r="M493" s="16">
        <f>MAX(-16, MIN(16, Games[[#This Row],[RestDiff]]*8))</f>
        <v>0</v>
      </c>
      <c r="N493" s="16">
        <f>MAX(-16, MIN(16, Games[[#This Row],[OppRestDiff]]*8))</f>
        <v>0</v>
      </c>
      <c r="O493" s="4" cm="1">
        <f t="array" ref="O4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1708.6813302263849</v>
      </c>
      <c r="P493" s="4" cm="1">
        <f t="array" ref="P4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1427.9355697335652</v>
      </c>
      <c r="Q493" s="4">
        <f>1/(1+10^(((Games[[#This Row],[OppPreGmRate]]+IF(Games[[#This Row],[HomeAway]]="A",HCA,0)+Games[[#This Row],[OppRestAdj]])-(Games[[#This Row],[PreGmRate]]+IF(Games[[#This Row],[HomeAway]]="H",HCA,0)+Games[[#This Row],[RestAdj]]))/400))</f>
        <v>0.89086870655887473</v>
      </c>
      <c r="R493" s="1">
        <v>91</v>
      </c>
      <c r="S493" s="1">
        <v>82</v>
      </c>
      <c r="T493" s="1">
        <v>0</v>
      </c>
      <c r="U493" s="16">
        <f>Games[[#This Row],[PointsFor]]-Games[[#This Row],[PointsAgainst]]</f>
        <v>9</v>
      </c>
      <c r="V493" s="16">
        <f>IF(Games[[#This Row],[MOV]]&gt;0,1,IF(Games[[#This Row],[MOV]]=0,0.5,0))</f>
        <v>1</v>
      </c>
      <c r="W493" s="4">
        <f>((ABS(Games[[#This Row],[MOV]])+5)^0.6)/(12+0.01*(ABS(Games[[#This Row],[PreGmRate]]-Games[[#This Row],[OppPreGmRate]])))*IF(Games[[#This Row],[OT]]=1,0.9,1)</f>
        <v>0.32900032238792537</v>
      </c>
      <c r="X493" s="7" cm="1">
        <f t="array" ref="X4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3" s="9">
        <f>MAX(kmin, kmax - 0.15 * MIN(Games[[#This Row],[GamesPlayed]], 82))</f>
        <v>69.7</v>
      </c>
      <c r="Z493" s="4">
        <f>Games[[#This Row],[K]]*Games[[#This Row],[POMult]]</f>
        <v>76.670000000000016</v>
      </c>
      <c r="AA493" s="4">
        <f>(Games[[#This Row],[Keff]]*Games[[#This Row],[MOVMult]])*(Games[[#This Row],[Result]]-Games[[#This Row],[ExpectedWin%]])</f>
        <v>2.7527773696659312</v>
      </c>
      <c r="AB493" s="4">
        <f>Games[[#This Row],[PreGmRate]]+Games[[#This Row],[RatingChange]]</f>
        <v>1711.4341075960508</v>
      </c>
      <c r="AC493" s="2">
        <f>IF(Games[[#This Row],[Type]]="R",IF(Games[[#This Row],[Result]]&gt;0.5,1,0),0)</f>
        <v>0</v>
      </c>
      <c r="AD493" s="2">
        <f>IF(Games[[#This Row],[Type]]="R",IF(Games[[#This Row],[Result]]&lt;0.5,1,0),0)</f>
        <v>0</v>
      </c>
      <c r="AE493" s="2">
        <f>IF(AND(Games[[#This Row],[Type]]="P",Games[[#This Row],[Round]]=1),IF(Games[[#This Row],[Result]]&gt;0.5,1,0),0)</f>
        <v>1</v>
      </c>
      <c r="AF493" s="2">
        <f>IF(AND(Games[[#This Row],[Type]]="P",Games[[#This Row],[Round]]=1),IF(Games[[#This Row],[Result]]&lt;0.5,1,0),0)</f>
        <v>0</v>
      </c>
      <c r="AG493" s="2">
        <f>IF(AND(Games[[#This Row],[Type]]="P",Games[[#This Row],[Round]]=2),IF(Games[[#This Row],[Result]]&gt;0.5,1,0),0)</f>
        <v>0</v>
      </c>
      <c r="AH493" s="2">
        <f>IF(AND(Games[[#This Row],[Type]]="P",Games[[#This Row],[Round]]=2),IF(Games[[#This Row],[Result]]&lt;0.5,1,0),0)</f>
        <v>0</v>
      </c>
      <c r="AI493" s="2">
        <f>IF(AND(Games[[#This Row],[Type]]="P",Games[[#This Row],[Round]]=3),IF(Games[[#This Row],[Result]]&gt;0.5,1,0),0)</f>
        <v>0</v>
      </c>
      <c r="AJ493" s="2">
        <f>IF(AND(Games[[#This Row],[Type]]="P",Games[[#This Row],[Round]]=3),IF(Games[[#This Row],[Result]]&lt;0.5,1,0),0)</f>
        <v>0</v>
      </c>
      <c r="AK493" s="2">
        <f>IF(AND(Games[[#This Row],[Type]]="P",Games[[#This Row],[Round]]=4),IF(Games[[#This Row],[Result]]&gt;0.5,1,0),0)</f>
        <v>0</v>
      </c>
      <c r="AL493" s="2">
        <f>IF(AND(Games[[#This Row],[Type]]="P",Games[[#This Row],[Round]]=4),IF(Games[[#This Row],[Result]]&lt;0.5,1,0),0)</f>
        <v>0</v>
      </c>
    </row>
    <row r="494" spans="1:38" x14ac:dyDescent="0.35">
      <c r="A494" s="10">
        <v>45560</v>
      </c>
      <c r="B494" s="2">
        <v>2024</v>
      </c>
      <c r="C494" s="2">
        <f>COUNTIFS(Games[Team],Games[[#This Row],[Team]],Games[Season],Games[[#This Row],[Season]],Games[Date],"&lt;=" &amp; Games[[#This Row],[Date]])</f>
        <v>42</v>
      </c>
      <c r="D494" s="2" t="s">
        <v>83</v>
      </c>
      <c r="E494" s="2">
        <v>1</v>
      </c>
      <c r="F494" s="1" t="s">
        <v>69</v>
      </c>
      <c r="G494" s="1" t="s">
        <v>74</v>
      </c>
      <c r="H494" s="1" t="s">
        <v>81</v>
      </c>
      <c r="I494" s="2" cm="1">
        <f t="array" ref="I4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4" s="2" cm="1">
        <f t="array" ref="J4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4" s="2">
        <f>Games[[#This Row],[DaysOff]]-Games[[#This Row],[OppDaysOff]]</f>
        <v>0</v>
      </c>
      <c r="L494" s="2">
        <f>Games[[#This Row],[OppDaysOff]]-Games[[#This Row],[DaysOff]]</f>
        <v>0</v>
      </c>
      <c r="M494" s="16">
        <f>MAX(-16, MIN(16, Games[[#This Row],[RestDiff]]*8))</f>
        <v>0</v>
      </c>
      <c r="N494" s="16">
        <f>MAX(-16, MIN(16, Games[[#This Row],[OppRestDiff]]*8))</f>
        <v>0</v>
      </c>
      <c r="O494" s="4" cm="1">
        <f t="array" ref="O4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1482.5940254671477</v>
      </c>
      <c r="P494" s="4" cm="1">
        <f t="array" ref="P4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1625.3720648846954</v>
      </c>
      <c r="Q494" s="4">
        <f>1/(1+10^(((Games[[#This Row],[OppPreGmRate]]+IF(Games[[#This Row],[HomeAway]]="A",HCA,0)+Games[[#This Row],[OppRestAdj]])-(Games[[#This Row],[PreGmRate]]+IF(Games[[#This Row],[HomeAway]]="H",HCA,0)+Games[[#This Row],[RestAdj]]))/400))</f>
        <v>0.21325100952059375</v>
      </c>
      <c r="R494" s="1">
        <v>81</v>
      </c>
      <c r="S494" s="1">
        <v>87</v>
      </c>
      <c r="T494" s="1">
        <v>0</v>
      </c>
      <c r="U494" s="16">
        <f>Games[[#This Row],[PointsFor]]-Games[[#This Row],[PointsAgainst]]</f>
        <v>-6</v>
      </c>
      <c r="V494" s="16">
        <f>IF(Games[[#This Row],[MOV]]&gt;0,1,IF(Games[[#This Row],[MOV]]=0,0.5,0))</f>
        <v>0</v>
      </c>
      <c r="W494" s="4">
        <f>((ABS(Games[[#This Row],[MOV]])+5)^0.6)/(12+0.01*(ABS(Games[[#This Row],[PreGmRate]]-Games[[#This Row],[OppPreGmRate]])))*IF(Games[[#This Row],[OT]]=1,0.9,1)</f>
        <v>0.31392895991361214</v>
      </c>
      <c r="X494" s="7" cm="1">
        <f t="array" ref="X4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4" s="9">
        <f>MAX(kmin, kmax - 0.15 * MIN(Games[[#This Row],[GamesPlayed]], 82))</f>
        <v>69.7</v>
      </c>
      <c r="Z494" s="4">
        <f>Games[[#This Row],[K]]*Games[[#This Row],[POMult]]</f>
        <v>76.670000000000016</v>
      </c>
      <c r="AA494" s="4">
        <f>(Games[[#This Row],[Keff]]*Games[[#This Row],[MOVMult]])*(Games[[#This Row],[Result]]-Games[[#This Row],[ExpectedWin%]])</f>
        <v>-5.1327243363738635</v>
      </c>
      <c r="AB494" s="4">
        <f>Games[[#This Row],[PreGmRate]]+Games[[#This Row],[RatingChange]]</f>
        <v>1477.4613011307738</v>
      </c>
      <c r="AC494" s="2">
        <f>IF(Games[[#This Row],[Type]]="R",IF(Games[[#This Row],[Result]]&gt;0.5,1,0),0)</f>
        <v>0</v>
      </c>
      <c r="AD494" s="2">
        <f>IF(Games[[#This Row],[Type]]="R",IF(Games[[#This Row],[Result]]&lt;0.5,1,0),0)</f>
        <v>0</v>
      </c>
      <c r="AE494" s="2">
        <f>IF(AND(Games[[#This Row],[Type]]="P",Games[[#This Row],[Round]]=1),IF(Games[[#This Row],[Result]]&gt;0.5,1,0),0)</f>
        <v>0</v>
      </c>
      <c r="AF494" s="2">
        <f>IF(AND(Games[[#This Row],[Type]]="P",Games[[#This Row],[Round]]=1),IF(Games[[#This Row],[Result]]&lt;0.5,1,0),0)</f>
        <v>1</v>
      </c>
      <c r="AG494" s="2">
        <f>IF(AND(Games[[#This Row],[Type]]="P",Games[[#This Row],[Round]]=2),IF(Games[[#This Row],[Result]]&gt;0.5,1,0),0)</f>
        <v>0</v>
      </c>
      <c r="AH494" s="2">
        <f>IF(AND(Games[[#This Row],[Type]]="P",Games[[#This Row],[Round]]=2),IF(Games[[#This Row],[Result]]&lt;0.5,1,0),0)</f>
        <v>0</v>
      </c>
      <c r="AI494" s="2">
        <f>IF(AND(Games[[#This Row],[Type]]="P",Games[[#This Row],[Round]]=3),IF(Games[[#This Row],[Result]]&gt;0.5,1,0),0)</f>
        <v>0</v>
      </c>
      <c r="AJ494" s="2">
        <f>IF(AND(Games[[#This Row],[Type]]="P",Games[[#This Row],[Round]]=3),IF(Games[[#This Row],[Result]]&lt;0.5,1,0),0)</f>
        <v>0</v>
      </c>
      <c r="AK494" s="2">
        <f>IF(AND(Games[[#This Row],[Type]]="P",Games[[#This Row],[Round]]=4),IF(Games[[#This Row],[Result]]&gt;0.5,1,0),0)</f>
        <v>0</v>
      </c>
      <c r="AL494" s="2">
        <f>IF(AND(Games[[#This Row],[Type]]="P",Games[[#This Row],[Round]]=4),IF(Games[[#This Row],[Result]]&lt;0.5,1,0),0)</f>
        <v>0</v>
      </c>
    </row>
    <row r="495" spans="1:38" x14ac:dyDescent="0.35">
      <c r="A495" s="10">
        <v>45560</v>
      </c>
      <c r="B495" s="2">
        <v>2024</v>
      </c>
      <c r="C495" s="2">
        <f>COUNTIFS(Games[Team],Games[[#This Row],[Team]],Games[Season],Games[[#This Row],[Season]],Games[Date],"&lt;=" &amp; Games[[#This Row],[Date]])</f>
        <v>42</v>
      </c>
      <c r="D495" s="2" t="s">
        <v>83</v>
      </c>
      <c r="E495" s="2">
        <v>1</v>
      </c>
      <c r="F495" s="1" t="s">
        <v>74</v>
      </c>
      <c r="G495" s="1" t="s">
        <v>69</v>
      </c>
      <c r="H495" s="1" t="s">
        <v>82</v>
      </c>
      <c r="I495" s="2" cm="1">
        <f t="array" ref="I4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5" s="2" cm="1">
        <f t="array" ref="J4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5" s="2">
        <f>Games[[#This Row],[DaysOff]]-Games[[#This Row],[OppDaysOff]]</f>
        <v>0</v>
      </c>
      <c r="L495" s="2">
        <f>Games[[#This Row],[OppDaysOff]]-Games[[#This Row],[DaysOff]]</f>
        <v>0</v>
      </c>
      <c r="M495" s="16">
        <f>MAX(-16, MIN(16, Games[[#This Row],[RestDiff]]*8))</f>
        <v>0</v>
      </c>
      <c r="N495" s="16">
        <f>MAX(-16, MIN(16, Games[[#This Row],[OppRestDiff]]*8))</f>
        <v>0</v>
      </c>
      <c r="O495" s="4" cm="1">
        <f t="array" ref="O4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1625.3720648846954</v>
      </c>
      <c r="P495" s="4" cm="1">
        <f t="array" ref="P4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1482.5940254671477</v>
      </c>
      <c r="Q495" s="4">
        <f>1/(1+10^(((Games[[#This Row],[OppPreGmRate]]+IF(Games[[#This Row],[HomeAway]]="A",HCA,0)+Games[[#This Row],[OppRestAdj]])-(Games[[#This Row],[PreGmRate]]+IF(Games[[#This Row],[HomeAway]]="H",HCA,0)+Games[[#This Row],[RestAdj]]))/400))</f>
        <v>0.78674899047940638</v>
      </c>
      <c r="R495" s="1">
        <v>87</v>
      </c>
      <c r="S495" s="1">
        <v>81</v>
      </c>
      <c r="T495" s="1">
        <v>0</v>
      </c>
      <c r="U495" s="16">
        <f>Games[[#This Row],[PointsFor]]-Games[[#This Row],[PointsAgainst]]</f>
        <v>6</v>
      </c>
      <c r="V495" s="16">
        <f>IF(Games[[#This Row],[MOV]]&gt;0,1,IF(Games[[#This Row],[MOV]]=0,0.5,0))</f>
        <v>1</v>
      </c>
      <c r="W495" s="4">
        <f>((ABS(Games[[#This Row],[MOV]])+5)^0.6)/(12+0.01*(ABS(Games[[#This Row],[PreGmRate]]-Games[[#This Row],[OppPreGmRate]])))*IF(Games[[#This Row],[OT]]=1,0.9,1)</f>
        <v>0.31392895991361214</v>
      </c>
      <c r="X495" s="7" cm="1">
        <f t="array" ref="X4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5" s="9">
        <f>MAX(kmin, kmax - 0.15 * MIN(Games[[#This Row],[GamesPlayed]], 82))</f>
        <v>69.7</v>
      </c>
      <c r="Z495" s="4">
        <f>Games[[#This Row],[K]]*Games[[#This Row],[POMult]]</f>
        <v>76.670000000000016</v>
      </c>
      <c r="AA495" s="4">
        <f>(Games[[#This Row],[Keff]]*Games[[#This Row],[MOVMult]])*(Games[[#This Row],[Result]]-Games[[#This Row],[ExpectedWin%]])</f>
        <v>5.1327243363738599</v>
      </c>
      <c r="AB495" s="4">
        <f>Games[[#This Row],[PreGmRate]]+Games[[#This Row],[RatingChange]]</f>
        <v>1630.5047892210694</v>
      </c>
      <c r="AC495" s="2">
        <f>IF(Games[[#This Row],[Type]]="R",IF(Games[[#This Row],[Result]]&gt;0.5,1,0),0)</f>
        <v>0</v>
      </c>
      <c r="AD495" s="2">
        <f>IF(Games[[#This Row],[Type]]="R",IF(Games[[#This Row],[Result]]&lt;0.5,1,0),0)</f>
        <v>0</v>
      </c>
      <c r="AE495" s="2">
        <f>IF(AND(Games[[#This Row],[Type]]="P",Games[[#This Row],[Round]]=1),IF(Games[[#This Row],[Result]]&gt;0.5,1,0),0)</f>
        <v>1</v>
      </c>
      <c r="AF495" s="2">
        <f>IF(AND(Games[[#This Row],[Type]]="P",Games[[#This Row],[Round]]=1),IF(Games[[#This Row],[Result]]&lt;0.5,1,0),0)</f>
        <v>0</v>
      </c>
      <c r="AG495" s="2">
        <f>IF(AND(Games[[#This Row],[Type]]="P",Games[[#This Row],[Round]]=2),IF(Games[[#This Row],[Result]]&gt;0.5,1,0),0)</f>
        <v>0</v>
      </c>
      <c r="AH495" s="2">
        <f>IF(AND(Games[[#This Row],[Type]]="P",Games[[#This Row],[Round]]=2),IF(Games[[#This Row],[Result]]&lt;0.5,1,0),0)</f>
        <v>0</v>
      </c>
      <c r="AI495" s="2">
        <f>IF(AND(Games[[#This Row],[Type]]="P",Games[[#This Row],[Round]]=3),IF(Games[[#This Row],[Result]]&gt;0.5,1,0),0)</f>
        <v>0</v>
      </c>
      <c r="AJ495" s="2">
        <f>IF(AND(Games[[#This Row],[Type]]="P",Games[[#This Row],[Round]]=3),IF(Games[[#This Row],[Result]]&lt;0.5,1,0),0)</f>
        <v>0</v>
      </c>
      <c r="AK495" s="2">
        <f>IF(AND(Games[[#This Row],[Type]]="P",Games[[#This Row],[Round]]=4),IF(Games[[#This Row],[Result]]&gt;0.5,1,0),0)</f>
        <v>0</v>
      </c>
      <c r="AL495" s="2">
        <f>IF(AND(Games[[#This Row],[Type]]="P",Games[[#This Row],[Round]]=4),IF(Games[[#This Row],[Result]]&lt;0.5,1,0),0)</f>
        <v>0</v>
      </c>
    </row>
    <row r="496" spans="1:38" x14ac:dyDescent="0.35">
      <c r="A496" s="10">
        <v>45560</v>
      </c>
      <c r="B496" s="2">
        <v>2024</v>
      </c>
      <c r="C496" s="2">
        <f>COUNTIFS(Games[Team],Games[[#This Row],[Team]],Games[Season],Games[[#This Row],[Season]],Games[Date],"&lt;=" &amp; Games[[#This Row],[Date]])</f>
        <v>42</v>
      </c>
      <c r="D496" s="2" t="s">
        <v>83</v>
      </c>
      <c r="E496" s="2">
        <v>1</v>
      </c>
      <c r="F496" s="1" t="s">
        <v>40</v>
      </c>
      <c r="G496" s="1" t="s">
        <v>67</v>
      </c>
      <c r="H496" s="1" t="s">
        <v>81</v>
      </c>
      <c r="I496" s="2" cm="1">
        <f t="array" ref="I4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6" s="2" cm="1">
        <f t="array" ref="J4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6" s="2">
        <f>Games[[#This Row],[DaysOff]]-Games[[#This Row],[OppDaysOff]]</f>
        <v>0</v>
      </c>
      <c r="L496" s="2">
        <f>Games[[#This Row],[OppDaysOff]]-Games[[#This Row],[DaysOff]]</f>
        <v>0</v>
      </c>
      <c r="M496" s="16">
        <f>MAX(-16, MIN(16, Games[[#This Row],[RestDiff]]*8))</f>
        <v>0</v>
      </c>
      <c r="N496" s="16">
        <f>MAX(-16, MIN(16, Games[[#This Row],[OppRestDiff]]*8))</f>
        <v>0</v>
      </c>
      <c r="O496" s="4" cm="1">
        <f t="array" ref="O4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1416.4027759596775</v>
      </c>
      <c r="P496" s="4" cm="1">
        <f t="array" ref="P4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1652.4252400706141</v>
      </c>
      <c r="Q496" s="4">
        <f>1/(1+10^(((Games[[#This Row],[OppPreGmRate]]+IF(Games[[#This Row],[HomeAway]]="A",HCA,0)+Games[[#This Row],[OppRestAdj]])-(Games[[#This Row],[PreGmRate]]+IF(Games[[#This Row],[HomeAway]]="H",HCA,0)+Games[[#This Row],[RestAdj]]))/400))</f>
        <v>0.13679161855292871</v>
      </c>
      <c r="R496" s="1">
        <v>88</v>
      </c>
      <c r="S496" s="1">
        <v>101</v>
      </c>
      <c r="T496" s="1">
        <v>0</v>
      </c>
      <c r="U496" s="16">
        <f>Games[[#This Row],[PointsFor]]-Games[[#This Row],[PointsAgainst]]</f>
        <v>-13</v>
      </c>
      <c r="V496" s="16">
        <f>IF(Games[[#This Row],[MOV]]&gt;0,1,IF(Games[[#This Row],[MOV]]=0,0.5,0))</f>
        <v>0</v>
      </c>
      <c r="W496" s="4">
        <f>((ABS(Games[[#This Row],[MOV]])+5)^0.6)/(12+0.01*(ABS(Games[[#This Row],[PreGmRate]]-Games[[#This Row],[OppPreGmRate]])))*IF(Games[[#This Row],[OT]]=1,0.9,1)</f>
        <v>0.39445936322983666</v>
      </c>
      <c r="X496" s="7" cm="1">
        <f t="array" ref="X4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6" s="9">
        <f>MAX(kmin, kmax - 0.15 * MIN(Games[[#This Row],[GamesPlayed]], 82))</f>
        <v>69.7</v>
      </c>
      <c r="Z496" s="4">
        <f>Games[[#This Row],[K]]*Games[[#This Row],[POMult]]</f>
        <v>76.670000000000016</v>
      </c>
      <c r="AA496" s="4">
        <f>(Games[[#This Row],[Keff]]*Games[[#This Row],[MOVMult]])*(Games[[#This Row],[Result]]-Games[[#This Row],[ExpectedWin%]])</f>
        <v>-4.1370161932493001</v>
      </c>
      <c r="AB496" s="4">
        <f>Games[[#This Row],[PreGmRate]]+Games[[#This Row],[RatingChange]]</f>
        <v>1412.2657597664281</v>
      </c>
      <c r="AC496" s="2">
        <f>IF(Games[[#This Row],[Type]]="R",IF(Games[[#This Row],[Result]]&gt;0.5,1,0),0)</f>
        <v>0</v>
      </c>
      <c r="AD496" s="2">
        <f>IF(Games[[#This Row],[Type]]="R",IF(Games[[#This Row],[Result]]&lt;0.5,1,0),0)</f>
        <v>0</v>
      </c>
      <c r="AE496" s="2">
        <f>IF(AND(Games[[#This Row],[Type]]="P",Games[[#This Row],[Round]]=1),IF(Games[[#This Row],[Result]]&gt;0.5,1,0),0)</f>
        <v>0</v>
      </c>
      <c r="AF496" s="2">
        <f>IF(AND(Games[[#This Row],[Type]]="P",Games[[#This Row],[Round]]=1),IF(Games[[#This Row],[Result]]&lt;0.5,1,0),0)</f>
        <v>1</v>
      </c>
      <c r="AG496" s="2">
        <f>IF(AND(Games[[#This Row],[Type]]="P",Games[[#This Row],[Round]]=2),IF(Games[[#This Row],[Result]]&gt;0.5,1,0),0)</f>
        <v>0</v>
      </c>
      <c r="AH496" s="2">
        <f>IF(AND(Games[[#This Row],[Type]]="P",Games[[#This Row],[Round]]=2),IF(Games[[#This Row],[Result]]&lt;0.5,1,0),0)</f>
        <v>0</v>
      </c>
      <c r="AI496" s="2">
        <f>IF(AND(Games[[#This Row],[Type]]="P",Games[[#This Row],[Round]]=3),IF(Games[[#This Row],[Result]]&gt;0.5,1,0),0)</f>
        <v>0</v>
      </c>
      <c r="AJ496" s="2">
        <f>IF(AND(Games[[#This Row],[Type]]="P",Games[[#This Row],[Round]]=3),IF(Games[[#This Row],[Result]]&lt;0.5,1,0),0)</f>
        <v>0</v>
      </c>
      <c r="AK496" s="2">
        <f>IF(AND(Games[[#This Row],[Type]]="P",Games[[#This Row],[Round]]=4),IF(Games[[#This Row],[Result]]&gt;0.5,1,0),0)</f>
        <v>0</v>
      </c>
      <c r="AL496" s="2">
        <f>IF(AND(Games[[#This Row],[Type]]="P",Games[[#This Row],[Round]]=4),IF(Games[[#This Row],[Result]]&lt;0.5,1,0),0)</f>
        <v>0</v>
      </c>
    </row>
    <row r="497" spans="1:38" x14ac:dyDescent="0.35">
      <c r="A497" s="10">
        <v>45560</v>
      </c>
      <c r="B497" s="2">
        <v>2024</v>
      </c>
      <c r="C497" s="2">
        <f>COUNTIFS(Games[Team],Games[[#This Row],[Team]],Games[Season],Games[[#This Row],[Season]],Games[Date],"&lt;=" &amp; Games[[#This Row],[Date]])</f>
        <v>42</v>
      </c>
      <c r="D497" s="2" t="s">
        <v>83</v>
      </c>
      <c r="E497" s="2">
        <v>1</v>
      </c>
      <c r="F497" s="1" t="s">
        <v>67</v>
      </c>
      <c r="G497" s="1" t="s">
        <v>40</v>
      </c>
      <c r="H497" s="1" t="s">
        <v>82</v>
      </c>
      <c r="I497" s="2" cm="1">
        <f t="array" ref="I4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7" s="2" cm="1">
        <f t="array" ref="J4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7" s="2">
        <f>Games[[#This Row],[DaysOff]]-Games[[#This Row],[OppDaysOff]]</f>
        <v>0</v>
      </c>
      <c r="L497" s="2">
        <f>Games[[#This Row],[OppDaysOff]]-Games[[#This Row],[DaysOff]]</f>
        <v>0</v>
      </c>
      <c r="M497" s="16">
        <f>MAX(-16, MIN(16, Games[[#This Row],[RestDiff]]*8))</f>
        <v>0</v>
      </c>
      <c r="N497" s="16">
        <f>MAX(-16, MIN(16, Games[[#This Row],[OppRestDiff]]*8))</f>
        <v>0</v>
      </c>
      <c r="O497" s="4" cm="1">
        <f t="array" ref="O4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1652.4252400706141</v>
      </c>
      <c r="P497" s="4" cm="1">
        <f t="array" ref="P4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1416.4027759596775</v>
      </c>
      <c r="Q497" s="4">
        <f>1/(1+10^(((Games[[#This Row],[OppPreGmRate]]+IF(Games[[#This Row],[HomeAway]]="A",HCA,0)+Games[[#This Row],[OppRestAdj]])-(Games[[#This Row],[PreGmRate]]+IF(Games[[#This Row],[HomeAway]]="H",HCA,0)+Games[[#This Row],[RestAdj]]))/400))</f>
        <v>0.86320838144707135</v>
      </c>
      <c r="R497" s="1">
        <v>101</v>
      </c>
      <c r="S497" s="1">
        <v>88</v>
      </c>
      <c r="T497" s="1">
        <v>0</v>
      </c>
      <c r="U497" s="16">
        <f>Games[[#This Row],[PointsFor]]-Games[[#This Row],[PointsAgainst]]</f>
        <v>13</v>
      </c>
      <c r="V497" s="16">
        <f>IF(Games[[#This Row],[MOV]]&gt;0,1,IF(Games[[#This Row],[MOV]]=0,0.5,0))</f>
        <v>1</v>
      </c>
      <c r="W497" s="4">
        <f>((ABS(Games[[#This Row],[MOV]])+5)^0.6)/(12+0.01*(ABS(Games[[#This Row],[PreGmRate]]-Games[[#This Row],[OppPreGmRate]])))*IF(Games[[#This Row],[OT]]=1,0.9,1)</f>
        <v>0.39445936322983666</v>
      </c>
      <c r="X497" s="7" cm="1">
        <f t="array" ref="X4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7" s="9">
        <f>MAX(kmin, kmax - 0.15 * MIN(Games[[#This Row],[GamesPlayed]], 82))</f>
        <v>69.7</v>
      </c>
      <c r="Z497" s="4">
        <f>Games[[#This Row],[K]]*Games[[#This Row],[POMult]]</f>
        <v>76.670000000000016</v>
      </c>
      <c r="AA497" s="4">
        <f>(Games[[#This Row],[Keff]]*Games[[#This Row],[MOVMult]])*(Games[[#This Row],[Result]]-Games[[#This Row],[ExpectedWin%]])</f>
        <v>4.1370161932492984</v>
      </c>
      <c r="AB497" s="4">
        <f>Games[[#This Row],[PreGmRate]]+Games[[#This Row],[RatingChange]]</f>
        <v>1656.5622562638634</v>
      </c>
      <c r="AC497" s="2">
        <f>IF(Games[[#This Row],[Type]]="R",IF(Games[[#This Row],[Result]]&gt;0.5,1,0),0)</f>
        <v>0</v>
      </c>
      <c r="AD497" s="2">
        <f>IF(Games[[#This Row],[Type]]="R",IF(Games[[#This Row],[Result]]&lt;0.5,1,0),0)</f>
        <v>0</v>
      </c>
      <c r="AE497" s="2">
        <f>IF(AND(Games[[#This Row],[Type]]="P",Games[[#This Row],[Round]]=1),IF(Games[[#This Row],[Result]]&gt;0.5,1,0),0)</f>
        <v>1</v>
      </c>
      <c r="AF497" s="2">
        <f>IF(AND(Games[[#This Row],[Type]]="P",Games[[#This Row],[Round]]=1),IF(Games[[#This Row],[Result]]&lt;0.5,1,0),0)</f>
        <v>0</v>
      </c>
      <c r="AG497" s="2">
        <f>IF(AND(Games[[#This Row],[Type]]="P",Games[[#This Row],[Round]]=2),IF(Games[[#This Row],[Result]]&gt;0.5,1,0),0)</f>
        <v>0</v>
      </c>
      <c r="AH497" s="2">
        <f>IF(AND(Games[[#This Row],[Type]]="P",Games[[#This Row],[Round]]=2),IF(Games[[#This Row],[Result]]&lt;0.5,1,0),0)</f>
        <v>0</v>
      </c>
      <c r="AI497" s="2">
        <f>IF(AND(Games[[#This Row],[Type]]="P",Games[[#This Row],[Round]]=3),IF(Games[[#This Row],[Result]]&gt;0.5,1,0),0)</f>
        <v>0</v>
      </c>
      <c r="AJ497" s="2">
        <f>IF(AND(Games[[#This Row],[Type]]="P",Games[[#This Row],[Round]]=3),IF(Games[[#This Row],[Result]]&lt;0.5,1,0),0)</f>
        <v>0</v>
      </c>
      <c r="AK497" s="2">
        <f>IF(AND(Games[[#This Row],[Type]]="P",Games[[#This Row],[Round]]=4),IF(Games[[#This Row],[Result]]&gt;0.5,1,0),0)</f>
        <v>0</v>
      </c>
      <c r="AL497" s="2">
        <f>IF(AND(Games[[#This Row],[Type]]="P",Games[[#This Row],[Round]]=4),IF(Games[[#This Row],[Result]]&lt;0.5,1,0),0)</f>
        <v>0</v>
      </c>
    </row>
    <row r="498" spans="1:38" x14ac:dyDescent="0.35">
      <c r="A498" s="10">
        <v>45564</v>
      </c>
      <c r="B498" s="2">
        <v>2024</v>
      </c>
      <c r="C498" s="2">
        <f>COUNTIFS(Games[Team],Games[[#This Row],[Team]],Games[Season],Games[[#This Row],[Season]],Games[Date],"&lt;=" &amp; Games[[#This Row],[Date]])</f>
        <v>43</v>
      </c>
      <c r="D498" s="2" t="s">
        <v>83</v>
      </c>
      <c r="E498" s="2">
        <v>2</v>
      </c>
      <c r="F498" s="1" t="s">
        <v>74</v>
      </c>
      <c r="G498" s="1" t="s">
        <v>67</v>
      </c>
      <c r="H498" s="1" t="s">
        <v>81</v>
      </c>
      <c r="I498" s="2" cm="1">
        <f t="array" ref="I498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8" s="2" cm="1">
        <f t="array" ref="J49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8" s="2">
        <f>Games[[#This Row],[DaysOff]]-Games[[#This Row],[OppDaysOff]]</f>
        <v>0</v>
      </c>
      <c r="L498" s="2">
        <f>Games[[#This Row],[OppDaysOff]]-Games[[#This Row],[DaysOff]]</f>
        <v>0</v>
      </c>
      <c r="M498" s="16">
        <f>MAX(-16, MIN(16, Games[[#This Row],[RestDiff]]*8))</f>
        <v>0</v>
      </c>
      <c r="N498" s="16">
        <f>MAX(-16, MIN(16, Games[[#This Row],[OppRestDiff]]*8))</f>
        <v>0</v>
      </c>
      <c r="O498" s="4" cm="1">
        <f t="array" ref="O4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1630.5047892210694</v>
      </c>
      <c r="P498" s="4" cm="1">
        <f t="array" ref="P4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1656.5622562638634</v>
      </c>
      <c r="Q498" s="4">
        <f>1/(1+10^(((Games[[#This Row],[OppPreGmRate]]+IF(Games[[#This Row],[HomeAway]]="A",HCA,0)+Games[[#This Row],[OppRestAdj]])-(Games[[#This Row],[PreGmRate]]+IF(Games[[#This Row],[HomeAway]]="H",HCA,0)+Games[[#This Row],[RestAdj]]))/400))</f>
        <v>0.34670790071447993</v>
      </c>
      <c r="R498" s="1">
        <v>73</v>
      </c>
      <c r="S498" s="1">
        <v>70</v>
      </c>
      <c r="T498" s="1">
        <v>0</v>
      </c>
      <c r="U498" s="16">
        <f>Games[[#This Row],[PointsFor]]-Games[[#This Row],[PointsAgainst]]</f>
        <v>3</v>
      </c>
      <c r="V498" s="16">
        <f>IF(Games[[#This Row],[MOV]]&gt;0,1,IF(Games[[#This Row],[MOV]]=0,0.5,0))</f>
        <v>1</v>
      </c>
      <c r="W498" s="4">
        <f>((ABS(Games[[#This Row],[MOV]])+5)^0.6)/(12+0.01*(ABS(Games[[#This Row],[PreGmRate]]-Games[[#This Row],[OppPreGmRate]])))*IF(Games[[#This Row],[OT]]=1,0.9,1)</f>
        <v>0.28401623470255771</v>
      </c>
      <c r="X498" s="7" cm="1">
        <f t="array" ref="X4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498" s="9">
        <f>MAX(kmin, kmax - 0.15 * MIN(Games[[#This Row],[GamesPlayed]], 82))</f>
        <v>69.55</v>
      </c>
      <c r="Z498" s="4">
        <f>Games[[#This Row],[K]]*Games[[#This Row],[POMult]]</f>
        <v>83.46</v>
      </c>
      <c r="AA498" s="4">
        <f>(Games[[#This Row],[Keff]]*Games[[#This Row],[MOVMult]])*(Games[[#This Row],[Result]]-Games[[#This Row],[ExpectedWin%]])</f>
        <v>15.48563262121224</v>
      </c>
      <c r="AB498" s="4">
        <f>Games[[#This Row],[PreGmRate]]+Games[[#This Row],[RatingChange]]</f>
        <v>1645.9904218422816</v>
      </c>
      <c r="AC498" s="2">
        <f>IF(Games[[#This Row],[Type]]="R",IF(Games[[#This Row],[Result]]&gt;0.5,1,0),0)</f>
        <v>0</v>
      </c>
      <c r="AD498" s="2">
        <f>IF(Games[[#This Row],[Type]]="R",IF(Games[[#This Row],[Result]]&lt;0.5,1,0),0)</f>
        <v>0</v>
      </c>
      <c r="AE498" s="2">
        <f>IF(AND(Games[[#This Row],[Type]]="P",Games[[#This Row],[Round]]=1),IF(Games[[#This Row],[Result]]&gt;0.5,1,0),0)</f>
        <v>0</v>
      </c>
      <c r="AF498" s="2">
        <f>IF(AND(Games[[#This Row],[Type]]="P",Games[[#This Row],[Round]]=1),IF(Games[[#This Row],[Result]]&lt;0.5,1,0),0)</f>
        <v>0</v>
      </c>
      <c r="AG498" s="2">
        <f>IF(AND(Games[[#This Row],[Type]]="P",Games[[#This Row],[Round]]=2),IF(Games[[#This Row],[Result]]&gt;0.5,1,0),0)</f>
        <v>1</v>
      </c>
      <c r="AH498" s="2">
        <f>IF(AND(Games[[#This Row],[Type]]="P",Games[[#This Row],[Round]]=2),IF(Games[[#This Row],[Result]]&lt;0.5,1,0),0)</f>
        <v>0</v>
      </c>
      <c r="AI498" s="2">
        <f>IF(AND(Games[[#This Row],[Type]]="P",Games[[#This Row],[Round]]=3),IF(Games[[#This Row],[Result]]&gt;0.5,1,0),0)</f>
        <v>0</v>
      </c>
      <c r="AJ498" s="2">
        <f>IF(AND(Games[[#This Row],[Type]]="P",Games[[#This Row],[Round]]=3),IF(Games[[#This Row],[Result]]&lt;0.5,1,0),0)</f>
        <v>0</v>
      </c>
      <c r="AK498" s="2">
        <f>IF(AND(Games[[#This Row],[Type]]="P",Games[[#This Row],[Round]]=4),IF(Games[[#This Row],[Result]]&gt;0.5,1,0),0)</f>
        <v>0</v>
      </c>
      <c r="AL498" s="2">
        <f>IF(AND(Games[[#This Row],[Type]]="P",Games[[#This Row],[Round]]=4),IF(Games[[#This Row],[Result]]&lt;0.5,1,0),0)</f>
        <v>0</v>
      </c>
    </row>
    <row r="499" spans="1:38" x14ac:dyDescent="0.35">
      <c r="A499" s="10">
        <v>45564</v>
      </c>
      <c r="B499" s="2">
        <v>2024</v>
      </c>
      <c r="C499" s="2">
        <f>COUNTIFS(Games[Team],Games[[#This Row],[Team]],Games[Season],Games[[#This Row],[Season]],Games[Date],"&lt;=" &amp; Games[[#This Row],[Date]])</f>
        <v>43</v>
      </c>
      <c r="D499" s="2" t="s">
        <v>83</v>
      </c>
      <c r="E499" s="2">
        <v>2</v>
      </c>
      <c r="F499" s="1" t="s">
        <v>67</v>
      </c>
      <c r="G499" s="1" t="s">
        <v>74</v>
      </c>
      <c r="H499" s="1" t="s">
        <v>82</v>
      </c>
      <c r="I499" s="2" cm="1">
        <f t="array" ref="I499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9" s="2" cm="1">
        <f t="array" ref="J49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9" s="2">
        <f>Games[[#This Row],[DaysOff]]-Games[[#This Row],[OppDaysOff]]</f>
        <v>0</v>
      </c>
      <c r="L499" s="2">
        <f>Games[[#This Row],[OppDaysOff]]-Games[[#This Row],[DaysOff]]</f>
        <v>0</v>
      </c>
      <c r="M499" s="16">
        <f>MAX(-16, MIN(16, Games[[#This Row],[RestDiff]]*8))</f>
        <v>0</v>
      </c>
      <c r="N499" s="16">
        <f>MAX(-16, MIN(16, Games[[#This Row],[OppRestDiff]]*8))</f>
        <v>0</v>
      </c>
      <c r="O499" s="4" cm="1">
        <f t="array" ref="O4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1656.5622562638634</v>
      </c>
      <c r="P499" s="4" cm="1">
        <f t="array" ref="P4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1630.5047892210694</v>
      </c>
      <c r="Q499" s="4">
        <f>1/(1+10^(((Games[[#This Row],[OppPreGmRate]]+IF(Games[[#This Row],[HomeAway]]="A",HCA,0)+Games[[#This Row],[OppRestAdj]])-(Games[[#This Row],[PreGmRate]]+IF(Games[[#This Row],[HomeAway]]="H",HCA,0)+Games[[#This Row],[RestAdj]]))/400))</f>
        <v>0.65329209928552012</v>
      </c>
      <c r="R499" s="1">
        <v>70</v>
      </c>
      <c r="S499" s="1">
        <v>73</v>
      </c>
      <c r="T499" s="1">
        <v>0</v>
      </c>
      <c r="U499" s="16">
        <f>Games[[#This Row],[PointsFor]]-Games[[#This Row],[PointsAgainst]]</f>
        <v>-3</v>
      </c>
      <c r="V499" s="16">
        <f>IF(Games[[#This Row],[MOV]]&gt;0,1,IF(Games[[#This Row],[MOV]]=0,0.5,0))</f>
        <v>0</v>
      </c>
      <c r="W499" s="4">
        <f>((ABS(Games[[#This Row],[MOV]])+5)^0.6)/(12+0.01*(ABS(Games[[#This Row],[PreGmRate]]-Games[[#This Row],[OppPreGmRate]])))*IF(Games[[#This Row],[OT]]=1,0.9,1)</f>
        <v>0.28401623470255771</v>
      </c>
      <c r="X499" s="7" cm="1">
        <f t="array" ref="X4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499" s="9">
        <f>MAX(kmin, kmax - 0.15 * MIN(Games[[#This Row],[GamesPlayed]], 82))</f>
        <v>69.55</v>
      </c>
      <c r="Z499" s="4">
        <f>Games[[#This Row],[K]]*Games[[#This Row],[POMult]]</f>
        <v>83.46</v>
      </c>
      <c r="AA499" s="4">
        <f>(Games[[#This Row],[Keff]]*Games[[#This Row],[MOVMult]])*(Games[[#This Row],[Result]]-Games[[#This Row],[ExpectedWin%]])</f>
        <v>-15.485632621212243</v>
      </c>
      <c r="AB499" s="4">
        <f>Games[[#This Row],[PreGmRate]]+Games[[#This Row],[RatingChange]]</f>
        <v>1641.0766236426512</v>
      </c>
      <c r="AC499" s="2">
        <f>IF(Games[[#This Row],[Type]]="R",IF(Games[[#This Row],[Result]]&gt;0.5,1,0),0)</f>
        <v>0</v>
      </c>
      <c r="AD499" s="2">
        <f>IF(Games[[#This Row],[Type]]="R",IF(Games[[#This Row],[Result]]&lt;0.5,1,0),0)</f>
        <v>0</v>
      </c>
      <c r="AE499" s="2">
        <f>IF(AND(Games[[#This Row],[Type]]="P",Games[[#This Row],[Round]]=1),IF(Games[[#This Row],[Result]]&gt;0.5,1,0),0)</f>
        <v>0</v>
      </c>
      <c r="AF499" s="2">
        <f>IF(AND(Games[[#This Row],[Type]]="P",Games[[#This Row],[Round]]=1),IF(Games[[#This Row],[Result]]&lt;0.5,1,0),0)</f>
        <v>0</v>
      </c>
      <c r="AG499" s="2">
        <f>IF(AND(Games[[#This Row],[Type]]="P",Games[[#This Row],[Round]]=2),IF(Games[[#This Row],[Result]]&gt;0.5,1,0),0)</f>
        <v>0</v>
      </c>
      <c r="AH499" s="2">
        <f>IF(AND(Games[[#This Row],[Type]]="P",Games[[#This Row],[Round]]=2),IF(Games[[#This Row],[Result]]&lt;0.5,1,0),0)</f>
        <v>1</v>
      </c>
      <c r="AI499" s="2">
        <f>IF(AND(Games[[#This Row],[Type]]="P",Games[[#This Row],[Round]]=3),IF(Games[[#This Row],[Result]]&gt;0.5,1,0),0)</f>
        <v>0</v>
      </c>
      <c r="AJ499" s="2">
        <f>IF(AND(Games[[#This Row],[Type]]="P",Games[[#This Row],[Round]]=3),IF(Games[[#This Row],[Result]]&lt;0.5,1,0),0)</f>
        <v>0</v>
      </c>
      <c r="AK499" s="2">
        <f>IF(AND(Games[[#This Row],[Type]]="P",Games[[#This Row],[Round]]=4),IF(Games[[#This Row],[Result]]&gt;0.5,1,0),0)</f>
        <v>0</v>
      </c>
      <c r="AL499" s="2">
        <f>IF(AND(Games[[#This Row],[Type]]="P",Games[[#This Row],[Round]]=4),IF(Games[[#This Row],[Result]]&lt;0.5,1,0),0)</f>
        <v>0</v>
      </c>
    </row>
    <row r="500" spans="1:38" x14ac:dyDescent="0.35">
      <c r="A500" s="10">
        <v>45564</v>
      </c>
      <c r="B500" s="2">
        <v>2024</v>
      </c>
      <c r="C500" s="2">
        <f>COUNTIFS(Games[Team],Games[[#This Row],[Team]],Games[Season],Games[[#This Row],[Season]],Games[Date],"&lt;=" &amp; Games[[#This Row],[Date]])</f>
        <v>43</v>
      </c>
      <c r="D500" s="2" t="s">
        <v>83</v>
      </c>
      <c r="E500" s="2">
        <v>2</v>
      </c>
      <c r="F500" s="1" t="s">
        <v>86</v>
      </c>
      <c r="G500" s="1" t="s">
        <v>60</v>
      </c>
      <c r="H500" s="1" t="s">
        <v>81</v>
      </c>
      <c r="I500" s="2" cm="1">
        <f t="array" ref="I500">IFERROR(
    Games[[#This Row],[Date]]
    - LOOKUP(
        2,
        1/((Games[Team]=Games[[#This Row],[Team]]) * (Games[Date] &lt; Games[[#This Row],[Date]])),
        Games[Date]
    )
    - 1,
Games[[#This Row],[Date]]-$A$2)</f>
        <v>4</v>
      </c>
      <c r="J500" s="2" cm="1">
        <f t="array" ref="J50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00" s="2">
        <f>Games[[#This Row],[DaysOff]]-Games[[#This Row],[OppDaysOff]]</f>
        <v>0</v>
      </c>
      <c r="L500" s="2">
        <f>Games[[#This Row],[OppDaysOff]]-Games[[#This Row],[DaysOff]]</f>
        <v>0</v>
      </c>
      <c r="M500" s="16">
        <f>MAX(-16, MIN(16, Games[[#This Row],[RestDiff]]*8))</f>
        <v>0</v>
      </c>
      <c r="N500" s="16">
        <f>MAX(-16, MIN(16, Games[[#This Row],[OppRestDiff]]*8))</f>
        <v>0</v>
      </c>
      <c r="O500" s="4" cm="1">
        <f t="array" ref="O5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1688.440843555303</v>
      </c>
      <c r="P500" s="4" cm="1">
        <f t="array" ref="P5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1711.4341075960508</v>
      </c>
      <c r="Q500" s="4">
        <f>1/(1+10^(((Games[[#This Row],[OppPreGmRate]]+IF(Games[[#This Row],[HomeAway]]="A",HCA,0)+Games[[#This Row],[OppRestAdj]])-(Games[[#This Row],[PreGmRate]]+IF(Games[[#This Row],[HomeAway]]="H",HCA,0)+Games[[#This Row],[RestAdj]]))/400))</f>
        <v>0.35071388250285185</v>
      </c>
      <c r="R500" s="1">
        <v>77</v>
      </c>
      <c r="S500" s="1">
        <v>87</v>
      </c>
      <c r="T500" s="1">
        <v>0</v>
      </c>
      <c r="U500" s="16">
        <f>Games[[#This Row],[PointsFor]]-Games[[#This Row],[PointsAgainst]]</f>
        <v>-10</v>
      </c>
      <c r="V500" s="16">
        <f>IF(Games[[#This Row],[MOV]]&gt;0,1,IF(Games[[#This Row],[MOV]]=0,0.5,0))</f>
        <v>0</v>
      </c>
      <c r="W500" s="4">
        <f>((ABS(Games[[#This Row],[MOV]])+5)^0.6)/(12+0.01*(ABS(Games[[#This Row],[PreGmRate]]-Games[[#This Row],[OppPreGmRate]])))*IF(Games[[#This Row],[OT]]=1,0.9,1)</f>
        <v>0.41517451823170737</v>
      </c>
      <c r="X500" s="7" cm="1">
        <f t="array" ref="X5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0" s="9">
        <f>MAX(kmin, kmax - 0.15 * MIN(Games[[#This Row],[GamesPlayed]], 82))</f>
        <v>69.55</v>
      </c>
      <c r="Z500" s="4">
        <f>Games[[#This Row],[K]]*Games[[#This Row],[POMult]]</f>
        <v>83.46</v>
      </c>
      <c r="AA500" s="4">
        <f>(Games[[#This Row],[Keff]]*Games[[#This Row],[MOVMult]])*(Games[[#This Row],[Result]]-Games[[#This Row],[ExpectedWin%]])</f>
        <v>-12.152399212953766</v>
      </c>
      <c r="AB500" s="4">
        <f>Games[[#This Row],[PreGmRate]]+Games[[#This Row],[RatingChange]]</f>
        <v>1676.2884443423493</v>
      </c>
      <c r="AC500" s="2">
        <f>IF(Games[[#This Row],[Type]]="R",IF(Games[[#This Row],[Result]]&gt;0.5,1,0),0)</f>
        <v>0</v>
      </c>
      <c r="AD500" s="2">
        <f>IF(Games[[#This Row],[Type]]="R",IF(Games[[#This Row],[Result]]&lt;0.5,1,0),0)</f>
        <v>0</v>
      </c>
      <c r="AE500" s="2">
        <f>IF(AND(Games[[#This Row],[Type]]="P",Games[[#This Row],[Round]]=1),IF(Games[[#This Row],[Result]]&gt;0.5,1,0),0)</f>
        <v>0</v>
      </c>
      <c r="AF500" s="2">
        <f>IF(AND(Games[[#This Row],[Type]]="P",Games[[#This Row],[Round]]=1),IF(Games[[#This Row],[Result]]&lt;0.5,1,0),0)</f>
        <v>0</v>
      </c>
      <c r="AG500" s="2">
        <f>IF(AND(Games[[#This Row],[Type]]="P",Games[[#This Row],[Round]]=2),IF(Games[[#This Row],[Result]]&gt;0.5,1,0),0)</f>
        <v>0</v>
      </c>
      <c r="AH500" s="2">
        <f>IF(AND(Games[[#This Row],[Type]]="P",Games[[#This Row],[Round]]=2),IF(Games[[#This Row],[Result]]&lt;0.5,1,0),0)</f>
        <v>1</v>
      </c>
      <c r="AI500" s="2">
        <f>IF(AND(Games[[#This Row],[Type]]="P",Games[[#This Row],[Round]]=3),IF(Games[[#This Row],[Result]]&gt;0.5,1,0),0)</f>
        <v>0</v>
      </c>
      <c r="AJ500" s="2">
        <f>IF(AND(Games[[#This Row],[Type]]="P",Games[[#This Row],[Round]]=3),IF(Games[[#This Row],[Result]]&lt;0.5,1,0),0)</f>
        <v>0</v>
      </c>
      <c r="AK500" s="2">
        <f>IF(AND(Games[[#This Row],[Type]]="P",Games[[#This Row],[Round]]=4),IF(Games[[#This Row],[Result]]&gt;0.5,1,0),0)</f>
        <v>0</v>
      </c>
      <c r="AL500" s="2">
        <f>IF(AND(Games[[#This Row],[Type]]="P",Games[[#This Row],[Round]]=4),IF(Games[[#This Row],[Result]]&lt;0.5,1,0),0)</f>
        <v>0</v>
      </c>
    </row>
    <row r="501" spans="1:38" x14ac:dyDescent="0.35">
      <c r="A501" s="10">
        <v>45564</v>
      </c>
      <c r="B501" s="2">
        <v>2024</v>
      </c>
      <c r="C501" s="2">
        <f>COUNTIFS(Games[Team],Games[[#This Row],[Team]],Games[Season],Games[[#This Row],[Season]],Games[Date],"&lt;=" &amp; Games[[#This Row],[Date]])</f>
        <v>43</v>
      </c>
      <c r="D501" s="2" t="s">
        <v>83</v>
      </c>
      <c r="E501" s="2">
        <v>2</v>
      </c>
      <c r="F501" s="1" t="s">
        <v>60</v>
      </c>
      <c r="G501" s="1" t="s">
        <v>86</v>
      </c>
      <c r="H501" s="1" t="s">
        <v>82</v>
      </c>
      <c r="I501" s="2" cm="1">
        <f t="array" ref="I501">IFERROR(
    Games[[#This Row],[Date]]
    - LOOKUP(
        2,
        1/((Games[Team]=Games[[#This Row],[Team]]) * (Games[Date] &lt; Games[[#This Row],[Date]])),
        Games[Date]
    )
    - 1,
Games[[#This Row],[Date]]-$A$2)</f>
        <v>4</v>
      </c>
      <c r="J501" s="2" cm="1">
        <f t="array" ref="J50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01" s="2">
        <f>Games[[#This Row],[DaysOff]]-Games[[#This Row],[OppDaysOff]]</f>
        <v>0</v>
      </c>
      <c r="L501" s="2">
        <f>Games[[#This Row],[OppDaysOff]]-Games[[#This Row],[DaysOff]]</f>
        <v>0</v>
      </c>
      <c r="M501" s="16">
        <f>MAX(-16, MIN(16, Games[[#This Row],[RestDiff]]*8))</f>
        <v>0</v>
      </c>
      <c r="N501" s="16">
        <f>MAX(-16, MIN(16, Games[[#This Row],[OppRestDiff]]*8))</f>
        <v>0</v>
      </c>
      <c r="O501" s="4" cm="1">
        <f t="array" ref="O5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1711.4341075960508</v>
      </c>
      <c r="P501" s="4" cm="1">
        <f t="array" ref="P5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1688.440843555303</v>
      </c>
      <c r="Q501" s="4">
        <f>1/(1+10^(((Games[[#This Row],[OppPreGmRate]]+IF(Games[[#This Row],[HomeAway]]="A",HCA,0)+Games[[#This Row],[OppRestAdj]])-(Games[[#This Row],[PreGmRate]]+IF(Games[[#This Row],[HomeAway]]="H",HCA,0)+Games[[#This Row],[RestAdj]]))/400))</f>
        <v>0.64928611749714815</v>
      </c>
      <c r="R501" s="1">
        <v>87</v>
      </c>
      <c r="S501" s="1">
        <v>77</v>
      </c>
      <c r="T501" s="1">
        <v>0</v>
      </c>
      <c r="U501" s="16">
        <f>Games[[#This Row],[PointsFor]]-Games[[#This Row],[PointsAgainst]]</f>
        <v>10</v>
      </c>
      <c r="V501" s="16">
        <f>IF(Games[[#This Row],[MOV]]&gt;0,1,IF(Games[[#This Row],[MOV]]=0,0.5,0))</f>
        <v>1</v>
      </c>
      <c r="W501" s="4">
        <f>((ABS(Games[[#This Row],[MOV]])+5)^0.6)/(12+0.01*(ABS(Games[[#This Row],[PreGmRate]]-Games[[#This Row],[OppPreGmRate]])))*IF(Games[[#This Row],[OT]]=1,0.9,1)</f>
        <v>0.41517451823170737</v>
      </c>
      <c r="X501" s="7" cm="1">
        <f t="array" ref="X5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1" s="9">
        <f>MAX(kmin, kmax - 0.15 * MIN(Games[[#This Row],[GamesPlayed]], 82))</f>
        <v>69.55</v>
      </c>
      <c r="Z501" s="4">
        <f>Games[[#This Row],[K]]*Games[[#This Row],[POMult]]</f>
        <v>83.46</v>
      </c>
      <c r="AA501" s="4">
        <f>(Games[[#This Row],[Keff]]*Games[[#This Row],[MOVMult]])*(Games[[#This Row],[Result]]-Games[[#This Row],[ExpectedWin%]])</f>
        <v>12.152399212953766</v>
      </c>
      <c r="AB501" s="4">
        <f>Games[[#This Row],[PreGmRate]]+Games[[#This Row],[RatingChange]]</f>
        <v>1723.5865068090045</v>
      </c>
      <c r="AC501" s="2">
        <f>IF(Games[[#This Row],[Type]]="R",IF(Games[[#This Row],[Result]]&gt;0.5,1,0),0)</f>
        <v>0</v>
      </c>
      <c r="AD501" s="2">
        <f>IF(Games[[#This Row],[Type]]="R",IF(Games[[#This Row],[Result]]&lt;0.5,1,0),0)</f>
        <v>0</v>
      </c>
      <c r="AE501" s="2">
        <f>IF(AND(Games[[#This Row],[Type]]="P",Games[[#This Row],[Round]]=1),IF(Games[[#This Row],[Result]]&gt;0.5,1,0),0)</f>
        <v>0</v>
      </c>
      <c r="AF501" s="2">
        <f>IF(AND(Games[[#This Row],[Type]]="P",Games[[#This Row],[Round]]=1),IF(Games[[#This Row],[Result]]&lt;0.5,1,0),0)</f>
        <v>0</v>
      </c>
      <c r="AG501" s="2">
        <f>IF(AND(Games[[#This Row],[Type]]="P",Games[[#This Row],[Round]]=2),IF(Games[[#This Row],[Result]]&gt;0.5,1,0),0)</f>
        <v>1</v>
      </c>
      <c r="AH501" s="2">
        <f>IF(AND(Games[[#This Row],[Type]]="P",Games[[#This Row],[Round]]=2),IF(Games[[#This Row],[Result]]&lt;0.5,1,0),0)</f>
        <v>0</v>
      </c>
      <c r="AI501" s="2">
        <f>IF(AND(Games[[#This Row],[Type]]="P",Games[[#This Row],[Round]]=3),IF(Games[[#This Row],[Result]]&gt;0.5,1,0),0)</f>
        <v>0</v>
      </c>
      <c r="AJ501" s="2">
        <f>IF(AND(Games[[#This Row],[Type]]="P",Games[[#This Row],[Round]]=3),IF(Games[[#This Row],[Result]]&lt;0.5,1,0),0)</f>
        <v>0</v>
      </c>
      <c r="AK501" s="2">
        <f>IF(AND(Games[[#This Row],[Type]]="P",Games[[#This Row],[Round]]=4),IF(Games[[#This Row],[Result]]&gt;0.5,1,0),0)</f>
        <v>0</v>
      </c>
      <c r="AL501" s="2">
        <f>IF(AND(Games[[#This Row],[Type]]="P",Games[[#This Row],[Round]]=4),IF(Games[[#This Row],[Result]]&lt;0.5,1,0),0)</f>
        <v>0</v>
      </c>
    </row>
    <row r="502" spans="1:38" x14ac:dyDescent="0.35">
      <c r="A502" s="10">
        <v>45566</v>
      </c>
      <c r="B502" s="2">
        <v>2024</v>
      </c>
      <c r="C502" s="2">
        <f>COUNTIFS(Games[Team],Games[[#This Row],[Team]],Games[Season],Games[[#This Row],[Season]],Games[Date],"&lt;=" &amp; Games[[#This Row],[Date]])</f>
        <v>44</v>
      </c>
      <c r="D502" s="2" t="s">
        <v>83</v>
      </c>
      <c r="E502" s="2">
        <v>2</v>
      </c>
      <c r="F502" s="1" t="s">
        <v>74</v>
      </c>
      <c r="G502" s="1" t="s">
        <v>67</v>
      </c>
      <c r="H502" s="1" t="s">
        <v>81</v>
      </c>
      <c r="I502" s="2" cm="1">
        <f t="array" ref="I5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2" s="2" cm="1">
        <f t="array" ref="J5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2" s="2">
        <f>Games[[#This Row],[DaysOff]]-Games[[#This Row],[OppDaysOff]]</f>
        <v>0</v>
      </c>
      <c r="L502" s="2">
        <f>Games[[#This Row],[OppDaysOff]]-Games[[#This Row],[DaysOff]]</f>
        <v>0</v>
      </c>
      <c r="M502" s="16">
        <f>MAX(-16, MIN(16, Games[[#This Row],[RestDiff]]*8))</f>
        <v>0</v>
      </c>
      <c r="N502" s="16">
        <f>MAX(-16, MIN(16, Games[[#This Row],[OppRestDiff]]*8))</f>
        <v>0</v>
      </c>
      <c r="O502" s="4" cm="1">
        <f t="array" ref="O5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1645.9904218422816</v>
      </c>
      <c r="P502" s="4" cm="1">
        <f t="array" ref="P5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1641.0766236426512</v>
      </c>
      <c r="Q502" s="4">
        <f>1/(1+10^(((Games[[#This Row],[OppPreGmRate]]+IF(Games[[#This Row],[HomeAway]]="A",HCA,0)+Games[[#This Row],[OppRestAdj]])-(Games[[#This Row],[PreGmRate]]+IF(Games[[#This Row],[HomeAway]]="H",HCA,0)+Games[[#This Row],[RestAdj]]))/400))</f>
        <v>0.38811165046309715</v>
      </c>
      <c r="R502" s="1">
        <v>70</v>
      </c>
      <c r="S502" s="1">
        <v>77</v>
      </c>
      <c r="T502" s="1">
        <v>0</v>
      </c>
      <c r="U502" s="16">
        <f>Games[[#This Row],[PointsFor]]-Games[[#This Row],[PointsAgainst]]</f>
        <v>-7</v>
      </c>
      <c r="V502" s="16">
        <f>IF(Games[[#This Row],[MOV]]&gt;0,1,IF(Games[[#This Row],[MOV]]=0,0.5,0))</f>
        <v>0</v>
      </c>
      <c r="W502" s="4">
        <f>((ABS(Games[[#This Row],[MOV]])+5)^0.6)/(12+0.01*(ABS(Games[[#This Row],[PreGmRate]]-Games[[#This Row],[OppPreGmRate]])))*IF(Games[[#This Row],[OT]]=1,0.9,1)</f>
        <v>0.36859782637413258</v>
      </c>
      <c r="X502" s="7" cm="1">
        <f t="array" ref="X5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2" s="9">
        <f>MAX(kmin, kmax - 0.15 * MIN(Games[[#This Row],[GamesPlayed]], 82))</f>
        <v>69.400000000000006</v>
      </c>
      <c r="Z502" s="4">
        <f>Games[[#This Row],[K]]*Games[[#This Row],[POMult]]</f>
        <v>83.28</v>
      </c>
      <c r="AA502" s="4">
        <f>(Games[[#This Row],[Keff]]*Games[[#This Row],[MOVMult]])*(Games[[#This Row],[Result]]-Games[[#This Row],[ExpectedWin%]])</f>
        <v>-11.913796183357832</v>
      </c>
      <c r="AB502" s="4">
        <f>Games[[#This Row],[PreGmRate]]+Games[[#This Row],[RatingChange]]</f>
        <v>1634.0766256589238</v>
      </c>
      <c r="AC502" s="2">
        <f>IF(Games[[#This Row],[Type]]="R",IF(Games[[#This Row],[Result]]&gt;0.5,1,0),0)</f>
        <v>0</v>
      </c>
      <c r="AD502" s="2">
        <f>IF(Games[[#This Row],[Type]]="R",IF(Games[[#This Row],[Result]]&lt;0.5,1,0),0)</f>
        <v>0</v>
      </c>
      <c r="AE502" s="2">
        <f>IF(AND(Games[[#This Row],[Type]]="P",Games[[#This Row],[Round]]=1),IF(Games[[#This Row],[Result]]&gt;0.5,1,0),0)</f>
        <v>0</v>
      </c>
      <c r="AF502" s="2">
        <f>IF(AND(Games[[#This Row],[Type]]="P",Games[[#This Row],[Round]]=1),IF(Games[[#This Row],[Result]]&lt;0.5,1,0),0)</f>
        <v>0</v>
      </c>
      <c r="AG502" s="2">
        <f>IF(AND(Games[[#This Row],[Type]]="P",Games[[#This Row],[Round]]=2),IF(Games[[#This Row],[Result]]&gt;0.5,1,0),0)</f>
        <v>0</v>
      </c>
      <c r="AH502" s="2">
        <f>IF(AND(Games[[#This Row],[Type]]="P",Games[[#This Row],[Round]]=2),IF(Games[[#This Row],[Result]]&lt;0.5,1,0),0)</f>
        <v>1</v>
      </c>
      <c r="AI502" s="2">
        <f>IF(AND(Games[[#This Row],[Type]]="P",Games[[#This Row],[Round]]=3),IF(Games[[#This Row],[Result]]&gt;0.5,1,0),0)</f>
        <v>0</v>
      </c>
      <c r="AJ502" s="2">
        <f>IF(AND(Games[[#This Row],[Type]]="P",Games[[#This Row],[Round]]=3),IF(Games[[#This Row],[Result]]&lt;0.5,1,0),0)</f>
        <v>0</v>
      </c>
      <c r="AK502" s="2">
        <f>IF(AND(Games[[#This Row],[Type]]="P",Games[[#This Row],[Round]]=4),IF(Games[[#This Row],[Result]]&gt;0.5,1,0),0)</f>
        <v>0</v>
      </c>
      <c r="AL502" s="2">
        <f>IF(AND(Games[[#This Row],[Type]]="P",Games[[#This Row],[Round]]=4),IF(Games[[#This Row],[Result]]&lt;0.5,1,0),0)</f>
        <v>0</v>
      </c>
    </row>
    <row r="503" spans="1:38" x14ac:dyDescent="0.35">
      <c r="A503" s="10">
        <v>45566</v>
      </c>
      <c r="B503" s="2">
        <v>2024</v>
      </c>
      <c r="C503" s="2">
        <f>COUNTIFS(Games[Team],Games[[#This Row],[Team]],Games[Season],Games[[#This Row],[Season]],Games[Date],"&lt;=" &amp; Games[[#This Row],[Date]])</f>
        <v>44</v>
      </c>
      <c r="D503" s="2" t="s">
        <v>83</v>
      </c>
      <c r="E503" s="2">
        <v>2</v>
      </c>
      <c r="F503" s="1" t="s">
        <v>67</v>
      </c>
      <c r="G503" s="1" t="s">
        <v>74</v>
      </c>
      <c r="H503" s="1" t="s">
        <v>82</v>
      </c>
      <c r="I503" s="2" cm="1">
        <f t="array" ref="I5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3" s="2" cm="1">
        <f t="array" ref="J5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3" s="2">
        <f>Games[[#This Row],[DaysOff]]-Games[[#This Row],[OppDaysOff]]</f>
        <v>0</v>
      </c>
      <c r="L503" s="2">
        <f>Games[[#This Row],[OppDaysOff]]-Games[[#This Row],[DaysOff]]</f>
        <v>0</v>
      </c>
      <c r="M503" s="16">
        <f>MAX(-16, MIN(16, Games[[#This Row],[RestDiff]]*8))</f>
        <v>0</v>
      </c>
      <c r="N503" s="16">
        <f>MAX(-16, MIN(16, Games[[#This Row],[OppRestDiff]]*8))</f>
        <v>0</v>
      </c>
      <c r="O503" s="4" cm="1">
        <f t="array" ref="O5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1641.0766236426512</v>
      </c>
      <c r="P503" s="4" cm="1">
        <f t="array" ref="P5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1645.9904218422816</v>
      </c>
      <c r="Q503" s="4">
        <f>1/(1+10^(((Games[[#This Row],[OppPreGmRate]]+IF(Games[[#This Row],[HomeAway]]="A",HCA,0)+Games[[#This Row],[OppRestAdj]])-(Games[[#This Row],[PreGmRate]]+IF(Games[[#This Row],[HomeAway]]="H",HCA,0)+Games[[#This Row],[RestAdj]]))/400))</f>
        <v>0.61188834953690285</v>
      </c>
      <c r="R503" s="1">
        <v>77</v>
      </c>
      <c r="S503" s="1">
        <v>70</v>
      </c>
      <c r="T503" s="1">
        <v>0</v>
      </c>
      <c r="U503" s="16">
        <f>Games[[#This Row],[PointsFor]]-Games[[#This Row],[PointsAgainst]]</f>
        <v>7</v>
      </c>
      <c r="V503" s="16">
        <f>IF(Games[[#This Row],[MOV]]&gt;0,1,IF(Games[[#This Row],[MOV]]=0,0.5,0))</f>
        <v>1</v>
      </c>
      <c r="W503" s="4">
        <f>((ABS(Games[[#This Row],[MOV]])+5)^0.6)/(12+0.01*(ABS(Games[[#This Row],[PreGmRate]]-Games[[#This Row],[OppPreGmRate]])))*IF(Games[[#This Row],[OT]]=1,0.9,1)</f>
        <v>0.36859782637413258</v>
      </c>
      <c r="X503" s="7" cm="1">
        <f t="array" ref="X5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3" s="9">
        <f>MAX(kmin, kmax - 0.15 * MIN(Games[[#This Row],[GamesPlayed]], 82))</f>
        <v>69.400000000000006</v>
      </c>
      <c r="Z503" s="4">
        <f>Games[[#This Row],[K]]*Games[[#This Row],[POMult]]</f>
        <v>83.28</v>
      </c>
      <c r="AA503" s="4">
        <f>(Games[[#This Row],[Keff]]*Games[[#This Row],[MOVMult]])*(Games[[#This Row],[Result]]-Games[[#This Row],[ExpectedWin%]])</f>
        <v>11.913796183357832</v>
      </c>
      <c r="AB503" s="4">
        <f>Games[[#This Row],[PreGmRate]]+Games[[#This Row],[RatingChange]]</f>
        <v>1652.990419826009</v>
      </c>
      <c r="AC503" s="2">
        <f>IF(Games[[#This Row],[Type]]="R",IF(Games[[#This Row],[Result]]&gt;0.5,1,0),0)</f>
        <v>0</v>
      </c>
      <c r="AD503" s="2">
        <f>IF(Games[[#This Row],[Type]]="R",IF(Games[[#This Row],[Result]]&lt;0.5,1,0),0)</f>
        <v>0</v>
      </c>
      <c r="AE503" s="2">
        <f>IF(AND(Games[[#This Row],[Type]]="P",Games[[#This Row],[Round]]=1),IF(Games[[#This Row],[Result]]&gt;0.5,1,0),0)</f>
        <v>0</v>
      </c>
      <c r="AF503" s="2">
        <f>IF(AND(Games[[#This Row],[Type]]="P",Games[[#This Row],[Round]]=1),IF(Games[[#This Row],[Result]]&lt;0.5,1,0),0)</f>
        <v>0</v>
      </c>
      <c r="AG503" s="2">
        <f>IF(AND(Games[[#This Row],[Type]]="P",Games[[#This Row],[Round]]=2),IF(Games[[#This Row],[Result]]&gt;0.5,1,0),0)</f>
        <v>1</v>
      </c>
      <c r="AH503" s="2">
        <f>IF(AND(Games[[#This Row],[Type]]="P",Games[[#This Row],[Round]]=2),IF(Games[[#This Row],[Result]]&lt;0.5,1,0),0)</f>
        <v>0</v>
      </c>
      <c r="AI503" s="2">
        <f>IF(AND(Games[[#This Row],[Type]]="P",Games[[#This Row],[Round]]=3),IF(Games[[#This Row],[Result]]&gt;0.5,1,0),0)</f>
        <v>0</v>
      </c>
      <c r="AJ503" s="2">
        <f>IF(AND(Games[[#This Row],[Type]]="P",Games[[#This Row],[Round]]=3),IF(Games[[#This Row],[Result]]&lt;0.5,1,0),0)</f>
        <v>0</v>
      </c>
      <c r="AK503" s="2">
        <f>IF(AND(Games[[#This Row],[Type]]="P",Games[[#This Row],[Round]]=4),IF(Games[[#This Row],[Result]]&gt;0.5,1,0),0)</f>
        <v>0</v>
      </c>
      <c r="AL503" s="2">
        <f>IF(AND(Games[[#This Row],[Type]]="P",Games[[#This Row],[Round]]=4),IF(Games[[#This Row],[Result]]&lt;0.5,1,0),0)</f>
        <v>0</v>
      </c>
    </row>
    <row r="504" spans="1:38" x14ac:dyDescent="0.35">
      <c r="A504" s="10">
        <v>45566</v>
      </c>
      <c r="B504" s="2">
        <v>2024</v>
      </c>
      <c r="C504" s="2">
        <f>COUNTIFS(Games[Team],Games[[#This Row],[Team]],Games[Season],Games[[#This Row],[Season]],Games[Date],"&lt;=" &amp; Games[[#This Row],[Date]])</f>
        <v>44</v>
      </c>
      <c r="D504" s="2" t="s">
        <v>83</v>
      </c>
      <c r="E504" s="2">
        <v>2</v>
      </c>
      <c r="F504" s="1" t="s">
        <v>86</v>
      </c>
      <c r="G504" s="1" t="s">
        <v>60</v>
      </c>
      <c r="H504" s="1" t="s">
        <v>81</v>
      </c>
      <c r="I504" s="2" cm="1">
        <f t="array" ref="I5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4" s="2" cm="1">
        <f t="array" ref="J5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4" s="2">
        <f>Games[[#This Row],[DaysOff]]-Games[[#This Row],[OppDaysOff]]</f>
        <v>0</v>
      </c>
      <c r="L504" s="2">
        <f>Games[[#This Row],[OppDaysOff]]-Games[[#This Row],[DaysOff]]</f>
        <v>0</v>
      </c>
      <c r="M504" s="16">
        <f>MAX(-16, MIN(16, Games[[#This Row],[RestDiff]]*8))</f>
        <v>0</v>
      </c>
      <c r="N504" s="16">
        <f>MAX(-16, MIN(16, Games[[#This Row],[OppRestDiff]]*8))</f>
        <v>0</v>
      </c>
      <c r="O504" s="4" cm="1">
        <f t="array" ref="O5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1676.2884443423493</v>
      </c>
      <c r="P504" s="4" cm="1">
        <f t="array" ref="P5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1723.5865068090045</v>
      </c>
      <c r="Q504" s="4">
        <f>1/(1+10^(((Games[[#This Row],[OppPreGmRate]]+IF(Games[[#This Row],[HomeAway]]="A",HCA,0)+Games[[#This Row],[OppRestAdj]])-(Games[[#This Row],[PreGmRate]]+IF(Games[[#This Row],[HomeAway]]="H",HCA,0)+Games[[#This Row],[RestAdj]]))/400))</f>
        <v>0.31955612840095132</v>
      </c>
      <c r="R504" s="1">
        <v>84</v>
      </c>
      <c r="S504" s="1">
        <v>88</v>
      </c>
      <c r="T504" s="1">
        <v>0</v>
      </c>
      <c r="U504" s="16">
        <f>Games[[#This Row],[PointsFor]]-Games[[#This Row],[PointsAgainst]]</f>
        <v>-4</v>
      </c>
      <c r="V504" s="16">
        <f>IF(Games[[#This Row],[MOV]]&gt;0,1,IF(Games[[#This Row],[MOV]]=0,0.5,0))</f>
        <v>0</v>
      </c>
      <c r="W504" s="4">
        <f>((ABS(Games[[#This Row],[MOV]])+5)^0.6)/(12+0.01*(ABS(Games[[#This Row],[PreGmRate]]-Games[[#This Row],[OppPreGmRate]])))*IF(Games[[#This Row],[OT]]=1,0.9,1)</f>
        <v>0.29962307577515862</v>
      </c>
      <c r="X504" s="7" cm="1">
        <f t="array" ref="X5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4" s="9">
        <f>MAX(kmin, kmax - 0.15 * MIN(Games[[#This Row],[GamesPlayed]], 82))</f>
        <v>69.400000000000006</v>
      </c>
      <c r="Z504" s="4">
        <f>Games[[#This Row],[K]]*Games[[#This Row],[POMult]]</f>
        <v>83.28</v>
      </c>
      <c r="AA504" s="4">
        <f>(Games[[#This Row],[Keff]]*Games[[#This Row],[MOVMult]])*(Games[[#This Row],[Result]]-Games[[#This Row],[ExpectedWin%]])</f>
        <v>-7.9737593653872514</v>
      </c>
      <c r="AB504" s="4">
        <f>Games[[#This Row],[PreGmRate]]+Games[[#This Row],[RatingChange]]</f>
        <v>1668.3146849769621</v>
      </c>
      <c r="AC504" s="2">
        <f>IF(Games[[#This Row],[Type]]="R",IF(Games[[#This Row],[Result]]&gt;0.5,1,0),0)</f>
        <v>0</v>
      </c>
      <c r="AD504" s="2">
        <f>IF(Games[[#This Row],[Type]]="R",IF(Games[[#This Row],[Result]]&lt;0.5,1,0),0)</f>
        <v>0</v>
      </c>
      <c r="AE504" s="2">
        <f>IF(AND(Games[[#This Row],[Type]]="P",Games[[#This Row],[Round]]=1),IF(Games[[#This Row],[Result]]&gt;0.5,1,0),0)</f>
        <v>0</v>
      </c>
      <c r="AF504" s="2">
        <f>IF(AND(Games[[#This Row],[Type]]="P",Games[[#This Row],[Round]]=1),IF(Games[[#This Row],[Result]]&lt;0.5,1,0),0)</f>
        <v>0</v>
      </c>
      <c r="AG504" s="2">
        <f>IF(AND(Games[[#This Row],[Type]]="P",Games[[#This Row],[Round]]=2),IF(Games[[#This Row],[Result]]&gt;0.5,1,0),0)</f>
        <v>0</v>
      </c>
      <c r="AH504" s="2">
        <f>IF(AND(Games[[#This Row],[Type]]="P",Games[[#This Row],[Round]]=2),IF(Games[[#This Row],[Result]]&lt;0.5,1,0),0)</f>
        <v>1</v>
      </c>
      <c r="AI504" s="2">
        <f>IF(AND(Games[[#This Row],[Type]]="P",Games[[#This Row],[Round]]=3),IF(Games[[#This Row],[Result]]&gt;0.5,1,0),0)</f>
        <v>0</v>
      </c>
      <c r="AJ504" s="2">
        <f>IF(AND(Games[[#This Row],[Type]]="P",Games[[#This Row],[Round]]=3),IF(Games[[#This Row],[Result]]&lt;0.5,1,0),0)</f>
        <v>0</v>
      </c>
      <c r="AK504" s="2">
        <f>IF(AND(Games[[#This Row],[Type]]="P",Games[[#This Row],[Round]]=4),IF(Games[[#This Row],[Result]]&gt;0.5,1,0),0)</f>
        <v>0</v>
      </c>
      <c r="AL504" s="2">
        <f>IF(AND(Games[[#This Row],[Type]]="P",Games[[#This Row],[Round]]=4),IF(Games[[#This Row],[Result]]&lt;0.5,1,0),0)</f>
        <v>0</v>
      </c>
    </row>
    <row r="505" spans="1:38" x14ac:dyDescent="0.35">
      <c r="A505" s="10">
        <v>45566</v>
      </c>
      <c r="B505" s="2">
        <v>2024</v>
      </c>
      <c r="C505" s="2">
        <f>COUNTIFS(Games[Team],Games[[#This Row],[Team]],Games[Season],Games[[#This Row],[Season]],Games[Date],"&lt;=" &amp; Games[[#This Row],[Date]])</f>
        <v>44</v>
      </c>
      <c r="D505" s="2" t="s">
        <v>83</v>
      </c>
      <c r="E505" s="2">
        <v>2</v>
      </c>
      <c r="F505" s="1" t="s">
        <v>60</v>
      </c>
      <c r="G505" s="1" t="s">
        <v>86</v>
      </c>
      <c r="H505" s="1" t="s">
        <v>82</v>
      </c>
      <c r="I505" s="2" cm="1">
        <f t="array" ref="I5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5" s="2" cm="1">
        <f t="array" ref="J5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5" s="2">
        <f>Games[[#This Row],[DaysOff]]-Games[[#This Row],[OppDaysOff]]</f>
        <v>0</v>
      </c>
      <c r="L505" s="2">
        <f>Games[[#This Row],[OppDaysOff]]-Games[[#This Row],[DaysOff]]</f>
        <v>0</v>
      </c>
      <c r="M505" s="16">
        <f>MAX(-16, MIN(16, Games[[#This Row],[RestDiff]]*8))</f>
        <v>0</v>
      </c>
      <c r="N505" s="16">
        <f>MAX(-16, MIN(16, Games[[#This Row],[OppRestDiff]]*8))</f>
        <v>0</v>
      </c>
      <c r="O505" s="4" cm="1">
        <f t="array" ref="O5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1723.5865068090045</v>
      </c>
      <c r="P505" s="4" cm="1">
        <f t="array" ref="P5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1676.2884443423493</v>
      </c>
      <c r="Q505" s="4">
        <f>1/(1+10^(((Games[[#This Row],[OppPreGmRate]]+IF(Games[[#This Row],[HomeAway]]="A",HCA,0)+Games[[#This Row],[OppRestAdj]])-(Games[[#This Row],[PreGmRate]]+IF(Games[[#This Row],[HomeAway]]="H",HCA,0)+Games[[#This Row],[RestAdj]]))/400))</f>
        <v>0.68044387159904873</v>
      </c>
      <c r="R505" s="1">
        <v>88</v>
      </c>
      <c r="S505" s="1">
        <v>84</v>
      </c>
      <c r="T505" s="1">
        <v>0</v>
      </c>
      <c r="U505" s="16">
        <f>Games[[#This Row],[PointsFor]]-Games[[#This Row],[PointsAgainst]]</f>
        <v>4</v>
      </c>
      <c r="V505" s="16">
        <f>IF(Games[[#This Row],[MOV]]&gt;0,1,IF(Games[[#This Row],[MOV]]=0,0.5,0))</f>
        <v>1</v>
      </c>
      <c r="W505" s="4">
        <f>((ABS(Games[[#This Row],[MOV]])+5)^0.6)/(12+0.01*(ABS(Games[[#This Row],[PreGmRate]]-Games[[#This Row],[OppPreGmRate]])))*IF(Games[[#This Row],[OT]]=1,0.9,1)</f>
        <v>0.29962307577515862</v>
      </c>
      <c r="X505" s="7" cm="1">
        <f t="array" ref="X5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5" s="9">
        <f>MAX(kmin, kmax - 0.15 * MIN(Games[[#This Row],[GamesPlayed]], 82))</f>
        <v>69.400000000000006</v>
      </c>
      <c r="Z505" s="4">
        <f>Games[[#This Row],[K]]*Games[[#This Row],[POMult]]</f>
        <v>83.28</v>
      </c>
      <c r="AA505" s="4">
        <f>(Games[[#This Row],[Keff]]*Games[[#This Row],[MOVMult]])*(Games[[#This Row],[Result]]-Games[[#This Row],[ExpectedWin%]])</f>
        <v>7.9737593653872496</v>
      </c>
      <c r="AB505" s="4">
        <f>Games[[#This Row],[PreGmRate]]+Games[[#This Row],[RatingChange]]</f>
        <v>1731.5602661743917</v>
      </c>
      <c r="AC505" s="2">
        <f>IF(Games[[#This Row],[Type]]="R",IF(Games[[#This Row],[Result]]&gt;0.5,1,0),0)</f>
        <v>0</v>
      </c>
      <c r="AD505" s="2">
        <f>IF(Games[[#This Row],[Type]]="R",IF(Games[[#This Row],[Result]]&lt;0.5,1,0),0)</f>
        <v>0</v>
      </c>
      <c r="AE505" s="2">
        <f>IF(AND(Games[[#This Row],[Type]]="P",Games[[#This Row],[Round]]=1),IF(Games[[#This Row],[Result]]&gt;0.5,1,0),0)</f>
        <v>0</v>
      </c>
      <c r="AF505" s="2">
        <f>IF(AND(Games[[#This Row],[Type]]="P",Games[[#This Row],[Round]]=1),IF(Games[[#This Row],[Result]]&lt;0.5,1,0),0)</f>
        <v>0</v>
      </c>
      <c r="AG505" s="2">
        <f>IF(AND(Games[[#This Row],[Type]]="P",Games[[#This Row],[Round]]=2),IF(Games[[#This Row],[Result]]&gt;0.5,1,0),0)</f>
        <v>1</v>
      </c>
      <c r="AH505" s="2">
        <f>IF(AND(Games[[#This Row],[Type]]="P",Games[[#This Row],[Round]]=2),IF(Games[[#This Row],[Result]]&lt;0.5,1,0),0)</f>
        <v>0</v>
      </c>
      <c r="AI505" s="2">
        <f>IF(AND(Games[[#This Row],[Type]]="P",Games[[#This Row],[Round]]=3),IF(Games[[#This Row],[Result]]&gt;0.5,1,0),0)</f>
        <v>0</v>
      </c>
      <c r="AJ505" s="2">
        <f>IF(AND(Games[[#This Row],[Type]]="P",Games[[#This Row],[Round]]=3),IF(Games[[#This Row],[Result]]&lt;0.5,1,0),0)</f>
        <v>0</v>
      </c>
      <c r="AK505" s="2">
        <f>IF(AND(Games[[#This Row],[Type]]="P",Games[[#This Row],[Round]]=4),IF(Games[[#This Row],[Result]]&gt;0.5,1,0),0)</f>
        <v>0</v>
      </c>
      <c r="AL505" s="2">
        <f>IF(AND(Games[[#This Row],[Type]]="P",Games[[#This Row],[Round]]=4),IF(Games[[#This Row],[Result]]&lt;0.5,1,0),0)</f>
        <v>0</v>
      </c>
    </row>
    <row r="506" spans="1:38" x14ac:dyDescent="0.35">
      <c r="A506" s="10">
        <v>45569</v>
      </c>
      <c r="B506" s="2">
        <v>2024</v>
      </c>
      <c r="C506" s="2">
        <f>COUNTIFS(Games[Team],Games[[#This Row],[Team]],Games[Season],Games[[#This Row],[Season]],Games[Date],"&lt;=" &amp; Games[[#This Row],[Date]])</f>
        <v>45</v>
      </c>
      <c r="D506" s="2" t="s">
        <v>83</v>
      </c>
      <c r="E506" s="2">
        <v>2</v>
      </c>
      <c r="F506" s="1" t="s">
        <v>67</v>
      </c>
      <c r="G506" s="1" t="s">
        <v>74</v>
      </c>
      <c r="H506" s="1" t="s">
        <v>81</v>
      </c>
      <c r="I506" s="2" cm="1">
        <f t="array" ref="I5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6" s="2" cm="1">
        <f t="array" ref="J5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6" s="2">
        <f>Games[[#This Row],[DaysOff]]-Games[[#This Row],[OppDaysOff]]</f>
        <v>0</v>
      </c>
      <c r="L506" s="2">
        <f>Games[[#This Row],[OppDaysOff]]-Games[[#This Row],[DaysOff]]</f>
        <v>0</v>
      </c>
      <c r="M506" s="16">
        <f>MAX(-16, MIN(16, Games[[#This Row],[RestDiff]]*8))</f>
        <v>0</v>
      </c>
      <c r="N506" s="16">
        <f>MAX(-16, MIN(16, Games[[#This Row],[OppRestDiff]]*8))</f>
        <v>0</v>
      </c>
      <c r="O506" s="4" cm="1">
        <f t="array" ref="O5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1652.990419826009</v>
      </c>
      <c r="P506" s="4" cm="1">
        <f t="array" ref="P5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1634.0766256589238</v>
      </c>
      <c r="Q506" s="4">
        <f>1/(1+10^(((Games[[#This Row],[OppPreGmRate]]+IF(Games[[#This Row],[HomeAway]]="A",HCA,0)+Games[[#This Row],[OppRestAdj]])-(Games[[#This Row],[PreGmRate]]+IF(Games[[#This Row],[HomeAway]]="H",HCA,0)+Games[[#This Row],[RestAdj]]))/400))</f>
        <v>0.40741395760919413</v>
      </c>
      <c r="R506" s="1">
        <v>90</v>
      </c>
      <c r="S506" s="1">
        <v>81</v>
      </c>
      <c r="T506" s="1">
        <v>0</v>
      </c>
      <c r="U506" s="16">
        <f>Games[[#This Row],[PointsFor]]-Games[[#This Row],[PointsAgainst]]</f>
        <v>9</v>
      </c>
      <c r="V506" s="16">
        <f>IF(Games[[#This Row],[MOV]]&gt;0,1,IF(Games[[#This Row],[MOV]]=0,0.5,0))</f>
        <v>1</v>
      </c>
      <c r="W506" s="4">
        <f>((ABS(Games[[#This Row],[MOV]])+5)^0.6)/(12+0.01*(ABS(Games[[#This Row],[PreGmRate]]-Games[[#This Row],[OppPreGmRate]])))*IF(Games[[#This Row],[OT]]=1,0.9,1)</f>
        <v>0.39967209732791992</v>
      </c>
      <c r="X506" s="7" cm="1">
        <f t="array" ref="X5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6" s="9">
        <f>MAX(kmin, kmax - 0.15 * MIN(Games[[#This Row],[GamesPlayed]], 82))</f>
        <v>69.25</v>
      </c>
      <c r="Z506" s="4">
        <f>Games[[#This Row],[K]]*Games[[#This Row],[POMult]]</f>
        <v>83.1</v>
      </c>
      <c r="AA506" s="4">
        <f>(Games[[#This Row],[Keff]]*Games[[#This Row],[MOVMult]])*(Games[[#This Row],[Result]]-Games[[#This Row],[ExpectedWin%]])</f>
        <v>19.681412842636512</v>
      </c>
      <c r="AB506" s="4">
        <f>Games[[#This Row],[PreGmRate]]+Games[[#This Row],[RatingChange]]</f>
        <v>1672.6718326686455</v>
      </c>
      <c r="AC506" s="2">
        <f>IF(Games[[#This Row],[Type]]="R",IF(Games[[#This Row],[Result]]&gt;0.5,1,0),0)</f>
        <v>0</v>
      </c>
      <c r="AD506" s="2">
        <f>IF(Games[[#This Row],[Type]]="R",IF(Games[[#This Row],[Result]]&lt;0.5,1,0),0)</f>
        <v>0</v>
      </c>
      <c r="AE506" s="2">
        <f>IF(AND(Games[[#This Row],[Type]]="P",Games[[#This Row],[Round]]=1),IF(Games[[#This Row],[Result]]&gt;0.5,1,0),0)</f>
        <v>0</v>
      </c>
      <c r="AF506" s="2">
        <f>IF(AND(Games[[#This Row],[Type]]="P",Games[[#This Row],[Round]]=1),IF(Games[[#This Row],[Result]]&lt;0.5,1,0),0)</f>
        <v>0</v>
      </c>
      <c r="AG506" s="2">
        <f>IF(AND(Games[[#This Row],[Type]]="P",Games[[#This Row],[Round]]=2),IF(Games[[#This Row],[Result]]&gt;0.5,1,0),0)</f>
        <v>1</v>
      </c>
      <c r="AH506" s="2">
        <f>IF(AND(Games[[#This Row],[Type]]="P",Games[[#This Row],[Round]]=2),IF(Games[[#This Row],[Result]]&lt;0.5,1,0),0)</f>
        <v>0</v>
      </c>
      <c r="AI506" s="2">
        <f>IF(AND(Games[[#This Row],[Type]]="P",Games[[#This Row],[Round]]=3),IF(Games[[#This Row],[Result]]&gt;0.5,1,0),0)</f>
        <v>0</v>
      </c>
      <c r="AJ506" s="2">
        <f>IF(AND(Games[[#This Row],[Type]]="P",Games[[#This Row],[Round]]=3),IF(Games[[#This Row],[Result]]&lt;0.5,1,0),0)</f>
        <v>0</v>
      </c>
      <c r="AK506" s="2">
        <f>IF(AND(Games[[#This Row],[Type]]="P",Games[[#This Row],[Round]]=4),IF(Games[[#This Row],[Result]]&gt;0.5,1,0),0)</f>
        <v>0</v>
      </c>
      <c r="AL506" s="2">
        <f>IF(AND(Games[[#This Row],[Type]]="P",Games[[#This Row],[Round]]=4),IF(Games[[#This Row],[Result]]&lt;0.5,1,0),0)</f>
        <v>0</v>
      </c>
    </row>
    <row r="507" spans="1:38" x14ac:dyDescent="0.35">
      <c r="A507" s="10">
        <v>45569</v>
      </c>
      <c r="B507" s="2">
        <v>2024</v>
      </c>
      <c r="C507" s="2">
        <f>COUNTIFS(Games[Team],Games[[#This Row],[Team]],Games[Season],Games[[#This Row],[Season]],Games[Date],"&lt;=" &amp; Games[[#This Row],[Date]])</f>
        <v>45</v>
      </c>
      <c r="D507" s="2" t="s">
        <v>83</v>
      </c>
      <c r="E507" s="2">
        <v>2</v>
      </c>
      <c r="F507" s="1" t="s">
        <v>74</v>
      </c>
      <c r="G507" s="1" t="s">
        <v>67</v>
      </c>
      <c r="H507" s="1" t="s">
        <v>82</v>
      </c>
      <c r="I507" s="2" cm="1">
        <f t="array" ref="I5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7" s="2" cm="1">
        <f t="array" ref="J5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7" s="2">
        <f>Games[[#This Row],[DaysOff]]-Games[[#This Row],[OppDaysOff]]</f>
        <v>0</v>
      </c>
      <c r="L507" s="2">
        <f>Games[[#This Row],[OppDaysOff]]-Games[[#This Row],[DaysOff]]</f>
        <v>0</v>
      </c>
      <c r="M507" s="16">
        <f>MAX(-16, MIN(16, Games[[#This Row],[RestDiff]]*8))</f>
        <v>0</v>
      </c>
      <c r="N507" s="16">
        <f>MAX(-16, MIN(16, Games[[#This Row],[OppRestDiff]]*8))</f>
        <v>0</v>
      </c>
      <c r="O507" s="4" cm="1">
        <f t="array" ref="O5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1634.0766256589238</v>
      </c>
      <c r="P507" s="4" cm="1">
        <f t="array" ref="P5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1652.990419826009</v>
      </c>
      <c r="Q507" s="4">
        <f>1/(1+10^(((Games[[#This Row],[OppPreGmRate]]+IF(Games[[#This Row],[HomeAway]]="A",HCA,0)+Games[[#This Row],[OppRestAdj]])-(Games[[#This Row],[PreGmRate]]+IF(Games[[#This Row],[HomeAway]]="H",HCA,0)+Games[[#This Row],[RestAdj]]))/400))</f>
        <v>0.59258604239080581</v>
      </c>
      <c r="R507" s="1">
        <v>81</v>
      </c>
      <c r="S507" s="1">
        <v>90</v>
      </c>
      <c r="T507" s="1">
        <v>0</v>
      </c>
      <c r="U507" s="16">
        <f>Games[[#This Row],[PointsFor]]-Games[[#This Row],[PointsAgainst]]</f>
        <v>-9</v>
      </c>
      <c r="V507" s="16">
        <f>IF(Games[[#This Row],[MOV]]&gt;0,1,IF(Games[[#This Row],[MOV]]=0,0.5,0))</f>
        <v>0</v>
      </c>
      <c r="W507" s="4">
        <f>((ABS(Games[[#This Row],[MOV]])+5)^0.6)/(12+0.01*(ABS(Games[[#This Row],[PreGmRate]]-Games[[#This Row],[OppPreGmRate]])))*IF(Games[[#This Row],[OT]]=1,0.9,1)</f>
        <v>0.39967209732791992</v>
      </c>
      <c r="X507" s="7" cm="1">
        <f t="array" ref="X5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7" s="9">
        <f>MAX(kmin, kmax - 0.15 * MIN(Games[[#This Row],[GamesPlayed]], 82))</f>
        <v>69.25</v>
      </c>
      <c r="Z507" s="4">
        <f>Games[[#This Row],[K]]*Games[[#This Row],[POMult]]</f>
        <v>83.1</v>
      </c>
      <c r="AA507" s="4">
        <f>(Games[[#This Row],[Keff]]*Games[[#This Row],[MOVMult]])*(Games[[#This Row],[Result]]-Games[[#This Row],[ExpectedWin%]])</f>
        <v>-19.681412842636512</v>
      </c>
      <c r="AB507" s="4">
        <f>Games[[#This Row],[PreGmRate]]+Games[[#This Row],[RatingChange]]</f>
        <v>1614.3952128162873</v>
      </c>
      <c r="AC507" s="2">
        <f>IF(Games[[#This Row],[Type]]="R",IF(Games[[#This Row],[Result]]&gt;0.5,1,0),0)</f>
        <v>0</v>
      </c>
      <c r="AD507" s="2">
        <f>IF(Games[[#This Row],[Type]]="R",IF(Games[[#This Row],[Result]]&lt;0.5,1,0),0)</f>
        <v>0</v>
      </c>
      <c r="AE507" s="2">
        <f>IF(AND(Games[[#This Row],[Type]]="P",Games[[#This Row],[Round]]=1),IF(Games[[#This Row],[Result]]&gt;0.5,1,0),0)</f>
        <v>0</v>
      </c>
      <c r="AF507" s="2">
        <f>IF(AND(Games[[#This Row],[Type]]="P",Games[[#This Row],[Round]]=1),IF(Games[[#This Row],[Result]]&lt;0.5,1,0),0)</f>
        <v>0</v>
      </c>
      <c r="AG507" s="2">
        <f>IF(AND(Games[[#This Row],[Type]]="P",Games[[#This Row],[Round]]=2),IF(Games[[#This Row],[Result]]&gt;0.5,1,0),0)</f>
        <v>0</v>
      </c>
      <c r="AH507" s="2">
        <f>IF(AND(Games[[#This Row],[Type]]="P",Games[[#This Row],[Round]]=2),IF(Games[[#This Row],[Result]]&lt;0.5,1,0),0)</f>
        <v>1</v>
      </c>
      <c r="AI507" s="2">
        <f>IF(AND(Games[[#This Row],[Type]]="P",Games[[#This Row],[Round]]=3),IF(Games[[#This Row],[Result]]&gt;0.5,1,0),0)</f>
        <v>0</v>
      </c>
      <c r="AJ507" s="2">
        <f>IF(AND(Games[[#This Row],[Type]]="P",Games[[#This Row],[Round]]=3),IF(Games[[#This Row],[Result]]&lt;0.5,1,0),0)</f>
        <v>0</v>
      </c>
      <c r="AK507" s="2">
        <f>IF(AND(Games[[#This Row],[Type]]="P",Games[[#This Row],[Round]]=4),IF(Games[[#This Row],[Result]]&gt;0.5,1,0),0)</f>
        <v>0</v>
      </c>
      <c r="AL507" s="2">
        <f>IF(AND(Games[[#This Row],[Type]]="P",Games[[#This Row],[Round]]=4),IF(Games[[#This Row],[Result]]&lt;0.5,1,0),0)</f>
        <v>0</v>
      </c>
    </row>
    <row r="508" spans="1:38" x14ac:dyDescent="0.35">
      <c r="A508" s="10">
        <v>45569</v>
      </c>
      <c r="B508" s="2">
        <v>2024</v>
      </c>
      <c r="C508" s="2">
        <f>COUNTIFS(Games[Team],Games[[#This Row],[Team]],Games[Season],Games[[#This Row],[Season]],Games[Date],"&lt;=" &amp; Games[[#This Row],[Date]])</f>
        <v>45</v>
      </c>
      <c r="D508" s="2" t="s">
        <v>83</v>
      </c>
      <c r="E508" s="2">
        <v>2</v>
      </c>
      <c r="F508" s="1" t="s">
        <v>60</v>
      </c>
      <c r="G508" s="1" t="s">
        <v>86</v>
      </c>
      <c r="H508" s="1" t="s">
        <v>81</v>
      </c>
      <c r="I508" s="2" cm="1">
        <f t="array" ref="I5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8" s="2" cm="1">
        <f t="array" ref="J5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8" s="2">
        <f>Games[[#This Row],[DaysOff]]-Games[[#This Row],[OppDaysOff]]</f>
        <v>0</v>
      </c>
      <c r="L508" s="2">
        <f>Games[[#This Row],[OppDaysOff]]-Games[[#This Row],[DaysOff]]</f>
        <v>0</v>
      </c>
      <c r="M508" s="16">
        <f>MAX(-16, MIN(16, Games[[#This Row],[RestDiff]]*8))</f>
        <v>0</v>
      </c>
      <c r="N508" s="16">
        <f>MAX(-16, MIN(16, Games[[#This Row],[OppRestDiff]]*8))</f>
        <v>0</v>
      </c>
      <c r="O508" s="4" cm="1">
        <f t="array" ref="O5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1731.5602661743917</v>
      </c>
      <c r="P508" s="4" cm="1">
        <f t="array" ref="P5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1668.3146849769621</v>
      </c>
      <c r="Q508" s="4">
        <f>1/(1+10^(((Games[[#This Row],[OppPreGmRate]]+IF(Games[[#This Row],[HomeAway]]="A",HCA,0)+Games[[#This Row],[OppRestAdj]])-(Games[[#This Row],[PreGmRate]]+IF(Games[[#This Row],[HomeAway]]="H",HCA,0)+Games[[#This Row],[RestAdj]]))/400))</f>
        <v>0.47016746669274123</v>
      </c>
      <c r="R508" s="1">
        <v>81</v>
      </c>
      <c r="S508" s="1">
        <v>95</v>
      </c>
      <c r="T508" s="1">
        <v>0</v>
      </c>
      <c r="U508" s="16">
        <f>Games[[#This Row],[PointsFor]]-Games[[#This Row],[PointsAgainst]]</f>
        <v>-14</v>
      </c>
      <c r="V508" s="16">
        <f>IF(Games[[#This Row],[MOV]]&gt;0,1,IF(Games[[#This Row],[MOV]]=0,0.5,0))</f>
        <v>0</v>
      </c>
      <c r="W508" s="4">
        <f>((ABS(Games[[#This Row],[MOV]])+5)^0.6)/(12+0.01*(ABS(Games[[#This Row],[PreGmRate]]-Games[[#This Row],[OppPreGmRate]])))*IF(Games[[#This Row],[OT]]=1,0.9,1)</f>
        <v>0.4631955440416245</v>
      </c>
      <c r="X508" s="7" cm="1">
        <f t="array" ref="X5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8" s="9">
        <f>MAX(kmin, kmax - 0.15 * MIN(Games[[#This Row],[GamesPlayed]], 82))</f>
        <v>69.25</v>
      </c>
      <c r="Z508" s="4">
        <f>Games[[#This Row],[K]]*Games[[#This Row],[POMult]]</f>
        <v>83.1</v>
      </c>
      <c r="AA508" s="4">
        <f>(Games[[#This Row],[Keff]]*Games[[#This Row],[MOVMult]])*(Games[[#This Row],[Result]]-Games[[#This Row],[ExpectedWin%]])</f>
        <v>-18.097474416162122</v>
      </c>
      <c r="AB508" s="4">
        <f>Games[[#This Row],[PreGmRate]]+Games[[#This Row],[RatingChange]]</f>
        <v>1713.4627917582295</v>
      </c>
      <c r="AC508" s="2">
        <f>IF(Games[[#This Row],[Type]]="R",IF(Games[[#This Row],[Result]]&gt;0.5,1,0),0)</f>
        <v>0</v>
      </c>
      <c r="AD508" s="2">
        <f>IF(Games[[#This Row],[Type]]="R",IF(Games[[#This Row],[Result]]&lt;0.5,1,0),0)</f>
        <v>0</v>
      </c>
      <c r="AE508" s="2">
        <f>IF(AND(Games[[#This Row],[Type]]="P",Games[[#This Row],[Round]]=1),IF(Games[[#This Row],[Result]]&gt;0.5,1,0),0)</f>
        <v>0</v>
      </c>
      <c r="AF508" s="2">
        <f>IF(AND(Games[[#This Row],[Type]]="P",Games[[#This Row],[Round]]=1),IF(Games[[#This Row],[Result]]&lt;0.5,1,0),0)</f>
        <v>0</v>
      </c>
      <c r="AG508" s="2">
        <f>IF(AND(Games[[#This Row],[Type]]="P",Games[[#This Row],[Round]]=2),IF(Games[[#This Row],[Result]]&gt;0.5,1,0),0)</f>
        <v>0</v>
      </c>
      <c r="AH508" s="2">
        <f>IF(AND(Games[[#This Row],[Type]]="P",Games[[#This Row],[Round]]=2),IF(Games[[#This Row],[Result]]&lt;0.5,1,0),0)</f>
        <v>1</v>
      </c>
      <c r="AI508" s="2">
        <f>IF(AND(Games[[#This Row],[Type]]="P",Games[[#This Row],[Round]]=3),IF(Games[[#This Row],[Result]]&gt;0.5,1,0),0)</f>
        <v>0</v>
      </c>
      <c r="AJ508" s="2">
        <f>IF(AND(Games[[#This Row],[Type]]="P",Games[[#This Row],[Round]]=3),IF(Games[[#This Row],[Result]]&lt;0.5,1,0),0)</f>
        <v>0</v>
      </c>
      <c r="AK508" s="2">
        <f>IF(AND(Games[[#This Row],[Type]]="P",Games[[#This Row],[Round]]=4),IF(Games[[#This Row],[Result]]&gt;0.5,1,0),0)</f>
        <v>0</v>
      </c>
      <c r="AL508" s="2">
        <f>IF(AND(Games[[#This Row],[Type]]="P",Games[[#This Row],[Round]]=4),IF(Games[[#This Row],[Result]]&lt;0.5,1,0),0)</f>
        <v>0</v>
      </c>
    </row>
    <row r="509" spans="1:38" x14ac:dyDescent="0.35">
      <c r="A509" s="10">
        <v>45569</v>
      </c>
      <c r="B509" s="2">
        <v>2024</v>
      </c>
      <c r="C509" s="2">
        <f>COUNTIFS(Games[Team],Games[[#This Row],[Team]],Games[Season],Games[[#This Row],[Season]],Games[Date],"&lt;=" &amp; Games[[#This Row],[Date]])</f>
        <v>45</v>
      </c>
      <c r="D509" s="2" t="s">
        <v>83</v>
      </c>
      <c r="E509" s="2">
        <v>2</v>
      </c>
      <c r="F509" s="1" t="s">
        <v>86</v>
      </c>
      <c r="G509" s="1" t="s">
        <v>60</v>
      </c>
      <c r="H509" s="1" t="s">
        <v>82</v>
      </c>
      <c r="I509" s="2" cm="1">
        <f t="array" ref="I5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9" s="2" cm="1">
        <f t="array" ref="J5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9" s="2">
        <f>Games[[#This Row],[DaysOff]]-Games[[#This Row],[OppDaysOff]]</f>
        <v>0</v>
      </c>
      <c r="L509" s="2">
        <f>Games[[#This Row],[OppDaysOff]]-Games[[#This Row],[DaysOff]]</f>
        <v>0</v>
      </c>
      <c r="M509" s="16">
        <f>MAX(-16, MIN(16, Games[[#This Row],[RestDiff]]*8))</f>
        <v>0</v>
      </c>
      <c r="N509" s="16">
        <f>MAX(-16, MIN(16, Games[[#This Row],[OppRestDiff]]*8))</f>
        <v>0</v>
      </c>
      <c r="O509" s="4" cm="1">
        <f t="array" ref="O5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1668.3146849769621</v>
      </c>
      <c r="P509" s="4" cm="1">
        <f t="array" ref="P5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1731.5602661743917</v>
      </c>
      <c r="Q509" s="4">
        <f>1/(1+10^(((Games[[#This Row],[OppPreGmRate]]+IF(Games[[#This Row],[HomeAway]]="A",HCA,0)+Games[[#This Row],[OppRestAdj]])-(Games[[#This Row],[PreGmRate]]+IF(Games[[#This Row],[HomeAway]]="H",HCA,0)+Games[[#This Row],[RestAdj]]))/400))</f>
        <v>0.52983253330725877</v>
      </c>
      <c r="R509" s="1">
        <v>95</v>
      </c>
      <c r="S509" s="1">
        <v>81</v>
      </c>
      <c r="T509" s="1">
        <v>0</v>
      </c>
      <c r="U509" s="16">
        <f>Games[[#This Row],[PointsFor]]-Games[[#This Row],[PointsAgainst]]</f>
        <v>14</v>
      </c>
      <c r="V509" s="16">
        <f>IF(Games[[#This Row],[MOV]]&gt;0,1,IF(Games[[#This Row],[MOV]]=0,0.5,0))</f>
        <v>1</v>
      </c>
      <c r="W509" s="4">
        <f>((ABS(Games[[#This Row],[MOV]])+5)^0.6)/(12+0.01*(ABS(Games[[#This Row],[PreGmRate]]-Games[[#This Row],[OppPreGmRate]])))*IF(Games[[#This Row],[OT]]=1,0.9,1)</f>
        <v>0.4631955440416245</v>
      </c>
      <c r="X509" s="7" cm="1">
        <f t="array" ref="X5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9" s="9">
        <f>MAX(kmin, kmax - 0.15 * MIN(Games[[#This Row],[GamesPlayed]], 82))</f>
        <v>69.25</v>
      </c>
      <c r="Z509" s="4">
        <f>Games[[#This Row],[K]]*Games[[#This Row],[POMult]]</f>
        <v>83.1</v>
      </c>
      <c r="AA509" s="4">
        <f>(Games[[#This Row],[Keff]]*Games[[#This Row],[MOVMult]])*(Games[[#This Row],[Result]]-Games[[#This Row],[ExpectedWin%]])</f>
        <v>18.097474416162122</v>
      </c>
      <c r="AB509" s="4">
        <f>Games[[#This Row],[PreGmRate]]+Games[[#This Row],[RatingChange]]</f>
        <v>1686.4121593931243</v>
      </c>
      <c r="AC509" s="2">
        <f>IF(Games[[#This Row],[Type]]="R",IF(Games[[#This Row],[Result]]&gt;0.5,1,0),0)</f>
        <v>0</v>
      </c>
      <c r="AD509" s="2">
        <f>IF(Games[[#This Row],[Type]]="R",IF(Games[[#This Row],[Result]]&lt;0.5,1,0),0)</f>
        <v>0</v>
      </c>
      <c r="AE509" s="2">
        <f>IF(AND(Games[[#This Row],[Type]]="P",Games[[#This Row],[Round]]=1),IF(Games[[#This Row],[Result]]&gt;0.5,1,0),0)</f>
        <v>0</v>
      </c>
      <c r="AF509" s="2">
        <f>IF(AND(Games[[#This Row],[Type]]="P",Games[[#This Row],[Round]]=1),IF(Games[[#This Row],[Result]]&lt;0.5,1,0),0)</f>
        <v>0</v>
      </c>
      <c r="AG509" s="2">
        <f>IF(AND(Games[[#This Row],[Type]]="P",Games[[#This Row],[Round]]=2),IF(Games[[#This Row],[Result]]&gt;0.5,1,0),0)</f>
        <v>1</v>
      </c>
      <c r="AH509" s="2">
        <f>IF(AND(Games[[#This Row],[Type]]="P",Games[[#This Row],[Round]]=2),IF(Games[[#This Row],[Result]]&lt;0.5,1,0),0)</f>
        <v>0</v>
      </c>
      <c r="AI509" s="2">
        <f>IF(AND(Games[[#This Row],[Type]]="P",Games[[#This Row],[Round]]=3),IF(Games[[#This Row],[Result]]&gt;0.5,1,0),0)</f>
        <v>0</v>
      </c>
      <c r="AJ509" s="2">
        <f>IF(AND(Games[[#This Row],[Type]]="P",Games[[#This Row],[Round]]=3),IF(Games[[#This Row],[Result]]&lt;0.5,1,0),0)</f>
        <v>0</v>
      </c>
      <c r="AK509" s="2">
        <f>IF(AND(Games[[#This Row],[Type]]="P",Games[[#This Row],[Round]]=4),IF(Games[[#This Row],[Result]]&gt;0.5,1,0),0)</f>
        <v>0</v>
      </c>
      <c r="AL509" s="2">
        <f>IF(AND(Games[[#This Row],[Type]]="P",Games[[#This Row],[Round]]=4),IF(Games[[#This Row],[Result]]&lt;0.5,1,0),0)</f>
        <v>0</v>
      </c>
    </row>
    <row r="510" spans="1:38" x14ac:dyDescent="0.35">
      <c r="A510" s="10">
        <v>45571</v>
      </c>
      <c r="B510" s="2">
        <v>2024</v>
      </c>
      <c r="C510" s="2">
        <f>COUNTIFS(Games[Team],Games[[#This Row],[Team]],Games[Season],Games[[#This Row],[Season]],Games[Date],"&lt;=" &amp; Games[[#This Row],[Date]])</f>
        <v>46</v>
      </c>
      <c r="D510" s="2" t="s">
        <v>83</v>
      </c>
      <c r="E510" s="2">
        <v>2</v>
      </c>
      <c r="F510" s="1" t="s">
        <v>67</v>
      </c>
      <c r="G510" s="1" t="s">
        <v>74</v>
      </c>
      <c r="H510" s="1" t="s">
        <v>81</v>
      </c>
      <c r="I510" s="2" cm="1">
        <f t="array" ref="I5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0" s="2" cm="1">
        <f t="array" ref="J5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0" s="2">
        <f>Games[[#This Row],[DaysOff]]-Games[[#This Row],[OppDaysOff]]</f>
        <v>0</v>
      </c>
      <c r="L510" s="2">
        <f>Games[[#This Row],[OppDaysOff]]-Games[[#This Row],[DaysOff]]</f>
        <v>0</v>
      </c>
      <c r="M510" s="16">
        <f>MAX(-16, MIN(16, Games[[#This Row],[RestDiff]]*8))</f>
        <v>0</v>
      </c>
      <c r="N510" s="16">
        <f>MAX(-16, MIN(16, Games[[#This Row],[OppRestDiff]]*8))</f>
        <v>0</v>
      </c>
      <c r="O510" s="4" cm="1">
        <f t="array" ref="O5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1672.6718326686455</v>
      </c>
      <c r="P510" s="4" cm="1">
        <f t="array" ref="P5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1614.3952128162873</v>
      </c>
      <c r="Q510" s="4">
        <f>1/(1+10^(((Games[[#This Row],[OppPreGmRate]]+IF(Games[[#This Row],[HomeAway]]="A",HCA,0)+Games[[#This Row],[OppRestAdj]])-(Games[[#This Row],[PreGmRate]]+IF(Games[[#This Row],[HomeAway]]="H",HCA,0)+Games[[#This Row],[RestAdj]]))/400))</f>
        <v>0.46304857321369608</v>
      </c>
      <c r="R510" s="1">
        <v>82</v>
      </c>
      <c r="S510" s="1">
        <v>92</v>
      </c>
      <c r="T510" s="1">
        <v>0</v>
      </c>
      <c r="U510" s="16">
        <f>Games[[#This Row],[PointsFor]]-Games[[#This Row],[PointsAgainst]]</f>
        <v>-10</v>
      </c>
      <c r="V510" s="16">
        <f>IF(Games[[#This Row],[MOV]]&gt;0,1,IF(Games[[#This Row],[MOV]]=0,0.5,0))</f>
        <v>0</v>
      </c>
      <c r="W510" s="4">
        <f>((ABS(Games[[#This Row],[MOV]])+5)^0.6)/(12+0.01*(ABS(Games[[#This Row],[PreGmRate]]-Games[[#This Row],[OppPreGmRate]])))*IF(Games[[#This Row],[OT]]=1,0.9,1)</f>
        <v>0.4035326025991956</v>
      </c>
      <c r="X510" s="7" cm="1">
        <f t="array" ref="X5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0" s="9">
        <f>MAX(kmin, kmax - 0.15 * MIN(Games[[#This Row],[GamesPlayed]], 82))</f>
        <v>69.099999999999994</v>
      </c>
      <c r="Z510" s="4">
        <f>Games[[#This Row],[K]]*Games[[#This Row],[POMult]]</f>
        <v>82.919999999999987</v>
      </c>
      <c r="AA510" s="4">
        <f>(Games[[#This Row],[Keff]]*Games[[#This Row],[MOVMult]])*(Games[[#This Row],[Result]]-Games[[#This Row],[ExpectedWin%]])</f>
        <v>-15.494032842267352</v>
      </c>
      <c r="AB510" s="4">
        <f>Games[[#This Row],[PreGmRate]]+Games[[#This Row],[RatingChange]]</f>
        <v>1657.1777998263781</v>
      </c>
      <c r="AC510" s="2">
        <f>IF(Games[[#This Row],[Type]]="R",IF(Games[[#This Row],[Result]]&gt;0.5,1,0),0)</f>
        <v>0</v>
      </c>
      <c r="AD510" s="2">
        <f>IF(Games[[#This Row],[Type]]="R",IF(Games[[#This Row],[Result]]&lt;0.5,1,0),0)</f>
        <v>0</v>
      </c>
      <c r="AE510" s="2">
        <f>IF(AND(Games[[#This Row],[Type]]="P",Games[[#This Row],[Round]]=1),IF(Games[[#This Row],[Result]]&gt;0.5,1,0),0)</f>
        <v>0</v>
      </c>
      <c r="AF510" s="2">
        <f>IF(AND(Games[[#This Row],[Type]]="P",Games[[#This Row],[Round]]=1),IF(Games[[#This Row],[Result]]&lt;0.5,1,0),0)</f>
        <v>0</v>
      </c>
      <c r="AG510" s="2">
        <f>IF(AND(Games[[#This Row],[Type]]="P",Games[[#This Row],[Round]]=2),IF(Games[[#This Row],[Result]]&gt;0.5,1,0),0)</f>
        <v>0</v>
      </c>
      <c r="AH510" s="2">
        <f>IF(AND(Games[[#This Row],[Type]]="P",Games[[#This Row],[Round]]=2),IF(Games[[#This Row],[Result]]&lt;0.5,1,0),0)</f>
        <v>1</v>
      </c>
      <c r="AI510" s="2">
        <f>IF(AND(Games[[#This Row],[Type]]="P",Games[[#This Row],[Round]]=3),IF(Games[[#This Row],[Result]]&gt;0.5,1,0),0)</f>
        <v>0</v>
      </c>
      <c r="AJ510" s="2">
        <f>IF(AND(Games[[#This Row],[Type]]="P",Games[[#This Row],[Round]]=3),IF(Games[[#This Row],[Result]]&lt;0.5,1,0),0)</f>
        <v>0</v>
      </c>
      <c r="AK510" s="2">
        <f>IF(AND(Games[[#This Row],[Type]]="P",Games[[#This Row],[Round]]=4),IF(Games[[#This Row],[Result]]&gt;0.5,1,0),0)</f>
        <v>0</v>
      </c>
      <c r="AL510" s="2">
        <f>IF(AND(Games[[#This Row],[Type]]="P",Games[[#This Row],[Round]]=4),IF(Games[[#This Row],[Result]]&lt;0.5,1,0),0)</f>
        <v>0</v>
      </c>
    </row>
    <row r="511" spans="1:38" x14ac:dyDescent="0.35">
      <c r="A511" s="10">
        <v>45571</v>
      </c>
      <c r="B511" s="2">
        <v>2024</v>
      </c>
      <c r="C511" s="2">
        <f>COUNTIFS(Games[Team],Games[[#This Row],[Team]],Games[Season],Games[[#This Row],[Season]],Games[Date],"&lt;=" &amp; Games[[#This Row],[Date]])</f>
        <v>46</v>
      </c>
      <c r="D511" s="2" t="s">
        <v>83</v>
      </c>
      <c r="E511" s="2">
        <v>2</v>
      </c>
      <c r="F511" s="1" t="s">
        <v>74</v>
      </c>
      <c r="G511" s="1" t="s">
        <v>67</v>
      </c>
      <c r="H511" s="1" t="s">
        <v>82</v>
      </c>
      <c r="I511" s="2" cm="1">
        <f t="array" ref="I5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1" s="2" cm="1">
        <f t="array" ref="J5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1" s="2">
        <f>Games[[#This Row],[DaysOff]]-Games[[#This Row],[OppDaysOff]]</f>
        <v>0</v>
      </c>
      <c r="L511" s="2">
        <f>Games[[#This Row],[OppDaysOff]]-Games[[#This Row],[DaysOff]]</f>
        <v>0</v>
      </c>
      <c r="M511" s="16">
        <f>MAX(-16, MIN(16, Games[[#This Row],[RestDiff]]*8))</f>
        <v>0</v>
      </c>
      <c r="N511" s="16">
        <f>MAX(-16, MIN(16, Games[[#This Row],[OppRestDiff]]*8))</f>
        <v>0</v>
      </c>
      <c r="O511" s="4" cm="1">
        <f t="array" ref="O5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1614.3952128162873</v>
      </c>
      <c r="P511" s="4" cm="1">
        <f t="array" ref="P5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1672.6718326686455</v>
      </c>
      <c r="Q511" s="4">
        <f>1/(1+10^(((Games[[#This Row],[OppPreGmRate]]+IF(Games[[#This Row],[HomeAway]]="A",HCA,0)+Games[[#This Row],[OppRestAdj]])-(Games[[#This Row],[PreGmRate]]+IF(Games[[#This Row],[HomeAway]]="H",HCA,0)+Games[[#This Row],[RestAdj]]))/400))</f>
        <v>0.53695142678630381</v>
      </c>
      <c r="R511" s="1">
        <v>92</v>
      </c>
      <c r="S511" s="1">
        <v>82</v>
      </c>
      <c r="T511" s="1">
        <v>0</v>
      </c>
      <c r="U511" s="16">
        <f>Games[[#This Row],[PointsFor]]-Games[[#This Row],[PointsAgainst]]</f>
        <v>10</v>
      </c>
      <c r="V511" s="16">
        <f>IF(Games[[#This Row],[MOV]]&gt;0,1,IF(Games[[#This Row],[MOV]]=0,0.5,0))</f>
        <v>1</v>
      </c>
      <c r="W511" s="4">
        <f>((ABS(Games[[#This Row],[MOV]])+5)^0.6)/(12+0.01*(ABS(Games[[#This Row],[PreGmRate]]-Games[[#This Row],[OppPreGmRate]])))*IF(Games[[#This Row],[OT]]=1,0.9,1)</f>
        <v>0.4035326025991956</v>
      </c>
      <c r="X511" s="7" cm="1">
        <f t="array" ref="X5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1" s="9">
        <f>MAX(kmin, kmax - 0.15 * MIN(Games[[#This Row],[GamesPlayed]], 82))</f>
        <v>69.099999999999994</v>
      </c>
      <c r="Z511" s="4">
        <f>Games[[#This Row],[K]]*Games[[#This Row],[POMult]]</f>
        <v>82.919999999999987</v>
      </c>
      <c r="AA511" s="4">
        <f>(Games[[#This Row],[Keff]]*Games[[#This Row],[MOVMult]])*(Games[[#This Row],[Result]]-Games[[#This Row],[ExpectedWin%]])</f>
        <v>15.494032842267357</v>
      </c>
      <c r="AB511" s="4">
        <f>Games[[#This Row],[PreGmRate]]+Games[[#This Row],[RatingChange]]</f>
        <v>1629.8892456585547</v>
      </c>
      <c r="AC511" s="2">
        <f>IF(Games[[#This Row],[Type]]="R",IF(Games[[#This Row],[Result]]&gt;0.5,1,0),0)</f>
        <v>0</v>
      </c>
      <c r="AD511" s="2">
        <f>IF(Games[[#This Row],[Type]]="R",IF(Games[[#This Row],[Result]]&lt;0.5,1,0),0)</f>
        <v>0</v>
      </c>
      <c r="AE511" s="2">
        <f>IF(AND(Games[[#This Row],[Type]]="P",Games[[#This Row],[Round]]=1),IF(Games[[#This Row],[Result]]&gt;0.5,1,0),0)</f>
        <v>0</v>
      </c>
      <c r="AF511" s="2">
        <f>IF(AND(Games[[#This Row],[Type]]="P",Games[[#This Row],[Round]]=1),IF(Games[[#This Row],[Result]]&lt;0.5,1,0),0)</f>
        <v>0</v>
      </c>
      <c r="AG511" s="2">
        <f>IF(AND(Games[[#This Row],[Type]]="P",Games[[#This Row],[Round]]=2),IF(Games[[#This Row],[Result]]&gt;0.5,1,0),0)</f>
        <v>1</v>
      </c>
      <c r="AH511" s="2">
        <f>IF(AND(Games[[#This Row],[Type]]="P",Games[[#This Row],[Round]]=2),IF(Games[[#This Row],[Result]]&lt;0.5,1,0),0)</f>
        <v>0</v>
      </c>
      <c r="AI511" s="2">
        <f>IF(AND(Games[[#This Row],[Type]]="P",Games[[#This Row],[Round]]=3),IF(Games[[#This Row],[Result]]&gt;0.5,1,0),0)</f>
        <v>0</v>
      </c>
      <c r="AJ511" s="2">
        <f>IF(AND(Games[[#This Row],[Type]]="P",Games[[#This Row],[Round]]=3),IF(Games[[#This Row],[Result]]&lt;0.5,1,0),0)</f>
        <v>0</v>
      </c>
      <c r="AK511" s="2">
        <f>IF(AND(Games[[#This Row],[Type]]="P",Games[[#This Row],[Round]]=4),IF(Games[[#This Row],[Result]]&gt;0.5,1,0),0)</f>
        <v>0</v>
      </c>
      <c r="AL511" s="2">
        <f>IF(AND(Games[[#This Row],[Type]]="P",Games[[#This Row],[Round]]=4),IF(Games[[#This Row],[Result]]&lt;0.5,1,0),0)</f>
        <v>0</v>
      </c>
    </row>
    <row r="512" spans="1:38" x14ac:dyDescent="0.35">
      <c r="A512" s="10">
        <v>45571</v>
      </c>
      <c r="B512" s="2">
        <v>2024</v>
      </c>
      <c r="C512" s="2">
        <f>COUNTIFS(Games[Team],Games[[#This Row],[Team]],Games[Season],Games[[#This Row],[Season]],Games[Date],"&lt;=" &amp; Games[[#This Row],[Date]])</f>
        <v>46</v>
      </c>
      <c r="D512" s="2" t="s">
        <v>83</v>
      </c>
      <c r="E512" s="2">
        <v>2</v>
      </c>
      <c r="F512" s="1" t="s">
        <v>60</v>
      </c>
      <c r="G512" s="1" t="s">
        <v>86</v>
      </c>
      <c r="H512" s="1" t="s">
        <v>81</v>
      </c>
      <c r="I512" s="2" cm="1">
        <f t="array" ref="I5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2" s="2" cm="1">
        <f t="array" ref="J5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2" s="2">
        <f>Games[[#This Row],[DaysOff]]-Games[[#This Row],[OppDaysOff]]</f>
        <v>0</v>
      </c>
      <c r="L512" s="2">
        <f>Games[[#This Row],[OppDaysOff]]-Games[[#This Row],[DaysOff]]</f>
        <v>0</v>
      </c>
      <c r="M512" s="16">
        <f>MAX(-16, MIN(16, Games[[#This Row],[RestDiff]]*8))</f>
        <v>0</v>
      </c>
      <c r="N512" s="16">
        <f>MAX(-16, MIN(16, Games[[#This Row],[OppRestDiff]]*8))</f>
        <v>0</v>
      </c>
      <c r="O512" s="4" cm="1">
        <f t="array" ref="O5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1713.4627917582295</v>
      </c>
      <c r="P512" s="4" cm="1">
        <f t="array" ref="P5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1686.4121593931243</v>
      </c>
      <c r="Q512" s="4">
        <f>1/(1+10^(((Games[[#This Row],[OppPreGmRate]]+IF(Games[[#This Row],[HomeAway]]="A",HCA,0)+Games[[#This Row],[OppRestAdj]])-(Games[[#This Row],[PreGmRate]]+IF(Games[[#This Row],[HomeAway]]="H",HCA,0)+Games[[#This Row],[RestAdj]]))/400))</f>
        <v>0.41876946259005116</v>
      </c>
      <c r="R512" s="1">
        <v>76</v>
      </c>
      <c r="S512" s="1">
        <v>62</v>
      </c>
      <c r="T512" s="1">
        <v>0</v>
      </c>
      <c r="U512" s="16">
        <f>Games[[#This Row],[PointsFor]]-Games[[#This Row],[PointsAgainst]]</f>
        <v>14</v>
      </c>
      <c r="V512" s="16">
        <f>IF(Games[[#This Row],[MOV]]&gt;0,1,IF(Games[[#This Row],[MOV]]=0,0.5,0))</f>
        <v>1</v>
      </c>
      <c r="W512" s="4">
        <f>((ABS(Games[[#This Row],[MOV]])+5)^0.6)/(12+0.01*(ABS(Games[[#This Row],[PreGmRate]]-Games[[#This Row],[OppPreGmRate]])))*IF(Games[[#This Row],[OT]]=1,0.9,1)</f>
        <v>0.4768586632102545</v>
      </c>
      <c r="X512" s="7" cm="1">
        <f t="array" ref="X5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2" s="9">
        <f>MAX(kmin, kmax - 0.15 * MIN(Games[[#This Row],[GamesPlayed]], 82))</f>
        <v>69.099999999999994</v>
      </c>
      <c r="Z512" s="4">
        <f>Games[[#This Row],[K]]*Games[[#This Row],[POMult]]</f>
        <v>82.919999999999987</v>
      </c>
      <c r="AA512" s="4">
        <f>(Games[[#This Row],[Keff]]*Games[[#This Row],[MOVMult]])*(Games[[#This Row],[Result]]-Games[[#This Row],[ExpectedWin%]])</f>
        <v>22.982506632794838</v>
      </c>
      <c r="AB512" s="4">
        <f>Games[[#This Row],[PreGmRate]]+Games[[#This Row],[RatingChange]]</f>
        <v>1736.4452983910244</v>
      </c>
      <c r="AC512" s="2">
        <f>IF(Games[[#This Row],[Type]]="R",IF(Games[[#This Row],[Result]]&gt;0.5,1,0),0)</f>
        <v>0</v>
      </c>
      <c r="AD512" s="2">
        <f>IF(Games[[#This Row],[Type]]="R",IF(Games[[#This Row],[Result]]&lt;0.5,1,0),0)</f>
        <v>0</v>
      </c>
      <c r="AE512" s="2">
        <f>IF(AND(Games[[#This Row],[Type]]="P",Games[[#This Row],[Round]]=1),IF(Games[[#This Row],[Result]]&gt;0.5,1,0),0)</f>
        <v>0</v>
      </c>
      <c r="AF512" s="2">
        <f>IF(AND(Games[[#This Row],[Type]]="P",Games[[#This Row],[Round]]=1),IF(Games[[#This Row],[Result]]&lt;0.5,1,0),0)</f>
        <v>0</v>
      </c>
      <c r="AG512" s="2">
        <f>IF(AND(Games[[#This Row],[Type]]="P",Games[[#This Row],[Round]]=2),IF(Games[[#This Row],[Result]]&gt;0.5,1,0),0)</f>
        <v>1</v>
      </c>
      <c r="AH512" s="2">
        <f>IF(AND(Games[[#This Row],[Type]]="P",Games[[#This Row],[Round]]=2),IF(Games[[#This Row],[Result]]&lt;0.5,1,0),0)</f>
        <v>0</v>
      </c>
      <c r="AI512" s="2">
        <f>IF(AND(Games[[#This Row],[Type]]="P",Games[[#This Row],[Round]]=3),IF(Games[[#This Row],[Result]]&gt;0.5,1,0),0)</f>
        <v>0</v>
      </c>
      <c r="AJ512" s="2">
        <f>IF(AND(Games[[#This Row],[Type]]="P",Games[[#This Row],[Round]]=3),IF(Games[[#This Row],[Result]]&lt;0.5,1,0),0)</f>
        <v>0</v>
      </c>
      <c r="AK512" s="2">
        <f>IF(AND(Games[[#This Row],[Type]]="P",Games[[#This Row],[Round]]=4),IF(Games[[#This Row],[Result]]&gt;0.5,1,0),0)</f>
        <v>0</v>
      </c>
      <c r="AL512" s="2">
        <f>IF(AND(Games[[#This Row],[Type]]="P",Games[[#This Row],[Round]]=4),IF(Games[[#This Row],[Result]]&lt;0.5,1,0),0)</f>
        <v>0</v>
      </c>
    </row>
    <row r="513" spans="1:38" x14ac:dyDescent="0.35">
      <c r="A513" s="10">
        <v>45571</v>
      </c>
      <c r="B513" s="2">
        <v>2024</v>
      </c>
      <c r="C513" s="2">
        <f>COUNTIFS(Games[Team],Games[[#This Row],[Team]],Games[Season],Games[[#This Row],[Season]],Games[Date],"&lt;=" &amp; Games[[#This Row],[Date]])</f>
        <v>46</v>
      </c>
      <c r="D513" s="2" t="s">
        <v>83</v>
      </c>
      <c r="E513" s="2">
        <v>2</v>
      </c>
      <c r="F513" s="1" t="s">
        <v>86</v>
      </c>
      <c r="G513" s="1" t="s">
        <v>60</v>
      </c>
      <c r="H513" s="1" t="s">
        <v>82</v>
      </c>
      <c r="I513" s="2" cm="1">
        <f t="array" ref="I5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3" s="2" cm="1">
        <f t="array" ref="J5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3" s="2">
        <f>Games[[#This Row],[DaysOff]]-Games[[#This Row],[OppDaysOff]]</f>
        <v>0</v>
      </c>
      <c r="L513" s="2">
        <f>Games[[#This Row],[OppDaysOff]]-Games[[#This Row],[DaysOff]]</f>
        <v>0</v>
      </c>
      <c r="M513" s="16">
        <f>MAX(-16, MIN(16, Games[[#This Row],[RestDiff]]*8))</f>
        <v>0</v>
      </c>
      <c r="N513" s="16">
        <f>MAX(-16, MIN(16, Games[[#This Row],[OppRestDiff]]*8))</f>
        <v>0</v>
      </c>
      <c r="O513" s="4" cm="1">
        <f t="array" ref="O5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1686.4121593931243</v>
      </c>
      <c r="P513" s="4" cm="1">
        <f t="array" ref="P5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1713.4627917582295</v>
      </c>
      <c r="Q513" s="4">
        <f>1/(1+10^(((Games[[#This Row],[OppPreGmRate]]+IF(Games[[#This Row],[HomeAway]]="A",HCA,0)+Games[[#This Row],[OppRestAdj]])-(Games[[#This Row],[PreGmRate]]+IF(Games[[#This Row],[HomeAway]]="H",HCA,0)+Games[[#This Row],[RestAdj]]))/400))</f>
        <v>0.5812305374099489</v>
      </c>
      <c r="R513" s="1">
        <v>62</v>
      </c>
      <c r="S513" s="1">
        <v>76</v>
      </c>
      <c r="T513" s="1">
        <v>0</v>
      </c>
      <c r="U513" s="16">
        <f>Games[[#This Row],[PointsFor]]-Games[[#This Row],[PointsAgainst]]</f>
        <v>-14</v>
      </c>
      <c r="V513" s="16">
        <f>IF(Games[[#This Row],[MOV]]&gt;0,1,IF(Games[[#This Row],[MOV]]=0,0.5,0))</f>
        <v>0</v>
      </c>
      <c r="W513" s="4">
        <f>((ABS(Games[[#This Row],[MOV]])+5)^0.6)/(12+0.01*(ABS(Games[[#This Row],[PreGmRate]]-Games[[#This Row],[OppPreGmRate]])))*IF(Games[[#This Row],[OT]]=1,0.9,1)</f>
        <v>0.4768586632102545</v>
      </c>
      <c r="X513" s="7" cm="1">
        <f t="array" ref="X5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3" s="9">
        <f>MAX(kmin, kmax - 0.15 * MIN(Games[[#This Row],[GamesPlayed]], 82))</f>
        <v>69.099999999999994</v>
      </c>
      <c r="Z513" s="4">
        <f>Games[[#This Row],[K]]*Games[[#This Row],[POMult]]</f>
        <v>82.919999999999987</v>
      </c>
      <c r="AA513" s="4">
        <f>(Games[[#This Row],[Keff]]*Games[[#This Row],[MOVMult]])*(Games[[#This Row],[Result]]-Games[[#This Row],[ExpectedWin%]])</f>
        <v>-22.982506632794838</v>
      </c>
      <c r="AB513" s="4">
        <f>Games[[#This Row],[PreGmRate]]+Games[[#This Row],[RatingChange]]</f>
        <v>1663.4296527603294</v>
      </c>
      <c r="AC513" s="2">
        <f>IF(Games[[#This Row],[Type]]="R",IF(Games[[#This Row],[Result]]&gt;0.5,1,0),0)</f>
        <v>0</v>
      </c>
      <c r="AD513" s="2">
        <f>IF(Games[[#This Row],[Type]]="R",IF(Games[[#This Row],[Result]]&lt;0.5,1,0),0)</f>
        <v>0</v>
      </c>
      <c r="AE513" s="2">
        <f>IF(AND(Games[[#This Row],[Type]]="P",Games[[#This Row],[Round]]=1),IF(Games[[#This Row],[Result]]&gt;0.5,1,0),0)</f>
        <v>0</v>
      </c>
      <c r="AF513" s="2">
        <f>IF(AND(Games[[#This Row],[Type]]="P",Games[[#This Row],[Round]]=1),IF(Games[[#This Row],[Result]]&lt;0.5,1,0),0)</f>
        <v>0</v>
      </c>
      <c r="AG513" s="2">
        <f>IF(AND(Games[[#This Row],[Type]]="P",Games[[#This Row],[Round]]=2),IF(Games[[#This Row],[Result]]&gt;0.5,1,0),0)</f>
        <v>0</v>
      </c>
      <c r="AH513" s="2">
        <f>IF(AND(Games[[#This Row],[Type]]="P",Games[[#This Row],[Round]]=2),IF(Games[[#This Row],[Result]]&lt;0.5,1,0),0)</f>
        <v>1</v>
      </c>
      <c r="AI513" s="2">
        <f>IF(AND(Games[[#This Row],[Type]]="P",Games[[#This Row],[Round]]=3),IF(Games[[#This Row],[Result]]&gt;0.5,1,0),0)</f>
        <v>0</v>
      </c>
      <c r="AJ513" s="2">
        <f>IF(AND(Games[[#This Row],[Type]]="P",Games[[#This Row],[Round]]=3),IF(Games[[#This Row],[Result]]&lt;0.5,1,0),0)</f>
        <v>0</v>
      </c>
      <c r="AK513" s="2">
        <f>IF(AND(Games[[#This Row],[Type]]="P",Games[[#This Row],[Round]]=4),IF(Games[[#This Row],[Result]]&gt;0.5,1,0),0)</f>
        <v>0</v>
      </c>
      <c r="AL513" s="2">
        <f>IF(AND(Games[[#This Row],[Type]]="P",Games[[#This Row],[Round]]=4),IF(Games[[#This Row],[Result]]&lt;0.5,1,0),0)</f>
        <v>0</v>
      </c>
    </row>
    <row r="514" spans="1:38" x14ac:dyDescent="0.35">
      <c r="A514" s="10">
        <v>45573</v>
      </c>
      <c r="B514" s="2">
        <v>2024</v>
      </c>
      <c r="C514" s="2">
        <f>COUNTIFS(Games[Team],Games[[#This Row],[Team]],Games[Season],Games[[#This Row],[Season]],Games[Date],"&lt;=" &amp; Games[[#This Row],[Date]])</f>
        <v>47</v>
      </c>
      <c r="D514" s="2" t="s">
        <v>83</v>
      </c>
      <c r="E514" s="2">
        <v>2</v>
      </c>
      <c r="F514" s="1" t="s">
        <v>74</v>
      </c>
      <c r="G514" s="1" t="s">
        <v>67</v>
      </c>
      <c r="H514" s="1" t="s">
        <v>81</v>
      </c>
      <c r="I514" s="2" cm="1">
        <f t="array" ref="I5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4" s="2" cm="1">
        <f t="array" ref="J5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4" s="2">
        <f>Games[[#This Row],[DaysOff]]-Games[[#This Row],[OppDaysOff]]</f>
        <v>0</v>
      </c>
      <c r="L514" s="2">
        <f>Games[[#This Row],[OppDaysOff]]-Games[[#This Row],[DaysOff]]</f>
        <v>0</v>
      </c>
      <c r="M514" s="16">
        <f>MAX(-16, MIN(16, Games[[#This Row],[RestDiff]]*8))</f>
        <v>0</v>
      </c>
      <c r="N514" s="16">
        <f>MAX(-16, MIN(16, Games[[#This Row],[OppRestDiff]]*8))</f>
        <v>0</v>
      </c>
      <c r="O514" s="4" cm="1">
        <f t="array" ref="O5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1629.8892456585547</v>
      </c>
      <c r="P514" s="4" cm="1">
        <f t="array" ref="P5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1657.1777998263781</v>
      </c>
      <c r="Q514" s="4">
        <f>1/(1+10^(((Games[[#This Row],[OppPreGmRate]]+IF(Games[[#This Row],[HomeAway]]="A",HCA,0)+Games[[#This Row],[OppRestAdj]])-(Games[[#This Row],[PreGmRate]]+IF(Games[[#This Row],[HomeAway]]="H",HCA,0)+Games[[#This Row],[RestAdj]]))/400))</f>
        <v>0.34510449922830616</v>
      </c>
      <c r="R514" s="1">
        <v>77</v>
      </c>
      <c r="S514" s="1">
        <v>88</v>
      </c>
      <c r="T514" s="1">
        <v>0</v>
      </c>
      <c r="U514" s="16">
        <f>Games[[#This Row],[PointsFor]]-Games[[#This Row],[PointsAgainst]]</f>
        <v>-11</v>
      </c>
      <c r="V514" s="16">
        <f>IF(Games[[#This Row],[MOV]]&gt;0,1,IF(Games[[#This Row],[MOV]]=0,0.5,0))</f>
        <v>0</v>
      </c>
      <c r="W514" s="4">
        <f>((ABS(Games[[#This Row],[MOV]])+5)^0.6)/(12+0.01*(ABS(Games[[#This Row],[PreGmRate]]-Games[[#This Row],[OppPreGmRate]])))*IF(Games[[#This Row],[OT]]=1,0.9,1)</f>
        <v>0.43005629158420733</v>
      </c>
      <c r="X514" s="7" cm="1">
        <f t="array" ref="X5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4" s="9">
        <f>MAX(kmin, kmax - 0.15 * MIN(Games[[#This Row],[GamesPlayed]], 82))</f>
        <v>68.95</v>
      </c>
      <c r="Z514" s="4">
        <f>Games[[#This Row],[K]]*Games[[#This Row],[POMult]]</f>
        <v>82.74</v>
      </c>
      <c r="AA514" s="4">
        <f>(Games[[#This Row],[Keff]]*Games[[#This Row],[MOVMult]])*(Games[[#This Row],[Result]]-Games[[#This Row],[ExpectedWin%]])</f>
        <v>-12.279804241315215</v>
      </c>
      <c r="AB514" s="4">
        <f>Games[[#This Row],[PreGmRate]]+Games[[#This Row],[RatingChange]]</f>
        <v>1617.6094414172396</v>
      </c>
      <c r="AC514" s="2">
        <f>IF(Games[[#This Row],[Type]]="R",IF(Games[[#This Row],[Result]]&gt;0.5,1,0),0)</f>
        <v>0</v>
      </c>
      <c r="AD514" s="2">
        <f>IF(Games[[#This Row],[Type]]="R",IF(Games[[#This Row],[Result]]&lt;0.5,1,0),0)</f>
        <v>0</v>
      </c>
      <c r="AE514" s="2">
        <f>IF(AND(Games[[#This Row],[Type]]="P",Games[[#This Row],[Round]]=1),IF(Games[[#This Row],[Result]]&gt;0.5,1,0),0)</f>
        <v>0</v>
      </c>
      <c r="AF514" s="2">
        <f>IF(AND(Games[[#This Row],[Type]]="P",Games[[#This Row],[Round]]=1),IF(Games[[#This Row],[Result]]&lt;0.5,1,0),0)</f>
        <v>0</v>
      </c>
      <c r="AG514" s="2">
        <f>IF(AND(Games[[#This Row],[Type]]="P",Games[[#This Row],[Round]]=2),IF(Games[[#This Row],[Result]]&gt;0.5,1,0),0)</f>
        <v>0</v>
      </c>
      <c r="AH514" s="2">
        <f>IF(AND(Games[[#This Row],[Type]]="P",Games[[#This Row],[Round]]=2),IF(Games[[#This Row],[Result]]&lt;0.5,1,0),0)</f>
        <v>1</v>
      </c>
      <c r="AI514" s="2">
        <f>IF(AND(Games[[#This Row],[Type]]="P",Games[[#This Row],[Round]]=3),IF(Games[[#This Row],[Result]]&gt;0.5,1,0),0)</f>
        <v>0</v>
      </c>
      <c r="AJ514" s="2">
        <f>IF(AND(Games[[#This Row],[Type]]="P",Games[[#This Row],[Round]]=3),IF(Games[[#This Row],[Result]]&lt;0.5,1,0),0)</f>
        <v>0</v>
      </c>
      <c r="AK514" s="2">
        <f>IF(AND(Games[[#This Row],[Type]]="P",Games[[#This Row],[Round]]=4),IF(Games[[#This Row],[Result]]&gt;0.5,1,0),0)</f>
        <v>0</v>
      </c>
      <c r="AL514" s="2">
        <f>IF(AND(Games[[#This Row],[Type]]="P",Games[[#This Row],[Round]]=4),IF(Games[[#This Row],[Result]]&lt;0.5,1,0),0)</f>
        <v>0</v>
      </c>
    </row>
    <row r="515" spans="1:38" x14ac:dyDescent="0.35">
      <c r="A515" s="10">
        <v>45573</v>
      </c>
      <c r="B515" s="2">
        <v>2024</v>
      </c>
      <c r="C515" s="2">
        <f>COUNTIFS(Games[Team],Games[[#This Row],[Team]],Games[Season],Games[[#This Row],[Season]],Games[Date],"&lt;=" &amp; Games[[#This Row],[Date]])</f>
        <v>47</v>
      </c>
      <c r="D515" s="2" t="s">
        <v>83</v>
      </c>
      <c r="E515" s="2">
        <v>2</v>
      </c>
      <c r="F515" s="1" t="s">
        <v>67</v>
      </c>
      <c r="G515" s="1" t="s">
        <v>74</v>
      </c>
      <c r="H515" s="1" t="s">
        <v>82</v>
      </c>
      <c r="I515" s="2" cm="1">
        <f t="array" ref="I5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5" s="2" cm="1">
        <f t="array" ref="J5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5" s="2">
        <f>Games[[#This Row],[DaysOff]]-Games[[#This Row],[OppDaysOff]]</f>
        <v>0</v>
      </c>
      <c r="L515" s="2">
        <f>Games[[#This Row],[OppDaysOff]]-Games[[#This Row],[DaysOff]]</f>
        <v>0</v>
      </c>
      <c r="M515" s="16">
        <f>MAX(-16, MIN(16, Games[[#This Row],[RestDiff]]*8))</f>
        <v>0</v>
      </c>
      <c r="N515" s="16">
        <f>MAX(-16, MIN(16, Games[[#This Row],[OppRestDiff]]*8))</f>
        <v>0</v>
      </c>
      <c r="O515" s="4" cm="1">
        <f t="array" ref="O5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1657.1777998263781</v>
      </c>
      <c r="P515" s="4" cm="1">
        <f t="array" ref="P5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1629.8892456585547</v>
      </c>
      <c r="Q515" s="4">
        <f>1/(1+10^(((Games[[#This Row],[OppPreGmRate]]+IF(Games[[#This Row],[HomeAway]]="A",HCA,0)+Games[[#This Row],[OppRestAdj]])-(Games[[#This Row],[PreGmRate]]+IF(Games[[#This Row],[HomeAway]]="H",HCA,0)+Games[[#This Row],[RestAdj]]))/400))</f>
        <v>0.65489550077169389</v>
      </c>
      <c r="R515" s="1">
        <v>88</v>
      </c>
      <c r="S515" s="1">
        <v>77</v>
      </c>
      <c r="T515" s="1">
        <v>0</v>
      </c>
      <c r="U515" s="16">
        <f>Games[[#This Row],[PointsFor]]-Games[[#This Row],[PointsAgainst]]</f>
        <v>11</v>
      </c>
      <c r="V515" s="16">
        <f>IF(Games[[#This Row],[MOV]]&gt;0,1,IF(Games[[#This Row],[MOV]]=0,0.5,0))</f>
        <v>1</v>
      </c>
      <c r="W515" s="4">
        <f>((ABS(Games[[#This Row],[MOV]])+5)^0.6)/(12+0.01*(ABS(Games[[#This Row],[PreGmRate]]-Games[[#This Row],[OppPreGmRate]])))*IF(Games[[#This Row],[OT]]=1,0.9,1)</f>
        <v>0.43005629158420733</v>
      </c>
      <c r="X515" s="7" cm="1">
        <f t="array" ref="X5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5" s="9">
        <f>MAX(kmin, kmax - 0.15 * MIN(Games[[#This Row],[GamesPlayed]], 82))</f>
        <v>68.95</v>
      </c>
      <c r="Z515" s="4">
        <f>Games[[#This Row],[K]]*Games[[#This Row],[POMult]]</f>
        <v>82.74</v>
      </c>
      <c r="AA515" s="4">
        <f>(Games[[#This Row],[Keff]]*Games[[#This Row],[MOVMult]])*(Games[[#This Row],[Result]]-Games[[#This Row],[ExpectedWin%]])</f>
        <v>12.279804241315214</v>
      </c>
      <c r="AB515" s="4">
        <f>Games[[#This Row],[PreGmRate]]+Games[[#This Row],[RatingChange]]</f>
        <v>1669.4576040676932</v>
      </c>
      <c r="AC515" s="2">
        <f>IF(Games[[#This Row],[Type]]="R",IF(Games[[#This Row],[Result]]&gt;0.5,1,0),0)</f>
        <v>0</v>
      </c>
      <c r="AD515" s="2">
        <f>IF(Games[[#This Row],[Type]]="R",IF(Games[[#This Row],[Result]]&lt;0.5,1,0),0)</f>
        <v>0</v>
      </c>
      <c r="AE515" s="2">
        <f>IF(AND(Games[[#This Row],[Type]]="P",Games[[#This Row],[Round]]=1),IF(Games[[#This Row],[Result]]&gt;0.5,1,0),0)</f>
        <v>0</v>
      </c>
      <c r="AF515" s="2">
        <f>IF(AND(Games[[#This Row],[Type]]="P",Games[[#This Row],[Round]]=1),IF(Games[[#This Row],[Result]]&lt;0.5,1,0),0)</f>
        <v>0</v>
      </c>
      <c r="AG515" s="2">
        <f>IF(AND(Games[[#This Row],[Type]]="P",Games[[#This Row],[Round]]=2),IF(Games[[#This Row],[Result]]&gt;0.5,1,0),0)</f>
        <v>1</v>
      </c>
      <c r="AH515" s="2">
        <f>IF(AND(Games[[#This Row],[Type]]="P",Games[[#This Row],[Round]]=2),IF(Games[[#This Row],[Result]]&lt;0.5,1,0),0)</f>
        <v>0</v>
      </c>
      <c r="AI515" s="2">
        <f>IF(AND(Games[[#This Row],[Type]]="P",Games[[#This Row],[Round]]=3),IF(Games[[#This Row],[Result]]&gt;0.5,1,0),0)</f>
        <v>0</v>
      </c>
      <c r="AJ515" s="2">
        <f>IF(AND(Games[[#This Row],[Type]]="P",Games[[#This Row],[Round]]=3),IF(Games[[#This Row],[Result]]&lt;0.5,1,0),0)</f>
        <v>0</v>
      </c>
      <c r="AK515" s="2">
        <f>IF(AND(Games[[#This Row],[Type]]="P",Games[[#This Row],[Round]]=4),IF(Games[[#This Row],[Result]]&gt;0.5,1,0),0)</f>
        <v>0</v>
      </c>
      <c r="AL515" s="2">
        <f>IF(AND(Games[[#This Row],[Type]]="P",Games[[#This Row],[Round]]=4),IF(Games[[#This Row],[Result]]&lt;0.5,1,0),0)</f>
        <v>0</v>
      </c>
    </row>
    <row r="516" spans="1:38" x14ac:dyDescent="0.35">
      <c r="A516" s="10">
        <v>45575</v>
      </c>
      <c r="B516" s="2">
        <v>2024</v>
      </c>
      <c r="C516" s="2">
        <f>COUNTIFS(Games[Team],Games[[#This Row],[Team]],Games[Season],Games[[#This Row],[Season]],Games[Date],"&lt;=" &amp; Games[[#This Row],[Date]])</f>
        <v>48</v>
      </c>
      <c r="D516" s="2" t="s">
        <v>83</v>
      </c>
      <c r="E516" s="2">
        <v>3</v>
      </c>
      <c r="F516" s="1" t="s">
        <v>67</v>
      </c>
      <c r="G516" s="1" t="s">
        <v>60</v>
      </c>
      <c r="H516" s="1" t="s">
        <v>81</v>
      </c>
      <c r="I516" s="2" cm="1">
        <f t="array" ref="I5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6" s="2" cm="1">
        <f t="array" ref="J5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16" s="2">
        <f>Games[[#This Row],[DaysOff]]-Games[[#This Row],[OppDaysOff]]</f>
        <v>-2</v>
      </c>
      <c r="L516" s="2">
        <f>Games[[#This Row],[OppDaysOff]]-Games[[#This Row],[DaysOff]]</f>
        <v>2</v>
      </c>
      <c r="M516" s="16">
        <f>MAX(-16, MIN(16, Games[[#This Row],[RestDiff]]*8))</f>
        <v>-16</v>
      </c>
      <c r="N516" s="16">
        <f>MAX(-16, MIN(16, Games[[#This Row],[OppRestDiff]]*8))</f>
        <v>16</v>
      </c>
      <c r="O516" s="4" cm="1">
        <f t="array" ref="O5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1669.4576040676932</v>
      </c>
      <c r="P516" s="4" cm="1">
        <f t="array" ref="P5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1736.4452983910244</v>
      </c>
      <c r="Q516" s="4">
        <f>1/(1+10^(((Games[[#This Row],[OppPreGmRate]]+IF(Games[[#This Row],[HomeAway]]="A",HCA,0)+Games[[#This Row],[OppRestAdj]])-(Games[[#This Row],[PreGmRate]]+IF(Games[[#This Row],[HomeAway]]="H",HCA,0)+Games[[#This Row],[RestAdj]]))/400))</f>
        <v>0.25858005744630641</v>
      </c>
      <c r="R516" s="1">
        <v>95</v>
      </c>
      <c r="S516" s="1">
        <v>93</v>
      </c>
      <c r="T516" s="1">
        <v>1</v>
      </c>
      <c r="U516" s="16">
        <f>Games[[#This Row],[PointsFor]]-Games[[#This Row],[PointsAgainst]]</f>
        <v>2</v>
      </c>
      <c r="V516" s="16">
        <f>IF(Games[[#This Row],[MOV]]&gt;0,1,IF(Games[[#This Row],[MOV]]=0,0.5,0))</f>
        <v>1</v>
      </c>
      <c r="W516" s="4">
        <f>((ABS(Games[[#This Row],[MOV]])+5)^0.6)/(12+0.01*(ABS(Games[[#This Row],[PreGmRate]]-Games[[#This Row],[OppPreGmRate]])))*IF(Games[[#This Row],[OT]]=1,0.9,1)</f>
        <v>0.22831210419051079</v>
      </c>
      <c r="X516" s="7" cm="1">
        <f t="array" ref="X5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6" s="9">
        <f>MAX(kmin, kmax - 0.15 * MIN(Games[[#This Row],[GamesPlayed]], 82))</f>
        <v>68.8</v>
      </c>
      <c r="Z516" s="4">
        <f>Games[[#This Row],[K]]*Games[[#This Row],[POMult]]</f>
        <v>92.88</v>
      </c>
      <c r="AA516" s="4">
        <f>(Games[[#This Row],[Keff]]*Games[[#This Row],[MOVMult]])*(Games[[#This Row],[Result]]-Games[[#This Row],[ExpectedWin%]])</f>
        <v>15.722275669450662</v>
      </c>
      <c r="AB516" s="4">
        <f>Games[[#This Row],[PreGmRate]]+Games[[#This Row],[RatingChange]]</f>
        <v>1685.1798797371439</v>
      </c>
      <c r="AC516" s="2">
        <f>IF(Games[[#This Row],[Type]]="R",IF(Games[[#This Row],[Result]]&gt;0.5,1,0),0)</f>
        <v>0</v>
      </c>
      <c r="AD516" s="2">
        <f>IF(Games[[#This Row],[Type]]="R",IF(Games[[#This Row],[Result]]&lt;0.5,1,0),0)</f>
        <v>0</v>
      </c>
      <c r="AE516" s="2">
        <f>IF(AND(Games[[#This Row],[Type]]="P",Games[[#This Row],[Round]]=1),IF(Games[[#This Row],[Result]]&gt;0.5,1,0),0)</f>
        <v>0</v>
      </c>
      <c r="AF516" s="2">
        <f>IF(AND(Games[[#This Row],[Type]]="P",Games[[#This Row],[Round]]=1),IF(Games[[#This Row],[Result]]&lt;0.5,1,0),0)</f>
        <v>0</v>
      </c>
      <c r="AG516" s="2">
        <f>IF(AND(Games[[#This Row],[Type]]="P",Games[[#This Row],[Round]]=2),IF(Games[[#This Row],[Result]]&gt;0.5,1,0),0)</f>
        <v>0</v>
      </c>
      <c r="AH516" s="2">
        <f>IF(AND(Games[[#This Row],[Type]]="P",Games[[#This Row],[Round]]=2),IF(Games[[#This Row],[Result]]&lt;0.5,1,0),0)</f>
        <v>0</v>
      </c>
      <c r="AI516" s="2">
        <f>IF(AND(Games[[#This Row],[Type]]="P",Games[[#This Row],[Round]]=3),IF(Games[[#This Row],[Result]]&gt;0.5,1,0),0)</f>
        <v>1</v>
      </c>
      <c r="AJ516" s="2">
        <f>IF(AND(Games[[#This Row],[Type]]="P",Games[[#This Row],[Round]]=3),IF(Games[[#This Row],[Result]]&lt;0.5,1,0),0)</f>
        <v>0</v>
      </c>
      <c r="AK516" s="2">
        <f>IF(AND(Games[[#This Row],[Type]]="P",Games[[#This Row],[Round]]=4),IF(Games[[#This Row],[Result]]&gt;0.5,1,0),0)</f>
        <v>0</v>
      </c>
      <c r="AL516" s="2">
        <f>IF(AND(Games[[#This Row],[Type]]="P",Games[[#This Row],[Round]]=4),IF(Games[[#This Row],[Result]]&lt;0.5,1,0),0)</f>
        <v>0</v>
      </c>
    </row>
    <row r="517" spans="1:38" x14ac:dyDescent="0.35">
      <c r="A517" s="10">
        <v>45575</v>
      </c>
      <c r="B517" s="2">
        <v>2024</v>
      </c>
      <c r="C517" s="2">
        <f>COUNTIFS(Games[Team],Games[[#This Row],[Team]],Games[Season],Games[[#This Row],[Season]],Games[Date],"&lt;=" &amp; Games[[#This Row],[Date]])</f>
        <v>47</v>
      </c>
      <c r="D517" s="2" t="s">
        <v>83</v>
      </c>
      <c r="E517" s="2">
        <v>3</v>
      </c>
      <c r="F517" s="1" t="s">
        <v>60</v>
      </c>
      <c r="G517" s="1" t="s">
        <v>67</v>
      </c>
      <c r="H517" s="1" t="s">
        <v>82</v>
      </c>
      <c r="I517" s="2" cm="1">
        <f t="array" ref="I5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517" s="2" cm="1">
        <f t="array" ref="J5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7" s="2">
        <f>Games[[#This Row],[DaysOff]]-Games[[#This Row],[OppDaysOff]]</f>
        <v>2</v>
      </c>
      <c r="L517" s="2">
        <f>Games[[#This Row],[OppDaysOff]]-Games[[#This Row],[DaysOff]]</f>
        <v>-2</v>
      </c>
      <c r="M517" s="16">
        <f>MAX(-16, MIN(16, Games[[#This Row],[RestDiff]]*8))</f>
        <v>16</v>
      </c>
      <c r="N517" s="16">
        <f>MAX(-16, MIN(16, Games[[#This Row],[OppRestDiff]]*8))</f>
        <v>-16</v>
      </c>
      <c r="O517" s="4" cm="1">
        <f t="array" ref="O5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1736.4452983910244</v>
      </c>
      <c r="P517" s="4" cm="1">
        <f t="array" ref="P5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1669.4576040676932</v>
      </c>
      <c r="Q517" s="4">
        <f>1/(1+10^(((Games[[#This Row],[OppPreGmRate]]+IF(Games[[#This Row],[HomeAway]]="A",HCA,0)+Games[[#This Row],[OppRestAdj]])-(Games[[#This Row],[PreGmRate]]+IF(Games[[#This Row],[HomeAway]]="H",HCA,0)+Games[[#This Row],[RestAdj]]))/400))</f>
        <v>0.74141994255369359</v>
      </c>
      <c r="R517" s="1">
        <v>93</v>
      </c>
      <c r="S517" s="1">
        <v>95</v>
      </c>
      <c r="T517" s="1">
        <v>1</v>
      </c>
      <c r="U517" s="16">
        <f>Games[[#This Row],[PointsFor]]-Games[[#This Row],[PointsAgainst]]</f>
        <v>-2</v>
      </c>
      <c r="V517" s="16">
        <f>IF(Games[[#This Row],[MOV]]&gt;0,1,IF(Games[[#This Row],[MOV]]=0,0.5,0))</f>
        <v>0</v>
      </c>
      <c r="W517" s="4">
        <f>((ABS(Games[[#This Row],[MOV]])+5)^0.6)/(12+0.01*(ABS(Games[[#This Row],[PreGmRate]]-Games[[#This Row],[OppPreGmRate]])))*IF(Games[[#This Row],[OT]]=1,0.9,1)</f>
        <v>0.22831210419051079</v>
      </c>
      <c r="X517" s="7" cm="1">
        <f t="array" ref="X5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7" s="9">
        <f>MAX(kmin, kmax - 0.15 * MIN(Games[[#This Row],[GamesPlayed]], 82))</f>
        <v>68.95</v>
      </c>
      <c r="Z517" s="4">
        <f>Games[[#This Row],[K]]*Games[[#This Row],[POMult]]</f>
        <v>93.08250000000001</v>
      </c>
      <c r="AA517" s="4">
        <f>(Games[[#This Row],[Keff]]*Games[[#This Row],[MOVMult]])*(Games[[#This Row],[Result]]-Games[[#This Row],[ExpectedWin%]])</f>
        <v>-15.756553886753247</v>
      </c>
      <c r="AB517" s="4">
        <f>Games[[#This Row],[PreGmRate]]+Games[[#This Row],[RatingChange]]</f>
        <v>1720.6887445042712</v>
      </c>
      <c r="AC517" s="2">
        <f>IF(Games[[#This Row],[Type]]="R",IF(Games[[#This Row],[Result]]&gt;0.5,1,0),0)</f>
        <v>0</v>
      </c>
      <c r="AD517" s="2">
        <f>IF(Games[[#This Row],[Type]]="R",IF(Games[[#This Row],[Result]]&lt;0.5,1,0),0)</f>
        <v>0</v>
      </c>
      <c r="AE517" s="2">
        <f>IF(AND(Games[[#This Row],[Type]]="P",Games[[#This Row],[Round]]=1),IF(Games[[#This Row],[Result]]&gt;0.5,1,0),0)</f>
        <v>0</v>
      </c>
      <c r="AF517" s="2">
        <f>IF(AND(Games[[#This Row],[Type]]="P",Games[[#This Row],[Round]]=1),IF(Games[[#This Row],[Result]]&lt;0.5,1,0),0)</f>
        <v>0</v>
      </c>
      <c r="AG517" s="2">
        <f>IF(AND(Games[[#This Row],[Type]]="P",Games[[#This Row],[Round]]=2),IF(Games[[#This Row],[Result]]&gt;0.5,1,0),0)</f>
        <v>0</v>
      </c>
      <c r="AH517" s="2">
        <f>IF(AND(Games[[#This Row],[Type]]="P",Games[[#This Row],[Round]]=2),IF(Games[[#This Row],[Result]]&lt;0.5,1,0),0)</f>
        <v>0</v>
      </c>
      <c r="AI517" s="2">
        <f>IF(AND(Games[[#This Row],[Type]]="P",Games[[#This Row],[Round]]=3),IF(Games[[#This Row],[Result]]&gt;0.5,1,0),0)</f>
        <v>0</v>
      </c>
      <c r="AJ517" s="2">
        <f>IF(AND(Games[[#This Row],[Type]]="P",Games[[#This Row],[Round]]=3),IF(Games[[#This Row],[Result]]&lt;0.5,1,0),0)</f>
        <v>1</v>
      </c>
      <c r="AK517" s="2">
        <f>IF(AND(Games[[#This Row],[Type]]="P",Games[[#This Row],[Round]]=4),IF(Games[[#This Row],[Result]]&gt;0.5,1,0),0)</f>
        <v>0</v>
      </c>
      <c r="AL517" s="2">
        <f>IF(AND(Games[[#This Row],[Type]]="P",Games[[#This Row],[Round]]=4),IF(Games[[#This Row],[Result]]&lt;0.5,1,0),0)</f>
        <v>0</v>
      </c>
    </row>
    <row r="518" spans="1:38" x14ac:dyDescent="0.35">
      <c r="A518" s="10">
        <v>45578</v>
      </c>
      <c r="B518" s="2">
        <v>2024</v>
      </c>
      <c r="C518" s="2">
        <f>COUNTIFS(Games[Team],Games[[#This Row],[Team]],Games[Season],Games[[#This Row],[Season]],Games[Date],"&lt;=" &amp; Games[[#This Row],[Date]])</f>
        <v>49</v>
      </c>
      <c r="D518" s="2" t="s">
        <v>83</v>
      </c>
      <c r="E518" s="2">
        <v>3</v>
      </c>
      <c r="F518" s="1" t="s">
        <v>67</v>
      </c>
      <c r="G518" s="1" t="s">
        <v>60</v>
      </c>
      <c r="H518" s="1" t="s">
        <v>81</v>
      </c>
      <c r="I518" s="2" cm="1">
        <f t="array" ref="I5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8" s="2" cm="1">
        <f t="array" ref="J5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8" s="2">
        <f>Games[[#This Row],[DaysOff]]-Games[[#This Row],[OppDaysOff]]</f>
        <v>0</v>
      </c>
      <c r="L518" s="2">
        <f>Games[[#This Row],[OppDaysOff]]-Games[[#This Row],[DaysOff]]</f>
        <v>0</v>
      </c>
      <c r="M518" s="16">
        <f>MAX(-16, MIN(16, Games[[#This Row],[RestDiff]]*8))</f>
        <v>0</v>
      </c>
      <c r="N518" s="16">
        <f>MAX(-16, MIN(16, Games[[#This Row],[OppRestDiff]]*8))</f>
        <v>0</v>
      </c>
      <c r="O518" s="4" cm="1">
        <f t="array" ref="O5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1685.1798797371439</v>
      </c>
      <c r="P518" s="4" cm="1">
        <f t="array" ref="P5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1720.6887445042712</v>
      </c>
      <c r="Q518" s="4">
        <f>1/(1+10^(((Games[[#This Row],[OppPreGmRate]]+IF(Games[[#This Row],[HomeAway]]="A",HCA,0)+Games[[#This Row],[OppRestAdj]])-(Games[[#This Row],[PreGmRate]]+IF(Games[[#This Row],[HomeAway]]="H",HCA,0)+Games[[#This Row],[RestAdj]]))/400))</f>
        <v>0.33448963359647321</v>
      </c>
      <c r="R518" s="1">
        <v>66</v>
      </c>
      <c r="S518" s="1">
        <v>80</v>
      </c>
      <c r="T518" s="1">
        <v>0</v>
      </c>
      <c r="U518" s="16">
        <f>Games[[#This Row],[PointsFor]]-Games[[#This Row],[PointsAgainst]]</f>
        <v>-14</v>
      </c>
      <c r="V518" s="16">
        <f>IF(Games[[#This Row],[MOV]]&gt;0,1,IF(Games[[#This Row],[MOV]]=0,0.5,0))</f>
        <v>0</v>
      </c>
      <c r="W518" s="4">
        <f>((ABS(Games[[#This Row],[MOV]])+5)^0.6)/(12+0.01*(ABS(Games[[#This Row],[PreGmRate]]-Games[[#This Row],[OppPreGmRate]])))*IF(Games[[#This Row],[OT]]=1,0.9,1)</f>
        <v>0.47359411245601107</v>
      </c>
      <c r="X518" s="7" cm="1">
        <f t="array" ref="X5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8" s="9">
        <f>MAX(kmin, kmax - 0.15 * MIN(Games[[#This Row],[GamesPlayed]], 82))</f>
        <v>68.650000000000006</v>
      </c>
      <c r="Z518" s="4">
        <f>Games[[#This Row],[K]]*Games[[#This Row],[POMult]]</f>
        <v>92.677500000000009</v>
      </c>
      <c r="AA518" s="4">
        <f>(Games[[#This Row],[Keff]]*Games[[#This Row],[MOVMult]])*(Games[[#This Row],[Result]]-Games[[#This Row],[ExpectedWin%]])</f>
        <v>-14.681257893273296</v>
      </c>
      <c r="AB518" s="4">
        <f>Games[[#This Row],[PreGmRate]]+Games[[#This Row],[RatingChange]]</f>
        <v>1670.4986218438705</v>
      </c>
      <c r="AC518" s="2">
        <f>IF(Games[[#This Row],[Type]]="R",IF(Games[[#This Row],[Result]]&gt;0.5,1,0),0)</f>
        <v>0</v>
      </c>
      <c r="AD518" s="2">
        <f>IF(Games[[#This Row],[Type]]="R",IF(Games[[#This Row],[Result]]&lt;0.5,1,0),0)</f>
        <v>0</v>
      </c>
      <c r="AE518" s="2">
        <f>IF(AND(Games[[#This Row],[Type]]="P",Games[[#This Row],[Round]]=1),IF(Games[[#This Row],[Result]]&gt;0.5,1,0),0)</f>
        <v>0</v>
      </c>
      <c r="AF518" s="2">
        <f>IF(AND(Games[[#This Row],[Type]]="P",Games[[#This Row],[Round]]=1),IF(Games[[#This Row],[Result]]&lt;0.5,1,0),0)</f>
        <v>0</v>
      </c>
      <c r="AG518" s="2">
        <f>IF(AND(Games[[#This Row],[Type]]="P",Games[[#This Row],[Round]]=2),IF(Games[[#This Row],[Result]]&gt;0.5,1,0),0)</f>
        <v>0</v>
      </c>
      <c r="AH518" s="2">
        <f>IF(AND(Games[[#This Row],[Type]]="P",Games[[#This Row],[Round]]=2),IF(Games[[#This Row],[Result]]&lt;0.5,1,0),0)</f>
        <v>0</v>
      </c>
      <c r="AI518" s="2">
        <f>IF(AND(Games[[#This Row],[Type]]="P",Games[[#This Row],[Round]]=3),IF(Games[[#This Row],[Result]]&gt;0.5,1,0),0)</f>
        <v>0</v>
      </c>
      <c r="AJ518" s="2">
        <f>IF(AND(Games[[#This Row],[Type]]="P",Games[[#This Row],[Round]]=3),IF(Games[[#This Row],[Result]]&lt;0.5,1,0),0)</f>
        <v>1</v>
      </c>
      <c r="AK518" s="2">
        <f>IF(AND(Games[[#This Row],[Type]]="P",Games[[#This Row],[Round]]=4),IF(Games[[#This Row],[Result]]&gt;0.5,1,0),0)</f>
        <v>0</v>
      </c>
      <c r="AL518" s="2">
        <f>IF(AND(Games[[#This Row],[Type]]="P",Games[[#This Row],[Round]]=4),IF(Games[[#This Row],[Result]]&lt;0.5,1,0),0)</f>
        <v>0</v>
      </c>
    </row>
    <row r="519" spans="1:38" x14ac:dyDescent="0.35">
      <c r="A519" s="10">
        <v>45578</v>
      </c>
      <c r="B519" s="2">
        <v>2024</v>
      </c>
      <c r="C519" s="2">
        <f>COUNTIFS(Games[Team],Games[[#This Row],[Team]],Games[Season],Games[[#This Row],[Season]],Games[Date],"&lt;=" &amp; Games[[#This Row],[Date]])</f>
        <v>48</v>
      </c>
      <c r="D519" s="2" t="s">
        <v>83</v>
      </c>
      <c r="E519" s="2">
        <v>3</v>
      </c>
      <c r="F519" s="1" t="s">
        <v>60</v>
      </c>
      <c r="G519" s="1" t="s">
        <v>67</v>
      </c>
      <c r="H519" s="1" t="s">
        <v>82</v>
      </c>
      <c r="I519" s="2" cm="1">
        <f t="array" ref="I5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9" s="2" cm="1">
        <f t="array" ref="J5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9" s="2">
        <f>Games[[#This Row],[DaysOff]]-Games[[#This Row],[OppDaysOff]]</f>
        <v>0</v>
      </c>
      <c r="L519" s="2">
        <f>Games[[#This Row],[OppDaysOff]]-Games[[#This Row],[DaysOff]]</f>
        <v>0</v>
      </c>
      <c r="M519" s="16">
        <f>MAX(-16, MIN(16, Games[[#This Row],[RestDiff]]*8))</f>
        <v>0</v>
      </c>
      <c r="N519" s="16">
        <f>MAX(-16, MIN(16, Games[[#This Row],[OppRestDiff]]*8))</f>
        <v>0</v>
      </c>
      <c r="O519" s="4" cm="1">
        <f t="array" ref="O5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1720.6887445042712</v>
      </c>
      <c r="P519" s="4" cm="1">
        <f t="array" ref="P5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1685.1798797371439</v>
      </c>
      <c r="Q519" s="4">
        <f>1/(1+10^(((Games[[#This Row],[OppPreGmRate]]+IF(Games[[#This Row],[HomeAway]]="A",HCA,0)+Games[[#This Row],[OppRestAdj]])-(Games[[#This Row],[PreGmRate]]+IF(Games[[#This Row],[HomeAway]]="H",HCA,0)+Games[[#This Row],[RestAdj]]))/400))</f>
        <v>0.6655103664035269</v>
      </c>
      <c r="R519" s="1">
        <v>80</v>
      </c>
      <c r="S519" s="1">
        <v>66</v>
      </c>
      <c r="T519" s="1">
        <v>0</v>
      </c>
      <c r="U519" s="16">
        <f>Games[[#This Row],[PointsFor]]-Games[[#This Row],[PointsAgainst]]</f>
        <v>14</v>
      </c>
      <c r="V519" s="16">
        <f>IF(Games[[#This Row],[MOV]]&gt;0,1,IF(Games[[#This Row],[MOV]]=0,0.5,0))</f>
        <v>1</v>
      </c>
      <c r="W519" s="4">
        <f>((ABS(Games[[#This Row],[MOV]])+5)^0.6)/(12+0.01*(ABS(Games[[#This Row],[PreGmRate]]-Games[[#This Row],[OppPreGmRate]])))*IF(Games[[#This Row],[OT]]=1,0.9,1)</f>
        <v>0.47359411245601107</v>
      </c>
      <c r="X519" s="7" cm="1">
        <f t="array" ref="X5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9" s="9">
        <f>MAX(kmin, kmax - 0.15 * MIN(Games[[#This Row],[GamesPlayed]], 82))</f>
        <v>68.8</v>
      </c>
      <c r="Z519" s="4">
        <f>Games[[#This Row],[K]]*Games[[#This Row],[POMult]]</f>
        <v>92.88</v>
      </c>
      <c r="AA519" s="4">
        <f>(Games[[#This Row],[Keff]]*Games[[#This Row],[MOVMult]])*(Games[[#This Row],[Result]]-Games[[#This Row],[ExpectedWin%]])</f>
        <v>14.713336388305933</v>
      </c>
      <c r="AB519" s="4">
        <f>Games[[#This Row],[PreGmRate]]+Games[[#This Row],[RatingChange]]</f>
        <v>1735.402080892577</v>
      </c>
      <c r="AC519" s="2">
        <f>IF(Games[[#This Row],[Type]]="R",IF(Games[[#This Row],[Result]]&gt;0.5,1,0),0)</f>
        <v>0</v>
      </c>
      <c r="AD519" s="2">
        <f>IF(Games[[#This Row],[Type]]="R",IF(Games[[#This Row],[Result]]&lt;0.5,1,0),0)</f>
        <v>0</v>
      </c>
      <c r="AE519" s="2">
        <f>IF(AND(Games[[#This Row],[Type]]="P",Games[[#This Row],[Round]]=1),IF(Games[[#This Row],[Result]]&gt;0.5,1,0),0)</f>
        <v>0</v>
      </c>
      <c r="AF519" s="2">
        <f>IF(AND(Games[[#This Row],[Type]]="P",Games[[#This Row],[Round]]=1),IF(Games[[#This Row],[Result]]&lt;0.5,1,0),0)</f>
        <v>0</v>
      </c>
      <c r="AG519" s="2">
        <f>IF(AND(Games[[#This Row],[Type]]="P",Games[[#This Row],[Round]]=2),IF(Games[[#This Row],[Result]]&gt;0.5,1,0),0)</f>
        <v>0</v>
      </c>
      <c r="AH519" s="2">
        <f>IF(AND(Games[[#This Row],[Type]]="P",Games[[#This Row],[Round]]=2),IF(Games[[#This Row],[Result]]&lt;0.5,1,0),0)</f>
        <v>0</v>
      </c>
      <c r="AI519" s="2">
        <f>IF(AND(Games[[#This Row],[Type]]="P",Games[[#This Row],[Round]]=3),IF(Games[[#This Row],[Result]]&gt;0.5,1,0),0)</f>
        <v>1</v>
      </c>
      <c r="AJ519" s="2">
        <f>IF(AND(Games[[#This Row],[Type]]="P",Games[[#This Row],[Round]]=3),IF(Games[[#This Row],[Result]]&lt;0.5,1,0),0)</f>
        <v>0</v>
      </c>
      <c r="AK519" s="2">
        <f>IF(AND(Games[[#This Row],[Type]]="P",Games[[#This Row],[Round]]=4),IF(Games[[#This Row],[Result]]&gt;0.5,1,0),0)</f>
        <v>0</v>
      </c>
      <c r="AL519" s="2">
        <f>IF(AND(Games[[#This Row],[Type]]="P",Games[[#This Row],[Round]]=4),IF(Games[[#This Row],[Result]]&lt;0.5,1,0),0)</f>
        <v>0</v>
      </c>
    </row>
    <row r="520" spans="1:38" x14ac:dyDescent="0.35">
      <c r="A520" s="10">
        <v>45581</v>
      </c>
      <c r="B520" s="2">
        <v>2024</v>
      </c>
      <c r="C520" s="2">
        <f>COUNTIFS(Games[Team],Games[[#This Row],[Team]],Games[Season],Games[[#This Row],[Season]],Games[Date],"&lt;=" &amp; Games[[#This Row],[Date]])</f>
        <v>49</v>
      </c>
      <c r="D520" s="2" t="s">
        <v>83</v>
      </c>
      <c r="E520" s="2">
        <v>3</v>
      </c>
      <c r="F520" s="1" t="s">
        <v>60</v>
      </c>
      <c r="G520" s="1" t="s">
        <v>67</v>
      </c>
      <c r="H520" s="1" t="s">
        <v>81</v>
      </c>
      <c r="I520" s="2" cm="1">
        <f t="array" ref="I5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0" s="2" cm="1">
        <f t="array" ref="J5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0" s="2">
        <f>Games[[#This Row],[DaysOff]]-Games[[#This Row],[OppDaysOff]]</f>
        <v>0</v>
      </c>
      <c r="L520" s="2">
        <f>Games[[#This Row],[OppDaysOff]]-Games[[#This Row],[DaysOff]]</f>
        <v>0</v>
      </c>
      <c r="M520" s="16">
        <f>MAX(-16, MIN(16, Games[[#This Row],[RestDiff]]*8))</f>
        <v>0</v>
      </c>
      <c r="N520" s="16">
        <f>MAX(-16, MIN(16, Games[[#This Row],[OppRestDiff]]*8))</f>
        <v>0</v>
      </c>
      <c r="O520" s="4" cm="1">
        <f t="array" ref="O5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1735.402080892577</v>
      </c>
      <c r="P520" s="4" cm="1">
        <f t="array" ref="P5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1670.4986218438705</v>
      </c>
      <c r="Q520" s="4">
        <f>1/(1+10^(((Games[[#This Row],[OppPreGmRate]]+IF(Games[[#This Row],[HomeAway]]="A",HCA,0)+Games[[#This Row],[OppRestAdj]])-(Games[[#This Row],[PreGmRate]]+IF(Games[[#This Row],[HomeAway]]="H",HCA,0)+Games[[#This Row],[RestAdj]]))/400))</f>
        <v>0.47254551017084095</v>
      </c>
      <c r="R520" s="1">
        <v>80</v>
      </c>
      <c r="S520" s="1">
        <v>77</v>
      </c>
      <c r="T520" s="1">
        <v>0</v>
      </c>
      <c r="U520" s="16">
        <f>Games[[#This Row],[PointsFor]]-Games[[#This Row],[PointsAgainst]]</f>
        <v>3</v>
      </c>
      <c r="V520" s="16">
        <f>IF(Games[[#This Row],[MOV]]&gt;0,1,IF(Games[[#This Row],[MOV]]=0,0.5,0))</f>
        <v>1</v>
      </c>
      <c r="W520" s="4">
        <f>((ABS(Games[[#This Row],[MOV]])+5)^0.6)/(12+0.01*(ABS(Games[[#This Row],[PreGmRate]]-Games[[#This Row],[OppPreGmRate]])))*IF(Games[[#This Row],[OT]]=1,0.9,1)</f>
        <v>0.27529391498410077</v>
      </c>
      <c r="X520" s="7" cm="1">
        <f t="array" ref="X5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0" s="9">
        <f>MAX(kmin, kmax - 0.15 * MIN(Games[[#This Row],[GamesPlayed]], 82))</f>
        <v>68.650000000000006</v>
      </c>
      <c r="Z520" s="4">
        <f>Games[[#This Row],[K]]*Games[[#This Row],[POMult]]</f>
        <v>92.677500000000009</v>
      </c>
      <c r="AA520" s="4">
        <f>(Games[[#This Row],[Keff]]*Games[[#This Row],[MOVMult]])*(Games[[#This Row],[Result]]-Games[[#This Row],[ExpectedWin%]])</f>
        <v>13.457237451531377</v>
      </c>
      <c r="AB520" s="4">
        <f>Games[[#This Row],[PreGmRate]]+Games[[#This Row],[RatingChange]]</f>
        <v>1748.8593183441085</v>
      </c>
      <c r="AC520" s="2">
        <f>IF(Games[[#This Row],[Type]]="R",IF(Games[[#This Row],[Result]]&gt;0.5,1,0),0)</f>
        <v>0</v>
      </c>
      <c r="AD520" s="2">
        <f>IF(Games[[#This Row],[Type]]="R",IF(Games[[#This Row],[Result]]&lt;0.5,1,0),0)</f>
        <v>0</v>
      </c>
      <c r="AE520" s="2">
        <f>IF(AND(Games[[#This Row],[Type]]="P",Games[[#This Row],[Round]]=1),IF(Games[[#This Row],[Result]]&gt;0.5,1,0),0)</f>
        <v>0</v>
      </c>
      <c r="AF520" s="2">
        <f>IF(AND(Games[[#This Row],[Type]]="P",Games[[#This Row],[Round]]=1),IF(Games[[#This Row],[Result]]&lt;0.5,1,0),0)</f>
        <v>0</v>
      </c>
      <c r="AG520" s="2">
        <f>IF(AND(Games[[#This Row],[Type]]="P",Games[[#This Row],[Round]]=2),IF(Games[[#This Row],[Result]]&gt;0.5,1,0),0)</f>
        <v>0</v>
      </c>
      <c r="AH520" s="2">
        <f>IF(AND(Games[[#This Row],[Type]]="P",Games[[#This Row],[Round]]=2),IF(Games[[#This Row],[Result]]&lt;0.5,1,0),0)</f>
        <v>0</v>
      </c>
      <c r="AI520" s="2">
        <f>IF(AND(Games[[#This Row],[Type]]="P",Games[[#This Row],[Round]]=3),IF(Games[[#This Row],[Result]]&gt;0.5,1,0),0)</f>
        <v>1</v>
      </c>
      <c r="AJ520" s="2">
        <f>IF(AND(Games[[#This Row],[Type]]="P",Games[[#This Row],[Round]]=3),IF(Games[[#This Row],[Result]]&lt;0.5,1,0),0)</f>
        <v>0</v>
      </c>
      <c r="AK520" s="2">
        <f>IF(AND(Games[[#This Row],[Type]]="P",Games[[#This Row],[Round]]=4),IF(Games[[#This Row],[Result]]&gt;0.5,1,0),0)</f>
        <v>0</v>
      </c>
      <c r="AL520" s="2">
        <f>IF(AND(Games[[#This Row],[Type]]="P",Games[[#This Row],[Round]]=4),IF(Games[[#This Row],[Result]]&lt;0.5,1,0),0)</f>
        <v>0</v>
      </c>
    </row>
    <row r="521" spans="1:38" x14ac:dyDescent="0.35">
      <c r="A521" s="10">
        <v>45581</v>
      </c>
      <c r="B521" s="2">
        <v>2024</v>
      </c>
      <c r="C521" s="2">
        <f>COUNTIFS(Games[Team],Games[[#This Row],[Team]],Games[Season],Games[[#This Row],[Season]],Games[Date],"&lt;=" &amp; Games[[#This Row],[Date]])</f>
        <v>50</v>
      </c>
      <c r="D521" s="2" t="s">
        <v>83</v>
      </c>
      <c r="E521" s="2">
        <v>3</v>
      </c>
      <c r="F521" s="1" t="s">
        <v>67</v>
      </c>
      <c r="G521" s="1" t="s">
        <v>60</v>
      </c>
      <c r="H521" s="1" t="s">
        <v>82</v>
      </c>
      <c r="I521" s="2" cm="1">
        <f t="array" ref="I5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1" s="2" cm="1">
        <f t="array" ref="J5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1" s="2">
        <f>Games[[#This Row],[DaysOff]]-Games[[#This Row],[OppDaysOff]]</f>
        <v>0</v>
      </c>
      <c r="L521" s="2">
        <f>Games[[#This Row],[OppDaysOff]]-Games[[#This Row],[DaysOff]]</f>
        <v>0</v>
      </c>
      <c r="M521" s="16">
        <f>MAX(-16, MIN(16, Games[[#This Row],[RestDiff]]*8))</f>
        <v>0</v>
      </c>
      <c r="N521" s="16">
        <f>MAX(-16, MIN(16, Games[[#This Row],[OppRestDiff]]*8))</f>
        <v>0</v>
      </c>
      <c r="O521" s="4" cm="1">
        <f t="array" ref="O5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1670.4986218438705</v>
      </c>
      <c r="P521" s="4" cm="1">
        <f t="array" ref="P5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1735.402080892577</v>
      </c>
      <c r="Q521" s="4">
        <f>1/(1+10^(((Games[[#This Row],[OppPreGmRate]]+IF(Games[[#This Row],[HomeAway]]="A",HCA,0)+Games[[#This Row],[OppRestAdj]])-(Games[[#This Row],[PreGmRate]]+IF(Games[[#This Row],[HomeAway]]="H",HCA,0)+Games[[#This Row],[RestAdj]]))/400))</f>
        <v>0.52745448982915899</v>
      </c>
      <c r="R521" s="1">
        <v>77</v>
      </c>
      <c r="S521" s="1">
        <v>80</v>
      </c>
      <c r="T521" s="1">
        <v>0</v>
      </c>
      <c r="U521" s="16">
        <f>Games[[#This Row],[PointsFor]]-Games[[#This Row],[PointsAgainst]]</f>
        <v>-3</v>
      </c>
      <c r="V521" s="16">
        <f>IF(Games[[#This Row],[MOV]]&gt;0,1,IF(Games[[#This Row],[MOV]]=0,0.5,0))</f>
        <v>0</v>
      </c>
      <c r="W521" s="4">
        <f>((ABS(Games[[#This Row],[MOV]])+5)^0.6)/(12+0.01*(ABS(Games[[#This Row],[PreGmRate]]-Games[[#This Row],[OppPreGmRate]])))*IF(Games[[#This Row],[OT]]=1,0.9,1)</f>
        <v>0.27529391498410077</v>
      </c>
      <c r="X521" s="7" cm="1">
        <f t="array" ref="X5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1" s="9">
        <f>MAX(kmin, kmax - 0.15 * MIN(Games[[#This Row],[GamesPlayed]], 82))</f>
        <v>68.5</v>
      </c>
      <c r="Z521" s="4">
        <f>Games[[#This Row],[K]]*Games[[#This Row],[POMult]]</f>
        <v>92.475000000000009</v>
      </c>
      <c r="AA521" s="4">
        <f>(Games[[#This Row],[Keff]]*Games[[#This Row],[MOVMult]])*(Games[[#This Row],[Result]]-Games[[#This Row],[ExpectedWin%]])</f>
        <v>-13.42783343670647</v>
      </c>
      <c r="AB521" s="4">
        <f>Games[[#This Row],[PreGmRate]]+Games[[#This Row],[RatingChange]]</f>
        <v>1657.0707884071639</v>
      </c>
      <c r="AC521" s="2">
        <f>IF(Games[[#This Row],[Type]]="R",IF(Games[[#This Row],[Result]]&gt;0.5,1,0),0)</f>
        <v>0</v>
      </c>
      <c r="AD521" s="2">
        <f>IF(Games[[#This Row],[Type]]="R",IF(Games[[#This Row],[Result]]&lt;0.5,1,0),0)</f>
        <v>0</v>
      </c>
      <c r="AE521" s="2">
        <f>IF(AND(Games[[#This Row],[Type]]="P",Games[[#This Row],[Round]]=1),IF(Games[[#This Row],[Result]]&gt;0.5,1,0),0)</f>
        <v>0</v>
      </c>
      <c r="AF521" s="2">
        <f>IF(AND(Games[[#This Row],[Type]]="P",Games[[#This Row],[Round]]=1),IF(Games[[#This Row],[Result]]&lt;0.5,1,0),0)</f>
        <v>0</v>
      </c>
      <c r="AG521" s="2">
        <f>IF(AND(Games[[#This Row],[Type]]="P",Games[[#This Row],[Round]]=2),IF(Games[[#This Row],[Result]]&gt;0.5,1,0),0)</f>
        <v>0</v>
      </c>
      <c r="AH521" s="2">
        <f>IF(AND(Games[[#This Row],[Type]]="P",Games[[#This Row],[Round]]=2),IF(Games[[#This Row],[Result]]&lt;0.5,1,0),0)</f>
        <v>0</v>
      </c>
      <c r="AI521" s="2">
        <f>IF(AND(Games[[#This Row],[Type]]="P",Games[[#This Row],[Round]]=3),IF(Games[[#This Row],[Result]]&gt;0.5,1,0),0)</f>
        <v>0</v>
      </c>
      <c r="AJ521" s="2">
        <f>IF(AND(Games[[#This Row],[Type]]="P",Games[[#This Row],[Round]]=3),IF(Games[[#This Row],[Result]]&lt;0.5,1,0),0)</f>
        <v>1</v>
      </c>
      <c r="AK521" s="2">
        <f>IF(AND(Games[[#This Row],[Type]]="P",Games[[#This Row],[Round]]=4),IF(Games[[#This Row],[Result]]&gt;0.5,1,0),0)</f>
        <v>0</v>
      </c>
      <c r="AL521" s="2">
        <f>IF(AND(Games[[#This Row],[Type]]="P",Games[[#This Row],[Round]]=4),IF(Games[[#This Row],[Result]]&lt;0.5,1,0),0)</f>
        <v>0</v>
      </c>
    </row>
    <row r="522" spans="1:38" x14ac:dyDescent="0.35">
      <c r="A522" s="10">
        <v>45583</v>
      </c>
      <c r="B522" s="2">
        <v>2024</v>
      </c>
      <c r="C522" s="2">
        <f>COUNTIFS(Games[Team],Games[[#This Row],[Team]],Games[Season],Games[[#This Row],[Season]],Games[Date],"&lt;=" &amp; Games[[#This Row],[Date]])</f>
        <v>50</v>
      </c>
      <c r="D522" s="2" t="s">
        <v>83</v>
      </c>
      <c r="E522" s="2">
        <v>3</v>
      </c>
      <c r="F522" s="1" t="s">
        <v>60</v>
      </c>
      <c r="G522" s="1" t="s">
        <v>67</v>
      </c>
      <c r="H522" s="1" t="s">
        <v>81</v>
      </c>
      <c r="I522" s="2" cm="1">
        <f t="array" ref="I5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2" s="2" cm="1">
        <f t="array" ref="J5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2" s="2">
        <f>Games[[#This Row],[DaysOff]]-Games[[#This Row],[OppDaysOff]]</f>
        <v>0</v>
      </c>
      <c r="L522" s="2">
        <f>Games[[#This Row],[OppDaysOff]]-Games[[#This Row],[DaysOff]]</f>
        <v>0</v>
      </c>
      <c r="M522" s="16">
        <f>MAX(-16, MIN(16, Games[[#This Row],[RestDiff]]*8))</f>
        <v>0</v>
      </c>
      <c r="N522" s="16">
        <f>MAX(-16, MIN(16, Games[[#This Row],[OppRestDiff]]*8))</f>
        <v>0</v>
      </c>
      <c r="O522" s="4" cm="1">
        <f t="array" ref="O5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1748.8593183441085</v>
      </c>
      <c r="P522" s="4" cm="1">
        <f t="array" ref="P5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1657.0707884071639</v>
      </c>
      <c r="Q522" s="4">
        <f>1/(1+10^(((Games[[#This Row],[OppPreGmRate]]+IF(Games[[#This Row],[HomeAway]]="A",HCA,0)+Games[[#This Row],[OppRestAdj]])-(Games[[#This Row],[PreGmRate]]+IF(Games[[#This Row],[HomeAway]]="H",HCA,0)+Games[[#This Row],[RestAdj]]))/400))</f>
        <v>0.51120671840448817</v>
      </c>
      <c r="R522" s="1">
        <v>80</v>
      </c>
      <c r="S522" s="1">
        <v>82</v>
      </c>
      <c r="T522" s="1">
        <v>0</v>
      </c>
      <c r="U522" s="16">
        <f>Games[[#This Row],[PointsFor]]-Games[[#This Row],[PointsAgainst]]</f>
        <v>-2</v>
      </c>
      <c r="V522" s="16">
        <f>IF(Games[[#This Row],[MOV]]&gt;0,1,IF(Games[[#This Row],[MOV]]=0,0.5,0))</f>
        <v>0</v>
      </c>
      <c r="W522" s="4">
        <f>((ABS(Games[[#This Row],[MOV]])+5)^0.6)/(12+0.01*(ABS(Games[[#This Row],[PreGmRate]]-Games[[#This Row],[OppPreGmRate]])))*IF(Games[[#This Row],[OT]]=1,0.9,1)</f>
        <v>0.24880975293014304</v>
      </c>
      <c r="X522" s="7" cm="1">
        <f t="array" ref="X5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2" s="9">
        <f>MAX(kmin, kmax - 0.15 * MIN(Games[[#This Row],[GamesPlayed]], 82))</f>
        <v>68.5</v>
      </c>
      <c r="Z522" s="4">
        <f>Games[[#This Row],[K]]*Games[[#This Row],[POMult]]</f>
        <v>92.475000000000009</v>
      </c>
      <c r="AA522" s="4">
        <f>(Games[[#This Row],[Keff]]*Games[[#This Row],[MOVMult]])*(Games[[#This Row],[Result]]-Games[[#This Row],[ExpectedWin%]])</f>
        <v>-11.762192770044058</v>
      </c>
      <c r="AB522" s="4">
        <f>Games[[#This Row],[PreGmRate]]+Games[[#This Row],[RatingChange]]</f>
        <v>1737.0971255740644</v>
      </c>
      <c r="AC522" s="2">
        <f>IF(Games[[#This Row],[Type]]="R",IF(Games[[#This Row],[Result]]&gt;0.5,1,0),0)</f>
        <v>0</v>
      </c>
      <c r="AD522" s="2">
        <f>IF(Games[[#This Row],[Type]]="R",IF(Games[[#This Row],[Result]]&lt;0.5,1,0),0)</f>
        <v>0</v>
      </c>
      <c r="AE522" s="2">
        <f>IF(AND(Games[[#This Row],[Type]]="P",Games[[#This Row],[Round]]=1),IF(Games[[#This Row],[Result]]&gt;0.5,1,0),0)</f>
        <v>0</v>
      </c>
      <c r="AF522" s="2">
        <f>IF(AND(Games[[#This Row],[Type]]="P",Games[[#This Row],[Round]]=1),IF(Games[[#This Row],[Result]]&lt;0.5,1,0),0)</f>
        <v>0</v>
      </c>
      <c r="AG522" s="2">
        <f>IF(AND(Games[[#This Row],[Type]]="P",Games[[#This Row],[Round]]=2),IF(Games[[#This Row],[Result]]&gt;0.5,1,0),0)</f>
        <v>0</v>
      </c>
      <c r="AH522" s="2">
        <f>IF(AND(Games[[#This Row],[Type]]="P",Games[[#This Row],[Round]]=2),IF(Games[[#This Row],[Result]]&lt;0.5,1,0),0)</f>
        <v>0</v>
      </c>
      <c r="AI522" s="2">
        <f>IF(AND(Games[[#This Row],[Type]]="P",Games[[#This Row],[Round]]=3),IF(Games[[#This Row],[Result]]&gt;0.5,1,0),0)</f>
        <v>0</v>
      </c>
      <c r="AJ522" s="2">
        <f>IF(AND(Games[[#This Row],[Type]]="P",Games[[#This Row],[Round]]=3),IF(Games[[#This Row],[Result]]&lt;0.5,1,0),0)</f>
        <v>1</v>
      </c>
      <c r="AK522" s="2">
        <f>IF(AND(Games[[#This Row],[Type]]="P",Games[[#This Row],[Round]]=4),IF(Games[[#This Row],[Result]]&gt;0.5,1,0),0)</f>
        <v>0</v>
      </c>
      <c r="AL522" s="2">
        <f>IF(AND(Games[[#This Row],[Type]]="P",Games[[#This Row],[Round]]=4),IF(Games[[#This Row],[Result]]&lt;0.5,1,0),0)</f>
        <v>0</v>
      </c>
    </row>
    <row r="523" spans="1:38" x14ac:dyDescent="0.35">
      <c r="A523" s="10">
        <v>45583</v>
      </c>
      <c r="B523" s="2">
        <v>2024</v>
      </c>
      <c r="C523" s="2">
        <f>COUNTIFS(Games[Team],Games[[#This Row],[Team]],Games[Season],Games[[#This Row],[Season]],Games[Date],"&lt;=" &amp; Games[[#This Row],[Date]])</f>
        <v>51</v>
      </c>
      <c r="D523" s="2" t="s">
        <v>83</v>
      </c>
      <c r="E523" s="2">
        <v>3</v>
      </c>
      <c r="F523" s="1" t="s">
        <v>67</v>
      </c>
      <c r="G523" s="1" t="s">
        <v>60</v>
      </c>
      <c r="H523" s="1" t="s">
        <v>82</v>
      </c>
      <c r="I523" s="2" cm="1">
        <f t="array" ref="I5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3" s="2" cm="1">
        <f t="array" ref="J5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3" s="2">
        <f>Games[[#This Row],[DaysOff]]-Games[[#This Row],[OppDaysOff]]</f>
        <v>0</v>
      </c>
      <c r="L523" s="2">
        <f>Games[[#This Row],[OppDaysOff]]-Games[[#This Row],[DaysOff]]</f>
        <v>0</v>
      </c>
      <c r="M523" s="16">
        <f>MAX(-16, MIN(16, Games[[#This Row],[RestDiff]]*8))</f>
        <v>0</v>
      </c>
      <c r="N523" s="16">
        <f>MAX(-16, MIN(16, Games[[#This Row],[OppRestDiff]]*8))</f>
        <v>0</v>
      </c>
      <c r="O523" s="4" cm="1">
        <f t="array" ref="O5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1657.0707884071639</v>
      </c>
      <c r="P523" s="4" cm="1">
        <f t="array" ref="P5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1748.8593183441085</v>
      </c>
      <c r="Q523" s="4">
        <f>1/(1+10^(((Games[[#This Row],[OppPreGmRate]]+IF(Games[[#This Row],[HomeAway]]="A",HCA,0)+Games[[#This Row],[OppRestAdj]])-(Games[[#This Row],[PreGmRate]]+IF(Games[[#This Row],[HomeAway]]="H",HCA,0)+Games[[#This Row],[RestAdj]]))/400))</f>
        <v>0.48879328159551189</v>
      </c>
      <c r="R523" s="1">
        <v>82</v>
      </c>
      <c r="S523" s="1">
        <v>80</v>
      </c>
      <c r="T523" s="1">
        <v>0</v>
      </c>
      <c r="U523" s="16">
        <f>Games[[#This Row],[PointsFor]]-Games[[#This Row],[PointsAgainst]]</f>
        <v>2</v>
      </c>
      <c r="V523" s="16">
        <f>IF(Games[[#This Row],[MOV]]&gt;0,1,IF(Games[[#This Row],[MOV]]=0,0.5,0))</f>
        <v>1</v>
      </c>
      <c r="W523" s="4">
        <f>((ABS(Games[[#This Row],[MOV]])+5)^0.6)/(12+0.01*(ABS(Games[[#This Row],[PreGmRate]]-Games[[#This Row],[OppPreGmRate]])))*IF(Games[[#This Row],[OT]]=1,0.9,1)</f>
        <v>0.24880975293014304</v>
      </c>
      <c r="X523" s="7" cm="1">
        <f t="array" ref="X5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3" s="9">
        <f>MAX(kmin, kmax - 0.15 * MIN(Games[[#This Row],[GamesPlayed]], 82))</f>
        <v>68.349999999999994</v>
      </c>
      <c r="Z523" s="4">
        <f>Games[[#This Row],[K]]*Games[[#This Row],[POMult]]</f>
        <v>92.272499999999994</v>
      </c>
      <c r="AA523" s="4">
        <f>(Games[[#This Row],[Keff]]*Games[[#This Row],[MOVMult]])*(Games[[#This Row],[Result]]-Games[[#This Row],[ExpectedWin%]])</f>
        <v>11.736436143540308</v>
      </c>
      <c r="AB523" s="4">
        <f>Games[[#This Row],[PreGmRate]]+Games[[#This Row],[RatingChange]]</f>
        <v>1668.8072245507042</v>
      </c>
      <c r="AC523" s="2">
        <f>IF(Games[[#This Row],[Type]]="R",IF(Games[[#This Row],[Result]]&gt;0.5,1,0),0)</f>
        <v>0</v>
      </c>
      <c r="AD523" s="2">
        <f>IF(Games[[#This Row],[Type]]="R",IF(Games[[#This Row],[Result]]&lt;0.5,1,0),0)</f>
        <v>0</v>
      </c>
      <c r="AE523" s="2">
        <f>IF(AND(Games[[#This Row],[Type]]="P",Games[[#This Row],[Round]]=1),IF(Games[[#This Row],[Result]]&gt;0.5,1,0),0)</f>
        <v>0</v>
      </c>
      <c r="AF523" s="2">
        <f>IF(AND(Games[[#This Row],[Type]]="P",Games[[#This Row],[Round]]=1),IF(Games[[#This Row],[Result]]&lt;0.5,1,0),0)</f>
        <v>0</v>
      </c>
      <c r="AG523" s="2">
        <f>IF(AND(Games[[#This Row],[Type]]="P",Games[[#This Row],[Round]]=2),IF(Games[[#This Row],[Result]]&gt;0.5,1,0),0)</f>
        <v>0</v>
      </c>
      <c r="AH523" s="2">
        <f>IF(AND(Games[[#This Row],[Type]]="P",Games[[#This Row],[Round]]=2),IF(Games[[#This Row],[Result]]&lt;0.5,1,0),0)</f>
        <v>0</v>
      </c>
      <c r="AI523" s="2">
        <f>IF(AND(Games[[#This Row],[Type]]="P",Games[[#This Row],[Round]]=3),IF(Games[[#This Row],[Result]]&gt;0.5,1,0),0)</f>
        <v>1</v>
      </c>
      <c r="AJ523" s="2">
        <f>IF(AND(Games[[#This Row],[Type]]="P",Games[[#This Row],[Round]]=3),IF(Games[[#This Row],[Result]]&lt;0.5,1,0),0)</f>
        <v>0</v>
      </c>
      <c r="AK523" s="2">
        <f>IF(AND(Games[[#This Row],[Type]]="P",Games[[#This Row],[Round]]=4),IF(Games[[#This Row],[Result]]&gt;0.5,1,0),0)</f>
        <v>0</v>
      </c>
      <c r="AL523" s="2">
        <f>IF(AND(Games[[#This Row],[Type]]="P",Games[[#This Row],[Round]]=4),IF(Games[[#This Row],[Result]]&lt;0.5,1,0),0)</f>
        <v>0</v>
      </c>
    </row>
    <row r="524" spans="1:38" x14ac:dyDescent="0.35">
      <c r="A524" s="10">
        <v>45585</v>
      </c>
      <c r="B524" s="2">
        <v>2024</v>
      </c>
      <c r="C524" s="2">
        <f>COUNTIFS(Games[Team],Games[[#This Row],[Team]],Games[Season],Games[[#This Row],[Season]],Games[Date],"&lt;=" &amp; Games[[#This Row],[Date]])</f>
        <v>52</v>
      </c>
      <c r="D524" s="2" t="s">
        <v>83</v>
      </c>
      <c r="E524" s="2">
        <v>3</v>
      </c>
      <c r="F524" s="1" t="s">
        <v>67</v>
      </c>
      <c r="G524" s="1" t="s">
        <v>60</v>
      </c>
      <c r="H524" s="1" t="s">
        <v>81</v>
      </c>
      <c r="I524" s="2" cm="1">
        <f t="array" ref="I5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4" s="2" cm="1">
        <f t="array" ref="J5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4" s="2">
        <f>Games[[#This Row],[DaysOff]]-Games[[#This Row],[OppDaysOff]]</f>
        <v>0</v>
      </c>
      <c r="L524" s="2">
        <f>Games[[#This Row],[OppDaysOff]]-Games[[#This Row],[DaysOff]]</f>
        <v>0</v>
      </c>
      <c r="M524" s="16">
        <f>MAX(-16, MIN(16, Games[[#This Row],[RestDiff]]*8))</f>
        <v>0</v>
      </c>
      <c r="N524" s="16">
        <f>MAX(-16, MIN(16, Games[[#This Row],[OppRestDiff]]*8))</f>
        <v>0</v>
      </c>
      <c r="O524" s="4" cm="1">
        <f t="array" ref="O5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1668.8072245507042</v>
      </c>
      <c r="P524" s="4" cm="1">
        <f t="array" ref="P5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1737.0971255740644</v>
      </c>
      <c r="Q524" s="4">
        <f>1/(1+10^(((Games[[#This Row],[OppPreGmRate]]+IF(Games[[#This Row],[HomeAway]]="A",HCA,0)+Games[[#This Row],[OppRestAdj]])-(Games[[#This Row],[PreGmRate]]+IF(Games[[#This Row],[HomeAway]]="H",HCA,0)+Games[[#This Row],[RestAdj]]))/400))</f>
        <v>0.29387222536037105</v>
      </c>
      <c r="R524" s="1">
        <v>62</v>
      </c>
      <c r="S524" s="1">
        <v>67</v>
      </c>
      <c r="T524" s="1">
        <v>1</v>
      </c>
      <c r="U524" s="16">
        <f>Games[[#This Row],[PointsFor]]-Games[[#This Row],[PointsAgainst]]</f>
        <v>-5</v>
      </c>
      <c r="V524" s="16">
        <f>IF(Games[[#This Row],[MOV]]&gt;0,1,IF(Games[[#This Row],[MOV]]=0,0.5,0))</f>
        <v>0</v>
      </c>
      <c r="W524" s="4">
        <f>((ABS(Games[[#This Row],[MOV]])+5)^0.6)/(12+0.01*(ABS(Games[[#This Row],[PreGmRate]]-Games[[#This Row],[OppPreGmRate]])))*IF(Games[[#This Row],[OT]]=1,0.9,1)</f>
        <v>0.28250359260059121</v>
      </c>
      <c r="X524" s="7" cm="1">
        <f t="array" ref="X5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4" s="9">
        <f>MAX(kmin, kmax - 0.15 * MIN(Games[[#This Row],[GamesPlayed]], 82))</f>
        <v>68.2</v>
      </c>
      <c r="Z524" s="4">
        <f>Games[[#This Row],[K]]*Games[[#This Row],[POMult]]</f>
        <v>92.070000000000007</v>
      </c>
      <c r="AA524" s="4">
        <f>(Games[[#This Row],[Keff]]*Games[[#This Row],[MOVMult]])*(Games[[#This Row],[Result]]-Games[[#This Row],[ExpectedWin%]])</f>
        <v>-7.6436476647049449</v>
      </c>
      <c r="AB524" s="4">
        <f>Games[[#This Row],[PreGmRate]]+Games[[#This Row],[RatingChange]]</f>
        <v>1661.1635768859992</v>
      </c>
      <c r="AC524" s="2">
        <f>IF(Games[[#This Row],[Type]]="R",IF(Games[[#This Row],[Result]]&gt;0.5,1,0),0)</f>
        <v>0</v>
      </c>
      <c r="AD524" s="2">
        <f>IF(Games[[#This Row],[Type]]="R",IF(Games[[#This Row],[Result]]&lt;0.5,1,0),0)</f>
        <v>0</v>
      </c>
      <c r="AE524" s="2">
        <f>IF(AND(Games[[#This Row],[Type]]="P",Games[[#This Row],[Round]]=1),IF(Games[[#This Row],[Result]]&gt;0.5,1,0),0)</f>
        <v>0</v>
      </c>
      <c r="AF524" s="2">
        <f>IF(AND(Games[[#This Row],[Type]]="P",Games[[#This Row],[Round]]=1),IF(Games[[#This Row],[Result]]&lt;0.5,1,0),0)</f>
        <v>0</v>
      </c>
      <c r="AG524" s="2">
        <f>IF(AND(Games[[#This Row],[Type]]="P",Games[[#This Row],[Round]]=2),IF(Games[[#This Row],[Result]]&gt;0.5,1,0),0)</f>
        <v>0</v>
      </c>
      <c r="AH524" s="2">
        <f>IF(AND(Games[[#This Row],[Type]]="P",Games[[#This Row],[Round]]=2),IF(Games[[#This Row],[Result]]&lt;0.5,1,0),0)</f>
        <v>0</v>
      </c>
      <c r="AI524" s="2">
        <f>IF(AND(Games[[#This Row],[Type]]="P",Games[[#This Row],[Round]]=3),IF(Games[[#This Row],[Result]]&gt;0.5,1,0),0)</f>
        <v>0</v>
      </c>
      <c r="AJ524" s="2">
        <f>IF(AND(Games[[#This Row],[Type]]="P",Games[[#This Row],[Round]]=3),IF(Games[[#This Row],[Result]]&lt;0.5,1,0),0)</f>
        <v>1</v>
      </c>
      <c r="AK524" s="2">
        <f>IF(AND(Games[[#This Row],[Type]]="P",Games[[#This Row],[Round]]=4),IF(Games[[#This Row],[Result]]&gt;0.5,1,0),0)</f>
        <v>0</v>
      </c>
      <c r="AL524" s="2">
        <f>IF(AND(Games[[#This Row],[Type]]="P",Games[[#This Row],[Round]]=4),IF(Games[[#This Row],[Result]]&lt;0.5,1,0),0)</f>
        <v>0</v>
      </c>
    </row>
    <row r="525" spans="1:38" x14ac:dyDescent="0.35">
      <c r="A525" s="10">
        <v>45585</v>
      </c>
      <c r="B525" s="2">
        <v>2024</v>
      </c>
      <c r="C525" s="2">
        <f>COUNTIFS(Games[Team],Games[[#This Row],[Team]],Games[Season],Games[[#This Row],[Season]],Games[Date],"&lt;=" &amp; Games[[#This Row],[Date]])</f>
        <v>51</v>
      </c>
      <c r="D525" s="2" t="s">
        <v>83</v>
      </c>
      <c r="E525" s="2">
        <v>3</v>
      </c>
      <c r="F525" s="1" t="s">
        <v>60</v>
      </c>
      <c r="G525" s="1" t="s">
        <v>67</v>
      </c>
      <c r="H525" s="1" t="s">
        <v>82</v>
      </c>
      <c r="I525" s="2" cm="1">
        <f t="array" ref="I5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25" s="2" cm="1">
        <f t="array" ref="J5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25" s="2">
        <f>Games[[#This Row],[DaysOff]]-Games[[#This Row],[OppDaysOff]]</f>
        <v>0</v>
      </c>
      <c r="L525" s="2">
        <f>Games[[#This Row],[OppDaysOff]]-Games[[#This Row],[DaysOff]]</f>
        <v>0</v>
      </c>
      <c r="M525" s="16">
        <f>MAX(-16, MIN(16, Games[[#This Row],[RestDiff]]*8))</f>
        <v>0</v>
      </c>
      <c r="N525" s="16">
        <f>MAX(-16, MIN(16, Games[[#This Row],[OppRestDiff]]*8))</f>
        <v>0</v>
      </c>
      <c r="O525" s="4" cm="1">
        <f t="array" ref="O5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1737.0971255740644</v>
      </c>
      <c r="P525" s="4" cm="1">
        <f t="array" ref="P5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1668.8072245507042</v>
      </c>
      <c r="Q525" s="4">
        <f>1/(1+10^(((Games[[#This Row],[OppPreGmRate]]+IF(Games[[#This Row],[HomeAway]]="A",HCA,0)+Games[[#This Row],[OppRestAdj]])-(Games[[#This Row],[PreGmRate]]+IF(Games[[#This Row],[HomeAway]]="H",HCA,0)+Games[[#This Row],[RestAdj]]))/400))</f>
        <v>0.70612777463962884</v>
      </c>
      <c r="R525" s="1">
        <v>67</v>
      </c>
      <c r="S525" s="1">
        <v>62</v>
      </c>
      <c r="T525" s="1">
        <v>1</v>
      </c>
      <c r="U525" s="16">
        <f>Games[[#This Row],[PointsFor]]-Games[[#This Row],[PointsAgainst]]</f>
        <v>5</v>
      </c>
      <c r="V525" s="16">
        <f>IF(Games[[#This Row],[MOV]]&gt;0,1,IF(Games[[#This Row],[MOV]]=0,0.5,0))</f>
        <v>1</v>
      </c>
      <c r="W525" s="4">
        <f>((ABS(Games[[#This Row],[MOV]])+5)^0.6)/(12+0.01*(ABS(Games[[#This Row],[PreGmRate]]-Games[[#This Row],[OppPreGmRate]])))*IF(Games[[#This Row],[OT]]=1,0.9,1)</f>
        <v>0.28250359260059121</v>
      </c>
      <c r="X525" s="7" cm="1">
        <f t="array" ref="X5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5" s="9">
        <f>MAX(kmin, kmax - 0.15 * MIN(Games[[#This Row],[GamesPlayed]], 82))</f>
        <v>68.349999999999994</v>
      </c>
      <c r="Z525" s="4">
        <f>Games[[#This Row],[K]]*Games[[#This Row],[POMult]]</f>
        <v>92.272499999999994</v>
      </c>
      <c r="AA525" s="4">
        <f>(Games[[#This Row],[Keff]]*Games[[#This Row],[MOVMult]])*(Games[[#This Row],[Result]]-Games[[#This Row],[ExpectedWin%]])</f>
        <v>7.660459206489489</v>
      </c>
      <c r="AB525" s="4">
        <f>Games[[#This Row],[PreGmRate]]+Games[[#This Row],[RatingChange]]</f>
        <v>1744.757584780554</v>
      </c>
      <c r="AC525" s="2">
        <f>IF(Games[[#This Row],[Type]]="R",IF(Games[[#This Row],[Result]]&gt;0.5,1,0),0)</f>
        <v>0</v>
      </c>
      <c r="AD525" s="2">
        <f>IF(Games[[#This Row],[Type]]="R",IF(Games[[#This Row],[Result]]&lt;0.5,1,0),0)</f>
        <v>0</v>
      </c>
      <c r="AE525" s="2">
        <f>IF(AND(Games[[#This Row],[Type]]="P",Games[[#This Row],[Round]]=1),IF(Games[[#This Row],[Result]]&gt;0.5,1,0),0)</f>
        <v>0</v>
      </c>
      <c r="AF525" s="2">
        <f>IF(AND(Games[[#This Row],[Type]]="P",Games[[#This Row],[Round]]=1),IF(Games[[#This Row],[Result]]&lt;0.5,1,0),0)</f>
        <v>0</v>
      </c>
      <c r="AG525" s="2">
        <f>IF(AND(Games[[#This Row],[Type]]="P",Games[[#This Row],[Round]]=2),IF(Games[[#This Row],[Result]]&gt;0.5,1,0),0)</f>
        <v>0</v>
      </c>
      <c r="AH525" s="2">
        <f>IF(AND(Games[[#This Row],[Type]]="P",Games[[#This Row],[Round]]=2),IF(Games[[#This Row],[Result]]&lt;0.5,1,0),0)</f>
        <v>0</v>
      </c>
      <c r="AI525" s="2">
        <f>IF(AND(Games[[#This Row],[Type]]="P",Games[[#This Row],[Round]]=3),IF(Games[[#This Row],[Result]]&gt;0.5,1,0),0)</f>
        <v>1</v>
      </c>
      <c r="AJ525" s="2">
        <f>IF(AND(Games[[#This Row],[Type]]="P",Games[[#This Row],[Round]]=3),IF(Games[[#This Row],[Result]]&lt;0.5,1,0),0)</f>
        <v>0</v>
      </c>
      <c r="AK525" s="2">
        <f>IF(AND(Games[[#This Row],[Type]]="P",Games[[#This Row],[Round]]=4),IF(Games[[#This Row],[Result]]&gt;0.5,1,0),0)</f>
        <v>0</v>
      </c>
      <c r="AL525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2026-07-28T21:58:14Z</dcterms:modified>
</cp:coreProperties>
</file>
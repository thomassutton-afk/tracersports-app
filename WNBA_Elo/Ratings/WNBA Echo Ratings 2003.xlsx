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tjsut\TracerSports\WNBA_Elo\Ratings\"/>
    </mc:Choice>
  </mc:AlternateContent>
  <xr:revisionPtr revIDLastSave="0" documentId="13_ncr:1_{237B3599-1165-4A7E-8F81-A926947066AD}" xr6:coauthVersionLast="47" xr6:coauthVersionMax="47" xr10:uidLastSave="{00000000-0000-0000-0000-000000000000}"/>
  <bookViews>
    <workbookView xWindow="-110" yWindow="-110" windowWidth="19420" windowHeight="10300" xr2:uid="{5ACCDE05-EE8C-41A7-8551-BC0BA0E61F2B}"/>
  </bookViews>
  <sheets>
    <sheet name="DataTable" sheetId="6" r:id="rId1"/>
    <sheet name="StandingsRaw" sheetId="3" r:id="rId2"/>
    <sheet name="StandingsPivot" sheetId="5" r:id="rId3"/>
    <sheet name="Sheet1" sheetId="8" state="hidden" r:id="rId4"/>
    <sheet name="RawData" sheetId="2" r:id="rId5"/>
  </sheets>
  <definedNames>
    <definedName name="alpha">RawData!$AP$3</definedName>
    <definedName name="base">RawData!$AP$4</definedName>
    <definedName name="HCA">RawData!$AP$2</definedName>
    <definedName name="HFA">RawData!$AP$2</definedName>
    <definedName name="k">RawData!#REF!</definedName>
    <definedName name="kmax">RawData!$AQ$1</definedName>
    <definedName name="kmin">RawData!$AP$1</definedName>
  </definedNames>
  <calcPr calcId="191029"/>
  <pivotCaches>
    <pivotCache cacheId="32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8" i="3" l="1"/>
  <c r="H37" i="3"/>
  <c r="H36" i="3"/>
  <c r="H35" i="3"/>
  <c r="H34" i="3"/>
  <c r="H33" i="3"/>
  <c r="H32" i="3"/>
  <c r="H31" i="3"/>
  <c r="H30" i="3"/>
  <c r="H29" i="3"/>
  <c r="H28" i="3"/>
  <c r="H27" i="3"/>
  <c r="H26" i="3"/>
  <c r="C408" i="2"/>
  <c r="Y408" i="2" s="1"/>
  <c r="C409" i="2"/>
  <c r="Y409" i="2" s="1"/>
  <c r="C410" i="2"/>
  <c r="Y410" i="2" s="1"/>
  <c r="C411" i="2"/>
  <c r="Y411" i="2" s="1"/>
  <c r="C412" i="2"/>
  <c r="Y412" i="2" s="1"/>
  <c r="C413" i="2"/>
  <c r="Y413" i="2" s="1"/>
  <c r="C414" i="2"/>
  <c r="Y414" i="2" s="1"/>
  <c r="C415" i="2"/>
  <c r="Y415" i="2" s="1"/>
  <c r="C416" i="2"/>
  <c r="Y416" i="2" s="1"/>
  <c r="C417" i="2"/>
  <c r="Y417" i="2" s="1"/>
  <c r="C418" i="2"/>
  <c r="Y418" i="2" s="1"/>
  <c r="C419" i="2"/>
  <c r="Y419" i="2" s="1"/>
  <c r="C420" i="2"/>
  <c r="Y420" i="2" s="1"/>
  <c r="C421" i="2"/>
  <c r="Y421" i="2" s="1"/>
  <c r="C422" i="2"/>
  <c r="Y422" i="2" s="1"/>
  <c r="C423" i="2"/>
  <c r="Y423" i="2" s="1"/>
  <c r="C424" i="2"/>
  <c r="Y424" i="2" s="1"/>
  <c r="C425" i="2"/>
  <c r="Y425" i="2" s="1"/>
  <c r="C426" i="2"/>
  <c r="Y426" i="2" s="1"/>
  <c r="C427" i="2"/>
  <c r="Y427" i="2" s="1"/>
  <c r="C428" i="2"/>
  <c r="Y428" i="2" s="1"/>
  <c r="C429" i="2"/>
  <c r="Y429" i="2" s="1"/>
  <c r="C430" i="2"/>
  <c r="Y430" i="2" s="1"/>
  <c r="C431" i="2"/>
  <c r="Y431" i="2" s="1"/>
  <c r="C432" i="2"/>
  <c r="Y432" i="2" s="1"/>
  <c r="C433" i="2"/>
  <c r="Y433" i="2" s="1"/>
  <c r="C434" i="2"/>
  <c r="Y434" i="2" s="1"/>
  <c r="C435" i="2"/>
  <c r="Y435" i="2" s="1"/>
  <c r="C436" i="2"/>
  <c r="Y436" i="2" s="1"/>
  <c r="C437" i="2"/>
  <c r="Y437" i="2" s="1"/>
  <c r="C438" i="2"/>
  <c r="Y438" i="2" s="1"/>
  <c r="C439" i="2"/>
  <c r="Y439" i="2" s="1"/>
  <c r="C440" i="2"/>
  <c r="Y440" i="2" s="1"/>
  <c r="C441" i="2"/>
  <c r="Y441" i="2" s="1"/>
  <c r="C442" i="2"/>
  <c r="Y442" i="2" s="1"/>
  <c r="C443" i="2"/>
  <c r="Y443" i="2" s="1"/>
  <c r="C444" i="2"/>
  <c r="Y444" i="2" s="1"/>
  <c r="C445" i="2"/>
  <c r="Y445" i="2" s="1"/>
  <c r="C446" i="2"/>
  <c r="Y446" i="2" s="1"/>
  <c r="C447" i="2"/>
  <c r="Y447" i="2" s="1"/>
  <c r="C448" i="2"/>
  <c r="Y448" i="2" s="1"/>
  <c r="C449" i="2"/>
  <c r="Y449" i="2" s="1"/>
  <c r="C450" i="2"/>
  <c r="Y450" i="2" s="1"/>
  <c r="C451" i="2"/>
  <c r="Y451" i="2" s="1"/>
  <c r="C452" i="2"/>
  <c r="Y452" i="2" s="1"/>
  <c r="C453" i="2"/>
  <c r="Y453" i="2" s="1"/>
  <c r="C454" i="2"/>
  <c r="Y454" i="2" s="1"/>
  <c r="C455" i="2"/>
  <c r="Y455" i="2" s="1"/>
  <c r="C456" i="2"/>
  <c r="Y456" i="2" s="1"/>
  <c r="C457" i="2"/>
  <c r="Y457" i="2" s="1"/>
  <c r="C458" i="2"/>
  <c r="Y458" i="2" s="1"/>
  <c r="C459" i="2"/>
  <c r="Y459" i="2" s="1"/>
  <c r="C460" i="2"/>
  <c r="Y460" i="2" s="1"/>
  <c r="C461" i="2"/>
  <c r="Y461" i="2" s="1"/>
  <c r="C462" i="2"/>
  <c r="Y462" i="2" s="1"/>
  <c r="C463" i="2"/>
  <c r="Y463" i="2" s="1"/>
  <c r="C464" i="2"/>
  <c r="Y464" i="2" s="1"/>
  <c r="C465" i="2"/>
  <c r="Y465" i="2" s="1"/>
  <c r="C466" i="2"/>
  <c r="Y466" i="2" s="1"/>
  <c r="C467" i="2"/>
  <c r="Y467" i="2" s="1"/>
  <c r="C468" i="2"/>
  <c r="Y468" i="2" s="1"/>
  <c r="C469" i="2"/>
  <c r="Y469" i="2" s="1"/>
  <c r="C470" i="2"/>
  <c r="Y470" i="2" s="1"/>
  <c r="C471" i="2"/>
  <c r="Y471" i="2" s="1"/>
  <c r="C472" i="2"/>
  <c r="Y472" i="2" s="1"/>
  <c r="C473" i="2"/>
  <c r="Y473" i="2" s="1"/>
  <c r="C474" i="2"/>
  <c r="Y474" i="2" s="1"/>
  <c r="C475" i="2"/>
  <c r="Y475" i="2" s="1"/>
  <c r="C476" i="2"/>
  <c r="Y476" i="2" s="1"/>
  <c r="C477" i="2"/>
  <c r="Y477" i="2" s="1"/>
  <c r="C478" i="2"/>
  <c r="Y478" i="2" s="1"/>
  <c r="C479" i="2"/>
  <c r="Y479" i="2" s="1"/>
  <c r="C480" i="2"/>
  <c r="Y480" i="2" s="1"/>
  <c r="C481" i="2"/>
  <c r="Y481" i="2" s="1"/>
  <c r="C482" i="2"/>
  <c r="Y482" i="2" s="1"/>
  <c r="C483" i="2"/>
  <c r="Y483" i="2" s="1"/>
  <c r="C484" i="2"/>
  <c r="Y484" i="2" s="1"/>
  <c r="C485" i="2"/>
  <c r="Y485" i="2" s="1"/>
  <c r="C486" i="2"/>
  <c r="Y486" i="2" s="1"/>
  <c r="C487" i="2"/>
  <c r="Y487" i="2" s="1"/>
  <c r="C488" i="2"/>
  <c r="Y488" i="2" s="1"/>
  <c r="C489" i="2"/>
  <c r="Y489" i="2" s="1"/>
  <c r="C490" i="2"/>
  <c r="Y490" i="2" s="1"/>
  <c r="C491" i="2"/>
  <c r="Y491" i="2" s="1"/>
  <c r="C492" i="2"/>
  <c r="Y492" i="2" s="1"/>
  <c r="C493" i="2"/>
  <c r="Y493" i="2" s="1"/>
  <c r="C494" i="2"/>
  <c r="Y494" i="2" s="1"/>
  <c r="C495" i="2"/>
  <c r="Y495" i="2" s="1"/>
  <c r="C496" i="2"/>
  <c r="Y496" i="2" s="1"/>
  <c r="C497" i="2"/>
  <c r="Y497" i="2" s="1"/>
  <c r="C498" i="2"/>
  <c r="Y498" i="2" s="1"/>
  <c r="C499" i="2"/>
  <c r="Y499" i="2" s="1"/>
  <c r="C500" i="2"/>
  <c r="Y500" i="2" s="1"/>
  <c r="C501" i="2"/>
  <c r="Y501" i="2" s="1"/>
  <c r="C502" i="2"/>
  <c r="Y502" i="2" s="1"/>
  <c r="C503" i="2"/>
  <c r="Y503" i="2" s="1"/>
  <c r="C504" i="2"/>
  <c r="Y504" i="2" s="1"/>
  <c r="C505" i="2"/>
  <c r="Y505" i="2" s="1"/>
  <c r="C506" i="2"/>
  <c r="Y506" i="2" s="1"/>
  <c r="C507" i="2"/>
  <c r="Y507" i="2" s="1"/>
  <c r="C508" i="2"/>
  <c r="Y508" i="2" s="1"/>
  <c r="C509" i="2"/>
  <c r="Y509" i="2" s="1"/>
  <c r="C510" i="2"/>
  <c r="Y510" i="2" s="1"/>
  <c r="C511" i="2"/>
  <c r="Y511" i="2" s="1"/>
  <c r="C512" i="2"/>
  <c r="Y512" i="2" s="1"/>
  <c r="C513" i="2"/>
  <c r="Y513" i="2" s="1"/>
  <c r="C514" i="2"/>
  <c r="Y514" i="2" s="1"/>
  <c r="C515" i="2"/>
  <c r="Y515" i="2" s="1"/>
  <c r="I408" i="2" a="1"/>
  <c r="I409" i="2" a="1"/>
  <c r="I410" i="2" a="1"/>
  <c r="I411" i="2" a="1"/>
  <c r="I412" i="2" a="1"/>
  <c r="I413" i="2" a="1"/>
  <c r="I414" i="2" a="1"/>
  <c r="I415" i="2" a="1"/>
  <c r="I416" i="2" a="1"/>
  <c r="I417" i="2" a="1"/>
  <c r="I418" i="2" a="1"/>
  <c r="I419" i="2" a="1"/>
  <c r="I420" i="2" a="1"/>
  <c r="I421" i="2" a="1"/>
  <c r="I422" i="2" a="1"/>
  <c r="I423" i="2" a="1"/>
  <c r="I424" i="2" a="1"/>
  <c r="I425" i="2" a="1"/>
  <c r="I426" i="2" a="1"/>
  <c r="I427" i="2" a="1"/>
  <c r="I428" i="2" a="1"/>
  <c r="I429" i="2" a="1"/>
  <c r="I430" i="2" a="1"/>
  <c r="I431" i="2" a="1"/>
  <c r="I432" i="2" a="1"/>
  <c r="I433" i="2" a="1"/>
  <c r="I434" i="2" a="1"/>
  <c r="I435" i="2" a="1"/>
  <c r="I436" i="2" a="1"/>
  <c r="I437" i="2" a="1"/>
  <c r="I438" i="2" a="1"/>
  <c r="I439" i="2" a="1"/>
  <c r="I440" i="2" a="1"/>
  <c r="I441" i="2" a="1"/>
  <c r="I442" i="2" a="1"/>
  <c r="I443" i="2" a="1"/>
  <c r="I444" i="2" a="1"/>
  <c r="I445" i="2" a="1"/>
  <c r="I446" i="2" a="1"/>
  <c r="I447" i="2" a="1"/>
  <c r="I448" i="2" a="1"/>
  <c r="I449" i="2" a="1"/>
  <c r="I450" i="2" a="1"/>
  <c r="I451" i="2" a="1"/>
  <c r="I452" i="2" a="1"/>
  <c r="I453" i="2" a="1"/>
  <c r="I454" i="2" a="1"/>
  <c r="I455" i="2" a="1"/>
  <c r="I456" i="2" a="1"/>
  <c r="I457" i="2" a="1"/>
  <c r="I458" i="2" a="1"/>
  <c r="I459" i="2" a="1"/>
  <c r="I460" i="2" a="1"/>
  <c r="I461" i="2" a="1"/>
  <c r="I462" i="2" a="1"/>
  <c r="I463" i="2" a="1"/>
  <c r="I464" i="2" a="1"/>
  <c r="I465" i="2" a="1"/>
  <c r="I466" i="2" a="1"/>
  <c r="I467" i="2" a="1"/>
  <c r="I468" i="2" a="1"/>
  <c r="I469" i="2" a="1"/>
  <c r="I470" i="2" a="1"/>
  <c r="I471" i="2" a="1"/>
  <c r="I472" i="2" a="1"/>
  <c r="I473" i="2" a="1"/>
  <c r="I474" i="2" a="1"/>
  <c r="I475" i="2" a="1"/>
  <c r="I476" i="2" a="1"/>
  <c r="I477" i="2" a="1"/>
  <c r="I478" i="2" a="1"/>
  <c r="I479" i="2" a="1"/>
  <c r="I480" i="2" a="1"/>
  <c r="I481" i="2" a="1"/>
  <c r="I482" i="2" a="1"/>
  <c r="I483" i="2" a="1"/>
  <c r="I484" i="2" a="1"/>
  <c r="I485" i="2" a="1"/>
  <c r="I486" i="2" a="1"/>
  <c r="I487" i="2" a="1"/>
  <c r="I488" i="2" a="1"/>
  <c r="I489" i="2" a="1"/>
  <c r="I490" i="2" a="1"/>
  <c r="I491" i="2" a="1"/>
  <c r="I492" i="2" a="1"/>
  <c r="I493" i="2" a="1"/>
  <c r="I494" i="2" a="1"/>
  <c r="I495" i="2" a="1"/>
  <c r="I496" i="2" a="1"/>
  <c r="I497" i="2" a="1"/>
  <c r="I498" i="2" a="1"/>
  <c r="I499" i="2" a="1"/>
  <c r="I500" i="2" a="1"/>
  <c r="I501" i="2" a="1"/>
  <c r="I502" i="2" a="1"/>
  <c r="I503" i="2" a="1"/>
  <c r="I504" i="2" a="1"/>
  <c r="I505" i="2" a="1"/>
  <c r="I506" i="2" a="1"/>
  <c r="I507" i="2" a="1"/>
  <c r="I508" i="2" a="1"/>
  <c r="I509" i="2" a="1"/>
  <c r="I510" i="2" a="1"/>
  <c r="I511" i="2" a="1"/>
  <c r="I512" i="2" a="1"/>
  <c r="I513" i="2" a="1"/>
  <c r="I514" i="2" a="1"/>
  <c r="I515" i="2" a="1"/>
  <c r="J408" i="2" a="1"/>
  <c r="J409" i="2" a="1"/>
  <c r="J410" i="2" a="1"/>
  <c r="J411" i="2" a="1"/>
  <c r="J412" i="2" a="1"/>
  <c r="J413" i="2" a="1"/>
  <c r="J414" i="2" a="1"/>
  <c r="J415" i="2" a="1"/>
  <c r="J416" i="2" a="1"/>
  <c r="J417" i="2" a="1"/>
  <c r="J418" i="2" a="1"/>
  <c r="J419" i="2" a="1"/>
  <c r="J420" i="2" a="1"/>
  <c r="J421" i="2" a="1"/>
  <c r="J422" i="2" a="1"/>
  <c r="J423" i="2" a="1"/>
  <c r="J424" i="2" a="1"/>
  <c r="J425" i="2" a="1"/>
  <c r="J426" i="2" a="1"/>
  <c r="J427" i="2" a="1"/>
  <c r="J428" i="2" a="1"/>
  <c r="J429" i="2" a="1"/>
  <c r="J430" i="2" a="1"/>
  <c r="J431" i="2" a="1"/>
  <c r="J432" i="2" a="1"/>
  <c r="J433" i="2" a="1"/>
  <c r="J434" i="2" a="1"/>
  <c r="J435" i="2" a="1"/>
  <c r="J436" i="2" a="1"/>
  <c r="J437" i="2" a="1"/>
  <c r="J438" i="2" a="1"/>
  <c r="J439" i="2" a="1"/>
  <c r="J440" i="2" a="1"/>
  <c r="J441" i="2" a="1"/>
  <c r="J442" i="2" a="1"/>
  <c r="J443" i="2" a="1"/>
  <c r="J444" i="2" a="1"/>
  <c r="J445" i="2" a="1"/>
  <c r="J446" i="2" a="1"/>
  <c r="J447" i="2" a="1"/>
  <c r="J448" i="2" a="1"/>
  <c r="J449" i="2" a="1"/>
  <c r="J450" i="2" a="1"/>
  <c r="J451" i="2" a="1"/>
  <c r="J452" i="2" a="1"/>
  <c r="J453" i="2" a="1"/>
  <c r="J454" i="2" a="1"/>
  <c r="J455" i="2" a="1"/>
  <c r="J456" i="2" a="1"/>
  <c r="J457" i="2" a="1"/>
  <c r="J458" i="2" a="1"/>
  <c r="J459" i="2" a="1"/>
  <c r="J460" i="2" a="1"/>
  <c r="J461" i="2" a="1"/>
  <c r="J462" i="2" a="1"/>
  <c r="J463" i="2" a="1"/>
  <c r="J464" i="2" a="1"/>
  <c r="J465" i="2" a="1"/>
  <c r="J466" i="2" a="1"/>
  <c r="J467" i="2" a="1"/>
  <c r="J468" i="2" a="1"/>
  <c r="J469" i="2" a="1"/>
  <c r="J470" i="2" a="1"/>
  <c r="J471" i="2" a="1"/>
  <c r="J472" i="2" a="1"/>
  <c r="J473" i="2" a="1"/>
  <c r="J474" i="2" a="1"/>
  <c r="J475" i="2" a="1"/>
  <c r="J476" i="2" a="1"/>
  <c r="J477" i="2" a="1"/>
  <c r="J478" i="2" a="1"/>
  <c r="J479" i="2" a="1"/>
  <c r="J480" i="2" a="1"/>
  <c r="J481" i="2" a="1"/>
  <c r="J482" i="2" a="1"/>
  <c r="J483" i="2" a="1"/>
  <c r="J484" i="2" a="1"/>
  <c r="J485" i="2" a="1"/>
  <c r="J486" i="2" a="1"/>
  <c r="J487" i="2" a="1"/>
  <c r="J488" i="2" a="1"/>
  <c r="J489" i="2" a="1"/>
  <c r="J490" i="2" a="1"/>
  <c r="J491" i="2" a="1"/>
  <c r="J492" i="2" a="1"/>
  <c r="J493" i="2" a="1"/>
  <c r="J494" i="2" a="1"/>
  <c r="J495" i="2" a="1"/>
  <c r="J496" i="2" a="1"/>
  <c r="J497" i="2" a="1"/>
  <c r="J498" i="2" a="1"/>
  <c r="J499" i="2" a="1"/>
  <c r="J500" i="2" a="1"/>
  <c r="J501" i="2" a="1"/>
  <c r="J502" i="2" a="1"/>
  <c r="J503" i="2" a="1"/>
  <c r="J504" i="2" a="1"/>
  <c r="J505" i="2" a="1"/>
  <c r="J506" i="2" a="1"/>
  <c r="J507" i="2" a="1"/>
  <c r="J508" i="2" a="1"/>
  <c r="J509" i="2" a="1"/>
  <c r="J510" i="2" a="1"/>
  <c r="J511" i="2" a="1"/>
  <c r="J512" i="2" a="1"/>
  <c r="J513" i="2" a="1"/>
  <c r="J514" i="2" a="1"/>
  <c r="J515" i="2" a="1"/>
  <c r="K515" i="2" s="1"/>
  <c r="M515" i="2" s="1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U408" i="2"/>
  <c r="U409" i="2"/>
  <c r="U410" i="2"/>
  <c r="U411" i="2"/>
  <c r="U412" i="2"/>
  <c r="U413" i="2"/>
  <c r="U414" i="2"/>
  <c r="U415" i="2"/>
  <c r="U416" i="2"/>
  <c r="U417" i="2"/>
  <c r="U418" i="2"/>
  <c r="U419" i="2"/>
  <c r="U420" i="2"/>
  <c r="U421" i="2"/>
  <c r="U422" i="2"/>
  <c r="U423" i="2"/>
  <c r="U424" i="2"/>
  <c r="U425" i="2"/>
  <c r="U426" i="2"/>
  <c r="U427" i="2"/>
  <c r="U428" i="2"/>
  <c r="U429" i="2"/>
  <c r="U430" i="2"/>
  <c r="U431" i="2"/>
  <c r="U432" i="2"/>
  <c r="U433" i="2"/>
  <c r="U434" i="2"/>
  <c r="U435" i="2"/>
  <c r="U436" i="2"/>
  <c r="U437" i="2"/>
  <c r="U438" i="2"/>
  <c r="U439" i="2"/>
  <c r="U440" i="2"/>
  <c r="U441" i="2"/>
  <c r="U442" i="2"/>
  <c r="U443" i="2"/>
  <c r="U444" i="2"/>
  <c r="U445" i="2"/>
  <c r="U446" i="2"/>
  <c r="U447" i="2"/>
  <c r="U448" i="2"/>
  <c r="U449" i="2"/>
  <c r="U450" i="2"/>
  <c r="U451" i="2"/>
  <c r="U452" i="2"/>
  <c r="U453" i="2"/>
  <c r="U454" i="2"/>
  <c r="U455" i="2"/>
  <c r="U456" i="2"/>
  <c r="U457" i="2"/>
  <c r="U458" i="2"/>
  <c r="U459" i="2"/>
  <c r="U460" i="2"/>
  <c r="U461" i="2"/>
  <c r="U462" i="2"/>
  <c r="U463" i="2"/>
  <c r="U464" i="2"/>
  <c r="U465" i="2"/>
  <c r="U466" i="2"/>
  <c r="U467" i="2"/>
  <c r="U468" i="2"/>
  <c r="U469" i="2"/>
  <c r="U470" i="2"/>
  <c r="U471" i="2"/>
  <c r="U472" i="2"/>
  <c r="U473" i="2"/>
  <c r="U474" i="2"/>
  <c r="U475" i="2"/>
  <c r="U476" i="2"/>
  <c r="U477" i="2"/>
  <c r="U478" i="2"/>
  <c r="U479" i="2"/>
  <c r="U480" i="2"/>
  <c r="U481" i="2"/>
  <c r="U482" i="2"/>
  <c r="U483" i="2"/>
  <c r="U484" i="2"/>
  <c r="U485" i="2"/>
  <c r="U486" i="2"/>
  <c r="U487" i="2"/>
  <c r="U488" i="2"/>
  <c r="U489" i="2"/>
  <c r="U490" i="2"/>
  <c r="U491" i="2"/>
  <c r="U492" i="2"/>
  <c r="U493" i="2"/>
  <c r="U494" i="2"/>
  <c r="U495" i="2"/>
  <c r="U496" i="2"/>
  <c r="U497" i="2"/>
  <c r="U498" i="2"/>
  <c r="U499" i="2"/>
  <c r="U500" i="2"/>
  <c r="U501" i="2"/>
  <c r="U502" i="2"/>
  <c r="U503" i="2"/>
  <c r="U504" i="2"/>
  <c r="U505" i="2"/>
  <c r="U506" i="2"/>
  <c r="U507" i="2"/>
  <c r="U508" i="2"/>
  <c r="U509" i="2"/>
  <c r="U510" i="2"/>
  <c r="U511" i="2"/>
  <c r="U512" i="2"/>
  <c r="U513" i="2"/>
  <c r="U514" i="2"/>
  <c r="U515" i="2"/>
  <c r="V408" i="2"/>
  <c r="V409" i="2"/>
  <c r="V410" i="2"/>
  <c r="V411" i="2"/>
  <c r="V412" i="2"/>
  <c r="V413" i="2"/>
  <c r="V414" i="2"/>
  <c r="V415" i="2"/>
  <c r="V416" i="2"/>
  <c r="V417" i="2"/>
  <c r="V418" i="2"/>
  <c r="V419" i="2"/>
  <c r="V420" i="2"/>
  <c r="V421" i="2"/>
  <c r="V422" i="2"/>
  <c r="V423" i="2"/>
  <c r="V424" i="2"/>
  <c r="V425" i="2"/>
  <c r="V426" i="2"/>
  <c r="V427" i="2"/>
  <c r="V428" i="2"/>
  <c r="V429" i="2"/>
  <c r="V430" i="2"/>
  <c r="V431" i="2"/>
  <c r="V432" i="2"/>
  <c r="V433" i="2"/>
  <c r="V434" i="2"/>
  <c r="V435" i="2"/>
  <c r="V436" i="2"/>
  <c r="V437" i="2"/>
  <c r="V438" i="2"/>
  <c r="V439" i="2"/>
  <c r="V440" i="2"/>
  <c r="V441" i="2"/>
  <c r="V442" i="2"/>
  <c r="V443" i="2"/>
  <c r="V444" i="2"/>
  <c r="V445" i="2"/>
  <c r="V446" i="2"/>
  <c r="V447" i="2"/>
  <c r="V448" i="2"/>
  <c r="V449" i="2"/>
  <c r="V450" i="2"/>
  <c r="V451" i="2"/>
  <c r="V452" i="2"/>
  <c r="V453" i="2"/>
  <c r="V454" i="2"/>
  <c r="V455" i="2"/>
  <c r="V456" i="2"/>
  <c r="V457" i="2"/>
  <c r="V458" i="2"/>
  <c r="V459" i="2"/>
  <c r="V460" i="2"/>
  <c r="V461" i="2"/>
  <c r="V462" i="2"/>
  <c r="V463" i="2"/>
  <c r="V464" i="2"/>
  <c r="V465" i="2"/>
  <c r="V466" i="2"/>
  <c r="V467" i="2"/>
  <c r="V468" i="2"/>
  <c r="V469" i="2"/>
  <c r="V470" i="2"/>
  <c r="V471" i="2"/>
  <c r="V472" i="2"/>
  <c r="V473" i="2"/>
  <c r="V474" i="2"/>
  <c r="V475" i="2"/>
  <c r="V476" i="2"/>
  <c r="V477" i="2"/>
  <c r="V478" i="2"/>
  <c r="V479" i="2"/>
  <c r="V480" i="2"/>
  <c r="V481" i="2"/>
  <c r="V482" i="2"/>
  <c r="V483" i="2"/>
  <c r="V484" i="2"/>
  <c r="V485" i="2"/>
  <c r="V486" i="2"/>
  <c r="V487" i="2"/>
  <c r="V488" i="2"/>
  <c r="V489" i="2"/>
  <c r="V490" i="2"/>
  <c r="V491" i="2"/>
  <c r="V492" i="2"/>
  <c r="V493" i="2"/>
  <c r="V494" i="2"/>
  <c r="V495" i="2"/>
  <c r="V496" i="2"/>
  <c r="V497" i="2"/>
  <c r="V498" i="2"/>
  <c r="V499" i="2"/>
  <c r="V500" i="2"/>
  <c r="AG500" i="2" s="1"/>
  <c r="V501" i="2"/>
  <c r="AG501" i="2" s="1"/>
  <c r="V502" i="2"/>
  <c r="AG502" i="2" s="1"/>
  <c r="V503" i="2"/>
  <c r="AG503" i="2" s="1"/>
  <c r="V504" i="2"/>
  <c r="AG504" i="2" s="1"/>
  <c r="V505" i="2"/>
  <c r="AG505" i="2" s="1"/>
  <c r="V506" i="2"/>
  <c r="AG506" i="2" s="1"/>
  <c r="V507" i="2"/>
  <c r="AG507" i="2" s="1"/>
  <c r="V508" i="2"/>
  <c r="AG508" i="2" s="1"/>
  <c r="V509" i="2"/>
  <c r="AG509" i="2" s="1"/>
  <c r="V510" i="2"/>
  <c r="V511" i="2"/>
  <c r="V512" i="2"/>
  <c r="V513" i="2"/>
  <c r="V514" i="2"/>
  <c r="AE514" i="2" s="1"/>
  <c r="V515" i="2"/>
  <c r="AE515" i="2" s="1"/>
  <c r="X408" i="2" a="1"/>
  <c r="X409" i="2" a="1"/>
  <c r="X410" i="2" a="1"/>
  <c r="X411" i="2" a="1"/>
  <c r="X412" i="2" a="1"/>
  <c r="X413" i="2" a="1"/>
  <c r="X414" i="2" a="1"/>
  <c r="X415" i="2" a="1"/>
  <c r="X416" i="2" a="1"/>
  <c r="X417" i="2" a="1"/>
  <c r="X418" i="2" a="1"/>
  <c r="X419" i="2" a="1"/>
  <c r="X420" i="2" a="1"/>
  <c r="X421" i="2" a="1"/>
  <c r="X422" i="2" a="1"/>
  <c r="X423" i="2" a="1"/>
  <c r="X424" i="2" a="1"/>
  <c r="X425" i="2" a="1"/>
  <c r="X426" i="2" a="1"/>
  <c r="X427" i="2" a="1"/>
  <c r="X428" i="2" a="1"/>
  <c r="X429" i="2" a="1"/>
  <c r="X430" i="2" a="1"/>
  <c r="X431" i="2" a="1"/>
  <c r="X432" i="2" a="1"/>
  <c r="X433" i="2" a="1"/>
  <c r="X434" i="2" a="1"/>
  <c r="X435" i="2" a="1"/>
  <c r="X436" i="2" a="1"/>
  <c r="X437" i="2" a="1"/>
  <c r="X438" i="2" a="1"/>
  <c r="X439" i="2" a="1"/>
  <c r="X440" i="2" a="1"/>
  <c r="X441" i="2" a="1"/>
  <c r="X442" i="2" a="1"/>
  <c r="X443" i="2" a="1"/>
  <c r="X444" i="2" a="1"/>
  <c r="X445" i="2" a="1"/>
  <c r="X446" i="2" a="1"/>
  <c r="X447" i="2" a="1"/>
  <c r="X448" i="2" a="1"/>
  <c r="X449" i="2" a="1"/>
  <c r="X450" i="2" a="1"/>
  <c r="X451" i="2" a="1"/>
  <c r="X452" i="2" a="1"/>
  <c r="X453" i="2" a="1"/>
  <c r="X454" i="2" a="1"/>
  <c r="X455" i="2" a="1"/>
  <c r="X456" i="2" a="1"/>
  <c r="X457" i="2" a="1"/>
  <c r="X458" i="2" a="1"/>
  <c r="X459" i="2" a="1"/>
  <c r="X460" i="2" a="1"/>
  <c r="X461" i="2" a="1"/>
  <c r="X462" i="2" a="1"/>
  <c r="X463" i="2" a="1"/>
  <c r="X464" i="2" a="1"/>
  <c r="X465" i="2" a="1"/>
  <c r="X466" i="2" a="1"/>
  <c r="X467" i="2" a="1"/>
  <c r="X468" i="2" a="1"/>
  <c r="X469" i="2" a="1"/>
  <c r="X470" i="2" a="1"/>
  <c r="X471" i="2" a="1"/>
  <c r="X472" i="2" a="1"/>
  <c r="X473" i="2" a="1"/>
  <c r="X474" i="2" a="1"/>
  <c r="X475" i="2" a="1"/>
  <c r="X476" i="2" a="1"/>
  <c r="X477" i="2" a="1"/>
  <c r="X478" i="2" a="1"/>
  <c r="X479" i="2" a="1"/>
  <c r="X480" i="2" a="1"/>
  <c r="X481" i="2" a="1"/>
  <c r="X482" i="2" a="1"/>
  <c r="X483" i="2" a="1"/>
  <c r="X484" i="2" a="1"/>
  <c r="X485" i="2" a="1"/>
  <c r="X486" i="2" a="1"/>
  <c r="X487" i="2" a="1"/>
  <c r="X488" i="2" a="1"/>
  <c r="X489" i="2" a="1"/>
  <c r="X490" i="2" a="1"/>
  <c r="X491" i="2" a="1"/>
  <c r="X492" i="2" a="1"/>
  <c r="X493" i="2" a="1"/>
  <c r="X494" i="2" a="1"/>
  <c r="X495" i="2" a="1"/>
  <c r="X496" i="2" a="1"/>
  <c r="X497" i="2" a="1"/>
  <c r="X498" i="2" a="1"/>
  <c r="X499" i="2" a="1"/>
  <c r="X500" i="2" a="1"/>
  <c r="X501" i="2" a="1"/>
  <c r="X502" i="2" a="1"/>
  <c r="X503" i="2" a="1"/>
  <c r="X504" i="2" a="1"/>
  <c r="X505" i="2" a="1"/>
  <c r="X506" i="2" a="1"/>
  <c r="X507" i="2" a="1"/>
  <c r="X508" i="2" a="1"/>
  <c r="X509" i="2" a="1"/>
  <c r="X510" i="2" a="1"/>
  <c r="X511" i="2" a="1"/>
  <c r="X512" i="2" a="1"/>
  <c r="X513" i="2" a="1"/>
  <c r="X514" i="2" a="1"/>
  <c r="X515" i="2" a="1"/>
  <c r="AC514" i="2"/>
  <c r="AC515" i="2"/>
  <c r="AD514" i="2"/>
  <c r="AD515" i="2"/>
  <c r="AE408" i="2"/>
  <c r="AE409" i="2"/>
  <c r="AE410" i="2"/>
  <c r="AE411" i="2"/>
  <c r="AE412" i="2"/>
  <c r="AE413" i="2"/>
  <c r="AE414" i="2"/>
  <c r="AE415" i="2"/>
  <c r="AE416" i="2"/>
  <c r="AE417" i="2"/>
  <c r="AE418" i="2"/>
  <c r="AE419" i="2"/>
  <c r="AE420" i="2"/>
  <c r="AE421" i="2"/>
  <c r="AE422" i="2"/>
  <c r="AE423" i="2"/>
  <c r="AE424" i="2"/>
  <c r="AE425" i="2"/>
  <c r="AE426" i="2"/>
  <c r="AE427" i="2"/>
  <c r="AE428" i="2"/>
  <c r="AE429" i="2"/>
  <c r="AE430" i="2"/>
  <c r="AE431" i="2"/>
  <c r="AE432" i="2"/>
  <c r="AE433" i="2"/>
  <c r="AE434" i="2"/>
  <c r="AE435" i="2"/>
  <c r="AE436" i="2"/>
  <c r="AE437" i="2"/>
  <c r="AE438" i="2"/>
  <c r="AE439" i="2"/>
  <c r="AE440" i="2"/>
  <c r="AE441" i="2"/>
  <c r="AE442" i="2"/>
  <c r="AE443" i="2"/>
  <c r="AE444" i="2"/>
  <c r="AE445" i="2"/>
  <c r="AE446" i="2"/>
  <c r="AE447" i="2"/>
  <c r="AE448" i="2"/>
  <c r="AE449" i="2"/>
  <c r="AE450" i="2"/>
  <c r="AE451" i="2"/>
  <c r="AE452" i="2"/>
  <c r="AE453" i="2"/>
  <c r="AE454" i="2"/>
  <c r="AE455" i="2"/>
  <c r="AE456" i="2"/>
  <c r="AE457" i="2"/>
  <c r="AE458" i="2"/>
  <c r="AE459" i="2"/>
  <c r="AE460" i="2"/>
  <c r="AE461" i="2"/>
  <c r="AE462" i="2"/>
  <c r="AE463" i="2"/>
  <c r="AE464" i="2"/>
  <c r="AE465" i="2"/>
  <c r="AE466" i="2"/>
  <c r="AE467" i="2"/>
  <c r="AE468" i="2"/>
  <c r="AE469" i="2"/>
  <c r="AE470" i="2"/>
  <c r="AE471" i="2"/>
  <c r="AE472" i="2"/>
  <c r="AE473" i="2"/>
  <c r="AE474" i="2"/>
  <c r="AE475" i="2"/>
  <c r="AE476" i="2"/>
  <c r="AE477" i="2"/>
  <c r="AE478" i="2"/>
  <c r="AE479" i="2"/>
  <c r="AE480" i="2"/>
  <c r="AE481" i="2"/>
  <c r="AE482" i="2"/>
  <c r="AE483" i="2"/>
  <c r="AE484" i="2"/>
  <c r="AE485" i="2"/>
  <c r="AE486" i="2"/>
  <c r="AE487" i="2"/>
  <c r="AE488" i="2"/>
  <c r="AE489" i="2"/>
  <c r="AE490" i="2"/>
  <c r="AE491" i="2"/>
  <c r="AE492" i="2"/>
  <c r="AE493" i="2"/>
  <c r="AE494" i="2"/>
  <c r="AE495" i="2"/>
  <c r="AE496" i="2"/>
  <c r="AE497" i="2"/>
  <c r="AE498" i="2"/>
  <c r="AE499" i="2"/>
  <c r="AE500" i="2"/>
  <c r="AE501" i="2"/>
  <c r="AE502" i="2"/>
  <c r="AE503" i="2"/>
  <c r="AE504" i="2"/>
  <c r="AE505" i="2"/>
  <c r="AE506" i="2"/>
  <c r="AE507" i="2"/>
  <c r="AE508" i="2"/>
  <c r="AE509" i="2"/>
  <c r="AE510" i="2"/>
  <c r="AE511" i="2"/>
  <c r="AE512" i="2"/>
  <c r="AE513" i="2"/>
  <c r="AF408" i="2"/>
  <c r="AF409" i="2"/>
  <c r="AF410" i="2"/>
  <c r="AF411" i="2"/>
  <c r="AF412" i="2"/>
  <c r="AF413" i="2"/>
  <c r="AF414" i="2"/>
  <c r="AF415" i="2"/>
  <c r="AF416" i="2"/>
  <c r="AF417" i="2"/>
  <c r="AF418" i="2"/>
  <c r="AF419" i="2"/>
  <c r="AF420" i="2"/>
  <c r="AF421" i="2"/>
  <c r="AF422" i="2"/>
  <c r="AF423" i="2"/>
  <c r="AF424" i="2"/>
  <c r="AF425" i="2"/>
  <c r="AF426" i="2"/>
  <c r="AF427" i="2"/>
  <c r="AF428" i="2"/>
  <c r="AF429" i="2"/>
  <c r="AF430" i="2"/>
  <c r="AF431" i="2"/>
  <c r="AF432" i="2"/>
  <c r="AF433" i="2"/>
  <c r="AF434" i="2"/>
  <c r="AF435" i="2"/>
  <c r="AF436" i="2"/>
  <c r="AF437" i="2"/>
  <c r="AF438" i="2"/>
  <c r="AF439" i="2"/>
  <c r="AF440" i="2"/>
  <c r="AF441" i="2"/>
  <c r="AF442" i="2"/>
  <c r="AF443" i="2"/>
  <c r="AF444" i="2"/>
  <c r="AF445" i="2"/>
  <c r="AF446" i="2"/>
  <c r="AF447" i="2"/>
  <c r="AF448" i="2"/>
  <c r="AF449" i="2"/>
  <c r="AF450" i="2"/>
  <c r="AF451" i="2"/>
  <c r="AF452" i="2"/>
  <c r="AF453" i="2"/>
  <c r="AF454" i="2"/>
  <c r="AF455" i="2"/>
  <c r="AF456" i="2"/>
  <c r="AF457" i="2"/>
  <c r="AF458" i="2"/>
  <c r="AF459" i="2"/>
  <c r="AF460" i="2"/>
  <c r="AF461" i="2"/>
  <c r="AF462" i="2"/>
  <c r="AF463" i="2"/>
  <c r="AF464" i="2"/>
  <c r="AF465" i="2"/>
  <c r="AF466" i="2"/>
  <c r="AF467" i="2"/>
  <c r="AF468" i="2"/>
  <c r="AF469" i="2"/>
  <c r="AF470" i="2"/>
  <c r="AF471" i="2"/>
  <c r="AF472" i="2"/>
  <c r="AF473" i="2"/>
  <c r="AF474" i="2"/>
  <c r="AF475" i="2"/>
  <c r="AF476" i="2"/>
  <c r="AF477" i="2"/>
  <c r="AF478" i="2"/>
  <c r="AF479" i="2"/>
  <c r="AF480" i="2"/>
  <c r="AF481" i="2"/>
  <c r="AF482" i="2"/>
  <c r="AF483" i="2"/>
  <c r="AF484" i="2"/>
  <c r="AF485" i="2"/>
  <c r="AF486" i="2"/>
  <c r="AF487" i="2"/>
  <c r="AF488" i="2"/>
  <c r="AF489" i="2"/>
  <c r="AF490" i="2"/>
  <c r="AF491" i="2"/>
  <c r="AF492" i="2"/>
  <c r="AF493" i="2"/>
  <c r="AF494" i="2"/>
  <c r="AF495" i="2"/>
  <c r="AF496" i="2"/>
  <c r="AF497" i="2"/>
  <c r="AF498" i="2"/>
  <c r="AF499" i="2"/>
  <c r="AF500" i="2"/>
  <c r="AF501" i="2"/>
  <c r="AF502" i="2"/>
  <c r="AF503" i="2"/>
  <c r="AF504" i="2"/>
  <c r="AF505" i="2"/>
  <c r="AF506" i="2"/>
  <c r="AF507" i="2"/>
  <c r="AF508" i="2"/>
  <c r="AF509" i="2"/>
  <c r="AF510" i="2"/>
  <c r="AF511" i="2"/>
  <c r="AF512" i="2"/>
  <c r="AF513" i="2"/>
  <c r="AF514" i="2"/>
  <c r="AF515" i="2"/>
  <c r="AG408" i="2"/>
  <c r="AG409" i="2"/>
  <c r="AG410" i="2"/>
  <c r="AG411" i="2"/>
  <c r="AG412" i="2"/>
  <c r="AG413" i="2"/>
  <c r="AG414" i="2"/>
  <c r="AG415" i="2"/>
  <c r="AG416" i="2"/>
  <c r="AG417" i="2"/>
  <c r="AG418" i="2"/>
  <c r="AG419" i="2"/>
  <c r="AG420" i="2"/>
  <c r="AG421" i="2"/>
  <c r="AG422" i="2"/>
  <c r="AG423" i="2"/>
  <c r="AG424" i="2"/>
  <c r="AG425" i="2"/>
  <c r="AG426" i="2"/>
  <c r="AG427" i="2"/>
  <c r="AG428" i="2"/>
  <c r="AG429" i="2"/>
  <c r="AG430" i="2"/>
  <c r="AG431" i="2"/>
  <c r="AG432" i="2"/>
  <c r="AG433" i="2"/>
  <c r="AG434" i="2"/>
  <c r="AG435" i="2"/>
  <c r="AG436" i="2"/>
  <c r="AG437" i="2"/>
  <c r="AG438" i="2"/>
  <c r="AG439" i="2"/>
  <c r="AG440" i="2"/>
  <c r="AG441" i="2"/>
  <c r="AG442" i="2"/>
  <c r="AG443" i="2"/>
  <c r="AG444" i="2"/>
  <c r="AG445" i="2"/>
  <c r="AG446" i="2"/>
  <c r="AG447" i="2"/>
  <c r="AG448" i="2"/>
  <c r="AG449" i="2"/>
  <c r="AG450" i="2"/>
  <c r="AG451" i="2"/>
  <c r="AG452" i="2"/>
  <c r="AG453" i="2"/>
  <c r="AG454" i="2"/>
  <c r="AG455" i="2"/>
  <c r="AG456" i="2"/>
  <c r="AG457" i="2"/>
  <c r="AG458" i="2"/>
  <c r="AG459" i="2"/>
  <c r="AG460" i="2"/>
  <c r="AG461" i="2"/>
  <c r="AG462" i="2"/>
  <c r="AG463" i="2"/>
  <c r="AG464" i="2"/>
  <c r="AG465" i="2"/>
  <c r="AG466" i="2"/>
  <c r="AG467" i="2"/>
  <c r="AG468" i="2"/>
  <c r="AG469" i="2"/>
  <c r="AG470" i="2"/>
  <c r="AG471" i="2"/>
  <c r="AG472" i="2"/>
  <c r="AG473" i="2"/>
  <c r="AG474" i="2"/>
  <c r="AG475" i="2"/>
  <c r="AG476" i="2"/>
  <c r="AG477" i="2"/>
  <c r="AG478" i="2"/>
  <c r="AG479" i="2"/>
  <c r="AG480" i="2"/>
  <c r="AG481" i="2"/>
  <c r="AG482" i="2"/>
  <c r="AG483" i="2"/>
  <c r="AG484" i="2"/>
  <c r="AG485" i="2"/>
  <c r="AG486" i="2"/>
  <c r="AG487" i="2"/>
  <c r="AG488" i="2"/>
  <c r="AG489" i="2"/>
  <c r="AG490" i="2"/>
  <c r="AG491" i="2"/>
  <c r="AG492" i="2"/>
  <c r="AG493" i="2"/>
  <c r="AG494" i="2"/>
  <c r="AG495" i="2"/>
  <c r="AG496" i="2"/>
  <c r="AG497" i="2"/>
  <c r="AG498" i="2"/>
  <c r="AG499" i="2"/>
  <c r="AG510" i="2"/>
  <c r="AG511" i="2"/>
  <c r="AG512" i="2"/>
  <c r="AG513" i="2"/>
  <c r="AG514" i="2"/>
  <c r="AG515" i="2"/>
  <c r="AH408" i="2"/>
  <c r="AH409" i="2"/>
  <c r="AH410" i="2"/>
  <c r="AH411" i="2"/>
  <c r="AH412" i="2"/>
  <c r="AH413" i="2"/>
  <c r="AH414" i="2"/>
  <c r="AH415" i="2"/>
  <c r="AH416" i="2"/>
  <c r="AH417" i="2"/>
  <c r="AH418" i="2"/>
  <c r="AH419" i="2"/>
  <c r="AH420" i="2"/>
  <c r="AH421" i="2"/>
  <c r="AH422" i="2"/>
  <c r="AH423" i="2"/>
  <c r="AH424" i="2"/>
  <c r="AH425" i="2"/>
  <c r="AH426" i="2"/>
  <c r="AH427" i="2"/>
  <c r="AH428" i="2"/>
  <c r="AH429" i="2"/>
  <c r="AH430" i="2"/>
  <c r="AH431" i="2"/>
  <c r="AH432" i="2"/>
  <c r="AH433" i="2"/>
  <c r="AH434" i="2"/>
  <c r="AH435" i="2"/>
  <c r="AH436" i="2"/>
  <c r="AH437" i="2"/>
  <c r="AH438" i="2"/>
  <c r="AH439" i="2"/>
  <c r="AH440" i="2"/>
  <c r="AH441" i="2"/>
  <c r="AH442" i="2"/>
  <c r="AH443" i="2"/>
  <c r="AH444" i="2"/>
  <c r="AH445" i="2"/>
  <c r="AH446" i="2"/>
  <c r="AH447" i="2"/>
  <c r="AH448" i="2"/>
  <c r="AH449" i="2"/>
  <c r="AH450" i="2"/>
  <c r="AH451" i="2"/>
  <c r="AH452" i="2"/>
  <c r="AH453" i="2"/>
  <c r="AH454" i="2"/>
  <c r="AH455" i="2"/>
  <c r="AH456" i="2"/>
  <c r="AH457" i="2"/>
  <c r="AH458" i="2"/>
  <c r="AH459" i="2"/>
  <c r="AH460" i="2"/>
  <c r="AH461" i="2"/>
  <c r="AH462" i="2"/>
  <c r="AH463" i="2"/>
  <c r="AH464" i="2"/>
  <c r="AH465" i="2"/>
  <c r="AH466" i="2"/>
  <c r="AH467" i="2"/>
  <c r="AH468" i="2"/>
  <c r="AH469" i="2"/>
  <c r="AH470" i="2"/>
  <c r="AH471" i="2"/>
  <c r="AH472" i="2"/>
  <c r="AH473" i="2"/>
  <c r="AH474" i="2"/>
  <c r="AH475" i="2"/>
  <c r="AH476" i="2"/>
  <c r="AH477" i="2"/>
  <c r="AH478" i="2"/>
  <c r="AH479" i="2"/>
  <c r="AH480" i="2"/>
  <c r="AH481" i="2"/>
  <c r="AH482" i="2"/>
  <c r="AH483" i="2"/>
  <c r="AH484" i="2"/>
  <c r="AH485" i="2"/>
  <c r="AH486" i="2"/>
  <c r="AH487" i="2"/>
  <c r="AH488" i="2"/>
  <c r="AH489" i="2"/>
  <c r="AH490" i="2"/>
  <c r="AH491" i="2"/>
  <c r="AH492" i="2"/>
  <c r="AH493" i="2"/>
  <c r="AH494" i="2"/>
  <c r="AH495" i="2"/>
  <c r="AH496" i="2"/>
  <c r="AH497" i="2"/>
  <c r="AH498" i="2"/>
  <c r="AH499" i="2"/>
  <c r="AH500" i="2"/>
  <c r="AH501" i="2"/>
  <c r="AH502" i="2"/>
  <c r="AH503" i="2"/>
  <c r="AH504" i="2"/>
  <c r="AH505" i="2"/>
  <c r="AH506" i="2"/>
  <c r="AH507" i="2"/>
  <c r="AH508" i="2"/>
  <c r="AH509" i="2"/>
  <c r="AH510" i="2"/>
  <c r="AH511" i="2"/>
  <c r="AH512" i="2"/>
  <c r="AH513" i="2"/>
  <c r="AH514" i="2"/>
  <c r="AH515" i="2"/>
  <c r="AI408" i="2"/>
  <c r="AI409" i="2"/>
  <c r="AI410" i="2"/>
  <c r="AI411" i="2"/>
  <c r="AI412" i="2"/>
  <c r="AI413" i="2"/>
  <c r="AI414" i="2"/>
  <c r="AI415" i="2"/>
  <c r="AI416" i="2"/>
  <c r="AI417" i="2"/>
  <c r="AI418" i="2"/>
  <c r="AI419" i="2"/>
  <c r="AI420" i="2"/>
  <c r="AI421" i="2"/>
  <c r="AI422" i="2"/>
  <c r="AI423" i="2"/>
  <c r="AI424" i="2"/>
  <c r="AI425" i="2"/>
  <c r="AI426" i="2"/>
  <c r="AI427" i="2"/>
  <c r="AI428" i="2"/>
  <c r="AI429" i="2"/>
  <c r="AI430" i="2"/>
  <c r="AI431" i="2"/>
  <c r="AI432" i="2"/>
  <c r="AI433" i="2"/>
  <c r="AI434" i="2"/>
  <c r="AI435" i="2"/>
  <c r="AI436" i="2"/>
  <c r="AI437" i="2"/>
  <c r="AI438" i="2"/>
  <c r="AI439" i="2"/>
  <c r="AI440" i="2"/>
  <c r="AI441" i="2"/>
  <c r="AI442" i="2"/>
  <c r="AI443" i="2"/>
  <c r="AI444" i="2"/>
  <c r="AI445" i="2"/>
  <c r="AI446" i="2"/>
  <c r="AI447" i="2"/>
  <c r="AI448" i="2"/>
  <c r="AI449" i="2"/>
  <c r="AI450" i="2"/>
  <c r="AI451" i="2"/>
  <c r="AI452" i="2"/>
  <c r="AI453" i="2"/>
  <c r="AI454" i="2"/>
  <c r="AI455" i="2"/>
  <c r="AI456" i="2"/>
  <c r="AI457" i="2"/>
  <c r="AI458" i="2"/>
  <c r="AI459" i="2"/>
  <c r="AI460" i="2"/>
  <c r="AI461" i="2"/>
  <c r="AI462" i="2"/>
  <c r="AI463" i="2"/>
  <c r="AI464" i="2"/>
  <c r="AI465" i="2"/>
  <c r="AI466" i="2"/>
  <c r="AI467" i="2"/>
  <c r="AI468" i="2"/>
  <c r="AI469" i="2"/>
  <c r="AI470" i="2"/>
  <c r="AI471" i="2"/>
  <c r="AI472" i="2"/>
  <c r="AI473" i="2"/>
  <c r="AI474" i="2"/>
  <c r="AI475" i="2"/>
  <c r="AI476" i="2"/>
  <c r="AI477" i="2"/>
  <c r="AI478" i="2"/>
  <c r="AI479" i="2"/>
  <c r="AI480" i="2"/>
  <c r="AI481" i="2"/>
  <c r="AI482" i="2"/>
  <c r="AI483" i="2"/>
  <c r="AI484" i="2"/>
  <c r="AI485" i="2"/>
  <c r="AI486" i="2"/>
  <c r="AI487" i="2"/>
  <c r="AI488" i="2"/>
  <c r="AI489" i="2"/>
  <c r="AI490" i="2"/>
  <c r="AI491" i="2"/>
  <c r="AI492" i="2"/>
  <c r="AI493" i="2"/>
  <c r="AI494" i="2"/>
  <c r="AI495" i="2"/>
  <c r="AI496" i="2"/>
  <c r="AI497" i="2"/>
  <c r="AI498" i="2"/>
  <c r="AI499" i="2"/>
  <c r="AI500" i="2"/>
  <c r="AI501" i="2"/>
  <c r="AI502" i="2"/>
  <c r="AI503" i="2"/>
  <c r="AI504" i="2"/>
  <c r="AI505" i="2"/>
  <c r="AI506" i="2"/>
  <c r="AI507" i="2"/>
  <c r="AI508" i="2"/>
  <c r="AI509" i="2"/>
  <c r="AI510" i="2"/>
  <c r="AI511" i="2"/>
  <c r="AI512" i="2"/>
  <c r="AI513" i="2"/>
  <c r="AI514" i="2"/>
  <c r="AI515" i="2"/>
  <c r="AJ408" i="2"/>
  <c r="AJ409" i="2"/>
  <c r="AJ410" i="2"/>
  <c r="AJ411" i="2"/>
  <c r="AJ412" i="2"/>
  <c r="AJ413" i="2"/>
  <c r="AJ414" i="2"/>
  <c r="AJ415" i="2"/>
  <c r="AJ416" i="2"/>
  <c r="AJ417" i="2"/>
  <c r="AJ418" i="2"/>
  <c r="AJ419" i="2"/>
  <c r="AJ420" i="2"/>
  <c r="AJ421" i="2"/>
  <c r="AJ422" i="2"/>
  <c r="AJ423" i="2"/>
  <c r="AJ424" i="2"/>
  <c r="AJ425" i="2"/>
  <c r="AJ426" i="2"/>
  <c r="AJ427" i="2"/>
  <c r="AJ428" i="2"/>
  <c r="AJ429" i="2"/>
  <c r="AJ430" i="2"/>
  <c r="AJ431" i="2"/>
  <c r="AJ432" i="2"/>
  <c r="AJ433" i="2"/>
  <c r="AJ434" i="2"/>
  <c r="AJ435" i="2"/>
  <c r="AJ436" i="2"/>
  <c r="AJ437" i="2"/>
  <c r="AJ438" i="2"/>
  <c r="AJ439" i="2"/>
  <c r="AJ440" i="2"/>
  <c r="AJ441" i="2"/>
  <c r="AJ442" i="2"/>
  <c r="AJ443" i="2"/>
  <c r="AJ444" i="2"/>
  <c r="AJ445" i="2"/>
  <c r="AJ446" i="2"/>
  <c r="AJ447" i="2"/>
  <c r="AJ448" i="2"/>
  <c r="AJ449" i="2"/>
  <c r="AJ450" i="2"/>
  <c r="AJ451" i="2"/>
  <c r="AJ452" i="2"/>
  <c r="AJ453" i="2"/>
  <c r="AJ454" i="2"/>
  <c r="AJ455" i="2"/>
  <c r="AJ456" i="2"/>
  <c r="AJ457" i="2"/>
  <c r="AJ458" i="2"/>
  <c r="AJ459" i="2"/>
  <c r="AJ460" i="2"/>
  <c r="AJ461" i="2"/>
  <c r="AJ462" i="2"/>
  <c r="AJ463" i="2"/>
  <c r="AJ464" i="2"/>
  <c r="AJ465" i="2"/>
  <c r="AJ466" i="2"/>
  <c r="AJ467" i="2"/>
  <c r="AJ468" i="2"/>
  <c r="AJ469" i="2"/>
  <c r="AJ470" i="2"/>
  <c r="AJ471" i="2"/>
  <c r="AJ472" i="2"/>
  <c r="AJ473" i="2"/>
  <c r="AJ474" i="2"/>
  <c r="AJ475" i="2"/>
  <c r="AJ476" i="2"/>
  <c r="AJ477" i="2"/>
  <c r="AJ478" i="2"/>
  <c r="AJ479" i="2"/>
  <c r="AJ480" i="2"/>
  <c r="AJ481" i="2"/>
  <c r="AJ482" i="2"/>
  <c r="AJ483" i="2"/>
  <c r="AJ484" i="2"/>
  <c r="AJ485" i="2"/>
  <c r="AJ486" i="2"/>
  <c r="AJ487" i="2"/>
  <c r="AJ488" i="2"/>
  <c r="AJ489" i="2"/>
  <c r="AJ490" i="2"/>
  <c r="AJ491" i="2"/>
  <c r="AJ492" i="2"/>
  <c r="AJ493" i="2"/>
  <c r="AJ494" i="2"/>
  <c r="AJ495" i="2"/>
  <c r="AJ496" i="2"/>
  <c r="AJ497" i="2"/>
  <c r="AJ498" i="2"/>
  <c r="AJ499" i="2"/>
  <c r="AJ500" i="2"/>
  <c r="AJ501" i="2"/>
  <c r="AJ502" i="2"/>
  <c r="AJ503" i="2"/>
  <c r="AJ504" i="2"/>
  <c r="AJ505" i="2"/>
  <c r="AJ506" i="2"/>
  <c r="AJ507" i="2"/>
  <c r="AJ508" i="2"/>
  <c r="AJ509" i="2"/>
  <c r="AJ510" i="2"/>
  <c r="AJ511" i="2"/>
  <c r="AJ512" i="2"/>
  <c r="AJ513" i="2"/>
  <c r="AJ514" i="2"/>
  <c r="AJ515" i="2"/>
  <c r="AK408" i="2"/>
  <c r="AK409" i="2"/>
  <c r="AK410" i="2"/>
  <c r="AK411" i="2"/>
  <c r="AK412" i="2"/>
  <c r="AK413" i="2"/>
  <c r="AK414" i="2"/>
  <c r="AK415" i="2"/>
  <c r="AK416" i="2"/>
  <c r="AK417" i="2"/>
  <c r="AK418" i="2"/>
  <c r="AK419" i="2"/>
  <c r="AK420" i="2"/>
  <c r="AK421" i="2"/>
  <c r="AK422" i="2"/>
  <c r="AK423" i="2"/>
  <c r="AK424" i="2"/>
  <c r="AK425" i="2"/>
  <c r="AK426" i="2"/>
  <c r="AK427" i="2"/>
  <c r="AK428" i="2"/>
  <c r="AK429" i="2"/>
  <c r="AK430" i="2"/>
  <c r="AK431" i="2"/>
  <c r="AK432" i="2"/>
  <c r="AK433" i="2"/>
  <c r="AK434" i="2"/>
  <c r="AK435" i="2"/>
  <c r="AK436" i="2"/>
  <c r="AK437" i="2"/>
  <c r="AK438" i="2"/>
  <c r="AK439" i="2"/>
  <c r="AK440" i="2"/>
  <c r="AK441" i="2"/>
  <c r="AK442" i="2"/>
  <c r="AK443" i="2"/>
  <c r="AK444" i="2"/>
  <c r="AK445" i="2"/>
  <c r="AK446" i="2"/>
  <c r="AK447" i="2"/>
  <c r="AK448" i="2"/>
  <c r="AK449" i="2"/>
  <c r="AK450" i="2"/>
  <c r="AK451" i="2"/>
  <c r="AK452" i="2"/>
  <c r="AK453" i="2"/>
  <c r="AK454" i="2"/>
  <c r="AK455" i="2"/>
  <c r="AK456" i="2"/>
  <c r="AK457" i="2"/>
  <c r="AK458" i="2"/>
  <c r="AK459" i="2"/>
  <c r="AK460" i="2"/>
  <c r="AK461" i="2"/>
  <c r="AK462" i="2"/>
  <c r="AK463" i="2"/>
  <c r="AK464" i="2"/>
  <c r="AK465" i="2"/>
  <c r="AK466" i="2"/>
  <c r="AK467" i="2"/>
  <c r="AK468" i="2"/>
  <c r="AK469" i="2"/>
  <c r="AK470" i="2"/>
  <c r="AK471" i="2"/>
  <c r="AK472" i="2"/>
  <c r="AK473" i="2"/>
  <c r="AK474" i="2"/>
  <c r="AK475" i="2"/>
  <c r="AK476" i="2"/>
  <c r="AK477" i="2"/>
  <c r="AK478" i="2"/>
  <c r="AK479" i="2"/>
  <c r="AK480" i="2"/>
  <c r="AK481" i="2"/>
  <c r="AK482" i="2"/>
  <c r="AK483" i="2"/>
  <c r="AK484" i="2"/>
  <c r="AK485" i="2"/>
  <c r="AK486" i="2"/>
  <c r="AK487" i="2"/>
  <c r="AK488" i="2"/>
  <c r="AK489" i="2"/>
  <c r="AK490" i="2"/>
  <c r="AK491" i="2"/>
  <c r="AK492" i="2"/>
  <c r="AK493" i="2"/>
  <c r="AK494" i="2"/>
  <c r="AK495" i="2"/>
  <c r="AK496" i="2"/>
  <c r="AK497" i="2"/>
  <c r="AK498" i="2"/>
  <c r="AK499" i="2"/>
  <c r="AK500" i="2"/>
  <c r="AK501" i="2"/>
  <c r="AK502" i="2"/>
  <c r="AK503" i="2"/>
  <c r="AK504" i="2"/>
  <c r="AK505" i="2"/>
  <c r="AK506" i="2"/>
  <c r="AK507" i="2"/>
  <c r="AK508" i="2"/>
  <c r="AK509" i="2"/>
  <c r="AK510" i="2"/>
  <c r="AK511" i="2"/>
  <c r="AK512" i="2"/>
  <c r="AK513" i="2"/>
  <c r="AK514" i="2"/>
  <c r="AK515" i="2"/>
  <c r="AL408" i="2"/>
  <c r="AL409" i="2"/>
  <c r="AL410" i="2"/>
  <c r="AL411" i="2"/>
  <c r="AL412" i="2"/>
  <c r="AL413" i="2"/>
  <c r="AL414" i="2"/>
  <c r="AL415" i="2"/>
  <c r="AL416" i="2"/>
  <c r="AL417" i="2"/>
  <c r="AL418" i="2"/>
  <c r="AL419" i="2"/>
  <c r="AL420" i="2"/>
  <c r="AL421" i="2"/>
  <c r="AL422" i="2"/>
  <c r="AL423" i="2"/>
  <c r="AL424" i="2"/>
  <c r="AL425" i="2"/>
  <c r="AL426" i="2"/>
  <c r="AL427" i="2"/>
  <c r="AL428" i="2"/>
  <c r="AL429" i="2"/>
  <c r="AL430" i="2"/>
  <c r="AL431" i="2"/>
  <c r="AL432" i="2"/>
  <c r="AL433" i="2"/>
  <c r="AL434" i="2"/>
  <c r="AL435" i="2"/>
  <c r="AL436" i="2"/>
  <c r="AL437" i="2"/>
  <c r="AL438" i="2"/>
  <c r="AL439" i="2"/>
  <c r="AL440" i="2"/>
  <c r="AL441" i="2"/>
  <c r="AL442" i="2"/>
  <c r="AL443" i="2"/>
  <c r="AL444" i="2"/>
  <c r="AL445" i="2"/>
  <c r="AL446" i="2"/>
  <c r="AL447" i="2"/>
  <c r="AL448" i="2"/>
  <c r="AL449" i="2"/>
  <c r="AL450" i="2"/>
  <c r="AL451" i="2"/>
  <c r="AL452" i="2"/>
  <c r="AL453" i="2"/>
  <c r="AL454" i="2"/>
  <c r="AL455" i="2"/>
  <c r="AL456" i="2"/>
  <c r="AL457" i="2"/>
  <c r="AL458" i="2"/>
  <c r="AL459" i="2"/>
  <c r="AL460" i="2"/>
  <c r="AL461" i="2"/>
  <c r="AL462" i="2"/>
  <c r="AL463" i="2"/>
  <c r="AL464" i="2"/>
  <c r="AL465" i="2"/>
  <c r="AL466" i="2"/>
  <c r="AL467" i="2"/>
  <c r="AL468" i="2"/>
  <c r="AL469" i="2"/>
  <c r="AL470" i="2"/>
  <c r="AL471" i="2"/>
  <c r="AL472" i="2"/>
  <c r="AL473" i="2"/>
  <c r="AL474" i="2"/>
  <c r="AL475" i="2"/>
  <c r="AL476" i="2"/>
  <c r="AL477" i="2"/>
  <c r="AL478" i="2"/>
  <c r="AL479" i="2"/>
  <c r="AL480" i="2"/>
  <c r="AL481" i="2"/>
  <c r="AL482" i="2"/>
  <c r="AL483" i="2"/>
  <c r="AL484" i="2"/>
  <c r="AL485" i="2"/>
  <c r="AL486" i="2"/>
  <c r="AL487" i="2"/>
  <c r="AL488" i="2"/>
  <c r="AL489" i="2"/>
  <c r="AL490" i="2"/>
  <c r="AL491" i="2"/>
  <c r="AL492" i="2"/>
  <c r="AL493" i="2"/>
  <c r="AL494" i="2"/>
  <c r="AL495" i="2"/>
  <c r="AL496" i="2"/>
  <c r="AL497" i="2"/>
  <c r="AL498" i="2"/>
  <c r="AL499" i="2"/>
  <c r="AL500" i="2"/>
  <c r="AL501" i="2"/>
  <c r="AL502" i="2"/>
  <c r="AL503" i="2"/>
  <c r="AL504" i="2"/>
  <c r="AL505" i="2"/>
  <c r="AL506" i="2"/>
  <c r="AL507" i="2"/>
  <c r="AL508" i="2"/>
  <c r="AL509" i="2"/>
  <c r="AL510" i="2"/>
  <c r="AL511" i="2"/>
  <c r="AL512" i="2"/>
  <c r="AL513" i="2"/>
  <c r="AL514" i="2"/>
  <c r="AL515" i="2"/>
  <c r="E30" i="3"/>
  <c r="D30" i="3"/>
  <c r="F30" i="3" s="1"/>
  <c r="C30" i="3"/>
  <c r="B30" i="3"/>
  <c r="E37" i="3"/>
  <c r="D37" i="3"/>
  <c r="F37" i="3" s="1"/>
  <c r="C37" i="3"/>
  <c r="B37" i="3"/>
  <c r="C318" i="2"/>
  <c r="Y318" i="2" s="1"/>
  <c r="C319" i="2"/>
  <c r="Y319" i="2" s="1"/>
  <c r="C320" i="2"/>
  <c r="Y320" i="2" s="1"/>
  <c r="C321" i="2"/>
  <c r="Y321" i="2" s="1"/>
  <c r="C322" i="2"/>
  <c r="Y322" i="2" s="1"/>
  <c r="C323" i="2"/>
  <c r="Y323" i="2" s="1"/>
  <c r="C324" i="2"/>
  <c r="Y324" i="2" s="1"/>
  <c r="C325" i="2"/>
  <c r="Y325" i="2" s="1"/>
  <c r="C326" i="2"/>
  <c r="Y326" i="2" s="1"/>
  <c r="C327" i="2"/>
  <c r="Y327" i="2" s="1"/>
  <c r="C328" i="2"/>
  <c r="Y328" i="2" s="1"/>
  <c r="C329" i="2"/>
  <c r="Y329" i="2" s="1"/>
  <c r="C330" i="2"/>
  <c r="Y330" i="2" s="1"/>
  <c r="C331" i="2"/>
  <c r="Y331" i="2" s="1"/>
  <c r="C332" i="2"/>
  <c r="Y332" i="2" s="1"/>
  <c r="C333" i="2"/>
  <c r="Y333" i="2" s="1"/>
  <c r="C334" i="2"/>
  <c r="Y334" i="2" s="1"/>
  <c r="C335" i="2"/>
  <c r="Y335" i="2" s="1"/>
  <c r="C336" i="2"/>
  <c r="Y336" i="2" s="1"/>
  <c r="C337" i="2"/>
  <c r="Y337" i="2" s="1"/>
  <c r="C338" i="2"/>
  <c r="Y338" i="2" s="1"/>
  <c r="C339" i="2"/>
  <c r="Y339" i="2" s="1"/>
  <c r="C340" i="2"/>
  <c r="Y340" i="2" s="1"/>
  <c r="C341" i="2"/>
  <c r="Y341" i="2" s="1"/>
  <c r="C342" i="2"/>
  <c r="Y342" i="2" s="1"/>
  <c r="C343" i="2"/>
  <c r="Y343" i="2" s="1"/>
  <c r="C344" i="2"/>
  <c r="Y344" i="2" s="1"/>
  <c r="C345" i="2"/>
  <c r="Y345" i="2" s="1"/>
  <c r="C346" i="2"/>
  <c r="Y346" i="2" s="1"/>
  <c r="C347" i="2"/>
  <c r="Y347" i="2" s="1"/>
  <c r="C348" i="2"/>
  <c r="Y348" i="2" s="1"/>
  <c r="C349" i="2"/>
  <c r="Y349" i="2" s="1"/>
  <c r="C350" i="2"/>
  <c r="Y350" i="2" s="1"/>
  <c r="C351" i="2"/>
  <c r="Y351" i="2" s="1"/>
  <c r="C352" i="2"/>
  <c r="Y352" i="2" s="1"/>
  <c r="C353" i="2"/>
  <c r="Y353" i="2" s="1"/>
  <c r="C354" i="2"/>
  <c r="Y354" i="2" s="1"/>
  <c r="C355" i="2"/>
  <c r="Y355" i="2" s="1"/>
  <c r="C356" i="2"/>
  <c r="Y356" i="2" s="1"/>
  <c r="C357" i="2"/>
  <c r="Y357" i="2" s="1"/>
  <c r="C358" i="2"/>
  <c r="Y358" i="2" s="1"/>
  <c r="C359" i="2"/>
  <c r="Y359" i="2" s="1"/>
  <c r="C360" i="2"/>
  <c r="Y360" i="2" s="1"/>
  <c r="C361" i="2"/>
  <c r="Y361" i="2" s="1"/>
  <c r="C362" i="2"/>
  <c r="Y362" i="2" s="1"/>
  <c r="C363" i="2"/>
  <c r="Y363" i="2" s="1"/>
  <c r="C364" i="2"/>
  <c r="Y364" i="2" s="1"/>
  <c r="C365" i="2"/>
  <c r="Y365" i="2" s="1"/>
  <c r="C366" i="2"/>
  <c r="Y366" i="2" s="1"/>
  <c r="C367" i="2"/>
  <c r="Y367" i="2" s="1"/>
  <c r="C368" i="2"/>
  <c r="Y368" i="2" s="1"/>
  <c r="C369" i="2"/>
  <c r="Y369" i="2" s="1"/>
  <c r="C370" i="2"/>
  <c r="Y370" i="2" s="1"/>
  <c r="C371" i="2"/>
  <c r="Y371" i="2" s="1"/>
  <c r="C372" i="2"/>
  <c r="Y372" i="2" s="1"/>
  <c r="C373" i="2"/>
  <c r="Y373" i="2" s="1"/>
  <c r="C374" i="2"/>
  <c r="Y374" i="2" s="1"/>
  <c r="C375" i="2"/>
  <c r="Y375" i="2" s="1"/>
  <c r="C376" i="2"/>
  <c r="Y376" i="2" s="1"/>
  <c r="C377" i="2"/>
  <c r="Y377" i="2" s="1"/>
  <c r="C378" i="2"/>
  <c r="Y378" i="2" s="1"/>
  <c r="C379" i="2"/>
  <c r="Y379" i="2" s="1"/>
  <c r="C380" i="2"/>
  <c r="Y380" i="2" s="1"/>
  <c r="C381" i="2"/>
  <c r="Y381" i="2" s="1"/>
  <c r="C382" i="2"/>
  <c r="Y382" i="2" s="1"/>
  <c r="C383" i="2"/>
  <c r="Y383" i="2" s="1"/>
  <c r="C384" i="2"/>
  <c r="Y384" i="2" s="1"/>
  <c r="C385" i="2"/>
  <c r="Y385" i="2" s="1"/>
  <c r="C386" i="2"/>
  <c r="Y386" i="2" s="1"/>
  <c r="C387" i="2"/>
  <c r="Y387" i="2" s="1"/>
  <c r="C388" i="2"/>
  <c r="Y388" i="2" s="1"/>
  <c r="C389" i="2"/>
  <c r="Y389" i="2" s="1"/>
  <c r="C390" i="2"/>
  <c r="Y390" i="2" s="1"/>
  <c r="C391" i="2"/>
  <c r="Y391" i="2" s="1"/>
  <c r="C392" i="2"/>
  <c r="Y392" i="2" s="1"/>
  <c r="C393" i="2"/>
  <c r="Y393" i="2" s="1"/>
  <c r="C394" i="2"/>
  <c r="Y394" i="2" s="1"/>
  <c r="C395" i="2"/>
  <c r="Y395" i="2" s="1"/>
  <c r="C396" i="2"/>
  <c r="Y396" i="2" s="1"/>
  <c r="C397" i="2"/>
  <c r="Y397" i="2" s="1"/>
  <c r="C398" i="2"/>
  <c r="Y398" i="2" s="1"/>
  <c r="C399" i="2"/>
  <c r="Y399" i="2" s="1"/>
  <c r="C400" i="2"/>
  <c r="Y400" i="2" s="1"/>
  <c r="C401" i="2"/>
  <c r="Y401" i="2" s="1"/>
  <c r="C402" i="2"/>
  <c r="Y402" i="2" s="1"/>
  <c r="C403" i="2"/>
  <c r="Y403" i="2" s="1"/>
  <c r="C404" i="2"/>
  <c r="Y404" i="2" s="1"/>
  <c r="C405" i="2"/>
  <c r="Y405" i="2" s="1"/>
  <c r="C406" i="2"/>
  <c r="Y406" i="2" s="1"/>
  <c r="C407" i="2"/>
  <c r="Y407" i="2" s="1"/>
  <c r="I318" i="2" a="1"/>
  <c r="I319" i="2" a="1"/>
  <c r="I320" i="2" a="1"/>
  <c r="I321" i="2" a="1"/>
  <c r="I322" i="2" a="1"/>
  <c r="I323" i="2" a="1"/>
  <c r="I324" i="2" a="1"/>
  <c r="I325" i="2" a="1"/>
  <c r="I326" i="2" a="1"/>
  <c r="I327" i="2" a="1"/>
  <c r="I328" i="2" a="1"/>
  <c r="I329" i="2" a="1"/>
  <c r="I330" i="2" a="1"/>
  <c r="I331" i="2" a="1"/>
  <c r="I332" i="2" a="1"/>
  <c r="I333" i="2" a="1"/>
  <c r="I334" i="2" a="1"/>
  <c r="I335" i="2" a="1"/>
  <c r="I336" i="2" a="1"/>
  <c r="I337" i="2" a="1"/>
  <c r="I338" i="2" a="1"/>
  <c r="I339" i="2" a="1"/>
  <c r="I340" i="2" a="1"/>
  <c r="I341" i="2" a="1"/>
  <c r="I342" i="2" a="1"/>
  <c r="I343" i="2" a="1"/>
  <c r="I344" i="2" a="1"/>
  <c r="I345" i="2" a="1"/>
  <c r="I346" i="2" a="1"/>
  <c r="I347" i="2" a="1"/>
  <c r="I348" i="2" a="1"/>
  <c r="I349" i="2" a="1"/>
  <c r="I350" i="2" a="1"/>
  <c r="I351" i="2" a="1"/>
  <c r="I352" i="2" a="1"/>
  <c r="I353" i="2" a="1"/>
  <c r="I354" i="2" a="1"/>
  <c r="I355" i="2" a="1"/>
  <c r="I356" i="2" a="1"/>
  <c r="I357" i="2" a="1"/>
  <c r="I358" i="2" a="1"/>
  <c r="I359" i="2" a="1"/>
  <c r="I360" i="2" a="1"/>
  <c r="I361" i="2" a="1"/>
  <c r="I362" i="2" a="1"/>
  <c r="I363" i="2" a="1"/>
  <c r="I364" i="2" a="1"/>
  <c r="I365" i="2" a="1"/>
  <c r="I366" i="2" a="1"/>
  <c r="I367" i="2" a="1"/>
  <c r="I368" i="2" a="1"/>
  <c r="I369" i="2" a="1"/>
  <c r="I370" i="2" a="1"/>
  <c r="I371" i="2" a="1"/>
  <c r="I372" i="2" a="1"/>
  <c r="I373" i="2" a="1"/>
  <c r="I374" i="2" a="1"/>
  <c r="I375" i="2" a="1"/>
  <c r="I376" i="2" a="1"/>
  <c r="I377" i="2" a="1"/>
  <c r="I378" i="2" a="1"/>
  <c r="I379" i="2" a="1"/>
  <c r="I380" i="2" a="1"/>
  <c r="I381" i="2" a="1"/>
  <c r="I382" i="2" a="1"/>
  <c r="I383" i="2" a="1"/>
  <c r="I384" i="2" a="1"/>
  <c r="I385" i="2" a="1"/>
  <c r="I386" i="2" a="1"/>
  <c r="I387" i="2" a="1"/>
  <c r="I388" i="2" a="1"/>
  <c r="I389" i="2" a="1"/>
  <c r="I390" i="2" a="1"/>
  <c r="I391" i="2" a="1"/>
  <c r="I392" i="2" a="1"/>
  <c r="I393" i="2" a="1"/>
  <c r="I394" i="2" a="1"/>
  <c r="I395" i="2" a="1"/>
  <c r="I396" i="2" a="1"/>
  <c r="I397" i="2" a="1"/>
  <c r="I398" i="2" a="1"/>
  <c r="I399" i="2" a="1"/>
  <c r="I400" i="2" a="1"/>
  <c r="I401" i="2" a="1"/>
  <c r="I402" i="2" a="1"/>
  <c r="I403" i="2" a="1"/>
  <c r="I404" i="2" a="1"/>
  <c r="I405" i="2" a="1"/>
  <c r="I406" i="2" a="1"/>
  <c r="I407" i="2" a="1"/>
  <c r="J318" i="2" a="1"/>
  <c r="J319" i="2" a="1"/>
  <c r="J320" i="2" a="1"/>
  <c r="J321" i="2" a="1"/>
  <c r="J322" i="2" a="1"/>
  <c r="J323" i="2" a="1"/>
  <c r="J324" i="2" a="1"/>
  <c r="J325" i="2" a="1"/>
  <c r="L325" i="2" s="1"/>
  <c r="N325" i="2" s="1"/>
  <c r="J326" i="2" a="1"/>
  <c r="L326" i="2" s="1"/>
  <c r="N326" i="2" s="1"/>
  <c r="J327" i="2" a="1"/>
  <c r="L327" i="2" s="1"/>
  <c r="N327" i="2" s="1"/>
  <c r="J328" i="2" a="1"/>
  <c r="L328" i="2" s="1"/>
  <c r="N328" i="2" s="1"/>
  <c r="J329" i="2" a="1"/>
  <c r="L329" i="2" s="1"/>
  <c r="N329" i="2" s="1"/>
  <c r="J330" i="2" a="1"/>
  <c r="L330" i="2" s="1"/>
  <c r="N330" i="2" s="1"/>
  <c r="J331" i="2" a="1"/>
  <c r="L331" i="2" s="1"/>
  <c r="N331" i="2" s="1"/>
  <c r="J332" i="2" a="1"/>
  <c r="L332" i="2" s="1"/>
  <c r="N332" i="2" s="1"/>
  <c r="J333" i="2" a="1"/>
  <c r="L333" i="2" s="1"/>
  <c r="N333" i="2" s="1"/>
  <c r="J334" i="2" a="1"/>
  <c r="L334" i="2" s="1"/>
  <c r="N334" i="2" s="1"/>
  <c r="J335" i="2" a="1"/>
  <c r="L335" i="2" s="1"/>
  <c r="N335" i="2" s="1"/>
  <c r="J336" i="2" a="1"/>
  <c r="L336" i="2" s="1"/>
  <c r="N336" i="2" s="1"/>
  <c r="J337" i="2" a="1"/>
  <c r="L337" i="2" s="1"/>
  <c r="N337" i="2" s="1"/>
  <c r="J338" i="2" a="1"/>
  <c r="L338" i="2" s="1"/>
  <c r="N338" i="2" s="1"/>
  <c r="J339" i="2" a="1"/>
  <c r="L339" i="2" s="1"/>
  <c r="N339" i="2" s="1"/>
  <c r="J340" i="2" a="1"/>
  <c r="L340" i="2" s="1"/>
  <c r="N340" i="2" s="1"/>
  <c r="J341" i="2" a="1"/>
  <c r="L341" i="2" s="1"/>
  <c r="N341" i="2" s="1"/>
  <c r="J342" i="2" a="1"/>
  <c r="L342" i="2" s="1"/>
  <c r="N342" i="2" s="1"/>
  <c r="J343" i="2" a="1"/>
  <c r="L343" i="2" s="1"/>
  <c r="N343" i="2" s="1"/>
  <c r="J344" i="2" a="1"/>
  <c r="L344" i="2" s="1"/>
  <c r="N344" i="2" s="1"/>
  <c r="J345" i="2" a="1"/>
  <c r="J346" i="2" a="1"/>
  <c r="J347" i="2" a="1"/>
  <c r="J348" i="2" a="1"/>
  <c r="J349" i="2" a="1"/>
  <c r="J350" i="2" a="1"/>
  <c r="J351" i="2" a="1"/>
  <c r="J352" i="2" a="1"/>
  <c r="J353" i="2" a="1"/>
  <c r="J354" i="2" a="1"/>
  <c r="J355" i="2" a="1"/>
  <c r="J356" i="2" a="1"/>
  <c r="J357" i="2" a="1"/>
  <c r="J358" i="2" a="1"/>
  <c r="J359" i="2" a="1"/>
  <c r="J360" i="2" a="1"/>
  <c r="J361" i="2" a="1"/>
  <c r="J362" i="2" a="1"/>
  <c r="J363" i="2" a="1"/>
  <c r="J364" i="2" a="1"/>
  <c r="J365" i="2" a="1"/>
  <c r="J366" i="2" a="1"/>
  <c r="J367" i="2" a="1"/>
  <c r="J368" i="2" a="1"/>
  <c r="J369" i="2" a="1"/>
  <c r="J370" i="2" a="1"/>
  <c r="J371" i="2" a="1"/>
  <c r="J372" i="2" a="1"/>
  <c r="J373" i="2" a="1"/>
  <c r="J374" i="2" a="1"/>
  <c r="J375" i="2" a="1"/>
  <c r="J376" i="2" a="1"/>
  <c r="J377" i="2" a="1"/>
  <c r="J378" i="2" a="1"/>
  <c r="J379" i="2" a="1"/>
  <c r="J380" i="2" a="1"/>
  <c r="J381" i="2" a="1"/>
  <c r="J382" i="2" a="1"/>
  <c r="J383" i="2" a="1"/>
  <c r="J384" i="2" a="1"/>
  <c r="J385" i="2" a="1"/>
  <c r="J386" i="2" a="1"/>
  <c r="J387" i="2" a="1"/>
  <c r="J388" i="2" a="1"/>
  <c r="J389" i="2" a="1"/>
  <c r="J390" i="2" a="1"/>
  <c r="J391" i="2" a="1"/>
  <c r="J392" i="2" a="1"/>
  <c r="J393" i="2" a="1"/>
  <c r="J394" i="2" a="1"/>
  <c r="J395" i="2" a="1"/>
  <c r="J396" i="2" a="1"/>
  <c r="J397" i="2" a="1"/>
  <c r="J398" i="2" a="1"/>
  <c r="J399" i="2" a="1"/>
  <c r="J400" i="2" a="1"/>
  <c r="J401" i="2" a="1"/>
  <c r="J402" i="2" a="1"/>
  <c r="J403" i="2" a="1"/>
  <c r="J404" i="2" a="1"/>
  <c r="J405" i="2" a="1"/>
  <c r="J406" i="2" a="1"/>
  <c r="J407" i="2" a="1"/>
  <c r="U318" i="2"/>
  <c r="U319" i="2"/>
  <c r="U320" i="2"/>
  <c r="U321" i="2"/>
  <c r="U322" i="2"/>
  <c r="U323" i="2"/>
  <c r="U324" i="2"/>
  <c r="U325" i="2"/>
  <c r="U326" i="2"/>
  <c r="U327" i="2"/>
  <c r="U328" i="2"/>
  <c r="U329" i="2"/>
  <c r="U330" i="2"/>
  <c r="U331" i="2"/>
  <c r="U332" i="2"/>
  <c r="U333" i="2"/>
  <c r="U334" i="2"/>
  <c r="U335" i="2"/>
  <c r="U336" i="2"/>
  <c r="U337" i="2"/>
  <c r="U338" i="2"/>
  <c r="U339" i="2"/>
  <c r="U340" i="2"/>
  <c r="U341" i="2"/>
  <c r="U342" i="2"/>
  <c r="U343" i="2"/>
  <c r="U344" i="2"/>
  <c r="U345" i="2"/>
  <c r="U346" i="2"/>
  <c r="U347" i="2"/>
  <c r="U348" i="2"/>
  <c r="U349" i="2"/>
  <c r="U350" i="2"/>
  <c r="U351" i="2"/>
  <c r="U352" i="2"/>
  <c r="U353" i="2"/>
  <c r="U354" i="2"/>
  <c r="U355" i="2"/>
  <c r="U356" i="2"/>
  <c r="U357" i="2"/>
  <c r="U358" i="2"/>
  <c r="U359" i="2"/>
  <c r="U360" i="2"/>
  <c r="U361" i="2"/>
  <c r="U362" i="2"/>
  <c r="U363" i="2"/>
  <c r="U364" i="2"/>
  <c r="U365" i="2"/>
  <c r="U366" i="2"/>
  <c r="U367" i="2"/>
  <c r="U368" i="2"/>
  <c r="U369" i="2"/>
  <c r="U370" i="2"/>
  <c r="U371" i="2"/>
  <c r="U372" i="2"/>
  <c r="U373" i="2"/>
  <c r="U374" i="2"/>
  <c r="U375" i="2"/>
  <c r="U376" i="2"/>
  <c r="U377" i="2"/>
  <c r="U378" i="2"/>
  <c r="U379" i="2"/>
  <c r="U380" i="2"/>
  <c r="U381" i="2"/>
  <c r="U382" i="2"/>
  <c r="U383" i="2"/>
  <c r="U384" i="2"/>
  <c r="U385" i="2"/>
  <c r="U386" i="2"/>
  <c r="U387" i="2"/>
  <c r="U388" i="2"/>
  <c r="U389" i="2"/>
  <c r="U390" i="2"/>
  <c r="U391" i="2"/>
  <c r="U392" i="2"/>
  <c r="U393" i="2"/>
  <c r="U394" i="2"/>
  <c r="U395" i="2"/>
  <c r="U396" i="2"/>
  <c r="U397" i="2"/>
  <c r="U398" i="2"/>
  <c r="U399" i="2"/>
  <c r="U400" i="2"/>
  <c r="U401" i="2"/>
  <c r="U402" i="2"/>
  <c r="U403" i="2"/>
  <c r="U404" i="2"/>
  <c r="U405" i="2"/>
  <c r="U406" i="2"/>
  <c r="U407" i="2"/>
  <c r="V318" i="2"/>
  <c r="V319" i="2"/>
  <c r="V320" i="2"/>
  <c r="V321" i="2"/>
  <c r="V322" i="2"/>
  <c r="V323" i="2"/>
  <c r="V324" i="2"/>
  <c r="V325" i="2"/>
  <c r="V326" i="2"/>
  <c r="V327" i="2"/>
  <c r="V328" i="2"/>
  <c r="V329" i="2"/>
  <c r="V330" i="2"/>
  <c r="V331" i="2"/>
  <c r="V332" i="2"/>
  <c r="V333" i="2"/>
  <c r="V334" i="2"/>
  <c r="V335" i="2"/>
  <c r="V336" i="2"/>
  <c r="V337" i="2"/>
  <c r="V338" i="2"/>
  <c r="V339" i="2"/>
  <c r="V340" i="2"/>
  <c r="V341" i="2"/>
  <c r="V342" i="2"/>
  <c r="V343" i="2"/>
  <c r="V344" i="2"/>
  <c r="V345" i="2"/>
  <c r="V346" i="2"/>
  <c r="V347" i="2"/>
  <c r="V348" i="2"/>
  <c r="V349" i="2"/>
  <c r="V350" i="2"/>
  <c r="V351" i="2"/>
  <c r="V352" i="2"/>
  <c r="V353" i="2"/>
  <c r="V354" i="2"/>
  <c r="V355" i="2"/>
  <c r="V356" i="2"/>
  <c r="V357" i="2"/>
  <c r="V358" i="2"/>
  <c r="V359" i="2"/>
  <c r="V360" i="2"/>
  <c r="V361" i="2"/>
  <c r="V362" i="2"/>
  <c r="V363" i="2"/>
  <c r="V364" i="2"/>
  <c r="V365" i="2"/>
  <c r="V366" i="2"/>
  <c r="V367" i="2"/>
  <c r="V368" i="2"/>
  <c r="V369" i="2"/>
  <c r="V370" i="2"/>
  <c r="V371" i="2"/>
  <c r="V372" i="2"/>
  <c r="V373" i="2"/>
  <c r="V374" i="2"/>
  <c r="V375" i="2"/>
  <c r="V376" i="2"/>
  <c r="V377" i="2"/>
  <c r="V378" i="2"/>
  <c r="V379" i="2"/>
  <c r="V380" i="2"/>
  <c r="V381" i="2"/>
  <c r="V382" i="2"/>
  <c r="V383" i="2"/>
  <c r="V384" i="2"/>
  <c r="V385" i="2"/>
  <c r="V386" i="2"/>
  <c r="AE386" i="2" s="1"/>
  <c r="V387" i="2"/>
  <c r="AE387" i="2" s="1"/>
  <c r="V388" i="2"/>
  <c r="AE388" i="2" s="1"/>
  <c r="V389" i="2"/>
  <c r="AE389" i="2" s="1"/>
  <c r="V390" i="2"/>
  <c r="V391" i="2"/>
  <c r="V392" i="2"/>
  <c r="V393" i="2"/>
  <c r="V394" i="2"/>
  <c r="V395" i="2"/>
  <c r="V396" i="2"/>
  <c r="V397" i="2"/>
  <c r="V398" i="2"/>
  <c r="V399" i="2"/>
  <c r="V400" i="2"/>
  <c r="V401" i="2"/>
  <c r="V402" i="2"/>
  <c r="V403" i="2"/>
  <c r="V404" i="2"/>
  <c r="V405" i="2"/>
  <c r="V406" i="2"/>
  <c r="V407" i="2"/>
  <c r="X318" i="2" a="1"/>
  <c r="X319" i="2" a="1"/>
  <c r="X320" i="2" a="1"/>
  <c r="X321" i="2" a="1"/>
  <c r="X322" i="2" a="1"/>
  <c r="X323" i="2" a="1"/>
  <c r="X324" i="2" a="1"/>
  <c r="X325" i="2" a="1"/>
  <c r="X326" i="2" a="1"/>
  <c r="X327" i="2" a="1"/>
  <c r="X328" i="2" a="1"/>
  <c r="X329" i="2" a="1"/>
  <c r="X330" i="2" a="1"/>
  <c r="X331" i="2" a="1"/>
  <c r="X332" i="2" a="1"/>
  <c r="X333" i="2" a="1"/>
  <c r="X334" i="2" a="1"/>
  <c r="X335" i="2" a="1"/>
  <c r="X336" i="2" a="1"/>
  <c r="X337" i="2" a="1"/>
  <c r="X338" i="2" a="1"/>
  <c r="X339" i="2" a="1"/>
  <c r="X340" i="2" a="1"/>
  <c r="X341" i="2" a="1"/>
  <c r="X342" i="2" a="1"/>
  <c r="X343" i="2" a="1"/>
  <c r="X344" i="2" a="1"/>
  <c r="X345" i="2" a="1"/>
  <c r="X346" i="2" a="1"/>
  <c r="X347" i="2" a="1"/>
  <c r="X348" i="2" a="1"/>
  <c r="X349" i="2" a="1"/>
  <c r="X350" i="2" a="1"/>
  <c r="X351" i="2" a="1"/>
  <c r="X352" i="2" a="1"/>
  <c r="X353" i="2" a="1"/>
  <c r="X354" i="2" a="1"/>
  <c r="X355" i="2" a="1"/>
  <c r="X356" i="2" a="1"/>
  <c r="X357" i="2" a="1"/>
  <c r="X358" i="2" a="1"/>
  <c r="X359" i="2" a="1"/>
  <c r="X360" i="2" a="1"/>
  <c r="X361" i="2" a="1"/>
  <c r="X362" i="2" a="1"/>
  <c r="X363" i="2" a="1"/>
  <c r="X364" i="2" a="1"/>
  <c r="X365" i="2" a="1"/>
  <c r="X366" i="2" a="1"/>
  <c r="X367" i="2" a="1"/>
  <c r="X368" i="2" a="1"/>
  <c r="X369" i="2" a="1"/>
  <c r="X370" i="2" a="1"/>
  <c r="X371" i="2" a="1"/>
  <c r="X372" i="2" a="1"/>
  <c r="X373" i="2" a="1"/>
  <c r="X374" i="2" a="1"/>
  <c r="X375" i="2" a="1"/>
  <c r="X376" i="2" a="1"/>
  <c r="X377" i="2" a="1"/>
  <c r="X378" i="2" a="1"/>
  <c r="X379" i="2" a="1"/>
  <c r="X380" i="2" a="1"/>
  <c r="X381" i="2" a="1"/>
  <c r="X382" i="2" a="1"/>
  <c r="X383" i="2" a="1"/>
  <c r="X384" i="2" a="1"/>
  <c r="X385" i="2" a="1"/>
  <c r="X386" i="2" a="1"/>
  <c r="X387" i="2" a="1"/>
  <c r="X388" i="2" a="1"/>
  <c r="X389" i="2" a="1"/>
  <c r="X390" i="2" a="1"/>
  <c r="X391" i="2" a="1"/>
  <c r="X392" i="2" a="1"/>
  <c r="X393" i="2" a="1"/>
  <c r="X394" i="2" a="1"/>
  <c r="X395" i="2" a="1"/>
  <c r="X396" i="2" a="1"/>
  <c r="X397" i="2" a="1"/>
  <c r="X398" i="2" a="1"/>
  <c r="X399" i="2" a="1"/>
  <c r="X400" i="2" a="1"/>
  <c r="X401" i="2" a="1"/>
  <c r="X402" i="2" a="1"/>
  <c r="X403" i="2" a="1"/>
  <c r="X404" i="2" a="1"/>
  <c r="X405" i="2" a="1"/>
  <c r="X406" i="2" a="1"/>
  <c r="X407" i="2" a="1"/>
  <c r="AC318" i="2"/>
  <c r="AC319" i="2"/>
  <c r="AC320" i="2"/>
  <c r="AC321" i="2"/>
  <c r="AC322" i="2"/>
  <c r="AC323" i="2"/>
  <c r="AC324" i="2"/>
  <c r="AC325" i="2"/>
  <c r="AC326" i="2"/>
  <c r="AC327" i="2"/>
  <c r="AC328" i="2"/>
  <c r="AC329" i="2"/>
  <c r="AC330" i="2"/>
  <c r="AC331" i="2"/>
  <c r="AC332" i="2"/>
  <c r="AC333" i="2"/>
  <c r="AC334" i="2"/>
  <c r="AC335" i="2"/>
  <c r="AC336" i="2"/>
  <c r="AC337" i="2"/>
  <c r="AC338" i="2"/>
  <c r="AC339" i="2"/>
  <c r="AC340" i="2"/>
  <c r="AC341" i="2"/>
  <c r="AC342" i="2"/>
  <c r="AC343" i="2"/>
  <c r="AC344" i="2"/>
  <c r="AC345" i="2"/>
  <c r="AC346" i="2"/>
  <c r="AC347" i="2"/>
  <c r="AC348" i="2"/>
  <c r="AC349" i="2"/>
  <c r="AC350" i="2"/>
  <c r="AC351" i="2"/>
  <c r="AC352" i="2"/>
  <c r="AC353" i="2"/>
  <c r="AC354" i="2"/>
  <c r="AC355" i="2"/>
  <c r="AC356" i="2"/>
  <c r="AC357" i="2"/>
  <c r="AC358" i="2"/>
  <c r="AC359" i="2"/>
  <c r="AC360" i="2"/>
  <c r="AC361" i="2"/>
  <c r="AC362" i="2"/>
  <c r="AC363" i="2"/>
  <c r="AC364" i="2"/>
  <c r="AC365" i="2"/>
  <c r="AC366" i="2"/>
  <c r="AC367" i="2"/>
  <c r="AC368" i="2"/>
  <c r="AC369" i="2"/>
  <c r="AC370" i="2"/>
  <c r="AC371" i="2"/>
  <c r="AC372" i="2"/>
  <c r="AC373" i="2"/>
  <c r="AC374" i="2"/>
  <c r="AC375" i="2"/>
  <c r="AC376" i="2"/>
  <c r="AC377" i="2"/>
  <c r="AC378" i="2"/>
  <c r="AC379" i="2"/>
  <c r="AC380" i="2"/>
  <c r="AC381" i="2"/>
  <c r="AC382" i="2"/>
  <c r="AC383" i="2"/>
  <c r="AC384" i="2"/>
  <c r="AC385" i="2"/>
  <c r="AC386" i="2"/>
  <c r="AC387" i="2"/>
  <c r="AC388" i="2"/>
  <c r="AC389" i="2"/>
  <c r="AC390" i="2"/>
  <c r="AC391" i="2"/>
  <c r="AC392" i="2"/>
  <c r="AC393" i="2"/>
  <c r="AC394" i="2"/>
  <c r="AC395" i="2"/>
  <c r="AC396" i="2"/>
  <c r="AC397" i="2"/>
  <c r="AC398" i="2"/>
  <c r="AC399" i="2"/>
  <c r="AC400" i="2"/>
  <c r="AC401" i="2"/>
  <c r="AC402" i="2"/>
  <c r="AC403" i="2"/>
  <c r="AC404" i="2"/>
  <c r="AC405" i="2"/>
  <c r="AC406" i="2"/>
  <c r="AC407" i="2"/>
  <c r="AD318" i="2"/>
  <c r="AD319" i="2"/>
  <c r="AD320" i="2"/>
  <c r="AD321" i="2"/>
  <c r="AD322" i="2"/>
  <c r="AD323" i="2"/>
  <c r="AD324" i="2"/>
  <c r="AD325" i="2"/>
  <c r="AD326" i="2"/>
  <c r="AD327" i="2"/>
  <c r="AD328" i="2"/>
  <c r="AD329" i="2"/>
  <c r="AD330" i="2"/>
  <c r="AD331" i="2"/>
  <c r="AD332" i="2"/>
  <c r="AD333" i="2"/>
  <c r="AD334" i="2"/>
  <c r="AD335" i="2"/>
  <c r="AD336" i="2"/>
  <c r="AD337" i="2"/>
  <c r="AD338" i="2"/>
  <c r="AD339" i="2"/>
  <c r="AD340" i="2"/>
  <c r="AD341" i="2"/>
  <c r="AD342" i="2"/>
  <c r="AD343" i="2"/>
  <c r="AD344" i="2"/>
  <c r="AD345" i="2"/>
  <c r="AD346" i="2"/>
  <c r="AD347" i="2"/>
  <c r="AD348" i="2"/>
  <c r="AD349" i="2"/>
  <c r="AD350" i="2"/>
  <c r="AD351" i="2"/>
  <c r="AD352" i="2"/>
  <c r="AD353" i="2"/>
  <c r="AD354" i="2"/>
  <c r="AD355" i="2"/>
  <c r="AD356" i="2"/>
  <c r="AD357" i="2"/>
  <c r="AD358" i="2"/>
  <c r="AD359" i="2"/>
  <c r="AD360" i="2"/>
  <c r="AD361" i="2"/>
  <c r="AD362" i="2"/>
  <c r="AD363" i="2"/>
  <c r="AD364" i="2"/>
  <c r="AD365" i="2"/>
  <c r="AD366" i="2"/>
  <c r="AD367" i="2"/>
  <c r="AD368" i="2"/>
  <c r="AD369" i="2"/>
  <c r="AD370" i="2"/>
  <c r="AD371" i="2"/>
  <c r="AD372" i="2"/>
  <c r="AD373" i="2"/>
  <c r="AD374" i="2"/>
  <c r="AD375" i="2"/>
  <c r="AD376" i="2"/>
  <c r="AD377" i="2"/>
  <c r="AD378" i="2"/>
  <c r="AD379" i="2"/>
  <c r="AD380" i="2"/>
  <c r="AD381" i="2"/>
  <c r="AD382" i="2"/>
  <c r="AD383" i="2"/>
  <c r="AD384" i="2"/>
  <c r="AD385" i="2"/>
  <c r="AD386" i="2"/>
  <c r="AD387" i="2"/>
  <c r="AD388" i="2"/>
  <c r="AD389" i="2"/>
  <c r="AD390" i="2"/>
  <c r="AD391" i="2"/>
  <c r="AD392" i="2"/>
  <c r="AD393" i="2"/>
  <c r="AD394" i="2"/>
  <c r="AD395" i="2"/>
  <c r="AD396" i="2"/>
  <c r="AD397" i="2"/>
  <c r="AD398" i="2"/>
  <c r="AD399" i="2"/>
  <c r="AD400" i="2"/>
  <c r="AD401" i="2"/>
  <c r="AD402" i="2"/>
  <c r="AD403" i="2"/>
  <c r="AD404" i="2"/>
  <c r="AD405" i="2"/>
  <c r="AD406" i="2"/>
  <c r="AD407" i="2"/>
  <c r="AE318" i="2"/>
  <c r="AE319" i="2"/>
  <c r="AE320" i="2"/>
  <c r="AE321" i="2"/>
  <c r="AE322" i="2"/>
  <c r="AE323" i="2"/>
  <c r="AE324" i="2"/>
  <c r="AE325" i="2"/>
  <c r="AE326" i="2"/>
  <c r="AE327" i="2"/>
  <c r="AE328" i="2"/>
  <c r="AE329" i="2"/>
  <c r="AE330" i="2"/>
  <c r="AE331" i="2"/>
  <c r="AE332" i="2"/>
  <c r="AE333" i="2"/>
  <c r="AE334" i="2"/>
  <c r="AE335" i="2"/>
  <c r="AE336" i="2"/>
  <c r="AE337" i="2"/>
  <c r="AE338" i="2"/>
  <c r="AE339" i="2"/>
  <c r="AE340" i="2"/>
  <c r="AE341" i="2"/>
  <c r="AE342" i="2"/>
  <c r="AE343" i="2"/>
  <c r="AE344" i="2"/>
  <c r="AE345" i="2"/>
  <c r="AE346" i="2"/>
  <c r="AE347" i="2"/>
  <c r="AE348" i="2"/>
  <c r="AE349" i="2"/>
  <c r="AE350" i="2"/>
  <c r="AE351" i="2"/>
  <c r="AE352" i="2"/>
  <c r="AE353" i="2"/>
  <c r="AE354" i="2"/>
  <c r="AE355" i="2"/>
  <c r="AE356" i="2"/>
  <c r="AE357" i="2"/>
  <c r="AE358" i="2"/>
  <c r="AE359" i="2"/>
  <c r="AE360" i="2"/>
  <c r="AE361" i="2"/>
  <c r="AE362" i="2"/>
  <c r="AE363" i="2"/>
  <c r="AE364" i="2"/>
  <c r="AE365" i="2"/>
  <c r="AE366" i="2"/>
  <c r="AE367" i="2"/>
  <c r="AE368" i="2"/>
  <c r="AE369" i="2"/>
  <c r="AE370" i="2"/>
  <c r="AE371" i="2"/>
  <c r="AE372" i="2"/>
  <c r="AE373" i="2"/>
  <c r="AE374" i="2"/>
  <c r="AE375" i="2"/>
  <c r="AE376" i="2"/>
  <c r="AE377" i="2"/>
  <c r="AE378" i="2"/>
  <c r="AE379" i="2"/>
  <c r="AE380" i="2"/>
  <c r="AE381" i="2"/>
  <c r="AE382" i="2"/>
  <c r="AE383" i="2"/>
  <c r="AE384" i="2"/>
  <c r="AE385" i="2"/>
  <c r="AE390" i="2"/>
  <c r="AE391" i="2"/>
  <c r="AE392" i="2"/>
  <c r="AE393" i="2"/>
  <c r="AE394" i="2"/>
  <c r="AE395" i="2"/>
  <c r="AE396" i="2"/>
  <c r="AE397" i="2"/>
  <c r="AE398" i="2"/>
  <c r="AE399" i="2"/>
  <c r="AE400" i="2"/>
  <c r="AE401" i="2"/>
  <c r="AE402" i="2"/>
  <c r="AE403" i="2"/>
  <c r="AE404" i="2"/>
  <c r="AE405" i="2"/>
  <c r="AE406" i="2"/>
  <c r="AE407" i="2"/>
  <c r="AF318" i="2"/>
  <c r="AF319" i="2"/>
  <c r="AF320" i="2"/>
  <c r="AF321" i="2"/>
  <c r="AF322" i="2"/>
  <c r="AF323" i="2"/>
  <c r="AF324" i="2"/>
  <c r="AF325" i="2"/>
  <c r="AF326" i="2"/>
  <c r="AF327" i="2"/>
  <c r="AF328" i="2"/>
  <c r="AF329" i="2"/>
  <c r="AF330" i="2"/>
  <c r="AF331" i="2"/>
  <c r="AF332" i="2"/>
  <c r="AF333" i="2"/>
  <c r="AF334" i="2"/>
  <c r="AF335" i="2"/>
  <c r="AF336" i="2"/>
  <c r="AF337" i="2"/>
  <c r="AF338" i="2"/>
  <c r="AF339" i="2"/>
  <c r="AF340" i="2"/>
  <c r="AF341" i="2"/>
  <c r="AF342" i="2"/>
  <c r="AF343" i="2"/>
  <c r="AF344" i="2"/>
  <c r="AF345" i="2"/>
  <c r="AF346" i="2"/>
  <c r="AF347" i="2"/>
  <c r="AF348" i="2"/>
  <c r="AF349" i="2"/>
  <c r="AF350" i="2"/>
  <c r="AF351" i="2"/>
  <c r="AF352" i="2"/>
  <c r="AF353" i="2"/>
  <c r="AF354" i="2"/>
  <c r="AF355" i="2"/>
  <c r="AF356" i="2"/>
  <c r="AF357" i="2"/>
  <c r="AF358" i="2"/>
  <c r="AF359" i="2"/>
  <c r="AF360" i="2"/>
  <c r="AF361" i="2"/>
  <c r="AF362" i="2"/>
  <c r="AF363" i="2"/>
  <c r="AF364" i="2"/>
  <c r="AF365" i="2"/>
  <c r="AF366" i="2"/>
  <c r="AF367" i="2"/>
  <c r="AF368" i="2"/>
  <c r="AF369" i="2"/>
  <c r="AF370" i="2"/>
  <c r="AF371" i="2"/>
  <c r="AF372" i="2"/>
  <c r="AF373" i="2"/>
  <c r="AF374" i="2"/>
  <c r="AF375" i="2"/>
  <c r="AF376" i="2"/>
  <c r="AF377" i="2"/>
  <c r="AF378" i="2"/>
  <c r="AF379" i="2"/>
  <c r="AF380" i="2"/>
  <c r="AF381" i="2"/>
  <c r="AF382" i="2"/>
  <c r="AF383" i="2"/>
  <c r="AF384" i="2"/>
  <c r="AF385" i="2"/>
  <c r="AF386" i="2"/>
  <c r="AF387" i="2"/>
  <c r="AF388" i="2"/>
  <c r="AF389" i="2"/>
  <c r="AF390" i="2"/>
  <c r="AF391" i="2"/>
  <c r="AF392" i="2"/>
  <c r="AF393" i="2"/>
  <c r="AF394" i="2"/>
  <c r="AF395" i="2"/>
  <c r="AF396" i="2"/>
  <c r="AF397" i="2"/>
  <c r="AF398" i="2"/>
  <c r="AF399" i="2"/>
  <c r="AF400" i="2"/>
  <c r="AF401" i="2"/>
  <c r="AF402" i="2"/>
  <c r="AF403" i="2"/>
  <c r="AF404" i="2"/>
  <c r="AF405" i="2"/>
  <c r="AF406" i="2"/>
  <c r="AF407" i="2"/>
  <c r="AG318" i="2"/>
  <c r="AG319" i="2"/>
  <c r="AG320" i="2"/>
  <c r="AG321" i="2"/>
  <c r="AG322" i="2"/>
  <c r="AG323" i="2"/>
  <c r="AG324" i="2"/>
  <c r="AG325" i="2"/>
  <c r="AG326" i="2"/>
  <c r="AG327" i="2"/>
  <c r="AG328" i="2"/>
  <c r="AG329" i="2"/>
  <c r="AG330" i="2"/>
  <c r="AG331" i="2"/>
  <c r="AG332" i="2"/>
  <c r="AG333" i="2"/>
  <c r="AG334" i="2"/>
  <c r="AG335" i="2"/>
  <c r="AG336" i="2"/>
  <c r="AG337" i="2"/>
  <c r="AG338" i="2"/>
  <c r="AG339" i="2"/>
  <c r="AG340" i="2"/>
  <c r="AG341" i="2"/>
  <c r="AG342" i="2"/>
  <c r="AG343" i="2"/>
  <c r="AG344" i="2"/>
  <c r="AG345" i="2"/>
  <c r="AG346" i="2"/>
  <c r="AG347" i="2"/>
  <c r="AG348" i="2"/>
  <c r="AG349" i="2"/>
  <c r="AG350" i="2"/>
  <c r="AG351" i="2"/>
  <c r="AG352" i="2"/>
  <c r="AG353" i="2"/>
  <c r="AG354" i="2"/>
  <c r="AG355" i="2"/>
  <c r="AG356" i="2"/>
  <c r="AG357" i="2"/>
  <c r="AG358" i="2"/>
  <c r="AG359" i="2"/>
  <c r="AG360" i="2"/>
  <c r="AG361" i="2"/>
  <c r="AG362" i="2"/>
  <c r="AG363" i="2"/>
  <c r="AG364" i="2"/>
  <c r="AG365" i="2"/>
  <c r="AG366" i="2"/>
  <c r="AG367" i="2"/>
  <c r="AG368" i="2"/>
  <c r="AG369" i="2"/>
  <c r="AG370" i="2"/>
  <c r="AG371" i="2"/>
  <c r="AG372" i="2"/>
  <c r="AG373" i="2"/>
  <c r="AG374" i="2"/>
  <c r="AG375" i="2"/>
  <c r="AG376" i="2"/>
  <c r="AG377" i="2"/>
  <c r="AG378" i="2"/>
  <c r="AG379" i="2"/>
  <c r="AG380" i="2"/>
  <c r="AG381" i="2"/>
  <c r="AG382" i="2"/>
  <c r="AG383" i="2"/>
  <c r="AG384" i="2"/>
  <c r="AG385" i="2"/>
  <c r="AG386" i="2"/>
  <c r="AG387" i="2"/>
  <c r="AG388" i="2"/>
  <c r="AG389" i="2"/>
  <c r="AG390" i="2"/>
  <c r="AG391" i="2"/>
  <c r="AG392" i="2"/>
  <c r="AG393" i="2"/>
  <c r="AG394" i="2"/>
  <c r="AG395" i="2"/>
  <c r="AG396" i="2"/>
  <c r="AG397" i="2"/>
  <c r="AG398" i="2"/>
  <c r="AG399" i="2"/>
  <c r="AG400" i="2"/>
  <c r="AG401" i="2"/>
  <c r="AG402" i="2"/>
  <c r="AG403" i="2"/>
  <c r="AG404" i="2"/>
  <c r="AG405" i="2"/>
  <c r="AG406" i="2"/>
  <c r="AG407" i="2"/>
  <c r="AH318" i="2"/>
  <c r="AH319" i="2"/>
  <c r="AH320" i="2"/>
  <c r="AH321" i="2"/>
  <c r="AH322" i="2"/>
  <c r="AH323" i="2"/>
  <c r="AH324" i="2"/>
  <c r="AH325" i="2"/>
  <c r="AH326" i="2"/>
  <c r="AH327" i="2"/>
  <c r="AH328" i="2"/>
  <c r="AH329" i="2"/>
  <c r="AH330" i="2"/>
  <c r="AH331" i="2"/>
  <c r="AH332" i="2"/>
  <c r="AH333" i="2"/>
  <c r="AH334" i="2"/>
  <c r="AH335" i="2"/>
  <c r="AH336" i="2"/>
  <c r="AH337" i="2"/>
  <c r="AH338" i="2"/>
  <c r="AH339" i="2"/>
  <c r="AH340" i="2"/>
  <c r="AH341" i="2"/>
  <c r="AH342" i="2"/>
  <c r="AH343" i="2"/>
  <c r="AH344" i="2"/>
  <c r="AH345" i="2"/>
  <c r="AH346" i="2"/>
  <c r="AH347" i="2"/>
  <c r="AH348" i="2"/>
  <c r="AH349" i="2"/>
  <c r="AH350" i="2"/>
  <c r="AH351" i="2"/>
  <c r="AH352" i="2"/>
  <c r="AH353" i="2"/>
  <c r="AH354" i="2"/>
  <c r="AH355" i="2"/>
  <c r="AH356" i="2"/>
  <c r="AH357" i="2"/>
  <c r="AH358" i="2"/>
  <c r="AH359" i="2"/>
  <c r="AH360" i="2"/>
  <c r="AH361" i="2"/>
  <c r="AH362" i="2"/>
  <c r="AH363" i="2"/>
  <c r="AH364" i="2"/>
  <c r="AH365" i="2"/>
  <c r="AH366" i="2"/>
  <c r="AH367" i="2"/>
  <c r="AH368" i="2"/>
  <c r="AH369" i="2"/>
  <c r="AH370" i="2"/>
  <c r="AH371" i="2"/>
  <c r="AH372" i="2"/>
  <c r="AH373" i="2"/>
  <c r="AH374" i="2"/>
  <c r="AH375" i="2"/>
  <c r="AH376" i="2"/>
  <c r="AH377" i="2"/>
  <c r="AH378" i="2"/>
  <c r="AH379" i="2"/>
  <c r="AH380" i="2"/>
  <c r="AH381" i="2"/>
  <c r="AH382" i="2"/>
  <c r="AH383" i="2"/>
  <c r="AH384" i="2"/>
  <c r="AH385" i="2"/>
  <c r="AH386" i="2"/>
  <c r="AH387" i="2"/>
  <c r="AH388" i="2"/>
  <c r="AH389" i="2"/>
  <c r="AH390" i="2"/>
  <c r="AH391" i="2"/>
  <c r="AH392" i="2"/>
  <c r="AH393" i="2"/>
  <c r="AH394" i="2"/>
  <c r="AH395" i="2"/>
  <c r="AH396" i="2"/>
  <c r="AH397" i="2"/>
  <c r="AH398" i="2"/>
  <c r="AH399" i="2"/>
  <c r="AH400" i="2"/>
  <c r="AH401" i="2"/>
  <c r="AH402" i="2"/>
  <c r="AH403" i="2"/>
  <c r="AH404" i="2"/>
  <c r="AH405" i="2"/>
  <c r="AH406" i="2"/>
  <c r="AH407" i="2"/>
  <c r="AI318" i="2"/>
  <c r="AI319" i="2"/>
  <c r="AI320" i="2"/>
  <c r="AI321" i="2"/>
  <c r="AI322" i="2"/>
  <c r="AI323" i="2"/>
  <c r="AI324" i="2"/>
  <c r="AI325" i="2"/>
  <c r="AI326" i="2"/>
  <c r="AI327" i="2"/>
  <c r="AI328" i="2"/>
  <c r="AI329" i="2"/>
  <c r="AI330" i="2"/>
  <c r="AI331" i="2"/>
  <c r="AI332" i="2"/>
  <c r="AI333" i="2"/>
  <c r="AI334" i="2"/>
  <c r="AI335" i="2"/>
  <c r="AI336" i="2"/>
  <c r="AI337" i="2"/>
  <c r="AI338" i="2"/>
  <c r="AI339" i="2"/>
  <c r="AI340" i="2"/>
  <c r="AI341" i="2"/>
  <c r="AI342" i="2"/>
  <c r="AI343" i="2"/>
  <c r="AI344" i="2"/>
  <c r="AI345" i="2"/>
  <c r="AI346" i="2"/>
  <c r="AI347" i="2"/>
  <c r="AI348" i="2"/>
  <c r="AI349" i="2"/>
  <c r="AI350" i="2"/>
  <c r="AI351" i="2"/>
  <c r="AI352" i="2"/>
  <c r="AI353" i="2"/>
  <c r="AI354" i="2"/>
  <c r="AI355" i="2"/>
  <c r="AI356" i="2"/>
  <c r="AI357" i="2"/>
  <c r="AI358" i="2"/>
  <c r="AI359" i="2"/>
  <c r="AI360" i="2"/>
  <c r="AI361" i="2"/>
  <c r="AI362" i="2"/>
  <c r="AI363" i="2"/>
  <c r="AI364" i="2"/>
  <c r="AI365" i="2"/>
  <c r="AI366" i="2"/>
  <c r="AI367" i="2"/>
  <c r="AI368" i="2"/>
  <c r="AI369" i="2"/>
  <c r="AI370" i="2"/>
  <c r="AI371" i="2"/>
  <c r="AI372" i="2"/>
  <c r="AI373" i="2"/>
  <c r="AI374" i="2"/>
  <c r="AI375" i="2"/>
  <c r="AI376" i="2"/>
  <c r="AI377" i="2"/>
  <c r="AI378" i="2"/>
  <c r="AI379" i="2"/>
  <c r="AI380" i="2"/>
  <c r="AI381" i="2"/>
  <c r="AI382" i="2"/>
  <c r="AI383" i="2"/>
  <c r="AI384" i="2"/>
  <c r="AI385" i="2"/>
  <c r="AI386" i="2"/>
  <c r="AI387" i="2"/>
  <c r="AI388" i="2"/>
  <c r="AI389" i="2"/>
  <c r="AI390" i="2"/>
  <c r="AI391" i="2"/>
  <c r="AI392" i="2"/>
  <c r="AI393" i="2"/>
  <c r="AI394" i="2"/>
  <c r="AI395" i="2"/>
  <c r="AI396" i="2"/>
  <c r="AI397" i="2"/>
  <c r="AI398" i="2"/>
  <c r="AI399" i="2"/>
  <c r="AI400" i="2"/>
  <c r="AI401" i="2"/>
  <c r="AI402" i="2"/>
  <c r="AI403" i="2"/>
  <c r="AI404" i="2"/>
  <c r="AI405" i="2"/>
  <c r="AI406" i="2"/>
  <c r="AI407" i="2"/>
  <c r="AJ318" i="2"/>
  <c r="AJ319" i="2"/>
  <c r="AJ320" i="2"/>
  <c r="AJ321" i="2"/>
  <c r="AJ322" i="2"/>
  <c r="AJ323" i="2"/>
  <c r="AJ324" i="2"/>
  <c r="AJ325" i="2"/>
  <c r="AJ326" i="2"/>
  <c r="AJ327" i="2"/>
  <c r="AJ328" i="2"/>
  <c r="AJ329" i="2"/>
  <c r="AJ330" i="2"/>
  <c r="AJ331" i="2"/>
  <c r="AJ332" i="2"/>
  <c r="AJ333" i="2"/>
  <c r="AJ334" i="2"/>
  <c r="AJ335" i="2"/>
  <c r="AJ336" i="2"/>
  <c r="AJ337" i="2"/>
  <c r="AJ338" i="2"/>
  <c r="AJ339" i="2"/>
  <c r="AJ340" i="2"/>
  <c r="AJ341" i="2"/>
  <c r="AJ342" i="2"/>
  <c r="AJ343" i="2"/>
  <c r="AJ344" i="2"/>
  <c r="AJ345" i="2"/>
  <c r="AJ346" i="2"/>
  <c r="AJ347" i="2"/>
  <c r="AJ348" i="2"/>
  <c r="AJ349" i="2"/>
  <c r="AJ350" i="2"/>
  <c r="AJ351" i="2"/>
  <c r="AJ352" i="2"/>
  <c r="AJ353" i="2"/>
  <c r="AJ354" i="2"/>
  <c r="AJ355" i="2"/>
  <c r="AJ356" i="2"/>
  <c r="AJ357" i="2"/>
  <c r="AJ358" i="2"/>
  <c r="AJ359" i="2"/>
  <c r="AJ360" i="2"/>
  <c r="AJ361" i="2"/>
  <c r="AJ362" i="2"/>
  <c r="AJ363" i="2"/>
  <c r="AJ364" i="2"/>
  <c r="AJ365" i="2"/>
  <c r="AJ366" i="2"/>
  <c r="AJ367" i="2"/>
  <c r="AJ368" i="2"/>
  <c r="AJ369" i="2"/>
  <c r="AJ370" i="2"/>
  <c r="AJ371" i="2"/>
  <c r="AJ372" i="2"/>
  <c r="AJ373" i="2"/>
  <c r="AJ374" i="2"/>
  <c r="AJ375" i="2"/>
  <c r="AJ376" i="2"/>
  <c r="AJ377" i="2"/>
  <c r="AJ378" i="2"/>
  <c r="AJ379" i="2"/>
  <c r="AJ380" i="2"/>
  <c r="AJ381" i="2"/>
  <c r="AJ382" i="2"/>
  <c r="AJ383" i="2"/>
  <c r="AJ384" i="2"/>
  <c r="AJ385" i="2"/>
  <c r="AJ386" i="2"/>
  <c r="AJ387" i="2"/>
  <c r="AJ388" i="2"/>
  <c r="AJ389" i="2"/>
  <c r="AJ390" i="2"/>
  <c r="AJ391" i="2"/>
  <c r="AJ392" i="2"/>
  <c r="AJ393" i="2"/>
  <c r="AJ394" i="2"/>
  <c r="AJ395" i="2"/>
  <c r="AJ396" i="2"/>
  <c r="AJ397" i="2"/>
  <c r="AJ398" i="2"/>
  <c r="AJ399" i="2"/>
  <c r="AJ400" i="2"/>
  <c r="AJ401" i="2"/>
  <c r="AJ402" i="2"/>
  <c r="AJ403" i="2"/>
  <c r="AJ404" i="2"/>
  <c r="AJ405" i="2"/>
  <c r="AJ406" i="2"/>
  <c r="AJ407" i="2"/>
  <c r="AK318" i="2"/>
  <c r="AK319" i="2"/>
  <c r="AK320" i="2"/>
  <c r="AK321" i="2"/>
  <c r="AK322" i="2"/>
  <c r="AK323" i="2"/>
  <c r="AK324" i="2"/>
  <c r="AK325" i="2"/>
  <c r="AK326" i="2"/>
  <c r="AK327" i="2"/>
  <c r="AK328" i="2"/>
  <c r="AK329" i="2"/>
  <c r="AK330" i="2"/>
  <c r="AK331" i="2"/>
  <c r="AK332" i="2"/>
  <c r="AK333" i="2"/>
  <c r="AK334" i="2"/>
  <c r="AK335" i="2"/>
  <c r="AK336" i="2"/>
  <c r="AK337" i="2"/>
  <c r="AK338" i="2"/>
  <c r="AK339" i="2"/>
  <c r="AK340" i="2"/>
  <c r="AK341" i="2"/>
  <c r="AK342" i="2"/>
  <c r="AK343" i="2"/>
  <c r="AK344" i="2"/>
  <c r="AK345" i="2"/>
  <c r="AK346" i="2"/>
  <c r="AK347" i="2"/>
  <c r="AK348" i="2"/>
  <c r="AK349" i="2"/>
  <c r="AK350" i="2"/>
  <c r="AK351" i="2"/>
  <c r="AK352" i="2"/>
  <c r="AK353" i="2"/>
  <c r="AK354" i="2"/>
  <c r="AK355" i="2"/>
  <c r="AK356" i="2"/>
  <c r="AK357" i="2"/>
  <c r="AK358" i="2"/>
  <c r="AK359" i="2"/>
  <c r="AK360" i="2"/>
  <c r="AK361" i="2"/>
  <c r="AK362" i="2"/>
  <c r="AK363" i="2"/>
  <c r="AK364" i="2"/>
  <c r="AK365" i="2"/>
  <c r="AK366" i="2"/>
  <c r="AK367" i="2"/>
  <c r="AK368" i="2"/>
  <c r="AK369" i="2"/>
  <c r="AK370" i="2"/>
  <c r="AK371" i="2"/>
  <c r="AK372" i="2"/>
  <c r="AK373" i="2"/>
  <c r="AK374" i="2"/>
  <c r="AK375" i="2"/>
  <c r="AK376" i="2"/>
  <c r="AK377" i="2"/>
  <c r="AK378" i="2"/>
  <c r="AK379" i="2"/>
  <c r="AK380" i="2"/>
  <c r="AK381" i="2"/>
  <c r="AK382" i="2"/>
  <c r="AK383" i="2"/>
  <c r="AK384" i="2"/>
  <c r="AK385" i="2"/>
  <c r="AK386" i="2"/>
  <c r="AK387" i="2"/>
  <c r="AK388" i="2"/>
  <c r="AK389" i="2"/>
  <c r="AK390" i="2"/>
  <c r="AK391" i="2"/>
  <c r="AK392" i="2"/>
  <c r="AK393" i="2"/>
  <c r="AK394" i="2"/>
  <c r="AK395" i="2"/>
  <c r="AK396" i="2"/>
  <c r="AK397" i="2"/>
  <c r="AK398" i="2"/>
  <c r="AK399" i="2"/>
  <c r="AK400" i="2"/>
  <c r="AK401" i="2"/>
  <c r="AK402" i="2"/>
  <c r="AK403" i="2"/>
  <c r="AK404" i="2"/>
  <c r="AK405" i="2"/>
  <c r="AK406" i="2"/>
  <c r="AK407" i="2"/>
  <c r="AL318" i="2"/>
  <c r="AL319" i="2"/>
  <c r="AL320" i="2"/>
  <c r="AL321" i="2"/>
  <c r="AL322" i="2"/>
  <c r="AL323" i="2"/>
  <c r="AL324" i="2"/>
  <c r="AL325" i="2"/>
  <c r="AL326" i="2"/>
  <c r="AL327" i="2"/>
  <c r="AL328" i="2"/>
  <c r="AL329" i="2"/>
  <c r="AL330" i="2"/>
  <c r="AL331" i="2"/>
  <c r="AL332" i="2"/>
  <c r="AL333" i="2"/>
  <c r="AL334" i="2"/>
  <c r="AL335" i="2"/>
  <c r="AL336" i="2"/>
  <c r="AL337" i="2"/>
  <c r="AL338" i="2"/>
  <c r="AL339" i="2"/>
  <c r="AL340" i="2"/>
  <c r="AL341" i="2"/>
  <c r="AL342" i="2"/>
  <c r="AL343" i="2"/>
  <c r="AL344" i="2"/>
  <c r="AL345" i="2"/>
  <c r="AL346" i="2"/>
  <c r="AL347" i="2"/>
  <c r="AL348" i="2"/>
  <c r="AL349" i="2"/>
  <c r="AL350" i="2"/>
  <c r="AL351" i="2"/>
  <c r="AL352" i="2"/>
  <c r="AL353" i="2"/>
  <c r="AL354" i="2"/>
  <c r="AL355" i="2"/>
  <c r="AL356" i="2"/>
  <c r="AL357" i="2"/>
  <c r="AL358" i="2"/>
  <c r="AL359" i="2"/>
  <c r="AL360" i="2"/>
  <c r="AL361" i="2"/>
  <c r="AL362" i="2"/>
  <c r="AL363" i="2"/>
  <c r="AL364" i="2"/>
  <c r="AL365" i="2"/>
  <c r="AL366" i="2"/>
  <c r="AL367" i="2"/>
  <c r="AL368" i="2"/>
  <c r="AL369" i="2"/>
  <c r="AL370" i="2"/>
  <c r="AL371" i="2"/>
  <c r="AL372" i="2"/>
  <c r="AL373" i="2"/>
  <c r="AL374" i="2"/>
  <c r="AL375" i="2"/>
  <c r="AL376" i="2"/>
  <c r="AL377" i="2"/>
  <c r="AL378" i="2"/>
  <c r="AL379" i="2"/>
  <c r="AL380" i="2"/>
  <c r="AL381" i="2"/>
  <c r="AL382" i="2"/>
  <c r="AL383" i="2"/>
  <c r="AL384" i="2"/>
  <c r="AL385" i="2"/>
  <c r="AL386" i="2"/>
  <c r="AL387" i="2"/>
  <c r="AL388" i="2"/>
  <c r="AL389" i="2"/>
  <c r="AL390" i="2"/>
  <c r="AL391" i="2"/>
  <c r="AL392" i="2"/>
  <c r="AL393" i="2"/>
  <c r="AL394" i="2"/>
  <c r="AL395" i="2"/>
  <c r="AL396" i="2"/>
  <c r="AL397" i="2"/>
  <c r="AL398" i="2"/>
  <c r="AL399" i="2"/>
  <c r="AL400" i="2"/>
  <c r="AL401" i="2"/>
  <c r="AL402" i="2"/>
  <c r="AL403" i="2"/>
  <c r="AL404" i="2"/>
  <c r="AL405" i="2"/>
  <c r="AL406" i="2"/>
  <c r="AL407" i="2"/>
  <c r="E32" i="3"/>
  <c r="D32" i="3"/>
  <c r="C32" i="3"/>
  <c r="B32" i="3"/>
  <c r="E27" i="3"/>
  <c r="D27" i="3"/>
  <c r="C27" i="3"/>
  <c r="B27" i="3"/>
  <c r="E28" i="3"/>
  <c r="D28" i="3"/>
  <c r="F28" i="3" s="1"/>
  <c r="C28" i="3"/>
  <c r="B28" i="3"/>
  <c r="E38" i="3"/>
  <c r="D38" i="3"/>
  <c r="F38" i="3" s="1"/>
  <c r="C38" i="3"/>
  <c r="B38" i="3"/>
  <c r="C232" i="2"/>
  <c r="Y232" i="2" s="1"/>
  <c r="C233" i="2"/>
  <c r="Y233" i="2" s="1"/>
  <c r="C234" i="2"/>
  <c r="Y234" i="2" s="1"/>
  <c r="C235" i="2"/>
  <c r="Y235" i="2" s="1"/>
  <c r="C236" i="2"/>
  <c r="Y236" i="2" s="1"/>
  <c r="C237" i="2"/>
  <c r="Y237" i="2" s="1"/>
  <c r="C238" i="2"/>
  <c r="Y238" i="2" s="1"/>
  <c r="C239" i="2"/>
  <c r="Y239" i="2" s="1"/>
  <c r="C240" i="2"/>
  <c r="Y240" i="2" s="1"/>
  <c r="C241" i="2"/>
  <c r="Y241" i="2" s="1"/>
  <c r="C242" i="2"/>
  <c r="Y242" i="2" s="1"/>
  <c r="C243" i="2"/>
  <c r="Y243" i="2" s="1"/>
  <c r="C244" i="2"/>
  <c r="Y244" i="2" s="1"/>
  <c r="C245" i="2"/>
  <c r="Y245" i="2" s="1"/>
  <c r="C246" i="2"/>
  <c r="Y246" i="2" s="1"/>
  <c r="C247" i="2"/>
  <c r="Y247" i="2" s="1"/>
  <c r="C248" i="2"/>
  <c r="Y248" i="2" s="1"/>
  <c r="C249" i="2"/>
  <c r="Y249" i="2" s="1"/>
  <c r="C250" i="2"/>
  <c r="Y250" i="2" s="1"/>
  <c r="C251" i="2"/>
  <c r="Y251" i="2" s="1"/>
  <c r="C252" i="2"/>
  <c r="Y252" i="2" s="1"/>
  <c r="C253" i="2"/>
  <c r="Y253" i="2" s="1"/>
  <c r="C254" i="2"/>
  <c r="Y254" i="2" s="1"/>
  <c r="C255" i="2"/>
  <c r="Y255" i="2" s="1"/>
  <c r="C256" i="2"/>
  <c r="Y256" i="2" s="1"/>
  <c r="C257" i="2"/>
  <c r="Y257" i="2" s="1"/>
  <c r="C258" i="2"/>
  <c r="Y258" i="2" s="1"/>
  <c r="C259" i="2"/>
  <c r="Y259" i="2" s="1"/>
  <c r="C260" i="2"/>
  <c r="Y260" i="2" s="1"/>
  <c r="C261" i="2"/>
  <c r="Y261" i="2" s="1"/>
  <c r="C262" i="2"/>
  <c r="Y262" i="2" s="1"/>
  <c r="C263" i="2"/>
  <c r="Y263" i="2" s="1"/>
  <c r="C264" i="2"/>
  <c r="Y264" i="2" s="1"/>
  <c r="C265" i="2"/>
  <c r="Y265" i="2" s="1"/>
  <c r="C266" i="2"/>
  <c r="Y266" i="2" s="1"/>
  <c r="C267" i="2"/>
  <c r="Y267" i="2" s="1"/>
  <c r="C268" i="2"/>
  <c r="Y268" i="2" s="1"/>
  <c r="C269" i="2"/>
  <c r="Y269" i="2" s="1"/>
  <c r="C270" i="2"/>
  <c r="Y270" i="2" s="1"/>
  <c r="C271" i="2"/>
  <c r="Y271" i="2" s="1"/>
  <c r="C272" i="2"/>
  <c r="Y272" i="2" s="1"/>
  <c r="C273" i="2"/>
  <c r="Y273" i="2" s="1"/>
  <c r="C274" i="2"/>
  <c r="Y274" i="2" s="1"/>
  <c r="C275" i="2"/>
  <c r="Y275" i="2" s="1"/>
  <c r="C276" i="2"/>
  <c r="Y276" i="2" s="1"/>
  <c r="C277" i="2"/>
  <c r="Y277" i="2" s="1"/>
  <c r="C278" i="2"/>
  <c r="Y278" i="2" s="1"/>
  <c r="C279" i="2"/>
  <c r="Y279" i="2" s="1"/>
  <c r="C280" i="2"/>
  <c r="Y280" i="2" s="1"/>
  <c r="C281" i="2"/>
  <c r="Y281" i="2" s="1"/>
  <c r="C282" i="2"/>
  <c r="Y282" i="2" s="1"/>
  <c r="C283" i="2"/>
  <c r="Y283" i="2" s="1"/>
  <c r="C284" i="2"/>
  <c r="Y284" i="2" s="1"/>
  <c r="C285" i="2"/>
  <c r="Y285" i="2" s="1"/>
  <c r="C286" i="2"/>
  <c r="Y286" i="2" s="1"/>
  <c r="C287" i="2"/>
  <c r="Y287" i="2" s="1"/>
  <c r="C288" i="2"/>
  <c r="Y288" i="2" s="1"/>
  <c r="C289" i="2"/>
  <c r="Y289" i="2" s="1"/>
  <c r="C290" i="2"/>
  <c r="Y290" i="2" s="1"/>
  <c r="C291" i="2"/>
  <c r="Y291" i="2" s="1"/>
  <c r="C292" i="2"/>
  <c r="Y292" i="2" s="1"/>
  <c r="C293" i="2"/>
  <c r="Y293" i="2" s="1"/>
  <c r="C294" i="2"/>
  <c r="Y294" i="2" s="1"/>
  <c r="C295" i="2"/>
  <c r="Y295" i="2" s="1"/>
  <c r="C296" i="2"/>
  <c r="Y296" i="2" s="1"/>
  <c r="C297" i="2"/>
  <c r="Y297" i="2" s="1"/>
  <c r="C298" i="2"/>
  <c r="Y298" i="2" s="1"/>
  <c r="C299" i="2"/>
  <c r="Y299" i="2" s="1"/>
  <c r="C300" i="2"/>
  <c r="Y300" i="2" s="1"/>
  <c r="C301" i="2"/>
  <c r="Y301" i="2" s="1"/>
  <c r="C302" i="2"/>
  <c r="Y302" i="2" s="1"/>
  <c r="C303" i="2"/>
  <c r="Y303" i="2" s="1"/>
  <c r="C304" i="2"/>
  <c r="Y304" i="2" s="1"/>
  <c r="C305" i="2"/>
  <c r="Y305" i="2" s="1"/>
  <c r="C306" i="2"/>
  <c r="Y306" i="2" s="1"/>
  <c r="C307" i="2"/>
  <c r="Y307" i="2" s="1"/>
  <c r="C308" i="2"/>
  <c r="Y308" i="2" s="1"/>
  <c r="C309" i="2"/>
  <c r="Y309" i="2" s="1"/>
  <c r="C310" i="2"/>
  <c r="Y310" i="2" s="1"/>
  <c r="C311" i="2"/>
  <c r="Y311" i="2" s="1"/>
  <c r="C312" i="2"/>
  <c r="Y312" i="2" s="1"/>
  <c r="C313" i="2"/>
  <c r="Y313" i="2" s="1"/>
  <c r="C314" i="2"/>
  <c r="Y314" i="2" s="1"/>
  <c r="C315" i="2"/>
  <c r="Y315" i="2" s="1"/>
  <c r="C316" i="2"/>
  <c r="Y316" i="2" s="1"/>
  <c r="C317" i="2"/>
  <c r="Y317" i="2" s="1"/>
  <c r="I232" i="2" a="1"/>
  <c r="I233" i="2" a="1"/>
  <c r="I234" i="2" a="1"/>
  <c r="I235" i="2" a="1"/>
  <c r="I236" i="2" a="1"/>
  <c r="I237" i="2" a="1"/>
  <c r="I238" i="2" a="1"/>
  <c r="I239" i="2" a="1"/>
  <c r="I240" i="2" a="1"/>
  <c r="I241" i="2" a="1"/>
  <c r="I242" i="2" a="1"/>
  <c r="I243" i="2" a="1"/>
  <c r="I244" i="2" a="1"/>
  <c r="I245" i="2" a="1"/>
  <c r="I246" i="2" a="1"/>
  <c r="I247" i="2" a="1"/>
  <c r="I248" i="2" a="1"/>
  <c r="I249" i="2" a="1"/>
  <c r="I250" i="2" a="1"/>
  <c r="I251" i="2" a="1"/>
  <c r="I252" i="2" a="1"/>
  <c r="I253" i="2" a="1"/>
  <c r="I254" i="2" a="1"/>
  <c r="I255" i="2" a="1"/>
  <c r="I256" i="2" a="1"/>
  <c r="I257" i="2" a="1"/>
  <c r="I258" i="2" a="1"/>
  <c r="I259" i="2" a="1"/>
  <c r="I260" i="2" a="1"/>
  <c r="I261" i="2" a="1"/>
  <c r="I262" i="2" a="1"/>
  <c r="I263" i="2" a="1"/>
  <c r="I264" i="2" a="1"/>
  <c r="I265" i="2" a="1"/>
  <c r="I266" i="2" a="1"/>
  <c r="I267" i="2" a="1"/>
  <c r="I268" i="2" a="1"/>
  <c r="I269" i="2" a="1"/>
  <c r="I270" i="2" a="1"/>
  <c r="I271" i="2" a="1"/>
  <c r="I272" i="2" a="1"/>
  <c r="I273" i="2" a="1"/>
  <c r="I274" i="2" a="1"/>
  <c r="I275" i="2" a="1"/>
  <c r="I276" i="2" a="1"/>
  <c r="I277" i="2" a="1"/>
  <c r="I278" i="2" a="1"/>
  <c r="I279" i="2" a="1"/>
  <c r="I280" i="2" a="1"/>
  <c r="I281" i="2" a="1"/>
  <c r="I282" i="2" a="1"/>
  <c r="I283" i="2" a="1"/>
  <c r="I284" i="2" a="1"/>
  <c r="I285" i="2" a="1"/>
  <c r="I286" i="2" a="1"/>
  <c r="I287" i="2" a="1"/>
  <c r="I288" i="2" a="1"/>
  <c r="I289" i="2" a="1"/>
  <c r="I290" i="2" a="1"/>
  <c r="I291" i="2" a="1"/>
  <c r="I292" i="2" a="1"/>
  <c r="I293" i="2" a="1"/>
  <c r="I294" i="2" a="1"/>
  <c r="I295" i="2" a="1"/>
  <c r="I296" i="2" a="1"/>
  <c r="I297" i="2" a="1"/>
  <c r="I298" i="2" a="1"/>
  <c r="I299" i="2" a="1"/>
  <c r="I300" i="2" a="1"/>
  <c r="I301" i="2" a="1"/>
  <c r="I302" i="2" a="1"/>
  <c r="I303" i="2" a="1"/>
  <c r="I304" i="2" a="1"/>
  <c r="I305" i="2" a="1"/>
  <c r="I306" i="2" a="1"/>
  <c r="I307" i="2" a="1"/>
  <c r="I308" i="2" a="1"/>
  <c r="I309" i="2" a="1"/>
  <c r="I310" i="2" a="1"/>
  <c r="I311" i="2" a="1"/>
  <c r="I312" i="2" a="1"/>
  <c r="I313" i="2" a="1"/>
  <c r="I314" i="2" a="1"/>
  <c r="I315" i="2" a="1"/>
  <c r="I316" i="2" a="1"/>
  <c r="I317" i="2" a="1"/>
  <c r="J232" i="2" a="1"/>
  <c r="J233" i="2" a="1"/>
  <c r="J234" i="2" a="1"/>
  <c r="J235" i="2" a="1"/>
  <c r="J236" i="2" a="1"/>
  <c r="J237" i="2" a="1"/>
  <c r="J238" i="2" a="1"/>
  <c r="J239" i="2" a="1"/>
  <c r="J240" i="2" a="1"/>
  <c r="J241" i="2" a="1"/>
  <c r="J242" i="2" a="1"/>
  <c r="J243" i="2" a="1"/>
  <c r="J244" i="2" a="1"/>
  <c r="J245" i="2" a="1"/>
  <c r="J246" i="2" a="1"/>
  <c r="J247" i="2" a="1"/>
  <c r="J248" i="2" a="1"/>
  <c r="L248" i="2" s="1"/>
  <c r="N248" i="2" s="1"/>
  <c r="J249" i="2" a="1"/>
  <c r="L249" i="2" s="1"/>
  <c r="N249" i="2" s="1"/>
  <c r="J250" i="2" a="1"/>
  <c r="J251" i="2" a="1"/>
  <c r="L251" i="2" s="1"/>
  <c r="N251" i="2" s="1"/>
  <c r="J252" i="2" a="1"/>
  <c r="J253" i="2" a="1"/>
  <c r="J254" i="2" a="1"/>
  <c r="J255" i="2" a="1"/>
  <c r="J256" i="2" a="1"/>
  <c r="J257" i="2" a="1"/>
  <c r="J258" i="2" a="1"/>
  <c r="J259" i="2" a="1"/>
  <c r="J260" i="2" a="1"/>
  <c r="J261" i="2" a="1"/>
  <c r="J262" i="2" a="1"/>
  <c r="J263" i="2" a="1"/>
  <c r="J264" i="2" a="1"/>
  <c r="J265" i="2" a="1"/>
  <c r="J266" i="2" a="1"/>
  <c r="J267" i="2" a="1"/>
  <c r="J268" i="2" a="1"/>
  <c r="J269" i="2" a="1"/>
  <c r="J270" i="2" a="1"/>
  <c r="J271" i="2" a="1"/>
  <c r="J272" i="2" a="1"/>
  <c r="J273" i="2" a="1"/>
  <c r="J274" i="2" a="1"/>
  <c r="J275" i="2" a="1"/>
  <c r="J276" i="2" a="1"/>
  <c r="J277" i="2" a="1"/>
  <c r="J278" i="2" a="1"/>
  <c r="J279" i="2" a="1"/>
  <c r="J280" i="2" a="1"/>
  <c r="J281" i="2" a="1"/>
  <c r="J282" i="2" a="1"/>
  <c r="J283" i="2" a="1"/>
  <c r="J284" i="2" a="1"/>
  <c r="J285" i="2" a="1"/>
  <c r="J286" i="2" a="1"/>
  <c r="J287" i="2" a="1"/>
  <c r="J288" i="2" a="1"/>
  <c r="J289" i="2" a="1"/>
  <c r="J290" i="2" a="1"/>
  <c r="J291" i="2" a="1"/>
  <c r="J292" i="2" a="1"/>
  <c r="J293" i="2" a="1"/>
  <c r="J294" i="2" a="1"/>
  <c r="J295" i="2" a="1"/>
  <c r="J296" i="2" a="1"/>
  <c r="J297" i="2" a="1"/>
  <c r="J298" i="2" a="1"/>
  <c r="J299" i="2" a="1"/>
  <c r="J300" i="2" a="1"/>
  <c r="J301" i="2" a="1"/>
  <c r="J302" i="2" a="1"/>
  <c r="J303" i="2" a="1"/>
  <c r="J304" i="2" a="1"/>
  <c r="J305" i="2" a="1"/>
  <c r="J306" i="2" a="1"/>
  <c r="J307" i="2" a="1"/>
  <c r="J308" i="2" a="1"/>
  <c r="J309" i="2" a="1"/>
  <c r="J310" i="2" a="1"/>
  <c r="J311" i="2" a="1"/>
  <c r="J312" i="2" a="1"/>
  <c r="J313" i="2" a="1"/>
  <c r="J314" i="2" a="1"/>
  <c r="J315" i="2" a="1"/>
  <c r="J316" i="2" a="1"/>
  <c r="J317" i="2" a="1"/>
  <c r="U232" i="2"/>
  <c r="V232" i="2" s="1"/>
  <c r="U233" i="2"/>
  <c r="V233" i="2" s="1"/>
  <c r="U234" i="2"/>
  <c r="V234" i="2" s="1"/>
  <c r="U235" i="2"/>
  <c r="V235" i="2" s="1"/>
  <c r="U236" i="2"/>
  <c r="V236" i="2" s="1"/>
  <c r="U237" i="2"/>
  <c r="V237" i="2" s="1"/>
  <c r="U238" i="2"/>
  <c r="V238" i="2" s="1"/>
  <c r="U239" i="2"/>
  <c r="V239" i="2" s="1"/>
  <c r="U240" i="2"/>
  <c r="V240" i="2" s="1"/>
  <c r="U241" i="2"/>
  <c r="V241" i="2" s="1"/>
  <c r="U242" i="2"/>
  <c r="V242" i="2" s="1"/>
  <c r="U243" i="2"/>
  <c r="V243" i="2" s="1"/>
  <c r="U244" i="2"/>
  <c r="V244" i="2" s="1"/>
  <c r="U245" i="2"/>
  <c r="V245" i="2" s="1"/>
  <c r="U246" i="2"/>
  <c r="V246" i="2" s="1"/>
  <c r="U247" i="2"/>
  <c r="V247" i="2" s="1"/>
  <c r="U248" i="2"/>
  <c r="V248" i="2" s="1"/>
  <c r="U249" i="2"/>
  <c r="V249" i="2" s="1"/>
  <c r="U250" i="2"/>
  <c r="V250" i="2" s="1"/>
  <c r="U251" i="2"/>
  <c r="V251" i="2" s="1"/>
  <c r="U252" i="2"/>
  <c r="V252" i="2" s="1"/>
  <c r="U253" i="2"/>
  <c r="V253" i="2" s="1"/>
  <c r="U254" i="2"/>
  <c r="V254" i="2" s="1"/>
  <c r="U255" i="2"/>
  <c r="V255" i="2" s="1"/>
  <c r="U256" i="2"/>
  <c r="V256" i="2" s="1"/>
  <c r="U257" i="2"/>
  <c r="V257" i="2" s="1"/>
  <c r="U258" i="2"/>
  <c r="V258" i="2" s="1"/>
  <c r="U259" i="2"/>
  <c r="V259" i="2" s="1"/>
  <c r="U260" i="2"/>
  <c r="V260" i="2" s="1"/>
  <c r="U261" i="2"/>
  <c r="V261" i="2" s="1"/>
  <c r="U262" i="2"/>
  <c r="V262" i="2" s="1"/>
  <c r="U263" i="2"/>
  <c r="V263" i="2" s="1"/>
  <c r="U264" i="2"/>
  <c r="V264" i="2" s="1"/>
  <c r="U265" i="2"/>
  <c r="V265" i="2" s="1"/>
  <c r="U266" i="2"/>
  <c r="V266" i="2" s="1"/>
  <c r="U267" i="2"/>
  <c r="V267" i="2" s="1"/>
  <c r="U268" i="2"/>
  <c r="V268" i="2" s="1"/>
  <c r="U269" i="2"/>
  <c r="V269" i="2" s="1"/>
  <c r="U270" i="2"/>
  <c r="V270" i="2" s="1"/>
  <c r="U271" i="2"/>
  <c r="V271" i="2" s="1"/>
  <c r="U272" i="2"/>
  <c r="V272" i="2" s="1"/>
  <c r="U273" i="2"/>
  <c r="V273" i="2" s="1"/>
  <c r="U274" i="2"/>
  <c r="V274" i="2" s="1"/>
  <c r="U275" i="2"/>
  <c r="V275" i="2" s="1"/>
  <c r="U276" i="2"/>
  <c r="V276" i="2" s="1"/>
  <c r="U277" i="2"/>
  <c r="V277" i="2" s="1"/>
  <c r="U278" i="2"/>
  <c r="V278" i="2" s="1"/>
  <c r="U279" i="2"/>
  <c r="V279" i="2" s="1"/>
  <c r="U280" i="2"/>
  <c r="V280" i="2" s="1"/>
  <c r="U281" i="2"/>
  <c r="V281" i="2" s="1"/>
  <c r="U282" i="2"/>
  <c r="V282" i="2" s="1"/>
  <c r="U283" i="2"/>
  <c r="V283" i="2" s="1"/>
  <c r="U284" i="2"/>
  <c r="V284" i="2" s="1"/>
  <c r="U285" i="2"/>
  <c r="V285" i="2" s="1"/>
  <c r="U286" i="2"/>
  <c r="V286" i="2" s="1"/>
  <c r="U287" i="2"/>
  <c r="V287" i="2" s="1"/>
  <c r="U288" i="2"/>
  <c r="V288" i="2" s="1"/>
  <c r="U289" i="2"/>
  <c r="V289" i="2" s="1"/>
  <c r="U290" i="2"/>
  <c r="V290" i="2" s="1"/>
  <c r="U291" i="2"/>
  <c r="V291" i="2" s="1"/>
  <c r="U292" i="2"/>
  <c r="V292" i="2" s="1"/>
  <c r="U293" i="2"/>
  <c r="V293" i="2" s="1"/>
  <c r="U294" i="2"/>
  <c r="V294" i="2" s="1"/>
  <c r="U295" i="2"/>
  <c r="V295" i="2" s="1"/>
  <c r="U296" i="2"/>
  <c r="V296" i="2" s="1"/>
  <c r="U297" i="2"/>
  <c r="V297" i="2" s="1"/>
  <c r="U298" i="2"/>
  <c r="V298" i="2" s="1"/>
  <c r="U299" i="2"/>
  <c r="V299" i="2" s="1"/>
  <c r="U300" i="2"/>
  <c r="V300" i="2" s="1"/>
  <c r="U301" i="2"/>
  <c r="V301" i="2" s="1"/>
  <c r="U302" i="2"/>
  <c r="V302" i="2" s="1"/>
  <c r="U303" i="2"/>
  <c r="V303" i="2" s="1"/>
  <c r="U304" i="2"/>
  <c r="V304" i="2" s="1"/>
  <c r="U305" i="2"/>
  <c r="V305" i="2" s="1"/>
  <c r="U306" i="2"/>
  <c r="V306" i="2" s="1"/>
  <c r="U307" i="2"/>
  <c r="V307" i="2" s="1"/>
  <c r="U308" i="2"/>
  <c r="V308" i="2" s="1"/>
  <c r="U309" i="2"/>
  <c r="V309" i="2" s="1"/>
  <c r="U310" i="2"/>
  <c r="V310" i="2" s="1"/>
  <c r="U311" i="2"/>
  <c r="V311" i="2" s="1"/>
  <c r="U312" i="2"/>
  <c r="V312" i="2" s="1"/>
  <c r="U313" i="2"/>
  <c r="V313" i="2" s="1"/>
  <c r="U314" i="2"/>
  <c r="V314" i="2" s="1"/>
  <c r="U315" i="2"/>
  <c r="V315" i="2" s="1"/>
  <c r="U316" i="2"/>
  <c r="V316" i="2" s="1"/>
  <c r="U317" i="2"/>
  <c r="V317" i="2" s="1"/>
  <c r="X232" i="2" a="1"/>
  <c r="X233" i="2" a="1"/>
  <c r="X234" i="2" a="1"/>
  <c r="X235" i="2" a="1"/>
  <c r="X236" i="2" a="1"/>
  <c r="X237" i="2" a="1"/>
  <c r="X238" i="2" a="1"/>
  <c r="X239" i="2" a="1"/>
  <c r="X240" i="2" a="1"/>
  <c r="X241" i="2" a="1"/>
  <c r="X242" i="2" a="1"/>
  <c r="X243" i="2" a="1"/>
  <c r="X244" i="2" a="1"/>
  <c r="X245" i="2" a="1"/>
  <c r="X246" i="2" a="1"/>
  <c r="X247" i="2" a="1"/>
  <c r="X248" i="2" a="1"/>
  <c r="X249" i="2" a="1"/>
  <c r="X250" i="2" a="1"/>
  <c r="X251" i="2" a="1"/>
  <c r="X252" i="2" a="1"/>
  <c r="X253" i="2" a="1"/>
  <c r="X254" i="2" a="1"/>
  <c r="X255" i="2" a="1"/>
  <c r="X256" i="2" a="1"/>
  <c r="X257" i="2" a="1"/>
  <c r="X258" i="2" a="1"/>
  <c r="X259" i="2" a="1"/>
  <c r="X260" i="2" a="1"/>
  <c r="X261" i="2" a="1"/>
  <c r="X262" i="2" a="1"/>
  <c r="X263" i="2" a="1"/>
  <c r="X264" i="2" a="1"/>
  <c r="X265" i="2" a="1"/>
  <c r="X266" i="2" a="1"/>
  <c r="X267" i="2" a="1"/>
  <c r="X268" i="2" a="1"/>
  <c r="X269" i="2" a="1"/>
  <c r="X270" i="2" a="1"/>
  <c r="X271" i="2" a="1"/>
  <c r="X272" i="2" a="1"/>
  <c r="X273" i="2" a="1"/>
  <c r="X274" i="2" a="1"/>
  <c r="X275" i="2" a="1"/>
  <c r="X276" i="2" a="1"/>
  <c r="X277" i="2" a="1"/>
  <c r="X278" i="2" a="1"/>
  <c r="X279" i="2" a="1"/>
  <c r="X280" i="2" a="1"/>
  <c r="X281" i="2" a="1"/>
  <c r="X282" i="2" a="1"/>
  <c r="X283" i="2" a="1"/>
  <c r="X284" i="2" a="1"/>
  <c r="X285" i="2" a="1"/>
  <c r="X286" i="2" a="1"/>
  <c r="X287" i="2" a="1"/>
  <c r="X288" i="2" a="1"/>
  <c r="X289" i="2" a="1"/>
  <c r="X290" i="2" a="1"/>
  <c r="X291" i="2" a="1"/>
  <c r="X292" i="2" a="1"/>
  <c r="X293" i="2" a="1"/>
  <c r="X294" i="2" a="1"/>
  <c r="X295" i="2" a="1"/>
  <c r="X296" i="2" a="1"/>
  <c r="X297" i="2" a="1"/>
  <c r="X298" i="2" a="1"/>
  <c r="X299" i="2" a="1"/>
  <c r="X300" i="2" a="1"/>
  <c r="X301" i="2" a="1"/>
  <c r="X302" i="2" a="1"/>
  <c r="X303" i="2" a="1"/>
  <c r="X304" i="2" a="1"/>
  <c r="X305" i="2" a="1"/>
  <c r="X306" i="2" a="1"/>
  <c r="X307" i="2" a="1"/>
  <c r="X308" i="2" a="1"/>
  <c r="X309" i="2" a="1"/>
  <c r="X310" i="2" a="1"/>
  <c r="X311" i="2" a="1"/>
  <c r="X312" i="2" a="1"/>
  <c r="X313" i="2" a="1"/>
  <c r="X314" i="2" a="1"/>
  <c r="X315" i="2" a="1"/>
  <c r="X316" i="2" a="1"/>
  <c r="X317" i="2" a="1"/>
  <c r="AE232" i="2"/>
  <c r="AE233" i="2"/>
  <c r="AE234" i="2"/>
  <c r="AE235" i="2"/>
  <c r="AE236" i="2"/>
  <c r="AE237" i="2"/>
  <c r="AE238" i="2"/>
  <c r="AE239" i="2"/>
  <c r="AE240" i="2"/>
  <c r="AE241" i="2"/>
  <c r="AE242" i="2"/>
  <c r="AE243" i="2"/>
  <c r="AE244" i="2"/>
  <c r="AE245" i="2"/>
  <c r="AE246" i="2"/>
  <c r="AE247" i="2"/>
  <c r="AE248" i="2"/>
  <c r="AE249" i="2"/>
  <c r="AE250" i="2"/>
  <c r="AE251" i="2"/>
  <c r="AE252" i="2"/>
  <c r="AE253" i="2"/>
  <c r="AE254" i="2"/>
  <c r="AE255" i="2"/>
  <c r="AE256" i="2"/>
  <c r="AE257" i="2"/>
  <c r="AE258" i="2"/>
  <c r="AE259" i="2"/>
  <c r="AE260" i="2"/>
  <c r="AE261" i="2"/>
  <c r="AE262" i="2"/>
  <c r="AE263" i="2"/>
  <c r="AE264" i="2"/>
  <c r="AE265" i="2"/>
  <c r="AE266" i="2"/>
  <c r="AE267" i="2"/>
  <c r="AE268" i="2"/>
  <c r="AE269" i="2"/>
  <c r="AE270" i="2"/>
  <c r="AE271" i="2"/>
  <c r="AE272" i="2"/>
  <c r="AE273" i="2"/>
  <c r="AE274" i="2"/>
  <c r="AE275" i="2"/>
  <c r="AE276" i="2"/>
  <c r="AE277" i="2"/>
  <c r="AE278" i="2"/>
  <c r="AE279" i="2"/>
  <c r="AE280" i="2"/>
  <c r="AE281" i="2"/>
  <c r="AE282" i="2"/>
  <c r="AE283" i="2"/>
  <c r="AE284" i="2"/>
  <c r="AE285" i="2"/>
  <c r="AE286" i="2"/>
  <c r="AE287" i="2"/>
  <c r="AE288" i="2"/>
  <c r="AE289" i="2"/>
  <c r="AE290" i="2"/>
  <c r="AE291" i="2"/>
  <c r="AE292" i="2"/>
  <c r="AE293" i="2"/>
  <c r="AE294" i="2"/>
  <c r="AE295" i="2"/>
  <c r="AE296" i="2"/>
  <c r="AE297" i="2"/>
  <c r="AE298" i="2"/>
  <c r="AE299" i="2"/>
  <c r="AE300" i="2"/>
  <c r="AE301" i="2"/>
  <c r="AE302" i="2"/>
  <c r="AE303" i="2"/>
  <c r="AE304" i="2"/>
  <c r="AE305" i="2"/>
  <c r="AE306" i="2"/>
  <c r="AE307" i="2"/>
  <c r="AE308" i="2"/>
  <c r="AE309" i="2"/>
  <c r="AE310" i="2"/>
  <c r="AE311" i="2"/>
  <c r="AE312" i="2"/>
  <c r="AE313" i="2"/>
  <c r="AE314" i="2"/>
  <c r="AE315" i="2"/>
  <c r="AE316" i="2"/>
  <c r="AE317" i="2"/>
  <c r="AF232" i="2"/>
  <c r="AF233" i="2"/>
  <c r="AF234" i="2"/>
  <c r="AF235" i="2"/>
  <c r="AF236" i="2"/>
  <c r="AF237" i="2"/>
  <c r="AF238" i="2"/>
  <c r="AF239" i="2"/>
  <c r="AF240" i="2"/>
  <c r="AF241" i="2"/>
  <c r="AF242" i="2"/>
  <c r="AF243" i="2"/>
  <c r="AF244" i="2"/>
  <c r="AF245" i="2"/>
  <c r="AF246" i="2"/>
  <c r="AF247" i="2"/>
  <c r="AF248" i="2"/>
  <c r="AF249" i="2"/>
  <c r="AF250" i="2"/>
  <c r="AF251" i="2"/>
  <c r="AF252" i="2"/>
  <c r="AF253" i="2"/>
  <c r="AF254" i="2"/>
  <c r="AF255" i="2"/>
  <c r="AF256" i="2"/>
  <c r="AF257" i="2"/>
  <c r="AF258" i="2"/>
  <c r="AF259" i="2"/>
  <c r="AF260" i="2"/>
  <c r="AF261" i="2"/>
  <c r="AF262" i="2"/>
  <c r="AF263" i="2"/>
  <c r="AF264" i="2"/>
  <c r="AF265" i="2"/>
  <c r="AF266" i="2"/>
  <c r="AF267" i="2"/>
  <c r="AF268" i="2"/>
  <c r="AF269" i="2"/>
  <c r="AF270" i="2"/>
  <c r="AF271" i="2"/>
  <c r="AF272" i="2"/>
  <c r="AF273" i="2"/>
  <c r="AF274" i="2"/>
  <c r="AF275" i="2"/>
  <c r="AF276" i="2"/>
  <c r="AF277" i="2"/>
  <c r="AF278" i="2"/>
  <c r="AF279" i="2"/>
  <c r="AF280" i="2"/>
  <c r="AF281" i="2"/>
  <c r="AF282" i="2"/>
  <c r="AF283" i="2"/>
  <c r="AF284" i="2"/>
  <c r="AF285" i="2"/>
  <c r="AF286" i="2"/>
  <c r="AF287" i="2"/>
  <c r="AF288" i="2"/>
  <c r="AF289" i="2"/>
  <c r="AF290" i="2"/>
  <c r="AF291" i="2"/>
  <c r="AF292" i="2"/>
  <c r="AF293" i="2"/>
  <c r="AF294" i="2"/>
  <c r="AF295" i="2"/>
  <c r="AF296" i="2"/>
  <c r="AF297" i="2"/>
  <c r="AF298" i="2"/>
  <c r="AF299" i="2"/>
  <c r="AF300" i="2"/>
  <c r="AF301" i="2"/>
  <c r="AF302" i="2"/>
  <c r="AF303" i="2"/>
  <c r="AF304" i="2"/>
  <c r="AF305" i="2"/>
  <c r="AF306" i="2"/>
  <c r="AF307" i="2"/>
  <c r="AF308" i="2"/>
  <c r="AF309" i="2"/>
  <c r="AF310" i="2"/>
  <c r="AF311" i="2"/>
  <c r="AF312" i="2"/>
  <c r="AF313" i="2"/>
  <c r="AF314" i="2"/>
  <c r="AF315" i="2"/>
  <c r="AF316" i="2"/>
  <c r="AF317" i="2"/>
  <c r="AG232" i="2"/>
  <c r="AG233" i="2"/>
  <c r="AG234" i="2"/>
  <c r="AG235" i="2"/>
  <c r="AG236" i="2"/>
  <c r="AG237" i="2"/>
  <c r="AG238" i="2"/>
  <c r="AG239" i="2"/>
  <c r="AG240" i="2"/>
  <c r="AG241" i="2"/>
  <c r="AG242" i="2"/>
  <c r="AG243" i="2"/>
  <c r="AG244" i="2"/>
  <c r="AG245" i="2"/>
  <c r="AG246" i="2"/>
  <c r="AG247" i="2"/>
  <c r="AG248" i="2"/>
  <c r="AG249" i="2"/>
  <c r="AG250" i="2"/>
  <c r="AG251" i="2"/>
  <c r="AG252" i="2"/>
  <c r="AG253" i="2"/>
  <c r="AG254" i="2"/>
  <c r="AG255" i="2"/>
  <c r="AG256" i="2"/>
  <c r="AG257" i="2"/>
  <c r="AG258" i="2"/>
  <c r="AG259" i="2"/>
  <c r="AG260" i="2"/>
  <c r="AG261" i="2"/>
  <c r="AG262" i="2"/>
  <c r="AG263" i="2"/>
  <c r="AG264" i="2"/>
  <c r="AG265" i="2"/>
  <c r="AG266" i="2"/>
  <c r="AG267" i="2"/>
  <c r="AG268" i="2"/>
  <c r="AG269" i="2"/>
  <c r="AG270" i="2"/>
  <c r="AG271" i="2"/>
  <c r="AG272" i="2"/>
  <c r="AG273" i="2"/>
  <c r="AG274" i="2"/>
  <c r="AG275" i="2"/>
  <c r="AG276" i="2"/>
  <c r="AG277" i="2"/>
  <c r="AG278" i="2"/>
  <c r="AG279" i="2"/>
  <c r="AG280" i="2"/>
  <c r="AG281" i="2"/>
  <c r="AG282" i="2"/>
  <c r="AG283" i="2"/>
  <c r="AG284" i="2"/>
  <c r="AG285" i="2"/>
  <c r="AG286" i="2"/>
  <c r="AG287" i="2"/>
  <c r="AG288" i="2"/>
  <c r="AG289" i="2"/>
  <c r="AG290" i="2"/>
  <c r="AG291" i="2"/>
  <c r="AG292" i="2"/>
  <c r="AG293" i="2"/>
  <c r="AG294" i="2"/>
  <c r="AG295" i="2"/>
  <c r="AG296" i="2"/>
  <c r="AG297" i="2"/>
  <c r="AG298" i="2"/>
  <c r="AG299" i="2"/>
  <c r="AG300" i="2"/>
  <c r="AG301" i="2"/>
  <c r="AG302" i="2"/>
  <c r="AG303" i="2"/>
  <c r="AG304" i="2"/>
  <c r="AG305" i="2"/>
  <c r="AG306" i="2"/>
  <c r="AG307" i="2"/>
  <c r="AG308" i="2"/>
  <c r="AG309" i="2"/>
  <c r="AG310" i="2"/>
  <c r="AG311" i="2"/>
  <c r="AG312" i="2"/>
  <c r="AG313" i="2"/>
  <c r="AG314" i="2"/>
  <c r="AG315" i="2"/>
  <c r="AG316" i="2"/>
  <c r="AG317" i="2"/>
  <c r="AH232" i="2"/>
  <c r="AH233" i="2"/>
  <c r="AH234" i="2"/>
  <c r="AH235" i="2"/>
  <c r="AH236" i="2"/>
  <c r="AH237" i="2"/>
  <c r="AH238" i="2"/>
  <c r="AH239" i="2"/>
  <c r="AH240" i="2"/>
  <c r="AH241" i="2"/>
  <c r="AH242" i="2"/>
  <c r="AH243" i="2"/>
  <c r="AH244" i="2"/>
  <c r="AH245" i="2"/>
  <c r="AH246" i="2"/>
  <c r="AH247" i="2"/>
  <c r="AH248" i="2"/>
  <c r="AH249" i="2"/>
  <c r="AH250" i="2"/>
  <c r="AH251" i="2"/>
  <c r="AH252" i="2"/>
  <c r="AH253" i="2"/>
  <c r="AH254" i="2"/>
  <c r="AH255" i="2"/>
  <c r="AH256" i="2"/>
  <c r="AH257" i="2"/>
  <c r="AH258" i="2"/>
  <c r="AH259" i="2"/>
  <c r="AH260" i="2"/>
  <c r="AH261" i="2"/>
  <c r="AH262" i="2"/>
  <c r="AH263" i="2"/>
  <c r="AH264" i="2"/>
  <c r="AH265" i="2"/>
  <c r="AH266" i="2"/>
  <c r="AH267" i="2"/>
  <c r="AH268" i="2"/>
  <c r="AH269" i="2"/>
  <c r="AH270" i="2"/>
  <c r="AH271" i="2"/>
  <c r="AH272" i="2"/>
  <c r="AH273" i="2"/>
  <c r="AH274" i="2"/>
  <c r="AH275" i="2"/>
  <c r="AH276" i="2"/>
  <c r="AH277" i="2"/>
  <c r="AH278" i="2"/>
  <c r="AH279" i="2"/>
  <c r="AH280" i="2"/>
  <c r="AH281" i="2"/>
  <c r="AH282" i="2"/>
  <c r="AH283" i="2"/>
  <c r="AH284" i="2"/>
  <c r="AH285" i="2"/>
  <c r="AH286" i="2"/>
  <c r="AH287" i="2"/>
  <c r="AH288" i="2"/>
  <c r="AH289" i="2"/>
  <c r="AH290" i="2"/>
  <c r="AH291" i="2"/>
  <c r="AH292" i="2"/>
  <c r="AH293" i="2"/>
  <c r="AH294" i="2"/>
  <c r="AH295" i="2"/>
  <c r="AH296" i="2"/>
  <c r="AH297" i="2"/>
  <c r="AH298" i="2"/>
  <c r="AH299" i="2"/>
  <c r="AH300" i="2"/>
  <c r="AH301" i="2"/>
  <c r="AH302" i="2"/>
  <c r="AH303" i="2"/>
  <c r="AH304" i="2"/>
  <c r="AH305" i="2"/>
  <c r="AH306" i="2"/>
  <c r="AH307" i="2"/>
  <c r="AH308" i="2"/>
  <c r="AH309" i="2"/>
  <c r="AH310" i="2"/>
  <c r="AH311" i="2"/>
  <c r="AH312" i="2"/>
  <c r="AH313" i="2"/>
  <c r="AH314" i="2"/>
  <c r="AH315" i="2"/>
  <c r="AH316" i="2"/>
  <c r="AH317" i="2"/>
  <c r="AI232" i="2"/>
  <c r="AI233" i="2"/>
  <c r="AI234" i="2"/>
  <c r="AI235" i="2"/>
  <c r="AI236" i="2"/>
  <c r="AI237" i="2"/>
  <c r="AI238" i="2"/>
  <c r="AI239" i="2"/>
  <c r="AI240" i="2"/>
  <c r="AI241" i="2"/>
  <c r="AI242" i="2"/>
  <c r="AI243" i="2"/>
  <c r="AI244" i="2"/>
  <c r="AI245" i="2"/>
  <c r="AI246" i="2"/>
  <c r="AI247" i="2"/>
  <c r="AI248" i="2"/>
  <c r="AI249" i="2"/>
  <c r="AI250" i="2"/>
  <c r="AI251" i="2"/>
  <c r="AI252" i="2"/>
  <c r="AI253" i="2"/>
  <c r="AI254" i="2"/>
  <c r="AI255" i="2"/>
  <c r="AI256" i="2"/>
  <c r="AI257" i="2"/>
  <c r="AI258" i="2"/>
  <c r="AI259" i="2"/>
  <c r="AI260" i="2"/>
  <c r="AI261" i="2"/>
  <c r="AI262" i="2"/>
  <c r="AI263" i="2"/>
  <c r="AI264" i="2"/>
  <c r="AI265" i="2"/>
  <c r="AI266" i="2"/>
  <c r="AI267" i="2"/>
  <c r="AI268" i="2"/>
  <c r="AI269" i="2"/>
  <c r="AI270" i="2"/>
  <c r="AI271" i="2"/>
  <c r="AI272" i="2"/>
  <c r="AI273" i="2"/>
  <c r="AI274" i="2"/>
  <c r="AI275" i="2"/>
  <c r="AI276" i="2"/>
  <c r="AI277" i="2"/>
  <c r="AI278" i="2"/>
  <c r="AI279" i="2"/>
  <c r="AI280" i="2"/>
  <c r="AI281" i="2"/>
  <c r="AI282" i="2"/>
  <c r="AI283" i="2"/>
  <c r="AI284" i="2"/>
  <c r="AI285" i="2"/>
  <c r="AI286" i="2"/>
  <c r="AI287" i="2"/>
  <c r="AI288" i="2"/>
  <c r="AI289" i="2"/>
  <c r="AI290" i="2"/>
  <c r="AI291" i="2"/>
  <c r="AI292" i="2"/>
  <c r="AI293" i="2"/>
  <c r="AI294" i="2"/>
  <c r="AI295" i="2"/>
  <c r="AI296" i="2"/>
  <c r="AI297" i="2"/>
  <c r="AI298" i="2"/>
  <c r="AI299" i="2"/>
  <c r="AI300" i="2"/>
  <c r="AI301" i="2"/>
  <c r="AI302" i="2"/>
  <c r="AI303" i="2"/>
  <c r="AI304" i="2"/>
  <c r="AI305" i="2"/>
  <c r="AI306" i="2"/>
  <c r="AI307" i="2"/>
  <c r="AI308" i="2"/>
  <c r="AI309" i="2"/>
  <c r="AI310" i="2"/>
  <c r="AI311" i="2"/>
  <c r="AI312" i="2"/>
  <c r="AI313" i="2"/>
  <c r="AI314" i="2"/>
  <c r="AI315" i="2"/>
  <c r="AI316" i="2"/>
  <c r="AI317" i="2"/>
  <c r="AJ232" i="2"/>
  <c r="AJ233" i="2"/>
  <c r="AJ234" i="2"/>
  <c r="AJ235" i="2"/>
  <c r="AJ236" i="2"/>
  <c r="AJ237" i="2"/>
  <c r="AJ238" i="2"/>
  <c r="AJ239" i="2"/>
  <c r="AJ240" i="2"/>
  <c r="AJ241" i="2"/>
  <c r="AJ242" i="2"/>
  <c r="AJ243" i="2"/>
  <c r="AJ244" i="2"/>
  <c r="AJ245" i="2"/>
  <c r="AJ246" i="2"/>
  <c r="AJ247" i="2"/>
  <c r="AJ248" i="2"/>
  <c r="AJ249" i="2"/>
  <c r="AJ250" i="2"/>
  <c r="AJ251" i="2"/>
  <c r="AJ252" i="2"/>
  <c r="AJ253" i="2"/>
  <c r="AJ254" i="2"/>
  <c r="AJ255" i="2"/>
  <c r="AJ256" i="2"/>
  <c r="AJ257" i="2"/>
  <c r="AJ258" i="2"/>
  <c r="AJ259" i="2"/>
  <c r="AJ260" i="2"/>
  <c r="AJ261" i="2"/>
  <c r="AJ262" i="2"/>
  <c r="AJ263" i="2"/>
  <c r="AJ264" i="2"/>
  <c r="AJ265" i="2"/>
  <c r="AJ266" i="2"/>
  <c r="AJ267" i="2"/>
  <c r="AJ268" i="2"/>
  <c r="AJ269" i="2"/>
  <c r="AJ270" i="2"/>
  <c r="AJ271" i="2"/>
  <c r="AJ272" i="2"/>
  <c r="AJ273" i="2"/>
  <c r="AJ274" i="2"/>
  <c r="AJ275" i="2"/>
  <c r="AJ276" i="2"/>
  <c r="AJ277" i="2"/>
  <c r="AJ278" i="2"/>
  <c r="AJ279" i="2"/>
  <c r="AJ280" i="2"/>
  <c r="AJ281" i="2"/>
  <c r="AJ282" i="2"/>
  <c r="AJ283" i="2"/>
  <c r="AJ284" i="2"/>
  <c r="AJ285" i="2"/>
  <c r="AJ286" i="2"/>
  <c r="AJ287" i="2"/>
  <c r="AJ288" i="2"/>
  <c r="AJ289" i="2"/>
  <c r="AJ290" i="2"/>
  <c r="AJ291" i="2"/>
  <c r="AJ292" i="2"/>
  <c r="AJ293" i="2"/>
  <c r="AJ294" i="2"/>
  <c r="AJ295" i="2"/>
  <c r="AJ296" i="2"/>
  <c r="AJ297" i="2"/>
  <c r="AJ298" i="2"/>
  <c r="AJ299" i="2"/>
  <c r="AJ300" i="2"/>
  <c r="AJ301" i="2"/>
  <c r="AJ302" i="2"/>
  <c r="AJ303" i="2"/>
  <c r="AJ304" i="2"/>
  <c r="AJ305" i="2"/>
  <c r="AJ306" i="2"/>
  <c r="AJ307" i="2"/>
  <c r="AJ308" i="2"/>
  <c r="AJ309" i="2"/>
  <c r="AJ310" i="2"/>
  <c r="AJ311" i="2"/>
  <c r="AJ312" i="2"/>
  <c r="AJ313" i="2"/>
  <c r="AJ314" i="2"/>
  <c r="AJ315" i="2"/>
  <c r="AJ316" i="2"/>
  <c r="AJ317" i="2"/>
  <c r="AK232" i="2"/>
  <c r="AK233" i="2"/>
  <c r="AK234" i="2"/>
  <c r="AK235" i="2"/>
  <c r="AK236" i="2"/>
  <c r="AK237" i="2"/>
  <c r="AK238" i="2"/>
  <c r="AK239" i="2"/>
  <c r="AK240" i="2"/>
  <c r="AK241" i="2"/>
  <c r="AK242" i="2"/>
  <c r="AK243" i="2"/>
  <c r="AK244" i="2"/>
  <c r="AK245" i="2"/>
  <c r="AK246" i="2"/>
  <c r="AK247" i="2"/>
  <c r="AK248" i="2"/>
  <c r="AK249" i="2"/>
  <c r="AK250" i="2"/>
  <c r="AK251" i="2"/>
  <c r="AK252" i="2"/>
  <c r="AK253" i="2"/>
  <c r="AK254" i="2"/>
  <c r="AK255" i="2"/>
  <c r="AK256" i="2"/>
  <c r="AK257" i="2"/>
  <c r="AK258" i="2"/>
  <c r="AK259" i="2"/>
  <c r="AK260" i="2"/>
  <c r="AK261" i="2"/>
  <c r="AK262" i="2"/>
  <c r="AK263" i="2"/>
  <c r="AK264" i="2"/>
  <c r="AK265" i="2"/>
  <c r="AK266" i="2"/>
  <c r="AK267" i="2"/>
  <c r="AK268" i="2"/>
  <c r="AK269" i="2"/>
  <c r="AK270" i="2"/>
  <c r="AK271" i="2"/>
  <c r="AK272" i="2"/>
  <c r="AK273" i="2"/>
  <c r="AK274" i="2"/>
  <c r="AK275" i="2"/>
  <c r="AK276" i="2"/>
  <c r="AK277" i="2"/>
  <c r="AK278" i="2"/>
  <c r="AK279" i="2"/>
  <c r="AK280" i="2"/>
  <c r="AK281" i="2"/>
  <c r="AK282" i="2"/>
  <c r="AK283" i="2"/>
  <c r="AK284" i="2"/>
  <c r="AK285" i="2"/>
  <c r="AK286" i="2"/>
  <c r="AK287" i="2"/>
  <c r="AK288" i="2"/>
  <c r="AK289" i="2"/>
  <c r="AK290" i="2"/>
  <c r="AK291" i="2"/>
  <c r="AK292" i="2"/>
  <c r="AK293" i="2"/>
  <c r="AK294" i="2"/>
  <c r="AK295" i="2"/>
  <c r="AK296" i="2"/>
  <c r="AK297" i="2"/>
  <c r="AK298" i="2"/>
  <c r="AK299" i="2"/>
  <c r="AK300" i="2"/>
  <c r="AK301" i="2"/>
  <c r="AK302" i="2"/>
  <c r="AK303" i="2"/>
  <c r="AK304" i="2"/>
  <c r="AK305" i="2"/>
  <c r="AK306" i="2"/>
  <c r="AK307" i="2"/>
  <c r="AK308" i="2"/>
  <c r="AK309" i="2"/>
  <c r="AK310" i="2"/>
  <c r="AK311" i="2"/>
  <c r="AK312" i="2"/>
  <c r="AK313" i="2"/>
  <c r="AK314" i="2"/>
  <c r="AK315" i="2"/>
  <c r="AK316" i="2"/>
  <c r="AK317" i="2"/>
  <c r="AL232" i="2"/>
  <c r="AL233" i="2"/>
  <c r="AL234" i="2"/>
  <c r="AL235" i="2"/>
  <c r="AL236" i="2"/>
  <c r="AL237" i="2"/>
  <c r="AL238" i="2"/>
  <c r="AL239" i="2"/>
  <c r="AL240" i="2"/>
  <c r="AL241" i="2"/>
  <c r="AL242" i="2"/>
  <c r="AL243" i="2"/>
  <c r="AL244" i="2"/>
  <c r="AL245" i="2"/>
  <c r="AL246" i="2"/>
  <c r="AL247" i="2"/>
  <c r="AL248" i="2"/>
  <c r="AL249" i="2"/>
  <c r="AL250" i="2"/>
  <c r="AL251" i="2"/>
  <c r="AL252" i="2"/>
  <c r="AL253" i="2"/>
  <c r="AL254" i="2"/>
  <c r="AL255" i="2"/>
  <c r="AL256" i="2"/>
  <c r="AL257" i="2"/>
  <c r="AL258" i="2"/>
  <c r="AL259" i="2"/>
  <c r="AL260" i="2"/>
  <c r="AL261" i="2"/>
  <c r="AL262" i="2"/>
  <c r="AL263" i="2"/>
  <c r="AL264" i="2"/>
  <c r="AL265" i="2"/>
  <c r="AL266" i="2"/>
  <c r="AL267" i="2"/>
  <c r="AL268" i="2"/>
  <c r="AL269" i="2"/>
  <c r="AL270" i="2"/>
  <c r="AL271" i="2"/>
  <c r="AL272" i="2"/>
  <c r="AL273" i="2"/>
  <c r="AL274" i="2"/>
  <c r="AL275" i="2"/>
  <c r="AL276" i="2"/>
  <c r="AL277" i="2"/>
  <c r="AL278" i="2"/>
  <c r="AL279" i="2"/>
  <c r="AL280" i="2"/>
  <c r="AL281" i="2"/>
  <c r="AL282" i="2"/>
  <c r="AL283" i="2"/>
  <c r="AL284" i="2"/>
  <c r="AL285" i="2"/>
  <c r="AL286" i="2"/>
  <c r="AL287" i="2"/>
  <c r="AL288" i="2"/>
  <c r="AL289" i="2"/>
  <c r="AL290" i="2"/>
  <c r="AL291" i="2"/>
  <c r="AL292" i="2"/>
  <c r="AL293" i="2"/>
  <c r="AL294" i="2"/>
  <c r="AL295" i="2"/>
  <c r="AL296" i="2"/>
  <c r="AL297" i="2"/>
  <c r="AL298" i="2"/>
  <c r="AL299" i="2"/>
  <c r="AL300" i="2"/>
  <c r="AL301" i="2"/>
  <c r="AL302" i="2"/>
  <c r="AL303" i="2"/>
  <c r="AL304" i="2"/>
  <c r="AL305" i="2"/>
  <c r="AL306" i="2"/>
  <c r="AL307" i="2"/>
  <c r="AL308" i="2"/>
  <c r="AL309" i="2"/>
  <c r="AL310" i="2"/>
  <c r="AL311" i="2"/>
  <c r="AL312" i="2"/>
  <c r="AL313" i="2"/>
  <c r="AL314" i="2"/>
  <c r="AL315" i="2"/>
  <c r="AL316" i="2"/>
  <c r="AL317" i="2"/>
  <c r="H25" i="3"/>
  <c r="AL2" i="2"/>
  <c r="AL3" i="2"/>
  <c r="AL4" i="2"/>
  <c r="AL5" i="2"/>
  <c r="AL6" i="2"/>
  <c r="AL7" i="2"/>
  <c r="AL8" i="2"/>
  <c r="AL9" i="2"/>
  <c r="AL10" i="2"/>
  <c r="AL11" i="2"/>
  <c r="AL12" i="2"/>
  <c r="AL13" i="2"/>
  <c r="AL14" i="2"/>
  <c r="AL15" i="2"/>
  <c r="AL16" i="2"/>
  <c r="AL17" i="2"/>
  <c r="AL18" i="2"/>
  <c r="AL19" i="2"/>
  <c r="AL20" i="2"/>
  <c r="AL21" i="2"/>
  <c r="AL22" i="2"/>
  <c r="AL23" i="2"/>
  <c r="AL24" i="2"/>
  <c r="AL25" i="2"/>
  <c r="AL26" i="2"/>
  <c r="AL27" i="2"/>
  <c r="AL28" i="2"/>
  <c r="AL29" i="2"/>
  <c r="AL30" i="2"/>
  <c r="AL31" i="2"/>
  <c r="AL32" i="2"/>
  <c r="AL33" i="2"/>
  <c r="AL34" i="2"/>
  <c r="AL35" i="2"/>
  <c r="AL36" i="2"/>
  <c r="AL37" i="2"/>
  <c r="AL38" i="2"/>
  <c r="AL39" i="2"/>
  <c r="AL40" i="2"/>
  <c r="AL41" i="2"/>
  <c r="AL42" i="2"/>
  <c r="AL43" i="2"/>
  <c r="AL44" i="2"/>
  <c r="AL45" i="2"/>
  <c r="AL46" i="2"/>
  <c r="AL47" i="2"/>
  <c r="AL48" i="2"/>
  <c r="AL49" i="2"/>
  <c r="AL50" i="2"/>
  <c r="AL51" i="2"/>
  <c r="AL52" i="2"/>
  <c r="AL53" i="2"/>
  <c r="AL54" i="2"/>
  <c r="AL55" i="2"/>
  <c r="AL56" i="2"/>
  <c r="AL57" i="2"/>
  <c r="AL58" i="2"/>
  <c r="AL59" i="2"/>
  <c r="AL60" i="2"/>
  <c r="AL61" i="2"/>
  <c r="AL62" i="2"/>
  <c r="AL63" i="2"/>
  <c r="AL64" i="2"/>
  <c r="AL65" i="2"/>
  <c r="AL66" i="2"/>
  <c r="AL67" i="2"/>
  <c r="AL68" i="2"/>
  <c r="AL69" i="2"/>
  <c r="AL70" i="2"/>
  <c r="AL71" i="2"/>
  <c r="AL72" i="2"/>
  <c r="AL73" i="2"/>
  <c r="AL74" i="2"/>
  <c r="AL75" i="2"/>
  <c r="AL76" i="2"/>
  <c r="AL77" i="2"/>
  <c r="AL78" i="2"/>
  <c r="AL79" i="2"/>
  <c r="AL80" i="2"/>
  <c r="AL81" i="2"/>
  <c r="AL82" i="2"/>
  <c r="AL83" i="2"/>
  <c r="AL84" i="2"/>
  <c r="AL85" i="2"/>
  <c r="AL86" i="2"/>
  <c r="AL87" i="2"/>
  <c r="AL88" i="2"/>
  <c r="AL89" i="2"/>
  <c r="AL90" i="2"/>
  <c r="AL91" i="2"/>
  <c r="AL92" i="2"/>
  <c r="AL93" i="2"/>
  <c r="AL94" i="2"/>
  <c r="AL95" i="2"/>
  <c r="AL96" i="2"/>
  <c r="AL97" i="2"/>
  <c r="AL98" i="2"/>
  <c r="AL99" i="2"/>
  <c r="AL100" i="2"/>
  <c r="AL101" i="2"/>
  <c r="AL102" i="2"/>
  <c r="AL103" i="2"/>
  <c r="AL104" i="2"/>
  <c r="AL105" i="2"/>
  <c r="AL106" i="2"/>
  <c r="AL107" i="2"/>
  <c r="AL108" i="2"/>
  <c r="AL109" i="2"/>
  <c r="AL110" i="2"/>
  <c r="AL111" i="2"/>
  <c r="AL112" i="2"/>
  <c r="AL113" i="2"/>
  <c r="AL114" i="2"/>
  <c r="AL115" i="2"/>
  <c r="AL116" i="2"/>
  <c r="AL117" i="2"/>
  <c r="AL118" i="2"/>
  <c r="AL119" i="2"/>
  <c r="AL120" i="2"/>
  <c r="AL121" i="2"/>
  <c r="AL122" i="2"/>
  <c r="AL123" i="2"/>
  <c r="AL124" i="2"/>
  <c r="AL125" i="2"/>
  <c r="AL126" i="2"/>
  <c r="AL127" i="2"/>
  <c r="AL128" i="2"/>
  <c r="AL129" i="2"/>
  <c r="AL130" i="2"/>
  <c r="AL131" i="2"/>
  <c r="AL132" i="2"/>
  <c r="AL133" i="2"/>
  <c r="AL134" i="2"/>
  <c r="AL135" i="2"/>
  <c r="AL136" i="2"/>
  <c r="AL137" i="2"/>
  <c r="AL138" i="2"/>
  <c r="AL139" i="2"/>
  <c r="AL140" i="2"/>
  <c r="AL141" i="2"/>
  <c r="AL142" i="2"/>
  <c r="AL143" i="2"/>
  <c r="AL144" i="2"/>
  <c r="AL145" i="2"/>
  <c r="AL146" i="2"/>
  <c r="AL147" i="2"/>
  <c r="AL148" i="2"/>
  <c r="AL149" i="2"/>
  <c r="AL150" i="2"/>
  <c r="AL151" i="2"/>
  <c r="AL152" i="2"/>
  <c r="AL153" i="2"/>
  <c r="AL154" i="2"/>
  <c r="AL155" i="2"/>
  <c r="AL156" i="2"/>
  <c r="AL157" i="2"/>
  <c r="AL158" i="2"/>
  <c r="AL159" i="2"/>
  <c r="AL160" i="2"/>
  <c r="AL161" i="2"/>
  <c r="AL162" i="2"/>
  <c r="AL163" i="2"/>
  <c r="AL164" i="2"/>
  <c r="AL165" i="2"/>
  <c r="AL166" i="2"/>
  <c r="AL167" i="2"/>
  <c r="AL168" i="2"/>
  <c r="AL169" i="2"/>
  <c r="AL170" i="2"/>
  <c r="AL171" i="2"/>
  <c r="AL172" i="2"/>
  <c r="AL173" i="2"/>
  <c r="AL174" i="2"/>
  <c r="AL175" i="2"/>
  <c r="AL176" i="2"/>
  <c r="AL177" i="2"/>
  <c r="AL178" i="2"/>
  <c r="AL179" i="2"/>
  <c r="AL180" i="2"/>
  <c r="AL181" i="2"/>
  <c r="AL182" i="2"/>
  <c r="AL183" i="2"/>
  <c r="AL184" i="2"/>
  <c r="AL185" i="2"/>
  <c r="AL186" i="2"/>
  <c r="AL187" i="2"/>
  <c r="AL188" i="2"/>
  <c r="AL189" i="2"/>
  <c r="AL190" i="2"/>
  <c r="AL191" i="2"/>
  <c r="AL192" i="2"/>
  <c r="AL193" i="2"/>
  <c r="AL194" i="2"/>
  <c r="AL195" i="2"/>
  <c r="AL196" i="2"/>
  <c r="AL197" i="2"/>
  <c r="AL198" i="2"/>
  <c r="AL199" i="2"/>
  <c r="AL200" i="2"/>
  <c r="AL201" i="2"/>
  <c r="AL202" i="2"/>
  <c r="AL203" i="2"/>
  <c r="AL204" i="2"/>
  <c r="AL205" i="2"/>
  <c r="AL206" i="2"/>
  <c r="AL207" i="2"/>
  <c r="AL208" i="2"/>
  <c r="AL209" i="2"/>
  <c r="AL210" i="2"/>
  <c r="AL211" i="2"/>
  <c r="AL212" i="2"/>
  <c r="AL213" i="2"/>
  <c r="AL214" i="2"/>
  <c r="AL215" i="2"/>
  <c r="AL216" i="2"/>
  <c r="AL217" i="2"/>
  <c r="AL218" i="2"/>
  <c r="AL219" i="2"/>
  <c r="AL220" i="2"/>
  <c r="AL221" i="2"/>
  <c r="AL222" i="2"/>
  <c r="AL223" i="2"/>
  <c r="AL224" i="2"/>
  <c r="AL225" i="2"/>
  <c r="AL226" i="2"/>
  <c r="AL227" i="2"/>
  <c r="AL228" i="2"/>
  <c r="AL229" i="2"/>
  <c r="AL230" i="2"/>
  <c r="AL231" i="2"/>
  <c r="AK2" i="2"/>
  <c r="AK3" i="2"/>
  <c r="AK4" i="2"/>
  <c r="AK5" i="2"/>
  <c r="AK6" i="2"/>
  <c r="AK7" i="2"/>
  <c r="AK8" i="2"/>
  <c r="AK9" i="2"/>
  <c r="AK10" i="2"/>
  <c r="AK11" i="2"/>
  <c r="AK12" i="2"/>
  <c r="AK13" i="2"/>
  <c r="AK14" i="2"/>
  <c r="AK15" i="2"/>
  <c r="AK16" i="2"/>
  <c r="AK17" i="2"/>
  <c r="AK18" i="2"/>
  <c r="AK19" i="2"/>
  <c r="AK20" i="2"/>
  <c r="AK21" i="2"/>
  <c r="AK22" i="2"/>
  <c r="AK23" i="2"/>
  <c r="AK24" i="2"/>
  <c r="AK25" i="2"/>
  <c r="AK26" i="2"/>
  <c r="AK27" i="2"/>
  <c r="AK28" i="2"/>
  <c r="AK29" i="2"/>
  <c r="AK30" i="2"/>
  <c r="AK31" i="2"/>
  <c r="AK32" i="2"/>
  <c r="AK33" i="2"/>
  <c r="AK34" i="2"/>
  <c r="AK35" i="2"/>
  <c r="AK36" i="2"/>
  <c r="AK37" i="2"/>
  <c r="AK38" i="2"/>
  <c r="AK39" i="2"/>
  <c r="AK40" i="2"/>
  <c r="AK41" i="2"/>
  <c r="AK42" i="2"/>
  <c r="AK43" i="2"/>
  <c r="AK44" i="2"/>
  <c r="AK45" i="2"/>
  <c r="AK46" i="2"/>
  <c r="AK47" i="2"/>
  <c r="AK48" i="2"/>
  <c r="AK49" i="2"/>
  <c r="AK50" i="2"/>
  <c r="AK51" i="2"/>
  <c r="AK52" i="2"/>
  <c r="AK53" i="2"/>
  <c r="AK54" i="2"/>
  <c r="AK55" i="2"/>
  <c r="AK56" i="2"/>
  <c r="AK57" i="2"/>
  <c r="AK58" i="2"/>
  <c r="AK59" i="2"/>
  <c r="AK60" i="2"/>
  <c r="AK61" i="2"/>
  <c r="AK62" i="2"/>
  <c r="AK63" i="2"/>
  <c r="AK64" i="2"/>
  <c r="AK65" i="2"/>
  <c r="AK66" i="2"/>
  <c r="AK67" i="2"/>
  <c r="AK68" i="2"/>
  <c r="AK69" i="2"/>
  <c r="AK70" i="2"/>
  <c r="AK71" i="2"/>
  <c r="AK72" i="2"/>
  <c r="AK73" i="2"/>
  <c r="AK74" i="2"/>
  <c r="AK75" i="2"/>
  <c r="AK76" i="2"/>
  <c r="AK77" i="2"/>
  <c r="AK78" i="2"/>
  <c r="AK79" i="2"/>
  <c r="AK80" i="2"/>
  <c r="AK81" i="2"/>
  <c r="AK82" i="2"/>
  <c r="AK83" i="2"/>
  <c r="AK84" i="2"/>
  <c r="AK85" i="2"/>
  <c r="AK86" i="2"/>
  <c r="AK87" i="2"/>
  <c r="AK88" i="2"/>
  <c r="AK89" i="2"/>
  <c r="AK90" i="2"/>
  <c r="AK91" i="2"/>
  <c r="AK92" i="2"/>
  <c r="AK93" i="2"/>
  <c r="AK94" i="2"/>
  <c r="AK95" i="2"/>
  <c r="AK96" i="2"/>
  <c r="AK97" i="2"/>
  <c r="AK98" i="2"/>
  <c r="AK99" i="2"/>
  <c r="AK100" i="2"/>
  <c r="AK101" i="2"/>
  <c r="AK102" i="2"/>
  <c r="AK103" i="2"/>
  <c r="AK104" i="2"/>
  <c r="AK105" i="2"/>
  <c r="AK106" i="2"/>
  <c r="AK107" i="2"/>
  <c r="AK108" i="2"/>
  <c r="AK109" i="2"/>
  <c r="AK110" i="2"/>
  <c r="AK111" i="2"/>
  <c r="AK112" i="2"/>
  <c r="AK113" i="2"/>
  <c r="AK114" i="2"/>
  <c r="AK115" i="2"/>
  <c r="AK116" i="2"/>
  <c r="AK117" i="2"/>
  <c r="AK118" i="2"/>
  <c r="AK119" i="2"/>
  <c r="AK120" i="2"/>
  <c r="AK121" i="2"/>
  <c r="AK122" i="2"/>
  <c r="AK123" i="2"/>
  <c r="AK124" i="2"/>
  <c r="AK125" i="2"/>
  <c r="AK126" i="2"/>
  <c r="AK127" i="2"/>
  <c r="AK128" i="2"/>
  <c r="AK129" i="2"/>
  <c r="AK130" i="2"/>
  <c r="AK131" i="2"/>
  <c r="AK132" i="2"/>
  <c r="AK133" i="2"/>
  <c r="AK134" i="2"/>
  <c r="AK135" i="2"/>
  <c r="AK136" i="2"/>
  <c r="AK137" i="2"/>
  <c r="AK138" i="2"/>
  <c r="AK139" i="2"/>
  <c r="AK140" i="2"/>
  <c r="AK141" i="2"/>
  <c r="AK142" i="2"/>
  <c r="AK143" i="2"/>
  <c r="AK144" i="2"/>
  <c r="AK145" i="2"/>
  <c r="AK146" i="2"/>
  <c r="AK147" i="2"/>
  <c r="AK148" i="2"/>
  <c r="AK149" i="2"/>
  <c r="AK150" i="2"/>
  <c r="AK151" i="2"/>
  <c r="AK152" i="2"/>
  <c r="AK153" i="2"/>
  <c r="AK154" i="2"/>
  <c r="AK155" i="2"/>
  <c r="AK156" i="2"/>
  <c r="AK157" i="2"/>
  <c r="AK158" i="2"/>
  <c r="AK159" i="2"/>
  <c r="AK160" i="2"/>
  <c r="AK161" i="2"/>
  <c r="AK162" i="2"/>
  <c r="AK163" i="2"/>
  <c r="AK164" i="2"/>
  <c r="AK165" i="2"/>
  <c r="AK166" i="2"/>
  <c r="AK167" i="2"/>
  <c r="AK168" i="2"/>
  <c r="AK169" i="2"/>
  <c r="AK170" i="2"/>
  <c r="AK171" i="2"/>
  <c r="AK172" i="2"/>
  <c r="AK173" i="2"/>
  <c r="AK174" i="2"/>
  <c r="AK175" i="2"/>
  <c r="AK176" i="2"/>
  <c r="AK177" i="2"/>
  <c r="AK178" i="2"/>
  <c r="AK179" i="2"/>
  <c r="AK180" i="2"/>
  <c r="AK181" i="2"/>
  <c r="AK182" i="2"/>
  <c r="AK183" i="2"/>
  <c r="AK184" i="2"/>
  <c r="AK185" i="2"/>
  <c r="AK186" i="2"/>
  <c r="AK187" i="2"/>
  <c r="AK188" i="2"/>
  <c r="AK189" i="2"/>
  <c r="AK190" i="2"/>
  <c r="AK191" i="2"/>
  <c r="AK192" i="2"/>
  <c r="AK193" i="2"/>
  <c r="AK194" i="2"/>
  <c r="AK195" i="2"/>
  <c r="AK196" i="2"/>
  <c r="AK197" i="2"/>
  <c r="AK198" i="2"/>
  <c r="AK199" i="2"/>
  <c r="AK200" i="2"/>
  <c r="AK201" i="2"/>
  <c r="AK202" i="2"/>
  <c r="AK203" i="2"/>
  <c r="AK204" i="2"/>
  <c r="AK205" i="2"/>
  <c r="AK206" i="2"/>
  <c r="AK207" i="2"/>
  <c r="AK208" i="2"/>
  <c r="AK209" i="2"/>
  <c r="AK210" i="2"/>
  <c r="AK211" i="2"/>
  <c r="AK212" i="2"/>
  <c r="AK213" i="2"/>
  <c r="AK214" i="2"/>
  <c r="AK215" i="2"/>
  <c r="AK216" i="2"/>
  <c r="AK217" i="2"/>
  <c r="AK218" i="2"/>
  <c r="AK219" i="2"/>
  <c r="AK220" i="2"/>
  <c r="AK221" i="2"/>
  <c r="AK222" i="2"/>
  <c r="AK223" i="2"/>
  <c r="AK224" i="2"/>
  <c r="AK225" i="2"/>
  <c r="AK226" i="2"/>
  <c r="AK227" i="2"/>
  <c r="AK228" i="2"/>
  <c r="AK229" i="2"/>
  <c r="AK230" i="2"/>
  <c r="AK231" i="2"/>
  <c r="AJ2" i="2"/>
  <c r="AJ3" i="2"/>
  <c r="AJ4" i="2"/>
  <c r="AJ5" i="2"/>
  <c r="AJ6" i="2"/>
  <c r="AJ7" i="2"/>
  <c r="AJ8" i="2"/>
  <c r="AJ9" i="2"/>
  <c r="AJ10" i="2"/>
  <c r="AJ11" i="2"/>
  <c r="AJ12" i="2"/>
  <c r="AJ13" i="2"/>
  <c r="AJ14" i="2"/>
  <c r="AJ15" i="2"/>
  <c r="AJ16" i="2"/>
  <c r="AJ17" i="2"/>
  <c r="AJ18" i="2"/>
  <c r="AJ19" i="2"/>
  <c r="AJ20" i="2"/>
  <c r="AJ21" i="2"/>
  <c r="AJ22" i="2"/>
  <c r="AJ23" i="2"/>
  <c r="AJ24" i="2"/>
  <c r="AJ25" i="2"/>
  <c r="AJ26" i="2"/>
  <c r="AJ27" i="2"/>
  <c r="AJ28" i="2"/>
  <c r="AJ29" i="2"/>
  <c r="AJ30" i="2"/>
  <c r="AJ31" i="2"/>
  <c r="AJ32" i="2"/>
  <c r="AJ33" i="2"/>
  <c r="AJ34" i="2"/>
  <c r="AJ35" i="2"/>
  <c r="AJ36" i="2"/>
  <c r="AJ37" i="2"/>
  <c r="AJ38" i="2"/>
  <c r="AJ39" i="2"/>
  <c r="AJ40" i="2"/>
  <c r="AJ41" i="2"/>
  <c r="AJ42" i="2"/>
  <c r="AJ43" i="2"/>
  <c r="AJ44" i="2"/>
  <c r="AJ45" i="2"/>
  <c r="AJ46" i="2"/>
  <c r="AJ47" i="2"/>
  <c r="AJ48" i="2"/>
  <c r="AJ49" i="2"/>
  <c r="AJ50" i="2"/>
  <c r="AJ51" i="2"/>
  <c r="AJ52" i="2"/>
  <c r="AJ53" i="2"/>
  <c r="AJ54" i="2"/>
  <c r="AJ55" i="2"/>
  <c r="AJ56" i="2"/>
  <c r="AJ57" i="2"/>
  <c r="AJ58" i="2"/>
  <c r="AJ59" i="2"/>
  <c r="AJ60" i="2"/>
  <c r="AJ61" i="2"/>
  <c r="AJ62" i="2"/>
  <c r="AJ63" i="2"/>
  <c r="AJ64" i="2"/>
  <c r="AJ65" i="2"/>
  <c r="AJ66" i="2"/>
  <c r="AJ67" i="2"/>
  <c r="AJ68" i="2"/>
  <c r="AJ69" i="2"/>
  <c r="AJ70" i="2"/>
  <c r="AJ71" i="2"/>
  <c r="AJ72" i="2"/>
  <c r="AJ73" i="2"/>
  <c r="AJ74" i="2"/>
  <c r="AJ75" i="2"/>
  <c r="AJ76" i="2"/>
  <c r="AJ77" i="2"/>
  <c r="AJ78" i="2"/>
  <c r="AJ79" i="2"/>
  <c r="AJ80" i="2"/>
  <c r="AJ81" i="2"/>
  <c r="AJ82" i="2"/>
  <c r="AJ83" i="2"/>
  <c r="AJ84" i="2"/>
  <c r="AJ85" i="2"/>
  <c r="AJ86" i="2"/>
  <c r="AJ87" i="2"/>
  <c r="AJ88" i="2"/>
  <c r="AJ89" i="2"/>
  <c r="AJ90" i="2"/>
  <c r="AJ91" i="2"/>
  <c r="AJ92" i="2"/>
  <c r="AJ93" i="2"/>
  <c r="AJ94" i="2"/>
  <c r="AJ95" i="2"/>
  <c r="AJ96" i="2"/>
  <c r="AJ97" i="2"/>
  <c r="AJ98" i="2"/>
  <c r="AJ99" i="2"/>
  <c r="AJ100" i="2"/>
  <c r="AJ101" i="2"/>
  <c r="AJ102" i="2"/>
  <c r="AJ103" i="2"/>
  <c r="AJ104" i="2"/>
  <c r="AJ105" i="2"/>
  <c r="AJ106" i="2"/>
  <c r="AJ107" i="2"/>
  <c r="AJ108" i="2"/>
  <c r="AJ109" i="2"/>
  <c r="AJ110" i="2"/>
  <c r="AJ111" i="2"/>
  <c r="AJ112" i="2"/>
  <c r="AJ113" i="2"/>
  <c r="AJ114" i="2"/>
  <c r="AJ115" i="2"/>
  <c r="AJ116" i="2"/>
  <c r="AJ117" i="2"/>
  <c r="AJ118" i="2"/>
  <c r="AJ119" i="2"/>
  <c r="AJ120" i="2"/>
  <c r="AJ121" i="2"/>
  <c r="AJ122" i="2"/>
  <c r="AJ123" i="2"/>
  <c r="AJ124" i="2"/>
  <c r="AJ125" i="2"/>
  <c r="AJ126" i="2"/>
  <c r="AJ127" i="2"/>
  <c r="AJ128" i="2"/>
  <c r="AJ129" i="2"/>
  <c r="AJ130" i="2"/>
  <c r="AJ131" i="2"/>
  <c r="AJ132" i="2"/>
  <c r="AJ133" i="2"/>
  <c r="AJ134" i="2"/>
  <c r="AJ135" i="2"/>
  <c r="AJ136" i="2"/>
  <c r="AJ137" i="2"/>
  <c r="AJ138" i="2"/>
  <c r="AJ139" i="2"/>
  <c r="AJ140" i="2"/>
  <c r="AJ141" i="2"/>
  <c r="AJ142" i="2"/>
  <c r="AJ143" i="2"/>
  <c r="AJ144" i="2"/>
  <c r="AJ145" i="2"/>
  <c r="AJ146" i="2"/>
  <c r="AJ147" i="2"/>
  <c r="AJ148" i="2"/>
  <c r="AJ149" i="2"/>
  <c r="AJ150" i="2"/>
  <c r="AJ151" i="2"/>
  <c r="AJ152" i="2"/>
  <c r="AJ153" i="2"/>
  <c r="AJ154" i="2"/>
  <c r="AJ155" i="2"/>
  <c r="AJ156" i="2"/>
  <c r="AJ157" i="2"/>
  <c r="AJ158" i="2"/>
  <c r="AJ159" i="2"/>
  <c r="AJ160" i="2"/>
  <c r="AJ161" i="2"/>
  <c r="AJ162" i="2"/>
  <c r="AJ163" i="2"/>
  <c r="AJ164" i="2"/>
  <c r="AJ165" i="2"/>
  <c r="AJ166" i="2"/>
  <c r="AJ167" i="2"/>
  <c r="AJ168" i="2"/>
  <c r="AJ169" i="2"/>
  <c r="AJ170" i="2"/>
  <c r="AJ171" i="2"/>
  <c r="AJ172" i="2"/>
  <c r="AJ173" i="2"/>
  <c r="AJ174" i="2"/>
  <c r="AJ175" i="2"/>
  <c r="AJ176" i="2"/>
  <c r="AJ177" i="2"/>
  <c r="AJ178" i="2"/>
  <c r="AJ179" i="2"/>
  <c r="AJ180" i="2"/>
  <c r="AJ181" i="2"/>
  <c r="AJ182" i="2"/>
  <c r="AJ183" i="2"/>
  <c r="AJ184" i="2"/>
  <c r="AJ185" i="2"/>
  <c r="AJ186" i="2"/>
  <c r="AJ187" i="2"/>
  <c r="AJ188" i="2"/>
  <c r="AJ189" i="2"/>
  <c r="AJ190" i="2"/>
  <c r="AJ191" i="2"/>
  <c r="AJ192" i="2"/>
  <c r="AJ193" i="2"/>
  <c r="AJ194" i="2"/>
  <c r="AJ195" i="2"/>
  <c r="AJ196" i="2"/>
  <c r="AJ197" i="2"/>
  <c r="AJ198" i="2"/>
  <c r="AJ199" i="2"/>
  <c r="AJ200" i="2"/>
  <c r="AJ201" i="2"/>
  <c r="AJ202" i="2"/>
  <c r="AJ203" i="2"/>
  <c r="AJ204" i="2"/>
  <c r="AJ205" i="2"/>
  <c r="AJ206" i="2"/>
  <c r="AJ207" i="2"/>
  <c r="AJ208" i="2"/>
  <c r="AJ209" i="2"/>
  <c r="AJ210" i="2"/>
  <c r="AJ211" i="2"/>
  <c r="AJ212" i="2"/>
  <c r="AJ213" i="2"/>
  <c r="AJ214" i="2"/>
  <c r="AJ215" i="2"/>
  <c r="AJ216" i="2"/>
  <c r="AJ217" i="2"/>
  <c r="AJ218" i="2"/>
  <c r="AJ219" i="2"/>
  <c r="AJ220" i="2"/>
  <c r="AJ221" i="2"/>
  <c r="AJ222" i="2"/>
  <c r="AJ223" i="2"/>
  <c r="AJ224" i="2"/>
  <c r="AJ225" i="2"/>
  <c r="AJ226" i="2"/>
  <c r="AJ227" i="2"/>
  <c r="AJ228" i="2"/>
  <c r="AJ229" i="2"/>
  <c r="AJ230" i="2"/>
  <c r="AJ231" i="2"/>
  <c r="AI2" i="2"/>
  <c r="AI3" i="2"/>
  <c r="AI4" i="2"/>
  <c r="AI5" i="2"/>
  <c r="AI6" i="2"/>
  <c r="AI7" i="2"/>
  <c r="AI8" i="2"/>
  <c r="AI9" i="2"/>
  <c r="AI10" i="2"/>
  <c r="AI11" i="2"/>
  <c r="AI12" i="2"/>
  <c r="AI13" i="2"/>
  <c r="AI14" i="2"/>
  <c r="AI15" i="2"/>
  <c r="AI16" i="2"/>
  <c r="AI17" i="2"/>
  <c r="AI18" i="2"/>
  <c r="AI19" i="2"/>
  <c r="AI20" i="2"/>
  <c r="AI21" i="2"/>
  <c r="AI22" i="2"/>
  <c r="AI23" i="2"/>
  <c r="AI24" i="2"/>
  <c r="AI25" i="2"/>
  <c r="AI26" i="2"/>
  <c r="AI27" i="2"/>
  <c r="AI28" i="2"/>
  <c r="AI29" i="2"/>
  <c r="AI30" i="2"/>
  <c r="AI31" i="2"/>
  <c r="AI32" i="2"/>
  <c r="AI33" i="2"/>
  <c r="AI34" i="2"/>
  <c r="AI35" i="2"/>
  <c r="AI36" i="2"/>
  <c r="AI37" i="2"/>
  <c r="AI38" i="2"/>
  <c r="AI39" i="2"/>
  <c r="AI40" i="2"/>
  <c r="AI41" i="2"/>
  <c r="AI42" i="2"/>
  <c r="AI43" i="2"/>
  <c r="AI44" i="2"/>
  <c r="AI45" i="2"/>
  <c r="AI46" i="2"/>
  <c r="AI47" i="2"/>
  <c r="AI48" i="2"/>
  <c r="AI49" i="2"/>
  <c r="AI50" i="2"/>
  <c r="AI51" i="2"/>
  <c r="AI52" i="2"/>
  <c r="AI53" i="2"/>
  <c r="AI54" i="2"/>
  <c r="AI55" i="2"/>
  <c r="AI56" i="2"/>
  <c r="AI57" i="2"/>
  <c r="AI58" i="2"/>
  <c r="AI59" i="2"/>
  <c r="AI60" i="2"/>
  <c r="AI61" i="2"/>
  <c r="AI62" i="2"/>
  <c r="AI63" i="2"/>
  <c r="AI64" i="2"/>
  <c r="AI65" i="2"/>
  <c r="AI66" i="2"/>
  <c r="AI67" i="2"/>
  <c r="AI68" i="2"/>
  <c r="AI69" i="2"/>
  <c r="AI70" i="2"/>
  <c r="AI71" i="2"/>
  <c r="AI72" i="2"/>
  <c r="AI73" i="2"/>
  <c r="AI74" i="2"/>
  <c r="AI75" i="2"/>
  <c r="AI76" i="2"/>
  <c r="AI77" i="2"/>
  <c r="AI78" i="2"/>
  <c r="AI79" i="2"/>
  <c r="AI80" i="2"/>
  <c r="AI81" i="2"/>
  <c r="AI82" i="2"/>
  <c r="AI83" i="2"/>
  <c r="AI84" i="2"/>
  <c r="AI85" i="2"/>
  <c r="AI86" i="2"/>
  <c r="AI87" i="2"/>
  <c r="AI88" i="2"/>
  <c r="AI89" i="2"/>
  <c r="AI90" i="2"/>
  <c r="AI91" i="2"/>
  <c r="AI92" i="2"/>
  <c r="AI93" i="2"/>
  <c r="AI94" i="2"/>
  <c r="AI95" i="2"/>
  <c r="AI96" i="2"/>
  <c r="AI97" i="2"/>
  <c r="AI98" i="2"/>
  <c r="AI99" i="2"/>
  <c r="AI100" i="2"/>
  <c r="AI101" i="2"/>
  <c r="AI102" i="2"/>
  <c r="AI103" i="2"/>
  <c r="AI104" i="2"/>
  <c r="AI105" i="2"/>
  <c r="AI106" i="2"/>
  <c r="AI107" i="2"/>
  <c r="AI108" i="2"/>
  <c r="AI109" i="2"/>
  <c r="AI110" i="2"/>
  <c r="AI111" i="2"/>
  <c r="AI112" i="2"/>
  <c r="AI113" i="2"/>
  <c r="AI114" i="2"/>
  <c r="AI115" i="2"/>
  <c r="AI116" i="2"/>
  <c r="AI117" i="2"/>
  <c r="AI118" i="2"/>
  <c r="AI119" i="2"/>
  <c r="AI120" i="2"/>
  <c r="AI121" i="2"/>
  <c r="AI122" i="2"/>
  <c r="AI123" i="2"/>
  <c r="AI124" i="2"/>
  <c r="AI125" i="2"/>
  <c r="AI126" i="2"/>
  <c r="AI127" i="2"/>
  <c r="AI128" i="2"/>
  <c r="AI129" i="2"/>
  <c r="AI130" i="2"/>
  <c r="AI131" i="2"/>
  <c r="AI132" i="2"/>
  <c r="AI133" i="2"/>
  <c r="AI134" i="2"/>
  <c r="AI135" i="2"/>
  <c r="AI136" i="2"/>
  <c r="AI137" i="2"/>
  <c r="AI138" i="2"/>
  <c r="AI139" i="2"/>
  <c r="AI140" i="2"/>
  <c r="AI141" i="2"/>
  <c r="AI142" i="2"/>
  <c r="AI143" i="2"/>
  <c r="AI144" i="2"/>
  <c r="AI145" i="2"/>
  <c r="AI146" i="2"/>
  <c r="AI147" i="2"/>
  <c r="AI148" i="2"/>
  <c r="AI149" i="2"/>
  <c r="AI150" i="2"/>
  <c r="AI151" i="2"/>
  <c r="AI152" i="2"/>
  <c r="AI153" i="2"/>
  <c r="AI154" i="2"/>
  <c r="AI155" i="2"/>
  <c r="AI156" i="2"/>
  <c r="AI157" i="2"/>
  <c r="AI158" i="2"/>
  <c r="AI159" i="2"/>
  <c r="AI160" i="2"/>
  <c r="AI161" i="2"/>
  <c r="AI162" i="2"/>
  <c r="AI163" i="2"/>
  <c r="AI164" i="2"/>
  <c r="AI165" i="2"/>
  <c r="AI166" i="2"/>
  <c r="AI167" i="2"/>
  <c r="AI168" i="2"/>
  <c r="AI169" i="2"/>
  <c r="AI170" i="2"/>
  <c r="AI171" i="2"/>
  <c r="AI172" i="2"/>
  <c r="AI173" i="2"/>
  <c r="AI174" i="2"/>
  <c r="AI175" i="2"/>
  <c r="AI176" i="2"/>
  <c r="AI177" i="2"/>
  <c r="AI178" i="2"/>
  <c r="AI179" i="2"/>
  <c r="AI180" i="2"/>
  <c r="AI181" i="2"/>
  <c r="AI182" i="2"/>
  <c r="AI183" i="2"/>
  <c r="AI184" i="2"/>
  <c r="AI185" i="2"/>
  <c r="AI186" i="2"/>
  <c r="AI187" i="2"/>
  <c r="AI188" i="2"/>
  <c r="AI189" i="2"/>
  <c r="AI190" i="2"/>
  <c r="AI191" i="2"/>
  <c r="AI192" i="2"/>
  <c r="AI193" i="2"/>
  <c r="AI194" i="2"/>
  <c r="AI195" i="2"/>
  <c r="AI196" i="2"/>
  <c r="AI197" i="2"/>
  <c r="AI198" i="2"/>
  <c r="AI199" i="2"/>
  <c r="AI200" i="2"/>
  <c r="AI201" i="2"/>
  <c r="AI202" i="2"/>
  <c r="AI203" i="2"/>
  <c r="AI204" i="2"/>
  <c r="AI205" i="2"/>
  <c r="AI206" i="2"/>
  <c r="AI207" i="2"/>
  <c r="AI208" i="2"/>
  <c r="AI209" i="2"/>
  <c r="AI210" i="2"/>
  <c r="AI211" i="2"/>
  <c r="AI212" i="2"/>
  <c r="AI213" i="2"/>
  <c r="AI214" i="2"/>
  <c r="AI215" i="2"/>
  <c r="AI216" i="2"/>
  <c r="AI217" i="2"/>
  <c r="AI218" i="2"/>
  <c r="AI219" i="2"/>
  <c r="AI220" i="2"/>
  <c r="AI221" i="2"/>
  <c r="AI222" i="2"/>
  <c r="AI223" i="2"/>
  <c r="AI224" i="2"/>
  <c r="AI225" i="2"/>
  <c r="AI226" i="2"/>
  <c r="AI227" i="2"/>
  <c r="AI228" i="2"/>
  <c r="AI229" i="2"/>
  <c r="AI230" i="2"/>
  <c r="AI231" i="2"/>
  <c r="AH2" i="2"/>
  <c r="AH3" i="2"/>
  <c r="AH4" i="2"/>
  <c r="AH5" i="2"/>
  <c r="AH6" i="2"/>
  <c r="AH7" i="2"/>
  <c r="AH8" i="2"/>
  <c r="AH9" i="2"/>
  <c r="AH10" i="2"/>
  <c r="AH11" i="2"/>
  <c r="AH12" i="2"/>
  <c r="AH13" i="2"/>
  <c r="AH14" i="2"/>
  <c r="AH15" i="2"/>
  <c r="AH16" i="2"/>
  <c r="AH17" i="2"/>
  <c r="AH18" i="2"/>
  <c r="AH19" i="2"/>
  <c r="AH20" i="2"/>
  <c r="AH21" i="2"/>
  <c r="AH22" i="2"/>
  <c r="AH23" i="2"/>
  <c r="AH24" i="2"/>
  <c r="AH25" i="2"/>
  <c r="AH26" i="2"/>
  <c r="AH27" i="2"/>
  <c r="AH28" i="2"/>
  <c r="AH29" i="2"/>
  <c r="AH30" i="2"/>
  <c r="AH31" i="2"/>
  <c r="AH32" i="2"/>
  <c r="AH33" i="2"/>
  <c r="AH34" i="2"/>
  <c r="AH35" i="2"/>
  <c r="AH36" i="2"/>
  <c r="AH37" i="2"/>
  <c r="AH38" i="2"/>
  <c r="AH39" i="2"/>
  <c r="AH40" i="2"/>
  <c r="AH41" i="2"/>
  <c r="AH42" i="2"/>
  <c r="AH43" i="2"/>
  <c r="AH44" i="2"/>
  <c r="AH45" i="2"/>
  <c r="AH46" i="2"/>
  <c r="AH47" i="2"/>
  <c r="AH48" i="2"/>
  <c r="AH49" i="2"/>
  <c r="AH50" i="2"/>
  <c r="AH51" i="2"/>
  <c r="AH52" i="2"/>
  <c r="AH53" i="2"/>
  <c r="AH54" i="2"/>
  <c r="AH55" i="2"/>
  <c r="AH56" i="2"/>
  <c r="AH57" i="2"/>
  <c r="AH58" i="2"/>
  <c r="AH59" i="2"/>
  <c r="AH60" i="2"/>
  <c r="AH61" i="2"/>
  <c r="AH62" i="2"/>
  <c r="AH63" i="2"/>
  <c r="AH64" i="2"/>
  <c r="AH65" i="2"/>
  <c r="AH66" i="2"/>
  <c r="AH67" i="2"/>
  <c r="AH68" i="2"/>
  <c r="AH69" i="2"/>
  <c r="AH70" i="2"/>
  <c r="AH71" i="2"/>
  <c r="AH72" i="2"/>
  <c r="AH73" i="2"/>
  <c r="AH74" i="2"/>
  <c r="AH75" i="2"/>
  <c r="AH76" i="2"/>
  <c r="AH77" i="2"/>
  <c r="AH78" i="2"/>
  <c r="AH79" i="2"/>
  <c r="AH80" i="2"/>
  <c r="AH81" i="2"/>
  <c r="AH82" i="2"/>
  <c r="AH83" i="2"/>
  <c r="AH84" i="2"/>
  <c r="AH85" i="2"/>
  <c r="AH86" i="2"/>
  <c r="AH87" i="2"/>
  <c r="AH88" i="2"/>
  <c r="AH89" i="2"/>
  <c r="AH90" i="2"/>
  <c r="AH91" i="2"/>
  <c r="AH92" i="2"/>
  <c r="AH93" i="2"/>
  <c r="AH94" i="2"/>
  <c r="AH95" i="2"/>
  <c r="AH96" i="2"/>
  <c r="AH97" i="2"/>
  <c r="AH98" i="2"/>
  <c r="AH99" i="2"/>
  <c r="AH100" i="2"/>
  <c r="AH101" i="2"/>
  <c r="AH102" i="2"/>
  <c r="AH103" i="2"/>
  <c r="AH104" i="2"/>
  <c r="AH105" i="2"/>
  <c r="AH106" i="2"/>
  <c r="AH107" i="2"/>
  <c r="AH108" i="2"/>
  <c r="AH109" i="2"/>
  <c r="AH110" i="2"/>
  <c r="AH111" i="2"/>
  <c r="AH112" i="2"/>
  <c r="AH113" i="2"/>
  <c r="AH114" i="2"/>
  <c r="AH115" i="2"/>
  <c r="AH116" i="2"/>
  <c r="AH117" i="2"/>
  <c r="AH118" i="2"/>
  <c r="AH119" i="2"/>
  <c r="AH120" i="2"/>
  <c r="AH121" i="2"/>
  <c r="AH122" i="2"/>
  <c r="AH123" i="2"/>
  <c r="AH124" i="2"/>
  <c r="AH125" i="2"/>
  <c r="AH126" i="2"/>
  <c r="AH127" i="2"/>
  <c r="AH128" i="2"/>
  <c r="AH129" i="2"/>
  <c r="AH130" i="2"/>
  <c r="AH131" i="2"/>
  <c r="AH132" i="2"/>
  <c r="AH133" i="2"/>
  <c r="AH134" i="2"/>
  <c r="AH135" i="2"/>
  <c r="AH136" i="2"/>
  <c r="AH137" i="2"/>
  <c r="AH138" i="2"/>
  <c r="AH139" i="2"/>
  <c r="AH140" i="2"/>
  <c r="AH141" i="2"/>
  <c r="AH142" i="2"/>
  <c r="AH143" i="2"/>
  <c r="AH144" i="2"/>
  <c r="AH145" i="2"/>
  <c r="AH146" i="2"/>
  <c r="AH147" i="2"/>
  <c r="AH148" i="2"/>
  <c r="AH149" i="2"/>
  <c r="AH150" i="2"/>
  <c r="AH151" i="2"/>
  <c r="AH152" i="2"/>
  <c r="AH153" i="2"/>
  <c r="AH154" i="2"/>
  <c r="AH155" i="2"/>
  <c r="AH156" i="2"/>
  <c r="AH157" i="2"/>
  <c r="AH158" i="2"/>
  <c r="AH159" i="2"/>
  <c r="AH160" i="2"/>
  <c r="AH161" i="2"/>
  <c r="AH162" i="2"/>
  <c r="AH163" i="2"/>
  <c r="AH164" i="2"/>
  <c r="AH165" i="2"/>
  <c r="AH166" i="2"/>
  <c r="AH167" i="2"/>
  <c r="AH168" i="2"/>
  <c r="AH169" i="2"/>
  <c r="AH170" i="2"/>
  <c r="AH171" i="2"/>
  <c r="AH172" i="2"/>
  <c r="AH173" i="2"/>
  <c r="AH174" i="2"/>
  <c r="AH175" i="2"/>
  <c r="AH176" i="2"/>
  <c r="AH177" i="2"/>
  <c r="AH178" i="2"/>
  <c r="AH179" i="2"/>
  <c r="AH180" i="2"/>
  <c r="AH181" i="2"/>
  <c r="AH182" i="2"/>
  <c r="AH183" i="2"/>
  <c r="AH184" i="2"/>
  <c r="AH185" i="2"/>
  <c r="AH186" i="2"/>
  <c r="AH187" i="2"/>
  <c r="AH188" i="2"/>
  <c r="AH189" i="2"/>
  <c r="AH190" i="2"/>
  <c r="AH191" i="2"/>
  <c r="AH192" i="2"/>
  <c r="AH193" i="2"/>
  <c r="AH194" i="2"/>
  <c r="AH195" i="2"/>
  <c r="AH196" i="2"/>
  <c r="AH197" i="2"/>
  <c r="AH198" i="2"/>
  <c r="AH199" i="2"/>
  <c r="AH200" i="2"/>
  <c r="AH201" i="2"/>
  <c r="AH202" i="2"/>
  <c r="AH203" i="2"/>
  <c r="AH204" i="2"/>
  <c r="AH205" i="2"/>
  <c r="AH206" i="2"/>
  <c r="AH207" i="2"/>
  <c r="AH208" i="2"/>
  <c r="AH209" i="2"/>
  <c r="AH210" i="2"/>
  <c r="AH211" i="2"/>
  <c r="AH212" i="2"/>
  <c r="AH213" i="2"/>
  <c r="AH214" i="2"/>
  <c r="AH215" i="2"/>
  <c r="AH216" i="2"/>
  <c r="AH217" i="2"/>
  <c r="AH218" i="2"/>
  <c r="AH219" i="2"/>
  <c r="AH220" i="2"/>
  <c r="AH221" i="2"/>
  <c r="AH222" i="2"/>
  <c r="AH223" i="2"/>
  <c r="AH224" i="2"/>
  <c r="AH225" i="2"/>
  <c r="AH226" i="2"/>
  <c r="AH227" i="2"/>
  <c r="AH228" i="2"/>
  <c r="AH229" i="2"/>
  <c r="AG2" i="2"/>
  <c r="AG3" i="2"/>
  <c r="AG4" i="2"/>
  <c r="AG5" i="2"/>
  <c r="AG6" i="2"/>
  <c r="AG7" i="2"/>
  <c r="AG8" i="2"/>
  <c r="AG9" i="2"/>
  <c r="AG10" i="2"/>
  <c r="AG11" i="2"/>
  <c r="AG12" i="2"/>
  <c r="AG13" i="2"/>
  <c r="AG14" i="2"/>
  <c r="AG15" i="2"/>
  <c r="AG16" i="2"/>
  <c r="AG17" i="2"/>
  <c r="AG18" i="2"/>
  <c r="AG19" i="2"/>
  <c r="AG20" i="2"/>
  <c r="AG21" i="2"/>
  <c r="AG22" i="2"/>
  <c r="AG23" i="2"/>
  <c r="AG24" i="2"/>
  <c r="AG25" i="2"/>
  <c r="AG26" i="2"/>
  <c r="AG27" i="2"/>
  <c r="AG28" i="2"/>
  <c r="AG29" i="2"/>
  <c r="AG30" i="2"/>
  <c r="AG31" i="2"/>
  <c r="AG32" i="2"/>
  <c r="AG33" i="2"/>
  <c r="AG34" i="2"/>
  <c r="AG35" i="2"/>
  <c r="AG36" i="2"/>
  <c r="AG37" i="2"/>
  <c r="AG38" i="2"/>
  <c r="AG39" i="2"/>
  <c r="AG40" i="2"/>
  <c r="AG41" i="2"/>
  <c r="AG42" i="2"/>
  <c r="AG43" i="2"/>
  <c r="AG44" i="2"/>
  <c r="AG45" i="2"/>
  <c r="AG46" i="2"/>
  <c r="AG47" i="2"/>
  <c r="AG48" i="2"/>
  <c r="AG49" i="2"/>
  <c r="AG50" i="2"/>
  <c r="AG51" i="2"/>
  <c r="AG52" i="2"/>
  <c r="AG53" i="2"/>
  <c r="AG54" i="2"/>
  <c r="AG55" i="2"/>
  <c r="AG56" i="2"/>
  <c r="AG57" i="2"/>
  <c r="AG58" i="2"/>
  <c r="AG59" i="2"/>
  <c r="AG60" i="2"/>
  <c r="AG61" i="2"/>
  <c r="AG62" i="2"/>
  <c r="AG63" i="2"/>
  <c r="AG64" i="2"/>
  <c r="AG65" i="2"/>
  <c r="AG66" i="2"/>
  <c r="AG67" i="2"/>
  <c r="AG68" i="2"/>
  <c r="AG69" i="2"/>
  <c r="AG70" i="2"/>
  <c r="AG71" i="2"/>
  <c r="AG72" i="2"/>
  <c r="AG73" i="2"/>
  <c r="AG74" i="2"/>
  <c r="AG75" i="2"/>
  <c r="AG76" i="2"/>
  <c r="AG77" i="2"/>
  <c r="AG78" i="2"/>
  <c r="AG79" i="2"/>
  <c r="AG80" i="2"/>
  <c r="AG81" i="2"/>
  <c r="AG82" i="2"/>
  <c r="AG83" i="2"/>
  <c r="AG84" i="2"/>
  <c r="AG85" i="2"/>
  <c r="AG86" i="2"/>
  <c r="AG87" i="2"/>
  <c r="AG88" i="2"/>
  <c r="AG89" i="2"/>
  <c r="AG90" i="2"/>
  <c r="AG91" i="2"/>
  <c r="AG92" i="2"/>
  <c r="AG93" i="2"/>
  <c r="AG94" i="2"/>
  <c r="AG95" i="2"/>
  <c r="AG96" i="2"/>
  <c r="AG97" i="2"/>
  <c r="AG98" i="2"/>
  <c r="AG99" i="2"/>
  <c r="AG100" i="2"/>
  <c r="AG101" i="2"/>
  <c r="AG102" i="2"/>
  <c r="AG103" i="2"/>
  <c r="AG104" i="2"/>
  <c r="AG105" i="2"/>
  <c r="AG106" i="2"/>
  <c r="AG107" i="2"/>
  <c r="AG108" i="2"/>
  <c r="AG109" i="2"/>
  <c r="AG110" i="2"/>
  <c r="AG111" i="2"/>
  <c r="AG112" i="2"/>
  <c r="AG113" i="2"/>
  <c r="AG114" i="2"/>
  <c r="AG115" i="2"/>
  <c r="AG116" i="2"/>
  <c r="AG117" i="2"/>
  <c r="AG118" i="2"/>
  <c r="AG119" i="2"/>
  <c r="AG120" i="2"/>
  <c r="AG121" i="2"/>
  <c r="AG122" i="2"/>
  <c r="AG123" i="2"/>
  <c r="AG124" i="2"/>
  <c r="AG125" i="2"/>
  <c r="AG126" i="2"/>
  <c r="AG127" i="2"/>
  <c r="AG128" i="2"/>
  <c r="AG129" i="2"/>
  <c r="AG130" i="2"/>
  <c r="AG131" i="2"/>
  <c r="AG132" i="2"/>
  <c r="AG133" i="2"/>
  <c r="AG134" i="2"/>
  <c r="AG135" i="2"/>
  <c r="AG136" i="2"/>
  <c r="AG137" i="2"/>
  <c r="AG138" i="2"/>
  <c r="AG139" i="2"/>
  <c r="AG140" i="2"/>
  <c r="AG141" i="2"/>
  <c r="AG142" i="2"/>
  <c r="AG143" i="2"/>
  <c r="AG144" i="2"/>
  <c r="AG145" i="2"/>
  <c r="AG146" i="2"/>
  <c r="AG147" i="2"/>
  <c r="AG148" i="2"/>
  <c r="AG149" i="2"/>
  <c r="AG150" i="2"/>
  <c r="AG151" i="2"/>
  <c r="AG152" i="2"/>
  <c r="AG153" i="2"/>
  <c r="AG154" i="2"/>
  <c r="AG155" i="2"/>
  <c r="AG156" i="2"/>
  <c r="AG157" i="2"/>
  <c r="AG158" i="2"/>
  <c r="AG159" i="2"/>
  <c r="AG160" i="2"/>
  <c r="AG161" i="2"/>
  <c r="AG162" i="2"/>
  <c r="AG163" i="2"/>
  <c r="AG164" i="2"/>
  <c r="AG165" i="2"/>
  <c r="AG166" i="2"/>
  <c r="AG167" i="2"/>
  <c r="AG168" i="2"/>
  <c r="AG169" i="2"/>
  <c r="AG170" i="2"/>
  <c r="AG171" i="2"/>
  <c r="AG172" i="2"/>
  <c r="AG173" i="2"/>
  <c r="AG174" i="2"/>
  <c r="AG175" i="2"/>
  <c r="AG176" i="2"/>
  <c r="AG177" i="2"/>
  <c r="AG178" i="2"/>
  <c r="AG179" i="2"/>
  <c r="AG180" i="2"/>
  <c r="AG181" i="2"/>
  <c r="AG182" i="2"/>
  <c r="AG183" i="2"/>
  <c r="AG184" i="2"/>
  <c r="AG185" i="2"/>
  <c r="AG186" i="2"/>
  <c r="AG187" i="2"/>
  <c r="AG188" i="2"/>
  <c r="AG189" i="2"/>
  <c r="AG190" i="2"/>
  <c r="AG191" i="2"/>
  <c r="AG192" i="2"/>
  <c r="AG193" i="2"/>
  <c r="AG194" i="2"/>
  <c r="AG195" i="2"/>
  <c r="AG196" i="2"/>
  <c r="AG197" i="2"/>
  <c r="AG198" i="2"/>
  <c r="AG199" i="2"/>
  <c r="AG200" i="2"/>
  <c r="AG201" i="2"/>
  <c r="AG202" i="2"/>
  <c r="AG203" i="2"/>
  <c r="AG204" i="2"/>
  <c r="AG205" i="2"/>
  <c r="AG206" i="2"/>
  <c r="AG207" i="2"/>
  <c r="AG208" i="2"/>
  <c r="AG209" i="2"/>
  <c r="AG210" i="2"/>
  <c r="AG211" i="2"/>
  <c r="AG212" i="2"/>
  <c r="AG213" i="2"/>
  <c r="AG214" i="2"/>
  <c r="AG215" i="2"/>
  <c r="AG216" i="2"/>
  <c r="AG217" i="2"/>
  <c r="AG218" i="2"/>
  <c r="AG219" i="2"/>
  <c r="AG220" i="2"/>
  <c r="AG221" i="2"/>
  <c r="AG222" i="2"/>
  <c r="AG223" i="2"/>
  <c r="AG224" i="2"/>
  <c r="AG225" i="2"/>
  <c r="AG226" i="2"/>
  <c r="AG227" i="2"/>
  <c r="AG228" i="2"/>
  <c r="AG229" i="2"/>
  <c r="AF2" i="2"/>
  <c r="AF3" i="2"/>
  <c r="AF4" i="2"/>
  <c r="AF5" i="2"/>
  <c r="AF6" i="2"/>
  <c r="AF7" i="2"/>
  <c r="AF8" i="2"/>
  <c r="AF9" i="2"/>
  <c r="AF10" i="2"/>
  <c r="AF11" i="2"/>
  <c r="AF12" i="2"/>
  <c r="AF13" i="2"/>
  <c r="AF14" i="2"/>
  <c r="AF15" i="2"/>
  <c r="AF16" i="2"/>
  <c r="AF17" i="2"/>
  <c r="AF18" i="2"/>
  <c r="AF19" i="2"/>
  <c r="AF20" i="2"/>
  <c r="AF21" i="2"/>
  <c r="AF22" i="2"/>
  <c r="AF23" i="2"/>
  <c r="AF24" i="2"/>
  <c r="AF25" i="2"/>
  <c r="AF26" i="2"/>
  <c r="AF27" i="2"/>
  <c r="AF28" i="2"/>
  <c r="AF29" i="2"/>
  <c r="AF30" i="2"/>
  <c r="AF31" i="2"/>
  <c r="AF32" i="2"/>
  <c r="AF33" i="2"/>
  <c r="AF34" i="2"/>
  <c r="AF35" i="2"/>
  <c r="AF36" i="2"/>
  <c r="AF37" i="2"/>
  <c r="AF38" i="2"/>
  <c r="AF39" i="2"/>
  <c r="AF40" i="2"/>
  <c r="AF41" i="2"/>
  <c r="AF42" i="2"/>
  <c r="AF43" i="2"/>
  <c r="AF44" i="2"/>
  <c r="AF45" i="2"/>
  <c r="AF46" i="2"/>
  <c r="AF47" i="2"/>
  <c r="AF48" i="2"/>
  <c r="AF49" i="2"/>
  <c r="AF50" i="2"/>
  <c r="AF51" i="2"/>
  <c r="AF52" i="2"/>
  <c r="AF53" i="2"/>
  <c r="AF54" i="2"/>
  <c r="AF55" i="2"/>
  <c r="AF56" i="2"/>
  <c r="AF57" i="2"/>
  <c r="AF58" i="2"/>
  <c r="AF59" i="2"/>
  <c r="AF60" i="2"/>
  <c r="AF61" i="2"/>
  <c r="AF62" i="2"/>
  <c r="AF63" i="2"/>
  <c r="AF64" i="2"/>
  <c r="AF65" i="2"/>
  <c r="AF66" i="2"/>
  <c r="AF67" i="2"/>
  <c r="AF68" i="2"/>
  <c r="AF69" i="2"/>
  <c r="AF70" i="2"/>
  <c r="AF71" i="2"/>
  <c r="AF72" i="2"/>
  <c r="AF73" i="2"/>
  <c r="AF74" i="2"/>
  <c r="AF75" i="2"/>
  <c r="AF76" i="2"/>
  <c r="AF77" i="2"/>
  <c r="AF78" i="2"/>
  <c r="AF79" i="2"/>
  <c r="AF80" i="2"/>
  <c r="AF81" i="2"/>
  <c r="AF82" i="2"/>
  <c r="AF83" i="2"/>
  <c r="AF84" i="2"/>
  <c r="AF85" i="2"/>
  <c r="AF86" i="2"/>
  <c r="AF87" i="2"/>
  <c r="AF88" i="2"/>
  <c r="AF89" i="2"/>
  <c r="AF90" i="2"/>
  <c r="AF91" i="2"/>
  <c r="AF92" i="2"/>
  <c r="AF93" i="2"/>
  <c r="AF94" i="2"/>
  <c r="AF95" i="2"/>
  <c r="AF96" i="2"/>
  <c r="AF97" i="2"/>
  <c r="AF98" i="2"/>
  <c r="AF99" i="2"/>
  <c r="AF100" i="2"/>
  <c r="AF101" i="2"/>
  <c r="AF102" i="2"/>
  <c r="AF103" i="2"/>
  <c r="AF104" i="2"/>
  <c r="AF105" i="2"/>
  <c r="AF106" i="2"/>
  <c r="AF107" i="2"/>
  <c r="AF108" i="2"/>
  <c r="AF109" i="2"/>
  <c r="AF110" i="2"/>
  <c r="AF111" i="2"/>
  <c r="AF112" i="2"/>
  <c r="AF113" i="2"/>
  <c r="AF114" i="2"/>
  <c r="AF115" i="2"/>
  <c r="AF116" i="2"/>
  <c r="AF117" i="2"/>
  <c r="AF118" i="2"/>
  <c r="AF119" i="2"/>
  <c r="AF120" i="2"/>
  <c r="AF121" i="2"/>
  <c r="AF122" i="2"/>
  <c r="AF123" i="2"/>
  <c r="AF124" i="2"/>
  <c r="AF125" i="2"/>
  <c r="AF126" i="2"/>
  <c r="AF127" i="2"/>
  <c r="AF128" i="2"/>
  <c r="AF129" i="2"/>
  <c r="AF130" i="2"/>
  <c r="AF131" i="2"/>
  <c r="AF132" i="2"/>
  <c r="AF133" i="2"/>
  <c r="AF134" i="2"/>
  <c r="AF135" i="2"/>
  <c r="AF136" i="2"/>
  <c r="AF137" i="2"/>
  <c r="AF138" i="2"/>
  <c r="AF139" i="2"/>
  <c r="AF140" i="2"/>
  <c r="AF141" i="2"/>
  <c r="AF142" i="2"/>
  <c r="AF143" i="2"/>
  <c r="AF144" i="2"/>
  <c r="AF145" i="2"/>
  <c r="AF146" i="2"/>
  <c r="AF147" i="2"/>
  <c r="AF148" i="2"/>
  <c r="AF149" i="2"/>
  <c r="AF150" i="2"/>
  <c r="AF151" i="2"/>
  <c r="AF152" i="2"/>
  <c r="AF153" i="2"/>
  <c r="AF154" i="2"/>
  <c r="AF155" i="2"/>
  <c r="AF156" i="2"/>
  <c r="AF157" i="2"/>
  <c r="AF158" i="2"/>
  <c r="AF159" i="2"/>
  <c r="AF160" i="2"/>
  <c r="AF161" i="2"/>
  <c r="AF162" i="2"/>
  <c r="AF163" i="2"/>
  <c r="AF164" i="2"/>
  <c r="AF165" i="2"/>
  <c r="AF166" i="2"/>
  <c r="AF167" i="2"/>
  <c r="AF168" i="2"/>
  <c r="AF169" i="2"/>
  <c r="AF170" i="2"/>
  <c r="AF171" i="2"/>
  <c r="AF172" i="2"/>
  <c r="AF173" i="2"/>
  <c r="AF174" i="2"/>
  <c r="AF175" i="2"/>
  <c r="AF176" i="2"/>
  <c r="AF177" i="2"/>
  <c r="AF178" i="2"/>
  <c r="AF179" i="2"/>
  <c r="AF180" i="2"/>
  <c r="AF181" i="2"/>
  <c r="AF182" i="2"/>
  <c r="AF183" i="2"/>
  <c r="AF184" i="2"/>
  <c r="AF185" i="2"/>
  <c r="AF186" i="2"/>
  <c r="AF187" i="2"/>
  <c r="AF188" i="2"/>
  <c r="AF189" i="2"/>
  <c r="AF190" i="2"/>
  <c r="AF191" i="2"/>
  <c r="AF192" i="2"/>
  <c r="AF193" i="2"/>
  <c r="AF194" i="2"/>
  <c r="AF195" i="2"/>
  <c r="AF196" i="2"/>
  <c r="AF197" i="2"/>
  <c r="AF198" i="2"/>
  <c r="AF199" i="2"/>
  <c r="AF200" i="2"/>
  <c r="AF201" i="2"/>
  <c r="AF202" i="2"/>
  <c r="AF203" i="2"/>
  <c r="AF204" i="2"/>
  <c r="AF205" i="2"/>
  <c r="AF206" i="2"/>
  <c r="AF207" i="2"/>
  <c r="AF208" i="2"/>
  <c r="AF209" i="2"/>
  <c r="AF210" i="2"/>
  <c r="AF211" i="2"/>
  <c r="AF212" i="2"/>
  <c r="AF213" i="2"/>
  <c r="AF214" i="2"/>
  <c r="AF215" i="2"/>
  <c r="AF216" i="2"/>
  <c r="AF217" i="2"/>
  <c r="AF218" i="2"/>
  <c r="AF219" i="2"/>
  <c r="AF220" i="2"/>
  <c r="AF221" i="2"/>
  <c r="AF222" i="2"/>
  <c r="AF223" i="2"/>
  <c r="AF224" i="2"/>
  <c r="AF225" i="2"/>
  <c r="AF230" i="2"/>
  <c r="AF231" i="2"/>
  <c r="AE2" i="2"/>
  <c r="AE3" i="2"/>
  <c r="AE4" i="2"/>
  <c r="AE5" i="2"/>
  <c r="AE6" i="2"/>
  <c r="AE7" i="2"/>
  <c r="AE8" i="2"/>
  <c r="AE9" i="2"/>
  <c r="AE10" i="2"/>
  <c r="AE11" i="2"/>
  <c r="AE12" i="2"/>
  <c r="AE13" i="2"/>
  <c r="AE14" i="2"/>
  <c r="AE15" i="2"/>
  <c r="AE16" i="2"/>
  <c r="AE17" i="2"/>
  <c r="AE18" i="2"/>
  <c r="AE19" i="2"/>
  <c r="AE20" i="2"/>
  <c r="AE21" i="2"/>
  <c r="AE22" i="2"/>
  <c r="AE23" i="2"/>
  <c r="AE24" i="2"/>
  <c r="AE25" i="2"/>
  <c r="AE26" i="2"/>
  <c r="AE27" i="2"/>
  <c r="AE28" i="2"/>
  <c r="AE29" i="2"/>
  <c r="AE30" i="2"/>
  <c r="AE31" i="2"/>
  <c r="AE32" i="2"/>
  <c r="AE33" i="2"/>
  <c r="AE34" i="2"/>
  <c r="AE35" i="2"/>
  <c r="AE36" i="2"/>
  <c r="AE37" i="2"/>
  <c r="AE38" i="2"/>
  <c r="AE39" i="2"/>
  <c r="AE40" i="2"/>
  <c r="AE41" i="2"/>
  <c r="AE42" i="2"/>
  <c r="AE43" i="2"/>
  <c r="AE44" i="2"/>
  <c r="AE45" i="2"/>
  <c r="AE46" i="2"/>
  <c r="AE47" i="2"/>
  <c r="AE48" i="2"/>
  <c r="AE49" i="2"/>
  <c r="AE50" i="2"/>
  <c r="AE51" i="2"/>
  <c r="AE52" i="2"/>
  <c r="AE53" i="2"/>
  <c r="AE54" i="2"/>
  <c r="AE55" i="2"/>
  <c r="AE56" i="2"/>
  <c r="AE57" i="2"/>
  <c r="AE58" i="2"/>
  <c r="AE59" i="2"/>
  <c r="AE60" i="2"/>
  <c r="AE61" i="2"/>
  <c r="AE62" i="2"/>
  <c r="AE63" i="2"/>
  <c r="AE64" i="2"/>
  <c r="AE65" i="2"/>
  <c r="AE66" i="2"/>
  <c r="AE67" i="2"/>
  <c r="AE68" i="2"/>
  <c r="AE69" i="2"/>
  <c r="AE70" i="2"/>
  <c r="AE71" i="2"/>
  <c r="AE72" i="2"/>
  <c r="AE73" i="2"/>
  <c r="AE74" i="2"/>
  <c r="AE75" i="2"/>
  <c r="AE76" i="2"/>
  <c r="AE77" i="2"/>
  <c r="AE78" i="2"/>
  <c r="AE79" i="2"/>
  <c r="AE80" i="2"/>
  <c r="AE81" i="2"/>
  <c r="AE82" i="2"/>
  <c r="AE83" i="2"/>
  <c r="AE84" i="2"/>
  <c r="AE85" i="2"/>
  <c r="AE86" i="2"/>
  <c r="AE87" i="2"/>
  <c r="AE88" i="2"/>
  <c r="AE89" i="2"/>
  <c r="AE90" i="2"/>
  <c r="AE91" i="2"/>
  <c r="AE92" i="2"/>
  <c r="AE93" i="2"/>
  <c r="AE94" i="2"/>
  <c r="AE95" i="2"/>
  <c r="AE96" i="2"/>
  <c r="AE97" i="2"/>
  <c r="AE98" i="2"/>
  <c r="AE99" i="2"/>
  <c r="AE100" i="2"/>
  <c r="AE101" i="2"/>
  <c r="AE102" i="2"/>
  <c r="AE103" i="2"/>
  <c r="AE104" i="2"/>
  <c r="AE105" i="2"/>
  <c r="AE106" i="2"/>
  <c r="AE107" i="2"/>
  <c r="AE108" i="2"/>
  <c r="AE109" i="2"/>
  <c r="AE110" i="2"/>
  <c r="AE111" i="2"/>
  <c r="AE112" i="2"/>
  <c r="AE113" i="2"/>
  <c r="AE114" i="2"/>
  <c r="AE115" i="2"/>
  <c r="AE116" i="2"/>
  <c r="AE117" i="2"/>
  <c r="AE118" i="2"/>
  <c r="AE119" i="2"/>
  <c r="AE120" i="2"/>
  <c r="AE121" i="2"/>
  <c r="AE122" i="2"/>
  <c r="AE123" i="2"/>
  <c r="AE124" i="2"/>
  <c r="AE125" i="2"/>
  <c r="AE126" i="2"/>
  <c r="AE127" i="2"/>
  <c r="AE128" i="2"/>
  <c r="AE129" i="2"/>
  <c r="AE130" i="2"/>
  <c r="AE131" i="2"/>
  <c r="AE132" i="2"/>
  <c r="AE133" i="2"/>
  <c r="AE134" i="2"/>
  <c r="AE135" i="2"/>
  <c r="AE136" i="2"/>
  <c r="AE137" i="2"/>
  <c r="AE138" i="2"/>
  <c r="AE139" i="2"/>
  <c r="AE140" i="2"/>
  <c r="AE141" i="2"/>
  <c r="AE142" i="2"/>
  <c r="AE143" i="2"/>
  <c r="AE144" i="2"/>
  <c r="AE145" i="2"/>
  <c r="AE146" i="2"/>
  <c r="AE147" i="2"/>
  <c r="AE148" i="2"/>
  <c r="AE149" i="2"/>
  <c r="AE150" i="2"/>
  <c r="AE151" i="2"/>
  <c r="AE152" i="2"/>
  <c r="AE153" i="2"/>
  <c r="AE154" i="2"/>
  <c r="AE155" i="2"/>
  <c r="AE156" i="2"/>
  <c r="AE157" i="2"/>
  <c r="AE158" i="2"/>
  <c r="AE159" i="2"/>
  <c r="AE160" i="2"/>
  <c r="AE161" i="2"/>
  <c r="AE162" i="2"/>
  <c r="AE163" i="2"/>
  <c r="AE164" i="2"/>
  <c r="AE165" i="2"/>
  <c r="AE166" i="2"/>
  <c r="AE167" i="2"/>
  <c r="AE168" i="2"/>
  <c r="AE169" i="2"/>
  <c r="AE170" i="2"/>
  <c r="AE171" i="2"/>
  <c r="AE172" i="2"/>
  <c r="AE173" i="2"/>
  <c r="AE174" i="2"/>
  <c r="AE175" i="2"/>
  <c r="AE176" i="2"/>
  <c r="AE177" i="2"/>
  <c r="AE178" i="2"/>
  <c r="AE179" i="2"/>
  <c r="AE180" i="2"/>
  <c r="AE181" i="2"/>
  <c r="AE182" i="2"/>
  <c r="AE183" i="2"/>
  <c r="AE184" i="2"/>
  <c r="AE185" i="2"/>
  <c r="AE186" i="2"/>
  <c r="AE187" i="2"/>
  <c r="AE188" i="2"/>
  <c r="AE189" i="2"/>
  <c r="AE190" i="2"/>
  <c r="AE191" i="2"/>
  <c r="AE192" i="2"/>
  <c r="AE193" i="2"/>
  <c r="AE194" i="2"/>
  <c r="AE195" i="2"/>
  <c r="AE196" i="2"/>
  <c r="AE197" i="2"/>
  <c r="AE198" i="2"/>
  <c r="AE199" i="2"/>
  <c r="AE200" i="2"/>
  <c r="AE201" i="2"/>
  <c r="AE202" i="2"/>
  <c r="AE203" i="2"/>
  <c r="AE204" i="2"/>
  <c r="AE205" i="2"/>
  <c r="AE206" i="2"/>
  <c r="AE207" i="2"/>
  <c r="AE208" i="2"/>
  <c r="AE209" i="2"/>
  <c r="AE210" i="2"/>
  <c r="AE211" i="2"/>
  <c r="AE212" i="2"/>
  <c r="AE213" i="2"/>
  <c r="AE214" i="2"/>
  <c r="AE215" i="2"/>
  <c r="AE216" i="2"/>
  <c r="AE217" i="2"/>
  <c r="AE218" i="2"/>
  <c r="AE219" i="2"/>
  <c r="AE220" i="2"/>
  <c r="AE221" i="2"/>
  <c r="AE222" i="2"/>
  <c r="AE223" i="2"/>
  <c r="AE224" i="2"/>
  <c r="AE225" i="2"/>
  <c r="AE226" i="2"/>
  <c r="AE227" i="2"/>
  <c r="AE230" i="2"/>
  <c r="AE231" i="2"/>
  <c r="X2" i="2" a="1"/>
  <c r="X3" i="2" a="1"/>
  <c r="X4" i="2" a="1"/>
  <c r="X5" i="2" a="1"/>
  <c r="X6" i="2" a="1"/>
  <c r="X7" i="2" a="1"/>
  <c r="X8" i="2" a="1"/>
  <c r="X9" i="2" a="1"/>
  <c r="X10" i="2" a="1"/>
  <c r="X11" i="2" a="1"/>
  <c r="X12" i="2" a="1"/>
  <c r="X13" i="2" a="1"/>
  <c r="X14" i="2" a="1"/>
  <c r="X15" i="2" a="1"/>
  <c r="X16" i="2" a="1"/>
  <c r="X17" i="2" a="1"/>
  <c r="X18" i="2" a="1"/>
  <c r="X19" i="2" a="1"/>
  <c r="X20" i="2" a="1"/>
  <c r="X21" i="2" a="1"/>
  <c r="X22" i="2" a="1"/>
  <c r="X23" i="2" a="1"/>
  <c r="X24" i="2" a="1"/>
  <c r="X25" i="2" a="1"/>
  <c r="X26" i="2" a="1"/>
  <c r="X27" i="2" a="1"/>
  <c r="X28" i="2" a="1"/>
  <c r="X29" i="2" a="1"/>
  <c r="X30" i="2" a="1"/>
  <c r="X31" i="2" a="1"/>
  <c r="X32" i="2" a="1"/>
  <c r="X33" i="2" a="1"/>
  <c r="X34" i="2" a="1"/>
  <c r="X35" i="2" a="1"/>
  <c r="X36" i="2" a="1"/>
  <c r="X37" i="2" a="1"/>
  <c r="X38" i="2" a="1"/>
  <c r="X39" i="2" a="1"/>
  <c r="X40" i="2" a="1"/>
  <c r="X41" i="2" a="1"/>
  <c r="X42" i="2" a="1"/>
  <c r="X43" i="2" a="1"/>
  <c r="X44" i="2" a="1"/>
  <c r="X45" i="2" a="1"/>
  <c r="X46" i="2" a="1"/>
  <c r="X47" i="2" a="1"/>
  <c r="X48" i="2" a="1"/>
  <c r="X49" i="2" a="1"/>
  <c r="X50" i="2" a="1"/>
  <c r="X51" i="2" a="1"/>
  <c r="X52" i="2" a="1"/>
  <c r="X53" i="2" a="1"/>
  <c r="X54" i="2" a="1"/>
  <c r="X55" i="2" a="1"/>
  <c r="X56" i="2" a="1"/>
  <c r="X57" i="2" a="1"/>
  <c r="X58" i="2" a="1"/>
  <c r="X59" i="2" a="1"/>
  <c r="X60" i="2" a="1"/>
  <c r="X61" i="2" a="1"/>
  <c r="X62" i="2" a="1"/>
  <c r="X63" i="2" a="1"/>
  <c r="X64" i="2" a="1"/>
  <c r="X65" i="2" a="1"/>
  <c r="X66" i="2" a="1"/>
  <c r="X67" i="2" a="1"/>
  <c r="X68" i="2" a="1"/>
  <c r="X69" i="2" a="1"/>
  <c r="X70" i="2" a="1"/>
  <c r="X71" i="2" a="1"/>
  <c r="X72" i="2" a="1"/>
  <c r="X73" i="2" a="1"/>
  <c r="X74" i="2" a="1"/>
  <c r="X75" i="2" a="1"/>
  <c r="X76" i="2" a="1"/>
  <c r="X77" i="2" a="1"/>
  <c r="X78" i="2" a="1"/>
  <c r="X79" i="2" a="1"/>
  <c r="X80" i="2" a="1"/>
  <c r="X81" i="2" a="1"/>
  <c r="X82" i="2" a="1"/>
  <c r="X83" i="2" a="1"/>
  <c r="X84" i="2" a="1"/>
  <c r="X85" i="2" a="1"/>
  <c r="X86" i="2" a="1"/>
  <c r="X87" i="2" a="1"/>
  <c r="X88" i="2" a="1"/>
  <c r="X89" i="2" a="1"/>
  <c r="X90" i="2" a="1"/>
  <c r="X91" i="2" a="1"/>
  <c r="X92" i="2" a="1"/>
  <c r="X93" i="2" a="1"/>
  <c r="X94" i="2" a="1"/>
  <c r="X95" i="2" a="1"/>
  <c r="X96" i="2" a="1"/>
  <c r="X97" i="2" a="1"/>
  <c r="X98" i="2" a="1"/>
  <c r="X99" i="2" a="1"/>
  <c r="X100" i="2" a="1"/>
  <c r="X101" i="2" a="1"/>
  <c r="X102" i="2" a="1"/>
  <c r="X103" i="2" a="1"/>
  <c r="X104" i="2" a="1"/>
  <c r="X105" i="2" a="1"/>
  <c r="X106" i="2" a="1"/>
  <c r="X107" i="2" a="1"/>
  <c r="X108" i="2" a="1"/>
  <c r="X109" i="2" a="1"/>
  <c r="X110" i="2" a="1"/>
  <c r="X111" i="2" a="1"/>
  <c r="X112" i="2" a="1"/>
  <c r="X113" i="2" a="1"/>
  <c r="X114" i="2" a="1"/>
  <c r="X115" i="2" a="1"/>
  <c r="X116" i="2" a="1"/>
  <c r="X117" i="2" a="1"/>
  <c r="X118" i="2" a="1"/>
  <c r="X119" i="2" a="1"/>
  <c r="X120" i="2" a="1"/>
  <c r="X121" i="2" a="1"/>
  <c r="X122" i="2" a="1"/>
  <c r="X123" i="2" a="1"/>
  <c r="X124" i="2" a="1"/>
  <c r="X125" i="2" a="1"/>
  <c r="X126" i="2" a="1"/>
  <c r="X127" i="2" a="1"/>
  <c r="X128" i="2" a="1"/>
  <c r="X129" i="2" a="1"/>
  <c r="X130" i="2" a="1"/>
  <c r="X131" i="2" a="1"/>
  <c r="X132" i="2" a="1"/>
  <c r="X133" i="2" a="1"/>
  <c r="X134" i="2" a="1"/>
  <c r="X135" i="2" a="1"/>
  <c r="X136" i="2" a="1"/>
  <c r="X137" i="2" a="1"/>
  <c r="X138" i="2" a="1"/>
  <c r="X139" i="2" a="1"/>
  <c r="X140" i="2" a="1"/>
  <c r="X141" i="2" a="1"/>
  <c r="X142" i="2" a="1"/>
  <c r="X143" i="2" a="1"/>
  <c r="X144" i="2" a="1"/>
  <c r="X145" i="2" a="1"/>
  <c r="X146" i="2" a="1"/>
  <c r="X147" i="2" a="1"/>
  <c r="X148" i="2" a="1"/>
  <c r="X149" i="2" a="1"/>
  <c r="X150" i="2" a="1"/>
  <c r="X151" i="2" a="1"/>
  <c r="X152" i="2" a="1"/>
  <c r="X153" i="2" a="1"/>
  <c r="X154" i="2" a="1"/>
  <c r="X155" i="2" a="1"/>
  <c r="X156" i="2" a="1"/>
  <c r="X157" i="2" a="1"/>
  <c r="X158" i="2" a="1"/>
  <c r="X159" i="2" a="1"/>
  <c r="X160" i="2" a="1"/>
  <c r="X161" i="2" a="1"/>
  <c r="X162" i="2" a="1"/>
  <c r="X163" i="2" a="1"/>
  <c r="X164" i="2" a="1"/>
  <c r="X165" i="2" a="1"/>
  <c r="X166" i="2" a="1"/>
  <c r="X167" i="2" a="1"/>
  <c r="X168" i="2" a="1"/>
  <c r="X169" i="2" a="1"/>
  <c r="X170" i="2" a="1"/>
  <c r="X171" i="2" a="1"/>
  <c r="X172" i="2" a="1"/>
  <c r="X173" i="2" a="1"/>
  <c r="X174" i="2" a="1"/>
  <c r="X175" i="2" a="1"/>
  <c r="X176" i="2" a="1"/>
  <c r="X177" i="2" a="1"/>
  <c r="X178" i="2" a="1"/>
  <c r="X179" i="2" a="1"/>
  <c r="X180" i="2" a="1"/>
  <c r="X181" i="2" a="1"/>
  <c r="X182" i="2" a="1"/>
  <c r="X183" i="2" a="1"/>
  <c r="X184" i="2" a="1"/>
  <c r="X185" i="2" a="1"/>
  <c r="X186" i="2" a="1"/>
  <c r="X187" i="2" a="1"/>
  <c r="X188" i="2" a="1"/>
  <c r="X189" i="2" a="1"/>
  <c r="X190" i="2" a="1"/>
  <c r="X191" i="2" a="1"/>
  <c r="X192" i="2" a="1"/>
  <c r="X193" i="2" a="1"/>
  <c r="X194" i="2" a="1"/>
  <c r="X195" i="2" a="1"/>
  <c r="X196" i="2" a="1"/>
  <c r="X197" i="2" a="1"/>
  <c r="X198" i="2" a="1"/>
  <c r="X199" i="2" a="1"/>
  <c r="X200" i="2" a="1"/>
  <c r="X201" i="2" a="1"/>
  <c r="X202" i="2" a="1"/>
  <c r="X203" i="2" a="1"/>
  <c r="X204" i="2" a="1"/>
  <c r="X205" i="2" a="1"/>
  <c r="X206" i="2" a="1"/>
  <c r="X207" i="2" a="1"/>
  <c r="X208" i="2" a="1"/>
  <c r="X209" i="2" a="1"/>
  <c r="X210" i="2" a="1"/>
  <c r="X211" i="2" a="1"/>
  <c r="X212" i="2" a="1"/>
  <c r="X213" i="2" a="1"/>
  <c r="X214" i="2" a="1"/>
  <c r="X215" i="2" a="1"/>
  <c r="X216" i="2" a="1"/>
  <c r="X217" i="2" a="1"/>
  <c r="X218" i="2" a="1"/>
  <c r="X219" i="2" a="1"/>
  <c r="X220" i="2" a="1"/>
  <c r="X221" i="2" a="1"/>
  <c r="X222" i="2" a="1"/>
  <c r="X223" i="2" a="1"/>
  <c r="X224" i="2" a="1"/>
  <c r="X225" i="2" a="1"/>
  <c r="X226" i="2" a="1"/>
  <c r="X227" i="2" a="1"/>
  <c r="X228" i="2" a="1"/>
  <c r="X229" i="2" a="1"/>
  <c r="X230" i="2" a="1"/>
  <c r="X231" i="2" a="1"/>
  <c r="U2" i="2"/>
  <c r="V2" i="2" s="1"/>
  <c r="U3" i="2"/>
  <c r="V3" i="2" s="1"/>
  <c r="U4" i="2"/>
  <c r="V4" i="2" s="1"/>
  <c r="U5" i="2"/>
  <c r="V5" i="2" s="1"/>
  <c r="U6" i="2"/>
  <c r="V6" i="2" s="1"/>
  <c r="U7" i="2"/>
  <c r="V7" i="2" s="1"/>
  <c r="U8" i="2"/>
  <c r="V8" i="2" s="1"/>
  <c r="U9" i="2"/>
  <c r="V9" i="2" s="1"/>
  <c r="U10" i="2"/>
  <c r="V10" i="2" s="1"/>
  <c r="U11" i="2"/>
  <c r="V11" i="2" s="1"/>
  <c r="U12" i="2"/>
  <c r="V12" i="2" s="1"/>
  <c r="U13" i="2"/>
  <c r="V13" i="2" s="1"/>
  <c r="U14" i="2"/>
  <c r="V14" i="2" s="1"/>
  <c r="U15" i="2"/>
  <c r="V15" i="2" s="1"/>
  <c r="U16" i="2"/>
  <c r="V16" i="2" s="1"/>
  <c r="U17" i="2"/>
  <c r="V17" i="2" s="1"/>
  <c r="U18" i="2"/>
  <c r="V18" i="2" s="1"/>
  <c r="U19" i="2"/>
  <c r="V19" i="2" s="1"/>
  <c r="U20" i="2"/>
  <c r="V20" i="2" s="1"/>
  <c r="U21" i="2"/>
  <c r="V21" i="2" s="1"/>
  <c r="U22" i="2"/>
  <c r="V22" i="2" s="1"/>
  <c r="U23" i="2"/>
  <c r="V23" i="2" s="1"/>
  <c r="U24" i="2"/>
  <c r="V24" i="2" s="1"/>
  <c r="U25" i="2"/>
  <c r="V25" i="2" s="1"/>
  <c r="U26" i="2"/>
  <c r="V26" i="2" s="1"/>
  <c r="U27" i="2"/>
  <c r="V27" i="2" s="1"/>
  <c r="U28" i="2"/>
  <c r="V28" i="2" s="1"/>
  <c r="U29" i="2"/>
  <c r="V29" i="2" s="1"/>
  <c r="U30" i="2"/>
  <c r="V30" i="2" s="1"/>
  <c r="U31" i="2"/>
  <c r="V31" i="2" s="1"/>
  <c r="U32" i="2"/>
  <c r="V32" i="2" s="1"/>
  <c r="U33" i="2"/>
  <c r="V33" i="2" s="1"/>
  <c r="U34" i="2"/>
  <c r="V34" i="2" s="1"/>
  <c r="U35" i="2"/>
  <c r="V35" i="2" s="1"/>
  <c r="U36" i="2"/>
  <c r="V36" i="2" s="1"/>
  <c r="U37" i="2"/>
  <c r="V37" i="2" s="1"/>
  <c r="U38" i="2"/>
  <c r="V38" i="2" s="1"/>
  <c r="U39" i="2"/>
  <c r="V39" i="2" s="1"/>
  <c r="U40" i="2"/>
  <c r="V40" i="2" s="1"/>
  <c r="U41" i="2"/>
  <c r="V41" i="2" s="1"/>
  <c r="U42" i="2"/>
  <c r="V42" i="2" s="1"/>
  <c r="U43" i="2"/>
  <c r="V43" i="2" s="1"/>
  <c r="U44" i="2"/>
  <c r="V44" i="2" s="1"/>
  <c r="U45" i="2"/>
  <c r="V45" i="2" s="1"/>
  <c r="U46" i="2"/>
  <c r="V46" i="2" s="1"/>
  <c r="U47" i="2"/>
  <c r="V47" i="2" s="1"/>
  <c r="U48" i="2"/>
  <c r="V48" i="2" s="1"/>
  <c r="U49" i="2"/>
  <c r="V49" i="2" s="1"/>
  <c r="U50" i="2"/>
  <c r="V50" i="2" s="1"/>
  <c r="U51" i="2"/>
  <c r="V51" i="2" s="1"/>
  <c r="U52" i="2"/>
  <c r="V52" i="2" s="1"/>
  <c r="U53" i="2"/>
  <c r="V53" i="2" s="1"/>
  <c r="U54" i="2"/>
  <c r="V54" i="2" s="1"/>
  <c r="U55" i="2"/>
  <c r="V55" i="2" s="1"/>
  <c r="U56" i="2"/>
  <c r="V56" i="2" s="1"/>
  <c r="U57" i="2"/>
  <c r="V57" i="2" s="1"/>
  <c r="U58" i="2"/>
  <c r="V58" i="2" s="1"/>
  <c r="U59" i="2"/>
  <c r="V59" i="2" s="1"/>
  <c r="U60" i="2"/>
  <c r="V60" i="2" s="1"/>
  <c r="U61" i="2"/>
  <c r="V61" i="2" s="1"/>
  <c r="U62" i="2"/>
  <c r="V62" i="2" s="1"/>
  <c r="U63" i="2"/>
  <c r="V63" i="2" s="1"/>
  <c r="U64" i="2"/>
  <c r="V64" i="2" s="1"/>
  <c r="U65" i="2"/>
  <c r="V65" i="2" s="1"/>
  <c r="U66" i="2"/>
  <c r="V66" i="2" s="1"/>
  <c r="U67" i="2"/>
  <c r="V67" i="2" s="1"/>
  <c r="U68" i="2"/>
  <c r="V68" i="2" s="1"/>
  <c r="U69" i="2"/>
  <c r="V69" i="2" s="1"/>
  <c r="U70" i="2"/>
  <c r="V70" i="2" s="1"/>
  <c r="U71" i="2"/>
  <c r="V71" i="2" s="1"/>
  <c r="U72" i="2"/>
  <c r="V72" i="2" s="1"/>
  <c r="U73" i="2"/>
  <c r="V73" i="2" s="1"/>
  <c r="U74" i="2"/>
  <c r="V74" i="2" s="1"/>
  <c r="U75" i="2"/>
  <c r="V75" i="2" s="1"/>
  <c r="U76" i="2"/>
  <c r="V76" i="2" s="1"/>
  <c r="U77" i="2"/>
  <c r="V77" i="2" s="1"/>
  <c r="U78" i="2"/>
  <c r="V78" i="2" s="1"/>
  <c r="U79" i="2"/>
  <c r="V79" i="2" s="1"/>
  <c r="U80" i="2"/>
  <c r="V80" i="2" s="1"/>
  <c r="U81" i="2"/>
  <c r="V81" i="2" s="1"/>
  <c r="U82" i="2"/>
  <c r="V82" i="2" s="1"/>
  <c r="U83" i="2"/>
  <c r="V83" i="2" s="1"/>
  <c r="U84" i="2"/>
  <c r="V84" i="2" s="1"/>
  <c r="U85" i="2"/>
  <c r="V85" i="2" s="1"/>
  <c r="U86" i="2"/>
  <c r="V86" i="2" s="1"/>
  <c r="U87" i="2"/>
  <c r="V87" i="2" s="1"/>
  <c r="U88" i="2"/>
  <c r="V88" i="2" s="1"/>
  <c r="U89" i="2"/>
  <c r="V89" i="2" s="1"/>
  <c r="U90" i="2"/>
  <c r="V90" i="2" s="1"/>
  <c r="U91" i="2"/>
  <c r="V91" i="2" s="1"/>
  <c r="U92" i="2"/>
  <c r="V92" i="2" s="1"/>
  <c r="U93" i="2"/>
  <c r="V93" i="2" s="1"/>
  <c r="U94" i="2"/>
  <c r="V94" i="2" s="1"/>
  <c r="U95" i="2"/>
  <c r="V95" i="2" s="1"/>
  <c r="U96" i="2"/>
  <c r="V96" i="2" s="1"/>
  <c r="U97" i="2"/>
  <c r="V97" i="2" s="1"/>
  <c r="U98" i="2"/>
  <c r="V98" i="2" s="1"/>
  <c r="U99" i="2"/>
  <c r="V99" i="2" s="1"/>
  <c r="U100" i="2"/>
  <c r="V100" i="2" s="1"/>
  <c r="U101" i="2"/>
  <c r="V101" i="2" s="1"/>
  <c r="U102" i="2"/>
  <c r="V102" i="2" s="1"/>
  <c r="U103" i="2"/>
  <c r="V103" i="2" s="1"/>
  <c r="U104" i="2"/>
  <c r="V104" i="2" s="1"/>
  <c r="U105" i="2"/>
  <c r="V105" i="2" s="1"/>
  <c r="U106" i="2"/>
  <c r="V106" i="2" s="1"/>
  <c r="U107" i="2"/>
  <c r="V107" i="2" s="1"/>
  <c r="U108" i="2"/>
  <c r="V108" i="2" s="1"/>
  <c r="U109" i="2"/>
  <c r="V109" i="2" s="1"/>
  <c r="U110" i="2"/>
  <c r="V110" i="2" s="1"/>
  <c r="U111" i="2"/>
  <c r="V111" i="2" s="1"/>
  <c r="U112" i="2"/>
  <c r="V112" i="2" s="1"/>
  <c r="U113" i="2"/>
  <c r="V113" i="2" s="1"/>
  <c r="U114" i="2"/>
  <c r="V114" i="2" s="1"/>
  <c r="U115" i="2"/>
  <c r="V115" i="2" s="1"/>
  <c r="U116" i="2"/>
  <c r="V116" i="2" s="1"/>
  <c r="U117" i="2"/>
  <c r="V117" i="2" s="1"/>
  <c r="U118" i="2"/>
  <c r="V118" i="2" s="1"/>
  <c r="U119" i="2"/>
  <c r="V119" i="2" s="1"/>
  <c r="U120" i="2"/>
  <c r="V120" i="2" s="1"/>
  <c r="U121" i="2"/>
  <c r="V121" i="2" s="1"/>
  <c r="U122" i="2"/>
  <c r="V122" i="2" s="1"/>
  <c r="U123" i="2"/>
  <c r="V123" i="2" s="1"/>
  <c r="U124" i="2"/>
  <c r="V124" i="2" s="1"/>
  <c r="U125" i="2"/>
  <c r="V125" i="2" s="1"/>
  <c r="U126" i="2"/>
  <c r="V126" i="2" s="1"/>
  <c r="U127" i="2"/>
  <c r="V127" i="2" s="1"/>
  <c r="U128" i="2"/>
  <c r="V128" i="2" s="1"/>
  <c r="U129" i="2"/>
  <c r="V129" i="2" s="1"/>
  <c r="U130" i="2"/>
  <c r="V130" i="2" s="1"/>
  <c r="U131" i="2"/>
  <c r="V131" i="2" s="1"/>
  <c r="U132" i="2"/>
  <c r="V132" i="2" s="1"/>
  <c r="U133" i="2"/>
  <c r="V133" i="2" s="1"/>
  <c r="U134" i="2"/>
  <c r="V134" i="2" s="1"/>
  <c r="U135" i="2"/>
  <c r="V135" i="2" s="1"/>
  <c r="U136" i="2"/>
  <c r="V136" i="2" s="1"/>
  <c r="U137" i="2"/>
  <c r="V137" i="2" s="1"/>
  <c r="U138" i="2"/>
  <c r="V138" i="2" s="1"/>
  <c r="U139" i="2"/>
  <c r="V139" i="2" s="1"/>
  <c r="U140" i="2"/>
  <c r="V140" i="2" s="1"/>
  <c r="U141" i="2"/>
  <c r="V141" i="2" s="1"/>
  <c r="U142" i="2"/>
  <c r="V142" i="2" s="1"/>
  <c r="U143" i="2"/>
  <c r="V143" i="2" s="1"/>
  <c r="U144" i="2"/>
  <c r="V144" i="2" s="1"/>
  <c r="U145" i="2"/>
  <c r="V145" i="2" s="1"/>
  <c r="U146" i="2"/>
  <c r="V146" i="2" s="1"/>
  <c r="U147" i="2"/>
  <c r="V147" i="2" s="1"/>
  <c r="U148" i="2"/>
  <c r="V148" i="2" s="1"/>
  <c r="U149" i="2"/>
  <c r="V149" i="2" s="1"/>
  <c r="U150" i="2"/>
  <c r="V150" i="2" s="1"/>
  <c r="U151" i="2"/>
  <c r="V151" i="2" s="1"/>
  <c r="U152" i="2"/>
  <c r="V152" i="2" s="1"/>
  <c r="U153" i="2"/>
  <c r="V153" i="2" s="1"/>
  <c r="U154" i="2"/>
  <c r="V154" i="2" s="1"/>
  <c r="U155" i="2"/>
  <c r="V155" i="2" s="1"/>
  <c r="U156" i="2"/>
  <c r="V156" i="2" s="1"/>
  <c r="U157" i="2"/>
  <c r="V157" i="2" s="1"/>
  <c r="U158" i="2"/>
  <c r="V158" i="2" s="1"/>
  <c r="U159" i="2"/>
  <c r="V159" i="2" s="1"/>
  <c r="U160" i="2"/>
  <c r="V160" i="2" s="1"/>
  <c r="U161" i="2"/>
  <c r="V161" i="2" s="1"/>
  <c r="U162" i="2"/>
  <c r="V162" i="2" s="1"/>
  <c r="U163" i="2"/>
  <c r="V163" i="2" s="1"/>
  <c r="U164" i="2"/>
  <c r="V164" i="2" s="1"/>
  <c r="U165" i="2"/>
  <c r="V165" i="2" s="1"/>
  <c r="U166" i="2"/>
  <c r="V166" i="2" s="1"/>
  <c r="U167" i="2"/>
  <c r="V167" i="2" s="1"/>
  <c r="U168" i="2"/>
  <c r="V168" i="2" s="1"/>
  <c r="U169" i="2"/>
  <c r="V169" i="2" s="1"/>
  <c r="U170" i="2"/>
  <c r="V170" i="2" s="1"/>
  <c r="U171" i="2"/>
  <c r="V171" i="2" s="1"/>
  <c r="U172" i="2"/>
  <c r="V172" i="2" s="1"/>
  <c r="U173" i="2"/>
  <c r="V173" i="2" s="1"/>
  <c r="U174" i="2"/>
  <c r="V174" i="2" s="1"/>
  <c r="U175" i="2"/>
  <c r="V175" i="2" s="1"/>
  <c r="U176" i="2"/>
  <c r="V176" i="2" s="1"/>
  <c r="U177" i="2"/>
  <c r="V177" i="2" s="1"/>
  <c r="U178" i="2"/>
  <c r="V178" i="2" s="1"/>
  <c r="U179" i="2"/>
  <c r="V179" i="2" s="1"/>
  <c r="U180" i="2"/>
  <c r="V180" i="2" s="1"/>
  <c r="U181" i="2"/>
  <c r="V181" i="2" s="1"/>
  <c r="U182" i="2"/>
  <c r="V182" i="2" s="1"/>
  <c r="U183" i="2"/>
  <c r="V183" i="2" s="1"/>
  <c r="U184" i="2"/>
  <c r="V184" i="2" s="1"/>
  <c r="U185" i="2"/>
  <c r="V185" i="2" s="1"/>
  <c r="U186" i="2"/>
  <c r="V186" i="2" s="1"/>
  <c r="U187" i="2"/>
  <c r="V187" i="2" s="1"/>
  <c r="U188" i="2"/>
  <c r="V188" i="2" s="1"/>
  <c r="U189" i="2"/>
  <c r="V189" i="2" s="1"/>
  <c r="U190" i="2"/>
  <c r="V190" i="2" s="1"/>
  <c r="U191" i="2"/>
  <c r="V191" i="2" s="1"/>
  <c r="U192" i="2"/>
  <c r="V192" i="2" s="1"/>
  <c r="U193" i="2"/>
  <c r="V193" i="2" s="1"/>
  <c r="U194" i="2"/>
  <c r="V194" i="2" s="1"/>
  <c r="U195" i="2"/>
  <c r="V195" i="2" s="1"/>
  <c r="U196" i="2"/>
  <c r="V196" i="2" s="1"/>
  <c r="U197" i="2"/>
  <c r="V197" i="2" s="1"/>
  <c r="U198" i="2"/>
  <c r="V198" i="2" s="1"/>
  <c r="U199" i="2"/>
  <c r="V199" i="2" s="1"/>
  <c r="U200" i="2"/>
  <c r="V200" i="2" s="1"/>
  <c r="U201" i="2"/>
  <c r="V201" i="2" s="1"/>
  <c r="U202" i="2"/>
  <c r="V202" i="2" s="1"/>
  <c r="U203" i="2"/>
  <c r="V203" i="2" s="1"/>
  <c r="U204" i="2"/>
  <c r="V204" i="2" s="1"/>
  <c r="U205" i="2"/>
  <c r="V205" i="2" s="1"/>
  <c r="U206" i="2"/>
  <c r="V206" i="2" s="1"/>
  <c r="U207" i="2"/>
  <c r="V207" i="2" s="1"/>
  <c r="U208" i="2"/>
  <c r="V208" i="2" s="1"/>
  <c r="U209" i="2"/>
  <c r="V209" i="2" s="1"/>
  <c r="U210" i="2"/>
  <c r="V210" i="2" s="1"/>
  <c r="U211" i="2"/>
  <c r="V211" i="2" s="1"/>
  <c r="U212" i="2"/>
  <c r="V212" i="2" s="1"/>
  <c r="U213" i="2"/>
  <c r="V213" i="2" s="1"/>
  <c r="U214" i="2"/>
  <c r="V214" i="2" s="1"/>
  <c r="U215" i="2"/>
  <c r="V215" i="2" s="1"/>
  <c r="U216" i="2"/>
  <c r="V216" i="2" s="1"/>
  <c r="U217" i="2"/>
  <c r="V217" i="2" s="1"/>
  <c r="U218" i="2"/>
  <c r="V218" i="2" s="1"/>
  <c r="U219" i="2"/>
  <c r="V219" i="2" s="1"/>
  <c r="U220" i="2"/>
  <c r="V220" i="2" s="1"/>
  <c r="U221" i="2"/>
  <c r="V221" i="2" s="1"/>
  <c r="U222" i="2"/>
  <c r="V222" i="2" s="1"/>
  <c r="U223" i="2"/>
  <c r="V223" i="2" s="1"/>
  <c r="U224" i="2"/>
  <c r="V224" i="2" s="1"/>
  <c r="U225" i="2"/>
  <c r="V225" i="2" s="1"/>
  <c r="U226" i="2"/>
  <c r="V226" i="2" s="1"/>
  <c r="U227" i="2"/>
  <c r="V227" i="2" s="1"/>
  <c r="U228" i="2"/>
  <c r="V228" i="2" s="1"/>
  <c r="U229" i="2"/>
  <c r="V229" i="2" s="1"/>
  <c r="U230" i="2"/>
  <c r="V230" i="2" s="1"/>
  <c r="U231" i="2"/>
  <c r="V231" i="2" s="1"/>
  <c r="P2" i="2" a="1"/>
  <c r="O2" i="2" a="1"/>
  <c r="J2" i="2" a="1"/>
  <c r="J3" i="2" a="1"/>
  <c r="J4" i="2" a="1"/>
  <c r="J5" i="2" a="1"/>
  <c r="J6" i="2" a="1"/>
  <c r="J7" i="2" a="1"/>
  <c r="J8" i="2" a="1"/>
  <c r="J9" i="2" a="1"/>
  <c r="J10" i="2" a="1"/>
  <c r="J11" i="2" a="1"/>
  <c r="J12" i="2" a="1"/>
  <c r="J13" i="2" a="1"/>
  <c r="J14" i="2" a="1"/>
  <c r="J15" i="2" a="1"/>
  <c r="J16" i="2" a="1"/>
  <c r="J17" i="2" a="1"/>
  <c r="J18" i="2" a="1"/>
  <c r="J19" i="2" a="1"/>
  <c r="J20" i="2" a="1"/>
  <c r="J21" i="2" a="1"/>
  <c r="J22" i="2" a="1"/>
  <c r="J23" i="2" a="1"/>
  <c r="J24" i="2" a="1"/>
  <c r="J25" i="2" a="1"/>
  <c r="J26" i="2" a="1"/>
  <c r="J27" i="2" a="1"/>
  <c r="J28" i="2" a="1"/>
  <c r="J29" i="2" a="1"/>
  <c r="J30" i="2" a="1"/>
  <c r="J31" i="2" a="1"/>
  <c r="J32" i="2" a="1"/>
  <c r="J33" i="2" a="1"/>
  <c r="J34" i="2" a="1"/>
  <c r="J35" i="2" a="1"/>
  <c r="J36" i="2" a="1"/>
  <c r="J37" i="2" a="1"/>
  <c r="J38" i="2" a="1"/>
  <c r="J39" i="2" a="1"/>
  <c r="J40" i="2" a="1"/>
  <c r="J41" i="2" a="1"/>
  <c r="J42" i="2" a="1"/>
  <c r="J43" i="2" a="1"/>
  <c r="J44" i="2" a="1"/>
  <c r="J45" i="2" a="1"/>
  <c r="J46" i="2" a="1"/>
  <c r="J47" i="2" a="1"/>
  <c r="J48" i="2" a="1"/>
  <c r="J49" i="2" a="1"/>
  <c r="J50" i="2" a="1"/>
  <c r="J51" i="2" a="1"/>
  <c r="J52" i="2" a="1"/>
  <c r="J53" i="2" a="1"/>
  <c r="J54" i="2" a="1"/>
  <c r="J55" i="2" a="1"/>
  <c r="J56" i="2" a="1"/>
  <c r="J57" i="2" a="1"/>
  <c r="J58" i="2" a="1"/>
  <c r="J59" i="2" a="1"/>
  <c r="J60" i="2" a="1"/>
  <c r="J61" i="2" a="1"/>
  <c r="J62" i="2" a="1"/>
  <c r="J63" i="2" a="1"/>
  <c r="J64" i="2" a="1"/>
  <c r="J65" i="2" a="1"/>
  <c r="J66" i="2" a="1"/>
  <c r="J67" i="2" a="1"/>
  <c r="J68" i="2" a="1"/>
  <c r="J69" i="2" a="1"/>
  <c r="J70" i="2" a="1"/>
  <c r="J71" i="2" a="1"/>
  <c r="J72" i="2" a="1"/>
  <c r="J73" i="2" a="1"/>
  <c r="J74" i="2" a="1"/>
  <c r="J75" i="2" a="1"/>
  <c r="J76" i="2" a="1"/>
  <c r="J77" i="2" a="1"/>
  <c r="J78" i="2" a="1"/>
  <c r="J79" i="2" a="1"/>
  <c r="J80" i="2" a="1"/>
  <c r="J81" i="2" a="1"/>
  <c r="J82" i="2" a="1"/>
  <c r="J83" i="2" a="1"/>
  <c r="J84" i="2" a="1"/>
  <c r="J85" i="2" a="1"/>
  <c r="J86" i="2" a="1"/>
  <c r="J87" i="2" a="1"/>
  <c r="J88" i="2" a="1"/>
  <c r="J89" i="2" a="1"/>
  <c r="J90" i="2" a="1"/>
  <c r="J91" i="2" a="1"/>
  <c r="J92" i="2" a="1"/>
  <c r="J93" i="2" a="1"/>
  <c r="J94" i="2" a="1"/>
  <c r="J95" i="2" a="1"/>
  <c r="J96" i="2" a="1"/>
  <c r="J97" i="2" a="1"/>
  <c r="J98" i="2" a="1"/>
  <c r="J99" i="2" a="1"/>
  <c r="J100" i="2" a="1"/>
  <c r="J101" i="2" a="1"/>
  <c r="J102" i="2" a="1"/>
  <c r="J103" i="2" a="1"/>
  <c r="J104" i="2" a="1"/>
  <c r="J105" i="2" a="1"/>
  <c r="J106" i="2" a="1"/>
  <c r="J107" i="2" a="1"/>
  <c r="J108" i="2" a="1"/>
  <c r="J109" i="2" a="1"/>
  <c r="J110" i="2" a="1"/>
  <c r="J111" i="2" a="1"/>
  <c r="J112" i="2" a="1"/>
  <c r="J113" i="2" a="1"/>
  <c r="J114" i="2" a="1"/>
  <c r="J115" i="2" a="1"/>
  <c r="J116" i="2" a="1"/>
  <c r="J117" i="2" a="1"/>
  <c r="J118" i="2" a="1"/>
  <c r="J119" i="2" a="1"/>
  <c r="J120" i="2" a="1"/>
  <c r="J121" i="2" a="1"/>
  <c r="J122" i="2" a="1"/>
  <c r="J123" i="2" a="1"/>
  <c r="J124" i="2" a="1"/>
  <c r="J125" i="2" a="1"/>
  <c r="J126" i="2" a="1"/>
  <c r="J127" i="2" a="1"/>
  <c r="J128" i="2" a="1"/>
  <c r="J129" i="2" a="1"/>
  <c r="J130" i="2" a="1"/>
  <c r="J131" i="2" a="1"/>
  <c r="J132" i="2" a="1"/>
  <c r="J133" i="2" a="1"/>
  <c r="J134" i="2" a="1"/>
  <c r="J135" i="2" a="1"/>
  <c r="J136" i="2" a="1"/>
  <c r="J137" i="2" a="1"/>
  <c r="J138" i="2" a="1"/>
  <c r="J139" i="2" a="1"/>
  <c r="J140" i="2" a="1"/>
  <c r="J141" i="2" a="1"/>
  <c r="J142" i="2" a="1"/>
  <c r="J143" i="2" a="1"/>
  <c r="J144" i="2" a="1"/>
  <c r="J145" i="2" a="1"/>
  <c r="J146" i="2" a="1"/>
  <c r="J147" i="2" a="1"/>
  <c r="J148" i="2" a="1"/>
  <c r="J149" i="2" a="1"/>
  <c r="J150" i="2" a="1"/>
  <c r="J151" i="2" a="1"/>
  <c r="J152" i="2" a="1"/>
  <c r="J153" i="2" a="1"/>
  <c r="J154" i="2" a="1"/>
  <c r="J155" i="2" a="1"/>
  <c r="J156" i="2" a="1"/>
  <c r="J157" i="2" a="1"/>
  <c r="J158" i="2" a="1"/>
  <c r="J159" i="2" a="1"/>
  <c r="J160" i="2" a="1"/>
  <c r="J161" i="2" a="1"/>
  <c r="J162" i="2" a="1"/>
  <c r="J163" i="2" a="1"/>
  <c r="J164" i="2" a="1"/>
  <c r="J165" i="2" a="1"/>
  <c r="J166" i="2" a="1"/>
  <c r="J167" i="2" a="1"/>
  <c r="J168" i="2" a="1"/>
  <c r="J169" i="2" a="1"/>
  <c r="J170" i="2" a="1"/>
  <c r="J171" i="2" a="1"/>
  <c r="J172" i="2" a="1"/>
  <c r="J173" i="2" a="1"/>
  <c r="J174" i="2" a="1"/>
  <c r="J175" i="2" a="1"/>
  <c r="J176" i="2" a="1"/>
  <c r="J177" i="2" a="1"/>
  <c r="J178" i="2" a="1"/>
  <c r="J179" i="2" a="1"/>
  <c r="J180" i="2" a="1"/>
  <c r="J181" i="2" a="1"/>
  <c r="J182" i="2" a="1"/>
  <c r="J183" i="2" a="1"/>
  <c r="J184" i="2" a="1"/>
  <c r="J185" i="2" a="1"/>
  <c r="J186" i="2" a="1"/>
  <c r="J187" i="2" a="1"/>
  <c r="J188" i="2" a="1"/>
  <c r="J189" i="2" a="1"/>
  <c r="J190" i="2" a="1"/>
  <c r="J191" i="2" a="1"/>
  <c r="J192" i="2" a="1"/>
  <c r="J193" i="2" a="1"/>
  <c r="J194" i="2" a="1"/>
  <c r="J195" i="2" a="1"/>
  <c r="J196" i="2" a="1"/>
  <c r="J197" i="2" a="1"/>
  <c r="J198" i="2" a="1"/>
  <c r="J199" i="2" a="1"/>
  <c r="J200" i="2" a="1"/>
  <c r="J201" i="2" a="1"/>
  <c r="J202" i="2" a="1"/>
  <c r="J203" i="2" a="1"/>
  <c r="J204" i="2" a="1"/>
  <c r="J205" i="2" a="1"/>
  <c r="J206" i="2" a="1"/>
  <c r="J207" i="2" a="1"/>
  <c r="J208" i="2" a="1"/>
  <c r="J209" i="2" a="1"/>
  <c r="J210" i="2" a="1"/>
  <c r="J211" i="2" a="1"/>
  <c r="J212" i="2" a="1"/>
  <c r="J213" i="2" a="1"/>
  <c r="J214" i="2" a="1"/>
  <c r="J215" i="2" a="1"/>
  <c r="J216" i="2" a="1"/>
  <c r="J217" i="2" a="1"/>
  <c r="J218" i="2" a="1"/>
  <c r="J219" i="2" a="1"/>
  <c r="J220" i="2" a="1"/>
  <c r="J221" i="2" a="1"/>
  <c r="J222" i="2" a="1"/>
  <c r="J223" i="2" a="1"/>
  <c r="J224" i="2" a="1"/>
  <c r="J225" i="2" a="1"/>
  <c r="J226" i="2" a="1"/>
  <c r="J227" i="2" a="1"/>
  <c r="J228" i="2" a="1"/>
  <c r="J229" i="2" a="1"/>
  <c r="J230" i="2" a="1"/>
  <c r="J231" i="2" a="1"/>
  <c r="I2" i="2" a="1"/>
  <c r="I3" i="2" a="1"/>
  <c r="I4" i="2" a="1"/>
  <c r="I5" i="2" a="1"/>
  <c r="I6" i="2" a="1"/>
  <c r="I7" i="2" a="1"/>
  <c r="I8" i="2" a="1"/>
  <c r="I9" i="2" a="1"/>
  <c r="I10" i="2" a="1"/>
  <c r="I11" i="2" a="1"/>
  <c r="I12" i="2" a="1"/>
  <c r="I13" i="2" a="1"/>
  <c r="I14" i="2" a="1"/>
  <c r="I15" i="2" a="1"/>
  <c r="I16" i="2" a="1"/>
  <c r="I17" i="2" a="1"/>
  <c r="I18" i="2" a="1"/>
  <c r="I19" i="2" a="1"/>
  <c r="I20" i="2" a="1"/>
  <c r="I21" i="2" a="1"/>
  <c r="I22" i="2" a="1"/>
  <c r="I23" i="2" a="1"/>
  <c r="I24" i="2" a="1"/>
  <c r="I25" i="2" a="1"/>
  <c r="I26" i="2" a="1"/>
  <c r="I27" i="2" a="1"/>
  <c r="I28" i="2" a="1"/>
  <c r="I29" i="2" a="1"/>
  <c r="I30" i="2" a="1"/>
  <c r="I31" i="2" a="1"/>
  <c r="I32" i="2" a="1"/>
  <c r="I33" i="2" a="1"/>
  <c r="I34" i="2" a="1"/>
  <c r="I35" i="2" a="1"/>
  <c r="I36" i="2" a="1"/>
  <c r="I37" i="2" a="1"/>
  <c r="I38" i="2" a="1"/>
  <c r="I39" i="2" a="1"/>
  <c r="I40" i="2" a="1"/>
  <c r="I41" i="2" a="1"/>
  <c r="I42" i="2" a="1"/>
  <c r="I43" i="2" a="1"/>
  <c r="I44" i="2" a="1"/>
  <c r="I45" i="2" a="1"/>
  <c r="I46" i="2" a="1"/>
  <c r="I47" i="2" a="1"/>
  <c r="I48" i="2" a="1"/>
  <c r="I49" i="2" a="1"/>
  <c r="I50" i="2" a="1"/>
  <c r="I51" i="2" a="1"/>
  <c r="I52" i="2" a="1"/>
  <c r="I53" i="2" a="1"/>
  <c r="I54" i="2" a="1"/>
  <c r="I55" i="2" a="1"/>
  <c r="I56" i="2" a="1"/>
  <c r="I57" i="2" a="1"/>
  <c r="I58" i="2" a="1"/>
  <c r="I59" i="2" a="1"/>
  <c r="I60" i="2" a="1"/>
  <c r="I61" i="2" a="1"/>
  <c r="I62" i="2" a="1"/>
  <c r="I63" i="2" a="1"/>
  <c r="I64" i="2" a="1"/>
  <c r="I65" i="2" a="1"/>
  <c r="I66" i="2" a="1"/>
  <c r="I67" i="2" a="1"/>
  <c r="I68" i="2" a="1"/>
  <c r="I69" i="2" a="1"/>
  <c r="I70" i="2" a="1"/>
  <c r="I71" i="2" a="1"/>
  <c r="I72" i="2" a="1"/>
  <c r="I73" i="2" a="1"/>
  <c r="I74" i="2" a="1"/>
  <c r="I75" i="2" a="1"/>
  <c r="I76" i="2" a="1"/>
  <c r="I77" i="2" a="1"/>
  <c r="I78" i="2" a="1"/>
  <c r="I79" i="2" a="1"/>
  <c r="I80" i="2" a="1"/>
  <c r="I81" i="2" a="1"/>
  <c r="I82" i="2" a="1"/>
  <c r="I83" i="2" a="1"/>
  <c r="I84" i="2" a="1"/>
  <c r="I85" i="2" a="1"/>
  <c r="I86" i="2" a="1"/>
  <c r="I87" i="2" a="1"/>
  <c r="I88" i="2" a="1"/>
  <c r="I89" i="2" a="1"/>
  <c r="I90" i="2" a="1"/>
  <c r="I91" i="2" a="1"/>
  <c r="I92" i="2" a="1"/>
  <c r="I93" i="2" a="1"/>
  <c r="I94" i="2" a="1"/>
  <c r="I95" i="2" a="1"/>
  <c r="I96" i="2" a="1"/>
  <c r="I97" i="2" a="1"/>
  <c r="I98" i="2" a="1"/>
  <c r="I99" i="2" a="1"/>
  <c r="I100" i="2" a="1"/>
  <c r="I101" i="2" a="1"/>
  <c r="I102" i="2" a="1"/>
  <c r="I103" i="2" a="1"/>
  <c r="I104" i="2" a="1"/>
  <c r="I105" i="2" a="1"/>
  <c r="I106" i="2" a="1"/>
  <c r="I107" i="2" a="1"/>
  <c r="I108" i="2" a="1"/>
  <c r="I109" i="2" a="1"/>
  <c r="I110" i="2" a="1"/>
  <c r="I111" i="2" a="1"/>
  <c r="I112" i="2" a="1"/>
  <c r="I113" i="2" a="1"/>
  <c r="I114" i="2" a="1"/>
  <c r="I115" i="2" a="1"/>
  <c r="I116" i="2" a="1"/>
  <c r="I117" i="2" a="1"/>
  <c r="I118" i="2" a="1"/>
  <c r="I119" i="2" a="1"/>
  <c r="I120" i="2" a="1"/>
  <c r="I121" i="2" a="1"/>
  <c r="I122" i="2" a="1"/>
  <c r="I123" i="2" a="1"/>
  <c r="I124" i="2" a="1"/>
  <c r="I125" i="2" a="1"/>
  <c r="I126" i="2" a="1"/>
  <c r="I127" i="2" a="1"/>
  <c r="I128" i="2" a="1"/>
  <c r="I129" i="2" a="1"/>
  <c r="I130" i="2" a="1"/>
  <c r="I131" i="2" a="1"/>
  <c r="I132" i="2" a="1"/>
  <c r="I133" i="2" a="1"/>
  <c r="I134" i="2" a="1"/>
  <c r="I135" i="2" a="1"/>
  <c r="I136" i="2" a="1"/>
  <c r="I137" i="2" a="1"/>
  <c r="I138" i="2" a="1"/>
  <c r="I139" i="2" a="1"/>
  <c r="I140" i="2" a="1"/>
  <c r="I141" i="2" a="1"/>
  <c r="I142" i="2" a="1"/>
  <c r="I143" i="2" a="1"/>
  <c r="I144" i="2" a="1"/>
  <c r="I145" i="2" a="1"/>
  <c r="I146" i="2" a="1"/>
  <c r="I147" i="2" a="1"/>
  <c r="I148" i="2" a="1"/>
  <c r="I149" i="2" a="1"/>
  <c r="I150" i="2" a="1"/>
  <c r="I151" i="2" a="1"/>
  <c r="I152" i="2" a="1"/>
  <c r="I153" i="2" a="1"/>
  <c r="I154" i="2" a="1"/>
  <c r="I155" i="2" a="1"/>
  <c r="I156" i="2" a="1"/>
  <c r="I157" i="2" a="1"/>
  <c r="I158" i="2" a="1"/>
  <c r="I159" i="2" a="1"/>
  <c r="I160" i="2" a="1"/>
  <c r="I161" i="2" a="1"/>
  <c r="I162" i="2" a="1"/>
  <c r="I163" i="2" a="1"/>
  <c r="I164" i="2" a="1"/>
  <c r="I165" i="2" a="1"/>
  <c r="I166" i="2" a="1"/>
  <c r="I167" i="2" a="1"/>
  <c r="I168" i="2" a="1"/>
  <c r="I169" i="2" a="1"/>
  <c r="I170" i="2" a="1"/>
  <c r="I171" i="2" a="1"/>
  <c r="I172" i="2" a="1"/>
  <c r="I173" i="2" a="1"/>
  <c r="I174" i="2" a="1"/>
  <c r="I175" i="2" a="1"/>
  <c r="I176" i="2" a="1"/>
  <c r="I177" i="2" a="1"/>
  <c r="I178" i="2" a="1"/>
  <c r="I179" i="2" a="1"/>
  <c r="I180" i="2" a="1"/>
  <c r="I181" i="2" a="1"/>
  <c r="I182" i="2" a="1"/>
  <c r="I183" i="2" a="1"/>
  <c r="I184" i="2" a="1"/>
  <c r="I185" i="2" a="1"/>
  <c r="I186" i="2" a="1"/>
  <c r="I187" i="2" a="1"/>
  <c r="I188" i="2" a="1"/>
  <c r="I189" i="2" a="1"/>
  <c r="I190" i="2" a="1"/>
  <c r="I191" i="2" a="1"/>
  <c r="I192" i="2" a="1"/>
  <c r="I193" i="2" a="1"/>
  <c r="I194" i="2" a="1"/>
  <c r="I195" i="2" a="1"/>
  <c r="I196" i="2" a="1"/>
  <c r="I197" i="2" a="1"/>
  <c r="I198" i="2" a="1"/>
  <c r="I199" i="2" a="1"/>
  <c r="I200" i="2" a="1"/>
  <c r="I201" i="2" a="1"/>
  <c r="I202" i="2" a="1"/>
  <c r="I203" i="2" a="1"/>
  <c r="I204" i="2" a="1"/>
  <c r="I205" i="2" a="1"/>
  <c r="I206" i="2" a="1"/>
  <c r="I207" i="2" a="1"/>
  <c r="I208" i="2" a="1"/>
  <c r="I209" i="2" a="1"/>
  <c r="I210" i="2" a="1"/>
  <c r="I211" i="2" a="1"/>
  <c r="I212" i="2" a="1"/>
  <c r="I213" i="2" a="1"/>
  <c r="I214" i="2" a="1"/>
  <c r="I215" i="2" a="1"/>
  <c r="I216" i="2" a="1"/>
  <c r="I217" i="2" a="1"/>
  <c r="I218" i="2" a="1"/>
  <c r="I219" i="2" a="1"/>
  <c r="I220" i="2" a="1"/>
  <c r="I221" i="2" a="1"/>
  <c r="I222" i="2" a="1"/>
  <c r="I223" i="2" a="1"/>
  <c r="I224" i="2" a="1"/>
  <c r="I225" i="2" a="1"/>
  <c r="I226" i="2" a="1"/>
  <c r="I227" i="2" a="1"/>
  <c r="I228" i="2" a="1"/>
  <c r="I229" i="2" a="1"/>
  <c r="I230" i="2" a="1"/>
  <c r="I231" i="2" a="1"/>
  <c r="C2" i="2"/>
  <c r="Y2" i="2" s="1"/>
  <c r="Z2" i="2" s="1"/>
  <c r="C3" i="2"/>
  <c r="Y3" i="2" s="1"/>
  <c r="Z3" i="2" s="1"/>
  <c r="C4" i="2"/>
  <c r="Y4" i="2" s="1"/>
  <c r="C5" i="2"/>
  <c r="Y5" i="2" s="1"/>
  <c r="C6" i="2"/>
  <c r="Y6" i="2" s="1"/>
  <c r="C7" i="2"/>
  <c r="Y7" i="2" s="1"/>
  <c r="C8" i="2"/>
  <c r="Y8" i="2" s="1"/>
  <c r="C9" i="2"/>
  <c r="Y9" i="2" s="1"/>
  <c r="C10" i="2"/>
  <c r="Y10" i="2" s="1"/>
  <c r="C11" i="2"/>
  <c r="Y11" i="2" s="1"/>
  <c r="C12" i="2"/>
  <c r="Y12" i="2" s="1"/>
  <c r="C13" i="2"/>
  <c r="Y13" i="2" s="1"/>
  <c r="C14" i="2"/>
  <c r="Y14" i="2" s="1"/>
  <c r="C15" i="2"/>
  <c r="Y15" i="2" s="1"/>
  <c r="C16" i="2"/>
  <c r="Y16" i="2" s="1"/>
  <c r="C17" i="2"/>
  <c r="Y17" i="2" s="1"/>
  <c r="C18" i="2"/>
  <c r="Y18" i="2" s="1"/>
  <c r="C19" i="2"/>
  <c r="Y19" i="2" s="1"/>
  <c r="Z19" i="2" s="1"/>
  <c r="C20" i="2"/>
  <c r="Y20" i="2" s="1"/>
  <c r="Z20" i="2" s="1"/>
  <c r="C21" i="2"/>
  <c r="Y21" i="2" s="1"/>
  <c r="Z21" i="2" s="1"/>
  <c r="C22" i="2"/>
  <c r="Y22" i="2" s="1"/>
  <c r="Z22" i="2" s="1"/>
  <c r="C23" i="2"/>
  <c r="Y23" i="2" s="1"/>
  <c r="Z23" i="2" s="1"/>
  <c r="C24" i="2"/>
  <c r="Y24" i="2" s="1"/>
  <c r="Z24" i="2" s="1"/>
  <c r="C25" i="2"/>
  <c r="Y25" i="2" s="1"/>
  <c r="Z25" i="2" s="1"/>
  <c r="C26" i="2"/>
  <c r="Y26" i="2" s="1"/>
  <c r="Z26" i="2" s="1"/>
  <c r="C27" i="2"/>
  <c r="Y27" i="2" s="1"/>
  <c r="C28" i="2"/>
  <c r="Y28" i="2" s="1"/>
  <c r="C29" i="2"/>
  <c r="Y29" i="2" s="1"/>
  <c r="C30" i="2"/>
  <c r="Y30" i="2" s="1"/>
  <c r="C31" i="2"/>
  <c r="Y31" i="2" s="1"/>
  <c r="C32" i="2"/>
  <c r="Y32" i="2" s="1"/>
  <c r="C33" i="2"/>
  <c r="Y33" i="2" s="1"/>
  <c r="C34" i="2"/>
  <c r="Y34" i="2" s="1"/>
  <c r="C35" i="2"/>
  <c r="Y35" i="2" s="1"/>
  <c r="C36" i="2"/>
  <c r="Y36" i="2" s="1"/>
  <c r="C37" i="2"/>
  <c r="Y37" i="2" s="1"/>
  <c r="C38" i="2"/>
  <c r="Y38" i="2" s="1"/>
  <c r="C39" i="2"/>
  <c r="Y39" i="2" s="1"/>
  <c r="C40" i="2"/>
  <c r="Y40" i="2" s="1"/>
  <c r="C41" i="2"/>
  <c r="Y41" i="2" s="1"/>
  <c r="C42" i="2"/>
  <c r="Y42" i="2" s="1"/>
  <c r="C43" i="2"/>
  <c r="Y43" i="2" s="1"/>
  <c r="C44" i="2"/>
  <c r="Y44" i="2" s="1"/>
  <c r="C45" i="2"/>
  <c r="Y45" i="2" s="1"/>
  <c r="C46" i="2"/>
  <c r="Y46" i="2" s="1"/>
  <c r="C47" i="2"/>
  <c r="Y47" i="2" s="1"/>
  <c r="C48" i="2"/>
  <c r="Y48" i="2" s="1"/>
  <c r="C49" i="2"/>
  <c r="Y49" i="2" s="1"/>
  <c r="C50" i="2"/>
  <c r="Y50" i="2" s="1"/>
  <c r="C51" i="2"/>
  <c r="Y51" i="2" s="1"/>
  <c r="C52" i="2"/>
  <c r="Y52" i="2" s="1"/>
  <c r="C53" i="2"/>
  <c r="Y53" i="2" s="1"/>
  <c r="C54" i="2"/>
  <c r="Y54" i="2" s="1"/>
  <c r="C55" i="2"/>
  <c r="Y55" i="2" s="1"/>
  <c r="C56" i="2"/>
  <c r="Y56" i="2" s="1"/>
  <c r="C57" i="2"/>
  <c r="Y57" i="2" s="1"/>
  <c r="C58" i="2"/>
  <c r="Y58" i="2" s="1"/>
  <c r="C59" i="2"/>
  <c r="Y59" i="2" s="1"/>
  <c r="C60" i="2"/>
  <c r="Y60" i="2" s="1"/>
  <c r="C61" i="2"/>
  <c r="Y61" i="2" s="1"/>
  <c r="C62" i="2"/>
  <c r="Y62" i="2" s="1"/>
  <c r="C63" i="2"/>
  <c r="Y63" i="2" s="1"/>
  <c r="C64" i="2"/>
  <c r="Y64" i="2" s="1"/>
  <c r="C65" i="2"/>
  <c r="Y65" i="2" s="1"/>
  <c r="C66" i="2"/>
  <c r="Y66" i="2" s="1"/>
  <c r="C67" i="2"/>
  <c r="Y67" i="2" s="1"/>
  <c r="C68" i="2"/>
  <c r="Y68" i="2" s="1"/>
  <c r="C69" i="2"/>
  <c r="Y69" i="2" s="1"/>
  <c r="C70" i="2"/>
  <c r="Y70" i="2" s="1"/>
  <c r="C71" i="2"/>
  <c r="Y71" i="2" s="1"/>
  <c r="C72" i="2"/>
  <c r="Y72" i="2" s="1"/>
  <c r="C73" i="2"/>
  <c r="Y73" i="2" s="1"/>
  <c r="C74" i="2"/>
  <c r="Y74" i="2" s="1"/>
  <c r="C75" i="2"/>
  <c r="Y75" i="2" s="1"/>
  <c r="C76" i="2"/>
  <c r="Y76" i="2" s="1"/>
  <c r="C77" i="2"/>
  <c r="Y77" i="2" s="1"/>
  <c r="C78" i="2"/>
  <c r="Y78" i="2" s="1"/>
  <c r="C79" i="2"/>
  <c r="Y79" i="2" s="1"/>
  <c r="C80" i="2"/>
  <c r="Y80" i="2" s="1"/>
  <c r="C81" i="2"/>
  <c r="Y81" i="2" s="1"/>
  <c r="C82" i="2"/>
  <c r="Y82" i="2" s="1"/>
  <c r="C83" i="2"/>
  <c r="Y83" i="2" s="1"/>
  <c r="C84" i="2"/>
  <c r="Y84" i="2" s="1"/>
  <c r="C85" i="2"/>
  <c r="Y85" i="2" s="1"/>
  <c r="C86" i="2"/>
  <c r="Y86" i="2" s="1"/>
  <c r="C87" i="2"/>
  <c r="Y87" i="2" s="1"/>
  <c r="C88" i="2"/>
  <c r="Y88" i="2" s="1"/>
  <c r="C89" i="2"/>
  <c r="Y89" i="2" s="1"/>
  <c r="C90" i="2"/>
  <c r="Y90" i="2" s="1"/>
  <c r="C91" i="2"/>
  <c r="Y91" i="2" s="1"/>
  <c r="C92" i="2"/>
  <c r="Y92" i="2" s="1"/>
  <c r="C93" i="2"/>
  <c r="Y93" i="2" s="1"/>
  <c r="C94" i="2"/>
  <c r="Y94" i="2" s="1"/>
  <c r="C95" i="2"/>
  <c r="Y95" i="2" s="1"/>
  <c r="C96" i="2"/>
  <c r="Y96" i="2" s="1"/>
  <c r="C97" i="2"/>
  <c r="Y97" i="2" s="1"/>
  <c r="C98" i="2"/>
  <c r="Y98" i="2" s="1"/>
  <c r="C99" i="2"/>
  <c r="Y99" i="2" s="1"/>
  <c r="C100" i="2"/>
  <c r="Y100" i="2" s="1"/>
  <c r="C101" i="2"/>
  <c r="Y101" i="2" s="1"/>
  <c r="C102" i="2"/>
  <c r="Y102" i="2" s="1"/>
  <c r="C103" i="2"/>
  <c r="Y103" i="2" s="1"/>
  <c r="C104" i="2"/>
  <c r="Y104" i="2" s="1"/>
  <c r="C105" i="2"/>
  <c r="Y105" i="2" s="1"/>
  <c r="C106" i="2"/>
  <c r="Y106" i="2" s="1"/>
  <c r="C107" i="2"/>
  <c r="Y107" i="2" s="1"/>
  <c r="C108" i="2"/>
  <c r="Y108" i="2" s="1"/>
  <c r="C109" i="2"/>
  <c r="Y109" i="2" s="1"/>
  <c r="C110" i="2"/>
  <c r="Y110" i="2" s="1"/>
  <c r="C111" i="2"/>
  <c r="Y111" i="2" s="1"/>
  <c r="C112" i="2"/>
  <c r="Y112" i="2" s="1"/>
  <c r="C113" i="2"/>
  <c r="Y113" i="2" s="1"/>
  <c r="C114" i="2"/>
  <c r="Y114" i="2" s="1"/>
  <c r="C115" i="2"/>
  <c r="Y115" i="2" s="1"/>
  <c r="C116" i="2"/>
  <c r="Y116" i="2" s="1"/>
  <c r="C117" i="2"/>
  <c r="Y117" i="2" s="1"/>
  <c r="C118" i="2"/>
  <c r="Y118" i="2" s="1"/>
  <c r="C119" i="2"/>
  <c r="Y119" i="2" s="1"/>
  <c r="C120" i="2"/>
  <c r="Y120" i="2" s="1"/>
  <c r="C121" i="2"/>
  <c r="Y121" i="2" s="1"/>
  <c r="C122" i="2"/>
  <c r="Y122" i="2" s="1"/>
  <c r="C123" i="2"/>
  <c r="Y123" i="2" s="1"/>
  <c r="C124" i="2"/>
  <c r="Y124" i="2" s="1"/>
  <c r="C125" i="2"/>
  <c r="Y125" i="2" s="1"/>
  <c r="C126" i="2"/>
  <c r="Y126" i="2" s="1"/>
  <c r="C127" i="2"/>
  <c r="Y127" i="2" s="1"/>
  <c r="C128" i="2"/>
  <c r="Y128" i="2" s="1"/>
  <c r="C129" i="2"/>
  <c r="Y129" i="2" s="1"/>
  <c r="C130" i="2"/>
  <c r="Y130" i="2" s="1"/>
  <c r="C131" i="2"/>
  <c r="Y131" i="2" s="1"/>
  <c r="C132" i="2"/>
  <c r="Y132" i="2" s="1"/>
  <c r="C133" i="2"/>
  <c r="Y133" i="2" s="1"/>
  <c r="C134" i="2"/>
  <c r="Y134" i="2" s="1"/>
  <c r="C135" i="2"/>
  <c r="Y135" i="2" s="1"/>
  <c r="C136" i="2"/>
  <c r="Y136" i="2" s="1"/>
  <c r="C137" i="2"/>
  <c r="Y137" i="2" s="1"/>
  <c r="C138" i="2"/>
  <c r="Y138" i="2" s="1"/>
  <c r="C139" i="2"/>
  <c r="Y139" i="2" s="1"/>
  <c r="C140" i="2"/>
  <c r="Y140" i="2" s="1"/>
  <c r="C141" i="2"/>
  <c r="Y141" i="2" s="1"/>
  <c r="C142" i="2"/>
  <c r="Y142" i="2" s="1"/>
  <c r="C143" i="2"/>
  <c r="Y143" i="2" s="1"/>
  <c r="C144" i="2"/>
  <c r="Y144" i="2" s="1"/>
  <c r="C145" i="2"/>
  <c r="Y145" i="2" s="1"/>
  <c r="C146" i="2"/>
  <c r="Y146" i="2" s="1"/>
  <c r="C147" i="2"/>
  <c r="Y147" i="2" s="1"/>
  <c r="C148" i="2"/>
  <c r="Y148" i="2" s="1"/>
  <c r="C149" i="2"/>
  <c r="Y149" i="2" s="1"/>
  <c r="C150" i="2"/>
  <c r="Y150" i="2" s="1"/>
  <c r="C151" i="2"/>
  <c r="Y151" i="2" s="1"/>
  <c r="C152" i="2"/>
  <c r="Y152" i="2" s="1"/>
  <c r="C153" i="2"/>
  <c r="Y153" i="2" s="1"/>
  <c r="C154" i="2"/>
  <c r="Y154" i="2" s="1"/>
  <c r="C155" i="2"/>
  <c r="Y155" i="2" s="1"/>
  <c r="C156" i="2"/>
  <c r="Y156" i="2" s="1"/>
  <c r="C157" i="2"/>
  <c r="Y157" i="2" s="1"/>
  <c r="C158" i="2"/>
  <c r="Y158" i="2" s="1"/>
  <c r="C159" i="2"/>
  <c r="Y159" i="2" s="1"/>
  <c r="C160" i="2"/>
  <c r="Y160" i="2" s="1"/>
  <c r="C161" i="2"/>
  <c r="Y161" i="2" s="1"/>
  <c r="C162" i="2"/>
  <c r="Y162" i="2" s="1"/>
  <c r="C163" i="2"/>
  <c r="Y163" i="2" s="1"/>
  <c r="C164" i="2"/>
  <c r="Y164" i="2" s="1"/>
  <c r="C165" i="2"/>
  <c r="Y165" i="2" s="1"/>
  <c r="C166" i="2"/>
  <c r="Y166" i="2" s="1"/>
  <c r="C167" i="2"/>
  <c r="Y167" i="2" s="1"/>
  <c r="C168" i="2"/>
  <c r="Y168" i="2" s="1"/>
  <c r="C169" i="2"/>
  <c r="Y169" i="2" s="1"/>
  <c r="C170" i="2"/>
  <c r="Y170" i="2" s="1"/>
  <c r="C171" i="2"/>
  <c r="Y171" i="2" s="1"/>
  <c r="C172" i="2"/>
  <c r="Y172" i="2" s="1"/>
  <c r="C173" i="2"/>
  <c r="Y173" i="2" s="1"/>
  <c r="C174" i="2"/>
  <c r="Y174" i="2" s="1"/>
  <c r="C175" i="2"/>
  <c r="Y175" i="2" s="1"/>
  <c r="C176" i="2"/>
  <c r="Y176" i="2" s="1"/>
  <c r="C177" i="2"/>
  <c r="Y177" i="2" s="1"/>
  <c r="C178" i="2"/>
  <c r="Y178" i="2" s="1"/>
  <c r="C179" i="2"/>
  <c r="Y179" i="2" s="1"/>
  <c r="C180" i="2"/>
  <c r="Y180" i="2" s="1"/>
  <c r="C181" i="2"/>
  <c r="Y181" i="2" s="1"/>
  <c r="C182" i="2"/>
  <c r="Y182" i="2" s="1"/>
  <c r="C183" i="2"/>
  <c r="Y183" i="2" s="1"/>
  <c r="C184" i="2"/>
  <c r="Y184" i="2" s="1"/>
  <c r="C185" i="2"/>
  <c r="Y185" i="2" s="1"/>
  <c r="C186" i="2"/>
  <c r="Y186" i="2" s="1"/>
  <c r="C187" i="2"/>
  <c r="Y187" i="2" s="1"/>
  <c r="C188" i="2"/>
  <c r="Y188" i="2" s="1"/>
  <c r="C189" i="2"/>
  <c r="Y189" i="2" s="1"/>
  <c r="C190" i="2"/>
  <c r="Y190" i="2" s="1"/>
  <c r="C191" i="2"/>
  <c r="Y191" i="2" s="1"/>
  <c r="C192" i="2"/>
  <c r="Y192" i="2" s="1"/>
  <c r="C193" i="2"/>
  <c r="Y193" i="2" s="1"/>
  <c r="C194" i="2"/>
  <c r="Y194" i="2" s="1"/>
  <c r="C195" i="2"/>
  <c r="Y195" i="2" s="1"/>
  <c r="C196" i="2"/>
  <c r="Y196" i="2" s="1"/>
  <c r="C197" i="2"/>
  <c r="Y197" i="2" s="1"/>
  <c r="C198" i="2"/>
  <c r="Y198" i="2" s="1"/>
  <c r="C199" i="2"/>
  <c r="Y199" i="2" s="1"/>
  <c r="C200" i="2"/>
  <c r="Y200" i="2" s="1"/>
  <c r="C201" i="2"/>
  <c r="Y201" i="2" s="1"/>
  <c r="C202" i="2"/>
  <c r="Y202" i="2" s="1"/>
  <c r="C203" i="2"/>
  <c r="Y203" i="2" s="1"/>
  <c r="C204" i="2"/>
  <c r="Y204" i="2" s="1"/>
  <c r="C205" i="2"/>
  <c r="Y205" i="2" s="1"/>
  <c r="C206" i="2"/>
  <c r="Y206" i="2" s="1"/>
  <c r="C207" i="2"/>
  <c r="Y207" i="2" s="1"/>
  <c r="C208" i="2"/>
  <c r="Y208" i="2" s="1"/>
  <c r="C209" i="2"/>
  <c r="Y209" i="2" s="1"/>
  <c r="C210" i="2"/>
  <c r="Y210" i="2" s="1"/>
  <c r="C211" i="2"/>
  <c r="Y211" i="2" s="1"/>
  <c r="C212" i="2"/>
  <c r="Y212" i="2" s="1"/>
  <c r="C213" i="2"/>
  <c r="Y213" i="2" s="1"/>
  <c r="C214" i="2"/>
  <c r="Y214" i="2" s="1"/>
  <c r="C215" i="2"/>
  <c r="Y215" i="2" s="1"/>
  <c r="C216" i="2"/>
  <c r="Y216" i="2" s="1"/>
  <c r="C217" i="2"/>
  <c r="Y217" i="2" s="1"/>
  <c r="C218" i="2"/>
  <c r="Y218" i="2" s="1"/>
  <c r="C219" i="2"/>
  <c r="Y219" i="2" s="1"/>
  <c r="C220" i="2"/>
  <c r="Y220" i="2" s="1"/>
  <c r="C221" i="2"/>
  <c r="Y221" i="2" s="1"/>
  <c r="C222" i="2"/>
  <c r="Y222" i="2" s="1"/>
  <c r="C223" i="2"/>
  <c r="Y223" i="2" s="1"/>
  <c r="C224" i="2"/>
  <c r="Y224" i="2" s="1"/>
  <c r="C225" i="2"/>
  <c r="Y225" i="2" s="1"/>
  <c r="C226" i="2"/>
  <c r="Y226" i="2" s="1"/>
  <c r="C227" i="2"/>
  <c r="Y227" i="2" s="1"/>
  <c r="C228" i="2"/>
  <c r="Y228" i="2" s="1"/>
  <c r="C229" i="2"/>
  <c r="Y229" i="2" s="1"/>
  <c r="C230" i="2"/>
  <c r="Y230" i="2" s="1"/>
  <c r="C231" i="2"/>
  <c r="Y231" i="2" s="1"/>
  <c r="D29" i="3"/>
  <c r="AC503" i="2" l="1"/>
  <c r="AD503" i="2"/>
  <c r="AC504" i="2"/>
  <c r="AD504" i="2"/>
  <c r="AC505" i="2"/>
  <c r="AD505" i="2"/>
  <c r="AC506" i="2"/>
  <c r="AD506" i="2"/>
  <c r="AC507" i="2"/>
  <c r="AD507" i="2"/>
  <c r="AC508" i="2"/>
  <c r="AD508" i="2"/>
  <c r="AC509" i="2"/>
  <c r="AD509" i="2"/>
  <c r="AC510" i="2"/>
  <c r="AD510" i="2"/>
  <c r="AC511" i="2"/>
  <c r="AD511" i="2"/>
  <c r="AC512" i="2"/>
  <c r="AD512" i="2"/>
  <c r="AC513" i="2"/>
  <c r="AD513" i="2"/>
  <c r="K252" i="2"/>
  <c r="M252" i="2" s="1"/>
  <c r="K253" i="2"/>
  <c r="M253" i="2" s="1"/>
  <c r="K254" i="2"/>
  <c r="M254" i="2" s="1"/>
  <c r="K255" i="2"/>
  <c r="M255" i="2" s="1"/>
  <c r="K256" i="2"/>
  <c r="M256" i="2" s="1"/>
  <c r="K257" i="2"/>
  <c r="M257" i="2" s="1"/>
  <c r="K258" i="2"/>
  <c r="M258" i="2" s="1"/>
  <c r="K259" i="2"/>
  <c r="M259" i="2" s="1"/>
  <c r="K260" i="2"/>
  <c r="M260" i="2" s="1"/>
  <c r="K261" i="2"/>
  <c r="M261" i="2" s="1"/>
  <c r="K262" i="2"/>
  <c r="M262" i="2" s="1"/>
  <c r="K263" i="2"/>
  <c r="M263" i="2" s="1"/>
  <c r="K264" i="2"/>
  <c r="M264" i="2" s="1"/>
  <c r="K265" i="2"/>
  <c r="M265" i="2" s="1"/>
  <c r="K266" i="2"/>
  <c r="M266" i="2" s="1"/>
  <c r="K267" i="2"/>
  <c r="M267" i="2" s="1"/>
  <c r="L345" i="2"/>
  <c r="N345" i="2" s="1"/>
  <c r="L346" i="2"/>
  <c r="N346" i="2" s="1"/>
  <c r="K248" i="2"/>
  <c r="M248" i="2" s="1"/>
  <c r="K249" i="2"/>
  <c r="M249" i="2" s="1"/>
  <c r="K251" i="2"/>
  <c r="M251" i="2" s="1"/>
  <c r="L252" i="2"/>
  <c r="N252" i="2" s="1"/>
  <c r="L253" i="2"/>
  <c r="N253" i="2" s="1"/>
  <c r="L254" i="2"/>
  <c r="N254" i="2" s="1"/>
  <c r="L255" i="2"/>
  <c r="N255" i="2" s="1"/>
  <c r="L256" i="2"/>
  <c r="N256" i="2" s="1"/>
  <c r="L257" i="2"/>
  <c r="N257" i="2" s="1"/>
  <c r="L258" i="2"/>
  <c r="N258" i="2" s="1"/>
  <c r="L259" i="2"/>
  <c r="N259" i="2" s="1"/>
  <c r="L260" i="2"/>
  <c r="N260" i="2" s="1"/>
  <c r="L261" i="2"/>
  <c r="N261" i="2" s="1"/>
  <c r="L262" i="2"/>
  <c r="N262" i="2" s="1"/>
  <c r="L263" i="2"/>
  <c r="N263" i="2" s="1"/>
  <c r="L264" i="2"/>
  <c r="N264" i="2" s="1"/>
  <c r="L265" i="2"/>
  <c r="N265" i="2" s="1"/>
  <c r="L266" i="2"/>
  <c r="N266" i="2" s="1"/>
  <c r="L267" i="2"/>
  <c r="N267" i="2" s="1"/>
  <c r="L347" i="2"/>
  <c r="N347" i="2" s="1"/>
  <c r="L348" i="2"/>
  <c r="N348" i="2" s="1"/>
  <c r="L349" i="2"/>
  <c r="N349" i="2" s="1"/>
  <c r="L350" i="2"/>
  <c r="N350" i="2" s="1"/>
  <c r="L351" i="2"/>
  <c r="N351" i="2" s="1"/>
  <c r="L352" i="2"/>
  <c r="N352" i="2" s="1"/>
  <c r="L353" i="2"/>
  <c r="N353" i="2" s="1"/>
  <c r="L354" i="2"/>
  <c r="N354" i="2" s="1"/>
  <c r="L355" i="2"/>
  <c r="N355" i="2" s="1"/>
  <c r="L356" i="2"/>
  <c r="N356" i="2" s="1"/>
  <c r="L357" i="2"/>
  <c r="N357" i="2" s="1"/>
  <c r="L358" i="2"/>
  <c r="N358" i="2" s="1"/>
  <c r="L359" i="2"/>
  <c r="N359" i="2" s="1"/>
  <c r="L360" i="2"/>
  <c r="N360" i="2" s="1"/>
  <c r="L361" i="2"/>
  <c r="N361" i="2" s="1"/>
  <c r="L362" i="2"/>
  <c r="N362" i="2" s="1"/>
  <c r="L363" i="2"/>
  <c r="N363" i="2" s="1"/>
  <c r="L364" i="2"/>
  <c r="N364" i="2" s="1"/>
  <c r="L365" i="2"/>
  <c r="N365" i="2" s="1"/>
  <c r="L366" i="2"/>
  <c r="N366" i="2" s="1"/>
  <c r="L367" i="2"/>
  <c r="N367" i="2" s="1"/>
  <c r="L368" i="2"/>
  <c r="N368" i="2" s="1"/>
  <c r="L369" i="2"/>
  <c r="N369" i="2" s="1"/>
  <c r="L370" i="2"/>
  <c r="N370" i="2" s="1"/>
  <c r="L371" i="2"/>
  <c r="N371" i="2" s="1"/>
  <c r="L372" i="2"/>
  <c r="N372" i="2" s="1"/>
  <c r="L373" i="2"/>
  <c r="N373" i="2" s="1"/>
  <c r="L374" i="2"/>
  <c r="N374" i="2" s="1"/>
  <c r="L375" i="2"/>
  <c r="N375" i="2" s="1"/>
  <c r="L376" i="2"/>
  <c r="N376" i="2" s="1"/>
  <c r="L377" i="2"/>
  <c r="N377" i="2" s="1"/>
  <c r="L378" i="2"/>
  <c r="N378" i="2" s="1"/>
  <c r="L379" i="2"/>
  <c r="N379" i="2" s="1"/>
  <c r="L380" i="2"/>
  <c r="N380" i="2" s="1"/>
  <c r="L381" i="2"/>
  <c r="N381" i="2" s="1"/>
  <c r="L382" i="2"/>
  <c r="N382" i="2" s="1"/>
  <c r="L383" i="2"/>
  <c r="N383" i="2" s="1"/>
  <c r="L384" i="2"/>
  <c r="N384" i="2" s="1"/>
  <c r="L385" i="2"/>
  <c r="N385" i="2" s="1"/>
  <c r="L386" i="2"/>
  <c r="N386" i="2" s="1"/>
  <c r="L387" i="2"/>
  <c r="N387" i="2" s="1"/>
  <c r="L388" i="2"/>
  <c r="N388" i="2" s="1"/>
  <c r="L389" i="2"/>
  <c r="N389" i="2" s="1"/>
  <c r="L390" i="2"/>
  <c r="N390" i="2" s="1"/>
  <c r="L391" i="2"/>
  <c r="N391" i="2" s="1"/>
  <c r="L392" i="2"/>
  <c r="N392" i="2" s="1"/>
  <c r="L393" i="2"/>
  <c r="N393" i="2" s="1"/>
  <c r="L394" i="2"/>
  <c r="N394" i="2" s="1"/>
  <c r="L395" i="2"/>
  <c r="N395" i="2" s="1"/>
  <c r="L396" i="2"/>
  <c r="N396" i="2" s="1"/>
  <c r="L397" i="2"/>
  <c r="N397" i="2" s="1"/>
  <c r="L398" i="2"/>
  <c r="N398" i="2" s="1"/>
  <c r="L399" i="2"/>
  <c r="N399" i="2" s="1"/>
  <c r="L400" i="2"/>
  <c r="N400" i="2" s="1"/>
  <c r="L401" i="2"/>
  <c r="N401" i="2" s="1"/>
  <c r="L402" i="2"/>
  <c r="N402" i="2" s="1"/>
  <c r="L403" i="2"/>
  <c r="N403" i="2" s="1"/>
  <c r="L404" i="2"/>
  <c r="N404" i="2" s="1"/>
  <c r="L405" i="2"/>
  <c r="N405" i="2" s="1"/>
  <c r="L318" i="2"/>
  <c r="N318" i="2" s="1"/>
  <c r="K318" i="2"/>
  <c r="M318" i="2" s="1"/>
  <c r="L319" i="2"/>
  <c r="N319" i="2" s="1"/>
  <c r="K319" i="2"/>
  <c r="M319" i="2" s="1"/>
  <c r="L320" i="2"/>
  <c r="N320" i="2" s="1"/>
  <c r="K320" i="2"/>
  <c r="M320" i="2" s="1"/>
  <c r="L321" i="2"/>
  <c r="N321" i="2" s="1"/>
  <c r="K321" i="2"/>
  <c r="M321" i="2" s="1"/>
  <c r="L322" i="2"/>
  <c r="N322" i="2" s="1"/>
  <c r="K322" i="2"/>
  <c r="M322" i="2" s="1"/>
  <c r="L323" i="2"/>
  <c r="N323" i="2" s="1"/>
  <c r="K323" i="2"/>
  <c r="M323" i="2" s="1"/>
  <c r="L324" i="2"/>
  <c r="N324" i="2" s="1"/>
  <c r="K324" i="2"/>
  <c r="M324" i="2" s="1"/>
  <c r="K268" i="2"/>
  <c r="M268" i="2" s="1"/>
  <c r="L268" i="2"/>
  <c r="N268" i="2" s="1"/>
  <c r="K269" i="2"/>
  <c r="M269" i="2" s="1"/>
  <c r="L269" i="2"/>
  <c r="N269" i="2" s="1"/>
  <c r="K270" i="2"/>
  <c r="M270" i="2" s="1"/>
  <c r="L270" i="2"/>
  <c r="N270" i="2" s="1"/>
  <c r="K271" i="2"/>
  <c r="M271" i="2" s="1"/>
  <c r="L271" i="2"/>
  <c r="N271" i="2" s="1"/>
  <c r="K272" i="2"/>
  <c r="M272" i="2" s="1"/>
  <c r="L272" i="2"/>
  <c r="N272" i="2" s="1"/>
  <c r="K273" i="2"/>
  <c r="M273" i="2" s="1"/>
  <c r="L273" i="2"/>
  <c r="N273" i="2" s="1"/>
  <c r="K274" i="2"/>
  <c r="M274" i="2" s="1"/>
  <c r="L274" i="2"/>
  <c r="N274" i="2" s="1"/>
  <c r="K275" i="2"/>
  <c r="M275" i="2" s="1"/>
  <c r="L275" i="2"/>
  <c r="N275" i="2" s="1"/>
  <c r="K276" i="2"/>
  <c r="M276" i="2" s="1"/>
  <c r="L276" i="2"/>
  <c r="N276" i="2" s="1"/>
  <c r="K277" i="2"/>
  <c r="M277" i="2" s="1"/>
  <c r="L277" i="2"/>
  <c r="N277" i="2" s="1"/>
  <c r="K278" i="2"/>
  <c r="M278" i="2" s="1"/>
  <c r="L278" i="2"/>
  <c r="N278" i="2" s="1"/>
  <c r="K279" i="2"/>
  <c r="M279" i="2" s="1"/>
  <c r="L279" i="2"/>
  <c r="N279" i="2" s="1"/>
  <c r="K280" i="2"/>
  <c r="M280" i="2" s="1"/>
  <c r="L280" i="2"/>
  <c r="N280" i="2" s="1"/>
  <c r="K281" i="2"/>
  <c r="M281" i="2" s="1"/>
  <c r="L281" i="2"/>
  <c r="N281" i="2" s="1"/>
  <c r="K282" i="2"/>
  <c r="M282" i="2" s="1"/>
  <c r="L282" i="2"/>
  <c r="N282" i="2" s="1"/>
  <c r="K283" i="2"/>
  <c r="M283" i="2" s="1"/>
  <c r="L283" i="2"/>
  <c r="N283" i="2" s="1"/>
  <c r="K284" i="2"/>
  <c r="M284" i="2" s="1"/>
  <c r="L284" i="2"/>
  <c r="N284" i="2" s="1"/>
  <c r="AD408" i="2"/>
  <c r="AC408" i="2"/>
  <c r="AD409" i="2"/>
  <c r="AC409" i="2"/>
  <c r="AD410" i="2"/>
  <c r="AC410" i="2"/>
  <c r="AD411" i="2"/>
  <c r="AC411" i="2"/>
  <c r="AD412" i="2"/>
  <c r="AC412" i="2"/>
  <c r="AD413" i="2"/>
  <c r="AC413" i="2"/>
  <c r="AD414" i="2"/>
  <c r="AC414" i="2"/>
  <c r="AD415" i="2"/>
  <c r="AC415" i="2"/>
  <c r="AD416" i="2"/>
  <c r="AC416" i="2"/>
  <c r="AD417" i="2"/>
  <c r="AC417" i="2"/>
  <c r="AD418" i="2"/>
  <c r="AC418" i="2"/>
  <c r="AD419" i="2"/>
  <c r="AC419" i="2"/>
  <c r="AD420" i="2"/>
  <c r="AC420" i="2"/>
  <c r="AD421" i="2"/>
  <c r="AC421" i="2"/>
  <c r="AD422" i="2"/>
  <c r="AC422" i="2"/>
  <c r="AD423" i="2"/>
  <c r="AC423" i="2"/>
  <c r="AD424" i="2"/>
  <c r="AC424" i="2"/>
  <c r="AD425" i="2"/>
  <c r="AC425" i="2"/>
  <c r="AD426" i="2"/>
  <c r="AC426" i="2"/>
  <c r="AD427" i="2"/>
  <c r="AC427" i="2"/>
  <c r="AD428" i="2"/>
  <c r="AC428" i="2"/>
  <c r="AD429" i="2"/>
  <c r="AC429" i="2"/>
  <c r="AD430" i="2"/>
  <c r="AC430" i="2"/>
  <c r="AD431" i="2"/>
  <c r="AC431" i="2"/>
  <c r="AD432" i="2"/>
  <c r="AC432" i="2"/>
  <c r="AD433" i="2"/>
  <c r="AC433" i="2"/>
  <c r="AD434" i="2"/>
  <c r="AC434" i="2"/>
  <c r="AD435" i="2"/>
  <c r="AC435" i="2"/>
  <c r="AD436" i="2"/>
  <c r="AC436" i="2"/>
  <c r="AD437" i="2"/>
  <c r="AC437" i="2"/>
  <c r="AD438" i="2"/>
  <c r="AC438" i="2"/>
  <c r="AD439" i="2"/>
  <c r="AC439" i="2"/>
  <c r="AD440" i="2"/>
  <c r="AC440" i="2"/>
  <c r="AD441" i="2"/>
  <c r="AC441" i="2"/>
  <c r="AD442" i="2"/>
  <c r="AC442" i="2"/>
  <c r="AD443" i="2"/>
  <c r="AC443" i="2"/>
  <c r="AD444" i="2"/>
  <c r="AC444" i="2"/>
  <c r="AD445" i="2"/>
  <c r="AC445" i="2"/>
  <c r="AD446" i="2"/>
  <c r="AC446" i="2"/>
  <c r="AD447" i="2"/>
  <c r="AC447" i="2"/>
  <c r="AD448" i="2"/>
  <c r="AC448" i="2"/>
  <c r="AD449" i="2"/>
  <c r="AC449" i="2"/>
  <c r="AD450" i="2"/>
  <c r="AC450" i="2"/>
  <c r="AD451" i="2"/>
  <c r="AC451" i="2"/>
  <c r="AD452" i="2"/>
  <c r="AC452" i="2"/>
  <c r="AD453" i="2"/>
  <c r="AC453" i="2"/>
  <c r="AD454" i="2"/>
  <c r="AC454" i="2"/>
  <c r="AD455" i="2"/>
  <c r="AC455" i="2"/>
  <c r="AD456" i="2"/>
  <c r="AC456" i="2"/>
  <c r="AD457" i="2"/>
  <c r="AC457" i="2"/>
  <c r="AD458" i="2"/>
  <c r="AC458" i="2"/>
  <c r="AD459" i="2"/>
  <c r="AC459" i="2"/>
  <c r="AD460" i="2"/>
  <c r="AC460" i="2"/>
  <c r="AD461" i="2"/>
  <c r="AC461" i="2"/>
  <c r="AD462" i="2"/>
  <c r="AC462" i="2"/>
  <c r="AD463" i="2"/>
  <c r="AC463" i="2"/>
  <c r="AD464" i="2"/>
  <c r="AC464" i="2"/>
  <c r="AD465" i="2"/>
  <c r="AC465" i="2"/>
  <c r="AD466" i="2"/>
  <c r="AC466" i="2"/>
  <c r="AD467" i="2"/>
  <c r="AC467" i="2"/>
  <c r="AD468" i="2"/>
  <c r="AC468" i="2"/>
  <c r="AD469" i="2"/>
  <c r="AC469" i="2"/>
  <c r="AD470" i="2"/>
  <c r="AC470" i="2"/>
  <c r="AD471" i="2"/>
  <c r="AC471" i="2"/>
  <c r="AD472" i="2"/>
  <c r="AC472" i="2"/>
  <c r="AD473" i="2"/>
  <c r="AC473" i="2"/>
  <c r="AD474" i="2"/>
  <c r="AC474" i="2"/>
  <c r="AD475" i="2"/>
  <c r="AC475" i="2"/>
  <c r="AD476" i="2"/>
  <c r="AC476" i="2"/>
  <c r="AD477" i="2"/>
  <c r="AC477" i="2"/>
  <c r="AD478" i="2"/>
  <c r="AC478" i="2"/>
  <c r="AD479" i="2"/>
  <c r="AC479" i="2"/>
  <c r="AD480" i="2"/>
  <c r="AC480" i="2"/>
  <c r="AD481" i="2"/>
  <c r="AC481" i="2"/>
  <c r="AD482" i="2"/>
  <c r="AC482" i="2"/>
  <c r="AD483" i="2"/>
  <c r="AC483" i="2"/>
  <c r="AD484" i="2"/>
  <c r="AC484" i="2"/>
  <c r="AD485" i="2"/>
  <c r="AC485" i="2"/>
  <c r="AD486" i="2"/>
  <c r="AC486" i="2"/>
  <c r="AD487" i="2"/>
  <c r="AC487" i="2"/>
  <c r="AD488" i="2"/>
  <c r="AC488" i="2"/>
  <c r="AD489" i="2"/>
  <c r="AC489" i="2"/>
  <c r="AD490" i="2"/>
  <c r="AC490" i="2"/>
  <c r="AD491" i="2"/>
  <c r="AC491" i="2"/>
  <c r="AD492" i="2"/>
  <c r="AC492" i="2"/>
  <c r="AD493" i="2"/>
  <c r="AC493" i="2"/>
  <c r="AD494" i="2"/>
  <c r="AC494" i="2"/>
  <c r="AD495" i="2"/>
  <c r="AC495" i="2"/>
  <c r="AD496" i="2"/>
  <c r="AC496" i="2"/>
  <c r="AD497" i="2"/>
  <c r="AC497" i="2"/>
  <c r="AD498" i="2"/>
  <c r="AC498" i="2"/>
  <c r="AD499" i="2"/>
  <c r="AC499" i="2"/>
  <c r="AD500" i="2"/>
  <c r="AC500" i="2"/>
  <c r="AD501" i="2"/>
  <c r="AC501" i="2"/>
  <c r="AD502" i="2"/>
  <c r="AC502" i="2"/>
  <c r="Z318" i="2"/>
  <c r="Z319" i="2"/>
  <c r="Z320" i="2"/>
  <c r="Z321" i="2"/>
  <c r="Z322" i="2"/>
  <c r="Z323" i="2"/>
  <c r="Z324" i="2"/>
  <c r="Z325" i="2"/>
  <c r="Z326" i="2"/>
  <c r="Z327" i="2"/>
  <c r="Z328" i="2"/>
  <c r="Z329" i="2"/>
  <c r="Z330" i="2"/>
  <c r="Z331" i="2"/>
  <c r="Z332" i="2"/>
  <c r="Z333" i="2"/>
  <c r="Z334" i="2"/>
  <c r="Z335" i="2"/>
  <c r="Z336" i="2"/>
  <c r="Z337" i="2"/>
  <c r="Z338" i="2"/>
  <c r="Z339" i="2"/>
  <c r="Z340" i="2"/>
  <c r="Z341" i="2"/>
  <c r="Z342" i="2"/>
  <c r="Z343" i="2"/>
  <c r="Z344" i="2"/>
  <c r="Z345" i="2"/>
  <c r="Z346" i="2"/>
  <c r="Z347" i="2"/>
  <c r="Z348" i="2"/>
  <c r="Z349" i="2"/>
  <c r="Z350" i="2"/>
  <c r="Z351" i="2"/>
  <c r="Z352" i="2"/>
  <c r="Z353" i="2"/>
  <c r="Z354" i="2"/>
  <c r="Z355" i="2"/>
  <c r="Z356" i="2"/>
  <c r="Z357" i="2"/>
  <c r="Z358" i="2"/>
  <c r="Z359" i="2"/>
  <c r="Z360" i="2"/>
  <c r="Z361" i="2"/>
  <c r="Z362" i="2"/>
  <c r="Z363" i="2"/>
  <c r="Z364" i="2"/>
  <c r="Z365" i="2"/>
  <c r="Z366" i="2"/>
  <c r="Z367" i="2"/>
  <c r="Z368" i="2"/>
  <c r="Z369" i="2"/>
  <c r="Z370" i="2"/>
  <c r="Z371" i="2"/>
  <c r="Z372" i="2"/>
  <c r="Z373" i="2"/>
  <c r="Z374" i="2"/>
  <c r="Z375" i="2"/>
  <c r="Z376" i="2"/>
  <c r="Z377" i="2"/>
  <c r="Z378" i="2"/>
  <c r="Z379" i="2"/>
  <c r="Z380" i="2"/>
  <c r="Z381" i="2"/>
  <c r="Z382" i="2"/>
  <c r="Z383" i="2"/>
  <c r="Z384" i="2"/>
  <c r="Z385" i="2"/>
  <c r="Z386" i="2"/>
  <c r="Z387" i="2"/>
  <c r="Z388" i="2"/>
  <c r="Z389" i="2"/>
  <c r="Z390" i="2"/>
  <c r="Z391" i="2"/>
  <c r="Z392" i="2"/>
  <c r="Z393" i="2"/>
  <c r="Z394" i="2"/>
  <c r="Z395" i="2"/>
  <c r="Z396" i="2"/>
  <c r="Z397" i="2"/>
  <c r="Z398" i="2"/>
  <c r="Z399" i="2"/>
  <c r="Z400" i="2"/>
  <c r="Z401" i="2"/>
  <c r="Z402" i="2"/>
  <c r="Z403" i="2"/>
  <c r="Z404" i="2"/>
  <c r="Z405" i="2"/>
  <c r="Z406" i="2"/>
  <c r="Z407" i="2"/>
  <c r="K325" i="2"/>
  <c r="M325" i="2" s="1"/>
  <c r="K326" i="2"/>
  <c r="M326" i="2" s="1"/>
  <c r="K327" i="2"/>
  <c r="M327" i="2" s="1"/>
  <c r="K328" i="2"/>
  <c r="M328" i="2" s="1"/>
  <c r="K329" i="2"/>
  <c r="M329" i="2" s="1"/>
  <c r="K330" i="2"/>
  <c r="M330" i="2" s="1"/>
  <c r="K331" i="2"/>
  <c r="M331" i="2" s="1"/>
  <c r="K332" i="2"/>
  <c r="M332" i="2" s="1"/>
  <c r="K333" i="2"/>
  <c r="M333" i="2" s="1"/>
  <c r="K334" i="2"/>
  <c r="M334" i="2" s="1"/>
  <c r="K335" i="2"/>
  <c r="M335" i="2" s="1"/>
  <c r="K336" i="2"/>
  <c r="M336" i="2" s="1"/>
  <c r="K337" i="2"/>
  <c r="M337" i="2" s="1"/>
  <c r="K338" i="2"/>
  <c r="M338" i="2" s="1"/>
  <c r="K339" i="2"/>
  <c r="M339" i="2" s="1"/>
  <c r="K340" i="2"/>
  <c r="M340" i="2" s="1"/>
  <c r="K341" i="2"/>
  <c r="M341" i="2" s="1"/>
  <c r="K342" i="2"/>
  <c r="M342" i="2" s="1"/>
  <c r="K343" i="2"/>
  <c r="M343" i="2" s="1"/>
  <c r="K344" i="2"/>
  <c r="M344" i="2" s="1"/>
  <c r="K345" i="2"/>
  <c r="M345" i="2" s="1"/>
  <c r="K346" i="2"/>
  <c r="M346" i="2" s="1"/>
  <c r="K347" i="2"/>
  <c r="M347" i="2" s="1"/>
  <c r="K348" i="2"/>
  <c r="M348" i="2" s="1"/>
  <c r="K349" i="2"/>
  <c r="M349" i="2" s="1"/>
  <c r="K350" i="2"/>
  <c r="M350" i="2" s="1"/>
  <c r="K351" i="2"/>
  <c r="M351" i="2" s="1"/>
  <c r="K352" i="2"/>
  <c r="M352" i="2" s="1"/>
  <c r="K353" i="2"/>
  <c r="M353" i="2" s="1"/>
  <c r="K354" i="2"/>
  <c r="M354" i="2" s="1"/>
  <c r="K355" i="2"/>
  <c r="M355" i="2" s="1"/>
  <c r="K397" i="2"/>
  <c r="M397" i="2" s="1"/>
  <c r="K399" i="2"/>
  <c r="M399" i="2" s="1"/>
  <c r="K401" i="2"/>
  <c r="M401" i="2" s="1"/>
  <c r="K403" i="2"/>
  <c r="M403" i="2" s="1"/>
  <c r="K405" i="2"/>
  <c r="M405" i="2" s="1"/>
  <c r="K356" i="2"/>
  <c r="M356" i="2" s="1"/>
  <c r="K357" i="2"/>
  <c r="M357" i="2" s="1"/>
  <c r="K358" i="2"/>
  <c r="M358" i="2" s="1"/>
  <c r="K359" i="2"/>
  <c r="M359" i="2" s="1"/>
  <c r="K360" i="2"/>
  <c r="M360" i="2" s="1"/>
  <c r="K361" i="2"/>
  <c r="M361" i="2" s="1"/>
  <c r="K362" i="2"/>
  <c r="M362" i="2" s="1"/>
  <c r="K363" i="2"/>
  <c r="M363" i="2" s="1"/>
  <c r="K364" i="2"/>
  <c r="M364" i="2" s="1"/>
  <c r="K365" i="2"/>
  <c r="M365" i="2" s="1"/>
  <c r="K366" i="2"/>
  <c r="M366" i="2" s="1"/>
  <c r="K367" i="2"/>
  <c r="M367" i="2" s="1"/>
  <c r="K368" i="2"/>
  <c r="M368" i="2" s="1"/>
  <c r="K369" i="2"/>
  <c r="M369" i="2" s="1"/>
  <c r="K370" i="2"/>
  <c r="M370" i="2" s="1"/>
  <c r="K371" i="2"/>
  <c r="M371" i="2" s="1"/>
  <c r="K372" i="2"/>
  <c r="M372" i="2" s="1"/>
  <c r="K373" i="2"/>
  <c r="M373" i="2" s="1"/>
  <c r="K374" i="2"/>
  <c r="M374" i="2" s="1"/>
  <c r="K375" i="2"/>
  <c r="M375" i="2" s="1"/>
  <c r="K376" i="2"/>
  <c r="M376" i="2" s="1"/>
  <c r="K377" i="2"/>
  <c r="M377" i="2" s="1"/>
  <c r="K378" i="2"/>
  <c r="M378" i="2" s="1"/>
  <c r="K379" i="2"/>
  <c r="M379" i="2" s="1"/>
  <c r="K380" i="2"/>
  <c r="M380" i="2" s="1"/>
  <c r="K381" i="2"/>
  <c r="M381" i="2" s="1"/>
  <c r="K382" i="2"/>
  <c r="M382" i="2" s="1"/>
  <c r="K383" i="2"/>
  <c r="M383" i="2" s="1"/>
  <c r="K384" i="2"/>
  <c r="M384" i="2" s="1"/>
  <c r="K385" i="2"/>
  <c r="M385" i="2" s="1"/>
  <c r="K386" i="2"/>
  <c r="M386" i="2" s="1"/>
  <c r="K387" i="2"/>
  <c r="M387" i="2" s="1"/>
  <c r="K388" i="2"/>
  <c r="M388" i="2" s="1"/>
  <c r="K389" i="2"/>
  <c r="M389" i="2" s="1"/>
  <c r="K390" i="2"/>
  <c r="M390" i="2" s="1"/>
  <c r="K391" i="2"/>
  <c r="M391" i="2" s="1"/>
  <c r="K392" i="2"/>
  <c r="M392" i="2" s="1"/>
  <c r="K393" i="2"/>
  <c r="M393" i="2" s="1"/>
  <c r="K394" i="2"/>
  <c r="M394" i="2" s="1"/>
  <c r="K395" i="2"/>
  <c r="M395" i="2" s="1"/>
  <c r="K396" i="2"/>
  <c r="M396" i="2" s="1"/>
  <c r="K398" i="2"/>
  <c r="M398" i="2" s="1"/>
  <c r="K400" i="2"/>
  <c r="M400" i="2" s="1"/>
  <c r="K402" i="2"/>
  <c r="M402" i="2" s="1"/>
  <c r="K404" i="2"/>
  <c r="M404" i="2" s="1"/>
  <c r="Z408" i="2"/>
  <c r="Z412" i="2"/>
  <c r="Z414" i="2"/>
  <c r="Z416" i="2"/>
  <c r="Z410" i="2"/>
  <c r="Z411" i="2"/>
  <c r="Z413" i="2"/>
  <c r="Z415" i="2"/>
  <c r="Z417" i="2"/>
  <c r="Z409" i="2"/>
  <c r="Z418" i="2"/>
  <c r="Z419" i="2"/>
  <c r="Z420" i="2"/>
  <c r="Z421" i="2"/>
  <c r="Z422" i="2"/>
  <c r="Z423" i="2"/>
  <c r="Z424" i="2"/>
  <c r="Z425" i="2"/>
  <c r="Z426" i="2"/>
  <c r="Z427" i="2"/>
  <c r="Z428" i="2"/>
  <c r="Z429" i="2"/>
  <c r="Z430" i="2"/>
  <c r="Z431" i="2"/>
  <c r="Z432" i="2"/>
  <c r="Z433" i="2"/>
  <c r="Z434" i="2"/>
  <c r="Z435" i="2"/>
  <c r="Z436" i="2"/>
  <c r="Z437" i="2"/>
  <c r="Z438" i="2"/>
  <c r="Z439" i="2"/>
  <c r="Z440" i="2"/>
  <c r="Z441" i="2"/>
  <c r="Z442" i="2"/>
  <c r="Z443" i="2"/>
  <c r="Z444" i="2"/>
  <c r="Z445" i="2"/>
  <c r="Z446" i="2"/>
  <c r="Z447" i="2"/>
  <c r="Z448" i="2"/>
  <c r="Z449" i="2"/>
  <c r="Z450" i="2"/>
  <c r="Z451" i="2"/>
  <c r="Z452" i="2"/>
  <c r="Z453" i="2"/>
  <c r="Z454" i="2"/>
  <c r="Z455" i="2"/>
  <c r="Z456" i="2"/>
  <c r="Z457" i="2"/>
  <c r="Z458" i="2"/>
  <c r="Z459" i="2"/>
  <c r="Z460" i="2"/>
  <c r="Z461" i="2"/>
  <c r="Z462" i="2"/>
  <c r="Z463" i="2"/>
  <c r="Z464" i="2"/>
  <c r="Z465" i="2"/>
  <c r="Z466" i="2"/>
  <c r="Z467" i="2"/>
  <c r="Z468" i="2"/>
  <c r="Z469" i="2"/>
  <c r="Z470" i="2"/>
  <c r="Z471" i="2"/>
  <c r="Z472" i="2"/>
  <c r="Z473" i="2"/>
  <c r="Z474" i="2"/>
  <c r="Z475" i="2"/>
  <c r="Z476" i="2"/>
  <c r="Z477" i="2"/>
  <c r="Z478" i="2"/>
  <c r="Z479" i="2"/>
  <c r="Z480" i="2"/>
  <c r="Z481" i="2"/>
  <c r="Z482" i="2"/>
  <c r="Z483" i="2"/>
  <c r="Z484" i="2"/>
  <c r="Z485" i="2"/>
  <c r="Z486" i="2"/>
  <c r="Z487" i="2"/>
  <c r="Z488" i="2"/>
  <c r="Z489" i="2"/>
  <c r="Z490" i="2"/>
  <c r="Z491" i="2"/>
  <c r="Z492" i="2"/>
  <c r="Z493" i="2"/>
  <c r="Z494" i="2"/>
  <c r="Z495" i="2"/>
  <c r="Z496" i="2"/>
  <c r="Z497" i="2"/>
  <c r="Z498" i="2"/>
  <c r="Z499" i="2"/>
  <c r="Z500" i="2"/>
  <c r="Z501" i="2"/>
  <c r="Z502" i="2"/>
  <c r="Z503" i="2"/>
  <c r="Z504" i="2"/>
  <c r="Z505" i="2"/>
  <c r="Z506" i="2"/>
  <c r="Z507" i="2"/>
  <c r="Z508" i="2"/>
  <c r="Z509" i="2"/>
  <c r="Z510" i="2"/>
  <c r="Z511" i="2"/>
  <c r="Z512" i="2"/>
  <c r="Z513" i="2"/>
  <c r="Z514" i="2"/>
  <c r="Z515" i="2"/>
  <c r="K406" i="2"/>
  <c r="M406" i="2" s="1"/>
  <c r="L406" i="2"/>
  <c r="N406" i="2" s="1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K250" i="2"/>
  <c r="M250" i="2" s="1"/>
  <c r="L250" i="2"/>
  <c r="N250" i="2" s="1"/>
  <c r="F27" i="3"/>
  <c r="AD287" i="2"/>
  <c r="AC287" i="2"/>
  <c r="AD288" i="2"/>
  <c r="AC288" i="2"/>
  <c r="AD289" i="2"/>
  <c r="AC289" i="2"/>
  <c r="AD290" i="2"/>
  <c r="AC290" i="2"/>
  <c r="AD291" i="2"/>
  <c r="AC291" i="2"/>
  <c r="AD292" i="2"/>
  <c r="AC292" i="2"/>
  <c r="AD293" i="2"/>
  <c r="AC293" i="2"/>
  <c r="AD294" i="2"/>
  <c r="AC294" i="2"/>
  <c r="AD295" i="2"/>
  <c r="AC295" i="2"/>
  <c r="AD296" i="2"/>
  <c r="AC296" i="2"/>
  <c r="AD297" i="2"/>
  <c r="AC297" i="2"/>
  <c r="AD298" i="2"/>
  <c r="AC298" i="2"/>
  <c r="AD299" i="2"/>
  <c r="AC299" i="2"/>
  <c r="AD300" i="2"/>
  <c r="AC300" i="2"/>
  <c r="AD301" i="2"/>
  <c r="AC301" i="2"/>
  <c r="AD302" i="2"/>
  <c r="AC302" i="2"/>
  <c r="AD303" i="2"/>
  <c r="AC303" i="2"/>
  <c r="AD304" i="2"/>
  <c r="AC304" i="2"/>
  <c r="AD305" i="2"/>
  <c r="AC305" i="2"/>
  <c r="AD306" i="2"/>
  <c r="AC306" i="2"/>
  <c r="AD307" i="2"/>
  <c r="AC307" i="2"/>
  <c r="AD308" i="2"/>
  <c r="AC308" i="2"/>
  <c r="AD309" i="2"/>
  <c r="AC309" i="2"/>
  <c r="AD310" i="2"/>
  <c r="AC310" i="2"/>
  <c r="AD311" i="2"/>
  <c r="AC311" i="2"/>
  <c r="AD312" i="2"/>
  <c r="AC312" i="2"/>
  <c r="AD313" i="2"/>
  <c r="AC313" i="2"/>
  <c r="AD314" i="2"/>
  <c r="AC314" i="2"/>
  <c r="AD315" i="2"/>
  <c r="AC315" i="2"/>
  <c r="AD316" i="2"/>
  <c r="AC316" i="2"/>
  <c r="AD317" i="2"/>
  <c r="AC317" i="2"/>
  <c r="AC232" i="2"/>
  <c r="AD232" i="2"/>
  <c r="AC233" i="2"/>
  <c r="AD233" i="2"/>
  <c r="AC234" i="2"/>
  <c r="AD234" i="2"/>
  <c r="AC235" i="2"/>
  <c r="AD235" i="2"/>
  <c r="AC236" i="2"/>
  <c r="AD236" i="2"/>
  <c r="AC237" i="2"/>
  <c r="AD237" i="2"/>
  <c r="AC238" i="2"/>
  <c r="AD238" i="2"/>
  <c r="AC239" i="2"/>
  <c r="AD239" i="2"/>
  <c r="AC240" i="2"/>
  <c r="AD240" i="2"/>
  <c r="AC241" i="2"/>
  <c r="AD241" i="2"/>
  <c r="AC242" i="2"/>
  <c r="AD242" i="2"/>
  <c r="AD243" i="2"/>
  <c r="AC243" i="2"/>
  <c r="AC244" i="2"/>
  <c r="AD244" i="2"/>
  <c r="AC245" i="2"/>
  <c r="AD245" i="2"/>
  <c r="AC246" i="2"/>
  <c r="AD246" i="2"/>
  <c r="AC247" i="2"/>
  <c r="AD247" i="2"/>
  <c r="AD248" i="2"/>
  <c r="AC248" i="2"/>
  <c r="AD249" i="2"/>
  <c r="AC249" i="2"/>
  <c r="AD250" i="2"/>
  <c r="AC250" i="2"/>
  <c r="AD251" i="2"/>
  <c r="AC251" i="2"/>
  <c r="AD252" i="2"/>
  <c r="AC252" i="2"/>
  <c r="AC253" i="2"/>
  <c r="AD253" i="2"/>
  <c r="AC254" i="2"/>
  <c r="AD254" i="2"/>
  <c r="AC255" i="2"/>
  <c r="AD255" i="2"/>
  <c r="AC256" i="2"/>
  <c r="AD256" i="2"/>
  <c r="AC257" i="2"/>
  <c r="AD257" i="2"/>
  <c r="AC258" i="2"/>
  <c r="AD258" i="2"/>
  <c r="AC259" i="2"/>
  <c r="AD259" i="2"/>
  <c r="AC260" i="2"/>
  <c r="AD260" i="2"/>
  <c r="AC261" i="2"/>
  <c r="AD261" i="2"/>
  <c r="AC262" i="2"/>
  <c r="AD262" i="2"/>
  <c r="AC263" i="2"/>
  <c r="AD263" i="2"/>
  <c r="AC264" i="2"/>
  <c r="AD264" i="2"/>
  <c r="AC265" i="2"/>
  <c r="AD265" i="2"/>
  <c r="AC266" i="2"/>
  <c r="AD266" i="2"/>
  <c r="AC267" i="2"/>
  <c r="AD267" i="2"/>
  <c r="AC268" i="2"/>
  <c r="AD268" i="2"/>
  <c r="AC269" i="2"/>
  <c r="AD269" i="2"/>
  <c r="AC270" i="2"/>
  <c r="AD270" i="2"/>
  <c r="AC271" i="2"/>
  <c r="AD271" i="2"/>
  <c r="AC272" i="2"/>
  <c r="AD272" i="2"/>
  <c r="AC273" i="2"/>
  <c r="AD273" i="2"/>
  <c r="AC274" i="2"/>
  <c r="AD274" i="2"/>
  <c r="AC275" i="2"/>
  <c r="AD275" i="2"/>
  <c r="AD276" i="2"/>
  <c r="AC276" i="2"/>
  <c r="AD277" i="2"/>
  <c r="AC277" i="2"/>
  <c r="AD278" i="2"/>
  <c r="AC278" i="2"/>
  <c r="AD279" i="2"/>
  <c r="AC279" i="2"/>
  <c r="AC280" i="2"/>
  <c r="AD280" i="2"/>
  <c r="AC281" i="2"/>
  <c r="AD281" i="2"/>
  <c r="AC282" i="2"/>
  <c r="AD282" i="2"/>
  <c r="AC283" i="2"/>
  <c r="AD283" i="2"/>
  <c r="AC284" i="2"/>
  <c r="AD284" i="2"/>
  <c r="AC285" i="2"/>
  <c r="AD285" i="2"/>
  <c r="AC286" i="2"/>
  <c r="AD286" i="2"/>
  <c r="AC206" i="2"/>
  <c r="AD206" i="2"/>
  <c r="AC207" i="2"/>
  <c r="AD207" i="2"/>
  <c r="AC208" i="2"/>
  <c r="AD208" i="2"/>
  <c r="AC209" i="2"/>
  <c r="AD209" i="2"/>
  <c r="AC210" i="2"/>
  <c r="AD210" i="2"/>
  <c r="AC211" i="2"/>
  <c r="AD211" i="2"/>
  <c r="AC212" i="2"/>
  <c r="AD212" i="2"/>
  <c r="AC213" i="2"/>
  <c r="AD213" i="2"/>
  <c r="AC214" i="2"/>
  <c r="AD214" i="2"/>
  <c r="AC215" i="2"/>
  <c r="AD215" i="2"/>
  <c r="AC216" i="2"/>
  <c r="AD216" i="2"/>
  <c r="AC217" i="2"/>
  <c r="AD217" i="2"/>
  <c r="AC218" i="2"/>
  <c r="AD218" i="2"/>
  <c r="AC219" i="2"/>
  <c r="AD219" i="2"/>
  <c r="AC220" i="2"/>
  <c r="AD220" i="2"/>
  <c r="AC221" i="2"/>
  <c r="AD221" i="2"/>
  <c r="AC222" i="2"/>
  <c r="AD222" i="2"/>
  <c r="AC223" i="2"/>
  <c r="AD223" i="2"/>
  <c r="AC224" i="2"/>
  <c r="AD224" i="2"/>
  <c r="AC225" i="2"/>
  <c r="AD225" i="2"/>
  <c r="AF226" i="2"/>
  <c r="AD226" i="2"/>
  <c r="AC226" i="2"/>
  <c r="AF227" i="2"/>
  <c r="AD227" i="2"/>
  <c r="AC227" i="2"/>
  <c r="AD228" i="2"/>
  <c r="AC228" i="2"/>
  <c r="AD229" i="2"/>
  <c r="AC229" i="2"/>
  <c r="AD230" i="2"/>
  <c r="AC230" i="2"/>
  <c r="AD231" i="2"/>
  <c r="AC231" i="2"/>
  <c r="K407" i="2"/>
  <c r="M407" i="2" s="1"/>
  <c r="L407" i="2"/>
  <c r="N407" i="2" s="1"/>
  <c r="K285" i="2"/>
  <c r="M285" i="2" s="1"/>
  <c r="L285" i="2"/>
  <c r="N285" i="2" s="1"/>
  <c r="K286" i="2"/>
  <c r="M286" i="2" s="1"/>
  <c r="L286" i="2"/>
  <c r="N286" i="2" s="1"/>
  <c r="K287" i="2"/>
  <c r="M287" i="2" s="1"/>
  <c r="L287" i="2"/>
  <c r="N287" i="2" s="1"/>
  <c r="K288" i="2"/>
  <c r="M288" i="2" s="1"/>
  <c r="L288" i="2"/>
  <c r="N288" i="2" s="1"/>
  <c r="K289" i="2"/>
  <c r="M289" i="2" s="1"/>
  <c r="L289" i="2"/>
  <c r="N289" i="2" s="1"/>
  <c r="K290" i="2"/>
  <c r="M290" i="2" s="1"/>
  <c r="L290" i="2"/>
  <c r="N290" i="2" s="1"/>
  <c r="K291" i="2"/>
  <c r="M291" i="2" s="1"/>
  <c r="L291" i="2"/>
  <c r="N291" i="2" s="1"/>
  <c r="K292" i="2"/>
  <c r="M292" i="2" s="1"/>
  <c r="L292" i="2"/>
  <c r="N292" i="2" s="1"/>
  <c r="K293" i="2"/>
  <c r="M293" i="2" s="1"/>
  <c r="L293" i="2"/>
  <c r="N293" i="2" s="1"/>
  <c r="K294" i="2"/>
  <c r="M294" i="2" s="1"/>
  <c r="L294" i="2"/>
  <c r="N294" i="2" s="1"/>
  <c r="K295" i="2"/>
  <c r="M295" i="2" s="1"/>
  <c r="L295" i="2"/>
  <c r="N295" i="2" s="1"/>
  <c r="K296" i="2"/>
  <c r="M296" i="2" s="1"/>
  <c r="L296" i="2"/>
  <c r="N296" i="2" s="1"/>
  <c r="K297" i="2"/>
  <c r="M297" i="2" s="1"/>
  <c r="L297" i="2"/>
  <c r="N297" i="2" s="1"/>
  <c r="K298" i="2"/>
  <c r="M298" i="2" s="1"/>
  <c r="L298" i="2"/>
  <c r="N298" i="2" s="1"/>
  <c r="K299" i="2"/>
  <c r="M299" i="2" s="1"/>
  <c r="L299" i="2"/>
  <c r="N299" i="2" s="1"/>
  <c r="K300" i="2"/>
  <c r="M300" i="2" s="1"/>
  <c r="L300" i="2"/>
  <c r="N300" i="2" s="1"/>
  <c r="K301" i="2"/>
  <c r="M301" i="2" s="1"/>
  <c r="L301" i="2"/>
  <c r="N301" i="2" s="1"/>
  <c r="K302" i="2"/>
  <c r="M302" i="2" s="1"/>
  <c r="L302" i="2"/>
  <c r="N302" i="2" s="1"/>
  <c r="L303" i="2"/>
  <c r="N303" i="2" s="1"/>
  <c r="K303" i="2"/>
  <c r="M303" i="2" s="1"/>
  <c r="L304" i="2"/>
  <c r="N304" i="2" s="1"/>
  <c r="K304" i="2"/>
  <c r="M304" i="2" s="1"/>
  <c r="L305" i="2"/>
  <c r="N305" i="2" s="1"/>
  <c r="K305" i="2"/>
  <c r="M305" i="2" s="1"/>
  <c r="L306" i="2"/>
  <c r="N306" i="2" s="1"/>
  <c r="K306" i="2"/>
  <c r="M306" i="2" s="1"/>
  <c r="L307" i="2"/>
  <c r="N307" i="2" s="1"/>
  <c r="K307" i="2"/>
  <c r="M307" i="2" s="1"/>
  <c r="K308" i="2"/>
  <c r="M308" i="2" s="1"/>
  <c r="L308" i="2"/>
  <c r="N308" i="2" s="1"/>
  <c r="L309" i="2"/>
  <c r="N309" i="2" s="1"/>
  <c r="K309" i="2"/>
  <c r="M309" i="2" s="1"/>
  <c r="K310" i="2"/>
  <c r="M310" i="2" s="1"/>
  <c r="L310" i="2"/>
  <c r="N310" i="2" s="1"/>
  <c r="K311" i="2"/>
  <c r="M311" i="2" s="1"/>
  <c r="L311" i="2"/>
  <c r="N311" i="2" s="1"/>
  <c r="L312" i="2"/>
  <c r="N312" i="2" s="1"/>
  <c r="K312" i="2"/>
  <c r="M312" i="2" s="1"/>
  <c r="L313" i="2"/>
  <c r="N313" i="2" s="1"/>
  <c r="K313" i="2"/>
  <c r="M313" i="2" s="1"/>
  <c r="L314" i="2"/>
  <c r="N314" i="2" s="1"/>
  <c r="K314" i="2"/>
  <c r="M314" i="2" s="1"/>
  <c r="L315" i="2"/>
  <c r="N315" i="2" s="1"/>
  <c r="K315" i="2"/>
  <c r="M315" i="2" s="1"/>
  <c r="K316" i="2"/>
  <c r="M316" i="2" s="1"/>
  <c r="L316" i="2"/>
  <c r="N316" i="2" s="1"/>
  <c r="K232" i="2"/>
  <c r="M232" i="2" s="1"/>
  <c r="L232" i="2"/>
  <c r="N232" i="2" s="1"/>
  <c r="K233" i="2"/>
  <c r="M233" i="2" s="1"/>
  <c r="L233" i="2"/>
  <c r="N233" i="2" s="1"/>
  <c r="L234" i="2"/>
  <c r="N234" i="2" s="1"/>
  <c r="K234" i="2"/>
  <c r="M234" i="2" s="1"/>
  <c r="K235" i="2"/>
  <c r="M235" i="2" s="1"/>
  <c r="L235" i="2"/>
  <c r="N235" i="2" s="1"/>
  <c r="L236" i="2"/>
  <c r="N236" i="2" s="1"/>
  <c r="K236" i="2"/>
  <c r="M236" i="2" s="1"/>
  <c r="L237" i="2"/>
  <c r="N237" i="2" s="1"/>
  <c r="K237" i="2"/>
  <c r="M237" i="2" s="1"/>
  <c r="K238" i="2"/>
  <c r="M238" i="2" s="1"/>
  <c r="L238" i="2"/>
  <c r="N238" i="2" s="1"/>
  <c r="K239" i="2"/>
  <c r="M239" i="2" s="1"/>
  <c r="L239" i="2"/>
  <c r="N239" i="2" s="1"/>
  <c r="K240" i="2"/>
  <c r="M240" i="2" s="1"/>
  <c r="L240" i="2"/>
  <c r="N240" i="2" s="1"/>
  <c r="K241" i="2"/>
  <c r="M241" i="2" s="1"/>
  <c r="L241" i="2"/>
  <c r="N241" i="2" s="1"/>
  <c r="K242" i="2"/>
  <c r="M242" i="2" s="1"/>
  <c r="L242" i="2"/>
  <c r="N242" i="2" s="1"/>
  <c r="L243" i="2"/>
  <c r="N243" i="2" s="1"/>
  <c r="K243" i="2"/>
  <c r="M243" i="2" s="1"/>
  <c r="L244" i="2"/>
  <c r="N244" i="2" s="1"/>
  <c r="K244" i="2"/>
  <c r="M244" i="2" s="1"/>
  <c r="L245" i="2"/>
  <c r="N245" i="2" s="1"/>
  <c r="K245" i="2"/>
  <c r="M245" i="2" s="1"/>
  <c r="L246" i="2"/>
  <c r="N246" i="2" s="1"/>
  <c r="K246" i="2"/>
  <c r="M246" i="2" s="1"/>
  <c r="L247" i="2"/>
  <c r="N247" i="2" s="1"/>
  <c r="K247" i="2"/>
  <c r="M247" i="2" s="1"/>
  <c r="F32" i="3"/>
  <c r="AC153" i="2"/>
  <c r="AD153" i="2"/>
  <c r="AC154" i="2"/>
  <c r="AD154" i="2"/>
  <c r="AC155" i="2"/>
  <c r="AD155" i="2"/>
  <c r="AC156" i="2"/>
  <c r="AD156" i="2"/>
  <c r="AC157" i="2"/>
  <c r="AD157" i="2"/>
  <c r="AC158" i="2"/>
  <c r="AD158" i="2"/>
  <c r="AC159" i="2"/>
  <c r="AD159" i="2"/>
  <c r="AC160" i="2"/>
  <c r="AD160" i="2"/>
  <c r="AC161" i="2"/>
  <c r="AD161" i="2"/>
  <c r="AC162" i="2"/>
  <c r="AD162" i="2"/>
  <c r="AC163" i="2"/>
  <c r="AD163" i="2"/>
  <c r="AC164" i="2"/>
  <c r="AD164" i="2"/>
  <c r="AC165" i="2"/>
  <c r="AD165" i="2"/>
  <c r="AC166" i="2"/>
  <c r="AD166" i="2"/>
  <c r="AC167" i="2"/>
  <c r="AD167" i="2"/>
  <c r="AC168" i="2"/>
  <c r="AD168" i="2"/>
  <c r="AC169" i="2"/>
  <c r="AD169" i="2"/>
  <c r="AC170" i="2"/>
  <c r="AD170" i="2"/>
  <c r="AC171" i="2"/>
  <c r="AD171" i="2"/>
  <c r="AC172" i="2"/>
  <c r="AD172" i="2"/>
  <c r="AC173" i="2"/>
  <c r="AD173" i="2"/>
  <c r="AC174" i="2"/>
  <c r="AD174" i="2"/>
  <c r="AC175" i="2"/>
  <c r="AD175" i="2"/>
  <c r="AC176" i="2"/>
  <c r="AD176" i="2"/>
  <c r="AC177" i="2"/>
  <c r="AD177" i="2"/>
  <c r="AC178" i="2"/>
  <c r="AD178" i="2"/>
  <c r="AC179" i="2"/>
  <c r="AD179" i="2"/>
  <c r="AC180" i="2"/>
  <c r="AD180" i="2"/>
  <c r="AC181" i="2"/>
  <c r="AD181" i="2"/>
  <c r="AC182" i="2"/>
  <c r="AD182" i="2"/>
  <c r="AC183" i="2"/>
  <c r="AD183" i="2"/>
  <c r="AC184" i="2"/>
  <c r="AD184" i="2"/>
  <c r="AC185" i="2"/>
  <c r="AD185" i="2"/>
  <c r="AC186" i="2"/>
  <c r="AD186" i="2"/>
  <c r="AC187" i="2"/>
  <c r="AD187" i="2"/>
  <c r="AC188" i="2"/>
  <c r="AD188" i="2"/>
  <c r="AC189" i="2"/>
  <c r="AD189" i="2"/>
  <c r="AC190" i="2"/>
  <c r="AD190" i="2"/>
  <c r="AC191" i="2"/>
  <c r="AD191" i="2"/>
  <c r="AC192" i="2"/>
  <c r="AD192" i="2"/>
  <c r="AC193" i="2"/>
  <c r="AD193" i="2"/>
  <c r="AC194" i="2"/>
  <c r="AD194" i="2"/>
  <c r="AC195" i="2"/>
  <c r="AD195" i="2"/>
  <c r="AC196" i="2"/>
  <c r="AD196" i="2"/>
  <c r="AC197" i="2"/>
  <c r="AD197" i="2"/>
  <c r="AC198" i="2"/>
  <c r="AD198" i="2"/>
  <c r="AC199" i="2"/>
  <c r="AD199" i="2"/>
  <c r="AC200" i="2"/>
  <c r="AD200" i="2"/>
  <c r="AC201" i="2"/>
  <c r="AD201" i="2"/>
  <c r="AC202" i="2"/>
  <c r="AD202" i="2"/>
  <c r="AC203" i="2"/>
  <c r="AD203" i="2"/>
  <c r="AC204" i="2"/>
  <c r="AD204" i="2"/>
  <c r="AC205" i="2"/>
  <c r="AD205" i="2"/>
  <c r="Z232" i="2"/>
  <c r="Z234" i="2"/>
  <c r="Z236" i="2"/>
  <c r="Z238" i="2"/>
  <c r="Z240" i="2"/>
  <c r="Z242" i="2"/>
  <c r="Z244" i="2"/>
  <c r="Z246" i="2"/>
  <c r="Z248" i="2"/>
  <c r="Z249" i="2"/>
  <c r="Z251" i="2"/>
  <c r="Z253" i="2"/>
  <c r="Z255" i="2"/>
  <c r="Z257" i="2"/>
  <c r="Z258" i="2"/>
  <c r="Z260" i="2"/>
  <c r="Z262" i="2"/>
  <c r="Z264" i="2"/>
  <c r="Z266" i="2"/>
  <c r="Z267" i="2"/>
  <c r="Z269" i="2"/>
  <c r="Z271" i="2"/>
  <c r="Z273" i="2"/>
  <c r="Z275" i="2"/>
  <c r="Z276" i="2"/>
  <c r="Z278" i="2"/>
  <c r="Z280" i="2"/>
  <c r="Z282" i="2"/>
  <c r="Z284" i="2"/>
  <c r="Z285" i="2"/>
  <c r="Z287" i="2"/>
  <c r="Z289" i="2"/>
  <c r="Z291" i="2"/>
  <c r="Z293" i="2"/>
  <c r="Z294" i="2"/>
  <c r="Z296" i="2"/>
  <c r="Z298" i="2"/>
  <c r="Z300" i="2"/>
  <c r="Z302" i="2"/>
  <c r="Z304" i="2"/>
  <c r="Z305" i="2"/>
  <c r="Z307" i="2"/>
  <c r="Z309" i="2"/>
  <c r="Z311" i="2"/>
  <c r="Z313" i="2"/>
  <c r="Z314" i="2"/>
  <c r="Z316" i="2"/>
  <c r="Z233" i="2"/>
  <c r="Z235" i="2"/>
  <c r="Z237" i="2"/>
  <c r="Z239" i="2"/>
  <c r="Z241" i="2"/>
  <c r="Z243" i="2"/>
  <c r="Z245" i="2"/>
  <c r="Z247" i="2"/>
  <c r="Z250" i="2"/>
  <c r="Z252" i="2"/>
  <c r="Z254" i="2"/>
  <c r="Z256" i="2"/>
  <c r="Z259" i="2"/>
  <c r="Z261" i="2"/>
  <c r="Z263" i="2"/>
  <c r="Z265" i="2"/>
  <c r="Z268" i="2"/>
  <c r="Z270" i="2"/>
  <c r="Z272" i="2"/>
  <c r="Z274" i="2"/>
  <c r="Z277" i="2"/>
  <c r="Z279" i="2"/>
  <c r="Z281" i="2"/>
  <c r="Z283" i="2"/>
  <c r="Z286" i="2"/>
  <c r="Z288" i="2"/>
  <c r="Z290" i="2"/>
  <c r="Z292" i="2"/>
  <c r="Z295" i="2"/>
  <c r="Z297" i="2"/>
  <c r="Z299" i="2"/>
  <c r="Z301" i="2"/>
  <c r="Z303" i="2"/>
  <c r="Z306" i="2"/>
  <c r="Z308" i="2"/>
  <c r="Z310" i="2"/>
  <c r="Z312" i="2"/>
  <c r="Z315" i="2"/>
  <c r="Z317" i="2"/>
  <c r="L317" i="2"/>
  <c r="N317" i="2" s="1"/>
  <c r="K317" i="2"/>
  <c r="M317" i="2" s="1"/>
  <c r="AD3" i="2"/>
  <c r="AC3" i="2"/>
  <c r="AD4" i="2"/>
  <c r="AC4" i="2"/>
  <c r="AD5" i="2"/>
  <c r="AC5" i="2"/>
  <c r="AD6" i="2"/>
  <c r="AC6" i="2"/>
  <c r="AD7" i="2"/>
  <c r="AC7" i="2"/>
  <c r="AD8" i="2"/>
  <c r="AC8" i="2"/>
  <c r="AD9" i="2"/>
  <c r="AC9" i="2"/>
  <c r="AD10" i="2"/>
  <c r="AC10" i="2"/>
  <c r="AD11" i="2"/>
  <c r="AC11" i="2"/>
  <c r="AD12" i="2"/>
  <c r="AC12" i="2"/>
  <c r="AD13" i="2"/>
  <c r="AC13" i="2"/>
  <c r="AD14" i="2"/>
  <c r="AC14" i="2"/>
  <c r="AD15" i="2"/>
  <c r="AC15" i="2"/>
  <c r="AD16" i="2"/>
  <c r="AC16" i="2"/>
  <c r="AD17" i="2"/>
  <c r="AC17" i="2"/>
  <c r="AD18" i="2"/>
  <c r="AC18" i="2"/>
  <c r="AC19" i="2"/>
  <c r="AD19" i="2"/>
  <c r="AC20" i="2"/>
  <c r="AD20" i="2"/>
  <c r="AC21" i="2"/>
  <c r="AD21" i="2"/>
  <c r="AD22" i="2"/>
  <c r="AC22" i="2"/>
  <c r="AC23" i="2"/>
  <c r="AD23" i="2"/>
  <c r="AC24" i="2"/>
  <c r="AD24" i="2"/>
  <c r="AC25" i="2"/>
  <c r="AD25" i="2"/>
  <c r="AD26" i="2"/>
  <c r="AC26" i="2"/>
  <c r="AD27" i="2"/>
  <c r="AC27" i="2"/>
  <c r="AD28" i="2"/>
  <c r="AC28" i="2"/>
  <c r="AD29" i="2"/>
  <c r="AC29" i="2"/>
  <c r="AD30" i="2"/>
  <c r="AC30" i="2"/>
  <c r="AD31" i="2"/>
  <c r="AC31" i="2"/>
  <c r="AD32" i="2"/>
  <c r="AC32" i="2"/>
  <c r="AD33" i="2"/>
  <c r="AC33" i="2"/>
  <c r="AD34" i="2"/>
  <c r="AC34" i="2"/>
  <c r="AD35" i="2"/>
  <c r="AC35" i="2"/>
  <c r="AD36" i="2"/>
  <c r="AC36" i="2"/>
  <c r="AD37" i="2"/>
  <c r="AC37" i="2"/>
  <c r="AD38" i="2"/>
  <c r="AC38" i="2"/>
  <c r="AD39" i="2"/>
  <c r="AC39" i="2"/>
  <c r="AD40" i="2"/>
  <c r="AC40" i="2"/>
  <c r="AD41" i="2"/>
  <c r="AC41" i="2"/>
  <c r="AD42" i="2"/>
  <c r="AC42" i="2"/>
  <c r="AD43" i="2"/>
  <c r="AC43" i="2"/>
  <c r="AD44" i="2"/>
  <c r="AC44" i="2"/>
  <c r="AD45" i="2"/>
  <c r="AC45" i="2"/>
  <c r="AD46" i="2"/>
  <c r="AC46" i="2"/>
  <c r="AD47" i="2"/>
  <c r="AC47" i="2"/>
  <c r="AD48" i="2"/>
  <c r="AC48" i="2"/>
  <c r="AD49" i="2"/>
  <c r="AC49" i="2"/>
  <c r="AD50" i="2"/>
  <c r="AC50" i="2"/>
  <c r="AD51" i="2"/>
  <c r="AC51" i="2"/>
  <c r="AD52" i="2"/>
  <c r="AC52" i="2"/>
  <c r="AD53" i="2"/>
  <c r="AC53" i="2"/>
  <c r="AD54" i="2"/>
  <c r="AC54" i="2"/>
  <c r="AD55" i="2"/>
  <c r="AC55" i="2"/>
  <c r="AD56" i="2"/>
  <c r="AC56" i="2"/>
  <c r="AC57" i="2"/>
  <c r="AD57" i="2"/>
  <c r="AD58" i="2"/>
  <c r="AC58" i="2"/>
  <c r="AD59" i="2"/>
  <c r="AC59" i="2"/>
  <c r="AD60" i="2"/>
  <c r="AC60" i="2"/>
  <c r="AD61" i="2"/>
  <c r="AC61" i="2"/>
  <c r="AD62" i="2"/>
  <c r="AC62" i="2"/>
  <c r="AD63" i="2"/>
  <c r="AC63" i="2"/>
  <c r="AD64" i="2"/>
  <c r="AC64" i="2"/>
  <c r="AD65" i="2"/>
  <c r="AC65" i="2"/>
  <c r="AD66" i="2"/>
  <c r="AC66" i="2"/>
  <c r="AD67" i="2"/>
  <c r="AC67" i="2"/>
  <c r="AD68" i="2"/>
  <c r="AC68" i="2"/>
  <c r="AD69" i="2"/>
  <c r="AC69" i="2"/>
  <c r="AD70" i="2"/>
  <c r="AC70" i="2"/>
  <c r="AD71" i="2"/>
  <c r="AC71" i="2"/>
  <c r="AD72" i="2"/>
  <c r="AC72" i="2"/>
  <c r="AC73" i="2"/>
  <c r="AD73" i="2"/>
  <c r="AD74" i="2"/>
  <c r="AC74" i="2"/>
  <c r="AD75" i="2"/>
  <c r="AC75" i="2"/>
  <c r="AD76" i="2"/>
  <c r="AC76" i="2"/>
  <c r="AD77" i="2"/>
  <c r="AC77" i="2"/>
  <c r="AD78" i="2"/>
  <c r="AC78" i="2"/>
  <c r="AD79" i="2"/>
  <c r="AC79" i="2"/>
  <c r="AD80" i="2"/>
  <c r="AC80" i="2"/>
  <c r="AD81" i="2"/>
  <c r="AC81" i="2"/>
  <c r="AD82" i="2"/>
  <c r="AC82" i="2"/>
  <c r="AD83" i="2"/>
  <c r="AC83" i="2"/>
  <c r="AD84" i="2"/>
  <c r="AC84" i="2"/>
  <c r="AD85" i="2"/>
  <c r="AC85" i="2"/>
  <c r="AD86" i="2"/>
  <c r="AC86" i="2"/>
  <c r="AD87" i="2"/>
  <c r="AC87" i="2"/>
  <c r="AD88" i="2"/>
  <c r="AC88" i="2"/>
  <c r="AD89" i="2"/>
  <c r="AC89" i="2"/>
  <c r="AD90" i="2"/>
  <c r="AC90" i="2"/>
  <c r="AD91" i="2"/>
  <c r="AC91" i="2"/>
  <c r="AD92" i="2"/>
  <c r="AC92" i="2"/>
  <c r="AD93" i="2"/>
  <c r="AC93" i="2"/>
  <c r="AC94" i="2"/>
  <c r="AD94" i="2"/>
  <c r="AC95" i="2"/>
  <c r="AD95" i="2"/>
  <c r="AD96" i="2"/>
  <c r="AC96" i="2"/>
  <c r="AC97" i="2"/>
  <c r="AD97" i="2"/>
  <c r="AC98" i="2"/>
  <c r="AD98" i="2"/>
  <c r="AD99" i="2"/>
  <c r="AC99" i="2"/>
  <c r="AD100" i="2"/>
  <c r="AC100" i="2"/>
  <c r="AD101" i="2"/>
  <c r="AC101" i="2"/>
  <c r="AD102" i="2"/>
  <c r="AC102" i="2"/>
  <c r="AD103" i="2"/>
  <c r="AC103" i="2"/>
  <c r="AD104" i="2"/>
  <c r="AC104" i="2"/>
  <c r="AD105" i="2"/>
  <c r="AC105" i="2"/>
  <c r="AC106" i="2"/>
  <c r="AD106" i="2"/>
  <c r="AD107" i="2"/>
  <c r="AC107" i="2"/>
  <c r="AD108" i="2"/>
  <c r="AC108" i="2"/>
  <c r="AD109" i="2"/>
  <c r="AC109" i="2"/>
  <c r="AC110" i="2"/>
  <c r="AD110" i="2"/>
  <c r="AC111" i="2"/>
  <c r="AD111" i="2"/>
  <c r="AC112" i="2"/>
  <c r="AD112" i="2"/>
  <c r="AC113" i="2"/>
  <c r="AD113" i="2"/>
  <c r="AD114" i="2"/>
  <c r="AC114" i="2"/>
  <c r="AC115" i="2"/>
  <c r="AD115" i="2"/>
  <c r="AC116" i="2"/>
  <c r="AD116" i="2"/>
  <c r="AD117" i="2"/>
  <c r="AC117" i="2"/>
  <c r="AD118" i="2"/>
  <c r="AC118" i="2"/>
  <c r="AC119" i="2"/>
  <c r="AD119" i="2"/>
  <c r="AD120" i="2"/>
  <c r="AC120" i="2"/>
  <c r="AC121" i="2"/>
  <c r="AD121" i="2"/>
  <c r="AC122" i="2"/>
  <c r="AD122" i="2"/>
  <c r="AC123" i="2"/>
  <c r="AD123" i="2"/>
  <c r="AD124" i="2"/>
  <c r="AC124" i="2"/>
  <c r="AC125" i="2"/>
  <c r="AD125" i="2"/>
  <c r="AD126" i="2"/>
  <c r="AC126" i="2"/>
  <c r="AD127" i="2"/>
  <c r="AC127" i="2"/>
  <c r="AC128" i="2"/>
  <c r="AD128" i="2"/>
  <c r="AC129" i="2"/>
  <c r="AD129" i="2"/>
  <c r="AC130" i="2"/>
  <c r="AD130" i="2"/>
  <c r="AC131" i="2"/>
  <c r="AD131" i="2"/>
  <c r="AC132" i="2"/>
  <c r="AD132" i="2"/>
  <c r="AC133" i="2"/>
  <c r="AD133" i="2"/>
  <c r="AC134" i="2"/>
  <c r="AD134" i="2"/>
  <c r="AC135" i="2"/>
  <c r="AD135" i="2"/>
  <c r="AC136" i="2"/>
  <c r="AD136" i="2"/>
  <c r="AC137" i="2"/>
  <c r="AD137" i="2"/>
  <c r="AC138" i="2"/>
  <c r="AD138" i="2"/>
  <c r="AC139" i="2"/>
  <c r="AD139" i="2"/>
  <c r="AC140" i="2"/>
  <c r="AD140" i="2"/>
  <c r="AC141" i="2"/>
  <c r="AD141" i="2"/>
  <c r="AC142" i="2"/>
  <c r="AD142" i="2"/>
  <c r="AC143" i="2"/>
  <c r="AD143" i="2"/>
  <c r="AC144" i="2"/>
  <c r="AD144" i="2"/>
  <c r="AC145" i="2"/>
  <c r="AD145" i="2"/>
  <c r="AC146" i="2"/>
  <c r="AD146" i="2"/>
  <c r="AC147" i="2"/>
  <c r="AD147" i="2"/>
  <c r="AC148" i="2"/>
  <c r="AD148" i="2"/>
  <c r="AC149" i="2"/>
  <c r="AD149" i="2"/>
  <c r="AC150" i="2"/>
  <c r="AD150" i="2"/>
  <c r="AC151" i="2"/>
  <c r="AD151" i="2"/>
  <c r="AC152" i="2"/>
  <c r="AD152" i="2"/>
  <c r="AE228" i="2"/>
  <c r="AF228" i="2"/>
  <c r="AE229" i="2"/>
  <c r="AF229" i="2"/>
  <c r="AH230" i="2"/>
  <c r="AG230" i="2"/>
  <c r="AG231" i="2"/>
  <c r="AH231" i="2"/>
  <c r="Z27" i="2"/>
  <c r="Z28" i="2"/>
  <c r="Z29" i="2"/>
  <c r="Z30" i="2"/>
  <c r="Z31" i="2"/>
  <c r="Z32" i="2"/>
  <c r="Z44" i="2"/>
  <c r="Z45" i="2"/>
  <c r="Z46" i="2"/>
  <c r="Z47" i="2"/>
  <c r="Z48" i="2"/>
  <c r="Z49" i="2"/>
  <c r="Z50" i="2"/>
  <c r="Z51" i="2"/>
  <c r="Z52" i="2"/>
  <c r="Z53" i="2"/>
  <c r="Z54" i="2"/>
  <c r="Z55" i="2"/>
  <c r="Z33" i="2"/>
  <c r="Z34" i="2"/>
  <c r="Z35" i="2"/>
  <c r="Z36" i="2"/>
  <c r="Z37" i="2"/>
  <c r="Z38" i="2"/>
  <c r="Z39" i="2"/>
  <c r="Z40" i="2"/>
  <c r="Z41" i="2"/>
  <c r="Z42" i="2"/>
  <c r="Z43" i="2"/>
  <c r="Z56" i="2"/>
  <c r="Z57" i="2"/>
  <c r="Z58" i="2"/>
  <c r="Z59" i="2"/>
  <c r="Z60" i="2"/>
  <c r="Z61" i="2"/>
  <c r="Z62" i="2"/>
  <c r="Z63" i="2"/>
  <c r="Z64" i="2"/>
  <c r="Z65" i="2"/>
  <c r="Z66" i="2"/>
  <c r="Z67" i="2"/>
  <c r="Z68" i="2"/>
  <c r="Z69" i="2"/>
  <c r="Z70" i="2"/>
  <c r="Z71" i="2"/>
  <c r="Z72" i="2"/>
  <c r="Z73" i="2"/>
  <c r="Z74" i="2"/>
  <c r="Z75" i="2"/>
  <c r="Z76" i="2"/>
  <c r="Z162" i="2"/>
  <c r="Z163" i="2"/>
  <c r="Z164" i="2"/>
  <c r="Z165" i="2"/>
  <c r="Z166" i="2"/>
  <c r="Z167" i="2"/>
  <c r="Z168" i="2"/>
  <c r="Z169" i="2"/>
  <c r="Z170" i="2"/>
  <c r="Z171" i="2"/>
  <c r="Z172" i="2"/>
  <c r="Z173" i="2"/>
  <c r="Z174" i="2"/>
  <c r="Z175" i="2"/>
  <c r="Z176" i="2"/>
  <c r="Z177" i="2"/>
  <c r="Z178" i="2"/>
  <c r="Z179" i="2"/>
  <c r="Z180" i="2"/>
  <c r="Z181" i="2"/>
  <c r="Z182" i="2"/>
  <c r="Z183" i="2"/>
  <c r="Z184" i="2"/>
  <c r="Z185" i="2"/>
  <c r="Z186" i="2"/>
  <c r="Z187" i="2"/>
  <c r="Z188" i="2"/>
  <c r="Z189" i="2"/>
  <c r="Z190" i="2"/>
  <c r="Z191" i="2"/>
  <c r="Z192" i="2"/>
  <c r="Z193" i="2"/>
  <c r="Z194" i="2"/>
  <c r="Z195" i="2"/>
  <c r="Z196" i="2"/>
  <c r="Z197" i="2"/>
  <c r="Z198" i="2"/>
  <c r="Z199" i="2"/>
  <c r="Z200" i="2"/>
  <c r="Z201" i="2"/>
  <c r="Z202" i="2"/>
  <c r="Z203" i="2"/>
  <c r="Z204" i="2"/>
  <c r="Z205" i="2"/>
  <c r="Z206" i="2"/>
  <c r="Z207" i="2"/>
  <c r="Z208" i="2"/>
  <c r="Z209" i="2"/>
  <c r="Z210" i="2"/>
  <c r="Z211" i="2"/>
  <c r="Z212" i="2"/>
  <c r="Z213" i="2"/>
  <c r="Z214" i="2"/>
  <c r="Z215" i="2"/>
  <c r="Z216" i="2"/>
  <c r="Z217" i="2"/>
  <c r="Z218" i="2"/>
  <c r="Z219" i="2"/>
  <c r="Z220" i="2"/>
  <c r="Z221" i="2"/>
  <c r="Z222" i="2"/>
  <c r="Z223" i="2"/>
  <c r="Z224" i="2"/>
  <c r="Z225" i="2"/>
  <c r="Z227" i="2"/>
  <c r="Z228" i="2"/>
  <c r="Z229" i="2"/>
  <c r="Z230" i="2"/>
  <c r="Z231" i="2"/>
  <c r="Z77" i="2"/>
  <c r="Z78" i="2"/>
  <c r="Z79" i="2"/>
  <c r="Z80" i="2"/>
  <c r="Z81" i="2"/>
  <c r="Z82" i="2"/>
  <c r="Z83" i="2"/>
  <c r="Z84" i="2"/>
  <c r="Z85" i="2"/>
  <c r="Z86" i="2"/>
  <c r="Z87" i="2"/>
  <c r="Z88" i="2"/>
  <c r="Z89" i="2"/>
  <c r="Z90" i="2"/>
  <c r="Z91" i="2"/>
  <c r="Z92" i="2"/>
  <c r="Z93" i="2"/>
  <c r="Z94" i="2"/>
  <c r="Z95" i="2"/>
  <c r="Z96" i="2"/>
  <c r="Z97" i="2"/>
  <c r="Z98" i="2"/>
  <c r="Z99" i="2"/>
  <c r="Z100" i="2"/>
  <c r="Z101" i="2"/>
  <c r="Z102" i="2"/>
  <c r="Z103" i="2"/>
  <c r="Z104" i="2"/>
  <c r="Z105" i="2"/>
  <c r="Z106" i="2"/>
  <c r="Z107" i="2"/>
  <c r="Z108" i="2"/>
  <c r="Z109" i="2"/>
  <c r="Z110" i="2"/>
  <c r="Z111" i="2"/>
  <c r="Z112" i="2"/>
  <c r="Z113" i="2"/>
  <c r="Z114" i="2"/>
  <c r="Z115" i="2"/>
  <c r="Z116" i="2"/>
  <c r="Z117" i="2"/>
  <c r="Z118" i="2"/>
  <c r="Z119" i="2"/>
  <c r="Z120" i="2"/>
  <c r="Z121" i="2"/>
  <c r="Z122" i="2"/>
  <c r="Z123" i="2"/>
  <c r="Z124" i="2"/>
  <c r="Z125" i="2"/>
  <c r="Z126" i="2"/>
  <c r="Z127" i="2"/>
  <c r="Z128" i="2"/>
  <c r="Z129" i="2"/>
  <c r="Z130" i="2"/>
  <c r="Z131" i="2"/>
  <c r="Z132" i="2"/>
  <c r="Z133" i="2"/>
  <c r="Z134" i="2"/>
  <c r="Z135" i="2"/>
  <c r="Z136" i="2"/>
  <c r="Z137" i="2"/>
  <c r="Z138" i="2"/>
  <c r="Z139" i="2"/>
  <c r="Z140" i="2"/>
  <c r="Z141" i="2"/>
  <c r="Z142" i="2"/>
  <c r="Z143" i="2"/>
  <c r="Z144" i="2"/>
  <c r="Z145" i="2"/>
  <c r="Z146" i="2"/>
  <c r="Z147" i="2"/>
  <c r="Z148" i="2"/>
  <c r="Z149" i="2"/>
  <c r="Z150" i="2"/>
  <c r="Z151" i="2"/>
  <c r="Z152" i="2"/>
  <c r="Z153" i="2"/>
  <c r="Z154" i="2"/>
  <c r="Z155" i="2"/>
  <c r="Z156" i="2"/>
  <c r="Z157" i="2"/>
  <c r="Z158" i="2"/>
  <c r="Z159" i="2"/>
  <c r="Z160" i="2"/>
  <c r="Z161" i="2"/>
  <c r="Z226" i="2"/>
  <c r="AC2" i="2"/>
  <c r="AD2" i="2"/>
  <c r="L2" i="2"/>
  <c r="N2" i="2" s="1"/>
  <c r="K2" i="2"/>
  <c r="M2" i="2" s="1"/>
  <c r="L3" i="2"/>
  <c r="N3" i="2" s="1"/>
  <c r="K3" i="2"/>
  <c r="M3" i="2" s="1"/>
  <c r="L4" i="2"/>
  <c r="N4" i="2" s="1"/>
  <c r="K4" i="2"/>
  <c r="M4" i="2" s="1"/>
  <c r="L5" i="2"/>
  <c r="N5" i="2" s="1"/>
  <c r="K5" i="2"/>
  <c r="M5" i="2" s="1"/>
  <c r="L6" i="2"/>
  <c r="N6" i="2" s="1"/>
  <c r="K6" i="2"/>
  <c r="M6" i="2" s="1"/>
  <c r="L7" i="2"/>
  <c r="N7" i="2" s="1"/>
  <c r="K7" i="2"/>
  <c r="M7" i="2" s="1"/>
  <c r="L8" i="2"/>
  <c r="N8" i="2" s="1"/>
  <c r="K8" i="2"/>
  <c r="M8" i="2" s="1"/>
  <c r="K9" i="2"/>
  <c r="M9" i="2" s="1"/>
  <c r="L9" i="2"/>
  <c r="N9" i="2" s="1"/>
  <c r="L10" i="2"/>
  <c r="N10" i="2" s="1"/>
  <c r="K10" i="2"/>
  <c r="M10" i="2" s="1"/>
  <c r="L11" i="2"/>
  <c r="N11" i="2" s="1"/>
  <c r="K11" i="2"/>
  <c r="M11" i="2" s="1"/>
  <c r="L12" i="2"/>
  <c r="N12" i="2" s="1"/>
  <c r="K12" i="2"/>
  <c r="M12" i="2" s="1"/>
  <c r="L13" i="2"/>
  <c r="N13" i="2" s="1"/>
  <c r="K13" i="2"/>
  <c r="M13" i="2" s="1"/>
  <c r="L14" i="2"/>
  <c r="N14" i="2" s="1"/>
  <c r="K14" i="2"/>
  <c r="M14" i="2" s="1"/>
  <c r="L15" i="2"/>
  <c r="N15" i="2" s="1"/>
  <c r="K15" i="2"/>
  <c r="M15" i="2" s="1"/>
  <c r="K16" i="2"/>
  <c r="M16" i="2" s="1"/>
  <c r="L16" i="2"/>
  <c r="N16" i="2" s="1"/>
  <c r="L17" i="2"/>
  <c r="N17" i="2" s="1"/>
  <c r="K17" i="2"/>
  <c r="M17" i="2" s="1"/>
  <c r="K18" i="2"/>
  <c r="M18" i="2" s="1"/>
  <c r="L18" i="2"/>
  <c r="N18" i="2" s="1"/>
  <c r="L19" i="2"/>
  <c r="N19" i="2" s="1"/>
  <c r="K19" i="2"/>
  <c r="M19" i="2" s="1"/>
  <c r="L20" i="2"/>
  <c r="N20" i="2" s="1"/>
  <c r="K20" i="2"/>
  <c r="M20" i="2" s="1"/>
  <c r="L21" i="2"/>
  <c r="N21" i="2" s="1"/>
  <c r="K21" i="2"/>
  <c r="M21" i="2" s="1"/>
  <c r="K22" i="2"/>
  <c r="M22" i="2" s="1"/>
  <c r="L22" i="2"/>
  <c r="N22" i="2" s="1"/>
  <c r="K23" i="2"/>
  <c r="M23" i="2" s="1"/>
  <c r="L23" i="2"/>
  <c r="N23" i="2" s="1"/>
  <c r="K24" i="2"/>
  <c r="M24" i="2" s="1"/>
  <c r="L24" i="2"/>
  <c r="N24" i="2" s="1"/>
  <c r="K25" i="2"/>
  <c r="M25" i="2" s="1"/>
  <c r="L25" i="2"/>
  <c r="N25" i="2" s="1"/>
  <c r="K26" i="2"/>
  <c r="M26" i="2" s="1"/>
  <c r="L26" i="2"/>
  <c r="N26" i="2" s="1"/>
  <c r="K27" i="2"/>
  <c r="M27" i="2" s="1"/>
  <c r="L27" i="2"/>
  <c r="N27" i="2" s="1"/>
  <c r="L28" i="2"/>
  <c r="N28" i="2" s="1"/>
  <c r="K28" i="2"/>
  <c r="M28" i="2" s="1"/>
  <c r="L29" i="2"/>
  <c r="N29" i="2" s="1"/>
  <c r="K29" i="2"/>
  <c r="M29" i="2" s="1"/>
  <c r="L30" i="2"/>
  <c r="N30" i="2" s="1"/>
  <c r="K30" i="2"/>
  <c r="M30" i="2" s="1"/>
  <c r="L31" i="2"/>
  <c r="N31" i="2" s="1"/>
  <c r="K31" i="2"/>
  <c r="M31" i="2" s="1"/>
  <c r="L32" i="2"/>
  <c r="N32" i="2" s="1"/>
  <c r="K32" i="2"/>
  <c r="M32" i="2" s="1"/>
  <c r="L33" i="2"/>
  <c r="N33" i="2" s="1"/>
  <c r="K33" i="2"/>
  <c r="M33" i="2" s="1"/>
  <c r="L34" i="2"/>
  <c r="N34" i="2" s="1"/>
  <c r="K34" i="2"/>
  <c r="M34" i="2" s="1"/>
  <c r="L35" i="2"/>
  <c r="N35" i="2" s="1"/>
  <c r="K35" i="2"/>
  <c r="M35" i="2" s="1"/>
  <c r="L36" i="2"/>
  <c r="N36" i="2" s="1"/>
  <c r="K36" i="2"/>
  <c r="M36" i="2" s="1"/>
  <c r="L37" i="2"/>
  <c r="N37" i="2" s="1"/>
  <c r="K37" i="2"/>
  <c r="M37" i="2" s="1"/>
  <c r="L38" i="2"/>
  <c r="N38" i="2" s="1"/>
  <c r="K38" i="2"/>
  <c r="M38" i="2" s="1"/>
  <c r="L39" i="2"/>
  <c r="N39" i="2" s="1"/>
  <c r="K39" i="2"/>
  <c r="M39" i="2" s="1"/>
  <c r="L40" i="2"/>
  <c r="N40" i="2" s="1"/>
  <c r="K40" i="2"/>
  <c r="M40" i="2" s="1"/>
  <c r="L41" i="2"/>
  <c r="N41" i="2" s="1"/>
  <c r="K41" i="2"/>
  <c r="M41" i="2" s="1"/>
  <c r="L42" i="2"/>
  <c r="N42" i="2" s="1"/>
  <c r="K42" i="2"/>
  <c r="M42" i="2" s="1"/>
  <c r="L43" i="2"/>
  <c r="N43" i="2" s="1"/>
  <c r="K43" i="2"/>
  <c r="M43" i="2" s="1"/>
  <c r="L44" i="2"/>
  <c r="N44" i="2" s="1"/>
  <c r="K44" i="2"/>
  <c r="M44" i="2" s="1"/>
  <c r="L45" i="2"/>
  <c r="N45" i="2" s="1"/>
  <c r="K45" i="2"/>
  <c r="M45" i="2" s="1"/>
  <c r="L46" i="2"/>
  <c r="N46" i="2" s="1"/>
  <c r="K46" i="2"/>
  <c r="M46" i="2" s="1"/>
  <c r="L47" i="2"/>
  <c r="N47" i="2" s="1"/>
  <c r="K47" i="2"/>
  <c r="M47" i="2" s="1"/>
  <c r="L48" i="2"/>
  <c r="N48" i="2" s="1"/>
  <c r="K48" i="2"/>
  <c r="M48" i="2" s="1"/>
  <c r="L49" i="2"/>
  <c r="N49" i="2" s="1"/>
  <c r="K49" i="2"/>
  <c r="M49" i="2" s="1"/>
  <c r="L50" i="2"/>
  <c r="N50" i="2" s="1"/>
  <c r="K50" i="2"/>
  <c r="M50" i="2" s="1"/>
  <c r="L51" i="2"/>
  <c r="N51" i="2" s="1"/>
  <c r="K51" i="2"/>
  <c r="M51" i="2" s="1"/>
  <c r="L52" i="2"/>
  <c r="N52" i="2" s="1"/>
  <c r="K52" i="2"/>
  <c r="M52" i="2" s="1"/>
  <c r="K53" i="2"/>
  <c r="M53" i="2" s="1"/>
  <c r="L53" i="2"/>
  <c r="N53" i="2" s="1"/>
  <c r="L54" i="2"/>
  <c r="N54" i="2" s="1"/>
  <c r="K54" i="2"/>
  <c r="M54" i="2" s="1"/>
  <c r="L55" i="2"/>
  <c r="N55" i="2" s="1"/>
  <c r="K55" i="2"/>
  <c r="M55" i="2" s="1"/>
  <c r="L56" i="2"/>
  <c r="N56" i="2" s="1"/>
  <c r="K56" i="2"/>
  <c r="M56" i="2" s="1"/>
  <c r="L57" i="2"/>
  <c r="N57" i="2" s="1"/>
  <c r="K57" i="2"/>
  <c r="M57" i="2" s="1"/>
  <c r="L58" i="2"/>
  <c r="N58" i="2" s="1"/>
  <c r="K58" i="2"/>
  <c r="M58" i="2" s="1"/>
  <c r="L59" i="2"/>
  <c r="N59" i="2" s="1"/>
  <c r="K59" i="2"/>
  <c r="M59" i="2" s="1"/>
  <c r="L60" i="2"/>
  <c r="N60" i="2" s="1"/>
  <c r="K60" i="2"/>
  <c r="M60" i="2" s="1"/>
  <c r="L61" i="2"/>
  <c r="N61" i="2" s="1"/>
  <c r="K61" i="2"/>
  <c r="M61" i="2" s="1"/>
  <c r="L62" i="2"/>
  <c r="N62" i="2" s="1"/>
  <c r="K62" i="2"/>
  <c r="M62" i="2" s="1"/>
  <c r="L63" i="2"/>
  <c r="N63" i="2" s="1"/>
  <c r="K63" i="2"/>
  <c r="M63" i="2" s="1"/>
  <c r="L64" i="2"/>
  <c r="N64" i="2" s="1"/>
  <c r="K64" i="2"/>
  <c r="M64" i="2" s="1"/>
  <c r="L65" i="2"/>
  <c r="N65" i="2" s="1"/>
  <c r="K65" i="2"/>
  <c r="M65" i="2" s="1"/>
  <c r="L66" i="2"/>
  <c r="N66" i="2" s="1"/>
  <c r="K66" i="2"/>
  <c r="M66" i="2" s="1"/>
  <c r="L67" i="2"/>
  <c r="N67" i="2" s="1"/>
  <c r="K67" i="2"/>
  <c r="M67" i="2" s="1"/>
  <c r="K68" i="2"/>
  <c r="M68" i="2" s="1"/>
  <c r="L68" i="2"/>
  <c r="N68" i="2" s="1"/>
  <c r="K69" i="2"/>
  <c r="M69" i="2" s="1"/>
  <c r="L69" i="2"/>
  <c r="N69" i="2" s="1"/>
  <c r="K70" i="2"/>
  <c r="M70" i="2" s="1"/>
  <c r="L70" i="2"/>
  <c r="N70" i="2" s="1"/>
  <c r="L71" i="2"/>
  <c r="N71" i="2" s="1"/>
  <c r="K71" i="2"/>
  <c r="M71" i="2" s="1"/>
  <c r="K72" i="2"/>
  <c r="M72" i="2" s="1"/>
  <c r="L72" i="2"/>
  <c r="N72" i="2" s="1"/>
  <c r="L73" i="2"/>
  <c r="N73" i="2" s="1"/>
  <c r="K73" i="2"/>
  <c r="M73" i="2" s="1"/>
  <c r="L74" i="2"/>
  <c r="N74" i="2" s="1"/>
  <c r="K74" i="2"/>
  <c r="M74" i="2" s="1"/>
  <c r="L75" i="2"/>
  <c r="N75" i="2" s="1"/>
  <c r="K75" i="2"/>
  <c r="M75" i="2" s="1"/>
  <c r="L76" i="2"/>
  <c r="N76" i="2" s="1"/>
  <c r="K76" i="2"/>
  <c r="M76" i="2" s="1"/>
  <c r="L77" i="2"/>
  <c r="N77" i="2" s="1"/>
  <c r="K77" i="2"/>
  <c r="M77" i="2" s="1"/>
  <c r="K78" i="2"/>
  <c r="M78" i="2" s="1"/>
  <c r="L78" i="2"/>
  <c r="N78" i="2" s="1"/>
  <c r="K79" i="2"/>
  <c r="M79" i="2" s="1"/>
  <c r="L79" i="2"/>
  <c r="N79" i="2" s="1"/>
  <c r="K80" i="2"/>
  <c r="M80" i="2" s="1"/>
  <c r="L80" i="2"/>
  <c r="N80" i="2" s="1"/>
  <c r="K81" i="2"/>
  <c r="M81" i="2" s="1"/>
  <c r="L81" i="2"/>
  <c r="N81" i="2" s="1"/>
  <c r="L82" i="2"/>
  <c r="N82" i="2" s="1"/>
  <c r="K82" i="2"/>
  <c r="M82" i="2" s="1"/>
  <c r="L83" i="2"/>
  <c r="N83" i="2" s="1"/>
  <c r="K83" i="2"/>
  <c r="M83" i="2" s="1"/>
  <c r="K84" i="2"/>
  <c r="M84" i="2" s="1"/>
  <c r="L84" i="2"/>
  <c r="N84" i="2" s="1"/>
  <c r="L85" i="2"/>
  <c r="N85" i="2" s="1"/>
  <c r="K85" i="2"/>
  <c r="M85" i="2" s="1"/>
  <c r="L86" i="2"/>
  <c r="N86" i="2" s="1"/>
  <c r="K86" i="2"/>
  <c r="M86" i="2" s="1"/>
  <c r="K87" i="2"/>
  <c r="M87" i="2" s="1"/>
  <c r="L87" i="2"/>
  <c r="N87" i="2" s="1"/>
  <c r="K88" i="2"/>
  <c r="M88" i="2" s="1"/>
  <c r="L88" i="2"/>
  <c r="N88" i="2" s="1"/>
  <c r="K89" i="2"/>
  <c r="M89" i="2" s="1"/>
  <c r="L89" i="2"/>
  <c r="N89" i="2" s="1"/>
  <c r="K90" i="2"/>
  <c r="M90" i="2" s="1"/>
  <c r="L90" i="2"/>
  <c r="N90" i="2" s="1"/>
  <c r="L91" i="2"/>
  <c r="N91" i="2" s="1"/>
  <c r="K91" i="2"/>
  <c r="M91" i="2" s="1"/>
  <c r="K92" i="2"/>
  <c r="M92" i="2" s="1"/>
  <c r="L92" i="2"/>
  <c r="N92" i="2" s="1"/>
  <c r="K93" i="2"/>
  <c r="M93" i="2" s="1"/>
  <c r="L93" i="2"/>
  <c r="N93" i="2" s="1"/>
  <c r="L94" i="2"/>
  <c r="N94" i="2" s="1"/>
  <c r="K94" i="2"/>
  <c r="M94" i="2" s="1"/>
  <c r="L95" i="2"/>
  <c r="N95" i="2" s="1"/>
  <c r="K95" i="2"/>
  <c r="M95" i="2" s="1"/>
  <c r="L96" i="2"/>
  <c r="N96" i="2" s="1"/>
  <c r="K96" i="2"/>
  <c r="M96" i="2" s="1"/>
  <c r="L97" i="2"/>
  <c r="N97" i="2" s="1"/>
  <c r="K97" i="2"/>
  <c r="M97" i="2" s="1"/>
  <c r="L98" i="2"/>
  <c r="N98" i="2" s="1"/>
  <c r="K98" i="2"/>
  <c r="M98" i="2" s="1"/>
  <c r="L99" i="2"/>
  <c r="N99" i="2" s="1"/>
  <c r="K99" i="2"/>
  <c r="M99" i="2" s="1"/>
  <c r="L100" i="2"/>
  <c r="N100" i="2" s="1"/>
  <c r="K100" i="2"/>
  <c r="M100" i="2" s="1"/>
  <c r="L101" i="2"/>
  <c r="N101" i="2" s="1"/>
  <c r="K101" i="2"/>
  <c r="M101" i="2" s="1"/>
  <c r="K102" i="2"/>
  <c r="M102" i="2" s="1"/>
  <c r="L102" i="2"/>
  <c r="N102" i="2" s="1"/>
  <c r="K103" i="2"/>
  <c r="M103" i="2" s="1"/>
  <c r="L103" i="2"/>
  <c r="N103" i="2" s="1"/>
  <c r="K104" i="2"/>
  <c r="M104" i="2" s="1"/>
  <c r="L104" i="2"/>
  <c r="N104" i="2" s="1"/>
  <c r="K105" i="2"/>
  <c r="M105" i="2" s="1"/>
  <c r="L105" i="2"/>
  <c r="N105" i="2" s="1"/>
  <c r="L106" i="2"/>
  <c r="N106" i="2" s="1"/>
  <c r="K106" i="2"/>
  <c r="M106" i="2" s="1"/>
  <c r="L107" i="2"/>
  <c r="N107" i="2" s="1"/>
  <c r="K107" i="2"/>
  <c r="M107" i="2" s="1"/>
  <c r="K108" i="2"/>
  <c r="M108" i="2" s="1"/>
  <c r="L108" i="2"/>
  <c r="N108" i="2" s="1"/>
  <c r="L109" i="2"/>
  <c r="N109" i="2" s="1"/>
  <c r="K109" i="2"/>
  <c r="M109" i="2" s="1"/>
  <c r="L110" i="2"/>
  <c r="N110" i="2" s="1"/>
  <c r="K110" i="2"/>
  <c r="M110" i="2" s="1"/>
  <c r="K111" i="2"/>
  <c r="M111" i="2" s="1"/>
  <c r="L111" i="2"/>
  <c r="N111" i="2" s="1"/>
  <c r="K112" i="2"/>
  <c r="M112" i="2" s="1"/>
  <c r="L112" i="2"/>
  <c r="N112" i="2" s="1"/>
  <c r="L113" i="2"/>
  <c r="N113" i="2" s="1"/>
  <c r="K113" i="2"/>
  <c r="M113" i="2" s="1"/>
  <c r="K114" i="2"/>
  <c r="M114" i="2" s="1"/>
  <c r="L114" i="2"/>
  <c r="N114" i="2" s="1"/>
  <c r="L115" i="2"/>
  <c r="N115" i="2" s="1"/>
  <c r="K115" i="2"/>
  <c r="M115" i="2" s="1"/>
  <c r="L116" i="2"/>
  <c r="N116" i="2" s="1"/>
  <c r="K116" i="2"/>
  <c r="M116" i="2" s="1"/>
  <c r="L117" i="2"/>
  <c r="N117" i="2" s="1"/>
  <c r="K117" i="2"/>
  <c r="M117" i="2" s="1"/>
  <c r="L118" i="2"/>
  <c r="N118" i="2" s="1"/>
  <c r="K118" i="2"/>
  <c r="M118" i="2" s="1"/>
  <c r="L119" i="2"/>
  <c r="N119" i="2" s="1"/>
  <c r="K119" i="2"/>
  <c r="M119" i="2" s="1"/>
  <c r="L120" i="2"/>
  <c r="N120" i="2" s="1"/>
  <c r="K120" i="2"/>
  <c r="M120" i="2" s="1"/>
  <c r="L121" i="2"/>
  <c r="N121" i="2" s="1"/>
  <c r="K121" i="2"/>
  <c r="M121" i="2" s="1"/>
  <c r="L122" i="2"/>
  <c r="N122" i="2" s="1"/>
  <c r="K122" i="2"/>
  <c r="M122" i="2" s="1"/>
  <c r="L123" i="2"/>
  <c r="N123" i="2" s="1"/>
  <c r="K123" i="2"/>
  <c r="M123" i="2" s="1"/>
  <c r="K124" i="2"/>
  <c r="M124" i="2" s="1"/>
  <c r="L124" i="2"/>
  <c r="N124" i="2" s="1"/>
  <c r="K125" i="2"/>
  <c r="M125" i="2" s="1"/>
  <c r="L125" i="2"/>
  <c r="N125" i="2" s="1"/>
  <c r="K126" i="2"/>
  <c r="M126" i="2" s="1"/>
  <c r="L126" i="2"/>
  <c r="N126" i="2" s="1"/>
  <c r="K127" i="2"/>
  <c r="M127" i="2" s="1"/>
  <c r="L127" i="2"/>
  <c r="N127" i="2" s="1"/>
  <c r="K128" i="2"/>
  <c r="M128" i="2" s="1"/>
  <c r="L128" i="2"/>
  <c r="N128" i="2" s="1"/>
  <c r="K129" i="2"/>
  <c r="M129" i="2" s="1"/>
  <c r="L129" i="2"/>
  <c r="N129" i="2" s="1"/>
  <c r="K130" i="2"/>
  <c r="M130" i="2" s="1"/>
  <c r="L130" i="2"/>
  <c r="N130" i="2" s="1"/>
  <c r="K131" i="2"/>
  <c r="M131" i="2" s="1"/>
  <c r="L131" i="2"/>
  <c r="N131" i="2" s="1"/>
  <c r="K132" i="2"/>
  <c r="M132" i="2" s="1"/>
  <c r="L132" i="2"/>
  <c r="N132" i="2" s="1"/>
  <c r="K133" i="2"/>
  <c r="M133" i="2" s="1"/>
  <c r="L133" i="2"/>
  <c r="N133" i="2" s="1"/>
  <c r="K134" i="2"/>
  <c r="M134" i="2" s="1"/>
  <c r="L134" i="2"/>
  <c r="N134" i="2" s="1"/>
  <c r="K135" i="2"/>
  <c r="M135" i="2" s="1"/>
  <c r="L135" i="2"/>
  <c r="N135" i="2" s="1"/>
  <c r="K136" i="2"/>
  <c r="M136" i="2" s="1"/>
  <c r="L136" i="2"/>
  <c r="N136" i="2" s="1"/>
  <c r="K137" i="2"/>
  <c r="M137" i="2" s="1"/>
  <c r="L137" i="2"/>
  <c r="N137" i="2" s="1"/>
  <c r="K138" i="2"/>
  <c r="M138" i="2" s="1"/>
  <c r="L138" i="2"/>
  <c r="N138" i="2" s="1"/>
  <c r="L139" i="2"/>
  <c r="N139" i="2" s="1"/>
  <c r="K139" i="2"/>
  <c r="M139" i="2" s="1"/>
  <c r="L140" i="2"/>
  <c r="N140" i="2" s="1"/>
  <c r="K140" i="2"/>
  <c r="M140" i="2" s="1"/>
  <c r="L141" i="2"/>
  <c r="N141" i="2" s="1"/>
  <c r="K141" i="2"/>
  <c r="M141" i="2" s="1"/>
  <c r="K142" i="2"/>
  <c r="M142" i="2" s="1"/>
  <c r="L142" i="2"/>
  <c r="N142" i="2" s="1"/>
  <c r="K143" i="2"/>
  <c r="M143" i="2" s="1"/>
  <c r="L143" i="2"/>
  <c r="N143" i="2" s="1"/>
  <c r="L144" i="2"/>
  <c r="N144" i="2" s="1"/>
  <c r="K144" i="2"/>
  <c r="M144" i="2" s="1"/>
  <c r="L145" i="2"/>
  <c r="N145" i="2" s="1"/>
  <c r="K145" i="2"/>
  <c r="M145" i="2" s="1"/>
  <c r="L146" i="2"/>
  <c r="N146" i="2" s="1"/>
  <c r="K146" i="2"/>
  <c r="M146" i="2" s="1"/>
  <c r="L147" i="2"/>
  <c r="N147" i="2" s="1"/>
  <c r="K147" i="2"/>
  <c r="M147" i="2" s="1"/>
  <c r="L148" i="2"/>
  <c r="N148" i="2" s="1"/>
  <c r="K148" i="2"/>
  <c r="M148" i="2" s="1"/>
  <c r="K149" i="2"/>
  <c r="M149" i="2" s="1"/>
  <c r="L149" i="2"/>
  <c r="N149" i="2" s="1"/>
  <c r="K150" i="2"/>
  <c r="M150" i="2" s="1"/>
  <c r="L150" i="2"/>
  <c r="N150" i="2" s="1"/>
  <c r="K151" i="2"/>
  <c r="M151" i="2" s="1"/>
  <c r="L151" i="2"/>
  <c r="N151" i="2" s="1"/>
  <c r="L152" i="2"/>
  <c r="N152" i="2" s="1"/>
  <c r="K152" i="2"/>
  <c r="M152" i="2" s="1"/>
  <c r="L153" i="2"/>
  <c r="N153" i="2" s="1"/>
  <c r="K153" i="2"/>
  <c r="M153" i="2" s="1"/>
  <c r="L154" i="2"/>
  <c r="N154" i="2" s="1"/>
  <c r="K154" i="2"/>
  <c r="M154" i="2" s="1"/>
  <c r="L155" i="2"/>
  <c r="N155" i="2" s="1"/>
  <c r="K155" i="2"/>
  <c r="M155" i="2" s="1"/>
  <c r="K156" i="2"/>
  <c r="M156" i="2" s="1"/>
  <c r="L156" i="2"/>
  <c r="N156" i="2" s="1"/>
  <c r="L157" i="2"/>
  <c r="N157" i="2" s="1"/>
  <c r="K157" i="2"/>
  <c r="M157" i="2" s="1"/>
  <c r="L158" i="2"/>
  <c r="N158" i="2" s="1"/>
  <c r="K158" i="2"/>
  <c r="M158" i="2" s="1"/>
  <c r="L159" i="2"/>
  <c r="N159" i="2" s="1"/>
  <c r="K159" i="2"/>
  <c r="M159" i="2" s="1"/>
  <c r="K160" i="2"/>
  <c r="M160" i="2" s="1"/>
  <c r="L160" i="2"/>
  <c r="N160" i="2" s="1"/>
  <c r="L161" i="2"/>
  <c r="N161" i="2" s="1"/>
  <c r="K161" i="2"/>
  <c r="M161" i="2" s="1"/>
  <c r="L162" i="2"/>
  <c r="N162" i="2" s="1"/>
  <c r="K162" i="2"/>
  <c r="M162" i="2" s="1"/>
  <c r="K163" i="2"/>
  <c r="M163" i="2" s="1"/>
  <c r="L163" i="2"/>
  <c r="N163" i="2" s="1"/>
  <c r="L164" i="2"/>
  <c r="N164" i="2" s="1"/>
  <c r="K164" i="2"/>
  <c r="M164" i="2" s="1"/>
  <c r="K165" i="2"/>
  <c r="M165" i="2" s="1"/>
  <c r="L165" i="2"/>
  <c r="N165" i="2" s="1"/>
  <c r="K166" i="2"/>
  <c r="M166" i="2" s="1"/>
  <c r="L166" i="2"/>
  <c r="N166" i="2" s="1"/>
  <c r="K167" i="2"/>
  <c r="M167" i="2" s="1"/>
  <c r="L167" i="2"/>
  <c r="N167" i="2" s="1"/>
  <c r="K168" i="2"/>
  <c r="M168" i="2" s="1"/>
  <c r="L168" i="2"/>
  <c r="N168" i="2" s="1"/>
  <c r="K169" i="2"/>
  <c r="M169" i="2" s="1"/>
  <c r="L169" i="2"/>
  <c r="N169" i="2" s="1"/>
  <c r="K170" i="2"/>
  <c r="M170" i="2" s="1"/>
  <c r="L170" i="2"/>
  <c r="N170" i="2" s="1"/>
  <c r="K171" i="2"/>
  <c r="M171" i="2" s="1"/>
  <c r="L171" i="2"/>
  <c r="N171" i="2" s="1"/>
  <c r="K172" i="2"/>
  <c r="M172" i="2" s="1"/>
  <c r="L172" i="2"/>
  <c r="N172" i="2" s="1"/>
  <c r="K173" i="2"/>
  <c r="M173" i="2" s="1"/>
  <c r="L173" i="2"/>
  <c r="N173" i="2" s="1"/>
  <c r="K174" i="2"/>
  <c r="M174" i="2" s="1"/>
  <c r="L174" i="2"/>
  <c r="N174" i="2" s="1"/>
  <c r="K175" i="2"/>
  <c r="M175" i="2" s="1"/>
  <c r="L175" i="2"/>
  <c r="N175" i="2" s="1"/>
  <c r="L176" i="2"/>
  <c r="N176" i="2" s="1"/>
  <c r="K176" i="2"/>
  <c r="M176" i="2" s="1"/>
  <c r="L177" i="2"/>
  <c r="N177" i="2" s="1"/>
  <c r="K177" i="2"/>
  <c r="M177" i="2" s="1"/>
  <c r="L178" i="2"/>
  <c r="N178" i="2" s="1"/>
  <c r="K178" i="2"/>
  <c r="M178" i="2" s="1"/>
  <c r="L179" i="2"/>
  <c r="N179" i="2" s="1"/>
  <c r="K179" i="2"/>
  <c r="M179" i="2" s="1"/>
  <c r="K180" i="2"/>
  <c r="M180" i="2" s="1"/>
  <c r="L180" i="2"/>
  <c r="N180" i="2" s="1"/>
  <c r="L181" i="2"/>
  <c r="N181" i="2" s="1"/>
  <c r="K181" i="2"/>
  <c r="M181" i="2" s="1"/>
  <c r="K182" i="2"/>
  <c r="M182" i="2" s="1"/>
  <c r="L182" i="2"/>
  <c r="N182" i="2" s="1"/>
  <c r="L183" i="2"/>
  <c r="N183" i="2" s="1"/>
  <c r="K183" i="2"/>
  <c r="M183" i="2" s="1"/>
  <c r="L184" i="2"/>
  <c r="N184" i="2" s="1"/>
  <c r="K184" i="2"/>
  <c r="M184" i="2" s="1"/>
  <c r="K185" i="2"/>
  <c r="M185" i="2" s="1"/>
  <c r="L185" i="2"/>
  <c r="N185" i="2" s="1"/>
  <c r="K186" i="2"/>
  <c r="M186" i="2" s="1"/>
  <c r="L186" i="2"/>
  <c r="N186" i="2" s="1"/>
  <c r="L187" i="2"/>
  <c r="N187" i="2" s="1"/>
  <c r="K187" i="2"/>
  <c r="M187" i="2" s="1"/>
  <c r="L188" i="2"/>
  <c r="N188" i="2" s="1"/>
  <c r="K188" i="2"/>
  <c r="M188" i="2" s="1"/>
  <c r="L189" i="2"/>
  <c r="N189" i="2" s="1"/>
  <c r="K189" i="2"/>
  <c r="M189" i="2" s="1"/>
  <c r="K190" i="2"/>
  <c r="M190" i="2" s="1"/>
  <c r="L190" i="2"/>
  <c r="N190" i="2" s="1"/>
  <c r="L191" i="2"/>
  <c r="N191" i="2" s="1"/>
  <c r="K191" i="2"/>
  <c r="M191" i="2" s="1"/>
  <c r="K192" i="2"/>
  <c r="M192" i="2" s="1"/>
  <c r="L192" i="2"/>
  <c r="N192" i="2" s="1"/>
  <c r="K193" i="2"/>
  <c r="M193" i="2" s="1"/>
  <c r="L193" i="2"/>
  <c r="N193" i="2" s="1"/>
  <c r="L194" i="2"/>
  <c r="N194" i="2" s="1"/>
  <c r="K194" i="2"/>
  <c r="M194" i="2" s="1"/>
  <c r="L195" i="2"/>
  <c r="N195" i="2" s="1"/>
  <c r="K195" i="2"/>
  <c r="M195" i="2" s="1"/>
  <c r="L196" i="2"/>
  <c r="N196" i="2" s="1"/>
  <c r="K196" i="2"/>
  <c r="M196" i="2" s="1"/>
  <c r="K197" i="2"/>
  <c r="M197" i="2" s="1"/>
  <c r="L197" i="2"/>
  <c r="N197" i="2" s="1"/>
  <c r="K198" i="2"/>
  <c r="M198" i="2" s="1"/>
  <c r="L198" i="2"/>
  <c r="N198" i="2" s="1"/>
  <c r="K199" i="2"/>
  <c r="M199" i="2" s="1"/>
  <c r="L199" i="2"/>
  <c r="N199" i="2" s="1"/>
  <c r="K200" i="2"/>
  <c r="M200" i="2" s="1"/>
  <c r="L200" i="2"/>
  <c r="N200" i="2" s="1"/>
  <c r="K201" i="2"/>
  <c r="M201" i="2" s="1"/>
  <c r="L201" i="2"/>
  <c r="N201" i="2" s="1"/>
  <c r="L202" i="2"/>
  <c r="N202" i="2" s="1"/>
  <c r="K202" i="2"/>
  <c r="M202" i="2" s="1"/>
  <c r="K203" i="2"/>
  <c r="M203" i="2" s="1"/>
  <c r="L203" i="2"/>
  <c r="N203" i="2" s="1"/>
  <c r="L204" i="2"/>
  <c r="N204" i="2" s="1"/>
  <c r="K204" i="2"/>
  <c r="M204" i="2" s="1"/>
  <c r="L205" i="2"/>
  <c r="N205" i="2" s="1"/>
  <c r="K205" i="2"/>
  <c r="M205" i="2" s="1"/>
  <c r="K206" i="2"/>
  <c r="M206" i="2" s="1"/>
  <c r="L206" i="2"/>
  <c r="N206" i="2" s="1"/>
  <c r="L207" i="2"/>
  <c r="N207" i="2" s="1"/>
  <c r="K207" i="2"/>
  <c r="M207" i="2" s="1"/>
  <c r="L208" i="2"/>
  <c r="N208" i="2" s="1"/>
  <c r="K208" i="2"/>
  <c r="M208" i="2" s="1"/>
  <c r="L209" i="2"/>
  <c r="N209" i="2" s="1"/>
  <c r="K209" i="2"/>
  <c r="M209" i="2" s="1"/>
  <c r="K210" i="2"/>
  <c r="M210" i="2" s="1"/>
  <c r="L210" i="2"/>
  <c r="N210" i="2" s="1"/>
  <c r="K211" i="2"/>
  <c r="M211" i="2" s="1"/>
  <c r="L211" i="2"/>
  <c r="N211" i="2" s="1"/>
  <c r="K212" i="2"/>
  <c r="M212" i="2" s="1"/>
  <c r="L212" i="2"/>
  <c r="N212" i="2" s="1"/>
  <c r="K213" i="2"/>
  <c r="M213" i="2" s="1"/>
  <c r="L213" i="2"/>
  <c r="N213" i="2" s="1"/>
  <c r="K214" i="2"/>
  <c r="M214" i="2" s="1"/>
  <c r="L214" i="2"/>
  <c r="N214" i="2" s="1"/>
  <c r="K215" i="2"/>
  <c r="M215" i="2" s="1"/>
  <c r="L215" i="2"/>
  <c r="N215" i="2" s="1"/>
  <c r="K216" i="2"/>
  <c r="M216" i="2" s="1"/>
  <c r="L216" i="2"/>
  <c r="N216" i="2" s="1"/>
  <c r="K217" i="2"/>
  <c r="M217" i="2" s="1"/>
  <c r="L217" i="2"/>
  <c r="N217" i="2" s="1"/>
  <c r="K218" i="2"/>
  <c r="M218" i="2" s="1"/>
  <c r="L218" i="2"/>
  <c r="N218" i="2" s="1"/>
  <c r="K219" i="2"/>
  <c r="M219" i="2" s="1"/>
  <c r="L219" i="2"/>
  <c r="N219" i="2" s="1"/>
  <c r="K220" i="2"/>
  <c r="M220" i="2" s="1"/>
  <c r="L220" i="2"/>
  <c r="N220" i="2" s="1"/>
  <c r="K221" i="2"/>
  <c r="M221" i="2" s="1"/>
  <c r="L221" i="2"/>
  <c r="N221" i="2" s="1"/>
  <c r="L222" i="2"/>
  <c r="N222" i="2" s="1"/>
  <c r="K222" i="2"/>
  <c r="M222" i="2" s="1"/>
  <c r="L223" i="2"/>
  <c r="N223" i="2" s="1"/>
  <c r="K223" i="2"/>
  <c r="M223" i="2" s="1"/>
  <c r="K224" i="2"/>
  <c r="M224" i="2" s="1"/>
  <c r="L224" i="2"/>
  <c r="N224" i="2" s="1"/>
  <c r="K225" i="2"/>
  <c r="M225" i="2" s="1"/>
  <c r="L225" i="2"/>
  <c r="N225" i="2" s="1"/>
  <c r="K226" i="2"/>
  <c r="M226" i="2" s="1"/>
  <c r="L226" i="2"/>
  <c r="N226" i="2" s="1"/>
  <c r="L227" i="2"/>
  <c r="N227" i="2" s="1"/>
  <c r="K227" i="2"/>
  <c r="M227" i="2" s="1"/>
  <c r="K228" i="2"/>
  <c r="M228" i="2" s="1"/>
  <c r="L228" i="2"/>
  <c r="N228" i="2" s="1"/>
  <c r="K229" i="2"/>
  <c r="M229" i="2" s="1"/>
  <c r="L229" i="2"/>
  <c r="N229" i="2" s="1"/>
  <c r="L230" i="2"/>
  <c r="N230" i="2" s="1"/>
  <c r="K230" i="2"/>
  <c r="M230" i="2" s="1"/>
  <c r="L231" i="2"/>
  <c r="N231" i="2" s="1"/>
  <c r="K231" i="2"/>
  <c r="M231" i="2" s="1"/>
  <c r="W2" i="2"/>
  <c r="Q2" i="2" l="1"/>
  <c r="AA2" i="2" l="1"/>
  <c r="AB2" i="2" s="1"/>
  <c r="P3" i="2" a="1"/>
  <c r="O3" i="2" a="1"/>
  <c r="W3" i="2" l="1"/>
  <c r="Q3" i="2"/>
  <c r="AU9" i="3"/>
  <c r="AT9" i="3"/>
  <c r="AS9" i="3"/>
  <c r="AR9" i="3"/>
  <c r="AQ9" i="3"/>
  <c r="AP9" i="3"/>
  <c r="AO9" i="3"/>
  <c r="AN9" i="3"/>
  <c r="AU8" i="3"/>
  <c r="AT8" i="3"/>
  <c r="AS8" i="3"/>
  <c r="AR8" i="3"/>
  <c r="AQ8" i="3"/>
  <c r="AP8" i="3"/>
  <c r="AO8" i="3"/>
  <c r="AN8" i="3"/>
  <c r="AU7" i="3"/>
  <c r="AT7" i="3"/>
  <c r="AS7" i="3"/>
  <c r="AR7" i="3"/>
  <c r="AQ7" i="3"/>
  <c r="AP7" i="3"/>
  <c r="AO7" i="3"/>
  <c r="AN7" i="3"/>
  <c r="AU6" i="3"/>
  <c r="AT6" i="3"/>
  <c r="AS6" i="3"/>
  <c r="AR6" i="3"/>
  <c r="AQ6" i="3"/>
  <c r="AP6" i="3"/>
  <c r="AO6" i="3"/>
  <c r="AN6" i="3"/>
  <c r="AU5" i="3"/>
  <c r="AT5" i="3"/>
  <c r="AS5" i="3"/>
  <c r="AR5" i="3"/>
  <c r="AQ5" i="3"/>
  <c r="AP5" i="3"/>
  <c r="AO5" i="3"/>
  <c r="AN5" i="3"/>
  <c r="AU4" i="3"/>
  <c r="AT4" i="3"/>
  <c r="AS4" i="3"/>
  <c r="AR4" i="3"/>
  <c r="AQ4" i="3"/>
  <c r="AP4" i="3"/>
  <c r="AO4" i="3"/>
  <c r="AN4" i="3"/>
  <c r="AU3" i="3"/>
  <c r="AT3" i="3"/>
  <c r="AS3" i="3"/>
  <c r="AR3" i="3"/>
  <c r="AQ3" i="3"/>
  <c r="AP3" i="3"/>
  <c r="AO3" i="3"/>
  <c r="AN3" i="3"/>
  <c r="AU2" i="3"/>
  <c r="AT2" i="3"/>
  <c r="AS2" i="3"/>
  <c r="AR2" i="3"/>
  <c r="AQ2" i="3"/>
  <c r="AP2" i="3"/>
  <c r="AO2" i="3"/>
  <c r="AN2" i="3"/>
  <c r="AA3" i="2" l="1"/>
  <c r="AB3" i="2" s="1"/>
  <c r="P4" i="2" l="1" a="1"/>
  <c r="O5" i="2" a="1"/>
  <c r="P5" i="2" a="1"/>
  <c r="O4" i="2" a="1"/>
  <c r="Q5" i="2" l="1"/>
  <c r="W4" i="2"/>
  <c r="Q4" i="2"/>
  <c r="W5" i="2"/>
  <c r="AA5" i="2" l="1"/>
  <c r="AB5" i="2" s="1"/>
  <c r="P7" i="2" a="1"/>
  <c r="O6" i="2" a="1"/>
  <c r="P6" i="2" a="1"/>
  <c r="O7" i="2" a="1"/>
  <c r="AA4" i="2"/>
  <c r="AB4" i="2" s="1"/>
  <c r="W6" i="2" l="1"/>
  <c r="W7" i="2"/>
  <c r="Q7" i="2"/>
  <c r="Q6" i="2"/>
  <c r="AA7" i="2" l="1"/>
  <c r="AB7" i="2" s="1"/>
  <c r="AA6" i="2"/>
  <c r="AB6" i="2" s="1"/>
  <c r="P8" i="2" l="1" a="1"/>
  <c r="O8" i="2" a="1"/>
  <c r="O9" i="2" a="1"/>
  <c r="P9" i="2" a="1"/>
  <c r="W8" i="2" l="1"/>
  <c r="W9" i="2"/>
  <c r="Q8" i="2"/>
  <c r="Q9" i="2"/>
  <c r="AA8" i="2" l="1"/>
  <c r="AB8" i="2" s="1"/>
  <c r="AA9" i="2"/>
  <c r="AB9" i="2" s="1"/>
  <c r="P12" i="2" a="1"/>
  <c r="O10" i="2" a="1"/>
  <c r="P11" i="2" a="1"/>
  <c r="P13" i="2" a="1"/>
  <c r="O13" i="2" a="1"/>
  <c r="P10" i="2" a="1"/>
  <c r="O12" i="2" a="1"/>
  <c r="O11" i="2" a="1"/>
  <c r="Q13" i="2" l="1"/>
  <c r="Q12" i="2"/>
  <c r="W10" i="2"/>
  <c r="W11" i="2"/>
  <c r="Q11" i="2"/>
  <c r="W13" i="2"/>
  <c r="Q10" i="2"/>
  <c r="W12" i="2"/>
  <c r="AA13" i="2" l="1"/>
  <c r="AB13" i="2" s="1"/>
  <c r="AA10" i="2"/>
  <c r="AB10" i="2" s="1"/>
  <c r="AA12" i="2"/>
  <c r="AB12" i="2" s="1"/>
  <c r="AA11" i="2"/>
  <c r="AB11" i="2" s="1"/>
  <c r="O14" i="2" a="1"/>
  <c r="P15" i="2" a="1"/>
  <c r="P14" i="2" a="1"/>
  <c r="O15" i="2" a="1"/>
  <c r="Q14" i="2" l="1"/>
  <c r="W15" i="2"/>
  <c r="W14" i="2"/>
  <c r="Q15" i="2"/>
  <c r="AA14" i="2" l="1"/>
  <c r="AB14" i="2" s="1"/>
  <c r="AA15" i="2"/>
  <c r="AB15" i="2" s="1"/>
  <c r="AY9" i="3"/>
  <c r="AY8" i="3"/>
  <c r="AY7" i="3"/>
  <c r="AY6" i="3"/>
  <c r="AY5" i="3"/>
  <c r="AY4" i="3"/>
  <c r="AY3" i="3"/>
  <c r="AY2" i="3"/>
  <c r="P17" i="2" l="1" a="1"/>
  <c r="O16" i="2" a="1"/>
  <c r="O17" i="2" a="1"/>
  <c r="P16" i="2" a="1"/>
  <c r="Q16" i="2" s="1"/>
  <c r="AM8" i="3"/>
  <c r="AL8" i="3"/>
  <c r="AM9" i="3"/>
  <c r="AL9" i="3"/>
  <c r="AM7" i="3"/>
  <c r="AL7" i="3"/>
  <c r="AM6" i="3"/>
  <c r="AL6" i="3"/>
  <c r="AM5" i="3"/>
  <c r="AL5" i="3"/>
  <c r="AM2" i="3"/>
  <c r="AL2" i="3"/>
  <c r="AM4" i="3"/>
  <c r="AL4" i="3"/>
  <c r="AM3" i="3"/>
  <c r="AL3" i="3"/>
  <c r="W17" i="2" l="1"/>
  <c r="Q17" i="2"/>
  <c r="AA17" i="2" s="1"/>
  <c r="AB17" i="2" s="1"/>
  <c r="W16" i="2"/>
  <c r="AA16" i="2" s="1"/>
  <c r="AB16" i="2" s="1"/>
  <c r="AV7" i="3"/>
  <c r="AV8" i="3"/>
  <c r="AV5" i="3"/>
  <c r="AW7" i="3"/>
  <c r="AW5" i="3"/>
  <c r="AW9" i="3"/>
  <c r="AW8" i="3"/>
  <c r="AV9" i="3"/>
  <c r="P21" i="2" l="1" a="1"/>
  <c r="O21" i="2" a="1"/>
  <c r="W21" i="2" s="1"/>
  <c r="P18" i="2" a="1"/>
  <c r="P20" i="2" a="1"/>
  <c r="Q20" i="2" s="1"/>
  <c r="O19" i="2" a="1"/>
  <c r="O18" i="2" a="1"/>
  <c r="W18" i="2" s="1"/>
  <c r="O20" i="2" a="1"/>
  <c r="P19" i="2" a="1"/>
  <c r="AZ9" i="3"/>
  <c r="AZ7" i="3"/>
  <c r="AZ8" i="3"/>
  <c r="AZ5" i="3"/>
  <c r="Q19" i="2" l="1"/>
  <c r="Q21" i="2"/>
  <c r="AA21" i="2" s="1"/>
  <c r="AB21" i="2" s="1"/>
  <c r="Q18" i="2"/>
  <c r="AA18" i="2" s="1"/>
  <c r="AB18" i="2" s="1"/>
  <c r="W19" i="2"/>
  <c r="AA19" i="2" s="1"/>
  <c r="AB19" i="2" s="1"/>
  <c r="W20" i="2"/>
  <c r="AA20" i="2" s="1"/>
  <c r="AB20" i="2" s="1"/>
  <c r="O23" i="2" l="1" a="1"/>
  <c r="P22" i="2" a="1"/>
  <c r="O22" i="2" a="1"/>
  <c r="P23" i="2" a="1"/>
  <c r="C35" i="3"/>
  <c r="B35" i="3"/>
  <c r="C34" i="3"/>
  <c r="B34" i="3"/>
  <c r="C36" i="3"/>
  <c r="B36" i="3"/>
  <c r="C31" i="3"/>
  <c r="B31" i="3"/>
  <c r="C33" i="3"/>
  <c r="B33" i="3"/>
  <c r="C26" i="3"/>
  <c r="B26" i="3"/>
  <c r="C25" i="3"/>
  <c r="B25" i="3"/>
  <c r="C29" i="3"/>
  <c r="B29" i="3"/>
  <c r="Q23" i="2" l="1"/>
  <c r="Q22" i="2"/>
  <c r="W22" i="2"/>
  <c r="AA22" i="2" s="1"/>
  <c r="AB22" i="2" s="1"/>
  <c r="W23" i="2"/>
  <c r="P30" i="2" a="1"/>
  <c r="P31" i="2" a="1"/>
  <c r="O31" i="2" a="1"/>
  <c r="O30" i="2" a="1"/>
  <c r="AA23" i="2" l="1"/>
  <c r="AB23" i="2" s="1"/>
  <c r="O24" i="2" a="1"/>
  <c r="P27" i="2" a="1"/>
  <c r="O26" i="2" a="1"/>
  <c r="P26" i="2" a="1"/>
  <c r="Q26" i="2" s="1"/>
  <c r="O27" i="2" a="1"/>
  <c r="W27" i="2" s="1"/>
  <c r="P25" i="2" a="1"/>
  <c r="P24" i="2" a="1"/>
  <c r="Q24" i="2" s="1"/>
  <c r="O25" i="2" a="1"/>
  <c r="O28" i="2" a="1"/>
  <c r="P28" i="2" a="1"/>
  <c r="P29" i="2" a="1"/>
  <c r="O29" i="2" a="1"/>
  <c r="W30" i="2"/>
  <c r="Q31" i="2"/>
  <c r="W31" i="2"/>
  <c r="Q30" i="2"/>
  <c r="E35" i="3"/>
  <c r="D35" i="3"/>
  <c r="E34" i="3"/>
  <c r="D34" i="3"/>
  <c r="E36" i="3"/>
  <c r="D36" i="3"/>
  <c r="E31" i="3"/>
  <c r="D31" i="3"/>
  <c r="E33" i="3"/>
  <c r="D33" i="3"/>
  <c r="E26" i="3"/>
  <c r="D26" i="3"/>
  <c r="E25" i="3"/>
  <c r="E29" i="3"/>
  <c r="D25" i="3"/>
  <c r="W28" i="2" l="1"/>
  <c r="W25" i="2"/>
  <c r="W29" i="2"/>
  <c r="W26" i="2"/>
  <c r="AA26" i="2" s="1"/>
  <c r="AB26" i="2" s="1"/>
  <c r="Q25" i="2"/>
  <c r="Q28" i="2"/>
  <c r="Q29" i="2"/>
  <c r="W24" i="2"/>
  <c r="AA24" i="2" s="1"/>
  <c r="AB24" i="2" s="1"/>
  <c r="Q27" i="2"/>
  <c r="AA27" i="2" s="1"/>
  <c r="AB27" i="2" s="1"/>
  <c r="AA30" i="2"/>
  <c r="AB30" i="2" s="1"/>
  <c r="AA31" i="2"/>
  <c r="AB31" i="2" s="1"/>
  <c r="P33" i="2" a="1"/>
  <c r="P32" i="2" a="1"/>
  <c r="O32" i="2" a="1"/>
  <c r="O33" i="2" a="1"/>
  <c r="F31" i="3"/>
  <c r="F35" i="3"/>
  <c r="F26" i="3"/>
  <c r="F25" i="3"/>
  <c r="F34" i="3"/>
  <c r="F36" i="3"/>
  <c r="F29" i="3"/>
  <c r="F33" i="3"/>
  <c r="AA28" i="2" l="1"/>
  <c r="AB28" i="2" s="1"/>
  <c r="AA29" i="2"/>
  <c r="AB29" i="2" s="1"/>
  <c r="AA25" i="2"/>
  <c r="AB25" i="2" s="1"/>
  <c r="W33" i="2"/>
  <c r="W32" i="2"/>
  <c r="Q33" i="2"/>
  <c r="Q32" i="2"/>
  <c r="AA33" i="2" l="1"/>
  <c r="AB33" i="2" s="1"/>
  <c r="AA32" i="2"/>
  <c r="AB32" i="2" s="1"/>
  <c r="O35" i="2" l="1" a="1"/>
  <c r="O34" i="2" a="1"/>
  <c r="P34" i="2" a="1"/>
  <c r="P35" i="2" a="1"/>
  <c r="P36" i="2" a="1"/>
  <c r="O37" i="2" a="1"/>
  <c r="P37" i="2" a="1"/>
  <c r="O36" i="2" a="1"/>
  <c r="Q34" i="2" l="1"/>
  <c r="Q37" i="2"/>
  <c r="Q36" i="2"/>
  <c r="Q35" i="2"/>
  <c r="W36" i="2"/>
  <c r="W35" i="2"/>
  <c r="W34" i="2"/>
  <c r="W37" i="2"/>
  <c r="AA34" i="2" l="1"/>
  <c r="AB34" i="2" s="1"/>
  <c r="AA36" i="2"/>
  <c r="AB36" i="2" s="1"/>
  <c r="AA37" i="2"/>
  <c r="AB37" i="2" s="1"/>
  <c r="AA35" i="2"/>
  <c r="AB35" i="2" s="1"/>
  <c r="O41" i="2" a="1"/>
  <c r="P40" i="2" a="1"/>
  <c r="O40" i="2" a="1"/>
  <c r="P41" i="2" a="1"/>
  <c r="AW3" i="3"/>
  <c r="AV3" i="3"/>
  <c r="P38" i="2" l="1" a="1"/>
  <c r="P39" i="2" a="1"/>
  <c r="O38" i="2" a="1"/>
  <c r="O39" i="2" a="1"/>
  <c r="Q40" i="2"/>
  <c r="W41" i="2"/>
  <c r="Q41" i="2"/>
  <c r="W40" i="2"/>
  <c r="AZ3" i="3"/>
  <c r="AV2" i="3"/>
  <c r="AW2" i="3"/>
  <c r="AV4" i="3"/>
  <c r="AW4" i="3"/>
  <c r="W38" i="2" l="1"/>
  <c r="W39" i="2"/>
  <c r="Q39" i="2"/>
  <c r="Q38" i="2"/>
  <c r="AA41" i="2"/>
  <c r="AB41" i="2" s="1"/>
  <c r="AA40" i="2"/>
  <c r="AB40" i="2" s="1"/>
  <c r="P43" i="2" a="1"/>
  <c r="O43" i="2" a="1"/>
  <c r="P42" i="2" a="1"/>
  <c r="O42" i="2" a="1"/>
  <c r="AZ4" i="3"/>
  <c r="AZ2" i="3"/>
  <c r="AW6" i="3"/>
  <c r="AV6" i="3"/>
  <c r="AA39" i="2" l="1"/>
  <c r="AB39" i="2" s="1"/>
  <c r="AA38" i="2"/>
  <c r="AB38" i="2" s="1"/>
  <c r="W43" i="2"/>
  <c r="W42" i="2"/>
  <c r="Q42" i="2"/>
  <c r="Q43" i="2"/>
  <c r="AZ6" i="3"/>
  <c r="AA43" i="2" l="1"/>
  <c r="AB43" i="2" s="1"/>
  <c r="AA42" i="2"/>
  <c r="AB42" i="2" s="1"/>
  <c r="P44" i="2" l="1" a="1"/>
  <c r="O44" i="2" a="1"/>
  <c r="P45" i="2" a="1"/>
  <c r="O45" i="2" a="1"/>
  <c r="O47" i="2" a="1"/>
  <c r="O46" i="2" a="1"/>
  <c r="P47" i="2" a="1"/>
  <c r="P46" i="2" a="1"/>
  <c r="W44" i="2" l="1"/>
  <c r="W45" i="2"/>
  <c r="Q45" i="2"/>
  <c r="AA45" i="2" s="1"/>
  <c r="AB45" i="2" s="1"/>
  <c r="Q44" i="2"/>
  <c r="W47" i="2"/>
  <c r="W46" i="2"/>
  <c r="Q47" i="2"/>
  <c r="Q46" i="2"/>
  <c r="AA44" i="2" l="1"/>
  <c r="AB44" i="2" s="1"/>
  <c r="AA47" i="2"/>
  <c r="AB47" i="2" s="1"/>
  <c r="AA46" i="2"/>
  <c r="AB46" i="2" s="1"/>
  <c r="P48" i="2" l="1" a="1"/>
  <c r="Q48" i="2" s="1"/>
  <c r="O48" i="2" a="1"/>
  <c r="O49" i="2" a="1"/>
  <c r="P49" i="2" a="1"/>
  <c r="W49" i="2" l="1"/>
  <c r="W48" i="2"/>
  <c r="AA48" i="2" s="1"/>
  <c r="AB48" i="2" s="1"/>
  <c r="Q49" i="2"/>
  <c r="AA49" i="2" l="1"/>
  <c r="AB49" i="2" s="1"/>
  <c r="O52" i="2" a="1"/>
  <c r="O53" i="2" a="1"/>
  <c r="P52" i="2" a="1"/>
  <c r="Q52" i="2" s="1"/>
  <c r="P53" i="2" a="1"/>
  <c r="P51" i="2" a="1"/>
  <c r="O50" i="2" a="1"/>
  <c r="P50" i="2" a="1"/>
  <c r="O51" i="2" a="1"/>
  <c r="O55" i="2" a="1"/>
  <c r="O54" i="2" a="1"/>
  <c r="P55" i="2" a="1"/>
  <c r="P54" i="2" a="1"/>
  <c r="W52" i="2" l="1"/>
  <c r="AA52" i="2"/>
  <c r="AB52" i="2" s="1"/>
  <c r="Q55" i="2"/>
  <c r="W53" i="2"/>
  <c r="W50" i="2"/>
  <c r="W51" i="2"/>
  <c r="Q54" i="2"/>
  <c r="Q53" i="2"/>
  <c r="Q51" i="2"/>
  <c r="Q50" i="2"/>
  <c r="W55" i="2"/>
  <c r="AA55" i="2" s="1"/>
  <c r="AB55" i="2" s="1"/>
  <c r="W54" i="2"/>
  <c r="AA53" i="2" l="1"/>
  <c r="AB53" i="2" s="1"/>
  <c r="AA51" i="2"/>
  <c r="AB51" i="2" s="1"/>
  <c r="AA50" i="2"/>
  <c r="AB50" i="2" s="1"/>
  <c r="AA54" i="2"/>
  <c r="AB54" i="2" s="1"/>
  <c r="P57" i="2" s="1" a="1"/>
  <c r="O59" i="2" a="1"/>
  <c r="O58" i="2" a="1"/>
  <c r="P56" i="2" a="1"/>
  <c r="P58" i="2" a="1"/>
  <c r="Q58" i="2" s="1"/>
  <c r="P59" i="2" a="1"/>
  <c r="O57" i="2" a="1"/>
  <c r="O56" i="2" a="1"/>
  <c r="W56" i="2" s="1"/>
  <c r="W59" i="2" l="1"/>
  <c r="Q59" i="2"/>
  <c r="AA59" i="2" s="1"/>
  <c r="AB59" i="2" s="1"/>
  <c r="Q57" i="2"/>
  <c r="W57" i="2"/>
  <c r="AA57" i="2" s="1"/>
  <c r="AB57" i="2" s="1"/>
  <c r="W58" i="2"/>
  <c r="AA58" i="2" s="1"/>
  <c r="AB58" i="2" s="1"/>
  <c r="Q56" i="2"/>
  <c r="AA56" i="2" s="1"/>
  <c r="AB56" i="2" s="1"/>
  <c r="P60" i="2" a="1"/>
  <c r="O60" i="2" a="1"/>
  <c r="P61" i="2" a="1"/>
  <c r="O61" i="2" a="1"/>
  <c r="Q61" i="2" l="1"/>
  <c r="W60" i="2"/>
  <c r="Q60" i="2"/>
  <c r="W61" i="2"/>
  <c r="AA60" i="2" l="1"/>
  <c r="AB60" i="2" s="1"/>
  <c r="AA61" i="2"/>
  <c r="AB61" i="2" s="1"/>
  <c r="O63" i="2" l="1" a="1"/>
  <c r="O62" i="2" a="1"/>
  <c r="P62" i="2" a="1"/>
  <c r="P63" i="2" a="1"/>
  <c r="Q63" i="2" l="1"/>
  <c r="W62" i="2"/>
  <c r="W63" i="2"/>
  <c r="Q62" i="2"/>
  <c r="O66" i="2" a="1"/>
  <c r="P67" i="2" a="1"/>
  <c r="P66" i="2" a="1"/>
  <c r="O67" i="2" a="1"/>
  <c r="P68" i="2" a="1"/>
  <c r="O68" i="2" a="1"/>
  <c r="P65" i="2" a="1"/>
  <c r="P69" i="2" a="1"/>
  <c r="O64" i="2" a="1"/>
  <c r="O69" i="2" a="1"/>
  <c r="AA62" i="2" l="1"/>
  <c r="AB62" i="2" s="1"/>
  <c r="Q66" i="2"/>
  <c r="O65" i="2" a="1"/>
  <c r="P64" i="2" a="1"/>
  <c r="W68" i="2"/>
  <c r="AA63" i="2"/>
  <c r="AB63" i="2" s="1"/>
  <c r="W67" i="2"/>
  <c r="O71" i="2" a="1"/>
  <c r="P70" i="2" a="1"/>
  <c r="P71" i="2" a="1"/>
  <c r="O70" i="2" a="1"/>
  <c r="Q69" i="2"/>
  <c r="W66" i="2"/>
  <c r="W69" i="2"/>
  <c r="Q67" i="2"/>
  <c r="Q68" i="2"/>
  <c r="AA66" i="2" l="1"/>
  <c r="AB66" i="2" s="1"/>
  <c r="Q71" i="2"/>
  <c r="Q65" i="2"/>
  <c r="W65" i="2"/>
  <c r="Q64" i="2"/>
  <c r="W64" i="2"/>
  <c r="AA68" i="2"/>
  <c r="AB68" i="2" s="1"/>
  <c r="AA69" i="2"/>
  <c r="AB69" i="2" s="1"/>
  <c r="AA67" i="2"/>
  <c r="AB67" i="2" s="1"/>
  <c r="W70" i="2"/>
  <c r="W71" i="2"/>
  <c r="Q70" i="2"/>
  <c r="P72" i="2" a="1"/>
  <c r="O73" i="2" a="1"/>
  <c r="AA65" i="2" l="1"/>
  <c r="AB65" i="2" s="1"/>
  <c r="AA64" i="2"/>
  <c r="AB64" i="2" s="1"/>
  <c r="AA71" i="2"/>
  <c r="AB71" i="2" s="1"/>
  <c r="P73" i="2" a="1"/>
  <c r="O72" i="2" a="1"/>
  <c r="AA70" i="2"/>
  <c r="AB70" i="2" s="1"/>
  <c r="Q73" i="2" l="1"/>
  <c r="W73" i="2"/>
  <c r="AA73" i="2" s="1"/>
  <c r="AB73" i="2" s="1"/>
  <c r="Q72" i="2"/>
  <c r="W72" i="2"/>
  <c r="AA72" i="2" s="1"/>
  <c r="AB72" i="2" s="1"/>
  <c r="P78" i="2" a="1"/>
  <c r="O79" i="2" a="1"/>
  <c r="O81" i="2" a="1"/>
  <c r="P81" i="2" a="1"/>
  <c r="P79" i="2" a="1"/>
  <c r="P80" i="2" a="1"/>
  <c r="O80" i="2" a="1"/>
  <c r="O78" i="2" a="1"/>
  <c r="O75" i="2" l="1" a="1"/>
  <c r="P74" i="2" a="1"/>
  <c r="P75" i="2" a="1"/>
  <c r="O74" i="2" a="1"/>
  <c r="P76" i="2" a="1"/>
  <c r="P77" i="2" a="1"/>
  <c r="O76" i="2" a="1"/>
  <c r="W76" i="2" s="1"/>
  <c r="O77" i="2" a="1"/>
  <c r="W79" i="2"/>
  <c r="Q80" i="2"/>
  <c r="Q78" i="2"/>
  <c r="W81" i="2"/>
  <c r="Q81" i="2"/>
  <c r="Q79" i="2"/>
  <c r="W80" i="2"/>
  <c r="W78" i="2"/>
  <c r="Q75" i="2" l="1"/>
  <c r="Q74" i="2"/>
  <c r="W77" i="2"/>
  <c r="W74" i="2"/>
  <c r="AA74" i="2" s="1"/>
  <c r="AB74" i="2" s="1"/>
  <c r="W75" i="2"/>
  <c r="AA75" i="2" s="1"/>
  <c r="AB75" i="2" s="1"/>
  <c r="Q76" i="2"/>
  <c r="AA76" i="2" s="1"/>
  <c r="AB76" i="2" s="1"/>
  <c r="Q77" i="2"/>
  <c r="AA80" i="2"/>
  <c r="AB80" i="2" s="1"/>
  <c r="AA79" i="2"/>
  <c r="AB79" i="2" s="1"/>
  <c r="AA78" i="2"/>
  <c r="AB78" i="2" s="1"/>
  <c r="AA81" i="2"/>
  <c r="AB81" i="2" s="1"/>
  <c r="AA77" i="2" l="1"/>
  <c r="AB77" i="2" s="1"/>
  <c r="O83" i="2" a="1"/>
  <c r="P82" i="2" a="1"/>
  <c r="O82" i="2" a="1"/>
  <c r="P83" i="2" a="1"/>
  <c r="W83" i="2" l="1"/>
  <c r="Q82" i="2"/>
  <c r="W82" i="2"/>
  <c r="Q83" i="2"/>
  <c r="AA83" i="2" l="1"/>
  <c r="AB83" i="2" s="1"/>
  <c r="AA82" i="2"/>
  <c r="AB82" i="2" s="1"/>
  <c r="P89" i="2" a="1"/>
  <c r="P88" i="2" a="1"/>
  <c r="O88" i="2" a="1"/>
  <c r="O89" i="2" a="1"/>
  <c r="O84" i="2" l="1" a="1"/>
  <c r="W84" i="2" s="1"/>
  <c r="P84" i="2" a="1"/>
  <c r="P85" i="2" a="1"/>
  <c r="O85" i="2" a="1"/>
  <c r="O87" i="2" a="1"/>
  <c r="W87" i="2" s="1"/>
  <c r="P87" i="2" a="1"/>
  <c r="P86" i="2" a="1"/>
  <c r="O86" i="2" a="1"/>
  <c r="W89" i="2"/>
  <c r="W88" i="2"/>
  <c r="Q89" i="2"/>
  <c r="Q88" i="2"/>
  <c r="W86" i="2" l="1"/>
  <c r="Q84" i="2"/>
  <c r="AA84" i="2" s="1"/>
  <c r="AB84" i="2" s="1"/>
  <c r="Q85" i="2"/>
  <c r="W85" i="2"/>
  <c r="Q87" i="2"/>
  <c r="AA87" i="2" s="1"/>
  <c r="AB87" i="2" s="1"/>
  <c r="Q86" i="2"/>
  <c r="AA89" i="2"/>
  <c r="AB89" i="2" s="1"/>
  <c r="AA88" i="2"/>
  <c r="AB88" i="2" s="1"/>
  <c r="AA86" i="2" l="1"/>
  <c r="AB86" i="2" s="1"/>
  <c r="AA85" i="2"/>
  <c r="AB85" i="2" s="1"/>
  <c r="O91" i="2" a="1"/>
  <c r="P90" i="2" a="1"/>
  <c r="O90" i="2" a="1"/>
  <c r="P91" i="2" a="1"/>
  <c r="W91" i="2" l="1"/>
  <c r="Q90" i="2"/>
  <c r="W90" i="2"/>
  <c r="Q91" i="2"/>
  <c r="AA91" i="2" l="1"/>
  <c r="AB91" i="2" s="1"/>
  <c r="AA90" i="2"/>
  <c r="AB90" i="2" s="1"/>
  <c r="P92" i="2" l="1" a="1"/>
  <c r="O92" i="2" a="1"/>
  <c r="W92" i="2" s="1"/>
  <c r="O93" i="2" a="1"/>
  <c r="P93" i="2" a="1"/>
  <c r="P95" i="2" a="1"/>
  <c r="O94" i="2" a="1"/>
  <c r="O95" i="2" a="1"/>
  <c r="P94" i="2" a="1"/>
  <c r="O97" i="2" a="1"/>
  <c r="P96" i="2" a="1"/>
  <c r="O96" i="2" a="1"/>
  <c r="P97" i="2" a="1"/>
  <c r="P99" i="2" a="1"/>
  <c r="O98" i="2" a="1"/>
  <c r="P98" i="2" a="1"/>
  <c r="O99" i="2" a="1"/>
  <c r="O100" i="2" a="1"/>
  <c r="O101" i="2" a="1"/>
  <c r="P100" i="2" a="1"/>
  <c r="P101" i="2" a="1"/>
  <c r="Q95" i="2" l="1"/>
  <c r="W93" i="2"/>
  <c r="Q94" i="2"/>
  <c r="Q92" i="2"/>
  <c r="AA92" i="2" s="1"/>
  <c r="AB92" i="2" s="1"/>
  <c r="Q93" i="2"/>
  <c r="W94" i="2"/>
  <c r="W95" i="2"/>
  <c r="W96" i="2"/>
  <c r="Q96" i="2"/>
  <c r="W97" i="2"/>
  <c r="Q97" i="2"/>
  <c r="Q100" i="2"/>
  <c r="Q101" i="2"/>
  <c r="Q98" i="2"/>
  <c r="Q99" i="2"/>
  <c r="W100" i="2"/>
  <c r="W99" i="2"/>
  <c r="W101" i="2"/>
  <c r="W98" i="2"/>
  <c r="O105" i="2" a="1"/>
  <c r="P105" i="2" a="1"/>
  <c r="O104" i="2" a="1"/>
  <c r="P104" i="2" a="1"/>
  <c r="AA95" i="2" l="1"/>
  <c r="AB95" i="2" s="1"/>
  <c r="AA93" i="2"/>
  <c r="AB93" i="2" s="1"/>
  <c r="AA94" i="2"/>
  <c r="AB94" i="2" s="1"/>
  <c r="AA97" i="2"/>
  <c r="AB97" i="2" s="1"/>
  <c r="AA96" i="2"/>
  <c r="AB96" i="2" s="1"/>
  <c r="AA100" i="2"/>
  <c r="AB100" i="2" s="1"/>
  <c r="AA99" i="2"/>
  <c r="AB99" i="2" s="1"/>
  <c r="AA101" i="2"/>
  <c r="AB101" i="2" s="1"/>
  <c r="AA98" i="2"/>
  <c r="AB98" i="2" s="1"/>
  <c r="P103" i="2" a="1"/>
  <c r="P102" i="2" a="1"/>
  <c r="O102" i="2" a="1"/>
  <c r="O103" i="2" a="1"/>
  <c r="W105" i="2"/>
  <c r="W104" i="2"/>
  <c r="Q105" i="2"/>
  <c r="Q104" i="2"/>
  <c r="Q102" i="2" l="1"/>
  <c r="W103" i="2"/>
  <c r="W102" i="2"/>
  <c r="Q103" i="2"/>
  <c r="AA105" i="2"/>
  <c r="AB105" i="2" s="1"/>
  <c r="AA104" i="2"/>
  <c r="AB104" i="2" s="1"/>
  <c r="O106" i="2" l="1" a="1"/>
  <c r="O107" i="2" a="1"/>
  <c r="P107" i="2" a="1"/>
  <c r="P106" i="2" a="1"/>
  <c r="AA102" i="2"/>
  <c r="AB102" i="2" s="1"/>
  <c r="AA103" i="2"/>
  <c r="AB103" i="2" s="1"/>
  <c r="Q106" i="2" l="1"/>
  <c r="W107" i="2"/>
  <c r="W106" i="2"/>
  <c r="Q107" i="2"/>
  <c r="AA106" i="2" l="1"/>
  <c r="AB106" i="2" s="1"/>
  <c r="AA107" i="2"/>
  <c r="AB107" i="2" s="1"/>
  <c r="O108" i="2" a="1"/>
  <c r="O109" i="2" a="1"/>
  <c r="P109" i="2" a="1"/>
  <c r="P108" i="2" a="1"/>
  <c r="W108" i="2" l="1"/>
  <c r="Q109" i="2"/>
  <c r="W109" i="2"/>
  <c r="Q108" i="2"/>
  <c r="AA108" i="2" l="1"/>
  <c r="AB108" i="2" s="1"/>
  <c r="AA109" i="2"/>
  <c r="AB109" i="2" s="1"/>
  <c r="P114" i="2" a="1"/>
  <c r="O114" i="2" a="1"/>
  <c r="P115" i="2" a="1"/>
  <c r="O115" i="2" a="1"/>
  <c r="O111" i="2" l="1" a="1"/>
  <c r="P110" i="2" a="1"/>
  <c r="P111" i="2" a="1"/>
  <c r="O110" i="2" a="1"/>
  <c r="O112" i="2" a="1"/>
  <c r="P113" i="2" a="1"/>
  <c r="O113" i="2" a="1"/>
  <c r="P112" i="2" a="1"/>
  <c r="Q114" i="2"/>
  <c r="Q115" i="2"/>
  <c r="W114" i="2"/>
  <c r="W115" i="2"/>
  <c r="Q113" i="2" l="1"/>
  <c r="Q112" i="2"/>
  <c r="Q110" i="2"/>
  <c r="Q111" i="2"/>
  <c r="W111" i="2"/>
  <c r="W110" i="2"/>
  <c r="W112" i="2"/>
  <c r="W113" i="2"/>
  <c r="AA114" i="2"/>
  <c r="AB114" i="2" s="1"/>
  <c r="AA115" i="2"/>
  <c r="AB115" i="2" s="1"/>
  <c r="AA111" i="2" l="1"/>
  <c r="AB111" i="2" s="1"/>
  <c r="AA110" i="2"/>
  <c r="AB110" i="2" s="1"/>
  <c r="AA112" i="2"/>
  <c r="AB112" i="2" s="1"/>
  <c r="AA113" i="2"/>
  <c r="AB113" i="2" s="1"/>
  <c r="P116" i="2" a="1"/>
  <c r="P117" i="2" a="1"/>
  <c r="O116" i="2" a="1"/>
  <c r="O117" i="2" a="1"/>
  <c r="Q117" i="2" l="1"/>
  <c r="W117" i="2"/>
  <c r="Q116" i="2"/>
  <c r="O119" i="2" a="1"/>
  <c r="P119" i="2" a="1"/>
  <c r="P118" i="2" a="1"/>
  <c r="O118" i="2" a="1"/>
  <c r="W116" i="2"/>
  <c r="AA117" i="2" l="1"/>
  <c r="AB117" i="2" s="1"/>
  <c r="W118" i="2"/>
  <c r="Q119" i="2"/>
  <c r="AA116" i="2"/>
  <c r="AB116" i="2" s="1"/>
  <c r="W119" i="2"/>
  <c r="Q118" i="2"/>
  <c r="AA118" i="2" l="1"/>
  <c r="AB118" i="2" s="1"/>
  <c r="AA119" i="2"/>
  <c r="AB119" i="2" s="1"/>
  <c r="P120" i="2" l="1" a="1"/>
  <c r="O120" i="2" a="1"/>
  <c r="W120" i="2" s="1"/>
  <c r="O121" i="2" a="1"/>
  <c r="P121" i="2" a="1"/>
  <c r="Q121" i="2" l="1"/>
  <c r="Q120" i="2"/>
  <c r="AA120" i="2" s="1"/>
  <c r="AB120" i="2" s="1"/>
  <c r="W121" i="2"/>
  <c r="AA121" i="2" s="1"/>
  <c r="AB121" i="2" s="1"/>
  <c r="P122" i="2" l="1" a="1"/>
  <c r="O123" i="2" a="1"/>
  <c r="O122" i="2" a="1"/>
  <c r="P123" i="2" a="1"/>
  <c r="Q122" i="2" l="1"/>
  <c r="W123" i="2"/>
  <c r="W122" i="2"/>
  <c r="AA122" i="2"/>
  <c r="AB122" i="2" s="1"/>
  <c r="Q123" i="2"/>
  <c r="P124" i="2" a="1"/>
  <c r="O124" i="2" a="1"/>
  <c r="O125" i="2" a="1"/>
  <c r="P125" i="2" a="1"/>
  <c r="P126" i="2" a="1"/>
  <c r="O126" i="2" a="1"/>
  <c r="O127" i="2" a="1"/>
  <c r="P127" i="2" a="1"/>
  <c r="P129" i="2" a="1"/>
  <c r="O128" i="2" a="1"/>
  <c r="P128" i="2" a="1"/>
  <c r="O129" i="2" a="1"/>
  <c r="AA123" i="2" l="1"/>
  <c r="AB123" i="2" s="1"/>
  <c r="W125" i="2"/>
  <c r="W127" i="2"/>
  <c r="W124" i="2"/>
  <c r="Q126" i="2"/>
  <c r="Q124" i="2"/>
  <c r="AA124" i="2" s="1"/>
  <c r="AB124" i="2" s="1"/>
  <c r="Q125" i="2"/>
  <c r="AA125" i="2" s="1"/>
  <c r="AB125" i="2" s="1"/>
  <c r="W126" i="2"/>
  <c r="Q127" i="2"/>
  <c r="Q128" i="2"/>
  <c r="Q129" i="2"/>
  <c r="W128" i="2"/>
  <c r="W129" i="2"/>
  <c r="AA127" i="2" l="1"/>
  <c r="AB127" i="2" s="1"/>
  <c r="AA126" i="2"/>
  <c r="AB126" i="2" s="1"/>
  <c r="AA128" i="2"/>
  <c r="AB128" i="2" s="1"/>
  <c r="AA129" i="2"/>
  <c r="AB129" i="2" s="1"/>
  <c r="O131" i="2" l="1" a="1"/>
  <c r="P131" i="2" a="1"/>
  <c r="O130" i="2" a="1"/>
  <c r="P130" i="2" a="1"/>
  <c r="Q130" i="2" l="1"/>
  <c r="Q131" i="2"/>
  <c r="W131" i="2"/>
  <c r="W130" i="2"/>
  <c r="AA131" i="2" l="1"/>
  <c r="AB131" i="2" s="1"/>
  <c r="AA130" i="2"/>
  <c r="AB130" i="2" s="1"/>
  <c r="O135" i="2" l="1" a="1"/>
  <c r="P135" i="2" a="1"/>
  <c r="Q135" i="2" s="1"/>
  <c r="P134" i="2" a="1"/>
  <c r="O134" i="2" a="1"/>
  <c r="O133" i="2" a="1"/>
  <c r="O132" i="2" a="1"/>
  <c r="P133" i="2" a="1"/>
  <c r="P132" i="2" a="1"/>
  <c r="Q132" i="2" s="1"/>
  <c r="O137" i="2" a="1"/>
  <c r="P136" i="2" a="1"/>
  <c r="Q136" i="2" s="1"/>
  <c r="P137" i="2" a="1"/>
  <c r="O136" i="2" a="1"/>
  <c r="P139" i="2" a="1"/>
  <c r="O138" i="2" a="1"/>
  <c r="W134" i="2" l="1"/>
  <c r="W135" i="2"/>
  <c r="AA135" i="2" s="1"/>
  <c r="AB135" i="2" s="1"/>
  <c r="Q134" i="2"/>
  <c r="W133" i="2"/>
  <c r="W137" i="2"/>
  <c r="W132" i="2"/>
  <c r="AA132" i="2" s="1"/>
  <c r="AB132" i="2" s="1"/>
  <c r="Q133" i="2"/>
  <c r="Q137" i="2"/>
  <c r="W136" i="2"/>
  <c r="AA136" i="2" s="1"/>
  <c r="AB136" i="2" s="1"/>
  <c r="O139" i="2" a="1"/>
  <c r="P138" i="2" a="1"/>
  <c r="AA134" i="2" l="1"/>
  <c r="AB134" i="2" s="1"/>
  <c r="AA133" i="2"/>
  <c r="AB133" i="2" s="1"/>
  <c r="AA137" i="2"/>
  <c r="AB137" i="2" s="1"/>
  <c r="W139" i="2"/>
  <c r="Q139" i="2"/>
  <c r="Q138" i="2"/>
  <c r="W138" i="2"/>
  <c r="AA138" i="2" l="1"/>
  <c r="AB138" i="2" s="1"/>
  <c r="AA139" i="2"/>
  <c r="AB139" i="2" s="1"/>
  <c r="O140" i="2" l="1" a="1"/>
  <c r="P140" i="2" a="1"/>
  <c r="O141" i="2" a="1"/>
  <c r="P141" i="2" a="1"/>
  <c r="Q141" i="2" l="1"/>
  <c r="W140" i="2"/>
  <c r="W141" i="2"/>
  <c r="Q140" i="2"/>
  <c r="AA141" i="2" l="1"/>
  <c r="AB141" i="2" s="1"/>
  <c r="AA140" i="2"/>
  <c r="AB140" i="2" s="1"/>
  <c r="P144" i="2" a="1"/>
  <c r="O145" i="2" a="1"/>
  <c r="P145" i="2" a="1"/>
  <c r="O144" i="2" a="1"/>
  <c r="O143" i="2" l="1" a="1"/>
  <c r="O142" i="2" a="1"/>
  <c r="P143" i="2" a="1"/>
  <c r="P142" i="2" a="1"/>
  <c r="W144" i="2"/>
  <c r="W145" i="2"/>
  <c r="Q144" i="2"/>
  <c r="Q145" i="2"/>
  <c r="W142" i="2" l="1"/>
  <c r="Q142" i="2"/>
  <c r="Q143" i="2"/>
  <c r="W143" i="2"/>
  <c r="AA144" i="2"/>
  <c r="AB144" i="2" s="1"/>
  <c r="AA145" i="2"/>
  <c r="AB145" i="2" s="1"/>
  <c r="AA143" i="2" l="1"/>
  <c r="AB143" i="2" s="1"/>
  <c r="AA142" i="2"/>
  <c r="AB142" i="2" s="1"/>
  <c r="P149" i="2" a="1"/>
  <c r="P146" i="2" a="1"/>
  <c r="P148" i="2" a="1"/>
  <c r="O146" i="2" a="1"/>
  <c r="O147" i="2" a="1"/>
  <c r="P147" i="2" a="1"/>
  <c r="O148" i="2" a="1"/>
  <c r="O149" i="2" a="1"/>
  <c r="P150" i="2" a="1"/>
  <c r="O151" i="2" a="1"/>
  <c r="P151" i="2" a="1"/>
  <c r="O150" i="2" a="1"/>
  <c r="Q148" i="2" l="1"/>
  <c r="W147" i="2"/>
  <c r="W149" i="2"/>
  <c r="W146" i="2"/>
  <c r="Q147" i="2"/>
  <c r="Q149" i="2"/>
  <c r="Q146" i="2"/>
  <c r="W148" i="2"/>
  <c r="W151" i="2"/>
  <c r="W150" i="2"/>
  <c r="Q151" i="2"/>
  <c r="Q150" i="2"/>
  <c r="AA147" i="2" l="1"/>
  <c r="AB147" i="2" s="1"/>
  <c r="AA148" i="2"/>
  <c r="AB148" i="2" s="1"/>
  <c r="AA149" i="2"/>
  <c r="AB149" i="2" s="1"/>
  <c r="AA146" i="2"/>
  <c r="AB146" i="2" s="1"/>
  <c r="AA151" i="2"/>
  <c r="AB151" i="2" s="1"/>
  <c r="AA150" i="2"/>
  <c r="AB150" i="2" s="1"/>
  <c r="O152" i="2" l="1" a="1"/>
  <c r="P152" i="2" a="1"/>
  <c r="P153" i="2" a="1"/>
  <c r="O153" i="2" a="1"/>
  <c r="W152" i="2" l="1"/>
  <c r="W153" i="2"/>
  <c r="Q153" i="2"/>
  <c r="Q152" i="2"/>
  <c r="AA152" i="2" l="1"/>
  <c r="AB152" i="2" s="1"/>
  <c r="AA153" i="2"/>
  <c r="AB153" i="2" s="1"/>
  <c r="P155" i="2" l="1" a="1"/>
  <c r="O154" i="2" a="1"/>
  <c r="P154" i="2" a="1"/>
  <c r="O155" i="2" a="1"/>
  <c r="O156" i="2" a="1"/>
  <c r="P156" i="2" a="1"/>
  <c r="O157" i="2" a="1"/>
  <c r="P157" i="2" a="1"/>
  <c r="W154" i="2" l="1"/>
  <c r="Q157" i="2"/>
  <c r="Q156" i="2"/>
  <c r="Q155" i="2"/>
  <c r="W155" i="2"/>
  <c r="Q154" i="2"/>
  <c r="W156" i="2"/>
  <c r="W157" i="2"/>
  <c r="AA155" i="2" l="1"/>
  <c r="AB155" i="2" s="1"/>
  <c r="AA154" i="2"/>
  <c r="AB154" i="2" s="1"/>
  <c r="AA157" i="2"/>
  <c r="AB157" i="2" s="1"/>
  <c r="AA156" i="2"/>
  <c r="AB156" i="2" s="1"/>
  <c r="P160" i="2" l="1" a="1"/>
  <c r="O160" i="2" a="1"/>
  <c r="O159" i="2" a="1"/>
  <c r="P158" i="2" a="1"/>
  <c r="P161" i="2" a="1"/>
  <c r="Q161" i="2" s="1"/>
  <c r="O161" i="2" a="1"/>
  <c r="P159" i="2" a="1"/>
  <c r="O158" i="2" a="1"/>
  <c r="Q160" i="2" l="1"/>
  <c r="W161" i="2"/>
  <c r="AA161" i="2" s="1"/>
  <c r="AB161" i="2" s="1"/>
  <c r="W160" i="2"/>
  <c r="W159" i="2"/>
  <c r="Q159" i="2"/>
  <c r="Q158" i="2"/>
  <c r="W158" i="2"/>
  <c r="P163" i="2" a="1"/>
  <c r="O162" i="2" a="1"/>
  <c r="O163" i="2" a="1"/>
  <c r="P162" i="2" a="1"/>
  <c r="AA160" i="2" l="1"/>
  <c r="AB160" i="2" s="1"/>
  <c r="AA158" i="2"/>
  <c r="AB158" i="2" s="1"/>
  <c r="AA159" i="2"/>
  <c r="AB159" i="2" s="1"/>
  <c r="Q162" i="2"/>
  <c r="Q163" i="2"/>
  <c r="W162" i="2"/>
  <c r="W163" i="2"/>
  <c r="O167" i="2" a="1"/>
  <c r="P167" i="2" a="1"/>
  <c r="P166" i="2" a="1"/>
  <c r="O166" i="2" a="1"/>
  <c r="P165" i="2" a="1"/>
  <c r="P164" i="2" a="1"/>
  <c r="O164" i="2" a="1"/>
  <c r="O165" i="2" a="1"/>
  <c r="W164" i="2" l="1"/>
  <c r="AA162" i="2"/>
  <c r="AB162" i="2" s="1"/>
  <c r="AA163" i="2"/>
  <c r="AB163" i="2" s="1"/>
  <c r="Q166" i="2"/>
  <c r="W167" i="2"/>
  <c r="Q165" i="2"/>
  <c r="Q167" i="2"/>
  <c r="W166" i="2"/>
  <c r="Q164" i="2"/>
  <c r="W165" i="2"/>
  <c r="AA164" i="2" l="1"/>
  <c r="AB164" i="2" s="1"/>
  <c r="AA166" i="2"/>
  <c r="AB166" i="2" s="1"/>
  <c r="AA167" i="2"/>
  <c r="AB167" i="2" s="1"/>
  <c r="AA165" i="2"/>
  <c r="AB165" i="2" s="1"/>
  <c r="O168" i="2" l="1" a="1"/>
  <c r="P169" i="2" a="1"/>
  <c r="O169" i="2" a="1"/>
  <c r="P168" i="2" a="1"/>
  <c r="P170" i="2" a="1"/>
  <c r="P171" i="2" a="1"/>
  <c r="O170" i="2" a="1"/>
  <c r="O171" i="2" a="1"/>
  <c r="W169" i="2" l="1"/>
  <c r="W170" i="2"/>
  <c r="W171" i="2"/>
  <c r="Q168" i="2"/>
  <c r="Q169" i="2"/>
  <c r="Q170" i="2"/>
  <c r="Q171" i="2"/>
  <c r="W168" i="2"/>
  <c r="AA169" i="2" l="1"/>
  <c r="AB169" i="2" s="1"/>
  <c r="AA170" i="2"/>
  <c r="AB170" i="2" s="1"/>
  <c r="AA171" i="2"/>
  <c r="AB171" i="2" s="1"/>
  <c r="AA168" i="2"/>
  <c r="AB168" i="2" s="1"/>
  <c r="O174" i="2" a="1"/>
  <c r="P175" i="2" a="1"/>
  <c r="O175" i="2" a="1"/>
  <c r="P176" i="2" a="1"/>
  <c r="P174" i="2" a="1"/>
  <c r="P177" i="2" a="1"/>
  <c r="O177" i="2" a="1"/>
  <c r="O173" i="2" l="1" a="1"/>
  <c r="P172" i="2" a="1"/>
  <c r="O172" i="2" a="1"/>
  <c r="P173" i="2" a="1"/>
  <c r="Q174" i="2"/>
  <c r="W177" i="2"/>
  <c r="W175" i="2"/>
  <c r="W174" i="2"/>
  <c r="Q175" i="2"/>
  <c r="Q177" i="2"/>
  <c r="Q172" i="2" l="1"/>
  <c r="W172" i="2"/>
  <c r="W173" i="2"/>
  <c r="Q173" i="2"/>
  <c r="AA174" i="2"/>
  <c r="AB174" i="2" s="1"/>
  <c r="AA177" i="2"/>
  <c r="AB177" i="2" s="1"/>
  <c r="AA175" i="2"/>
  <c r="AB175" i="2" s="1"/>
  <c r="O176" i="2" s="1" a="1"/>
  <c r="P180" i="2" a="1"/>
  <c r="O181" i="2" a="1"/>
  <c r="O180" i="2" l="1" a="1"/>
  <c r="P181" i="2" a="1"/>
  <c r="O179" i="2" a="1"/>
  <c r="P178" i="2" a="1"/>
  <c r="P179" i="2" a="1"/>
  <c r="Q179" i="2" s="1"/>
  <c r="O178" i="2" a="1"/>
  <c r="AA173" i="2"/>
  <c r="AB173" i="2" s="1"/>
  <c r="AA172" i="2"/>
  <c r="AB172" i="2" s="1"/>
  <c r="Q176" i="2"/>
  <c r="W176" i="2"/>
  <c r="W178" i="2" l="1"/>
  <c r="Q178" i="2"/>
  <c r="AA178" i="2" s="1"/>
  <c r="AB178" i="2" s="1"/>
  <c r="W179" i="2"/>
  <c r="AA179" i="2" s="1"/>
  <c r="AB179" i="2" s="1"/>
  <c r="W180" i="2"/>
  <c r="Q180" i="2"/>
  <c r="AA180" i="2" s="1"/>
  <c r="AB180" i="2" s="1"/>
  <c r="W181" i="2"/>
  <c r="Q181" i="2"/>
  <c r="AA181" i="2" s="1"/>
  <c r="AB181" i="2" s="1"/>
  <c r="AA176" i="2"/>
  <c r="AB176" i="2" s="1"/>
  <c r="P182" i="2" l="1" a="1"/>
  <c r="O182" i="2" a="1"/>
  <c r="O183" i="2" a="1"/>
  <c r="P183" i="2" a="1"/>
  <c r="Q183" i="2" l="1"/>
  <c r="Q182" i="2"/>
  <c r="W183" i="2"/>
  <c r="W182" i="2"/>
  <c r="AA183" i="2" l="1"/>
  <c r="AB183" i="2" s="1"/>
  <c r="AA182" i="2"/>
  <c r="AB182" i="2" s="1"/>
  <c r="O186" i="2" a="1"/>
  <c r="P187" i="2" a="1"/>
  <c r="P186" i="2" a="1"/>
  <c r="O187" i="2" a="1"/>
  <c r="O189" i="2" a="1"/>
  <c r="O188" i="2" a="1"/>
  <c r="P188" i="2" a="1"/>
  <c r="P189" i="2" a="1"/>
  <c r="P185" i="2" l="1" a="1"/>
  <c r="O185" i="2" a="1"/>
  <c r="P184" i="2" a="1"/>
  <c r="O184" i="2" a="1"/>
  <c r="Q186" i="2"/>
  <c r="W187" i="2"/>
  <c r="W186" i="2"/>
  <c r="Q187" i="2"/>
  <c r="Q189" i="2"/>
  <c r="W188" i="2"/>
  <c r="Q188" i="2"/>
  <c r="W189" i="2"/>
  <c r="W185" i="2" l="1"/>
  <c r="W184" i="2"/>
  <c r="Q185" i="2"/>
  <c r="Q184" i="2"/>
  <c r="AA186" i="2"/>
  <c r="AB186" i="2" s="1"/>
  <c r="AA187" i="2"/>
  <c r="AB187" i="2" s="1"/>
  <c r="AA188" i="2"/>
  <c r="AB188" i="2" s="1"/>
  <c r="AA189" i="2"/>
  <c r="AB189" i="2" s="1"/>
  <c r="P192" i="2" a="1"/>
  <c r="O193" i="2" a="1"/>
  <c r="P193" i="2" a="1"/>
  <c r="O192" i="2" a="1"/>
  <c r="AA185" i="2" l="1"/>
  <c r="AB185" i="2" s="1"/>
  <c r="AA184" i="2"/>
  <c r="AB184" i="2" s="1"/>
  <c r="O191" i="2" a="1"/>
  <c r="O190" i="2" a="1"/>
  <c r="P190" i="2" a="1"/>
  <c r="P191" i="2" a="1"/>
  <c r="Q192" i="2"/>
  <c r="W193" i="2"/>
  <c r="Q193" i="2"/>
  <c r="W192" i="2"/>
  <c r="W190" i="2" l="1"/>
  <c r="Q191" i="2"/>
  <c r="Q190" i="2"/>
  <c r="W191" i="2"/>
  <c r="AA193" i="2"/>
  <c r="AB193" i="2" s="1"/>
  <c r="AA192" i="2"/>
  <c r="AB192" i="2" s="1"/>
  <c r="AA190" i="2" l="1"/>
  <c r="AB190" i="2" s="1"/>
  <c r="AA191" i="2"/>
  <c r="AB191" i="2" s="1"/>
  <c r="O195" i="2" a="1"/>
  <c r="P195" i="2" a="1"/>
  <c r="P194" i="2" a="1"/>
  <c r="O194" i="2" a="1"/>
  <c r="Q195" i="2" l="1"/>
  <c r="Q194" i="2"/>
  <c r="W195" i="2"/>
  <c r="W194" i="2"/>
  <c r="AA195" i="2" l="1"/>
  <c r="AB195" i="2" s="1"/>
  <c r="AA194" i="2"/>
  <c r="AB194" i="2" s="1"/>
  <c r="P197" i="2" l="1" a="1"/>
  <c r="O196" i="2" a="1"/>
  <c r="O197" i="2" a="1"/>
  <c r="P196" i="2" a="1"/>
  <c r="P198" i="2" a="1"/>
  <c r="O198" i="2" a="1"/>
  <c r="P199" i="2" a="1"/>
  <c r="O199" i="2" a="1"/>
  <c r="W196" i="2" l="1"/>
  <c r="Q198" i="2"/>
  <c r="W199" i="2"/>
  <c r="W197" i="2"/>
  <c r="Q197" i="2"/>
  <c r="Q196" i="2"/>
  <c r="W198" i="2"/>
  <c r="Q199" i="2"/>
  <c r="AA196" i="2" l="1"/>
  <c r="AB196" i="2" s="1"/>
  <c r="AA197" i="2"/>
  <c r="AB197" i="2" s="1"/>
  <c r="AA198" i="2"/>
  <c r="AB198" i="2" s="1"/>
  <c r="AA199" i="2"/>
  <c r="AB199" i="2" s="1"/>
  <c r="P201" i="2" l="1" a="1"/>
  <c r="P200" i="2" a="1"/>
  <c r="O201" i="2" a="1"/>
  <c r="O200" i="2" a="1"/>
  <c r="Q201" i="2" l="1"/>
  <c r="W200" i="2"/>
  <c r="W201" i="2"/>
  <c r="Q200" i="2"/>
  <c r="O208" i="2" a="1"/>
  <c r="P208" i="2" a="1"/>
  <c r="O209" i="2" a="1"/>
  <c r="P209" i="2" a="1"/>
  <c r="AA201" i="2" l="1"/>
  <c r="AB201" i="2" s="1"/>
  <c r="AA200" i="2"/>
  <c r="AB200" i="2" s="1"/>
  <c r="P202" i="2" a="1"/>
  <c r="P204" i="2" a="1"/>
  <c r="P206" i="2" a="1"/>
  <c r="P205" i="2" a="1"/>
  <c r="P207" i="2" a="1"/>
  <c r="P203" i="2" a="1"/>
  <c r="O204" i="2" a="1"/>
  <c r="O203" i="2" a="1"/>
  <c r="O205" i="2" a="1"/>
  <c r="O207" i="2" a="1"/>
  <c r="O202" i="2" a="1"/>
  <c r="O206" i="2" a="1"/>
  <c r="Q208" i="2"/>
  <c r="Q209" i="2"/>
  <c r="W208" i="2"/>
  <c r="W209" i="2"/>
  <c r="W204" i="2" l="1"/>
  <c r="Q207" i="2"/>
  <c r="W205" i="2"/>
  <c r="W203" i="2"/>
  <c r="Q202" i="2"/>
  <c r="Q206" i="2"/>
  <c r="W207" i="2"/>
  <c r="Q205" i="2"/>
  <c r="Q203" i="2"/>
  <c r="W202" i="2"/>
  <c r="W206" i="2"/>
  <c r="Q204" i="2"/>
  <c r="AA208" i="2"/>
  <c r="AB208" i="2" s="1"/>
  <c r="AA209" i="2"/>
  <c r="AB209" i="2" s="1"/>
  <c r="P211" i="2" a="1"/>
  <c r="O211" i="2" a="1"/>
  <c r="P210" i="2" a="1"/>
  <c r="O210" i="2" a="1"/>
  <c r="AA204" i="2" l="1"/>
  <c r="AB204" i="2" s="1"/>
  <c r="AA207" i="2"/>
  <c r="AB207" i="2" s="1"/>
  <c r="AA205" i="2"/>
  <c r="AB205" i="2" s="1"/>
  <c r="AA203" i="2"/>
  <c r="AB203" i="2" s="1"/>
  <c r="AA202" i="2"/>
  <c r="AB202" i="2" s="1"/>
  <c r="AA206" i="2"/>
  <c r="AB206" i="2" s="1"/>
  <c r="W211" i="2"/>
  <c r="W210" i="2"/>
  <c r="Q211" i="2"/>
  <c r="Q210" i="2"/>
  <c r="AA211" i="2" l="1"/>
  <c r="AB211" i="2" s="1"/>
  <c r="AA210" i="2"/>
  <c r="AB210" i="2" s="1"/>
  <c r="O215" i="2" l="1" a="1"/>
  <c r="O213" i="2" a="1"/>
  <c r="P213" i="2" a="1"/>
  <c r="P215" i="2" a="1"/>
  <c r="P212" i="2" a="1"/>
  <c r="Q212" i="2" s="1"/>
  <c r="O212" i="2" a="1"/>
  <c r="O214" i="2" a="1"/>
  <c r="P214" i="2" a="1"/>
  <c r="W213" i="2" l="1"/>
  <c r="Q214" i="2"/>
  <c r="Q215" i="2"/>
  <c r="W215" i="2"/>
  <c r="AA215" i="2" s="1"/>
  <c r="AB215" i="2" s="1"/>
  <c r="Q213" i="2"/>
  <c r="W212" i="2"/>
  <c r="AA212" i="2" s="1"/>
  <c r="AB212" i="2" s="1"/>
  <c r="W214" i="2"/>
  <c r="P216" i="2" a="1"/>
  <c r="O216" i="2" a="1"/>
  <c r="O217" i="2" a="1"/>
  <c r="P217" i="2" a="1"/>
  <c r="P219" i="2" a="1"/>
  <c r="O219" i="2" a="1"/>
  <c r="P218" i="2" a="1"/>
  <c r="O218" i="2" a="1"/>
  <c r="AA213" i="2" l="1"/>
  <c r="AB213" i="2" s="1"/>
  <c r="AA214" i="2"/>
  <c r="AB214" i="2" s="1"/>
  <c r="W216" i="2"/>
  <c r="W219" i="2"/>
  <c r="W218" i="2"/>
  <c r="Q217" i="2"/>
  <c r="Q218" i="2"/>
  <c r="W217" i="2"/>
  <c r="Q219" i="2"/>
  <c r="Q216" i="2"/>
  <c r="AA216" i="2" l="1"/>
  <c r="AB216" i="2" s="1"/>
  <c r="AA218" i="2"/>
  <c r="AB218" i="2" s="1"/>
  <c r="AA219" i="2"/>
  <c r="AB219" i="2" s="1"/>
  <c r="AA217" i="2"/>
  <c r="AB217" i="2" s="1"/>
  <c r="O221" i="2" l="1" a="1"/>
  <c r="P221" i="2" a="1"/>
  <c r="O220" i="2" a="1"/>
  <c r="P220" i="2" a="1"/>
  <c r="W221" i="2" l="1"/>
  <c r="W220" i="2"/>
  <c r="Q220" i="2"/>
  <c r="Q221" i="2"/>
  <c r="P223" i="2" a="1"/>
  <c r="O223" i="2" a="1"/>
  <c r="O222" i="2" a="1"/>
  <c r="P222" i="2" a="1"/>
  <c r="P225" i="2" a="1"/>
  <c r="O224" i="2" a="1"/>
  <c r="P224" i="2" a="1"/>
  <c r="O225" i="2" a="1"/>
  <c r="AA221" i="2" l="1"/>
  <c r="AB221" i="2" s="1"/>
  <c r="AA220" i="2"/>
  <c r="AB220" i="2" s="1"/>
  <c r="W223" i="2"/>
  <c r="Q222" i="2"/>
  <c r="Q223" i="2"/>
  <c r="W222" i="2"/>
  <c r="Q224" i="2"/>
  <c r="W224" i="2"/>
  <c r="W225" i="2"/>
  <c r="Q225" i="2"/>
  <c r="AA223" i="2" l="1"/>
  <c r="AB223" i="2" s="1"/>
  <c r="AA222" i="2"/>
  <c r="AB222" i="2" s="1"/>
  <c r="AA224" i="2"/>
  <c r="AB224" i="2" s="1"/>
  <c r="AA225" i="2"/>
  <c r="AB225" i="2" s="1"/>
  <c r="O226" i="2" l="1" a="1"/>
  <c r="P227" i="2" a="1"/>
  <c r="O227" i="2" a="1"/>
  <c r="P226" i="2" a="1"/>
  <c r="Q227" i="2" l="1"/>
  <c r="Q226" i="2"/>
  <c r="W226" i="2"/>
  <c r="W227" i="2"/>
  <c r="AA226" i="2" l="1"/>
  <c r="AB226" i="2" s="1"/>
  <c r="AA227" i="2"/>
  <c r="AB227" i="2" s="1"/>
  <c r="O229" i="2" l="1" a="1"/>
  <c r="O228" i="2" a="1"/>
  <c r="P228" i="2" a="1"/>
  <c r="P229" i="2" a="1"/>
  <c r="Q229" i="2" l="1"/>
  <c r="W228" i="2"/>
  <c r="Q228" i="2"/>
  <c r="W229" i="2"/>
  <c r="AA228" i="2" l="1"/>
  <c r="AB228" i="2" s="1"/>
  <c r="AA229" i="2"/>
  <c r="AB229" i="2" s="1"/>
  <c r="O231" i="2" a="1"/>
  <c r="O230" i="2" a="1"/>
  <c r="P231" i="2" a="1"/>
  <c r="P230" i="2" a="1"/>
  <c r="P232" i="2" a="1"/>
  <c r="O235" i="2" a="1"/>
  <c r="P234" i="2" a="1"/>
  <c r="O233" i="2" a="1"/>
  <c r="O232" i="2" a="1"/>
  <c r="P233" i="2" a="1"/>
  <c r="O234" i="2" a="1"/>
  <c r="P235" i="2" a="1"/>
  <c r="Q231" i="2" l="1"/>
  <c r="Q234" i="2"/>
  <c r="Q233" i="2"/>
  <c r="Q235" i="2"/>
  <c r="Q230" i="2"/>
  <c r="Q232" i="2"/>
  <c r="W231" i="2"/>
  <c r="W230" i="2"/>
  <c r="W235" i="2"/>
  <c r="W233" i="2"/>
  <c r="W232" i="2"/>
  <c r="W234" i="2"/>
  <c r="P237" i="2" a="1"/>
  <c r="P236" i="2" a="1"/>
  <c r="O236" i="2" a="1"/>
  <c r="O237" i="2" a="1"/>
  <c r="AA231" i="2" l="1"/>
  <c r="AB231" i="2" s="1"/>
  <c r="AA234" i="2"/>
  <c r="AB234" i="2" s="1"/>
  <c r="AA230" i="2"/>
  <c r="AB230" i="2" s="1"/>
  <c r="AA235" i="2"/>
  <c r="AB235" i="2" s="1"/>
  <c r="AA233" i="2"/>
  <c r="AB233" i="2" s="1"/>
  <c r="AA232" i="2"/>
  <c r="AB232" i="2" s="1"/>
  <c r="Q237" i="2"/>
  <c r="W236" i="2"/>
  <c r="Q236" i="2"/>
  <c r="W237" i="2"/>
  <c r="O241" i="2" l="1" a="1"/>
  <c r="P240" i="2" a="1"/>
  <c r="P241" i="2" a="1"/>
  <c r="O240" i="2" a="1"/>
  <c r="AA236" i="2"/>
  <c r="AB236" i="2" s="1"/>
  <c r="AA237" i="2"/>
  <c r="AB237" i="2" s="1"/>
  <c r="O238" i="2" l="1" a="1"/>
  <c r="O239" i="2" a="1"/>
  <c r="P239" i="2" a="1"/>
  <c r="P238" i="2" a="1"/>
  <c r="W240" i="2"/>
  <c r="W241" i="2"/>
  <c r="Q241" i="2"/>
  <c r="Q240" i="2"/>
  <c r="P243" i="2" a="1"/>
  <c r="O243" i="2" a="1"/>
  <c r="P242" i="2" a="1"/>
  <c r="O242" i="2" a="1"/>
  <c r="O245" i="2" a="1"/>
  <c r="O244" i="2" a="1"/>
  <c r="P245" i="2" a="1"/>
  <c r="P244" i="2" a="1"/>
  <c r="W238" i="2" l="1"/>
  <c r="W239" i="2"/>
  <c r="Q239" i="2"/>
  <c r="Q238" i="2"/>
  <c r="AA238" i="2" s="1"/>
  <c r="AB238" i="2" s="1"/>
  <c r="AA241" i="2"/>
  <c r="AB241" i="2" s="1"/>
  <c r="AA240" i="2"/>
  <c r="AB240" i="2" s="1"/>
  <c r="W243" i="2"/>
  <c r="Q244" i="2"/>
  <c r="W242" i="2"/>
  <c r="W245" i="2"/>
  <c r="Q243" i="2"/>
  <c r="Q242" i="2"/>
  <c r="W244" i="2"/>
  <c r="Q245" i="2"/>
  <c r="AA239" i="2" l="1"/>
  <c r="AB239" i="2" s="1"/>
  <c r="AA243" i="2"/>
  <c r="AB243" i="2" s="1"/>
  <c r="AA242" i="2"/>
  <c r="AB242" i="2" s="1"/>
  <c r="AA244" i="2"/>
  <c r="AB244" i="2" s="1"/>
  <c r="AA245" i="2"/>
  <c r="AB245" i="2" s="1"/>
  <c r="O247" i="2" l="1" a="1"/>
  <c r="P246" i="2" a="1"/>
  <c r="O246" i="2" a="1"/>
  <c r="P247" i="2" a="1"/>
  <c r="O249" i="2" a="1"/>
  <c r="P249" i="2" a="1"/>
  <c r="P248" i="2" a="1"/>
  <c r="O248" i="2" a="1"/>
  <c r="W246" i="2" l="1"/>
  <c r="Q247" i="2"/>
  <c r="W247" i="2"/>
  <c r="Q246" i="2"/>
  <c r="W249" i="2"/>
  <c r="Q248" i="2"/>
  <c r="Q249" i="2"/>
  <c r="AA249" i="2" s="1"/>
  <c r="AB249" i="2" s="1"/>
  <c r="W248" i="2"/>
  <c r="AA247" i="2" l="1"/>
  <c r="AB247" i="2" s="1"/>
  <c r="AA246" i="2"/>
  <c r="AB246" i="2" s="1"/>
  <c r="O250" i="2" a="1"/>
  <c r="P253" i="2" a="1"/>
  <c r="P251" i="2" a="1"/>
  <c r="O254" i="2" a="1"/>
  <c r="P250" i="2" a="1"/>
  <c r="O253" i="2" a="1"/>
  <c r="P252" i="2" a="1"/>
  <c r="O251" i="2" a="1"/>
  <c r="W251" i="2" s="1"/>
  <c r="O252" i="2" a="1"/>
  <c r="P255" i="2" a="1"/>
  <c r="AA248" i="2"/>
  <c r="AB248" i="2" s="1"/>
  <c r="W253" i="2" l="1"/>
  <c r="W250" i="2"/>
  <c r="W252" i="2"/>
  <c r="P254" i="2" a="1"/>
  <c r="O255" i="2" a="1"/>
  <c r="Q251" i="2"/>
  <c r="AA251" i="2" s="1"/>
  <c r="AB251" i="2" s="1"/>
  <c r="Q250" i="2"/>
  <c r="Q252" i="2"/>
  <c r="Q253" i="2"/>
  <c r="AA253" i="2" s="1"/>
  <c r="AB253" i="2" s="1"/>
  <c r="O257" i="2" a="1"/>
  <c r="P256" i="2" a="1"/>
  <c r="O256" i="2" a="1"/>
  <c r="P257" i="2" a="1"/>
  <c r="AA250" i="2" l="1"/>
  <c r="AB250" i="2" s="1"/>
  <c r="AA252" i="2"/>
  <c r="AB252" i="2" s="1"/>
  <c r="W254" i="2"/>
  <c r="Q254" i="2"/>
  <c r="AA254" i="2" s="1"/>
  <c r="AB254" i="2" s="1"/>
  <c r="W255" i="2"/>
  <c r="Q255" i="2"/>
  <c r="AA255" i="2" s="1"/>
  <c r="AB255" i="2" s="1"/>
  <c r="W256" i="2"/>
  <c r="W257" i="2"/>
  <c r="Q256" i="2"/>
  <c r="AA256" i="2" s="1"/>
  <c r="AB256" i="2" s="1"/>
  <c r="Q257" i="2"/>
  <c r="AA257" i="2" l="1"/>
  <c r="AB257" i="2" s="1"/>
  <c r="O259" i="2" l="1" a="1"/>
  <c r="O258" i="2" a="1"/>
  <c r="P258" i="2" a="1"/>
  <c r="P259" i="2" a="1"/>
  <c r="P261" i="2" a="1"/>
  <c r="O261" i="2" a="1"/>
  <c r="O260" i="2" a="1"/>
  <c r="P260" i="2" a="1"/>
  <c r="O263" i="2" a="1"/>
  <c r="P262" i="2" a="1"/>
  <c r="O262" i="2" a="1"/>
  <c r="P263" i="2" a="1"/>
  <c r="W258" i="2" l="1"/>
  <c r="W260" i="2"/>
  <c r="Q261" i="2"/>
  <c r="W259" i="2"/>
  <c r="Q260" i="2"/>
  <c r="AA260" i="2" s="1"/>
  <c r="AB260" i="2" s="1"/>
  <c r="Q258" i="2"/>
  <c r="W261" i="2"/>
  <c r="Q259" i="2"/>
  <c r="Q262" i="2"/>
  <c r="Q263" i="2"/>
  <c r="W263" i="2"/>
  <c r="W262" i="2"/>
  <c r="AA258" i="2" l="1"/>
  <c r="AB258" i="2" s="1"/>
  <c r="AA261" i="2"/>
  <c r="AB261" i="2" s="1"/>
  <c r="AA259" i="2"/>
  <c r="AB259" i="2" s="1"/>
  <c r="AA262" i="2"/>
  <c r="AB262" i="2" s="1"/>
  <c r="AA263" i="2"/>
  <c r="AB263" i="2" s="1"/>
  <c r="O270" i="2" a="1"/>
  <c r="P270" i="2" a="1"/>
  <c r="P271" i="2" a="1"/>
  <c r="O271" i="2" a="1"/>
  <c r="P267" i="2" l="1" a="1"/>
  <c r="P266" i="2" a="1"/>
  <c r="O268" i="2" a="1"/>
  <c r="O265" i="2" a="1"/>
  <c r="O264" i="2" a="1"/>
  <c r="O266" i="2" a="1"/>
  <c r="O267" i="2" a="1"/>
  <c r="P265" i="2" a="1"/>
  <c r="P264" i="2" a="1"/>
  <c r="O269" i="2" a="1"/>
  <c r="W269" i="2" s="1"/>
  <c r="P269" i="2" a="1"/>
  <c r="P268" i="2" a="1"/>
  <c r="Q270" i="2"/>
  <c r="W271" i="2"/>
  <c r="Q271" i="2"/>
  <c r="W270" i="2"/>
  <c r="W266" i="2" l="1"/>
  <c r="Q267" i="2"/>
  <c r="W268" i="2"/>
  <c r="Q265" i="2"/>
  <c r="Q264" i="2"/>
  <c r="Q266" i="2"/>
  <c r="AA266" i="2" s="1"/>
  <c r="AB266" i="2" s="1"/>
  <c r="W265" i="2"/>
  <c r="W264" i="2"/>
  <c r="W267" i="2"/>
  <c r="Q269" i="2"/>
  <c r="AA269" i="2" s="1"/>
  <c r="AB269" i="2" s="1"/>
  <c r="Q268" i="2"/>
  <c r="AA270" i="2"/>
  <c r="AB270" i="2" s="1"/>
  <c r="AA271" i="2"/>
  <c r="AB271" i="2" s="1"/>
  <c r="AA265" i="2" l="1"/>
  <c r="AB265" i="2" s="1"/>
  <c r="AA264" i="2"/>
  <c r="AB264" i="2" s="1"/>
  <c r="AA267" i="2"/>
  <c r="AB267" i="2" s="1"/>
  <c r="AA268" i="2"/>
  <c r="AB268" i="2" s="1"/>
  <c r="O273" i="2" a="1"/>
  <c r="P272" i="2" a="1"/>
  <c r="P273" i="2" a="1"/>
  <c r="O272" i="2" a="1"/>
  <c r="P274" i="2" a="1"/>
  <c r="O274" i="2" a="1"/>
  <c r="O275" i="2" a="1"/>
  <c r="P275" i="2" a="1"/>
  <c r="Q274" i="2" l="1"/>
  <c r="Q272" i="2"/>
  <c r="Q273" i="2"/>
  <c r="W275" i="2"/>
  <c r="W273" i="2"/>
  <c r="W272" i="2"/>
  <c r="W274" i="2"/>
  <c r="AA274" i="2" s="1"/>
  <c r="AB274" i="2" s="1"/>
  <c r="Q275" i="2"/>
  <c r="P277" i="2" a="1"/>
  <c r="O277" i="2" a="1"/>
  <c r="P276" i="2" a="1"/>
  <c r="O276" i="2" a="1"/>
  <c r="O279" i="2" a="1"/>
  <c r="O278" i="2" a="1"/>
  <c r="P279" i="2" a="1"/>
  <c r="P278" i="2" a="1"/>
  <c r="AA273" i="2" l="1"/>
  <c r="AB273" i="2" s="1"/>
  <c r="AA272" i="2"/>
  <c r="AB272" i="2" s="1"/>
  <c r="AA275" i="2"/>
  <c r="AB275" i="2" s="1"/>
  <c r="W276" i="2"/>
  <c r="Q277" i="2"/>
  <c r="W277" i="2"/>
  <c r="Q276" i="2"/>
  <c r="W278" i="2"/>
  <c r="W279" i="2"/>
  <c r="Q278" i="2"/>
  <c r="Q279" i="2"/>
  <c r="AA277" i="2" l="1"/>
  <c r="AB277" i="2" s="1"/>
  <c r="AA276" i="2"/>
  <c r="AB276" i="2" s="1"/>
  <c r="P283" i="2" a="1"/>
  <c r="O282" i="2" a="1"/>
  <c r="P282" i="2" a="1"/>
  <c r="O283" i="2" a="1"/>
  <c r="AA278" i="2"/>
  <c r="AB278" i="2" s="1"/>
  <c r="AA279" i="2"/>
  <c r="AB279" i="2" s="1"/>
  <c r="O281" i="2" l="1" a="1"/>
  <c r="P280" i="2" a="1"/>
  <c r="Q280" i="2" s="1"/>
  <c r="P281" i="2" a="1"/>
  <c r="Q281" i="2" s="1"/>
  <c r="O280" i="2" a="1"/>
  <c r="Q282" i="2"/>
  <c r="W283" i="2"/>
  <c r="Q283" i="2"/>
  <c r="W282" i="2"/>
  <c r="W280" i="2" l="1"/>
  <c r="AA280" i="2" s="1"/>
  <c r="AB280" i="2" s="1"/>
  <c r="W281" i="2"/>
  <c r="AA281" i="2" s="1"/>
  <c r="AB281" i="2" s="1"/>
  <c r="AA282" i="2"/>
  <c r="AB282" i="2" s="1"/>
  <c r="AA283" i="2"/>
  <c r="AB283" i="2" s="1"/>
  <c r="P289" i="2" a="1"/>
  <c r="O288" i="2" a="1"/>
  <c r="P288" i="2" a="1"/>
  <c r="O289" i="2" a="1"/>
  <c r="P287" i="2" l="1" a="1"/>
  <c r="P286" i="2" a="1"/>
  <c r="O287" i="2" a="1"/>
  <c r="O286" i="2" a="1"/>
  <c r="O284" i="2" a="1"/>
  <c r="P285" i="2" a="1"/>
  <c r="O285" i="2" a="1"/>
  <c r="P284" i="2" a="1"/>
  <c r="Q288" i="2"/>
  <c r="W289" i="2"/>
  <c r="W288" i="2"/>
  <c r="Q289" i="2"/>
  <c r="W285" i="2" l="1"/>
  <c r="Q287" i="2"/>
  <c r="W286" i="2"/>
  <c r="W284" i="2"/>
  <c r="Q285" i="2"/>
  <c r="Q284" i="2"/>
  <c r="W287" i="2"/>
  <c r="Q286" i="2"/>
  <c r="AA288" i="2"/>
  <c r="AB288" i="2" s="1"/>
  <c r="AA289" i="2"/>
  <c r="AB289" i="2" s="1"/>
  <c r="P292" i="2" a="1"/>
  <c r="O293" i="2" a="1"/>
  <c r="O292" i="2" a="1"/>
  <c r="P293" i="2" a="1"/>
  <c r="AA285" i="2" l="1"/>
  <c r="AB285" i="2" s="1"/>
  <c r="AA287" i="2"/>
  <c r="AB287" i="2" s="1"/>
  <c r="AA284" i="2"/>
  <c r="AB284" i="2" s="1"/>
  <c r="AA286" i="2"/>
  <c r="AB286" i="2" s="1"/>
  <c r="O290" i="2" a="1"/>
  <c r="P291" i="2" a="1"/>
  <c r="O291" i="2" a="1"/>
  <c r="P290" i="2" a="1"/>
  <c r="Q292" i="2"/>
  <c r="W293" i="2"/>
  <c r="W292" i="2"/>
  <c r="Q293" i="2"/>
  <c r="Q291" i="2" l="1"/>
  <c r="Q290" i="2"/>
  <c r="W291" i="2"/>
  <c r="W290" i="2"/>
  <c r="AA293" i="2"/>
  <c r="AB293" i="2" s="1"/>
  <c r="AA292" i="2"/>
  <c r="AB292" i="2" s="1"/>
  <c r="O296" i="2" a="1"/>
  <c r="P297" i="2" a="1"/>
  <c r="P296" i="2" a="1"/>
  <c r="O297" i="2" a="1"/>
  <c r="AA291" i="2" l="1"/>
  <c r="AB291" i="2" s="1"/>
  <c r="AA290" i="2"/>
  <c r="AB290" i="2" s="1"/>
  <c r="Q296" i="2"/>
  <c r="P294" i="2" a="1"/>
  <c r="O294" i="2" a="1"/>
  <c r="O295" i="2" a="1"/>
  <c r="P295" i="2" a="1"/>
  <c r="W297" i="2"/>
  <c r="W296" i="2"/>
  <c r="Q297" i="2"/>
  <c r="W294" i="2" l="1"/>
  <c r="AA296" i="2"/>
  <c r="AB296" i="2" s="1"/>
  <c r="Q295" i="2"/>
  <c r="W295" i="2"/>
  <c r="Q294" i="2"/>
  <c r="AA297" i="2"/>
  <c r="AB297" i="2" s="1"/>
  <c r="P300" i="2" a="1"/>
  <c r="P301" i="2" a="1"/>
  <c r="O300" i="2" a="1"/>
  <c r="O301" i="2" a="1"/>
  <c r="O299" i="2" l="1" a="1"/>
  <c r="P298" i="2" a="1"/>
  <c r="P299" i="2" a="1"/>
  <c r="O298" i="2" a="1"/>
  <c r="W298" i="2" s="1"/>
  <c r="AA295" i="2"/>
  <c r="AB295" i="2" s="1"/>
  <c r="AA294" i="2"/>
  <c r="AB294" i="2" s="1"/>
  <c r="Q301" i="2"/>
  <c r="Q300" i="2"/>
  <c r="W300" i="2"/>
  <c r="W301" i="2"/>
  <c r="Q299" i="2" l="1"/>
  <c r="Q298" i="2"/>
  <c r="AA298" i="2" s="1"/>
  <c r="AB298" i="2" s="1"/>
  <c r="W299" i="2"/>
  <c r="AA301" i="2"/>
  <c r="AB301" i="2" s="1"/>
  <c r="O306" i="2" a="1"/>
  <c r="P306" i="2" a="1"/>
  <c r="P304" i="2" a="1"/>
  <c r="O305" i="2" a="1"/>
  <c r="P305" i="2" a="1"/>
  <c r="O304" i="2" a="1"/>
  <c r="O307" i="2" a="1"/>
  <c r="P307" i="2" a="1"/>
  <c r="AA300" i="2"/>
  <c r="AB300" i="2" s="1"/>
  <c r="AA299" i="2" l="1"/>
  <c r="AB299" i="2" s="1"/>
  <c r="P303" i="2" a="1"/>
  <c r="P302" i="2" a="1"/>
  <c r="O302" i="2" a="1"/>
  <c r="O303" i="2" a="1"/>
  <c r="Q305" i="2"/>
  <c r="W304" i="2"/>
  <c r="W307" i="2"/>
  <c r="W306" i="2"/>
  <c r="Q306" i="2"/>
  <c r="W305" i="2"/>
  <c r="Q307" i="2"/>
  <c r="Q304" i="2"/>
  <c r="W302" i="2" l="1"/>
  <c r="W303" i="2"/>
  <c r="Q302" i="2"/>
  <c r="AA302" i="2" s="1"/>
  <c r="AB302" i="2" s="1"/>
  <c r="Q303" i="2"/>
  <c r="AA305" i="2"/>
  <c r="AB305" i="2" s="1"/>
  <c r="AA307" i="2"/>
  <c r="AB307" i="2" s="1"/>
  <c r="AA304" i="2"/>
  <c r="AB304" i="2" s="1"/>
  <c r="AA306" i="2"/>
  <c r="AB306" i="2" s="1"/>
  <c r="AA303" i="2" l="1"/>
  <c r="AB303" i="2" s="1"/>
  <c r="O310" i="2" a="1"/>
  <c r="O311" i="2" a="1"/>
  <c r="P311" i="2" a="1"/>
  <c r="O308" i="2" a="1"/>
  <c r="P308" i="2" a="1"/>
  <c r="P310" i="2" a="1"/>
  <c r="P309" i="2" a="1"/>
  <c r="O309" i="2" a="1"/>
  <c r="W310" i="2" l="1"/>
  <c r="Q308" i="2"/>
  <c r="Q311" i="2"/>
  <c r="W309" i="2"/>
  <c r="W311" i="2"/>
  <c r="W308" i="2"/>
  <c r="Q310" i="2"/>
  <c r="AA310" i="2" s="1"/>
  <c r="AB310" i="2" s="1"/>
  <c r="Q309" i="2"/>
  <c r="AA308" i="2" l="1"/>
  <c r="AB308" i="2" s="1"/>
  <c r="AA311" i="2"/>
  <c r="AB311" i="2" s="1"/>
  <c r="AA309" i="2"/>
  <c r="AB309" i="2" s="1"/>
  <c r="P312" i="2" l="1" a="1"/>
  <c r="O313" i="2" a="1"/>
  <c r="P314" i="2" a="1"/>
  <c r="O312" i="2" a="1"/>
  <c r="P313" i="2" a="1"/>
  <c r="O315" i="2" a="1"/>
  <c r="P315" i="2" a="1"/>
  <c r="O314" i="2" a="1"/>
  <c r="W312" i="2" l="1"/>
  <c r="W313" i="2"/>
  <c r="W315" i="2"/>
  <c r="W314" i="2"/>
  <c r="Q312" i="2"/>
  <c r="AA312" i="2" s="1"/>
  <c r="AB312" i="2" s="1"/>
  <c r="Q314" i="2"/>
  <c r="Q313" i="2"/>
  <c r="AA313" i="2" s="1"/>
  <c r="AB313" i="2" s="1"/>
  <c r="Q315" i="2"/>
  <c r="AA315" i="2" l="1"/>
  <c r="AB315" i="2" s="1"/>
  <c r="AA314" i="2"/>
  <c r="AB314" i="2" s="1"/>
  <c r="P317" i="2" a="1"/>
  <c r="O317" i="2" a="1"/>
  <c r="P316" i="2" a="1"/>
  <c r="O316" i="2" a="1"/>
  <c r="W316" i="2" s="1"/>
  <c r="P319" i="2" a="1"/>
  <c r="O319" i="2" a="1"/>
  <c r="W319" i="2" s="1"/>
  <c r="O318" i="2" a="1"/>
  <c r="P318" i="2" a="1"/>
  <c r="Q318" i="2" s="1"/>
  <c r="P320" i="2" a="1"/>
  <c r="O323" i="2" a="1"/>
  <c r="O321" i="2" a="1"/>
  <c r="O322" i="2" a="1"/>
  <c r="O320" i="2" a="1"/>
  <c r="P322" i="2" a="1"/>
  <c r="P321" i="2" a="1"/>
  <c r="P323" i="2" a="1"/>
  <c r="W317" i="2" l="1"/>
  <c r="Q317" i="2"/>
  <c r="AA317" i="2" s="1"/>
  <c r="AB317" i="2" s="1"/>
  <c r="Q316" i="2"/>
  <c r="AA316" i="2" s="1"/>
  <c r="AB316" i="2" s="1"/>
  <c r="Q319" i="2"/>
  <c r="AA319" i="2" s="1"/>
  <c r="AB319" i="2" s="1"/>
  <c r="W318" i="2"/>
  <c r="AA318" i="2" s="1"/>
  <c r="AB318" i="2" s="1"/>
  <c r="Q322" i="2"/>
  <c r="W323" i="2"/>
  <c r="W321" i="2"/>
  <c r="W322" i="2"/>
  <c r="W320" i="2"/>
  <c r="Q320" i="2"/>
  <c r="Q321" i="2"/>
  <c r="Q323" i="2"/>
  <c r="AA323" i="2" l="1"/>
  <c r="AB323" i="2" s="1"/>
  <c r="AA321" i="2"/>
  <c r="AB321" i="2" s="1"/>
  <c r="AA322" i="2"/>
  <c r="AB322" i="2" s="1"/>
  <c r="AA320" i="2"/>
  <c r="AB320" i="2" s="1"/>
  <c r="O325" i="2" l="1" a="1"/>
  <c r="O324" i="2" a="1"/>
  <c r="P325" i="2" a="1"/>
  <c r="P324" i="2" a="1"/>
  <c r="W324" i="2" l="1"/>
  <c r="Q325" i="2"/>
  <c r="W325" i="2"/>
  <c r="Q324" i="2"/>
  <c r="AA325" i="2" l="1"/>
  <c r="AB325" i="2" s="1"/>
  <c r="AA324" i="2"/>
  <c r="AB324" i="2" s="1"/>
  <c r="P329" i="2" a="1"/>
  <c r="P328" i="2" a="1"/>
  <c r="O329" i="2" a="1"/>
  <c r="O328" i="2" a="1"/>
  <c r="P326" i="2" l="1" a="1"/>
  <c r="P327" i="2" a="1"/>
  <c r="O327" i="2" a="1"/>
  <c r="O326" i="2" a="1"/>
  <c r="W328" i="2"/>
  <c r="W329" i="2"/>
  <c r="Q328" i="2"/>
  <c r="Q329" i="2"/>
  <c r="Q327" i="2" l="1"/>
  <c r="W326" i="2"/>
  <c r="Q326" i="2"/>
  <c r="W327" i="2"/>
  <c r="AA328" i="2"/>
  <c r="AB328" i="2" s="1"/>
  <c r="AA329" i="2"/>
  <c r="AB329" i="2" s="1"/>
  <c r="P337" i="2" a="1"/>
  <c r="P336" i="2" a="1"/>
  <c r="O336" i="2" a="1"/>
  <c r="O337" i="2" a="1"/>
  <c r="AA326" i="2" l="1"/>
  <c r="AB326" i="2" s="1"/>
  <c r="AA327" i="2"/>
  <c r="AB327" i="2" s="1"/>
  <c r="O333" i="2" a="1"/>
  <c r="O331" i="2" a="1"/>
  <c r="P335" i="2" a="1"/>
  <c r="O334" i="2" a="1"/>
  <c r="O335" i="2" a="1"/>
  <c r="W335" i="2" s="1"/>
  <c r="P334" i="2" a="1"/>
  <c r="O330" i="2" a="1"/>
  <c r="O332" i="2" a="1"/>
  <c r="W332" i="2" s="1"/>
  <c r="P330" i="2" a="1"/>
  <c r="P332" i="2" a="1"/>
  <c r="P331" i="2" a="1"/>
  <c r="Q331" i="2" s="1"/>
  <c r="P333" i="2" a="1"/>
  <c r="W336" i="2"/>
  <c r="W337" i="2"/>
  <c r="Q337" i="2"/>
  <c r="Q336" i="2"/>
  <c r="W334" i="2" l="1"/>
  <c r="Q330" i="2"/>
  <c r="Q333" i="2"/>
  <c r="W333" i="2"/>
  <c r="AA333" i="2" s="1"/>
  <c r="AB333" i="2" s="1"/>
  <c r="Q335" i="2"/>
  <c r="AA335" i="2" s="1"/>
  <c r="AB335" i="2" s="1"/>
  <c r="Q334" i="2"/>
  <c r="W330" i="2"/>
  <c r="Q332" i="2"/>
  <c r="AA332" i="2" s="1"/>
  <c r="AB332" i="2" s="1"/>
  <c r="W331" i="2"/>
  <c r="AA331" i="2" s="1"/>
  <c r="AB331" i="2" s="1"/>
  <c r="AA336" i="2"/>
  <c r="AB336" i="2" s="1"/>
  <c r="AA337" i="2"/>
  <c r="AB337" i="2" s="1"/>
  <c r="AA330" i="2" l="1"/>
  <c r="AB330" i="2" s="1"/>
  <c r="AA334" i="2"/>
  <c r="AB334" i="2" s="1"/>
  <c r="P339" i="2" a="1"/>
  <c r="P338" i="2" a="1"/>
  <c r="P340" i="2" a="1"/>
  <c r="P343" i="2" a="1"/>
  <c r="P341" i="2" a="1"/>
  <c r="O338" i="2" a="1"/>
  <c r="O340" i="2" a="1"/>
  <c r="O342" i="2" a="1"/>
  <c r="P342" i="2" a="1"/>
  <c r="O339" i="2" a="1"/>
  <c r="O341" i="2" a="1"/>
  <c r="W341" i="2" s="1"/>
  <c r="O343" i="2" a="1"/>
  <c r="Q343" i="2" l="1"/>
  <c r="W340" i="2"/>
  <c r="W338" i="2"/>
  <c r="Q342" i="2"/>
  <c r="W339" i="2"/>
  <c r="Q340" i="2"/>
  <c r="W342" i="2"/>
  <c r="W343" i="2"/>
  <c r="Q339" i="2"/>
  <c r="Q341" i="2"/>
  <c r="AA341" i="2" s="1"/>
  <c r="AB341" i="2" s="1"/>
  <c r="Q338" i="2"/>
  <c r="AA343" i="2" l="1"/>
  <c r="AB343" i="2" s="1"/>
  <c r="AA340" i="2"/>
  <c r="AB340" i="2" s="1"/>
  <c r="AA342" i="2"/>
  <c r="AB342" i="2" s="1"/>
  <c r="AA339" i="2"/>
  <c r="AB339" i="2" s="1"/>
  <c r="AA338" i="2"/>
  <c r="AB338" i="2" s="1"/>
  <c r="O345" i="2" a="1"/>
  <c r="P345" i="2" a="1"/>
  <c r="O344" i="2" a="1"/>
  <c r="P344" i="2" a="1"/>
  <c r="Q345" i="2" l="1"/>
  <c r="W344" i="2"/>
  <c r="Q344" i="2"/>
  <c r="W345" i="2"/>
  <c r="AA344" i="2" l="1"/>
  <c r="AB344" i="2" s="1"/>
  <c r="AA345" i="2"/>
  <c r="AB345" i="2" s="1"/>
  <c r="O347" i="2" a="1"/>
  <c r="O346" i="2" a="1"/>
  <c r="P346" i="2" a="1"/>
  <c r="P347" i="2" a="1"/>
  <c r="Q347" i="2" l="1"/>
  <c r="Q346" i="2"/>
  <c r="W347" i="2"/>
  <c r="W346" i="2"/>
  <c r="AA347" i="2" l="1"/>
  <c r="AB347" i="2" s="1"/>
  <c r="AA346" i="2"/>
  <c r="AB346" i="2" s="1"/>
  <c r="O350" i="2" l="1" a="1"/>
  <c r="O351" i="2" a="1"/>
  <c r="O348" i="2" a="1"/>
  <c r="P351" i="2" a="1"/>
  <c r="O349" i="2" a="1"/>
  <c r="P348" i="2" a="1"/>
  <c r="P349" i="2" a="1"/>
  <c r="P350" i="2" a="1"/>
  <c r="O352" i="2" a="1"/>
  <c r="O353" i="2" a="1"/>
  <c r="P353" i="2" a="1"/>
  <c r="P352" i="2" a="1"/>
  <c r="Q351" i="2" l="1"/>
  <c r="W350" i="2"/>
  <c r="W351" i="2"/>
  <c r="W348" i="2"/>
  <c r="Q349" i="2"/>
  <c r="W352" i="2"/>
  <c r="Q353" i="2"/>
  <c r="W349" i="2"/>
  <c r="Q348" i="2"/>
  <c r="Q350" i="2"/>
  <c r="W353" i="2"/>
  <c r="Q352" i="2"/>
  <c r="AA351" i="2" l="1"/>
  <c r="AB351" i="2" s="1"/>
  <c r="AA349" i="2"/>
  <c r="AB349" i="2" s="1"/>
  <c r="AA348" i="2"/>
  <c r="AB348" i="2" s="1"/>
  <c r="AA350" i="2"/>
  <c r="AB350" i="2" s="1"/>
  <c r="AA353" i="2"/>
  <c r="AB353" i="2" s="1"/>
  <c r="AA352" i="2"/>
  <c r="AB352" i="2" s="1"/>
  <c r="P354" i="2" a="1"/>
  <c r="O355" i="2" a="1"/>
  <c r="O354" i="2" a="1"/>
  <c r="P355" i="2" a="1"/>
  <c r="Q355" i="2" l="1"/>
  <c r="W354" i="2"/>
  <c r="W355" i="2"/>
  <c r="Q354" i="2"/>
  <c r="AA355" i="2" l="1"/>
  <c r="AB355" i="2" s="1"/>
  <c r="AA354" i="2"/>
  <c r="AB354" i="2" s="1"/>
  <c r="O357" i="2" l="1" a="1"/>
  <c r="O359" i="2" a="1"/>
  <c r="P358" i="2" a="1"/>
  <c r="Q358" i="2" s="1"/>
  <c r="P359" i="2" a="1"/>
  <c r="O356" i="2" a="1"/>
  <c r="O358" i="2" a="1"/>
  <c r="P357" i="2" a="1"/>
  <c r="Q357" i="2" s="1"/>
  <c r="P356" i="2" a="1"/>
  <c r="P361" i="2" a="1"/>
  <c r="O360" i="2" a="1"/>
  <c r="O361" i="2" a="1"/>
  <c r="P360" i="2" a="1"/>
  <c r="Q359" i="2" l="1"/>
  <c r="W356" i="2"/>
  <c r="W361" i="2"/>
  <c r="W358" i="2"/>
  <c r="AA358" i="2" s="1"/>
  <c r="AB358" i="2" s="1"/>
  <c r="W360" i="2"/>
  <c r="W357" i="2"/>
  <c r="AA357" i="2" s="1"/>
  <c r="AB357" i="2" s="1"/>
  <c r="W359" i="2"/>
  <c r="Q356" i="2"/>
  <c r="Q361" i="2"/>
  <c r="Q360" i="2"/>
  <c r="O367" i="2" a="1"/>
  <c r="P366" i="2" a="1"/>
  <c r="P365" i="2" a="1"/>
  <c r="O364" i="2" a="1"/>
  <c r="O365" i="2" a="1"/>
  <c r="P363" i="2" a="1"/>
  <c r="P362" i="2" a="1"/>
  <c r="O362" i="2" a="1"/>
  <c r="P364" i="2" a="1"/>
  <c r="Q364" i="2" s="1"/>
  <c r="O363" i="2" a="1"/>
  <c r="AA359" i="2" l="1"/>
  <c r="AB359" i="2" s="1"/>
  <c r="AA356" i="2"/>
  <c r="AB356" i="2" s="1"/>
  <c r="AA361" i="2"/>
  <c r="AB361" i="2" s="1"/>
  <c r="W364" i="2"/>
  <c r="AA364" i="2" s="1"/>
  <c r="AB364" i="2" s="1"/>
  <c r="W365" i="2"/>
  <c r="AA365" i="2" s="1"/>
  <c r="AB365" i="2" s="1"/>
  <c r="W362" i="2"/>
  <c r="Q365" i="2"/>
  <c r="AA360" i="2"/>
  <c r="AB360" i="2" s="1"/>
  <c r="W363" i="2"/>
  <c r="Q362" i="2"/>
  <c r="AA362" i="2" s="1"/>
  <c r="AB362" i="2" s="1"/>
  <c r="Q363" i="2"/>
  <c r="O366" i="2" l="1" a="1"/>
  <c r="P367" i="2" a="1"/>
  <c r="AA363" i="2"/>
  <c r="AB363" i="2" s="1"/>
  <c r="W366" i="2" l="1"/>
  <c r="Q366" i="2"/>
  <c r="W367" i="2"/>
  <c r="Q367" i="2"/>
  <c r="P369" i="2" a="1"/>
  <c r="O369" i="2" a="1"/>
  <c r="P368" i="2" a="1"/>
  <c r="O368" i="2" a="1"/>
  <c r="P373" i="2" a="1"/>
  <c r="O372" i="2" a="1"/>
  <c r="O373" i="2" a="1"/>
  <c r="O370" i="2" a="1"/>
  <c r="P371" i="2" a="1"/>
  <c r="P372" i="2" a="1"/>
  <c r="P370" i="2" a="1"/>
  <c r="O371" i="2" a="1"/>
  <c r="W371" i="2" s="1"/>
  <c r="AA367" i="2" l="1"/>
  <c r="AB367" i="2" s="1"/>
  <c r="AA366" i="2"/>
  <c r="AB366" i="2" s="1"/>
  <c r="Q373" i="2"/>
  <c r="W369" i="2"/>
  <c r="W370" i="2"/>
  <c r="W372" i="2"/>
  <c r="W368" i="2"/>
  <c r="Q369" i="2"/>
  <c r="AA369" i="2" s="1"/>
  <c r="AB369" i="2" s="1"/>
  <c r="Q368" i="2"/>
  <c r="W373" i="2"/>
  <c r="AA373" i="2" s="1"/>
  <c r="AB373" i="2" s="1"/>
  <c r="Q371" i="2"/>
  <c r="AA371" i="2" s="1"/>
  <c r="AB371" i="2" s="1"/>
  <c r="Q372" i="2"/>
  <c r="Q370" i="2"/>
  <c r="AA372" i="2" l="1"/>
  <c r="AB372" i="2" s="1"/>
  <c r="AA370" i="2"/>
  <c r="AB370" i="2" s="1"/>
  <c r="AA368" i="2"/>
  <c r="AB368" i="2" s="1"/>
  <c r="P379" i="2" a="1"/>
  <c r="O379" i="2" a="1"/>
  <c r="P375" i="2" a="1"/>
  <c r="O375" i="2" a="1"/>
  <c r="W375" i="2" s="1"/>
  <c r="P374" i="2" a="1"/>
  <c r="Q374" i="2" s="1"/>
  <c r="O374" i="2" a="1"/>
  <c r="P378" i="2" a="1"/>
  <c r="O378" i="2" a="1"/>
  <c r="O377" i="2" a="1"/>
  <c r="P377" i="2" a="1"/>
  <c r="P376" i="2" a="1"/>
  <c r="O376" i="2" a="1"/>
  <c r="W376" i="2" s="1"/>
  <c r="W379" i="2" l="1"/>
  <c r="W377" i="2"/>
  <c r="Q378" i="2"/>
  <c r="Q379" i="2"/>
  <c r="AA379" i="2" s="1"/>
  <c r="AB379" i="2" s="1"/>
  <c r="Q375" i="2"/>
  <c r="AA375" i="2" s="1"/>
  <c r="AB375" i="2" s="1"/>
  <c r="W374" i="2"/>
  <c r="AA374" i="2" s="1"/>
  <c r="AB374" i="2" s="1"/>
  <c r="W378" i="2"/>
  <c r="Q377" i="2"/>
  <c r="Q376" i="2"/>
  <c r="AA376" i="2" s="1"/>
  <c r="AB376" i="2" s="1"/>
  <c r="P389" i="2" a="1"/>
  <c r="O388" i="2" a="1"/>
  <c r="P388" i="2" a="1"/>
  <c r="O389" i="2" a="1"/>
  <c r="AA378" i="2" l="1"/>
  <c r="AB378" i="2" s="1"/>
  <c r="AA377" i="2"/>
  <c r="AB377" i="2" s="1"/>
  <c r="P387" i="2" a="1"/>
  <c r="O387" i="2" a="1"/>
  <c r="W387" i="2" s="1"/>
  <c r="P386" i="2" a="1"/>
  <c r="O386" i="2" a="1"/>
  <c r="W386" i="2" s="1"/>
  <c r="P380" i="2" a="1"/>
  <c r="O382" i="2" a="1"/>
  <c r="P383" i="2" a="1"/>
  <c r="O381" i="2" a="1"/>
  <c r="O385" i="2" a="1"/>
  <c r="O383" i="2" a="1"/>
  <c r="P385" i="2" a="1"/>
  <c r="P384" i="2" a="1"/>
  <c r="P382" i="2" a="1"/>
  <c r="Q382" i="2" s="1"/>
  <c r="P381" i="2" a="1"/>
  <c r="Q381" i="2" s="1"/>
  <c r="O380" i="2" a="1"/>
  <c r="O384" i="2" a="1"/>
  <c r="W388" i="2"/>
  <c r="Q389" i="2"/>
  <c r="Q388" i="2"/>
  <c r="W389" i="2"/>
  <c r="Q383" i="2" l="1"/>
  <c r="Q384" i="2"/>
  <c r="W385" i="2"/>
  <c r="W380" i="2"/>
  <c r="Q387" i="2"/>
  <c r="AA387" i="2" s="1"/>
  <c r="AB387" i="2" s="1"/>
  <c r="Q386" i="2"/>
  <c r="AA386" i="2" s="1"/>
  <c r="AB386" i="2" s="1"/>
  <c r="W382" i="2"/>
  <c r="AA382" i="2" s="1"/>
  <c r="AB382" i="2" s="1"/>
  <c r="W381" i="2"/>
  <c r="AA381" i="2" s="1"/>
  <c r="AB381" i="2" s="1"/>
  <c r="W383" i="2"/>
  <c r="AA383" i="2" s="1"/>
  <c r="AB383" i="2" s="1"/>
  <c r="Q385" i="2"/>
  <c r="AA385" i="2" s="1"/>
  <c r="AB385" i="2" s="1"/>
  <c r="W384" i="2"/>
  <c r="AA384" i="2" s="1"/>
  <c r="AB384" i="2" s="1"/>
  <c r="Q380" i="2"/>
  <c r="AA388" i="2"/>
  <c r="AB388" i="2" s="1"/>
  <c r="AA389" i="2"/>
  <c r="AB389" i="2" s="1"/>
  <c r="P393" i="2" a="1"/>
  <c r="O393" i="2" a="1"/>
  <c r="O392" i="2" a="1"/>
  <c r="P392" i="2" a="1"/>
  <c r="O395" i="2" a="1"/>
  <c r="O394" i="2" a="1"/>
  <c r="P395" i="2" a="1"/>
  <c r="P394" i="2" a="1"/>
  <c r="AA380" i="2" l="1"/>
  <c r="AB380" i="2" s="1"/>
  <c r="P391" i="2" a="1"/>
  <c r="O390" i="2" a="1"/>
  <c r="O391" i="2" a="1"/>
  <c r="P390" i="2" a="1"/>
  <c r="W392" i="2"/>
  <c r="W393" i="2"/>
  <c r="Q393" i="2"/>
  <c r="Q392" i="2"/>
  <c r="Q395" i="2"/>
  <c r="W395" i="2"/>
  <c r="W394" i="2"/>
  <c r="Q394" i="2"/>
  <c r="W390" i="2" l="1"/>
  <c r="W391" i="2"/>
  <c r="Q390" i="2"/>
  <c r="AA390" i="2" s="1"/>
  <c r="AB390" i="2" s="1"/>
  <c r="Q391" i="2"/>
  <c r="AA392" i="2"/>
  <c r="AB392" i="2" s="1"/>
  <c r="AA393" i="2"/>
  <c r="AB393" i="2" s="1"/>
  <c r="AA395" i="2"/>
  <c r="AB395" i="2" s="1"/>
  <c r="AA394" i="2"/>
  <c r="AB394" i="2" s="1"/>
  <c r="AA391" i="2" l="1"/>
  <c r="AB391" i="2" s="1"/>
  <c r="P397" i="2" a="1"/>
  <c r="O396" i="2" a="1"/>
  <c r="P396" i="2" a="1"/>
  <c r="O397" i="2" a="1"/>
  <c r="P399" i="2" a="1"/>
  <c r="O398" i="2" a="1"/>
  <c r="P398" i="2" a="1"/>
  <c r="O399" i="2" a="1"/>
  <c r="Q397" i="2" l="1"/>
  <c r="Q396" i="2"/>
  <c r="W396" i="2"/>
  <c r="W397" i="2"/>
  <c r="W398" i="2"/>
  <c r="W399" i="2"/>
  <c r="Q399" i="2"/>
  <c r="Q398" i="2"/>
  <c r="AA396" i="2" l="1"/>
  <c r="AB396" i="2" s="1"/>
  <c r="AA397" i="2"/>
  <c r="AB397" i="2" s="1"/>
  <c r="AA398" i="2"/>
  <c r="AB398" i="2" s="1"/>
  <c r="AA399" i="2"/>
  <c r="AB399" i="2" s="1"/>
  <c r="O401" i="2" l="1" a="1"/>
  <c r="P400" i="2" a="1"/>
  <c r="O400" i="2" a="1"/>
  <c r="P401" i="2" a="1"/>
  <c r="Q400" i="2" l="1"/>
  <c r="W401" i="2"/>
  <c r="W400" i="2"/>
  <c r="Q401" i="2"/>
  <c r="AA400" i="2" l="1"/>
  <c r="AB400" i="2" s="1"/>
  <c r="AA401" i="2"/>
  <c r="AB401" i="2" s="1"/>
  <c r="O402" i="2" l="1" a="1"/>
  <c r="P403" i="2" a="1"/>
  <c r="O403" i="2" a="1"/>
  <c r="P402" i="2" a="1"/>
  <c r="Q402" i="2" l="1"/>
  <c r="Q403" i="2"/>
  <c r="W402" i="2"/>
  <c r="W403" i="2"/>
  <c r="AA402" i="2" l="1"/>
  <c r="AB402" i="2" s="1"/>
  <c r="AA403" i="2"/>
  <c r="AB403" i="2" s="1"/>
  <c r="P406" i="2" l="1" a="1"/>
  <c r="P404" i="2" a="1"/>
  <c r="O404" i="2" a="1"/>
  <c r="O405" i="2" a="1"/>
  <c r="P405" i="2" a="1"/>
  <c r="O406" i="2" a="1"/>
  <c r="O407" i="2" a="1"/>
  <c r="P407" i="2" a="1"/>
  <c r="Q405" i="2" l="1"/>
  <c r="W406" i="2"/>
  <c r="W407" i="2"/>
  <c r="Q404" i="2"/>
  <c r="Q406" i="2"/>
  <c r="W404" i="2"/>
  <c r="W405" i="2"/>
  <c r="AA405" i="2" s="1"/>
  <c r="AB405" i="2" s="1"/>
  <c r="Q407" i="2"/>
  <c r="AA406" i="2" l="1"/>
  <c r="AB406" i="2" s="1"/>
  <c r="AA404" i="2"/>
  <c r="AB404" i="2" s="1"/>
  <c r="AA407" i="2"/>
  <c r="AB407" i="2" s="1"/>
  <c r="O411" i="2" a="1"/>
  <c r="O409" i="2" a="1"/>
  <c r="P410" i="2" a="1"/>
  <c r="P408" i="2" a="1"/>
  <c r="Q408" i="2" s="1"/>
  <c r="P411" i="2" a="1"/>
  <c r="O410" i="2" a="1"/>
  <c r="P409" i="2" a="1"/>
  <c r="O408" i="2" a="1"/>
  <c r="W410" i="2" l="1"/>
  <c r="W411" i="2"/>
  <c r="Q409" i="2"/>
  <c r="Q410" i="2"/>
  <c r="W408" i="2"/>
  <c r="AA408" i="2" s="1"/>
  <c r="AB408" i="2" s="1"/>
  <c r="Q411" i="2"/>
  <c r="W409" i="2"/>
  <c r="O421" i="2" a="1"/>
  <c r="P416" i="2" a="1"/>
  <c r="P420" i="2" a="1"/>
  <c r="O420" i="2" a="1"/>
  <c r="W420" i="2" s="1"/>
  <c r="O417" i="2" a="1"/>
  <c r="O414" i="2" a="1"/>
  <c r="P421" i="2" a="1"/>
  <c r="P415" i="2" a="1"/>
  <c r="P414" i="2" a="1"/>
  <c r="O415" i="2" a="1"/>
  <c r="O413" i="2" a="1"/>
  <c r="O412" i="2" a="1"/>
  <c r="P413" i="2" a="1"/>
  <c r="P412" i="2" a="1"/>
  <c r="O416" i="2" a="1"/>
  <c r="P417" i="2" a="1"/>
  <c r="AA410" i="2" l="1"/>
  <c r="AB410" i="2" s="1"/>
  <c r="Q415" i="2"/>
  <c r="W413" i="2"/>
  <c r="Q412" i="2"/>
  <c r="AA411" i="2"/>
  <c r="AB411" i="2" s="1"/>
  <c r="AA409" i="2"/>
  <c r="AB409" i="2" s="1"/>
  <c r="Q414" i="2"/>
  <c r="W421" i="2"/>
  <c r="Q420" i="2"/>
  <c r="AA420" i="2" s="1"/>
  <c r="AB420" i="2" s="1"/>
  <c r="Q421" i="2"/>
  <c r="AA421" i="2" s="1"/>
  <c r="AB421" i="2" s="1"/>
  <c r="W415" i="2"/>
  <c r="AA415" i="2" s="1"/>
  <c r="AB415" i="2" s="1"/>
  <c r="W412" i="2"/>
  <c r="AA412" i="2" s="1"/>
  <c r="AB412" i="2" s="1"/>
  <c r="Q413" i="2"/>
  <c r="AA413" i="2" s="1"/>
  <c r="AB413" i="2" s="1"/>
  <c r="W414" i="2"/>
  <c r="AA414" i="2" s="1"/>
  <c r="AB414" i="2" s="1"/>
  <c r="Q416" i="2"/>
  <c r="W416" i="2"/>
  <c r="Q417" i="2"/>
  <c r="W417" i="2"/>
  <c r="O422" i="2" a="1"/>
  <c r="P422" i="2" a="1"/>
  <c r="O423" i="2" a="1"/>
  <c r="P423" i="2" a="1"/>
  <c r="O418" i="2" l="1" a="1"/>
  <c r="W418" i="2" s="1"/>
  <c r="P419" i="2" a="1"/>
  <c r="O419" i="2" a="1"/>
  <c r="P418" i="2" a="1"/>
  <c r="AA416" i="2"/>
  <c r="AB416" i="2" s="1"/>
  <c r="AA417" i="2"/>
  <c r="AB417" i="2" s="1"/>
  <c r="W422" i="2"/>
  <c r="Q423" i="2"/>
  <c r="W423" i="2"/>
  <c r="Q422" i="2"/>
  <c r="Q419" i="2" l="1"/>
  <c r="Q418" i="2"/>
  <c r="AA418" i="2" s="1"/>
  <c r="AB418" i="2" s="1"/>
  <c r="W419" i="2"/>
  <c r="AA419" i="2" s="1"/>
  <c r="AB419" i="2" s="1"/>
  <c r="AA422" i="2"/>
  <c r="AB422" i="2" s="1"/>
  <c r="AA423" i="2"/>
  <c r="AB423" i="2" s="1"/>
  <c r="P427" i="2" l="1" a="1"/>
  <c r="O426" i="2" a="1"/>
  <c r="O427" i="2" a="1"/>
  <c r="P426" i="2" a="1"/>
  <c r="O425" i="2" a="1"/>
  <c r="P425" i="2" a="1"/>
  <c r="O424" i="2" a="1"/>
  <c r="P424" i="2" a="1"/>
  <c r="Q424" i="2" s="1"/>
  <c r="W427" i="2" l="1"/>
  <c r="Q425" i="2"/>
  <c r="Q426" i="2"/>
  <c r="Q427" i="2"/>
  <c r="W426" i="2"/>
  <c r="W425" i="2"/>
  <c r="AA425" i="2" s="1"/>
  <c r="AB425" i="2" s="1"/>
  <c r="W424" i="2"/>
  <c r="AA424" i="2" s="1"/>
  <c r="AB424" i="2" s="1"/>
  <c r="AA427" i="2" l="1"/>
  <c r="AB427" i="2" s="1"/>
  <c r="AA426" i="2"/>
  <c r="AB426" i="2" s="1"/>
  <c r="O428" i="2" a="1"/>
  <c r="O429" i="2" a="1"/>
  <c r="P429" i="2" a="1"/>
  <c r="P428" i="2" a="1"/>
  <c r="W429" i="2" l="1"/>
  <c r="Q428" i="2"/>
  <c r="W428" i="2"/>
  <c r="AA428" i="2" s="1"/>
  <c r="AB428" i="2" s="1"/>
  <c r="Q429" i="2"/>
  <c r="AA429" i="2" l="1"/>
  <c r="AB429" i="2" s="1"/>
  <c r="O432" i="2" a="1"/>
  <c r="O433" i="2" a="1"/>
  <c r="P433" i="2" a="1"/>
  <c r="P431" i="2" a="1"/>
  <c r="O430" i="2" a="1"/>
  <c r="P430" i="2" a="1"/>
  <c r="O431" i="2" a="1"/>
  <c r="P432" i="2" a="1"/>
  <c r="Q433" i="2" l="1"/>
  <c r="W430" i="2"/>
  <c r="Q432" i="2"/>
  <c r="W432" i="2"/>
  <c r="Q431" i="2"/>
  <c r="W433" i="2"/>
  <c r="Q430" i="2"/>
  <c r="W431" i="2"/>
  <c r="AA432" i="2" l="1"/>
  <c r="AB432" i="2" s="1"/>
  <c r="AA433" i="2"/>
  <c r="AB433" i="2" s="1"/>
  <c r="AA430" i="2"/>
  <c r="AB430" i="2" s="1"/>
  <c r="AA431" i="2"/>
  <c r="AB431" i="2" s="1"/>
  <c r="P436" i="2" a="1"/>
  <c r="O437" i="2" a="1"/>
  <c r="P439" i="2" a="1"/>
  <c r="P437" i="2" a="1"/>
  <c r="O438" i="2" a="1"/>
  <c r="W438" i="2" s="1"/>
  <c r="O435" i="2" a="1"/>
  <c r="P434" i="2" a="1"/>
  <c r="Q434" i="2" s="1"/>
  <c r="P435" i="2" a="1"/>
  <c r="O434" i="2" a="1"/>
  <c r="P438" i="2" a="1"/>
  <c r="O439" i="2" a="1"/>
  <c r="O436" i="2" a="1"/>
  <c r="W437" i="2" l="1"/>
  <c r="Q435" i="2"/>
  <c r="Q436" i="2"/>
  <c r="Q439" i="2"/>
  <c r="W435" i="2"/>
  <c r="W434" i="2"/>
  <c r="AA434" i="2" s="1"/>
  <c r="AB434" i="2" s="1"/>
  <c r="Q438" i="2"/>
  <c r="AA438" i="2" s="1"/>
  <c r="AB438" i="2" s="1"/>
  <c r="W439" i="2"/>
  <c r="Q437" i="2"/>
  <c r="W436" i="2"/>
  <c r="AA437" i="2" l="1"/>
  <c r="AB437" i="2" s="1"/>
  <c r="AA435" i="2"/>
  <c r="AB435" i="2" s="1"/>
  <c r="AA439" i="2"/>
  <c r="AB439" i="2" s="1"/>
  <c r="AA436" i="2"/>
  <c r="AB436" i="2" s="1"/>
  <c r="O446" i="2" a="1"/>
  <c r="P445" i="2" a="1"/>
  <c r="O445" i="2" a="1"/>
  <c r="P444" i="2" a="1"/>
  <c r="P447" i="2" a="1"/>
  <c r="O444" i="2" a="1"/>
  <c r="O440" i="2" a="1"/>
  <c r="P442" i="2" a="1"/>
  <c r="P443" i="2" a="1"/>
  <c r="O441" i="2" a="1"/>
  <c r="P440" i="2" a="1"/>
  <c r="Q440" i="2" s="1"/>
  <c r="P441" i="2" a="1"/>
  <c r="O442" i="2" a="1"/>
  <c r="O443" i="2" a="1"/>
  <c r="P446" i="2" a="1"/>
  <c r="O447" i="2" a="1"/>
  <c r="W442" i="2" l="1"/>
  <c r="W441" i="2"/>
  <c r="W446" i="2"/>
  <c r="Q444" i="2"/>
  <c r="W445" i="2"/>
  <c r="Q447" i="2"/>
  <c r="Q441" i="2"/>
  <c r="W443" i="2"/>
  <c r="Q445" i="2"/>
  <c r="AA445" i="2" s="1"/>
  <c r="AB445" i="2" s="1"/>
  <c r="W444" i="2"/>
  <c r="W440" i="2"/>
  <c r="AA440" i="2" s="1"/>
  <c r="AB440" i="2" s="1"/>
  <c r="Q442" i="2"/>
  <c r="AA442" i="2" s="1"/>
  <c r="AB442" i="2" s="1"/>
  <c r="Q443" i="2"/>
  <c r="Q446" i="2"/>
  <c r="W447" i="2"/>
  <c r="AA446" i="2" l="1"/>
  <c r="AB446" i="2" s="1"/>
  <c r="AA441" i="2"/>
  <c r="AB441" i="2" s="1"/>
  <c r="AA444" i="2"/>
  <c r="AB444" i="2" s="1"/>
  <c r="AA443" i="2"/>
  <c r="AB443" i="2" s="1"/>
  <c r="AA447" i="2"/>
  <c r="AB447" i="2" s="1"/>
  <c r="O451" i="2" a="1"/>
  <c r="P451" i="2" a="1"/>
  <c r="P452" i="2" a="1"/>
  <c r="P450" i="2" a="1"/>
  <c r="O453" i="2" a="1"/>
  <c r="P453" i="2" a="1"/>
  <c r="O452" i="2" a="1"/>
  <c r="O450" i="2" a="1"/>
  <c r="W450" i="2" s="1"/>
  <c r="O448" i="2" a="1"/>
  <c r="P448" i="2" a="1"/>
  <c r="P449" i="2" a="1"/>
  <c r="O449" i="2" a="1"/>
  <c r="W449" i="2" s="1"/>
  <c r="Q451" i="2" l="1"/>
  <c r="Q452" i="2"/>
  <c r="Q449" i="2"/>
  <c r="AA449" i="2" s="1"/>
  <c r="AB449" i="2" s="1"/>
  <c r="W453" i="2"/>
  <c r="W448" i="2"/>
  <c r="W451" i="2"/>
  <c r="AA451" i="2" s="1"/>
  <c r="AB451" i="2" s="1"/>
  <c r="Q453" i="2"/>
  <c r="W452" i="2"/>
  <c r="Q448" i="2"/>
  <c r="Q450" i="2"/>
  <c r="AA450" i="2" s="1"/>
  <c r="AB450" i="2" s="1"/>
  <c r="AA452" i="2" l="1"/>
  <c r="AB452" i="2" s="1"/>
  <c r="AA453" i="2"/>
  <c r="AB453" i="2" s="1"/>
  <c r="AA448" i="2"/>
  <c r="AB448" i="2" s="1"/>
  <c r="P458" i="2" a="1"/>
  <c r="O459" i="2" a="1"/>
  <c r="O457" i="2" a="1"/>
  <c r="P457" i="2" a="1"/>
  <c r="O456" i="2" a="1"/>
  <c r="P456" i="2" a="1"/>
  <c r="P455" i="2" a="1"/>
  <c r="O455" i="2" a="1"/>
  <c r="W455" i="2" s="1"/>
  <c r="P454" i="2" a="1"/>
  <c r="O454" i="2" a="1"/>
  <c r="P459" i="2" a="1"/>
  <c r="O458" i="2" a="1"/>
  <c r="W458" i="2" s="1"/>
  <c r="P460" i="2" a="1"/>
  <c r="O461" i="2" a="1"/>
  <c r="O462" i="2" a="1"/>
  <c r="O460" i="2" a="1"/>
  <c r="O463" i="2" a="1"/>
  <c r="P462" i="2" a="1"/>
  <c r="P461" i="2" a="1"/>
  <c r="P463" i="2" a="1"/>
  <c r="Q456" i="2" l="1"/>
  <c r="Q462" i="2"/>
  <c r="Q460" i="2"/>
  <c r="Q461" i="2"/>
  <c r="O465" i="2" a="1"/>
  <c r="O464" i="2" a="1"/>
  <c r="P465" i="2" a="1"/>
  <c r="P464" i="2" a="1"/>
  <c r="Q464" i="2" s="1"/>
  <c r="W457" i="2"/>
  <c r="W459" i="2"/>
  <c r="Q454" i="2"/>
  <c r="W463" i="2"/>
  <c r="W461" i="2"/>
  <c r="AA461" i="2" s="1"/>
  <c r="AB461" i="2" s="1"/>
  <c r="Q458" i="2"/>
  <c r="AA458" i="2" s="1"/>
  <c r="AB458" i="2" s="1"/>
  <c r="Q457" i="2"/>
  <c r="W456" i="2"/>
  <c r="AA456" i="2" s="1"/>
  <c r="AB456" i="2" s="1"/>
  <c r="Q455" i="2"/>
  <c r="AA455" i="2" s="1"/>
  <c r="AB455" i="2" s="1"/>
  <c r="Q459" i="2"/>
  <c r="W462" i="2"/>
  <c r="AA462" i="2" s="1"/>
  <c r="AB462" i="2" s="1"/>
  <c r="W460" i="2"/>
  <c r="W454" i="2"/>
  <c r="Q463" i="2"/>
  <c r="Q465" i="2" l="1"/>
  <c r="AA460" i="2"/>
  <c r="AB460" i="2" s="1"/>
  <c r="AA463" i="2"/>
  <c r="AB463" i="2" s="1"/>
  <c r="W464" i="2"/>
  <c r="AA464" i="2" s="1"/>
  <c r="AB464" i="2" s="1"/>
  <c r="W465" i="2"/>
  <c r="AA457" i="2"/>
  <c r="AB457" i="2" s="1"/>
  <c r="AA459" i="2"/>
  <c r="AB459" i="2" s="1"/>
  <c r="AA454" i="2"/>
  <c r="AB454" i="2" s="1"/>
  <c r="P466" i="2" a="1"/>
  <c r="O467" i="2" a="1"/>
  <c r="O466" i="2" a="1"/>
  <c r="P467" i="2" a="1"/>
  <c r="AA465" i="2" l="1"/>
  <c r="AB465" i="2" s="1"/>
  <c r="Q467" i="2"/>
  <c r="W467" i="2"/>
  <c r="AA467" i="2" s="1"/>
  <c r="AB467" i="2" s="1"/>
  <c r="Q466" i="2"/>
  <c r="W466" i="2"/>
  <c r="AA466" i="2" s="1"/>
  <c r="AB466" i="2" s="1"/>
  <c r="O470" i="2" a="1"/>
  <c r="P474" i="2" a="1"/>
  <c r="P472" i="2" a="1"/>
  <c r="O476" i="2" a="1"/>
  <c r="P476" i="2" a="1"/>
  <c r="P469" i="2" a="1"/>
  <c r="P468" i="2" a="1"/>
  <c r="O469" i="2" a="1"/>
  <c r="W469" i="2" s="1"/>
  <c r="O468" i="2" a="1"/>
  <c r="P471" i="2" a="1"/>
  <c r="O474" i="2" a="1"/>
  <c r="O471" i="2" a="1"/>
  <c r="O475" i="2" a="1"/>
  <c r="P470" i="2" a="1"/>
  <c r="Q470" i="2" s="1"/>
  <c r="O477" i="2" a="1"/>
  <c r="W477" i="2" s="1"/>
  <c r="P477" i="2" a="1"/>
  <c r="P473" i="2" a="1"/>
  <c r="O473" i="2" a="1"/>
  <c r="W473" i="2" s="1"/>
  <c r="P475" i="2" a="1"/>
  <c r="O472" i="2" a="1"/>
  <c r="W472" i="2" s="1"/>
  <c r="Q475" i="2" l="1"/>
  <c r="Q476" i="2"/>
  <c r="W468" i="2"/>
  <c r="W474" i="2"/>
  <c r="W471" i="2"/>
  <c r="W470" i="2"/>
  <c r="AA470" i="2" s="1"/>
  <c r="AB470" i="2" s="1"/>
  <c r="Q474" i="2"/>
  <c r="Q469" i="2"/>
  <c r="AA469" i="2" s="1"/>
  <c r="AB469" i="2" s="1"/>
  <c r="Q468" i="2"/>
  <c r="W475" i="2"/>
  <c r="AA475" i="2" s="1"/>
  <c r="AB475" i="2" s="1"/>
  <c r="Q477" i="2"/>
  <c r="AA477" i="2" s="1"/>
  <c r="AB477" i="2" s="1"/>
  <c r="Q473" i="2"/>
  <c r="AA473" i="2" s="1"/>
  <c r="AB473" i="2" s="1"/>
  <c r="W476" i="2"/>
  <c r="Q472" i="2"/>
  <c r="AA472" i="2" s="1"/>
  <c r="AB472" i="2" s="1"/>
  <c r="Q471" i="2"/>
  <c r="O481" i="2" a="1"/>
  <c r="O480" i="2" a="1"/>
  <c r="P480" i="2" a="1"/>
  <c r="Q480" i="2" s="1"/>
  <c r="P481" i="2" a="1"/>
  <c r="P478" i="2" a="1"/>
  <c r="O479" i="2" a="1"/>
  <c r="AA468" i="2" l="1"/>
  <c r="AB468" i="2" s="1"/>
  <c r="AA476" i="2"/>
  <c r="AB476" i="2" s="1"/>
  <c r="AA474" i="2"/>
  <c r="AB474" i="2" s="1"/>
  <c r="AA471" i="2"/>
  <c r="AB471" i="2" s="1"/>
  <c r="Q481" i="2"/>
  <c r="W481" i="2"/>
  <c r="AA481" i="2" s="1"/>
  <c r="AB481" i="2" s="1"/>
  <c r="W480" i="2"/>
  <c r="AA480" i="2" s="1"/>
  <c r="AB480" i="2" s="1"/>
  <c r="O485" i="2" a="1"/>
  <c r="O484" i="2" a="1"/>
  <c r="P484" i="2" a="1"/>
  <c r="P485" i="2" a="1"/>
  <c r="O478" i="2" l="1" a="1"/>
  <c r="P479" i="2" a="1"/>
  <c r="O483" i="2" a="1"/>
  <c r="O482" i="2" a="1"/>
  <c r="P483" i="2" a="1"/>
  <c r="P482" i="2" a="1"/>
  <c r="W484" i="2"/>
  <c r="Q485" i="2"/>
  <c r="W485" i="2"/>
  <c r="Q484" i="2"/>
  <c r="W478" i="2" l="1"/>
  <c r="AA478" i="2" s="1"/>
  <c r="AB478" i="2" s="1"/>
  <c r="Q478" i="2"/>
  <c r="W479" i="2"/>
  <c r="Q479" i="2"/>
  <c r="Q483" i="2"/>
  <c r="W482" i="2"/>
  <c r="Q482" i="2"/>
  <c r="W483" i="2"/>
  <c r="AA485" i="2"/>
  <c r="AB485" i="2" s="1"/>
  <c r="AA484" i="2"/>
  <c r="AB484" i="2" s="1"/>
  <c r="AA479" i="2" l="1"/>
  <c r="AB479" i="2" s="1"/>
  <c r="AA482" i="2"/>
  <c r="AB482" i="2" s="1"/>
  <c r="AA483" i="2"/>
  <c r="AB483" i="2" s="1"/>
  <c r="O488" i="2" a="1"/>
  <c r="W488" i="2" s="1"/>
  <c r="P486" i="2" a="1"/>
  <c r="O489" i="2" a="1"/>
  <c r="P488" i="2" a="1"/>
  <c r="O486" i="2" a="1"/>
  <c r="P487" i="2" a="1"/>
  <c r="O487" i="2" a="1"/>
  <c r="W487" i="2" s="1"/>
  <c r="P489" i="2" a="1"/>
  <c r="Q489" i="2" s="1"/>
  <c r="Q486" i="2" l="1"/>
  <c r="W489" i="2"/>
  <c r="AA489" i="2" s="1"/>
  <c r="AB489" i="2" s="1"/>
  <c r="Q488" i="2"/>
  <c r="AA488" i="2" s="1"/>
  <c r="AB488" i="2" s="1"/>
  <c r="P492" i="2" a="1"/>
  <c r="P490" i="2" a="1"/>
  <c r="O491" i="2" a="1"/>
  <c r="O493" i="2" a="1"/>
  <c r="O492" i="2" a="1"/>
  <c r="W492" i="2" s="1"/>
  <c r="P493" i="2" a="1"/>
  <c r="O490" i="2" a="1"/>
  <c r="W490" i="2" s="1"/>
  <c r="P491" i="2" a="1"/>
  <c r="Q491" i="2" s="1"/>
  <c r="Q487" i="2"/>
  <c r="AA487" i="2" s="1"/>
  <c r="AB487" i="2" s="1"/>
  <c r="W486" i="2"/>
  <c r="AA486" i="2" l="1"/>
  <c r="AB486" i="2" s="1"/>
  <c r="Q492" i="2"/>
  <c r="AA492" i="2" s="1"/>
  <c r="AB492" i="2" s="1"/>
  <c r="W493" i="2"/>
  <c r="W491" i="2"/>
  <c r="AA491" i="2" s="1"/>
  <c r="AB491" i="2" s="1"/>
  <c r="Q493" i="2"/>
  <c r="Q490" i="2"/>
  <c r="AA490" i="2" s="1"/>
  <c r="AB490" i="2" s="1"/>
  <c r="AA493" i="2" l="1"/>
  <c r="AB493" i="2" s="1"/>
  <c r="P495" i="2" a="1"/>
  <c r="O495" i="2" a="1"/>
  <c r="W495" i="2" s="1"/>
  <c r="P494" i="2" a="1"/>
  <c r="Q494" i="2" s="1"/>
  <c r="O494" i="2" a="1"/>
  <c r="W494" i="2" l="1"/>
  <c r="AA494" i="2" s="1"/>
  <c r="AB494" i="2" s="1"/>
  <c r="Q495" i="2"/>
  <c r="AA495" i="2" s="1"/>
  <c r="AB495" i="2" s="1"/>
  <c r="G34" i="3" a="1"/>
  <c r="AX6" i="3" a="1"/>
  <c r="P496" i="2" l="1" a="1"/>
  <c r="P497" i="2" a="1"/>
  <c r="O497" i="2" a="1"/>
  <c r="O496" i="2" a="1"/>
  <c r="P499" i="2" a="1"/>
  <c r="O499" i="2" a="1"/>
  <c r="W499" i="2" s="1"/>
  <c r="O498" i="2" a="1"/>
  <c r="P498" i="2" a="1"/>
  <c r="W497" i="2" l="1"/>
  <c r="W496" i="2"/>
  <c r="Q498" i="2"/>
  <c r="Q496" i="2"/>
  <c r="AA496" i="2" s="1"/>
  <c r="AB496" i="2" s="1"/>
  <c r="Q499" i="2"/>
  <c r="AA499" i="2" s="1"/>
  <c r="AB499" i="2" s="1"/>
  <c r="W498" i="2"/>
  <c r="Q497" i="2"/>
  <c r="AA497" i="2" l="1"/>
  <c r="AB497" i="2" s="1"/>
  <c r="AA498" i="2"/>
  <c r="AB498" i="2" s="1"/>
  <c r="P501" i="2" a="1"/>
  <c r="O502" i="2" a="1"/>
  <c r="O501" i="2" a="1"/>
  <c r="P503" i="2" a="1"/>
  <c r="P502" i="2" a="1"/>
  <c r="O500" i="2" a="1"/>
  <c r="O503" i="2" a="1"/>
  <c r="P500" i="2" a="1"/>
  <c r="Q503" i="2" l="1"/>
  <c r="W503" i="2"/>
  <c r="AA503" i="2" s="1"/>
  <c r="AB503" i="2" s="1"/>
  <c r="Q501" i="2"/>
  <c r="W502" i="2"/>
  <c r="Q500" i="2"/>
  <c r="P507" i="2" a="1"/>
  <c r="O506" i="2" a="1"/>
  <c r="W501" i="2"/>
  <c r="Q502" i="2"/>
  <c r="W500" i="2"/>
  <c r="AA501" i="2" l="1"/>
  <c r="AB501" i="2" s="1"/>
  <c r="AA502" i="2"/>
  <c r="AB502" i="2" s="1"/>
  <c r="AA500" i="2"/>
  <c r="AB500" i="2" s="1"/>
  <c r="P505" i="2" l="1" a="1"/>
  <c r="Q505" i="2" s="1"/>
  <c r="O504" i="2" a="1"/>
  <c r="P506" i="2" a="1"/>
  <c r="O507" i="2" a="1"/>
  <c r="G32" i="3" a="1"/>
  <c r="O505" i="2" a="1"/>
  <c r="P504" i="2" a="1"/>
  <c r="G37" i="3" a="1"/>
  <c r="W504" i="2" l="1"/>
  <c r="Q506" i="2"/>
  <c r="AA506" i="2" s="1"/>
  <c r="AB506" i="2" s="1"/>
  <c r="W506" i="2"/>
  <c r="Q507" i="2"/>
  <c r="W507" i="2"/>
  <c r="W505" i="2"/>
  <c r="AA505" i="2" s="1"/>
  <c r="AB505" i="2" s="1"/>
  <c r="Q504" i="2"/>
  <c r="AA504" i="2" l="1"/>
  <c r="AB504" i="2" s="1"/>
  <c r="O508" i="2" a="1"/>
  <c r="P509" i="2" a="1"/>
  <c r="AA507" i="2"/>
  <c r="AB507" i="2" s="1"/>
  <c r="O510" i="2" a="1"/>
  <c r="P511" i="2" a="1"/>
  <c r="O509" i="2" l="1" a="1"/>
  <c r="P508" i="2" a="1"/>
  <c r="Q509" i="2" l="1"/>
  <c r="W509" i="2"/>
  <c r="W508" i="2"/>
  <c r="Q508" i="2"/>
  <c r="AA509" i="2" l="1"/>
  <c r="AB509" i="2" s="1"/>
  <c r="AA508" i="2"/>
  <c r="AB508" i="2" s="1"/>
  <c r="G30" i="3" a="1"/>
  <c r="P510" i="2" l="1" a="1"/>
  <c r="O511" i="2" a="1"/>
  <c r="G27" i="3" a="1"/>
  <c r="G26" i="3" a="1"/>
  <c r="AX5" i="3" a="1"/>
  <c r="W510" i="2" l="1"/>
  <c r="Q510" i="2"/>
  <c r="W511" i="2"/>
  <c r="AA511" i="2" s="1"/>
  <c r="AB511" i="2" s="1"/>
  <c r="Q511" i="2"/>
  <c r="O512" i="2" l="1" a="1"/>
  <c r="P513" i="2" a="1"/>
  <c r="AA510" i="2"/>
  <c r="AB510" i="2" s="1"/>
  <c r="O513" i="2" l="1" a="1"/>
  <c r="P512" i="2" a="1"/>
  <c r="Q513" i="2" l="1"/>
  <c r="W513" i="2"/>
  <c r="AA513" i="2" s="1"/>
  <c r="AB513" i="2" s="1"/>
  <c r="W512" i="2"/>
  <c r="Q512" i="2"/>
  <c r="AA512" i="2" s="1"/>
  <c r="AB512" i="2" s="1"/>
  <c r="G38" i="3" a="1"/>
  <c r="G35" i="3" a="1"/>
  <c r="AX8" i="3" a="1"/>
  <c r="O515" i="2" l="1" a="1"/>
  <c r="W515" i="2" s="1"/>
  <c r="P514" i="2" a="1"/>
  <c r="Q514" i="2" s="1"/>
  <c r="P515" i="2" a="1"/>
  <c r="O514" i="2" a="1"/>
  <c r="G29" i="3" a="1"/>
  <c r="AX2" i="3" a="1"/>
  <c r="W514" i="2" l="1"/>
  <c r="AA514" i="2" s="1"/>
  <c r="AB514" i="2" s="1"/>
  <c r="Q515" i="2"/>
  <c r="AA515" i="2" s="1"/>
  <c r="AB515" i="2" s="1"/>
  <c r="G28" i="3" s="1" a="1"/>
  <c r="AX9" i="3" a="1"/>
  <c r="G36" i="3" a="1"/>
  <c r="AX4" i="3" l="1" a="1"/>
  <c r="G25" i="3" a="1"/>
  <c r="G31" i="3" l="1" a="1"/>
  <c r="AX7" i="3" a="1"/>
  <c r="G33" i="3" a="1"/>
  <c r="AX3" i="3" a="1"/>
  <c r="A2" i="3" l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<sst xmlns="http://schemas.openxmlformats.org/spreadsheetml/2006/main" count="2666" uniqueCount="88">
  <si>
    <t>Team</t>
  </si>
  <si>
    <t>CLE</t>
  </si>
  <si>
    <t>HOU</t>
  </si>
  <si>
    <t>Opponent</t>
  </si>
  <si>
    <t>PreGmRate</t>
  </si>
  <si>
    <t>OppPreGmRate</t>
  </si>
  <si>
    <t>ExpectedWin%</t>
  </si>
  <si>
    <t>PointsFor</t>
  </si>
  <si>
    <t>PointsAgainst</t>
  </si>
  <si>
    <t>MOV</t>
  </si>
  <si>
    <t>Result</t>
  </si>
  <si>
    <t>RatingChange</t>
  </si>
  <si>
    <t>PostGmRate</t>
  </si>
  <si>
    <t>MOVMult</t>
  </si>
  <si>
    <t>HomeAway</t>
  </si>
  <si>
    <t>H</t>
  </si>
  <si>
    <t>A</t>
  </si>
  <si>
    <t>W</t>
  </si>
  <si>
    <t>L</t>
  </si>
  <si>
    <t>Row Labels</t>
  </si>
  <si>
    <t>Grand Total</t>
  </si>
  <si>
    <t>Sum of W</t>
  </si>
  <si>
    <t>Sum of L</t>
  </si>
  <si>
    <t>R</t>
  </si>
  <si>
    <t>OT</t>
  </si>
  <si>
    <t>Keff</t>
  </si>
  <si>
    <t>POMult</t>
  </si>
  <si>
    <t>Round</t>
  </si>
  <si>
    <t>Type</t>
  </si>
  <si>
    <t>RS</t>
  </si>
  <si>
    <t>Season</t>
  </si>
  <si>
    <t>Logo</t>
  </si>
  <si>
    <t>TeamName</t>
  </si>
  <si>
    <t>TeamID</t>
  </si>
  <si>
    <t>GamesPlayed</t>
  </si>
  <si>
    <t>Date</t>
  </si>
  <si>
    <t>K</t>
  </si>
  <si>
    <t>DaysOff</t>
  </si>
  <si>
    <t>OppDaysOff</t>
  </si>
  <si>
    <t>RestDiff</t>
  </si>
  <si>
    <t>OppRestDiff</t>
  </si>
  <si>
    <t>RestAdj</t>
  </si>
  <si>
    <t>OppRestAdj</t>
  </si>
  <si>
    <t>UTA</t>
  </si>
  <si>
    <t>PHX</t>
  </si>
  <si>
    <t>SAC</t>
  </si>
  <si>
    <t>P</t>
  </si>
  <si>
    <t>R1W</t>
  </si>
  <si>
    <t>R1L</t>
  </si>
  <si>
    <t>R2W</t>
  </si>
  <si>
    <t>R2L</t>
  </si>
  <si>
    <t>R3W</t>
  </si>
  <si>
    <t>R3L</t>
  </si>
  <si>
    <t>FW</t>
  </si>
  <si>
    <t>FL</t>
  </si>
  <si>
    <t>Sum of R1W</t>
  </si>
  <si>
    <t>Sum of R1L</t>
  </si>
  <si>
    <t>Sum of R2W</t>
  </si>
  <si>
    <t>Sum of R2L</t>
  </si>
  <si>
    <t>Sum of R3W</t>
  </si>
  <si>
    <t>Sum of R3L</t>
  </si>
  <si>
    <t>Sum of FW</t>
  </si>
  <si>
    <t>Sum of FL</t>
  </si>
  <si>
    <t>PreSeasonElo</t>
  </si>
  <si>
    <t>CHA</t>
  </si>
  <si>
    <t>Houston Comets</t>
  </si>
  <si>
    <t>NYL</t>
  </si>
  <si>
    <t>New York Liberty</t>
  </si>
  <si>
    <t>Charlotte Sting</t>
  </si>
  <si>
    <t>Cleveland Rockers</t>
  </si>
  <si>
    <t>Phoenix Mercury</t>
  </si>
  <si>
    <t>LAS</t>
  </si>
  <si>
    <t>Los Angeles Sparks</t>
  </si>
  <si>
    <t>Sacramento Monarchs</t>
  </si>
  <si>
    <t>WAS</t>
  </si>
  <si>
    <t>Washington Mystics</t>
  </si>
  <si>
    <t>DET</t>
  </si>
  <si>
    <t>Detroit Shock</t>
  </si>
  <si>
    <t>MIN</t>
  </si>
  <si>
    <t>Minnesota Lynx</t>
  </si>
  <si>
    <t>IND</t>
  </si>
  <si>
    <t>Indiana Fever</t>
  </si>
  <si>
    <t>SEA</t>
  </si>
  <si>
    <t>Seattle Storm</t>
  </si>
  <si>
    <t>San Antonio Silver Stars</t>
  </si>
  <si>
    <t>SAS</t>
  </si>
  <si>
    <t>Connecticut Sun</t>
  </si>
  <si>
    <t>CON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</si>
</sst>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"/>
    <numFmt numFmtId="166" formatCode="0.0"/>
    <numFmt numFmtId="167" formatCode="mm/dd/yy;@"/>
  </numFmts>
  <fonts count="4" x14ac:knownFonts="1">
    <font>
      <sz val="12"/>
      <color theme="1"/>
      <name val="Times New Roman"/>
      <family val="2"/>
    </font>
    <font>
      <sz val="8"/>
      <name val="Times New Roman"/>
      <family val="2"/>
    </font>
    <font>
      <b/>
      <i/>
      <u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166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1" fontId="0" fillId="0" borderId="0" xfId="0" applyNumberFormat="1" applyAlignment="1">
      <alignment horizontal="left"/>
    </xf>
    <xf numFmtId="2" fontId="0" fillId="0" borderId="0" xfId="0" applyNumberFormat="1"/>
    <xf numFmtId="165" fontId="0" fillId="0" borderId="0" xfId="0" applyNumberFormat="1"/>
    <xf numFmtId="0" fontId="2" fillId="0" borderId="0" xfId="0" applyFont="1"/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45"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65" formatCode="0.0000"/>
      <alignment horizontal="center" vertical="bottom" textRotation="0" wrapText="0" indent="0" justifyLastLine="0" shrinkToFit="0" readingOrder="0"/>
    </dxf>
    <dxf>
      <numFmt numFmtId="165" formatCode="0.0000"/>
      <alignment horizontal="center" vertical="bottom" textRotation="0" wrapText="0" indent="0" justifyLastLine="0" shrinkToFit="0" readingOrder="0"/>
    </dxf>
    <dxf>
      <numFmt numFmtId="165" formatCode="0.00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166" formatCode="0.0"/>
      <alignment horizontal="center" vertical="bottom" textRotation="0" wrapText="0" indent="0" justifyLastLine="0" shrinkToFit="0" readingOrder="0"/>
    </dxf>
    <dxf>
      <numFmt numFmtId="165" formatCode="0.0000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5" formatCode="0.0000"/>
      <alignment horizontal="center" vertical="bottom" textRotation="0" wrapText="0" indent="0" justifyLastLine="0" shrinkToFit="0" readingOrder="0"/>
    </dxf>
    <dxf>
      <numFmt numFmtId="165" formatCode="0.0000"/>
      <alignment horizontal="center" vertical="bottom" textRotation="0" wrapText="0" indent="0" justifyLastLine="0" shrinkToFit="0" readingOrder="0"/>
    </dxf>
    <dxf>
      <numFmt numFmtId="165" formatCode="0.0000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67" formatCode="mm/dd/yy;@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/>
    </dxf>
    <dxf>
      <alignment horizontal="center"/>
    </dxf>
    <dxf>
      <numFmt numFmtId="165" formatCode="0.000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EB8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J Sutton" refreshedDate="46230.123179282411" createdVersion="8" refreshedVersion="8" minRefreshableVersion="3" recordCount="514" xr:uid="{62758027-916D-4613-9367-4993747D6E91}">
  <cacheSource type="worksheet">
    <worksheetSource name="Games"/>
  </cacheSource>
  <cacheFields count="38">
    <cacheField name="Date" numFmtId="167">
      <sharedItems containsSemiMixedTypes="0" containsNonDate="0" containsDate="1" containsString="0" minDate="2003-05-22T00:00:00" maxDate="2003-09-17T00:00:00"/>
    </cacheField>
    <cacheField name="Season" numFmtId="1">
      <sharedItems containsSemiMixedTypes="0" containsString="0" containsNumber="1" containsInteger="1" minValue="2003" maxValue="2003"/>
    </cacheField>
    <cacheField name="GamesPlayed" numFmtId="1">
      <sharedItems containsSemiMixedTypes="0" containsString="0" containsNumber="1" containsInteger="1" minValue="0" maxValue="202" count="203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 u="1"/>
        <n v="45" u="1"/>
        <n v="46" u="1"/>
        <n v="47" u="1"/>
        <n v="48" u="1"/>
        <n v="49" u="1"/>
        <n v="50" u="1"/>
        <n v="51" u="1"/>
        <n v="52" u="1"/>
        <n v="53" u="1"/>
        <n v="54" u="1"/>
        <n v="55" u="1"/>
        <n v="56" u="1"/>
        <n v="57" u="1"/>
        <n v="58" u="1"/>
        <n v="59" u="1"/>
        <n v="60" u="1"/>
        <n v="61" u="1"/>
        <n v="62" u="1"/>
        <n v="63" u="1"/>
        <n v="64" u="1"/>
        <n v="65" u="1"/>
        <n v="66" u="1"/>
        <n v="67" u="1"/>
        <n v="68" u="1"/>
        <n v="69" u="1"/>
        <n v="70" u="1"/>
        <n v="71" u="1"/>
        <n v="72" u="1"/>
        <n v="73" u="1"/>
        <n v="74" u="1"/>
        <n v="75" u="1"/>
        <n v="76" u="1"/>
        <n v="77" u="1"/>
        <n v="78" u="1"/>
        <n v="79" u="1"/>
        <n v="80" u="1"/>
        <n v="81" u="1"/>
        <n v="82" u="1"/>
        <n v="83" u="1"/>
        <n v="84" u="1"/>
        <n v="85" u="1"/>
        <n v="86" u="1"/>
        <n v="87" u="1"/>
        <n v="88" u="1"/>
        <n v="89" u="1"/>
        <n v="90" u="1"/>
        <n v="91" u="1"/>
        <n v="92" u="1"/>
        <n v="93" u="1"/>
        <n v="94" u="1"/>
        <n v="95" u="1"/>
        <n v="96" u="1"/>
        <n v="97" u="1"/>
        <n v="98" u="1"/>
        <n v="99" u="1"/>
        <n v="100" u="1"/>
        <n v="101" u="1"/>
        <n v="102" u="1"/>
        <n v="103" u="1"/>
        <n v="104" u="1"/>
        <n v="105" u="1"/>
        <n v="106" u="1"/>
        <n v="107" u="1"/>
        <n v="108" u="1"/>
        <n v="109" u="1"/>
        <n v="110" u="1"/>
        <n v="111" u="1"/>
        <n v="112" u="1"/>
        <n v="113" u="1"/>
        <n v="114" u="1"/>
        <n v="115" u="1"/>
        <n v="116" u="1"/>
        <n v="117" u="1"/>
        <n v="118" u="1"/>
        <n v="119" u="1"/>
        <n v="120" u="1"/>
        <n v="121" u="1"/>
        <n v="122" u="1"/>
        <n v="123" u="1"/>
        <n v="124" u="1"/>
        <n v="125" u="1"/>
        <n v="126" u="1"/>
        <n v="127" u="1"/>
        <n v="128" u="1"/>
        <n v="129" u="1"/>
        <n v="130" u="1"/>
        <n v="131" u="1"/>
        <n v="132" u="1"/>
        <n v="133" u="1"/>
        <n v="134" u="1"/>
        <n v="135" u="1"/>
        <n v="136" u="1"/>
        <n v="137" u="1"/>
        <n v="138" u="1"/>
        <n v="139" u="1"/>
        <n v="140" u="1"/>
        <n v="141" u="1"/>
        <n v="142" u="1"/>
        <n v="143" u="1"/>
        <n v="144" u="1"/>
        <n v="145" u="1"/>
        <n v="146" u="1"/>
        <n v="147" u="1"/>
        <n v="148" u="1"/>
        <n v="149" u="1"/>
        <n v="150" u="1"/>
        <n v="151" u="1"/>
        <n v="152" u="1"/>
        <n v="153" u="1"/>
        <n v="154" u="1"/>
        <n v="155" u="1"/>
        <n v="156" u="1"/>
        <n v="157" u="1"/>
        <n v="158" u="1"/>
        <n v="159" u="1"/>
        <n v="160" u="1"/>
        <n v="161" u="1"/>
        <n v="162" u="1"/>
        <n v="163" u="1"/>
        <n v="164" u="1"/>
        <n v="165" u="1"/>
        <n v="166" u="1"/>
        <n v="167" u="1"/>
        <n v="168" u="1"/>
        <n v="169" u="1"/>
        <n v="170" u="1"/>
        <n v="171" u="1"/>
        <n v="172" u="1"/>
        <n v="173" u="1"/>
        <n v="174" u="1"/>
        <n v="175" u="1"/>
        <n v="176" u="1"/>
        <n v="177" u="1"/>
        <n v="178" u="1"/>
        <n v="179" u="1"/>
        <n v="180" u="1"/>
        <n v="181" u="1"/>
        <n v="182" u="1"/>
        <n v="183" u="1"/>
        <n v="184" u="1"/>
        <n v="185" u="1"/>
        <n v="186" u="1"/>
        <n v="187" u="1"/>
        <n v="188" u="1"/>
        <n v="189" u="1"/>
        <n v="190" u="1"/>
        <n v="191" u="1"/>
        <n v="192" u="1"/>
        <n v="193" u="1"/>
        <n v="194" u="1"/>
        <n v="195" u="1"/>
        <n v="196" u="1"/>
        <n v="197" u="1"/>
        <n v="198" u="1"/>
        <n v="199" u="1"/>
        <n v="200" u="1"/>
        <n v="201" u="1"/>
        <n v="202" u="1"/>
        <n v="0" u="1"/>
      </sharedItems>
    </cacheField>
    <cacheField name="Type" numFmtId="1">
      <sharedItems/>
    </cacheField>
    <cacheField name="Round" numFmtId="1">
      <sharedItems containsMixedTypes="1" containsNumber="1" containsInteger="1" minValue="1" maxValue="3"/>
    </cacheField>
    <cacheField name="Team" numFmtId="0">
      <sharedItems containsBlank="1" count="57">
        <s v="SEA"/>
        <s v="HOU"/>
        <s v="SAC"/>
        <s v="PHX"/>
        <s v="WAS"/>
        <s v="CHA"/>
        <s v="LAS"/>
        <s v="CON"/>
        <s v="MIN"/>
        <s v="SAS"/>
        <s v="CLE"/>
        <s v="IND"/>
        <s v="NYL"/>
        <s v="DET"/>
        <s v="UTA" u="1"/>
        <s v="MIA" u="1"/>
        <s v="POR" u="1"/>
        <s v="ORL" u="1"/>
        <s v="NO" u="1"/>
        <s v="TOR" u="1"/>
        <s v="LAL" u="1"/>
        <s v="LAC" u="1"/>
        <s v="CHI" u="1"/>
        <s v="BRK" u="1"/>
        <s v="MEM" u="1"/>
        <s v="BOS" u="1"/>
        <s v="PHI" u="1"/>
        <s v="DAL" u="1"/>
        <s v="NY" u="1"/>
        <s v="SA" u="1"/>
        <s v="OKC" u="1"/>
        <s v="DEN" u="1"/>
        <s v="ATL" u="1"/>
        <s v="MIL" u="1"/>
        <s v="GS" u="1"/>
        <m u="1"/>
        <s v="VAN" u="1"/>
        <s v="BUF" u="1"/>
        <s v="ARI" u="1"/>
        <s v="CIN" u="1"/>
        <s v="SD" u="1"/>
        <s v="NE" u="1"/>
        <s v="NYG" u="1"/>
        <s v="OAK" u="1"/>
        <s v="TEN" u="1"/>
        <s v="PIT" u="1"/>
        <s v="STL" u="1"/>
        <s v="KC" u="1"/>
        <s v="JAX" u="1"/>
        <s v="BAL" u="1"/>
        <s v="NYJ" u="1"/>
        <s v="SF" u="1"/>
        <s v="TB" u="1"/>
        <s v="CAR" u="1"/>
        <s v="GB" u="1"/>
        <s v="LV" u="1"/>
        <s v="LAR" u="1"/>
      </sharedItems>
    </cacheField>
    <cacheField name="Opponent" numFmtId="0">
      <sharedItems/>
    </cacheField>
    <cacheField name="HomeAway" numFmtId="0">
      <sharedItems/>
    </cacheField>
    <cacheField name="DaysOff" numFmtId="1">
      <sharedItems containsSemiMixedTypes="0" containsString="0" containsNumber="1" containsInteger="1" minValue="0" maxValue="9"/>
    </cacheField>
    <cacheField name="OppDaysOff" numFmtId="1">
      <sharedItems containsSemiMixedTypes="0" containsString="0" containsNumber="1" containsInteger="1" minValue="0" maxValue="9"/>
    </cacheField>
    <cacheField name="RestDiff" numFmtId="1">
      <sharedItems containsSemiMixedTypes="0" containsString="0" containsNumber="1" containsInteger="1" minValue="-8" maxValue="8"/>
    </cacheField>
    <cacheField name="OppRestDiff" numFmtId="1">
      <sharedItems containsSemiMixedTypes="0" containsString="0" containsNumber="1" containsInteger="1" minValue="-8" maxValue="8"/>
    </cacheField>
    <cacheField name="RestAdj" numFmtId="0">
      <sharedItems containsSemiMixedTypes="0" containsString="0" containsNumber="1" containsInteger="1" minValue="-16" maxValue="16"/>
    </cacheField>
    <cacheField name="OppRestAdj" numFmtId="0">
      <sharedItems containsSemiMixedTypes="0" containsString="0" containsNumber="1" containsInteger="1" minValue="-16" maxValue="16"/>
    </cacheField>
    <cacheField name="PreGmRate" numFmtId="165">
      <sharedItems containsSemiMixedTypes="0" containsString="0" containsNumber="1" minValue="1337.2908993643159" maxValue="1696.0501861712178"/>
    </cacheField>
    <cacheField name="OppPreGmRate" numFmtId="165">
      <sharedItems containsSemiMixedTypes="0" containsString="0" containsNumber="1" minValue="1337.2908993643159" maxValue="1696.0501861712178"/>
    </cacheField>
    <cacheField name="ExpectedWin%" numFmtId="165">
      <sharedItems containsSemiMixedTypes="0" containsString="0" containsNumber="1" minValue="8.0344541825629084E-2" maxValue="0.919655458174371"/>
    </cacheField>
    <cacheField name="PointsFor" numFmtId="0">
      <sharedItems containsSemiMixedTypes="0" containsString="0" containsNumber="1" containsInteger="1" minValue="45" maxValue="103"/>
    </cacheField>
    <cacheField name="PointsAgainst" numFmtId="0">
      <sharedItems containsSemiMixedTypes="0" containsString="0" containsNumber="1" containsInteger="1" minValue="45" maxValue="103"/>
    </cacheField>
    <cacheField name="OT" numFmtId="0">
      <sharedItems containsSemiMixedTypes="0" containsString="0" containsNumber="1" containsInteger="1" minValue="0" maxValue="1"/>
    </cacheField>
    <cacheField name="MOV" numFmtId="0">
      <sharedItems containsSemiMixedTypes="0" containsString="0" containsNumber="1" containsInteger="1" minValue="-40" maxValue="40"/>
    </cacheField>
    <cacheField name="Result" numFmtId="0">
      <sharedItems containsSemiMixedTypes="0" containsString="0" containsNumber="1" containsInteger="1" minValue="0" maxValue="1"/>
    </cacheField>
    <cacheField name="MOVMult" numFmtId="165">
      <sharedItems containsSemiMixedTypes="0" containsString="0" containsNumber="1" minValue="0.19573371411719315" maxValue="0.78928411558147282"/>
    </cacheField>
    <cacheField name="POMult" numFmtId="166">
      <sharedItems containsSemiMixedTypes="0" containsString="0" containsNumber="1" minValue="1" maxValue="1.35"/>
    </cacheField>
    <cacheField name="K" numFmtId="2">
      <sharedItems containsSemiMixedTypes="0" containsString="0" containsNumber="1" minValue="69.55" maxValue="75.849999999999994"/>
    </cacheField>
    <cacheField name="Keff" numFmtId="165">
      <sharedItems containsSemiMixedTypes="0" containsString="0" containsNumber="1" minValue="70.900000000000006" maxValue="94.5"/>
    </cacheField>
    <cacheField name="RatingChange" numFmtId="165">
      <sharedItems containsSemiMixedTypes="0" containsString="0" containsNumber="1" minValue="-31.55988482154082" maxValue="31.749370454225186"/>
    </cacheField>
    <cacheField name="PostGmRate" numFmtId="165">
      <sharedItems containsSemiMixedTypes="0" containsString="0" containsNumber="1" minValue="1337.2908993643159" maxValue="1696.0501861712178"/>
    </cacheField>
    <cacheField name="W" numFmtId="1">
      <sharedItems containsSemiMixedTypes="0" containsString="0" containsNumber="1" containsInteger="1" minValue="0" maxValue="1"/>
    </cacheField>
    <cacheField name="L" numFmtId="1">
      <sharedItems containsSemiMixedTypes="0" containsString="0" containsNumber="1" containsInteger="1" minValue="0" maxValue="1"/>
    </cacheField>
    <cacheField name="R1W" numFmtId="1">
      <sharedItems containsSemiMixedTypes="0" containsString="0" containsNumber="1" containsInteger="1" minValue="0" maxValue="1"/>
    </cacheField>
    <cacheField name="R1L" numFmtId="1">
      <sharedItems containsSemiMixedTypes="0" containsString="0" containsNumber="1" containsInteger="1" minValue="0" maxValue="1"/>
    </cacheField>
    <cacheField name="R2W" numFmtId="1">
      <sharedItems containsSemiMixedTypes="0" containsString="0" containsNumber="1" containsInteger="1" minValue="0" maxValue="1"/>
    </cacheField>
    <cacheField name="R2L" numFmtId="1">
      <sharedItems containsSemiMixedTypes="0" containsString="0" containsNumber="1" containsInteger="1" minValue="0" maxValue="1"/>
    </cacheField>
    <cacheField name="R3W" numFmtId="1">
      <sharedItems containsSemiMixedTypes="0" containsString="0" containsNumber="1" containsInteger="1" minValue="0" maxValue="1"/>
    </cacheField>
    <cacheField name="R3L" numFmtId="1">
      <sharedItems containsSemiMixedTypes="0" containsString="0" containsNumber="1" containsInteger="1" minValue="0" maxValue="1"/>
    </cacheField>
    <cacheField name="FW" numFmtId="1">
      <sharedItems containsSemiMixedTypes="0" containsString="0" containsNumber="1" containsInteger="1" minValue="0" maxValue="0"/>
    </cacheField>
    <cacheField name="FL" numFmtId="1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4">
  <r>
    <d v="2003-05-22T00:00:00"/>
    <n v="2003"/>
    <x v="0"/>
    <s v="R"/>
    <s v="RS"/>
    <x v="0"/>
    <s v="HOU"/>
    <s v="A"/>
    <n v="0"/>
    <n v="0"/>
    <n v="0"/>
    <n v="0"/>
    <n v="0"/>
    <n v="0"/>
    <n v="1506.6156944506351"/>
    <n v="1566.5784118479155"/>
    <n v="0.3039166299376545"/>
    <n v="64"/>
    <n v="75"/>
    <n v="0"/>
    <n v="-11"/>
    <n v="0"/>
    <n v="0.41890379534360095"/>
    <n v="1"/>
    <n v="75.849999999999994"/>
    <n v="75.849999999999994"/>
    <n v="-9.6566022864555912"/>
    <n v="1496.9590921641795"/>
    <n v="0"/>
    <n v="1"/>
    <n v="0"/>
    <n v="0"/>
    <n v="0"/>
    <n v="0"/>
    <n v="0"/>
    <n v="0"/>
    <n v="0"/>
    <n v="0"/>
  </r>
  <r>
    <d v="2003-05-22T00:00:00"/>
    <n v="2003"/>
    <x v="0"/>
    <s v="R"/>
    <s v="RS"/>
    <x v="1"/>
    <s v="SEA"/>
    <s v="H"/>
    <n v="0"/>
    <n v="0"/>
    <n v="0"/>
    <n v="0"/>
    <n v="0"/>
    <n v="0"/>
    <n v="1566.5784118479155"/>
    <n v="1506.6156944506351"/>
    <n v="0.69608337006234555"/>
    <n v="75"/>
    <n v="64"/>
    <n v="0"/>
    <n v="11"/>
    <n v="1"/>
    <n v="0.41890379534360095"/>
    <n v="1"/>
    <n v="75.849999999999994"/>
    <n v="75.849999999999994"/>
    <n v="9.6566022864555894"/>
    <n v="1576.2350141343711"/>
    <n v="1"/>
    <n v="0"/>
    <n v="0"/>
    <n v="0"/>
    <n v="0"/>
    <n v="0"/>
    <n v="0"/>
    <n v="0"/>
    <n v="0"/>
    <n v="0"/>
  </r>
  <r>
    <d v="2003-05-22T00:00:00"/>
    <n v="2003"/>
    <x v="0"/>
    <s v="R"/>
    <s v="RS"/>
    <x v="2"/>
    <s v="PHX"/>
    <s v="A"/>
    <n v="0"/>
    <n v="0"/>
    <n v="0"/>
    <n v="0"/>
    <n v="0"/>
    <n v="0"/>
    <n v="1510.6557570163386"/>
    <n v="1433.5261711142707"/>
    <n v="0.49011396788814038"/>
    <n v="65"/>
    <n v="56"/>
    <n v="0"/>
    <n v="9"/>
    <n v="1"/>
    <n v="0.3814537208709281"/>
    <n v="1"/>
    <n v="75.849999999999994"/>
    <n v="75.849999999999994"/>
    <n v="14.752667548232486"/>
    <n v="1525.4084245645711"/>
    <n v="1"/>
    <n v="0"/>
    <n v="0"/>
    <n v="0"/>
    <n v="0"/>
    <n v="0"/>
    <n v="0"/>
    <n v="0"/>
    <n v="0"/>
    <n v="0"/>
  </r>
  <r>
    <d v="2003-05-22T00:00:00"/>
    <n v="2003"/>
    <x v="0"/>
    <s v="R"/>
    <s v="RS"/>
    <x v="3"/>
    <s v="SAC"/>
    <s v="H"/>
    <n v="0"/>
    <n v="0"/>
    <n v="0"/>
    <n v="0"/>
    <n v="0"/>
    <n v="0"/>
    <n v="1433.5261711142707"/>
    <n v="1510.6557570163386"/>
    <n v="0.50988603211185968"/>
    <n v="56"/>
    <n v="65"/>
    <n v="0"/>
    <n v="-9"/>
    <n v="0"/>
    <n v="0.3814537208709281"/>
    <n v="1"/>
    <n v="75.849999999999994"/>
    <n v="75.849999999999994"/>
    <n v="-14.752667548232486"/>
    <n v="1418.7735035660382"/>
    <n v="0"/>
    <n v="1"/>
    <n v="0"/>
    <n v="0"/>
    <n v="0"/>
    <n v="0"/>
    <n v="0"/>
    <n v="0"/>
    <n v="0"/>
    <n v="0"/>
  </r>
  <r>
    <d v="2003-05-23T00:00:00"/>
    <n v="2003"/>
    <x v="0"/>
    <s v="R"/>
    <s v="RS"/>
    <x v="4"/>
    <s v="CHA"/>
    <s v="A"/>
    <n v="1"/>
    <n v="1"/>
    <n v="0"/>
    <n v="0"/>
    <n v="0"/>
    <n v="0"/>
    <n v="1484.6213006590781"/>
    <n v="1508.2145588291414"/>
    <n v="0.34992780119021372"/>
    <n v="74"/>
    <n v="70"/>
    <n v="0"/>
    <n v="4"/>
    <n v="1"/>
    <n v="0.30542770597115632"/>
    <n v="1"/>
    <n v="75.849999999999994"/>
    <n v="75.849999999999994"/>
    <n v="15.060022081195768"/>
    <n v="1499.6813227402738"/>
    <n v="1"/>
    <n v="0"/>
    <n v="0"/>
    <n v="0"/>
    <n v="0"/>
    <n v="0"/>
    <n v="0"/>
    <n v="0"/>
    <n v="0"/>
    <n v="0"/>
  </r>
  <r>
    <d v="2003-05-23T00:00:00"/>
    <n v="2003"/>
    <x v="0"/>
    <s v="R"/>
    <s v="RS"/>
    <x v="5"/>
    <s v="WAS"/>
    <s v="H"/>
    <n v="1"/>
    <n v="1"/>
    <n v="0"/>
    <n v="0"/>
    <n v="0"/>
    <n v="0"/>
    <n v="1508.2145588291414"/>
    <n v="1484.6213006590781"/>
    <n v="0.65007219880978628"/>
    <n v="70"/>
    <n v="74"/>
    <n v="0"/>
    <n v="-4"/>
    <n v="0"/>
    <n v="0.30542770597115632"/>
    <n v="1"/>
    <n v="75.849999999999994"/>
    <n v="75.849999999999994"/>
    <n v="-15.060022081195768"/>
    <n v="1493.1545367479457"/>
    <n v="0"/>
    <n v="1"/>
    <n v="0"/>
    <n v="0"/>
    <n v="0"/>
    <n v="0"/>
    <n v="0"/>
    <n v="0"/>
    <n v="0"/>
    <n v="0"/>
  </r>
  <r>
    <d v="2003-05-24T00:00:00"/>
    <n v="2003"/>
    <x v="0"/>
    <s v="R"/>
    <s v="RS"/>
    <x v="6"/>
    <s v="CON"/>
    <s v="A"/>
    <n v="2"/>
    <n v="2"/>
    <n v="0"/>
    <n v="0"/>
    <n v="0"/>
    <n v="0"/>
    <n v="1623.9933820498163"/>
    <n v="1493.8873699504024"/>
    <n v="0.56596511731403731"/>
    <n v="82"/>
    <n v="73"/>
    <n v="0"/>
    <n v="9"/>
    <n v="1"/>
    <n v="0.36626090563094155"/>
    <n v="1"/>
    <n v="75.849999999999994"/>
    <n v="75.849999999999994"/>
    <n v="12.057875198425295"/>
    <n v="1636.0512572482417"/>
    <n v="1"/>
    <n v="0"/>
    <n v="0"/>
    <n v="0"/>
    <n v="0"/>
    <n v="0"/>
    <n v="0"/>
    <n v="0"/>
    <n v="0"/>
    <n v="0"/>
  </r>
  <r>
    <d v="2003-05-24T00:00:00"/>
    <n v="2003"/>
    <x v="0"/>
    <s v="R"/>
    <s v="RS"/>
    <x v="7"/>
    <s v="LAS"/>
    <s v="H"/>
    <n v="2"/>
    <n v="2"/>
    <n v="0"/>
    <n v="0"/>
    <n v="0"/>
    <n v="0"/>
    <n v="1493.8873699504024"/>
    <n v="1623.9933820498163"/>
    <n v="0.43403488268596269"/>
    <n v="73"/>
    <n v="82"/>
    <n v="0"/>
    <n v="-9"/>
    <n v="0"/>
    <n v="0.36626090563094155"/>
    <n v="1"/>
    <n v="75.849999999999994"/>
    <n v="75.849999999999994"/>
    <n v="-12.057875198425295"/>
    <n v="1481.8294947519771"/>
    <n v="0"/>
    <n v="1"/>
    <n v="0"/>
    <n v="0"/>
    <n v="0"/>
    <n v="0"/>
    <n v="0"/>
    <n v="0"/>
    <n v="0"/>
    <n v="0"/>
  </r>
  <r>
    <d v="2003-05-24T00:00:00"/>
    <n v="2003"/>
    <x v="1"/>
    <s v="R"/>
    <s v="RS"/>
    <x v="2"/>
    <s v="MIN"/>
    <s v="A"/>
    <n v="1"/>
    <n v="2"/>
    <n v="-1"/>
    <n v="1"/>
    <n v="-8"/>
    <n v="8"/>
    <n v="1525.4084245645711"/>
    <n v="1449.2985468731431"/>
    <n v="0.46567343326877986"/>
    <n v="71"/>
    <n v="72"/>
    <n v="0"/>
    <n v="-1"/>
    <n v="0"/>
    <n v="0.22961628170172765"/>
    <n v="1"/>
    <n v="75.7"/>
    <n v="75.7"/>
    <n v="-8.0943135091482308"/>
    <n v="1517.3141110554229"/>
    <n v="0"/>
    <n v="1"/>
    <n v="0"/>
    <n v="0"/>
    <n v="0"/>
    <n v="0"/>
    <n v="0"/>
    <n v="0"/>
    <n v="0"/>
    <n v="0"/>
  </r>
  <r>
    <d v="2003-05-24T00:00:00"/>
    <n v="2003"/>
    <x v="0"/>
    <s v="R"/>
    <s v="RS"/>
    <x v="8"/>
    <s v="SAC"/>
    <s v="H"/>
    <n v="2"/>
    <n v="1"/>
    <n v="1"/>
    <n v="-1"/>
    <n v="8"/>
    <n v="-8"/>
    <n v="1449.2985468731431"/>
    <n v="1525.4084245645711"/>
    <n v="0.53432656673122014"/>
    <n v="72"/>
    <n v="71"/>
    <n v="0"/>
    <n v="1"/>
    <n v="1"/>
    <n v="0.22961628170172765"/>
    <n v="1"/>
    <n v="75.849999999999994"/>
    <n v="75.849999999999994"/>
    <n v="8.1103524394833979"/>
    <n v="1457.4088993126265"/>
    <n v="1"/>
    <n v="0"/>
    <n v="0"/>
    <n v="0"/>
    <n v="0"/>
    <n v="0"/>
    <n v="0"/>
    <n v="0"/>
    <n v="0"/>
    <n v="0"/>
  </r>
  <r>
    <d v="2003-05-24T00:00:00"/>
    <n v="2003"/>
    <x v="1"/>
    <s v="R"/>
    <s v="RS"/>
    <x v="1"/>
    <s v="PHX"/>
    <s v="A"/>
    <n v="1"/>
    <n v="1"/>
    <n v="0"/>
    <n v="0"/>
    <n v="0"/>
    <n v="0"/>
    <n v="1576.2350141343711"/>
    <n v="1418.7735035660382"/>
    <n v="0.60417183157183885"/>
    <n v="69"/>
    <n v="62"/>
    <n v="0"/>
    <n v="7"/>
    <n v="1"/>
    <n v="0.32717583778757692"/>
    <n v="1"/>
    <n v="75.7"/>
    <n v="75.7"/>
    <n v="9.8035597357432138"/>
    <n v="1586.0385738701143"/>
    <n v="1"/>
    <n v="0"/>
    <n v="0"/>
    <n v="0"/>
    <n v="0"/>
    <n v="0"/>
    <n v="0"/>
    <n v="0"/>
    <n v="0"/>
    <n v="0"/>
  </r>
  <r>
    <d v="2003-05-24T00:00:00"/>
    <n v="2003"/>
    <x v="1"/>
    <s v="R"/>
    <s v="RS"/>
    <x v="3"/>
    <s v="HOU"/>
    <s v="H"/>
    <n v="1"/>
    <n v="1"/>
    <n v="0"/>
    <n v="0"/>
    <n v="0"/>
    <n v="0"/>
    <n v="1418.7735035660382"/>
    <n v="1576.2350141343711"/>
    <n v="0.3958281684281611"/>
    <n v="62"/>
    <n v="69"/>
    <n v="0"/>
    <n v="-7"/>
    <n v="0"/>
    <n v="0.32717583778757692"/>
    <n v="1"/>
    <n v="75.7"/>
    <n v="75.7"/>
    <n v="-9.803559735743212"/>
    <n v="1408.9699438302951"/>
    <n v="0"/>
    <n v="1"/>
    <n v="0"/>
    <n v="0"/>
    <n v="0"/>
    <n v="0"/>
    <n v="0"/>
    <n v="0"/>
    <n v="0"/>
    <n v="0"/>
  </r>
  <r>
    <d v="2003-05-24T00:00:00"/>
    <n v="2003"/>
    <x v="1"/>
    <s v="R"/>
    <s v="RS"/>
    <x v="0"/>
    <s v="SAS"/>
    <s v="A"/>
    <n v="1"/>
    <n v="2"/>
    <n v="-1"/>
    <n v="1"/>
    <n v="-8"/>
    <n v="8"/>
    <n v="1496.9590921641795"/>
    <n v="1533.4255975538313"/>
    <n v="0.31312188155567483"/>
    <n v="56"/>
    <n v="65"/>
    <n v="0"/>
    <n v="-9"/>
    <n v="0"/>
    <n v="0.39399840630795674"/>
    <n v="1"/>
    <n v="75.7"/>
    <n v="75.7"/>
    <n v="-9.3390728391005098"/>
    <n v="1487.6200193250791"/>
    <n v="0"/>
    <n v="1"/>
    <n v="0"/>
    <n v="0"/>
    <n v="0"/>
    <n v="0"/>
    <n v="0"/>
    <n v="0"/>
    <n v="0"/>
    <n v="0"/>
  </r>
  <r>
    <d v="2003-05-24T00:00:00"/>
    <n v="2003"/>
    <x v="0"/>
    <s v="R"/>
    <s v="RS"/>
    <x v="9"/>
    <s v="SEA"/>
    <s v="H"/>
    <n v="2"/>
    <n v="1"/>
    <n v="1"/>
    <n v="-1"/>
    <n v="8"/>
    <n v="-8"/>
    <n v="1533.4255975538313"/>
    <n v="1496.9590921641795"/>
    <n v="0.68687811844432523"/>
    <n v="65"/>
    <n v="56"/>
    <n v="0"/>
    <n v="9"/>
    <n v="1"/>
    <n v="0.39399840630795674"/>
    <n v="1"/>
    <n v="75.849999999999994"/>
    <n v="75.849999999999994"/>
    <n v="9.3575782674474706"/>
    <n v="1542.7831758212787"/>
    <n v="1"/>
    <n v="0"/>
    <n v="0"/>
    <n v="0"/>
    <n v="0"/>
    <n v="0"/>
    <n v="0"/>
    <n v="0"/>
    <n v="0"/>
    <n v="0"/>
  </r>
  <r>
    <d v="2003-05-27T00:00:00"/>
    <n v="2003"/>
    <x v="1"/>
    <s v="R"/>
    <s v="RS"/>
    <x v="6"/>
    <s v="CLE"/>
    <s v="A"/>
    <n v="2"/>
    <n v="5"/>
    <n v="-3"/>
    <n v="3"/>
    <n v="-16"/>
    <n v="16"/>
    <n v="1636.0512572482417"/>
    <n v="1451.4260835953714"/>
    <n v="0.59749496590144557"/>
    <n v="79"/>
    <n v="71"/>
    <n v="0"/>
    <n v="8"/>
    <n v="1"/>
    <n v="0.33653775106101669"/>
    <n v="1"/>
    <n v="75.7"/>
    <n v="75.7"/>
    <n v="10.254181119746287"/>
    <n v="1646.305438367988"/>
    <n v="1"/>
    <n v="0"/>
    <n v="0"/>
    <n v="0"/>
    <n v="0"/>
    <n v="0"/>
    <n v="0"/>
    <n v="0"/>
    <n v="0"/>
    <n v="0"/>
  </r>
  <r>
    <d v="2003-05-27T00:00:00"/>
    <n v="2003"/>
    <x v="0"/>
    <s v="R"/>
    <s v="RS"/>
    <x v="10"/>
    <s v="LAS"/>
    <s v="H"/>
    <n v="5"/>
    <n v="2"/>
    <n v="3"/>
    <n v="-3"/>
    <n v="16"/>
    <n v="-16"/>
    <n v="1451.4260835953714"/>
    <n v="1636.0512572482417"/>
    <n v="0.40250503409855443"/>
    <n v="71"/>
    <n v="79"/>
    <n v="0"/>
    <n v="-8"/>
    <n v="0"/>
    <n v="0.33653775106101669"/>
    <n v="1"/>
    <n v="75.849999999999994"/>
    <n v="75.849999999999994"/>
    <n v="-10.274499840591226"/>
    <n v="1441.1515837547802"/>
    <n v="0"/>
    <n v="1"/>
    <n v="0"/>
    <n v="0"/>
    <n v="0"/>
    <n v="0"/>
    <n v="0"/>
    <n v="0"/>
    <n v="0"/>
    <n v="0"/>
  </r>
  <r>
    <d v="2003-05-28T00:00:00"/>
    <n v="2003"/>
    <x v="2"/>
    <s v="R"/>
    <s v="RS"/>
    <x v="6"/>
    <s v="MIN"/>
    <s v="A"/>
    <n v="0"/>
    <n v="3"/>
    <n v="-3"/>
    <n v="3"/>
    <n v="-16"/>
    <n v="16"/>
    <n v="1646.305438367988"/>
    <n v="1457.4088993126265"/>
    <n v="0.60339380183738767"/>
    <n v="83"/>
    <n v="80"/>
    <n v="0"/>
    <n v="3"/>
    <n v="1"/>
    <n v="0.25071718124899839"/>
    <n v="1"/>
    <n v="75.55"/>
    <n v="75.55"/>
    <n v="7.5123888986289549"/>
    <n v="1653.8178272666169"/>
    <n v="1"/>
    <n v="0"/>
    <n v="0"/>
    <n v="0"/>
    <n v="0"/>
    <n v="0"/>
    <n v="0"/>
    <n v="0"/>
    <n v="0"/>
    <n v="0"/>
  </r>
  <r>
    <d v="2003-05-28T00:00:00"/>
    <n v="2003"/>
    <x v="1"/>
    <s v="R"/>
    <s v="RS"/>
    <x v="8"/>
    <s v="LAS"/>
    <s v="H"/>
    <n v="3"/>
    <n v="0"/>
    <n v="3"/>
    <n v="-3"/>
    <n v="16"/>
    <n v="-16"/>
    <n v="1457.4088993126265"/>
    <n v="1646.305438367988"/>
    <n v="0.39660619816261244"/>
    <n v="80"/>
    <n v="83"/>
    <n v="0"/>
    <n v="-3"/>
    <n v="0"/>
    <n v="0.25071718124899839"/>
    <n v="1"/>
    <n v="75.7"/>
    <n v="75.7"/>
    <n v="-7.5273042968393398"/>
    <n v="1449.8815950157873"/>
    <n v="0"/>
    <n v="1"/>
    <n v="0"/>
    <n v="0"/>
    <n v="0"/>
    <n v="0"/>
    <n v="0"/>
    <n v="0"/>
    <n v="0"/>
    <n v="0"/>
  </r>
  <r>
    <d v="2003-05-28T00:00:00"/>
    <n v="2003"/>
    <x v="1"/>
    <s v="R"/>
    <s v="RS"/>
    <x v="9"/>
    <s v="PHX"/>
    <s v="A"/>
    <n v="3"/>
    <n v="3"/>
    <n v="0"/>
    <n v="0"/>
    <n v="0"/>
    <n v="0"/>
    <n v="1542.7831758212787"/>
    <n v="1408.9699438302951"/>
    <n v="0.5711998070613169"/>
    <n v="50"/>
    <n v="51"/>
    <n v="0"/>
    <n v="-1"/>
    <n v="0"/>
    <n v="0.21968263481759553"/>
    <n v="1"/>
    <n v="75.7"/>
    <n v="75.7"/>
    <n v="-9.4990387717256972"/>
    <n v="1533.284137049553"/>
    <n v="0"/>
    <n v="1"/>
    <n v="0"/>
    <n v="0"/>
    <n v="0"/>
    <n v="0"/>
    <n v="0"/>
    <n v="0"/>
    <n v="0"/>
    <n v="0"/>
  </r>
  <r>
    <d v="2003-05-28T00:00:00"/>
    <n v="2003"/>
    <x v="2"/>
    <s v="R"/>
    <s v="RS"/>
    <x v="3"/>
    <s v="SAS"/>
    <s v="H"/>
    <n v="3"/>
    <n v="3"/>
    <n v="0"/>
    <n v="0"/>
    <n v="0"/>
    <n v="0"/>
    <n v="1408.9699438302951"/>
    <n v="1542.7831758212787"/>
    <n v="0.42880019293868304"/>
    <n v="51"/>
    <n v="50"/>
    <n v="0"/>
    <n v="1"/>
    <n v="1"/>
    <n v="0.21968263481759553"/>
    <n v="1"/>
    <n v="75.55"/>
    <n v="75.55"/>
    <n v="9.4802163699323163"/>
    <n v="1418.4501602002274"/>
    <n v="1"/>
    <n v="0"/>
    <n v="0"/>
    <n v="0"/>
    <n v="0"/>
    <n v="0"/>
    <n v="0"/>
    <n v="0"/>
    <n v="0"/>
    <n v="0"/>
  </r>
  <r>
    <d v="2003-05-29T00:00:00"/>
    <n v="2003"/>
    <x v="0"/>
    <s v="R"/>
    <s v="RS"/>
    <x v="11"/>
    <s v="CHA"/>
    <s v="A"/>
    <n v="7"/>
    <n v="5"/>
    <n v="2"/>
    <n v="-2"/>
    <n v="16"/>
    <n v="-16"/>
    <n v="1489.9233139792823"/>
    <n v="1493.1545367479457"/>
    <n v="0.42117872672851214"/>
    <n v="57"/>
    <n v="66"/>
    <n v="0"/>
    <n v="-9"/>
    <n v="0"/>
    <n v="0.40488130906020814"/>
    <n v="1"/>
    <n v="75.849999999999994"/>
    <n v="75.849999999999994"/>
    <n v="-12.934502852053603"/>
    <n v="1476.9888111272287"/>
    <n v="0"/>
    <n v="1"/>
    <n v="0"/>
    <n v="0"/>
    <n v="0"/>
    <n v="0"/>
    <n v="0"/>
    <n v="0"/>
    <n v="0"/>
    <n v="0"/>
  </r>
  <r>
    <d v="2003-05-29T00:00:00"/>
    <n v="2003"/>
    <x v="1"/>
    <s v="R"/>
    <s v="RS"/>
    <x v="5"/>
    <s v="IND"/>
    <s v="H"/>
    <n v="5"/>
    <n v="7"/>
    <n v="-2"/>
    <n v="2"/>
    <n v="-16"/>
    <n v="16"/>
    <n v="1493.1545367479457"/>
    <n v="1489.9233139792823"/>
    <n v="0.57882127327148791"/>
    <n v="66"/>
    <n v="57"/>
    <n v="0"/>
    <n v="9"/>
    <n v="1"/>
    <n v="0.40488130906020814"/>
    <n v="1"/>
    <n v="75.7"/>
    <n v="75.7"/>
    <n v="12.908923742919681"/>
    <n v="1506.0634604908653"/>
    <n v="1"/>
    <n v="0"/>
    <n v="0"/>
    <n v="0"/>
    <n v="0"/>
    <n v="0"/>
    <n v="0"/>
    <n v="0"/>
    <n v="0"/>
    <n v="0"/>
  </r>
  <r>
    <d v="2003-05-30T00:00:00"/>
    <n v="2003"/>
    <x v="1"/>
    <s v="R"/>
    <s v="RS"/>
    <x v="7"/>
    <s v="HOU"/>
    <s v="A"/>
    <n v="5"/>
    <n v="5"/>
    <n v="0"/>
    <n v="0"/>
    <n v="0"/>
    <n v="0"/>
    <n v="1481.8294947519771"/>
    <n v="1586.0385738701143"/>
    <n v="0.25285963314458998"/>
    <n v="91"/>
    <n v="83"/>
    <n v="0"/>
    <n v="8"/>
    <n v="1"/>
    <n v="0.35728829791515165"/>
    <n v="1"/>
    <n v="75.7"/>
    <n v="75.7"/>
    <n v="20.207699405294587"/>
    <n v="1502.0371941572716"/>
    <n v="1"/>
    <n v="0"/>
    <n v="0"/>
    <n v="0"/>
    <n v="0"/>
    <n v="0"/>
    <n v="0"/>
    <n v="0"/>
    <n v="0"/>
    <n v="0"/>
  </r>
  <r>
    <d v="2003-05-30T00:00:00"/>
    <n v="2003"/>
    <x v="2"/>
    <s v="R"/>
    <s v="RS"/>
    <x v="1"/>
    <s v="CON"/>
    <s v="H"/>
    <n v="5"/>
    <n v="5"/>
    <n v="0"/>
    <n v="0"/>
    <n v="0"/>
    <n v="0"/>
    <n v="1586.0385738701143"/>
    <n v="1481.8294947519771"/>
    <n v="0.74714036685540997"/>
    <n v="83"/>
    <n v="91"/>
    <n v="0"/>
    <n v="-8"/>
    <n v="0"/>
    <n v="0.35728829791515165"/>
    <n v="1"/>
    <n v="75.55"/>
    <n v="75.55"/>
    <n v="-20.167657728797966"/>
    <n v="1565.8709161413162"/>
    <n v="0"/>
    <n v="1"/>
    <n v="0"/>
    <n v="0"/>
    <n v="0"/>
    <n v="0"/>
    <n v="0"/>
    <n v="0"/>
    <n v="0"/>
    <n v="0"/>
  </r>
  <r>
    <d v="2003-05-30T00:00:00"/>
    <n v="2003"/>
    <x v="3"/>
    <s v="R"/>
    <s v="RS"/>
    <x v="3"/>
    <s v="SAC"/>
    <s v="A"/>
    <n v="1"/>
    <n v="5"/>
    <n v="-4"/>
    <n v="4"/>
    <n v="-16"/>
    <n v="16"/>
    <n v="1418.4501602002274"/>
    <n v="1517.3141110554229"/>
    <n v="0.22498366174445"/>
    <n v="49"/>
    <n v="69"/>
    <n v="0"/>
    <n v="-20"/>
    <n v="0"/>
    <n v="0.53112939987008478"/>
    <n v="1"/>
    <n v="75.400000000000006"/>
    <n v="75.400000000000006"/>
    <n v="-9.0099559681149533"/>
    <n v="1409.4402042321124"/>
    <n v="0"/>
    <n v="1"/>
    <n v="0"/>
    <n v="0"/>
    <n v="0"/>
    <n v="0"/>
    <n v="0"/>
    <n v="0"/>
    <n v="0"/>
    <n v="0"/>
  </r>
  <r>
    <d v="2003-05-30T00:00:00"/>
    <n v="2003"/>
    <x v="2"/>
    <s v="R"/>
    <s v="RS"/>
    <x v="2"/>
    <s v="PHX"/>
    <s v="H"/>
    <n v="5"/>
    <n v="1"/>
    <n v="4"/>
    <n v="-4"/>
    <n v="16"/>
    <n v="-16"/>
    <n v="1517.3141110554229"/>
    <n v="1418.4501602002274"/>
    <n v="0.77501633825555005"/>
    <n v="69"/>
    <n v="49"/>
    <n v="0"/>
    <n v="20"/>
    <n v="1"/>
    <n v="0.53112939987008478"/>
    <n v="1"/>
    <n v="75.55"/>
    <n v="75.55"/>
    <n v="9.0278802837013856"/>
    <n v="1526.3419913391242"/>
    <n v="1"/>
    <n v="0"/>
    <n v="0"/>
    <n v="0"/>
    <n v="0"/>
    <n v="0"/>
    <n v="0"/>
    <n v="0"/>
    <n v="0"/>
    <n v="0"/>
  </r>
  <r>
    <d v="2003-05-30T00:00:00"/>
    <n v="2003"/>
    <x v="2"/>
    <s v="R"/>
    <s v="RS"/>
    <x v="8"/>
    <s v="SAS"/>
    <s v="A"/>
    <n v="1"/>
    <n v="1"/>
    <n v="0"/>
    <n v="0"/>
    <n v="0"/>
    <n v="0"/>
    <n v="1449.8815950157873"/>
    <n v="1533.284137049553"/>
    <n v="0.27614870025192922"/>
    <n v="75"/>
    <n v="65"/>
    <n v="0"/>
    <n v="10"/>
    <n v="1"/>
    <n v="0.39563240882639761"/>
    <n v="1"/>
    <n v="75.55"/>
    <n v="75.55"/>
    <n v="21.635935969701901"/>
    <n v="1471.5175309854892"/>
    <n v="1"/>
    <n v="0"/>
    <n v="0"/>
    <n v="0"/>
    <n v="0"/>
    <n v="0"/>
    <n v="0"/>
    <n v="0"/>
    <n v="0"/>
    <n v="0"/>
  </r>
  <r>
    <d v="2003-05-30T00:00:00"/>
    <n v="2003"/>
    <x v="2"/>
    <s v="R"/>
    <s v="RS"/>
    <x v="9"/>
    <s v="MIN"/>
    <s v="H"/>
    <n v="1"/>
    <n v="1"/>
    <n v="0"/>
    <n v="0"/>
    <n v="0"/>
    <n v="0"/>
    <n v="1533.284137049553"/>
    <n v="1449.8815950157873"/>
    <n v="0.72385129974807083"/>
    <n v="65"/>
    <n v="75"/>
    <n v="0"/>
    <n v="-10"/>
    <n v="0"/>
    <n v="0.39563240882639761"/>
    <n v="1"/>
    <n v="75.55"/>
    <n v="75.55"/>
    <n v="-21.635935969701901"/>
    <n v="1511.6482010798511"/>
    <n v="0"/>
    <n v="1"/>
    <n v="0"/>
    <n v="0"/>
    <n v="0"/>
    <n v="0"/>
    <n v="0"/>
    <n v="0"/>
    <n v="0"/>
    <n v="0"/>
  </r>
  <r>
    <d v="2003-05-30T00:00:00"/>
    <n v="2003"/>
    <x v="3"/>
    <s v="R"/>
    <s v="RS"/>
    <x v="6"/>
    <s v="SEA"/>
    <s v="A"/>
    <n v="1"/>
    <n v="5"/>
    <n v="-4"/>
    <n v="4"/>
    <n v="-16"/>
    <n v="16"/>
    <n v="1653.8178272666169"/>
    <n v="1487.6200193250791"/>
    <n v="0.57174194801750733"/>
    <n v="77"/>
    <n v="74"/>
    <n v="1"/>
    <n v="3"/>
    <n v="1"/>
    <n v="0.22939445588688545"/>
    <n v="1"/>
    <n v="75.400000000000006"/>
    <n v="75.400000000000006"/>
    <n v="7.4072977201530872"/>
    <n v="1661.22512498677"/>
    <n v="1"/>
    <n v="0"/>
    <n v="0"/>
    <n v="0"/>
    <n v="0"/>
    <n v="0"/>
    <n v="0"/>
    <n v="0"/>
    <n v="0"/>
    <n v="0"/>
  </r>
  <r>
    <d v="2003-05-30T00:00:00"/>
    <n v="2003"/>
    <x v="2"/>
    <s v="R"/>
    <s v="RS"/>
    <x v="0"/>
    <s v="LAS"/>
    <s v="H"/>
    <n v="5"/>
    <n v="1"/>
    <n v="4"/>
    <n v="-4"/>
    <n v="16"/>
    <n v="-16"/>
    <n v="1487.6200193250791"/>
    <n v="1653.8178272666169"/>
    <n v="0.42825805198249262"/>
    <n v="74"/>
    <n v="77"/>
    <n v="1"/>
    <n v="-3"/>
    <n v="0"/>
    <n v="0.22939445588688545"/>
    <n v="1"/>
    <n v="75.55"/>
    <n v="75.55"/>
    <n v="-7.4220337235751401"/>
    <n v="1480.1979856015039"/>
    <n v="0"/>
    <n v="1"/>
    <n v="0"/>
    <n v="0"/>
    <n v="0"/>
    <n v="0"/>
    <n v="0"/>
    <n v="0"/>
    <n v="0"/>
    <n v="0"/>
  </r>
  <r>
    <d v="2003-05-31T00:00:00"/>
    <n v="2003"/>
    <x v="0"/>
    <s v="R"/>
    <s v="RS"/>
    <x v="12"/>
    <s v="CLE"/>
    <s v="A"/>
    <n v="9"/>
    <n v="3"/>
    <n v="6"/>
    <n v="-6"/>
    <n v="16"/>
    <n v="-16"/>
    <n v="1520.1627094757114"/>
    <n v="1441.1515837547802"/>
    <n v="0.53879400691036761"/>
    <n v="50"/>
    <n v="74"/>
    <n v="0"/>
    <n v="-24"/>
    <n v="0"/>
    <n v="0.58960950547845803"/>
    <n v="1"/>
    <n v="75.849999999999994"/>
    <n v="75.849999999999994"/>
    <n v="-24.095881455462205"/>
    <n v="1496.0668280202492"/>
    <n v="0"/>
    <n v="1"/>
    <n v="0"/>
    <n v="0"/>
    <n v="0"/>
    <n v="0"/>
    <n v="0"/>
    <n v="0"/>
    <n v="0"/>
    <n v="0"/>
  </r>
  <r>
    <d v="2003-05-31T00:00:00"/>
    <n v="2003"/>
    <x v="1"/>
    <s v="R"/>
    <s v="RS"/>
    <x v="10"/>
    <s v="NYL"/>
    <s v="H"/>
    <n v="3"/>
    <n v="9"/>
    <n v="-6"/>
    <n v="6"/>
    <n v="-16"/>
    <n v="16"/>
    <n v="1441.1515837547802"/>
    <n v="1520.1627094757114"/>
    <n v="0.46120599308963234"/>
    <n v="74"/>
    <n v="50"/>
    <n v="0"/>
    <n v="24"/>
    <n v="1"/>
    <n v="0.58960950547845803"/>
    <n v="1"/>
    <n v="75.7"/>
    <n v="75.7"/>
    <n v="24.048229745266831"/>
    <n v="1465.199813500047"/>
    <n v="1"/>
    <n v="0"/>
    <n v="0"/>
    <n v="0"/>
    <n v="0"/>
    <n v="0"/>
    <n v="0"/>
    <n v="0"/>
    <n v="0"/>
    <n v="0"/>
  </r>
  <r>
    <d v="2003-05-31T00:00:00"/>
    <n v="2003"/>
    <x v="2"/>
    <s v="R"/>
    <s v="RS"/>
    <x v="5"/>
    <s v="DET"/>
    <s v="A"/>
    <n v="1"/>
    <n v="9"/>
    <n v="-8"/>
    <n v="8"/>
    <n v="-16"/>
    <n v="16"/>
    <n v="1506.0634604908653"/>
    <n v="1441.1417409479448"/>
    <n v="0.42701749054340615"/>
    <n v="70"/>
    <n v="67"/>
    <n v="0"/>
    <n v="3"/>
    <n v="1"/>
    <n v="0.27528994082280367"/>
    <n v="1"/>
    <n v="75.55"/>
    <n v="75.55"/>
    <n v="11.91697906067699"/>
    <n v="1517.9804395515423"/>
    <n v="1"/>
    <n v="0"/>
    <n v="0"/>
    <n v="0"/>
    <n v="0"/>
    <n v="0"/>
    <n v="0"/>
    <n v="0"/>
    <n v="0"/>
    <n v="0"/>
  </r>
  <r>
    <d v="2003-05-31T00:00:00"/>
    <n v="2003"/>
    <x v="0"/>
    <s v="R"/>
    <s v="RS"/>
    <x v="13"/>
    <s v="CHA"/>
    <s v="H"/>
    <n v="9"/>
    <n v="1"/>
    <n v="8"/>
    <n v="-8"/>
    <n v="16"/>
    <n v="-16"/>
    <n v="1441.1417409479448"/>
    <n v="1506.0634604908653"/>
    <n v="0.5729825094565939"/>
    <n v="67"/>
    <n v="70"/>
    <n v="0"/>
    <n v="-3"/>
    <n v="0"/>
    <n v="0.27528994082280367"/>
    <n v="1"/>
    <n v="75.849999999999994"/>
    <n v="75.849999999999994"/>
    <n v="-11.96429995701323"/>
    <n v="1429.1774409909315"/>
    <n v="0"/>
    <n v="1"/>
    <n v="0"/>
    <n v="0"/>
    <n v="0"/>
    <n v="0"/>
    <n v="0"/>
    <n v="0"/>
    <n v="0"/>
    <n v="0"/>
  </r>
  <r>
    <d v="2003-05-31T00:00:00"/>
    <n v="2003"/>
    <x v="1"/>
    <s v="R"/>
    <s v="RS"/>
    <x v="4"/>
    <s v="IND"/>
    <s v="A"/>
    <n v="7"/>
    <n v="1"/>
    <n v="6"/>
    <n v="-6"/>
    <n v="16"/>
    <n v="-16"/>
    <n v="1499.6813227402738"/>
    <n v="1476.9888111272287"/>
    <n v="0.45792288714946722"/>
    <n v="60"/>
    <n v="71"/>
    <n v="0"/>
    <n v="-11"/>
    <n v="0"/>
    <n v="0.43167285257423382"/>
    <n v="1"/>
    <n v="75.7"/>
    <n v="75.7"/>
    <n v="-14.963836936881348"/>
    <n v="1484.7174858033925"/>
    <n v="0"/>
    <n v="1"/>
    <n v="0"/>
    <n v="0"/>
    <n v="0"/>
    <n v="0"/>
    <n v="0"/>
    <n v="0"/>
    <n v="0"/>
    <n v="0"/>
  </r>
  <r>
    <d v="2003-05-31T00:00:00"/>
    <n v="2003"/>
    <x v="1"/>
    <s v="R"/>
    <s v="RS"/>
    <x v="11"/>
    <s v="WAS"/>
    <s v="H"/>
    <n v="1"/>
    <n v="7"/>
    <n v="-6"/>
    <n v="6"/>
    <n v="-16"/>
    <n v="16"/>
    <n v="1476.9888111272287"/>
    <n v="1499.6813227402738"/>
    <n v="0.54207711285053284"/>
    <n v="71"/>
    <n v="60"/>
    <n v="0"/>
    <n v="11"/>
    <n v="1"/>
    <n v="0.43167285257423382"/>
    <n v="1"/>
    <n v="75.7"/>
    <n v="75.7"/>
    <n v="14.963836936881346"/>
    <n v="1491.95264806411"/>
    <n v="1"/>
    <n v="0"/>
    <n v="0"/>
    <n v="0"/>
    <n v="0"/>
    <n v="0"/>
    <n v="0"/>
    <n v="0"/>
    <n v="0"/>
    <n v="0"/>
  </r>
  <r>
    <d v="2003-06-01T00:00:00"/>
    <n v="2003"/>
    <x v="3"/>
    <s v="R"/>
    <s v="RS"/>
    <x v="1"/>
    <s v="MIN"/>
    <s v="A"/>
    <n v="1"/>
    <n v="1"/>
    <n v="0"/>
    <n v="0"/>
    <n v="0"/>
    <n v="0"/>
    <n v="1565.8709161413162"/>
    <n v="1471.5175309854892"/>
    <n v="0.51489531016806156"/>
    <n v="64"/>
    <n v="68"/>
    <n v="1"/>
    <n v="-4"/>
    <n v="0"/>
    <n v="0.25985743735332134"/>
    <n v="1"/>
    <n v="75.400000000000006"/>
    <n v="75.400000000000006"/>
    <n v="-10.08847293573591"/>
    <n v="1555.7824432055804"/>
    <n v="0"/>
    <n v="1"/>
    <n v="0"/>
    <n v="0"/>
    <n v="0"/>
    <n v="0"/>
    <n v="0"/>
    <n v="0"/>
    <n v="0"/>
    <n v="0"/>
  </r>
  <r>
    <d v="2003-06-01T00:00:00"/>
    <n v="2003"/>
    <x v="3"/>
    <s v="R"/>
    <s v="RS"/>
    <x v="8"/>
    <s v="HOU"/>
    <s v="H"/>
    <n v="1"/>
    <n v="1"/>
    <n v="0"/>
    <n v="0"/>
    <n v="0"/>
    <n v="0"/>
    <n v="1471.5175309854892"/>
    <n v="1565.8709161413162"/>
    <n v="0.48510468983193844"/>
    <n v="68"/>
    <n v="64"/>
    <n v="1"/>
    <n v="4"/>
    <n v="1"/>
    <n v="0.25985743735332134"/>
    <n v="1"/>
    <n v="75.400000000000006"/>
    <n v="75.400000000000006"/>
    <n v="10.08847293573591"/>
    <n v="1481.606003921225"/>
    <n v="1"/>
    <n v="0"/>
    <n v="0"/>
    <n v="0"/>
    <n v="0"/>
    <n v="0"/>
    <n v="0"/>
    <n v="0"/>
    <n v="0"/>
    <n v="0"/>
  </r>
  <r>
    <d v="2003-06-01T00:00:00"/>
    <n v="2003"/>
    <x v="2"/>
    <s v="R"/>
    <s v="RS"/>
    <x v="4"/>
    <s v="NYL"/>
    <s v="A"/>
    <n v="0"/>
    <n v="0"/>
    <n v="0"/>
    <n v="0"/>
    <n v="0"/>
    <n v="0"/>
    <n v="1484.7174858033925"/>
    <n v="1496.0668280202492"/>
    <n v="0.36612547202924967"/>
    <n v="57"/>
    <n v="70"/>
    <n v="0"/>
    <n v="-13"/>
    <n v="0"/>
    <n v="0.46762109577761618"/>
    <n v="1"/>
    <n v="75.55"/>
    <n v="75.55"/>
    <n v="-12.934763978613429"/>
    <n v="1471.7827218247792"/>
    <n v="0"/>
    <n v="1"/>
    <n v="0"/>
    <n v="0"/>
    <n v="0"/>
    <n v="0"/>
    <n v="0"/>
    <n v="0"/>
    <n v="0"/>
    <n v="0"/>
  </r>
  <r>
    <d v="2003-06-01T00:00:00"/>
    <n v="2003"/>
    <x v="1"/>
    <s v="R"/>
    <s v="RS"/>
    <x v="12"/>
    <s v="WAS"/>
    <s v="H"/>
    <n v="0"/>
    <n v="0"/>
    <n v="0"/>
    <n v="0"/>
    <n v="0"/>
    <n v="0"/>
    <n v="1496.0668280202492"/>
    <n v="1484.7174858033925"/>
    <n v="0.63387452797075028"/>
    <n v="70"/>
    <n v="57"/>
    <n v="0"/>
    <n v="13"/>
    <n v="1"/>
    <n v="0.46762109577761618"/>
    <n v="1"/>
    <n v="75.7"/>
    <n v="75.7"/>
    <n v="12.960445177776794"/>
    <n v="1509.027273198026"/>
    <n v="1"/>
    <n v="0"/>
    <n v="0"/>
    <n v="0"/>
    <n v="0"/>
    <n v="0"/>
    <n v="0"/>
    <n v="0"/>
    <n v="0"/>
    <n v="0"/>
  </r>
  <r>
    <d v="2003-06-01T00:00:00"/>
    <n v="2003"/>
    <x v="2"/>
    <s v="R"/>
    <s v="RS"/>
    <x v="7"/>
    <s v="SAS"/>
    <s v="A"/>
    <n v="1"/>
    <n v="1"/>
    <n v="0"/>
    <n v="0"/>
    <n v="0"/>
    <n v="0"/>
    <n v="1502.0371941572716"/>
    <n v="1511.6482010798511"/>
    <n v="0.36845089012866039"/>
    <n v="83"/>
    <n v="64"/>
    <n v="0"/>
    <n v="19"/>
    <n v="1"/>
    <n v="0.55652030563144983"/>
    <n v="1"/>
    <n v="75.55"/>
    <n v="75.55"/>
    <n v="26.553551220520877"/>
    <n v="1528.5907453777925"/>
    <n v="1"/>
    <n v="0"/>
    <n v="0"/>
    <n v="0"/>
    <n v="0"/>
    <n v="0"/>
    <n v="0"/>
    <n v="0"/>
    <n v="0"/>
    <n v="0"/>
  </r>
  <r>
    <d v="2003-06-01T00:00:00"/>
    <n v="2003"/>
    <x v="3"/>
    <s v="R"/>
    <s v="RS"/>
    <x v="9"/>
    <s v="CON"/>
    <s v="H"/>
    <n v="1"/>
    <n v="1"/>
    <n v="0"/>
    <n v="0"/>
    <n v="0"/>
    <n v="0"/>
    <n v="1511.6482010798511"/>
    <n v="1502.0371941572716"/>
    <n v="0.6315491098713395"/>
    <n v="64"/>
    <n v="83"/>
    <n v="0"/>
    <n v="-19"/>
    <n v="0"/>
    <n v="0.55652030563144983"/>
    <n v="1"/>
    <n v="75.400000000000006"/>
    <n v="75.400000000000006"/>
    <n v="-26.500830734973846"/>
    <n v="1485.1473703448773"/>
    <n v="0"/>
    <n v="1"/>
    <n v="0"/>
    <n v="0"/>
    <n v="0"/>
    <n v="0"/>
    <n v="0"/>
    <n v="0"/>
    <n v="0"/>
    <n v="0"/>
  </r>
  <r>
    <d v="2003-06-03T00:00:00"/>
    <n v="2003"/>
    <x v="4"/>
    <s v="R"/>
    <s v="RS"/>
    <x v="3"/>
    <s v="HOU"/>
    <s v="A"/>
    <n v="3"/>
    <n v="1"/>
    <n v="2"/>
    <n v="-2"/>
    <n v="16"/>
    <n v="-16"/>
    <n v="1409.4402042321124"/>
    <n v="1555.7824432055804"/>
    <n v="0.24199925755406881"/>
    <n v="51"/>
    <n v="66"/>
    <n v="0"/>
    <n v="-15"/>
    <n v="0"/>
    <n v="0.44819037551298835"/>
    <n v="1"/>
    <n v="75.25"/>
    <n v="75.25"/>
    <n v="-8.1617457933059416"/>
    <n v="1401.2784584388064"/>
    <n v="0"/>
    <n v="1"/>
    <n v="0"/>
    <n v="0"/>
    <n v="0"/>
    <n v="0"/>
    <n v="0"/>
    <n v="0"/>
    <n v="0"/>
    <n v="0"/>
  </r>
  <r>
    <d v="2003-06-03T00:00:00"/>
    <n v="2003"/>
    <x v="4"/>
    <s v="R"/>
    <s v="RS"/>
    <x v="1"/>
    <s v="PHX"/>
    <s v="H"/>
    <n v="1"/>
    <n v="3"/>
    <n v="-2"/>
    <n v="2"/>
    <n v="-16"/>
    <n v="16"/>
    <n v="1555.7824432055804"/>
    <n v="1409.4402042321124"/>
    <n v="0.75800074244593119"/>
    <n v="66"/>
    <n v="51"/>
    <n v="0"/>
    <n v="15"/>
    <n v="1"/>
    <n v="0.44819037551298835"/>
    <n v="1"/>
    <n v="75.25"/>
    <n v="75.25"/>
    <n v="8.1617457933059416"/>
    <n v="1563.9441889988864"/>
    <n v="1"/>
    <n v="0"/>
    <n v="0"/>
    <n v="0"/>
    <n v="0"/>
    <n v="0"/>
    <n v="0"/>
    <n v="0"/>
    <n v="0"/>
    <n v="0"/>
  </r>
  <r>
    <d v="2003-06-03T00:00:00"/>
    <n v="2003"/>
    <x v="3"/>
    <s v="R"/>
    <s v="RS"/>
    <x v="2"/>
    <s v="SEA"/>
    <s v="A"/>
    <n v="3"/>
    <n v="3"/>
    <n v="0"/>
    <n v="0"/>
    <n v="0"/>
    <n v="0"/>
    <n v="1526.3419913391242"/>
    <n v="1480.1979856015039"/>
    <n v="0.44573541666618488"/>
    <n v="56"/>
    <n v="70"/>
    <n v="0"/>
    <n v="-14"/>
    <n v="0"/>
    <n v="0.46955225202449236"/>
    <n v="1"/>
    <n v="75.400000000000006"/>
    <n v="75.400000000000006"/>
    <n v="-15.780923580182266"/>
    <n v="1510.561067758942"/>
    <n v="0"/>
    <n v="1"/>
    <n v="0"/>
    <n v="0"/>
    <n v="0"/>
    <n v="0"/>
    <n v="0"/>
    <n v="0"/>
    <n v="0"/>
    <n v="0"/>
  </r>
  <r>
    <d v="2003-06-03T00:00:00"/>
    <n v="2003"/>
    <x v="3"/>
    <s v="R"/>
    <s v="RS"/>
    <x v="0"/>
    <s v="SAC"/>
    <s v="H"/>
    <n v="3"/>
    <n v="3"/>
    <n v="0"/>
    <n v="0"/>
    <n v="0"/>
    <n v="0"/>
    <n v="1480.1979856015039"/>
    <n v="1526.3419913391242"/>
    <n v="0.55426458333381512"/>
    <n v="70"/>
    <n v="56"/>
    <n v="0"/>
    <n v="14"/>
    <n v="1"/>
    <n v="0.46955225202449236"/>
    <n v="1"/>
    <n v="75.400000000000006"/>
    <n v="75.400000000000006"/>
    <n v="15.780923580182266"/>
    <n v="1495.978909181686"/>
    <n v="1"/>
    <n v="0"/>
    <n v="0"/>
    <n v="0"/>
    <n v="0"/>
    <n v="0"/>
    <n v="0"/>
    <n v="0"/>
    <n v="0"/>
    <n v="0"/>
  </r>
  <r>
    <d v="2003-06-04T00:00:00"/>
    <n v="2003"/>
    <x v="4"/>
    <s v="R"/>
    <s v="RS"/>
    <x v="9"/>
    <s v="CHA"/>
    <s v="A"/>
    <n v="2"/>
    <n v="3"/>
    <n v="-1"/>
    <n v="1"/>
    <n v="-8"/>
    <n v="8"/>
    <n v="1485.1473703448773"/>
    <n v="1517.9804395515423"/>
    <n v="0.3176378540686926"/>
    <n v="52"/>
    <n v="67"/>
    <n v="0"/>
    <n v="-15"/>
    <n v="0"/>
    <n v="0.48945607375929556"/>
    <n v="1"/>
    <n v="75.25"/>
    <n v="75.25"/>
    <n v="-11.699100713966724"/>
    <n v="1473.4482696309105"/>
    <n v="0"/>
    <n v="1"/>
    <n v="0"/>
    <n v="0"/>
    <n v="0"/>
    <n v="0"/>
    <n v="0"/>
    <n v="0"/>
    <n v="0"/>
    <n v="0"/>
  </r>
  <r>
    <d v="2003-06-04T00:00:00"/>
    <n v="2003"/>
    <x v="3"/>
    <s v="R"/>
    <s v="RS"/>
    <x v="5"/>
    <s v="SAS"/>
    <s v="H"/>
    <n v="3"/>
    <n v="2"/>
    <n v="1"/>
    <n v="-1"/>
    <n v="8"/>
    <n v="-8"/>
    <n v="1517.9804395515423"/>
    <n v="1485.1473703448773"/>
    <n v="0.6823621459313074"/>
    <n v="67"/>
    <n v="52"/>
    <n v="0"/>
    <n v="15"/>
    <n v="1"/>
    <n v="0.48945607375929556"/>
    <n v="1"/>
    <n v="75.400000000000006"/>
    <n v="75.400000000000006"/>
    <n v="11.722421180506194"/>
    <n v="1529.7028607320485"/>
    <n v="1"/>
    <n v="0"/>
    <n v="0"/>
    <n v="0"/>
    <n v="0"/>
    <n v="0"/>
    <n v="0"/>
    <n v="0"/>
    <n v="0"/>
    <n v="0"/>
  </r>
  <r>
    <d v="2003-06-05T00:00:00"/>
    <n v="2003"/>
    <x v="3"/>
    <s v="R"/>
    <s v="RS"/>
    <x v="7"/>
    <s v="DET"/>
    <s v="A"/>
    <n v="3"/>
    <n v="4"/>
    <n v="-1"/>
    <n v="1"/>
    <n v="-8"/>
    <n v="8"/>
    <n v="1528.5907453777925"/>
    <n v="1429.1774409909315"/>
    <n v="0.49915567794444804"/>
    <n v="89"/>
    <n v="103"/>
    <n v="0"/>
    <n v="-14"/>
    <n v="0"/>
    <n v="0.45030301157107194"/>
    <n v="1"/>
    <n v="75.400000000000006"/>
    <n v="75.400000000000006"/>
    <n v="-16.947756398597356"/>
    <n v="1511.642988979195"/>
    <n v="0"/>
    <n v="1"/>
    <n v="0"/>
    <n v="0"/>
    <n v="0"/>
    <n v="0"/>
    <n v="0"/>
    <n v="0"/>
    <n v="0"/>
    <n v="0"/>
  </r>
  <r>
    <d v="2003-06-05T00:00:00"/>
    <n v="2003"/>
    <x v="1"/>
    <s v="R"/>
    <s v="RS"/>
    <x v="13"/>
    <s v="CON"/>
    <s v="H"/>
    <n v="4"/>
    <n v="3"/>
    <n v="1"/>
    <n v="-1"/>
    <n v="8"/>
    <n v="-8"/>
    <n v="1429.1774409909315"/>
    <n v="1528.5907453777925"/>
    <n v="0.50084432205555196"/>
    <n v="103"/>
    <n v="89"/>
    <n v="0"/>
    <n v="14"/>
    <n v="1"/>
    <n v="0.45030301157107194"/>
    <n v="1"/>
    <n v="75.7"/>
    <n v="75.7"/>
    <n v="17.015187790103706"/>
    <n v="1446.1926287810352"/>
    <n v="1"/>
    <n v="0"/>
    <n v="0"/>
    <n v="0"/>
    <n v="0"/>
    <n v="0"/>
    <n v="0"/>
    <n v="0"/>
    <n v="0"/>
    <n v="0"/>
  </r>
  <r>
    <d v="2003-06-05T00:00:00"/>
    <n v="2003"/>
    <x v="4"/>
    <s v="R"/>
    <s v="RS"/>
    <x v="2"/>
    <s v="LAS"/>
    <s v="A"/>
    <n v="1"/>
    <n v="5"/>
    <n v="-4"/>
    <n v="4"/>
    <n v="-16"/>
    <n v="16"/>
    <n v="1510.561067758942"/>
    <n v="1661.22512498677"/>
    <n v="0.1772572209919063"/>
    <n v="61"/>
    <n v="63"/>
    <n v="0"/>
    <n v="-2"/>
    <n v="0"/>
    <n v="0.23796412087198154"/>
    <n v="1"/>
    <n v="75.25"/>
    <n v="75.25"/>
    <n v="-3.1741096218066023"/>
    <n v="1507.3869581371355"/>
    <n v="0"/>
    <n v="1"/>
    <n v="0"/>
    <n v="0"/>
    <n v="0"/>
    <n v="0"/>
    <n v="0"/>
    <n v="0"/>
    <n v="0"/>
    <n v="0"/>
  </r>
  <r>
    <d v="2003-06-05T00:00:00"/>
    <n v="2003"/>
    <x v="4"/>
    <s v="R"/>
    <s v="RS"/>
    <x v="6"/>
    <s v="SAC"/>
    <s v="H"/>
    <n v="5"/>
    <n v="1"/>
    <n v="4"/>
    <n v="-4"/>
    <n v="16"/>
    <n v="-16"/>
    <n v="1661.22512498677"/>
    <n v="1510.561067758942"/>
    <n v="0.82274277900809367"/>
    <n v="63"/>
    <n v="61"/>
    <n v="0"/>
    <n v="2"/>
    <n v="1"/>
    <n v="0.23796412087198154"/>
    <n v="1"/>
    <n v="75.25"/>
    <n v="75.25"/>
    <n v="3.1741096218066027"/>
    <n v="1664.3992346085765"/>
    <n v="1"/>
    <n v="0"/>
    <n v="0"/>
    <n v="0"/>
    <n v="0"/>
    <n v="0"/>
    <n v="0"/>
    <n v="0"/>
    <n v="0"/>
    <n v="0"/>
  </r>
  <r>
    <d v="2003-06-05T00:00:00"/>
    <n v="2003"/>
    <x v="5"/>
    <s v="R"/>
    <s v="RS"/>
    <x v="3"/>
    <s v="SAS"/>
    <s v="A"/>
    <n v="1"/>
    <n v="0"/>
    <n v="1"/>
    <n v="-1"/>
    <n v="8"/>
    <n v="-8"/>
    <n v="1401.2784584388064"/>
    <n v="1473.4482696309105"/>
    <n v="0.30855525748904022"/>
    <n v="55"/>
    <n v="70"/>
    <n v="0"/>
    <n v="-15"/>
    <n v="0"/>
    <n v="0.47432161048459043"/>
    <n v="1"/>
    <n v="75.099999999999994"/>
    <n v="75.099999999999994"/>
    <n v="-10.991217441842245"/>
    <n v="1390.2872409969641"/>
    <n v="0"/>
    <n v="1"/>
    <n v="0"/>
    <n v="0"/>
    <n v="0"/>
    <n v="0"/>
    <n v="0"/>
    <n v="0"/>
    <n v="0"/>
    <n v="0"/>
  </r>
  <r>
    <d v="2003-06-05T00:00:00"/>
    <n v="2003"/>
    <x v="5"/>
    <s v="R"/>
    <s v="RS"/>
    <x v="9"/>
    <s v="PHX"/>
    <s v="H"/>
    <n v="0"/>
    <n v="1"/>
    <n v="-1"/>
    <n v="1"/>
    <n v="-8"/>
    <n v="8"/>
    <n v="1473.4482696309105"/>
    <n v="1401.2784584388064"/>
    <n v="0.69144474251095978"/>
    <n v="70"/>
    <n v="55"/>
    <n v="0"/>
    <n v="15"/>
    <n v="1"/>
    <n v="0.47432161048459043"/>
    <n v="1"/>
    <n v="75.099999999999994"/>
    <n v="75.099999999999994"/>
    <n v="10.991217441842245"/>
    <n v="1484.4394870727529"/>
    <n v="1"/>
    <n v="0"/>
    <n v="0"/>
    <n v="0"/>
    <n v="0"/>
    <n v="0"/>
    <n v="0"/>
    <n v="0"/>
    <n v="0"/>
    <n v="0"/>
  </r>
  <r>
    <d v="2003-06-06T00:00:00"/>
    <n v="2003"/>
    <x v="5"/>
    <s v="R"/>
    <s v="RS"/>
    <x v="1"/>
    <s v="CHA"/>
    <s v="A"/>
    <n v="2"/>
    <n v="1"/>
    <n v="1"/>
    <n v="-1"/>
    <n v="8"/>
    <n v="-8"/>
    <n v="1563.9441889988864"/>
    <n v="1529.7028607320485"/>
    <n v="0.4515696818772425"/>
    <n v="58"/>
    <n v="69"/>
    <n v="0"/>
    <n v="-11"/>
    <n v="0"/>
    <n v="0.42763368250706385"/>
    <n v="1"/>
    <n v="75.099999999999994"/>
    <n v="75.099999999999994"/>
    <n v="-14.502291088325112"/>
    <n v="1549.4418979105612"/>
    <n v="0"/>
    <n v="1"/>
    <n v="0"/>
    <n v="0"/>
    <n v="0"/>
    <n v="0"/>
    <n v="0"/>
    <n v="0"/>
    <n v="0"/>
    <n v="0"/>
  </r>
  <r>
    <d v="2003-06-06T00:00:00"/>
    <n v="2003"/>
    <x v="4"/>
    <s v="R"/>
    <s v="RS"/>
    <x v="5"/>
    <s v="HOU"/>
    <s v="H"/>
    <n v="1"/>
    <n v="2"/>
    <n v="-1"/>
    <n v="1"/>
    <n v="-8"/>
    <n v="8"/>
    <n v="1529.7028607320485"/>
    <n v="1563.9441889988864"/>
    <n v="0.54843031812275755"/>
    <n v="69"/>
    <n v="58"/>
    <n v="0"/>
    <n v="11"/>
    <n v="1"/>
    <n v="0.42763368250706385"/>
    <n v="1"/>
    <n v="75.25"/>
    <n v="75.25"/>
    <n v="14.531257049220567"/>
    <n v="1544.2341177812691"/>
    <n v="1"/>
    <n v="0"/>
    <n v="0"/>
    <n v="0"/>
    <n v="0"/>
    <n v="0"/>
    <n v="0"/>
    <n v="0"/>
    <n v="0"/>
    <n v="0"/>
  </r>
  <r>
    <d v="2003-06-06T00:00:00"/>
    <n v="2003"/>
    <x v="2"/>
    <s v="R"/>
    <s v="RS"/>
    <x v="12"/>
    <s v="MIN"/>
    <s v="A"/>
    <n v="4"/>
    <n v="4"/>
    <n v="0"/>
    <n v="0"/>
    <n v="0"/>
    <n v="0"/>
    <n v="1509.027273198026"/>
    <n v="1481.606003921225"/>
    <n v="0.41928886373610436"/>
    <n v="70"/>
    <n v="60"/>
    <n v="0"/>
    <n v="10"/>
    <n v="1"/>
    <n v="0.41367674808007143"/>
    <n v="1"/>
    <n v="75.55"/>
    <n v="75.55"/>
    <n v="18.149126763697815"/>
    <n v="1527.1763999617237"/>
    <n v="1"/>
    <n v="0"/>
    <n v="0"/>
    <n v="0"/>
    <n v="0"/>
    <n v="0"/>
    <n v="0"/>
    <n v="0"/>
    <n v="0"/>
    <n v="0"/>
  </r>
  <r>
    <d v="2003-06-06T00:00:00"/>
    <n v="2003"/>
    <x v="4"/>
    <s v="R"/>
    <s v="RS"/>
    <x v="8"/>
    <s v="NYL"/>
    <s v="H"/>
    <n v="4"/>
    <n v="4"/>
    <n v="0"/>
    <n v="0"/>
    <n v="0"/>
    <n v="0"/>
    <n v="1481.606003921225"/>
    <n v="1509.027273198026"/>
    <n v="0.58071113626389559"/>
    <n v="60"/>
    <n v="70"/>
    <n v="0"/>
    <n v="-10"/>
    <n v="0"/>
    <n v="0.41367674808007143"/>
    <n v="1"/>
    <n v="75.25"/>
    <n v="75.25"/>
    <n v="-18.07705875537075"/>
    <n v="1463.5289451658543"/>
    <n v="0"/>
    <n v="1"/>
    <n v="0"/>
    <n v="0"/>
    <n v="0"/>
    <n v="0"/>
    <n v="0"/>
    <n v="0"/>
    <n v="0"/>
    <n v="0"/>
  </r>
  <r>
    <d v="2003-06-06T00:00:00"/>
    <n v="2003"/>
    <x v="2"/>
    <s v="R"/>
    <s v="RS"/>
    <x v="10"/>
    <s v="WAS"/>
    <s v="A"/>
    <n v="5"/>
    <n v="4"/>
    <n v="1"/>
    <n v="-1"/>
    <n v="8"/>
    <n v="-8"/>
    <n v="1465.199813500047"/>
    <n v="1471.7827218247792"/>
    <n v="0.39428544137219801"/>
    <n v="63"/>
    <n v="53"/>
    <n v="0"/>
    <n v="10"/>
    <n v="1"/>
    <n v="0.42082117664316071"/>
    <n v="1"/>
    <n v="75.55"/>
    <n v="75.55"/>
    <n v="19.257507127672731"/>
    <n v="1484.4573206277196"/>
    <n v="1"/>
    <n v="0"/>
    <n v="0"/>
    <n v="0"/>
    <n v="0"/>
    <n v="0"/>
    <n v="0"/>
    <n v="0"/>
    <n v="0"/>
    <n v="0"/>
  </r>
  <r>
    <d v="2003-06-06T00:00:00"/>
    <n v="2003"/>
    <x v="3"/>
    <s v="R"/>
    <s v="RS"/>
    <x v="4"/>
    <s v="CLE"/>
    <s v="H"/>
    <n v="4"/>
    <n v="5"/>
    <n v="-1"/>
    <n v="1"/>
    <n v="-8"/>
    <n v="8"/>
    <n v="1471.7827218247792"/>
    <n v="1465.199813500047"/>
    <n v="0.60571455862780199"/>
    <n v="53"/>
    <n v="63"/>
    <n v="0"/>
    <n v="-10"/>
    <n v="0"/>
    <n v="0.42082117664316071"/>
    <n v="1"/>
    <n v="75.400000000000006"/>
    <n v="75.400000000000006"/>
    <n v="-19.219272500681988"/>
    <n v="1452.5634493240973"/>
    <n v="0"/>
    <n v="1"/>
    <n v="0"/>
    <n v="0"/>
    <n v="0"/>
    <n v="0"/>
    <n v="0"/>
    <n v="0"/>
    <n v="0"/>
    <n v="0"/>
  </r>
  <r>
    <d v="2003-06-07T00:00:00"/>
    <n v="2003"/>
    <x v="5"/>
    <s v="R"/>
    <s v="RS"/>
    <x v="5"/>
    <s v="CLE"/>
    <s v="A"/>
    <n v="0"/>
    <n v="0"/>
    <n v="0"/>
    <n v="0"/>
    <n v="0"/>
    <n v="0"/>
    <n v="1544.2341177812691"/>
    <n v="1484.4573206277196"/>
    <n v="0.46519638264425184"/>
    <n v="57"/>
    <n v="67"/>
    <n v="0"/>
    <n v="-10"/>
    <n v="0"/>
    <n v="0.40305206473560118"/>
    <n v="1"/>
    <n v="75.099999999999994"/>
    <n v="75.099999999999994"/>
    <n v="-14.081127026175617"/>
    <n v="1530.1529907550935"/>
    <n v="0"/>
    <n v="1"/>
    <n v="0"/>
    <n v="0"/>
    <n v="0"/>
    <n v="0"/>
    <n v="0"/>
    <n v="0"/>
    <n v="0"/>
    <n v="0"/>
  </r>
  <r>
    <d v="2003-06-07T00:00:00"/>
    <n v="2003"/>
    <x v="3"/>
    <s v="R"/>
    <s v="RS"/>
    <x v="10"/>
    <s v="CHA"/>
    <s v="H"/>
    <n v="0"/>
    <n v="0"/>
    <n v="0"/>
    <n v="0"/>
    <n v="0"/>
    <n v="0"/>
    <n v="1484.4573206277196"/>
    <n v="1544.2341177812691"/>
    <n v="0.53480361735574822"/>
    <n v="67"/>
    <n v="57"/>
    <n v="0"/>
    <n v="10"/>
    <n v="1"/>
    <n v="0.40305206473560118"/>
    <n v="1"/>
    <n v="75.400000000000006"/>
    <n v="75.400000000000006"/>
    <n v="14.137376534935305"/>
    <n v="1498.5946971626549"/>
    <n v="1"/>
    <n v="0"/>
    <n v="0"/>
    <n v="0"/>
    <n v="0"/>
    <n v="0"/>
    <n v="0"/>
    <n v="0"/>
    <n v="0"/>
    <n v="0"/>
  </r>
  <r>
    <d v="2003-06-07T00:00:00"/>
    <n v="2003"/>
    <x v="6"/>
    <s v="R"/>
    <s v="RS"/>
    <x v="1"/>
    <s v="CON"/>
    <s v="A"/>
    <n v="0"/>
    <n v="1"/>
    <n v="-1"/>
    <n v="1"/>
    <n v="-8"/>
    <n v="8"/>
    <n v="1549.4418979105612"/>
    <n v="1511.642988979195"/>
    <n v="0.41142968693032567"/>
    <n v="58"/>
    <n v="65"/>
    <n v="0"/>
    <n v="-7"/>
    <n v="0"/>
    <n v="0.35880513690872073"/>
    <n v="1"/>
    <n v="74.95"/>
    <n v="74.95"/>
    <n v="-11.064350231793703"/>
    <n v="1538.3775476787675"/>
    <n v="0"/>
    <n v="1"/>
    <n v="0"/>
    <n v="0"/>
    <n v="0"/>
    <n v="0"/>
    <n v="0"/>
    <n v="0"/>
    <n v="0"/>
    <n v="0"/>
  </r>
  <r>
    <d v="2003-06-07T00:00:00"/>
    <n v="2003"/>
    <x v="4"/>
    <s v="R"/>
    <s v="RS"/>
    <x v="7"/>
    <s v="HOU"/>
    <s v="H"/>
    <n v="1"/>
    <n v="0"/>
    <n v="1"/>
    <n v="-1"/>
    <n v="8"/>
    <n v="-8"/>
    <n v="1511.642988979195"/>
    <n v="1549.4418979105612"/>
    <n v="0.58857031306967433"/>
    <n v="65"/>
    <n v="58"/>
    <n v="0"/>
    <n v="7"/>
    <n v="1"/>
    <n v="0.35880513690872073"/>
    <n v="1"/>
    <n v="75.25"/>
    <n v="75.25"/>
    <n v="11.108637157337908"/>
    <n v="1522.7516261365329"/>
    <n v="1"/>
    <n v="0"/>
    <n v="0"/>
    <n v="0"/>
    <n v="0"/>
    <n v="0"/>
    <n v="0"/>
    <n v="0"/>
    <n v="0"/>
    <n v="0"/>
  </r>
  <r>
    <d v="2003-06-07T00:00:00"/>
    <n v="2003"/>
    <x v="3"/>
    <s v="R"/>
    <s v="RS"/>
    <x v="12"/>
    <s v="IND"/>
    <s v="A"/>
    <n v="0"/>
    <n v="6"/>
    <n v="-6"/>
    <n v="6"/>
    <n v="-16"/>
    <n v="16"/>
    <n v="1527.1763999617237"/>
    <n v="1491.95264806411"/>
    <n v="0.38580380216113086"/>
    <n v="66"/>
    <n v="86"/>
    <n v="0"/>
    <n v="-20"/>
    <n v="0"/>
    <n v="0.55849381917308649"/>
    <n v="1"/>
    <n v="75.400000000000006"/>
    <n v="75.400000000000006"/>
    <n v="-16.246365534603278"/>
    <n v="1510.9300344271205"/>
    <n v="0"/>
    <n v="1"/>
    <n v="0"/>
    <n v="0"/>
    <n v="0"/>
    <n v="0"/>
    <n v="0"/>
    <n v="0"/>
    <n v="0"/>
    <n v="0"/>
  </r>
  <r>
    <d v="2003-06-07T00:00:00"/>
    <n v="2003"/>
    <x v="2"/>
    <s v="R"/>
    <s v="RS"/>
    <x v="11"/>
    <s v="NYL"/>
    <s v="H"/>
    <n v="6"/>
    <n v="0"/>
    <n v="6"/>
    <n v="-6"/>
    <n v="16"/>
    <n v="-16"/>
    <n v="1491.95264806411"/>
    <n v="1527.1763999617237"/>
    <n v="0.61419619783886914"/>
    <n v="86"/>
    <n v="66"/>
    <n v="0"/>
    <n v="20"/>
    <n v="1"/>
    <n v="0.55849381917308649"/>
    <n v="1"/>
    <n v="75.55"/>
    <n v="75.55"/>
    <n v="16.278685890441345"/>
    <n v="1508.2313339545512"/>
    <n v="1"/>
    <n v="0"/>
    <n v="0"/>
    <n v="0"/>
    <n v="0"/>
    <n v="0"/>
    <n v="0"/>
    <n v="0"/>
    <n v="0"/>
    <n v="0"/>
  </r>
  <r>
    <d v="2003-06-07T00:00:00"/>
    <n v="2003"/>
    <x v="5"/>
    <s v="R"/>
    <s v="RS"/>
    <x v="6"/>
    <s v="SAC"/>
    <s v="A"/>
    <n v="1"/>
    <n v="1"/>
    <n v="0"/>
    <n v="0"/>
    <n v="0"/>
    <n v="0"/>
    <n v="1664.3992346085765"/>
    <n v="1507.3869581371355"/>
    <n v="0.60355322810911805"/>
    <n v="79"/>
    <n v="61"/>
    <n v="0"/>
    <n v="18"/>
    <n v="1"/>
    <n v="0.48356284606198663"/>
    <n v="1"/>
    <n v="75.099999999999994"/>
    <n v="75.099999999999994"/>
    <n v="14.397190392505919"/>
    <n v="1678.7964250010825"/>
    <n v="1"/>
    <n v="0"/>
    <n v="0"/>
    <n v="0"/>
    <n v="0"/>
    <n v="0"/>
    <n v="0"/>
    <n v="0"/>
    <n v="0"/>
    <n v="0"/>
  </r>
  <r>
    <d v="2003-06-07T00:00:00"/>
    <n v="2003"/>
    <x v="5"/>
    <s v="R"/>
    <s v="RS"/>
    <x v="2"/>
    <s v="LAS"/>
    <s v="H"/>
    <n v="1"/>
    <n v="1"/>
    <n v="0"/>
    <n v="0"/>
    <n v="0"/>
    <n v="0"/>
    <n v="1507.3869581371355"/>
    <n v="1664.3992346085765"/>
    <n v="0.39644677189088195"/>
    <n v="61"/>
    <n v="79"/>
    <n v="0"/>
    <n v="-18"/>
    <n v="0"/>
    <n v="0.48356284606198663"/>
    <n v="1"/>
    <n v="75.099999999999994"/>
    <n v="75.099999999999994"/>
    <n v="-14.397190392505919"/>
    <n v="1492.9897677446295"/>
    <n v="0"/>
    <n v="1"/>
    <n v="0"/>
    <n v="0"/>
    <n v="0"/>
    <n v="0"/>
    <n v="0"/>
    <n v="0"/>
    <n v="0"/>
    <n v="0"/>
  </r>
  <r>
    <d v="2003-06-07T00:00:00"/>
    <n v="2003"/>
    <x v="2"/>
    <s v="R"/>
    <s v="RS"/>
    <x v="13"/>
    <s v="SAS"/>
    <s v="A"/>
    <n v="1"/>
    <n v="1"/>
    <n v="0"/>
    <n v="0"/>
    <n v="0"/>
    <n v="0"/>
    <n v="1446.1926287810352"/>
    <n v="1484.4394870727529"/>
    <n v="0.33099030122771983"/>
    <n v="74"/>
    <n v="55"/>
    <n v="0"/>
    <n v="19"/>
    <n v="1"/>
    <n v="0.54365014759369357"/>
    <n v="1"/>
    <n v="75.55"/>
    <n v="75.55"/>
    <n v="27.478080582750732"/>
    <n v="1473.6707093637858"/>
    <n v="1"/>
    <n v="0"/>
    <n v="0"/>
    <n v="0"/>
    <n v="0"/>
    <n v="0"/>
    <n v="0"/>
    <n v="0"/>
    <n v="0"/>
    <n v="0"/>
  </r>
  <r>
    <d v="2003-06-07T00:00:00"/>
    <n v="2003"/>
    <x v="6"/>
    <s v="R"/>
    <s v="RS"/>
    <x v="9"/>
    <s v="DET"/>
    <s v="H"/>
    <n v="1"/>
    <n v="1"/>
    <n v="0"/>
    <n v="0"/>
    <n v="0"/>
    <n v="0"/>
    <n v="1484.4394870727529"/>
    <n v="1446.1926287810352"/>
    <n v="0.66900969877228011"/>
    <n v="55"/>
    <n v="74"/>
    <n v="0"/>
    <n v="-19"/>
    <n v="0"/>
    <n v="0.54365014759369357"/>
    <n v="1"/>
    <n v="74.95"/>
    <n v="74.95"/>
    <n v="-27.259856249863233"/>
    <n v="1457.1796308228895"/>
    <n v="0"/>
    <n v="1"/>
    <n v="0"/>
    <n v="0"/>
    <n v="0"/>
    <n v="0"/>
    <n v="0"/>
    <n v="0"/>
    <n v="0"/>
    <n v="0"/>
  </r>
  <r>
    <d v="2003-06-07T00:00:00"/>
    <n v="2003"/>
    <x v="6"/>
    <s v="R"/>
    <s v="RS"/>
    <x v="3"/>
    <s v="SEA"/>
    <s v="A"/>
    <n v="1"/>
    <n v="3"/>
    <n v="-2"/>
    <n v="2"/>
    <n v="-16"/>
    <n v="16"/>
    <n v="1390.2872409969641"/>
    <n v="1495.978909181686"/>
    <n v="0.21820461513532238"/>
    <n v="57"/>
    <n v="66"/>
    <n v="0"/>
    <n v="-9"/>
    <n v="0"/>
    <n v="0.37310939821955719"/>
    <n v="1"/>
    <n v="74.95"/>
    <n v="74.95"/>
    <n v="-6.1019937385081731"/>
    <n v="1384.185247258456"/>
    <n v="0"/>
    <n v="1"/>
    <n v="0"/>
    <n v="0"/>
    <n v="0"/>
    <n v="0"/>
    <n v="0"/>
    <n v="0"/>
    <n v="0"/>
    <n v="0"/>
  </r>
  <r>
    <d v="2003-06-07T00:00:00"/>
    <n v="2003"/>
    <x v="4"/>
    <s v="R"/>
    <s v="RS"/>
    <x v="0"/>
    <s v="PHX"/>
    <s v="H"/>
    <n v="3"/>
    <n v="1"/>
    <n v="2"/>
    <n v="-2"/>
    <n v="16"/>
    <n v="-16"/>
    <n v="1495.978909181686"/>
    <n v="1390.2872409969641"/>
    <n v="0.78179538486467759"/>
    <n v="66"/>
    <n v="57"/>
    <n v="0"/>
    <n v="9"/>
    <n v="1"/>
    <n v="0.37310939821955719"/>
    <n v="1"/>
    <n v="75.25"/>
    <n v="75.25"/>
    <n v="6.1264179963007344"/>
    <n v="1502.1053271779867"/>
    <n v="1"/>
    <n v="0"/>
    <n v="0"/>
    <n v="0"/>
    <n v="0"/>
    <n v="0"/>
    <n v="0"/>
    <n v="0"/>
    <n v="0"/>
    <n v="0"/>
  </r>
  <r>
    <d v="2003-06-10T00:00:00"/>
    <n v="2003"/>
    <x v="6"/>
    <s v="R"/>
    <s v="RS"/>
    <x v="2"/>
    <s v="HOU"/>
    <s v="A"/>
    <n v="2"/>
    <n v="2"/>
    <n v="0"/>
    <n v="0"/>
    <n v="0"/>
    <n v="0"/>
    <n v="1492.9897677446295"/>
    <n v="1538.3775476787675"/>
    <n v="0.32195193070213496"/>
    <n v="66"/>
    <n v="71"/>
    <n v="0"/>
    <n v="-5"/>
    <n v="0"/>
    <n v="0.31966522955167509"/>
    <n v="1"/>
    <n v="74.95"/>
    <n v="74.95"/>
    <n v="-7.7136169955460971"/>
    <n v="1485.2761507490834"/>
    <n v="0"/>
    <n v="1"/>
    <n v="0"/>
    <n v="0"/>
    <n v="0"/>
    <n v="0"/>
    <n v="0"/>
    <n v="0"/>
    <n v="0"/>
    <n v="0"/>
  </r>
  <r>
    <d v="2003-06-10T00:00:00"/>
    <n v="2003"/>
    <x v="7"/>
    <s v="R"/>
    <s v="RS"/>
    <x v="1"/>
    <s v="SAC"/>
    <s v="H"/>
    <n v="2"/>
    <n v="2"/>
    <n v="0"/>
    <n v="0"/>
    <n v="0"/>
    <n v="0"/>
    <n v="1538.3775476787675"/>
    <n v="1492.9897677446295"/>
    <n v="0.67804806929786499"/>
    <n v="71"/>
    <n v="66"/>
    <n v="0"/>
    <n v="5"/>
    <n v="1"/>
    <n v="0.31966522955167509"/>
    <n v="1"/>
    <n v="74.8"/>
    <n v="74.8"/>
    <n v="7.6981794698712234"/>
    <n v="1546.0757271486389"/>
    <n v="1"/>
    <n v="0"/>
    <n v="0"/>
    <n v="0"/>
    <n v="0"/>
    <n v="0"/>
    <n v="0"/>
    <n v="0"/>
    <n v="0"/>
    <n v="0"/>
  </r>
  <r>
    <d v="2003-06-10T00:00:00"/>
    <n v="2003"/>
    <x v="5"/>
    <s v="R"/>
    <s v="RS"/>
    <x v="8"/>
    <s v="LAS"/>
    <s v="A"/>
    <n v="3"/>
    <n v="2"/>
    <n v="1"/>
    <n v="-1"/>
    <n v="8"/>
    <n v="-8"/>
    <n v="1463.5289451658543"/>
    <n v="1678.7964250010825"/>
    <n v="0.16374562438656512"/>
    <n v="75"/>
    <n v="76"/>
    <n v="0"/>
    <n v="-1"/>
    <n v="0"/>
    <n v="0.20703902925294823"/>
    <n v="1"/>
    <n v="75.099999999999994"/>
    <n v="75.099999999999994"/>
    <n v="-2.5460203073176659"/>
    <n v="1460.9829248585368"/>
    <n v="0"/>
    <n v="1"/>
    <n v="0"/>
    <n v="0"/>
    <n v="0"/>
    <n v="0"/>
    <n v="0"/>
    <n v="0"/>
    <n v="0"/>
    <n v="0"/>
  </r>
  <r>
    <d v="2003-06-10T00:00:00"/>
    <n v="2003"/>
    <x v="6"/>
    <s v="R"/>
    <s v="RS"/>
    <x v="6"/>
    <s v="MIN"/>
    <s v="H"/>
    <n v="2"/>
    <n v="3"/>
    <n v="-1"/>
    <n v="1"/>
    <n v="-8"/>
    <n v="8"/>
    <n v="1678.7964250010825"/>
    <n v="1463.5289451658543"/>
    <n v="0.83625437561343485"/>
    <n v="76"/>
    <n v="75"/>
    <n v="0"/>
    <n v="1"/>
    <n v="1"/>
    <n v="0.20703902925294823"/>
    <n v="1"/>
    <n v="74.95"/>
    <n v="74.95"/>
    <n v="2.5409350470500547"/>
    <n v="1681.3373600481325"/>
    <n v="1"/>
    <n v="0"/>
    <n v="0"/>
    <n v="0"/>
    <n v="0"/>
    <n v="0"/>
    <n v="0"/>
    <n v="0"/>
    <n v="0"/>
    <n v="0"/>
  </r>
  <r>
    <d v="2003-06-10T00:00:00"/>
    <n v="2003"/>
    <x v="4"/>
    <s v="R"/>
    <s v="RS"/>
    <x v="10"/>
    <s v="NYL"/>
    <s v="A"/>
    <n v="2"/>
    <n v="2"/>
    <n v="0"/>
    <n v="0"/>
    <n v="0"/>
    <n v="0"/>
    <n v="1498.5946971626549"/>
    <n v="1510.9300344271205"/>
    <n v="0.36480923944770427"/>
    <n v="65"/>
    <n v="73"/>
    <n v="0"/>
    <n v="-8"/>
    <n v="0"/>
    <n v="0.38436448042094429"/>
    <n v="1"/>
    <n v="75.25"/>
    <n v="75.25"/>
    <n v="-10.551533461424022"/>
    <n v="1488.0431637012309"/>
    <n v="0"/>
    <n v="1"/>
    <n v="0"/>
    <n v="0"/>
    <n v="0"/>
    <n v="0"/>
    <n v="0"/>
    <n v="0"/>
    <n v="0"/>
    <n v="0"/>
  </r>
  <r>
    <d v="2003-06-10T00:00:00"/>
    <n v="2003"/>
    <x v="4"/>
    <s v="R"/>
    <s v="RS"/>
    <x v="12"/>
    <s v="CLE"/>
    <s v="H"/>
    <n v="2"/>
    <n v="2"/>
    <n v="0"/>
    <n v="0"/>
    <n v="0"/>
    <n v="0"/>
    <n v="1510.9300344271205"/>
    <n v="1498.5946971626549"/>
    <n v="0.63519076055229573"/>
    <n v="73"/>
    <n v="65"/>
    <n v="0"/>
    <n v="8"/>
    <n v="1"/>
    <n v="0.38436448042094429"/>
    <n v="1"/>
    <n v="75.25"/>
    <n v="75.25"/>
    <n v="10.551533461424022"/>
    <n v="1521.4815678885445"/>
    <n v="1"/>
    <n v="0"/>
    <n v="0"/>
    <n v="0"/>
    <n v="0"/>
    <n v="0"/>
    <n v="0"/>
    <n v="0"/>
    <n v="0"/>
    <n v="0"/>
  </r>
  <r>
    <d v="2003-06-10T00:00:00"/>
    <n v="2003"/>
    <x v="3"/>
    <s v="R"/>
    <s v="RS"/>
    <x v="11"/>
    <s v="SEA"/>
    <s v="A"/>
    <n v="2"/>
    <n v="2"/>
    <n v="0"/>
    <n v="0"/>
    <n v="0"/>
    <n v="0"/>
    <n v="1508.2313339545512"/>
    <n v="1502.1053271779867"/>
    <n v="0.38977008893073373"/>
    <n v="51"/>
    <n v="78"/>
    <n v="0"/>
    <n v="-27"/>
    <n v="0"/>
    <n v="0.66328061537951755"/>
    <n v="1"/>
    <n v="75.400000000000006"/>
    <n v="75.400000000000006"/>
    <n v="-19.49293161096498"/>
    <n v="1488.7384023435864"/>
    <n v="0"/>
    <n v="1"/>
    <n v="0"/>
    <n v="0"/>
    <n v="0"/>
    <n v="0"/>
    <n v="0"/>
    <n v="0"/>
    <n v="0"/>
    <n v="0"/>
  </r>
  <r>
    <d v="2003-06-10T00:00:00"/>
    <n v="2003"/>
    <x v="5"/>
    <s v="R"/>
    <s v="RS"/>
    <x v="0"/>
    <s v="IND"/>
    <s v="H"/>
    <n v="2"/>
    <n v="2"/>
    <n v="0"/>
    <n v="0"/>
    <n v="0"/>
    <n v="0"/>
    <n v="1502.1053271779867"/>
    <n v="1508.2313339545512"/>
    <n v="0.61022991106926627"/>
    <n v="78"/>
    <n v="51"/>
    <n v="0"/>
    <n v="27"/>
    <n v="1"/>
    <n v="0.66328061537951755"/>
    <n v="1"/>
    <n v="75.099999999999994"/>
    <n v="75.099999999999994"/>
    <n v="19.415373527632223"/>
    <n v="1521.520700705619"/>
    <n v="1"/>
    <n v="0"/>
    <n v="0"/>
    <n v="0"/>
    <n v="0"/>
    <n v="0"/>
    <n v="0"/>
    <n v="0"/>
    <n v="0"/>
    <n v="0"/>
  </r>
  <r>
    <d v="2003-06-10T00:00:00"/>
    <n v="2003"/>
    <x v="7"/>
    <s v="R"/>
    <s v="RS"/>
    <x v="9"/>
    <s v="WAS"/>
    <s v="A"/>
    <n v="2"/>
    <n v="3"/>
    <n v="-1"/>
    <n v="1"/>
    <n v="-8"/>
    <n v="8"/>
    <n v="1457.1796308228895"/>
    <n v="1452.5634493240973"/>
    <n v="0.36607941479487166"/>
    <n v="72"/>
    <n v="79"/>
    <n v="0"/>
    <n v="-7"/>
    <n v="0"/>
    <n v="0.36868889344653827"/>
    <n v="1"/>
    <n v="74.8"/>
    <n v="74.8"/>
    <n v="-10.095712193699958"/>
    <n v="1447.0839186291896"/>
    <n v="0"/>
    <n v="1"/>
    <n v="0"/>
    <n v="0"/>
    <n v="0"/>
    <n v="0"/>
    <n v="0"/>
    <n v="0"/>
    <n v="0"/>
    <n v="0"/>
  </r>
  <r>
    <d v="2003-06-10T00:00:00"/>
    <n v="2003"/>
    <x v="4"/>
    <s v="R"/>
    <s v="RS"/>
    <x v="4"/>
    <s v="SAS"/>
    <s v="H"/>
    <n v="3"/>
    <n v="2"/>
    <n v="1"/>
    <n v="-1"/>
    <n v="8"/>
    <n v="-8"/>
    <n v="1452.5634493240973"/>
    <n v="1457.1796308228895"/>
    <n v="0.63392058520512828"/>
    <n v="79"/>
    <n v="72"/>
    <n v="0"/>
    <n v="7"/>
    <n v="1"/>
    <n v="0.36868889344653827"/>
    <n v="1"/>
    <n v="75.25"/>
    <n v="75.25"/>
    <n v="10.156448430159385"/>
    <n v="1462.7198977542566"/>
    <n v="1"/>
    <n v="0"/>
    <n v="0"/>
    <n v="0"/>
    <n v="0"/>
    <n v="0"/>
    <n v="0"/>
    <n v="0"/>
    <n v="0"/>
    <n v="0"/>
  </r>
  <r>
    <d v="2003-06-12T00:00:00"/>
    <n v="2003"/>
    <x v="4"/>
    <s v="R"/>
    <s v="RS"/>
    <x v="11"/>
    <s v="LAS"/>
    <s v="A"/>
    <n v="1"/>
    <n v="1"/>
    <n v="0"/>
    <n v="0"/>
    <n v="0"/>
    <n v="0"/>
    <n v="1488.7384023435864"/>
    <n v="1681.3373600481325"/>
    <n v="0.16907015920192983"/>
    <n v="66"/>
    <n v="74"/>
    <n v="0"/>
    <n v="-8"/>
    <n v="0"/>
    <n v="0.33461079331244814"/>
    <n v="1"/>
    <n v="75.25"/>
    <n v="75.25"/>
    <n v="-4.2570956822254784"/>
    <n v="1484.4813066613608"/>
    <n v="0"/>
    <n v="1"/>
    <n v="0"/>
    <n v="0"/>
    <n v="0"/>
    <n v="0"/>
    <n v="0"/>
    <n v="0"/>
    <n v="0"/>
    <n v="0"/>
  </r>
  <r>
    <d v="2003-06-12T00:00:00"/>
    <n v="2003"/>
    <x v="7"/>
    <s v="R"/>
    <s v="RS"/>
    <x v="6"/>
    <s v="IND"/>
    <s v="H"/>
    <n v="1"/>
    <n v="1"/>
    <n v="0"/>
    <n v="0"/>
    <n v="0"/>
    <n v="0"/>
    <n v="1681.3373600481325"/>
    <n v="1488.7384023435864"/>
    <n v="0.8309298407980702"/>
    <n v="74"/>
    <n v="66"/>
    <n v="0"/>
    <n v="8"/>
    <n v="1"/>
    <n v="0.33461079331244814"/>
    <n v="1"/>
    <n v="74.8"/>
    <n v="74.8"/>
    <n v="4.2316379671822686"/>
    <n v="1685.5689980153147"/>
    <n v="1"/>
    <n v="0"/>
    <n v="0"/>
    <n v="0"/>
    <n v="0"/>
    <n v="0"/>
    <n v="0"/>
    <n v="0"/>
    <n v="0"/>
    <n v="0"/>
  </r>
  <r>
    <d v="2003-06-12T00:00:00"/>
    <n v="2003"/>
    <x v="6"/>
    <s v="R"/>
    <s v="RS"/>
    <x v="5"/>
    <s v="PHX"/>
    <s v="A"/>
    <n v="4"/>
    <n v="4"/>
    <n v="0"/>
    <n v="0"/>
    <n v="0"/>
    <n v="0"/>
    <n v="1530.1529907550935"/>
    <n v="1384.185247258456"/>
    <n v="0.58824499771002292"/>
    <n v="58"/>
    <n v="50"/>
    <n v="0"/>
    <n v="8"/>
    <n v="1"/>
    <n v="0.34620342445433255"/>
    <n v="1"/>
    <n v="74.95"/>
    <n v="74.95"/>
    <n v="10.68419683758292"/>
    <n v="1540.8371875926764"/>
    <n v="1"/>
    <n v="0"/>
    <n v="0"/>
    <n v="0"/>
    <n v="0"/>
    <n v="0"/>
    <n v="0"/>
    <n v="0"/>
    <n v="0"/>
    <n v="0"/>
  </r>
  <r>
    <d v="2003-06-12T00:00:00"/>
    <n v="2003"/>
    <x v="7"/>
    <s v="R"/>
    <s v="RS"/>
    <x v="3"/>
    <s v="CHA"/>
    <s v="H"/>
    <n v="4"/>
    <n v="4"/>
    <n v="0"/>
    <n v="0"/>
    <n v="0"/>
    <n v="0"/>
    <n v="1384.185247258456"/>
    <n v="1530.1529907550935"/>
    <n v="0.41175500228997697"/>
    <n v="50"/>
    <n v="58"/>
    <n v="0"/>
    <n v="-8"/>
    <n v="0"/>
    <n v="0.34620342445433255"/>
    <n v="1"/>
    <n v="74.8"/>
    <n v="74.8"/>
    <n v="-10.66281418880857"/>
    <n v="1373.5224330696474"/>
    <n v="0"/>
    <n v="1"/>
    <n v="0"/>
    <n v="0"/>
    <n v="0"/>
    <n v="0"/>
    <n v="0"/>
    <n v="0"/>
    <n v="0"/>
    <n v="0"/>
  </r>
  <r>
    <d v="2003-06-12T00:00:00"/>
    <n v="2003"/>
    <x v="6"/>
    <s v="R"/>
    <s v="RS"/>
    <x v="8"/>
    <s v="SAC"/>
    <s v="A"/>
    <n v="1"/>
    <n v="1"/>
    <n v="0"/>
    <n v="0"/>
    <n v="0"/>
    <n v="0"/>
    <n v="1460.9829248585368"/>
    <n v="1485.2761507490834"/>
    <n v="0.34901176922441435"/>
    <n v="55"/>
    <n v="68"/>
    <n v="0"/>
    <n v="-13"/>
    <n v="0"/>
    <n v="0.46267715511119123"/>
    <n v="1"/>
    <n v="74.95"/>
    <n v="74.95"/>
    <n v="-12.102908947756418"/>
    <n v="1448.8800159107805"/>
    <n v="0"/>
    <n v="1"/>
    <n v="0"/>
    <n v="0"/>
    <n v="0"/>
    <n v="0"/>
    <n v="0"/>
    <n v="0"/>
    <n v="0"/>
    <n v="0"/>
  </r>
  <r>
    <d v="2003-06-12T00:00:00"/>
    <n v="2003"/>
    <x v="7"/>
    <s v="R"/>
    <s v="RS"/>
    <x v="2"/>
    <s v="MIN"/>
    <s v="H"/>
    <n v="1"/>
    <n v="1"/>
    <n v="0"/>
    <n v="0"/>
    <n v="0"/>
    <n v="0"/>
    <n v="1485.2761507490834"/>
    <n v="1460.9829248585368"/>
    <n v="0.65098823077558565"/>
    <n v="68"/>
    <n v="55"/>
    <n v="0"/>
    <n v="13"/>
    <n v="1"/>
    <n v="0.46267715511119123"/>
    <n v="1"/>
    <n v="74.8"/>
    <n v="74.8"/>
    <n v="12.078686981883656"/>
    <n v="1497.3548377309671"/>
    <n v="1"/>
    <n v="0"/>
    <n v="0"/>
    <n v="0"/>
    <n v="0"/>
    <n v="0"/>
    <n v="0"/>
    <n v="0"/>
    <n v="0"/>
    <n v="0"/>
  </r>
  <r>
    <d v="2003-06-13T00:00:00"/>
    <n v="2003"/>
    <x v="5"/>
    <s v="R"/>
    <s v="RS"/>
    <x v="4"/>
    <s v="CON"/>
    <s v="A"/>
    <n v="2"/>
    <n v="5"/>
    <n v="-3"/>
    <n v="3"/>
    <n v="-16"/>
    <n v="16"/>
    <n v="1462.7198977542566"/>
    <n v="1522.7516261365329"/>
    <n v="0.26633060782497442"/>
    <n v="70"/>
    <n v="84"/>
    <n v="0"/>
    <n v="-14"/>
    <n v="0"/>
    <n v="0.46437697643705778"/>
    <n v="1"/>
    <n v="75.099999999999994"/>
    <n v="75.099999999999994"/>
    <n v="-9.2882029598198468"/>
    <n v="1453.4316947944367"/>
    <n v="0"/>
    <n v="1"/>
    <n v="0"/>
    <n v="0"/>
    <n v="0"/>
    <n v="0"/>
    <n v="0"/>
    <n v="0"/>
    <n v="0"/>
    <n v="0"/>
  </r>
  <r>
    <d v="2003-06-13T00:00:00"/>
    <n v="2003"/>
    <x v="5"/>
    <s v="R"/>
    <s v="RS"/>
    <x v="7"/>
    <s v="WAS"/>
    <s v="H"/>
    <n v="5"/>
    <n v="2"/>
    <n v="3"/>
    <n v="-3"/>
    <n v="16"/>
    <n v="-16"/>
    <n v="1522.7516261365329"/>
    <n v="1462.7198977542566"/>
    <n v="0.73366939217502558"/>
    <n v="84"/>
    <n v="70"/>
    <n v="0"/>
    <n v="14"/>
    <n v="1"/>
    <n v="0.46437697643705778"/>
    <n v="1"/>
    <n v="75.099999999999994"/>
    <n v="75.099999999999994"/>
    <n v="9.2882029598198468"/>
    <n v="1532.0398290963528"/>
    <n v="1"/>
    <n v="0"/>
    <n v="0"/>
    <n v="0"/>
    <n v="0"/>
    <n v="0"/>
    <n v="0"/>
    <n v="0"/>
    <n v="0"/>
    <n v="0"/>
  </r>
  <r>
    <d v="2003-06-14T00:00:00"/>
    <n v="2003"/>
    <x v="6"/>
    <s v="R"/>
    <s v="RS"/>
    <x v="7"/>
    <s v="CLE"/>
    <s v="A"/>
    <n v="0"/>
    <n v="3"/>
    <n v="-3"/>
    <n v="3"/>
    <n v="-16"/>
    <n v="16"/>
    <n v="1532.0398290963528"/>
    <n v="1488.0431637012309"/>
    <n v="0.39783730828195929"/>
    <n v="56"/>
    <n v="84"/>
    <n v="0"/>
    <n v="-28"/>
    <n v="0"/>
    <n v="0.65507216759817399"/>
    <n v="1"/>
    <n v="74.95"/>
    <n v="74.95"/>
    <n v="-19.532880484182069"/>
    <n v="1512.5069486121708"/>
    <n v="0"/>
    <n v="1"/>
    <n v="0"/>
    <n v="0"/>
    <n v="0"/>
    <n v="0"/>
    <n v="0"/>
    <n v="0"/>
    <n v="0"/>
    <n v="0"/>
  </r>
  <r>
    <d v="2003-06-14T00:00:00"/>
    <n v="2003"/>
    <x v="5"/>
    <s v="R"/>
    <s v="RS"/>
    <x v="10"/>
    <s v="CON"/>
    <s v="H"/>
    <n v="3"/>
    <n v="0"/>
    <n v="3"/>
    <n v="-3"/>
    <n v="16"/>
    <n v="-16"/>
    <n v="1488.0431637012309"/>
    <n v="1532.0398290963528"/>
    <n v="0.6021626917180406"/>
    <n v="84"/>
    <n v="56"/>
    <n v="0"/>
    <n v="28"/>
    <n v="1"/>
    <n v="0.65507216759817399"/>
    <n v="1"/>
    <n v="75.099999999999994"/>
    <n v="75.099999999999994"/>
    <n v="19.571972306365229"/>
    <n v="1507.6151360075962"/>
    <n v="1"/>
    <n v="0"/>
    <n v="0"/>
    <n v="0"/>
    <n v="0"/>
    <n v="0"/>
    <n v="0"/>
    <n v="0"/>
    <n v="0"/>
    <n v="0"/>
  </r>
  <r>
    <d v="2003-06-14T00:00:00"/>
    <n v="2003"/>
    <x v="8"/>
    <s v="R"/>
    <s v="RS"/>
    <x v="6"/>
    <s v="NYL"/>
    <s v="A"/>
    <n v="1"/>
    <n v="3"/>
    <n v="-2"/>
    <n v="2"/>
    <n v="-16"/>
    <n v="16"/>
    <n v="1685.5689980153147"/>
    <n v="1521.4815678885445"/>
    <n v="0.56876483836957181"/>
    <n v="67"/>
    <n v="60"/>
    <n v="0"/>
    <n v="7"/>
    <n v="1"/>
    <n v="0.32558661356721785"/>
    <n v="1"/>
    <n v="74.650000000000006"/>
    <n v="74.650000000000006"/>
    <n v="10.481188155902997"/>
    <n v="1696.0501861712178"/>
    <n v="1"/>
    <n v="0"/>
    <n v="0"/>
    <n v="0"/>
    <n v="0"/>
    <n v="0"/>
    <n v="0"/>
    <n v="0"/>
    <n v="0"/>
    <n v="0"/>
  </r>
  <r>
    <d v="2003-06-14T00:00:00"/>
    <n v="2003"/>
    <x v="5"/>
    <s v="R"/>
    <s v="RS"/>
    <x v="12"/>
    <s v="LAS"/>
    <s v="H"/>
    <n v="3"/>
    <n v="1"/>
    <n v="2"/>
    <n v="-2"/>
    <n v="16"/>
    <n v="-16"/>
    <n v="1521.4815678885445"/>
    <n v="1685.5689980153147"/>
    <n v="0.43123516163042824"/>
    <n v="60"/>
    <n v="67"/>
    <n v="0"/>
    <n v="-7"/>
    <n v="0"/>
    <n v="0.32558661356721785"/>
    <n v="1"/>
    <n v="75.099999999999994"/>
    <n v="75.099999999999994"/>
    <n v="-10.544370134069858"/>
    <n v="1510.9371977544747"/>
    <n v="0"/>
    <n v="1"/>
    <n v="0"/>
    <n v="0"/>
    <n v="0"/>
    <n v="0"/>
    <n v="0"/>
    <n v="0"/>
    <n v="0"/>
    <n v="0"/>
  </r>
  <r>
    <d v="2003-06-14T00:00:00"/>
    <n v="2003"/>
    <x v="8"/>
    <s v="R"/>
    <s v="RS"/>
    <x v="1"/>
    <s v="PHX"/>
    <s v="A"/>
    <n v="3"/>
    <n v="1"/>
    <n v="2"/>
    <n v="-2"/>
    <n v="16"/>
    <n v="-16"/>
    <n v="1546.0757271486389"/>
    <n v="1373.5224330696474"/>
    <n v="0.66684738973200341"/>
    <n v="61"/>
    <n v="76"/>
    <n v="0"/>
    <n v="-15"/>
    <n v="0"/>
    <n v="0.43963147825121102"/>
    <n v="1"/>
    <n v="74.650000000000006"/>
    <n v="74.650000000000006"/>
    <n v="-21.884924292387613"/>
    <n v="1524.1908028562511"/>
    <n v="0"/>
    <n v="1"/>
    <n v="0"/>
    <n v="0"/>
    <n v="0"/>
    <n v="0"/>
    <n v="0"/>
    <n v="0"/>
    <n v="0"/>
    <n v="0"/>
  </r>
  <r>
    <d v="2003-06-14T00:00:00"/>
    <n v="2003"/>
    <x v="8"/>
    <s v="R"/>
    <s v="RS"/>
    <x v="3"/>
    <s v="HOU"/>
    <s v="H"/>
    <n v="1"/>
    <n v="3"/>
    <n v="-2"/>
    <n v="2"/>
    <n v="-16"/>
    <n v="16"/>
    <n v="1373.5224330696474"/>
    <n v="1546.0757271486389"/>
    <n v="0.33315261026799664"/>
    <n v="76"/>
    <n v="61"/>
    <n v="0"/>
    <n v="15"/>
    <n v="1"/>
    <n v="0.43963147825121102"/>
    <n v="1"/>
    <n v="74.650000000000006"/>
    <n v="74.650000000000006"/>
    <n v="21.884924292387609"/>
    <n v="1395.4073573620349"/>
    <n v="1"/>
    <n v="0"/>
    <n v="0"/>
    <n v="0"/>
    <n v="0"/>
    <n v="0"/>
    <n v="0"/>
    <n v="0"/>
    <n v="0"/>
    <n v="0"/>
  </r>
  <r>
    <d v="2003-06-14T00:00:00"/>
    <n v="2003"/>
    <x v="5"/>
    <s v="R"/>
    <s v="RS"/>
    <x v="11"/>
    <s v="SAC"/>
    <s v="A"/>
    <n v="1"/>
    <n v="1"/>
    <n v="0"/>
    <n v="0"/>
    <n v="0"/>
    <n v="0"/>
    <n v="1484.4813066613608"/>
    <n v="1497.3548377309671"/>
    <n v="0.36409163984927212"/>
    <n v="79"/>
    <n v="67"/>
    <n v="0"/>
    <n v="12"/>
    <n v="1"/>
    <n v="0.45128805079054557"/>
    <n v="1"/>
    <n v="75.099999999999994"/>
    <n v="75.099999999999994"/>
    <n v="21.552036109470947"/>
    <n v="1506.0333427708317"/>
    <n v="1"/>
    <n v="0"/>
    <n v="0"/>
    <n v="0"/>
    <n v="0"/>
    <n v="0"/>
    <n v="0"/>
    <n v="0"/>
    <n v="0"/>
    <n v="0"/>
  </r>
  <r>
    <d v="2003-06-14T00:00:00"/>
    <n v="2003"/>
    <x v="8"/>
    <s v="R"/>
    <s v="RS"/>
    <x v="2"/>
    <s v="IND"/>
    <s v="H"/>
    <n v="1"/>
    <n v="1"/>
    <n v="0"/>
    <n v="0"/>
    <n v="0"/>
    <n v="0"/>
    <n v="1497.3548377309671"/>
    <n v="1484.4813066613608"/>
    <n v="0.63590836015072794"/>
    <n v="67"/>
    <n v="79"/>
    <n v="0"/>
    <n v="-12"/>
    <n v="0"/>
    <n v="0.45128805079054557"/>
    <n v="1"/>
    <n v="74.650000000000006"/>
    <n v="74.650000000000006"/>
    <n v="-21.422896079520729"/>
    <n v="1475.9319416514463"/>
    <n v="0"/>
    <n v="1"/>
    <n v="0"/>
    <n v="0"/>
    <n v="0"/>
    <n v="0"/>
    <n v="0"/>
    <n v="0"/>
    <n v="0"/>
    <n v="0"/>
  </r>
  <r>
    <d v="2003-06-14T00:00:00"/>
    <n v="2003"/>
    <x v="7"/>
    <s v="R"/>
    <s v="RS"/>
    <x v="5"/>
    <s v="SAS"/>
    <s v="A"/>
    <n v="1"/>
    <n v="3"/>
    <n v="-2"/>
    <n v="2"/>
    <n v="-16"/>
    <n v="16"/>
    <n v="1540.8371875926764"/>
    <n v="1447.0839186291896"/>
    <n v="0.46802806350390486"/>
    <n v="52"/>
    <n v="62"/>
    <n v="0"/>
    <n v="-10"/>
    <n v="0"/>
    <n v="0.39246713525642962"/>
    <n v="1"/>
    <n v="74.8"/>
    <n v="74.8"/>
    <n v="-13.739685371063791"/>
    <n v="1527.0975022216126"/>
    <n v="0"/>
    <n v="1"/>
    <n v="0"/>
    <n v="0"/>
    <n v="0"/>
    <n v="0"/>
    <n v="0"/>
    <n v="0"/>
    <n v="0"/>
    <n v="0"/>
  </r>
  <r>
    <d v="2003-06-14T00:00:00"/>
    <n v="2003"/>
    <x v="8"/>
    <s v="R"/>
    <s v="RS"/>
    <x v="9"/>
    <s v="CHA"/>
    <s v="H"/>
    <n v="3"/>
    <n v="1"/>
    <n v="2"/>
    <n v="-2"/>
    <n v="16"/>
    <n v="-16"/>
    <n v="1447.0839186291896"/>
    <n v="1540.8371875926764"/>
    <n v="0.53197193649609509"/>
    <n v="62"/>
    <n v="52"/>
    <n v="0"/>
    <n v="10"/>
    <n v="1"/>
    <n v="0.39246713525642962"/>
    <n v="1"/>
    <n v="74.650000000000006"/>
    <n v="74.650000000000006"/>
    <n v="13.712132526068345"/>
    <n v="1460.7960511552581"/>
    <n v="1"/>
    <n v="0"/>
    <n v="0"/>
    <n v="0"/>
    <n v="0"/>
    <n v="0"/>
    <n v="0"/>
    <n v="0"/>
    <n v="0"/>
    <n v="0"/>
  </r>
  <r>
    <d v="2003-06-14T00:00:00"/>
    <n v="2003"/>
    <x v="7"/>
    <s v="R"/>
    <s v="RS"/>
    <x v="8"/>
    <s v="SEA"/>
    <s v="A"/>
    <n v="1"/>
    <n v="3"/>
    <n v="-2"/>
    <n v="2"/>
    <n v="-16"/>
    <n v="16"/>
    <n v="1448.8800159107805"/>
    <n v="1521.520700705619"/>
    <n v="0.25239054145300022"/>
    <n v="77"/>
    <n v="72"/>
    <n v="0"/>
    <n v="5"/>
    <n v="1"/>
    <n v="0.31281977333427446"/>
    <n v="1"/>
    <n v="74.8"/>
    <n v="74.8"/>
    <n v="17.493253198119362"/>
    <n v="1466.3732691088999"/>
    <n v="1"/>
    <n v="0"/>
    <n v="0"/>
    <n v="0"/>
    <n v="0"/>
    <n v="0"/>
    <n v="0"/>
    <n v="0"/>
    <n v="0"/>
    <n v="0"/>
  </r>
  <r>
    <d v="2003-06-14T00:00:00"/>
    <n v="2003"/>
    <x v="6"/>
    <s v="R"/>
    <s v="RS"/>
    <x v="0"/>
    <s v="MIN"/>
    <s v="H"/>
    <n v="3"/>
    <n v="1"/>
    <n v="2"/>
    <n v="-2"/>
    <n v="16"/>
    <n v="-16"/>
    <n v="1521.520700705619"/>
    <n v="1448.8800159107805"/>
    <n v="0.74760945854699967"/>
    <n v="72"/>
    <n v="77"/>
    <n v="0"/>
    <n v="-5"/>
    <n v="0"/>
    <n v="0.31281977333427446"/>
    <n v="1"/>
    <n v="74.95"/>
    <n v="74.95"/>
    <n v="-17.528333251324145"/>
    <n v="1503.9923674542949"/>
    <n v="0"/>
    <n v="1"/>
    <n v="0"/>
    <n v="0"/>
    <n v="0"/>
    <n v="0"/>
    <n v="0"/>
    <n v="0"/>
    <n v="0"/>
    <n v="0"/>
  </r>
  <r>
    <d v="2003-06-14T00:00:00"/>
    <n v="2003"/>
    <x v="3"/>
    <s v="R"/>
    <s v="RS"/>
    <x v="13"/>
    <s v="WAS"/>
    <s v="A"/>
    <n v="6"/>
    <n v="0"/>
    <n v="6"/>
    <n v="-6"/>
    <n v="16"/>
    <n v="-16"/>
    <n v="1473.6707093637858"/>
    <n v="1453.4316947944367"/>
    <n v="0.45441916684788125"/>
    <n v="93"/>
    <n v="56"/>
    <n v="0"/>
    <n v="37"/>
    <n v="1"/>
    <n v="0.77179981069025994"/>
    <n v="1"/>
    <n v="75.400000000000006"/>
    <n v="75.400000000000006"/>
    <n v="31.749370454225186"/>
    <n v="1505.4200798180109"/>
    <n v="1"/>
    <n v="0"/>
    <n v="0"/>
    <n v="0"/>
    <n v="0"/>
    <n v="0"/>
    <n v="0"/>
    <n v="0"/>
    <n v="0"/>
    <n v="0"/>
  </r>
  <r>
    <d v="2003-06-14T00:00:00"/>
    <n v="2003"/>
    <x v="6"/>
    <s v="R"/>
    <s v="RS"/>
    <x v="4"/>
    <s v="DET"/>
    <s v="H"/>
    <n v="0"/>
    <n v="6"/>
    <n v="-6"/>
    <n v="6"/>
    <n v="-16"/>
    <n v="16"/>
    <n v="1453.4316947944367"/>
    <n v="1473.6707093637858"/>
    <n v="0.5455808331521188"/>
    <n v="56"/>
    <n v="93"/>
    <n v="0"/>
    <n v="-37"/>
    <n v="0"/>
    <n v="0.77179981069025994"/>
    <n v="1"/>
    <n v="74.95"/>
    <n v="74.95"/>
    <n v="-31.55988482154082"/>
    <n v="1421.8718099728958"/>
    <n v="0"/>
    <n v="1"/>
    <n v="0"/>
    <n v="0"/>
    <n v="0"/>
    <n v="0"/>
    <n v="0"/>
    <n v="0"/>
    <n v="0"/>
    <n v="0"/>
  </r>
  <r>
    <d v="2003-06-17T00:00:00"/>
    <n v="2003"/>
    <x v="9"/>
    <s v="R"/>
    <s v="RS"/>
    <x v="6"/>
    <s v="DET"/>
    <s v="A"/>
    <n v="2"/>
    <n v="2"/>
    <n v="0"/>
    <n v="0"/>
    <n v="0"/>
    <n v="0"/>
    <n v="1696.0501861712178"/>
    <n v="1505.4200798180109"/>
    <n v="0.64880993282405308"/>
    <n v="78"/>
    <n v="87"/>
    <n v="1"/>
    <n v="-9"/>
    <n v="0"/>
    <n v="0.31528819009162184"/>
    <n v="1"/>
    <n v="74.5"/>
    <n v="74.5"/>
    <n v="-15.239877152800402"/>
    <n v="1680.8103090184175"/>
    <n v="0"/>
    <n v="1"/>
    <n v="0"/>
    <n v="0"/>
    <n v="0"/>
    <n v="0"/>
    <n v="0"/>
    <n v="0"/>
    <n v="0"/>
    <n v="0"/>
  </r>
  <r>
    <d v="2003-06-17T00:00:00"/>
    <n v="2003"/>
    <x v="4"/>
    <s v="R"/>
    <s v="RS"/>
    <x v="13"/>
    <s v="LAS"/>
    <s v="H"/>
    <n v="2"/>
    <n v="2"/>
    <n v="0"/>
    <n v="0"/>
    <n v="0"/>
    <n v="0"/>
    <n v="1505.4200798180109"/>
    <n v="1696.0501861712178"/>
    <n v="0.35119006717594692"/>
    <n v="87"/>
    <n v="78"/>
    <n v="1"/>
    <n v="9"/>
    <n v="1"/>
    <n v="0.31528819009162184"/>
    <n v="1"/>
    <n v="75.25"/>
    <n v="75.25"/>
    <n v="15.393298734875575"/>
    <n v="1520.8133785528864"/>
    <n v="1"/>
    <n v="0"/>
    <n v="0"/>
    <n v="0"/>
    <n v="0"/>
    <n v="0"/>
    <n v="0"/>
    <n v="0"/>
    <n v="0"/>
    <n v="0"/>
  </r>
  <r>
    <d v="2003-06-17T00:00:00"/>
    <n v="2003"/>
    <x v="8"/>
    <s v="R"/>
    <s v="RS"/>
    <x v="5"/>
    <s v="IND"/>
    <s v="A"/>
    <n v="2"/>
    <n v="2"/>
    <n v="0"/>
    <n v="0"/>
    <n v="0"/>
    <n v="0"/>
    <n v="1527.0975022216126"/>
    <n v="1506.0333427708317"/>
    <n v="0.41040586210947561"/>
    <n v="60"/>
    <n v="71"/>
    <n v="0"/>
    <n v="-11"/>
    <n v="0"/>
    <n v="0.43224851063236253"/>
    <n v="1"/>
    <n v="74.650000000000006"/>
    <n v="74.650000000000006"/>
    <n v="-13.242710135942804"/>
    <n v="1513.8547920856697"/>
    <n v="0"/>
    <n v="1"/>
    <n v="0"/>
    <n v="0"/>
    <n v="0"/>
    <n v="0"/>
    <n v="0"/>
    <n v="0"/>
    <n v="0"/>
    <n v="0"/>
  </r>
  <r>
    <d v="2003-06-17T00:00:00"/>
    <n v="2003"/>
    <x v="6"/>
    <s v="R"/>
    <s v="RS"/>
    <x v="11"/>
    <s v="CHA"/>
    <s v="H"/>
    <n v="2"/>
    <n v="2"/>
    <n v="0"/>
    <n v="0"/>
    <n v="0"/>
    <n v="0"/>
    <n v="1506.0333427708317"/>
    <n v="1527.0975022216126"/>
    <n v="0.58959413789052439"/>
    <n v="71"/>
    <n v="60"/>
    <n v="0"/>
    <n v="11"/>
    <n v="1"/>
    <n v="0.43224851063236253"/>
    <n v="1"/>
    <n v="74.95"/>
    <n v="74.95"/>
    <n v="13.295929332738288"/>
    <n v="1519.32927210357"/>
    <n v="1"/>
    <n v="0"/>
    <n v="0"/>
    <n v="0"/>
    <n v="0"/>
    <n v="0"/>
    <n v="0"/>
    <n v="0"/>
    <n v="0"/>
    <n v="0"/>
  </r>
  <r>
    <d v="2003-06-17T00:00:00"/>
    <n v="2003"/>
    <x v="9"/>
    <s v="R"/>
    <s v="RS"/>
    <x v="1"/>
    <s v="MIN"/>
    <s v="A"/>
    <n v="2"/>
    <n v="2"/>
    <n v="0"/>
    <n v="0"/>
    <n v="0"/>
    <n v="0"/>
    <n v="1524.1908028562511"/>
    <n v="1466.3732691088999"/>
    <n v="0.46239156812032572"/>
    <n v="77"/>
    <n v="68"/>
    <n v="0"/>
    <n v="9"/>
    <n v="1"/>
    <n v="0.38731041626149321"/>
    <n v="1"/>
    <n v="74.5"/>
    <n v="74.5"/>
    <n v="15.512490242506894"/>
    <n v="1539.703293098758"/>
    <n v="1"/>
    <n v="0"/>
    <n v="0"/>
    <n v="0"/>
    <n v="0"/>
    <n v="0"/>
    <n v="0"/>
    <n v="0"/>
    <n v="0"/>
    <n v="0"/>
  </r>
  <r>
    <d v="2003-06-17T00:00:00"/>
    <n v="2003"/>
    <x v="8"/>
    <s v="R"/>
    <s v="RS"/>
    <x v="8"/>
    <s v="HOU"/>
    <s v="H"/>
    <n v="2"/>
    <n v="2"/>
    <n v="0"/>
    <n v="0"/>
    <n v="0"/>
    <n v="0"/>
    <n v="1466.3732691088999"/>
    <n v="1524.1908028562511"/>
    <n v="0.53760843187967422"/>
    <n v="68"/>
    <n v="77"/>
    <n v="0"/>
    <n v="-9"/>
    <n v="0"/>
    <n v="0.38731041626149321"/>
    <n v="1"/>
    <n v="74.650000000000006"/>
    <n v="74.650000000000006"/>
    <n v="-15.543723444337441"/>
    <n v="1450.8295456645624"/>
    <n v="0"/>
    <n v="1"/>
    <n v="0"/>
    <n v="0"/>
    <n v="0"/>
    <n v="0"/>
    <n v="0"/>
    <n v="0"/>
    <n v="0"/>
    <n v="0"/>
  </r>
  <r>
    <d v="2003-06-17T00:00:00"/>
    <n v="2003"/>
    <x v="9"/>
    <s v="R"/>
    <s v="RS"/>
    <x v="2"/>
    <s v="NYL"/>
    <s v="A"/>
    <n v="2"/>
    <n v="2"/>
    <n v="0"/>
    <n v="0"/>
    <n v="0"/>
    <n v="0"/>
    <n v="1475.9319416514463"/>
    <n v="1510.9371977544747"/>
    <n v="0.33513527965601608"/>
    <n v="61"/>
    <n v="70"/>
    <n v="0"/>
    <n v="-9"/>
    <n v="0"/>
    <n v="0.39446458237263599"/>
    <n v="1"/>
    <n v="74.5"/>
    <n v="74.5"/>
    <n v="-9.8488253605245983"/>
    <n v="1466.0831162909217"/>
    <n v="0"/>
    <n v="1"/>
    <n v="0"/>
    <n v="0"/>
    <n v="0"/>
    <n v="0"/>
    <n v="0"/>
    <n v="0"/>
    <n v="0"/>
    <n v="0"/>
  </r>
  <r>
    <d v="2003-06-17T00:00:00"/>
    <n v="2003"/>
    <x v="6"/>
    <s v="R"/>
    <s v="RS"/>
    <x v="12"/>
    <s v="SAC"/>
    <s v="H"/>
    <n v="2"/>
    <n v="2"/>
    <n v="0"/>
    <n v="0"/>
    <n v="0"/>
    <n v="0"/>
    <n v="1510.9371977544747"/>
    <n v="1475.9319416514463"/>
    <n v="0.66486472034398392"/>
    <n v="70"/>
    <n v="61"/>
    <n v="0"/>
    <n v="9"/>
    <n v="1"/>
    <n v="0.39446458237263599"/>
    <n v="1"/>
    <n v="74.95"/>
    <n v="74.95"/>
    <n v="9.9083149096821295"/>
    <n v="1520.8455126641568"/>
    <n v="1"/>
    <n v="0"/>
    <n v="0"/>
    <n v="0"/>
    <n v="0"/>
    <n v="0"/>
    <n v="0"/>
    <n v="0"/>
    <n v="0"/>
    <n v="0"/>
  </r>
  <r>
    <d v="2003-06-17T00:00:00"/>
    <n v="2003"/>
    <x v="7"/>
    <s v="R"/>
    <s v="RS"/>
    <x v="0"/>
    <s v="PHX"/>
    <s v="A"/>
    <n v="2"/>
    <n v="2"/>
    <n v="0"/>
    <n v="0"/>
    <n v="0"/>
    <n v="0"/>
    <n v="1503.9923674542949"/>
    <n v="1395.4073573620349"/>
    <n v="0.53532173929966165"/>
    <n v="61"/>
    <n v="60"/>
    <n v="0"/>
    <n v="1"/>
    <n v="1"/>
    <n v="0.22391789826302033"/>
    <n v="1"/>
    <n v="74.8"/>
    <n v="74.8"/>
    <n v="7.7829235069392633"/>
    <n v="1511.7752909612343"/>
    <n v="1"/>
    <n v="0"/>
    <n v="0"/>
    <n v="0"/>
    <n v="0"/>
    <n v="0"/>
    <n v="0"/>
    <n v="0"/>
    <n v="0"/>
    <n v="0"/>
  </r>
  <r>
    <d v="2003-06-17T00:00:00"/>
    <n v="2003"/>
    <x v="9"/>
    <s v="R"/>
    <s v="RS"/>
    <x v="3"/>
    <s v="SEA"/>
    <s v="H"/>
    <n v="2"/>
    <n v="2"/>
    <n v="0"/>
    <n v="0"/>
    <n v="0"/>
    <n v="0"/>
    <n v="1395.4073573620349"/>
    <n v="1503.9923674542949"/>
    <n v="0.46467826070033835"/>
    <n v="60"/>
    <n v="61"/>
    <n v="0"/>
    <n v="-1"/>
    <n v="0"/>
    <n v="0.22391789826302033"/>
    <n v="1"/>
    <n v="74.5"/>
    <n v="74.5"/>
    <n v="-7.7517085730879023"/>
    <n v="1387.655648788947"/>
    <n v="0"/>
    <n v="1"/>
    <n v="0"/>
    <n v="0"/>
    <n v="0"/>
    <n v="0"/>
    <n v="0"/>
    <n v="0"/>
    <n v="0"/>
    <n v="0"/>
  </r>
  <r>
    <d v="2003-06-18T00:00:00"/>
    <n v="2003"/>
    <x v="6"/>
    <s v="R"/>
    <s v="RS"/>
    <x v="10"/>
    <s v="CON"/>
    <s v="A"/>
    <n v="3"/>
    <n v="3"/>
    <n v="0"/>
    <n v="0"/>
    <n v="0"/>
    <n v="0"/>
    <n v="1507.6151360075962"/>
    <n v="1512.5069486121708"/>
    <n v="0.3747945265837086"/>
    <n v="57"/>
    <n v="70"/>
    <n v="0"/>
    <n v="-13"/>
    <n v="0"/>
    <n v="0.47012727686518135"/>
    <n v="1"/>
    <n v="74.95"/>
    <n v="74.95"/>
    <n v="-13.206274705999693"/>
    <n v="1494.4088613015965"/>
    <n v="0"/>
    <n v="1"/>
    <n v="0"/>
    <n v="0"/>
    <n v="0"/>
    <n v="0"/>
    <n v="0"/>
    <n v="0"/>
    <n v="0"/>
    <n v="0"/>
  </r>
  <r>
    <d v="2003-06-18T00:00:00"/>
    <n v="2003"/>
    <x v="7"/>
    <s v="R"/>
    <s v="RS"/>
    <x v="7"/>
    <s v="CLE"/>
    <s v="H"/>
    <n v="3"/>
    <n v="3"/>
    <n v="0"/>
    <n v="0"/>
    <n v="0"/>
    <n v="0"/>
    <n v="1512.5069486121708"/>
    <n v="1507.6151360075962"/>
    <n v="0.6252054734162914"/>
    <n v="70"/>
    <n v="57"/>
    <n v="0"/>
    <n v="13"/>
    <n v="1"/>
    <n v="0.47012727686518135"/>
    <n v="1"/>
    <n v="74.8"/>
    <n v="74.8"/>
    <n v="13.179844536474675"/>
    <n v="1525.6867931486456"/>
    <n v="1"/>
    <n v="0"/>
    <n v="0"/>
    <n v="0"/>
    <n v="0"/>
    <n v="0"/>
    <n v="0"/>
    <n v="0"/>
    <n v="0"/>
    <n v="0"/>
  </r>
  <r>
    <d v="2003-06-18T00:00:00"/>
    <n v="2003"/>
    <x v="10"/>
    <s v="R"/>
    <s v="RS"/>
    <x v="2"/>
    <s v="WAS"/>
    <s v="A"/>
    <n v="0"/>
    <n v="3"/>
    <n v="-3"/>
    <n v="3"/>
    <n v="-16"/>
    <n v="16"/>
    <n v="1466.0831162909217"/>
    <n v="1421.8718099728958"/>
    <n v="0.39813334279468021"/>
    <n v="69"/>
    <n v="61"/>
    <n v="0"/>
    <n v="8"/>
    <n v="1"/>
    <n v="0.37451728628199782"/>
    <n v="1"/>
    <n v="74.349999999999994"/>
    <n v="74.349999999999994"/>
    <n v="16.759193883357433"/>
    <n v="1482.8423101742792"/>
    <n v="1"/>
    <n v="0"/>
    <n v="0"/>
    <n v="0"/>
    <n v="0"/>
    <n v="0"/>
    <n v="0"/>
    <n v="0"/>
    <n v="0"/>
    <n v="0"/>
  </r>
  <r>
    <d v="2003-06-18T00:00:00"/>
    <n v="2003"/>
    <x v="7"/>
    <s v="R"/>
    <s v="RS"/>
    <x v="4"/>
    <s v="SAC"/>
    <s v="H"/>
    <n v="3"/>
    <n v="0"/>
    <n v="3"/>
    <n v="-3"/>
    <n v="16"/>
    <n v="-16"/>
    <n v="1421.8718099728958"/>
    <n v="1466.0831162909217"/>
    <n v="0.60186665720531984"/>
    <n v="61"/>
    <n v="69"/>
    <n v="0"/>
    <n v="-8"/>
    <n v="0"/>
    <n v="0.37451728628199782"/>
    <n v="1"/>
    <n v="74.8"/>
    <n v="74.8"/>
    <n v="-16.860628143579504"/>
    <n v="1405.0111818293162"/>
    <n v="0"/>
    <n v="1"/>
    <n v="0"/>
    <n v="0"/>
    <n v="0"/>
    <n v="0"/>
    <n v="0"/>
    <n v="0"/>
    <n v="0"/>
    <n v="0"/>
  </r>
  <r>
    <d v="2003-06-19T00:00:00"/>
    <n v="2003"/>
    <x v="8"/>
    <s v="R"/>
    <s v="RS"/>
    <x v="0"/>
    <s v="LAS"/>
    <s v="A"/>
    <n v="1"/>
    <n v="1"/>
    <n v="0"/>
    <n v="0"/>
    <n v="0"/>
    <n v="0"/>
    <n v="1511.7752909612343"/>
    <n v="1680.8103090184175"/>
    <n v="0.18898994320152879"/>
    <n v="69"/>
    <n v="67"/>
    <n v="0"/>
    <n v="2"/>
    <n v="1"/>
    <n v="0.23477090120581481"/>
    <n v="1"/>
    <n v="74.650000000000006"/>
    <n v="74.650000000000006"/>
    <n v="14.213476597444171"/>
    <n v="1525.9887675586785"/>
    <n v="1"/>
    <n v="0"/>
    <n v="0"/>
    <n v="0"/>
    <n v="0"/>
    <n v="0"/>
    <n v="0"/>
    <n v="0"/>
    <n v="0"/>
    <n v="0"/>
  </r>
  <r>
    <d v="2003-06-19T00:00:00"/>
    <n v="2003"/>
    <x v="10"/>
    <s v="R"/>
    <s v="RS"/>
    <x v="6"/>
    <s v="SEA"/>
    <s v="H"/>
    <n v="1"/>
    <n v="1"/>
    <n v="0"/>
    <n v="0"/>
    <n v="0"/>
    <n v="0"/>
    <n v="1680.8103090184175"/>
    <n v="1511.7752909612343"/>
    <n v="0.81101005679847127"/>
    <n v="67"/>
    <n v="69"/>
    <n v="0"/>
    <n v="-2"/>
    <n v="0"/>
    <n v="0.23477090120581481"/>
    <n v="1"/>
    <n v="74.349999999999994"/>
    <n v="74.349999999999994"/>
    <n v="-14.156356128867699"/>
    <n v="1666.6539528895498"/>
    <n v="0"/>
    <n v="1"/>
    <n v="0"/>
    <n v="0"/>
    <n v="0"/>
    <n v="0"/>
    <n v="0"/>
    <n v="0"/>
    <n v="0"/>
    <n v="0"/>
  </r>
  <r>
    <d v="2003-06-20T00:00:00"/>
    <n v="2003"/>
    <x v="9"/>
    <s v="R"/>
    <s v="RS"/>
    <x v="8"/>
    <s v="CHA"/>
    <s v="A"/>
    <n v="2"/>
    <n v="2"/>
    <n v="0"/>
    <n v="0"/>
    <n v="0"/>
    <n v="0"/>
    <n v="1450.8295456645624"/>
    <n v="1513.8547920856697"/>
    <n v="0.30020006490981282"/>
    <n v="72"/>
    <n v="76"/>
    <n v="0"/>
    <n v="-4"/>
    <n v="0"/>
    <n v="0.29589217075717333"/>
    <n v="1"/>
    <n v="74.5"/>
    <n v="74.5"/>
    <n v="-6.6176002406368601"/>
    <n v="1444.2119454239255"/>
    <n v="0"/>
    <n v="1"/>
    <n v="0"/>
    <n v="0"/>
    <n v="0"/>
    <n v="0"/>
    <n v="0"/>
    <n v="0"/>
    <n v="0"/>
    <n v="0"/>
  </r>
  <r>
    <d v="2003-06-20T00:00:00"/>
    <n v="2003"/>
    <x v="9"/>
    <s v="R"/>
    <s v="RS"/>
    <x v="5"/>
    <s v="MIN"/>
    <s v="H"/>
    <n v="2"/>
    <n v="2"/>
    <n v="0"/>
    <n v="0"/>
    <n v="0"/>
    <n v="0"/>
    <n v="1513.8547920856697"/>
    <n v="1450.8295456645624"/>
    <n v="0.69979993509018723"/>
    <n v="76"/>
    <n v="72"/>
    <n v="0"/>
    <n v="4"/>
    <n v="1"/>
    <n v="0.29589217075717333"/>
    <n v="1"/>
    <n v="74.5"/>
    <n v="74.5"/>
    <n v="6.6176002406368593"/>
    <n v="1520.4723923263066"/>
    <n v="1"/>
    <n v="0"/>
    <n v="0"/>
    <n v="0"/>
    <n v="0"/>
    <n v="0"/>
    <n v="0"/>
    <n v="0"/>
    <n v="0"/>
    <n v="0"/>
  </r>
  <r>
    <d v="2003-06-20T00:00:00"/>
    <n v="2003"/>
    <x v="8"/>
    <s v="R"/>
    <s v="RS"/>
    <x v="4"/>
    <s v="CLE"/>
    <s v="A"/>
    <n v="1"/>
    <n v="1"/>
    <n v="0"/>
    <n v="0"/>
    <n v="0"/>
    <n v="0"/>
    <n v="1405.0111818293162"/>
    <n v="1494.4088613015965"/>
    <n v="0.26930387637675546"/>
    <n v="74"/>
    <n v="79"/>
    <n v="0"/>
    <n v="-5"/>
    <n v="0"/>
    <n v="0.30875437182144844"/>
    <n v="1"/>
    <n v="74.650000000000006"/>
    <n v="74.650000000000006"/>
    <n v="-6.2070541262710357"/>
    <n v="1398.8041277030452"/>
    <n v="0"/>
    <n v="1"/>
    <n v="0"/>
    <n v="0"/>
    <n v="0"/>
    <n v="0"/>
    <n v="0"/>
    <n v="0"/>
    <n v="0"/>
    <n v="0"/>
  </r>
  <r>
    <d v="2003-06-20T00:00:00"/>
    <n v="2003"/>
    <x v="7"/>
    <s v="R"/>
    <s v="RS"/>
    <x v="10"/>
    <s v="WAS"/>
    <s v="H"/>
    <n v="1"/>
    <n v="1"/>
    <n v="0"/>
    <n v="0"/>
    <n v="0"/>
    <n v="0"/>
    <n v="1494.4088613015965"/>
    <n v="1405.0111818293162"/>
    <n v="0.73069612362324454"/>
    <n v="79"/>
    <n v="74"/>
    <n v="0"/>
    <n v="5"/>
    <n v="1"/>
    <n v="0.30875437182144844"/>
    <n v="1"/>
    <n v="74.8"/>
    <n v="74.8"/>
    <n v="6.2195264386480025"/>
    <n v="1500.6283877402445"/>
    <n v="1"/>
    <n v="0"/>
    <n v="0"/>
    <n v="0"/>
    <n v="0"/>
    <n v="0"/>
    <n v="0"/>
    <n v="0"/>
    <n v="0"/>
    <n v="0"/>
  </r>
  <r>
    <d v="2003-06-20T00:00:00"/>
    <n v="2003"/>
    <x v="7"/>
    <s v="R"/>
    <s v="RS"/>
    <x v="12"/>
    <s v="DET"/>
    <s v="A"/>
    <n v="2"/>
    <n v="2"/>
    <n v="0"/>
    <n v="0"/>
    <n v="0"/>
    <n v="0"/>
    <n v="1520.8455126641568"/>
    <n v="1520.8133785528864"/>
    <n v="0.3814595223637321"/>
    <n v="83"/>
    <n v="88"/>
    <n v="0"/>
    <n v="-5"/>
    <n v="0"/>
    <n v="0.33174709179627987"/>
    <n v="1"/>
    <n v="74.8"/>
    <n v="74.8"/>
    <n v="-9.4657969212260245"/>
    <n v="1511.3797157429308"/>
    <n v="0"/>
    <n v="1"/>
    <n v="0"/>
    <n v="0"/>
    <n v="0"/>
    <n v="0"/>
    <n v="0"/>
    <n v="0"/>
    <n v="0"/>
    <n v="0"/>
  </r>
  <r>
    <d v="2003-06-20T00:00:00"/>
    <n v="2003"/>
    <x v="5"/>
    <s v="R"/>
    <s v="RS"/>
    <x v="13"/>
    <s v="NYL"/>
    <s v="H"/>
    <n v="2"/>
    <n v="2"/>
    <n v="0"/>
    <n v="0"/>
    <n v="0"/>
    <n v="0"/>
    <n v="1520.8133785528864"/>
    <n v="1520.8455126641568"/>
    <n v="0.61854047763626785"/>
    <n v="88"/>
    <n v="83"/>
    <n v="0"/>
    <n v="5"/>
    <n v="1"/>
    <n v="0.33174709179627987"/>
    <n v="1"/>
    <n v="75.099999999999994"/>
    <n v="75.099999999999994"/>
    <n v="9.5037613473806744"/>
    <n v="1530.3171399002672"/>
    <n v="1"/>
    <n v="0"/>
    <n v="0"/>
    <n v="0"/>
    <n v="0"/>
    <n v="0"/>
    <n v="0"/>
    <n v="0"/>
    <n v="0"/>
    <n v="0"/>
  </r>
  <r>
    <d v="2003-06-20T00:00:00"/>
    <n v="2003"/>
    <x v="8"/>
    <s v="R"/>
    <s v="RS"/>
    <x v="7"/>
    <s v="IND"/>
    <s v="A"/>
    <n v="1"/>
    <n v="2"/>
    <n v="-1"/>
    <n v="1"/>
    <n v="-8"/>
    <n v="8"/>
    <n v="1525.6867931486456"/>
    <n v="1519.32927210357"/>
    <n v="0.36840873437360916"/>
    <n v="74"/>
    <n v="84"/>
    <n v="0"/>
    <n v="-10"/>
    <n v="0"/>
    <n v="0.42089979988591497"/>
    <n v="1"/>
    <n v="74.650000000000006"/>
    <n v="74.650000000000006"/>
    <n v="-11.575465086154722"/>
    <n v="1514.1113280624909"/>
    <n v="0"/>
    <n v="1"/>
    <n v="0"/>
    <n v="0"/>
    <n v="0"/>
    <n v="0"/>
    <n v="0"/>
    <n v="0"/>
    <n v="0"/>
    <n v="0"/>
  </r>
  <r>
    <d v="2003-06-20T00:00:00"/>
    <n v="2003"/>
    <x v="7"/>
    <s v="R"/>
    <s v="RS"/>
    <x v="11"/>
    <s v="CON"/>
    <s v="H"/>
    <n v="2"/>
    <n v="1"/>
    <n v="1"/>
    <n v="-1"/>
    <n v="8"/>
    <n v="-8"/>
    <n v="1519.32927210357"/>
    <n v="1525.6867931486456"/>
    <n v="0.6315912656263909"/>
    <n v="84"/>
    <n v="74"/>
    <n v="0"/>
    <n v="10"/>
    <n v="1"/>
    <n v="0.42089979988591497"/>
    <n v="1"/>
    <n v="74.8"/>
    <n v="74.8"/>
    <n v="11.59872456054083"/>
    <n v="1530.9279966641109"/>
    <n v="1"/>
    <n v="0"/>
    <n v="0"/>
    <n v="0"/>
    <n v="0"/>
    <n v="0"/>
    <n v="0"/>
    <n v="0"/>
    <n v="0"/>
    <n v="0"/>
  </r>
  <r>
    <d v="2003-06-20T00:00:00"/>
    <n v="2003"/>
    <x v="10"/>
    <s v="R"/>
    <s v="RS"/>
    <x v="1"/>
    <s v="SAS"/>
    <s v="A"/>
    <n v="2"/>
    <n v="5"/>
    <n v="-3"/>
    <n v="3"/>
    <n v="-16"/>
    <n v="16"/>
    <n v="1539.703293098758"/>
    <n v="1460.7960511552581"/>
    <n v="0.4468211215425052"/>
    <n v="69"/>
    <n v="76"/>
    <n v="0"/>
    <n v="-7"/>
    <n v="0"/>
    <n v="0.34727194625128638"/>
    <n v="1"/>
    <n v="74.349999999999994"/>
    <n v="74.349999999999994"/>
    <n v="-11.536773551490864"/>
    <n v="1528.1665195472672"/>
    <n v="0"/>
    <n v="1"/>
    <n v="0"/>
    <n v="0"/>
    <n v="0"/>
    <n v="0"/>
    <n v="0"/>
    <n v="0"/>
    <n v="0"/>
    <n v="0"/>
  </r>
  <r>
    <d v="2003-06-20T00:00:00"/>
    <n v="2003"/>
    <x v="9"/>
    <s v="R"/>
    <s v="RS"/>
    <x v="9"/>
    <s v="HOU"/>
    <s v="H"/>
    <n v="5"/>
    <n v="2"/>
    <n v="3"/>
    <n v="-3"/>
    <n v="16"/>
    <n v="-16"/>
    <n v="1460.7960511552581"/>
    <n v="1539.703293098758"/>
    <n v="0.5531788784574948"/>
    <n v="76"/>
    <n v="69"/>
    <n v="0"/>
    <n v="7"/>
    <n v="1"/>
    <n v="0.34727194625128638"/>
    <n v="1"/>
    <n v="74.5"/>
    <n v="74.5"/>
    <n v="11.560048817566503"/>
    <n v="1472.3560999728245"/>
    <n v="1"/>
    <n v="0"/>
    <n v="0"/>
    <n v="0"/>
    <n v="0"/>
    <n v="0"/>
    <n v="0"/>
    <n v="0"/>
    <n v="0"/>
    <n v="0"/>
  </r>
  <r>
    <d v="2003-06-21T00:00:00"/>
    <n v="2003"/>
    <x v="8"/>
    <s v="R"/>
    <s v="RS"/>
    <x v="10"/>
    <s v="HOU"/>
    <s v="A"/>
    <n v="0"/>
    <n v="0"/>
    <n v="0"/>
    <n v="0"/>
    <n v="0"/>
    <n v="0"/>
    <n v="1500.6283877402445"/>
    <n v="1528.1665195472672"/>
    <n v="0.34477987024787865"/>
    <n v="62"/>
    <n v="63"/>
    <n v="0"/>
    <n v="-1"/>
    <n v="0"/>
    <n v="0.23870183545908469"/>
    <n v="1"/>
    <n v="74.650000000000006"/>
    <n v="74.650000000000006"/>
    <n v="-6.1436642335633973"/>
    <n v="1494.4847235066811"/>
    <n v="0"/>
    <n v="1"/>
    <n v="0"/>
    <n v="0"/>
    <n v="0"/>
    <n v="0"/>
    <n v="0"/>
    <n v="0"/>
    <n v="0"/>
    <n v="0"/>
  </r>
  <r>
    <d v="2003-06-21T00:00:00"/>
    <n v="2003"/>
    <x v="11"/>
    <s v="R"/>
    <s v="RS"/>
    <x v="1"/>
    <s v="CLE"/>
    <s v="H"/>
    <n v="0"/>
    <n v="0"/>
    <n v="0"/>
    <n v="0"/>
    <n v="0"/>
    <n v="0"/>
    <n v="1528.1665195472672"/>
    <n v="1500.6283877402445"/>
    <n v="0.65522012975212141"/>
    <n v="63"/>
    <n v="62"/>
    <n v="0"/>
    <n v="1"/>
    <n v="1"/>
    <n v="0.23870183545908469"/>
    <n v="1"/>
    <n v="74.2"/>
    <n v="74.2"/>
    <n v="6.1066294190275165"/>
    <n v="1534.2731489662947"/>
    <n v="1"/>
    <n v="0"/>
    <n v="0"/>
    <n v="0"/>
    <n v="0"/>
    <n v="0"/>
    <n v="0"/>
    <n v="0"/>
    <n v="0"/>
    <n v="0"/>
  </r>
  <r>
    <d v="2003-06-21T00:00:00"/>
    <n v="2003"/>
    <x v="8"/>
    <s v="R"/>
    <s v="RS"/>
    <x v="11"/>
    <s v="MIN"/>
    <s v="A"/>
    <n v="0"/>
    <n v="0"/>
    <n v="0"/>
    <n v="0"/>
    <n v="0"/>
    <n v="0"/>
    <n v="1530.9279966641109"/>
    <n v="1444.2119454239255"/>
    <n v="0.503908632314639"/>
    <n v="58"/>
    <n v="66"/>
    <n v="0"/>
    <n v="-8"/>
    <n v="0"/>
    <n v="0.36214566652407792"/>
    <n v="1"/>
    <n v="74.650000000000006"/>
    <n v="74.650000000000006"/>
    <n v="-13.622753649130722"/>
    <n v="1517.3052430149801"/>
    <n v="0"/>
    <n v="1"/>
    <n v="0"/>
    <n v="0"/>
    <n v="0"/>
    <n v="0"/>
    <n v="0"/>
    <n v="0"/>
    <n v="0"/>
    <n v="0"/>
  </r>
  <r>
    <d v="2003-06-21T00:00:00"/>
    <n v="2003"/>
    <x v="10"/>
    <s v="R"/>
    <s v="RS"/>
    <x v="8"/>
    <s v="IND"/>
    <s v="H"/>
    <n v="0"/>
    <n v="0"/>
    <n v="0"/>
    <n v="0"/>
    <n v="0"/>
    <n v="0"/>
    <n v="1444.2119454239255"/>
    <n v="1530.9279966641109"/>
    <n v="0.49609136768536088"/>
    <n v="66"/>
    <n v="58"/>
    <n v="0"/>
    <n v="8"/>
    <n v="1"/>
    <n v="0.36214566652407792"/>
    <n v="1"/>
    <n v="74.349999999999994"/>
    <n v="74.349999999999994"/>
    <n v="13.568007150875676"/>
    <n v="1457.7799525748012"/>
    <n v="1"/>
    <n v="0"/>
    <n v="0"/>
    <n v="0"/>
    <n v="0"/>
    <n v="0"/>
    <n v="0"/>
    <n v="0"/>
    <n v="0"/>
    <n v="0"/>
  </r>
  <r>
    <d v="2003-06-21T00:00:00"/>
    <n v="2003"/>
    <x v="11"/>
    <s v="R"/>
    <s v="RS"/>
    <x v="6"/>
    <s v="PHX"/>
    <s v="A"/>
    <n v="1"/>
    <n v="3"/>
    <n v="-2"/>
    <n v="2"/>
    <n v="-16"/>
    <n v="16"/>
    <n v="1666.6539528895498"/>
    <n v="1387.655648788947"/>
    <n v="0.71875485647353632"/>
    <n v="54"/>
    <n v="48"/>
    <n v="0"/>
    <n v="6"/>
    <n v="1"/>
    <n v="0.28501514311440124"/>
    <n v="1"/>
    <n v="74.2"/>
    <n v="74.2"/>
    <n v="5.9478070625659623"/>
    <n v="1672.6017599521158"/>
    <n v="1"/>
    <n v="0"/>
    <n v="0"/>
    <n v="0"/>
    <n v="0"/>
    <n v="0"/>
    <n v="0"/>
    <n v="0"/>
    <n v="0"/>
    <n v="0"/>
  </r>
  <r>
    <d v="2003-06-21T00:00:00"/>
    <n v="2003"/>
    <x v="10"/>
    <s v="R"/>
    <s v="RS"/>
    <x v="3"/>
    <s v="LAS"/>
    <s v="H"/>
    <n v="3"/>
    <n v="1"/>
    <n v="2"/>
    <n v="-2"/>
    <n v="16"/>
    <n v="-16"/>
    <n v="1387.655648788947"/>
    <n v="1666.6539528895498"/>
    <n v="0.28124514352646368"/>
    <n v="48"/>
    <n v="54"/>
    <n v="0"/>
    <n v="-6"/>
    <n v="0"/>
    <n v="0.28501514311440124"/>
    <n v="1"/>
    <n v="74.349999999999994"/>
    <n v="74.349999999999994"/>
    <n v="-5.9598309312908251"/>
    <n v="1381.6958178576563"/>
    <n v="0"/>
    <n v="1"/>
    <n v="0"/>
    <n v="0"/>
    <n v="0"/>
    <n v="0"/>
    <n v="0"/>
    <n v="0"/>
    <n v="0"/>
    <n v="0"/>
  </r>
  <r>
    <d v="2003-06-21T00:00:00"/>
    <n v="2003"/>
    <x v="9"/>
    <s v="R"/>
    <s v="RS"/>
    <x v="0"/>
    <s v="SAC"/>
    <s v="A"/>
    <n v="1"/>
    <n v="2"/>
    <n v="-1"/>
    <n v="1"/>
    <n v="-8"/>
    <n v="8"/>
    <n v="1525.9887675586785"/>
    <n v="1482.8423101742792"/>
    <n v="0.41890373212673554"/>
    <n v="64"/>
    <n v="69"/>
    <n v="0"/>
    <n v="-5"/>
    <n v="0"/>
    <n v="0.32024156782871854"/>
    <n v="1"/>
    <n v="74.5"/>
    <n v="74.5"/>
    <n v="-9.9942039019447648"/>
    <n v="1515.9945636567338"/>
    <n v="0"/>
    <n v="1"/>
    <n v="0"/>
    <n v="0"/>
    <n v="0"/>
    <n v="0"/>
    <n v="0"/>
    <n v="0"/>
    <n v="0"/>
    <n v="0"/>
  </r>
  <r>
    <d v="2003-06-21T00:00:00"/>
    <n v="2003"/>
    <x v="11"/>
    <s v="R"/>
    <s v="RS"/>
    <x v="2"/>
    <s v="SEA"/>
    <s v="H"/>
    <n v="2"/>
    <n v="1"/>
    <n v="1"/>
    <n v="-1"/>
    <n v="8"/>
    <n v="-8"/>
    <n v="1482.8423101742792"/>
    <n v="1525.9887675586785"/>
    <n v="0.5810962678732644"/>
    <n v="69"/>
    <n v="64"/>
    <n v="0"/>
    <n v="5"/>
    <n v="1"/>
    <n v="0.32024156782871854"/>
    <n v="1"/>
    <n v="74.2"/>
    <n v="74.2"/>
    <n v="9.9539587855610971"/>
    <n v="1492.7962689598403"/>
    <n v="1"/>
    <n v="0"/>
    <n v="0"/>
    <n v="0"/>
    <n v="0"/>
    <n v="0"/>
    <n v="0"/>
    <n v="0"/>
    <n v="0"/>
    <n v="0"/>
  </r>
  <r>
    <d v="2003-06-22T00:00:00"/>
    <n v="2003"/>
    <x v="6"/>
    <s v="R"/>
    <s v="RS"/>
    <x v="13"/>
    <s v="CON"/>
    <s v="A"/>
    <n v="1"/>
    <n v="1"/>
    <n v="0"/>
    <n v="0"/>
    <n v="0"/>
    <n v="0"/>
    <n v="1530.3171399002672"/>
    <n v="1514.1113280624909"/>
    <n v="0.40365598412230724"/>
    <n v="82"/>
    <n v="73"/>
    <n v="1"/>
    <n v="9"/>
    <n v="1"/>
    <n v="0.36050580012974393"/>
    <n v="1"/>
    <n v="74.95"/>
    <n v="74.95"/>
    <n v="16.113161470913095"/>
    <n v="1546.4303013711803"/>
    <n v="1"/>
    <n v="0"/>
    <n v="0"/>
    <n v="0"/>
    <n v="0"/>
    <n v="0"/>
    <n v="0"/>
    <n v="0"/>
    <n v="0"/>
    <n v="0"/>
  </r>
  <r>
    <d v="2003-06-22T00:00:00"/>
    <n v="2003"/>
    <x v="9"/>
    <s v="R"/>
    <s v="RS"/>
    <x v="7"/>
    <s v="DET"/>
    <s v="H"/>
    <n v="1"/>
    <n v="1"/>
    <n v="0"/>
    <n v="0"/>
    <n v="0"/>
    <n v="0"/>
    <n v="1514.1113280624909"/>
    <n v="1530.3171399002672"/>
    <n v="0.5963440158776927"/>
    <n v="73"/>
    <n v="82"/>
    <n v="1"/>
    <n v="-9"/>
    <n v="0"/>
    <n v="0.36050580012974393"/>
    <n v="1"/>
    <n v="74.5"/>
    <n v="74.5"/>
    <n v="-16.016418006444638"/>
    <n v="1498.0949100560463"/>
    <n v="0"/>
    <n v="1"/>
    <n v="0"/>
    <n v="0"/>
    <n v="0"/>
    <n v="0"/>
    <n v="0"/>
    <n v="0"/>
    <n v="0"/>
    <n v="0"/>
  </r>
  <r>
    <d v="2003-06-22T00:00:00"/>
    <n v="2003"/>
    <x v="10"/>
    <s v="R"/>
    <s v="RS"/>
    <x v="5"/>
    <s v="NYL"/>
    <s v="A"/>
    <n v="1"/>
    <n v="1"/>
    <n v="0"/>
    <n v="0"/>
    <n v="0"/>
    <n v="0"/>
    <n v="1520.4723923263066"/>
    <n v="1511.3797157429308"/>
    <n v="0.39383952887473156"/>
    <n v="57"/>
    <n v="69"/>
    <n v="0"/>
    <n v="-12"/>
    <n v="0"/>
    <n v="0.45269923661977013"/>
    <n v="1"/>
    <n v="74.349999999999994"/>
    <n v="74.349999999999994"/>
    <n v="-13.255925000274082"/>
    <n v="1507.2164673260324"/>
    <n v="0"/>
    <n v="1"/>
    <n v="0"/>
    <n v="0"/>
    <n v="0"/>
    <n v="0"/>
    <n v="0"/>
    <n v="0"/>
    <n v="0"/>
    <n v="0"/>
  </r>
  <r>
    <d v="2003-06-22T00:00:00"/>
    <n v="2003"/>
    <x v="8"/>
    <s v="R"/>
    <s v="RS"/>
    <x v="12"/>
    <s v="CHA"/>
    <s v="H"/>
    <n v="1"/>
    <n v="1"/>
    <n v="0"/>
    <n v="0"/>
    <n v="0"/>
    <n v="0"/>
    <n v="1511.3797157429308"/>
    <n v="1520.4723923263066"/>
    <n v="0.60616047112526839"/>
    <n v="69"/>
    <n v="57"/>
    <n v="0"/>
    <n v="12"/>
    <n v="1"/>
    <n v="0.45269923661977013"/>
    <n v="1"/>
    <n v="74.650000000000006"/>
    <n v="74.650000000000006"/>
    <n v="13.30941225649577"/>
    <n v="1524.6891279994265"/>
    <n v="1"/>
    <n v="0"/>
    <n v="0"/>
    <n v="0"/>
    <n v="0"/>
    <n v="0"/>
    <n v="0"/>
    <n v="0"/>
    <n v="0"/>
    <n v="0"/>
  </r>
  <r>
    <d v="2003-06-22T00:00:00"/>
    <n v="2003"/>
    <x v="10"/>
    <s v="R"/>
    <s v="RS"/>
    <x v="9"/>
    <s v="SEA"/>
    <s v="A"/>
    <n v="1"/>
    <n v="0"/>
    <n v="1"/>
    <n v="-1"/>
    <n v="8"/>
    <n v="-8"/>
    <n v="1472.3560999728245"/>
    <n v="1515.9945636567338"/>
    <n v="0.34464940801024257"/>
    <n v="53"/>
    <n v="93"/>
    <n v="0"/>
    <n v="-40"/>
    <n v="0"/>
    <n v="0.78928411558147282"/>
    <n v="1"/>
    <n v="74.349999999999994"/>
    <n v="74.349999999999994"/>
    <n v="-20.225155641956608"/>
    <n v="1452.1309443308678"/>
    <n v="0"/>
    <n v="1"/>
    <n v="0"/>
    <n v="0"/>
    <n v="0"/>
    <n v="0"/>
    <n v="0"/>
    <n v="0"/>
    <n v="0"/>
    <n v="0"/>
  </r>
  <r>
    <d v="2003-06-22T00:00:00"/>
    <n v="2003"/>
    <x v="10"/>
    <s v="R"/>
    <s v="RS"/>
    <x v="0"/>
    <s v="SAS"/>
    <s v="H"/>
    <n v="0"/>
    <n v="1"/>
    <n v="-1"/>
    <n v="1"/>
    <n v="-8"/>
    <n v="8"/>
    <n v="1515.9945636567338"/>
    <n v="1472.3560999728245"/>
    <n v="0.65535059198975743"/>
    <n v="93"/>
    <n v="53"/>
    <n v="0"/>
    <n v="40"/>
    <n v="1"/>
    <n v="0.78928411558147282"/>
    <n v="1"/>
    <n v="74.349999999999994"/>
    <n v="74.349999999999994"/>
    <n v="20.225155641956608"/>
    <n v="1536.2197192986905"/>
    <n v="1"/>
    <n v="0"/>
    <n v="0"/>
    <n v="0"/>
    <n v="0"/>
    <n v="0"/>
    <n v="0"/>
    <n v="0"/>
    <n v="0"/>
    <n v="0"/>
  </r>
  <r>
    <d v="2003-06-24T00:00:00"/>
    <n v="2003"/>
    <x v="9"/>
    <s v="R"/>
    <s v="RS"/>
    <x v="11"/>
    <s v="DET"/>
    <s v="A"/>
    <n v="2"/>
    <n v="1"/>
    <n v="1"/>
    <n v="-1"/>
    <n v="8"/>
    <n v="-8"/>
    <n v="1517.3052430149801"/>
    <n v="1546.4303013711803"/>
    <n v="0.36375647341770523"/>
    <n v="60"/>
    <n v="68"/>
    <n v="0"/>
    <n v="-8"/>
    <n v="0"/>
    <n v="0.37911410139729335"/>
    <n v="1"/>
    <n v="74.5"/>
    <n v="74.5"/>
    <n v="-10.273938036766529"/>
    <n v="1507.0313049782135"/>
    <n v="0"/>
    <n v="1"/>
    <n v="0"/>
    <n v="0"/>
    <n v="0"/>
    <n v="0"/>
    <n v="0"/>
    <n v="0"/>
    <n v="0"/>
    <n v="0"/>
  </r>
  <r>
    <d v="2003-06-24T00:00:00"/>
    <n v="2003"/>
    <x v="7"/>
    <s v="R"/>
    <s v="RS"/>
    <x v="13"/>
    <s v="IND"/>
    <s v="H"/>
    <n v="1"/>
    <n v="2"/>
    <n v="-1"/>
    <n v="1"/>
    <n v="-8"/>
    <n v="8"/>
    <n v="1546.4303013711803"/>
    <n v="1517.3052430149801"/>
    <n v="0.63624352658229477"/>
    <n v="68"/>
    <n v="60"/>
    <n v="0"/>
    <n v="8"/>
    <n v="1"/>
    <n v="0.37911410139729335"/>
    <n v="1"/>
    <n v="74.8"/>
    <n v="74.8"/>
    <n v="10.315309599330689"/>
    <n v="1556.7456109705111"/>
    <n v="1"/>
    <n v="0"/>
    <n v="0"/>
    <n v="0"/>
    <n v="0"/>
    <n v="0"/>
    <n v="0"/>
    <n v="0"/>
    <n v="0"/>
    <n v="0"/>
  </r>
  <r>
    <d v="2003-06-24T00:00:00"/>
    <n v="2003"/>
    <x v="12"/>
    <s v="R"/>
    <s v="RS"/>
    <x v="6"/>
    <s v="HOU"/>
    <s v="A"/>
    <n v="2"/>
    <n v="2"/>
    <n v="0"/>
    <n v="0"/>
    <n v="0"/>
    <n v="0"/>
    <n v="1672.6017599521158"/>
    <n v="1534.2731489662947"/>
    <n v="0.57755407512490842"/>
    <n v="71"/>
    <n v="62"/>
    <n v="0"/>
    <n v="9"/>
    <n v="1"/>
    <n v="0.36401062383164778"/>
    <n v="1"/>
    <n v="74.05"/>
    <n v="74.05"/>
    <n v="11.387024284252488"/>
    <n v="1683.9887842363682"/>
    <n v="1"/>
    <n v="0"/>
    <n v="0"/>
    <n v="0"/>
    <n v="0"/>
    <n v="0"/>
    <n v="0"/>
    <n v="0"/>
    <n v="0"/>
    <n v="0"/>
  </r>
  <r>
    <d v="2003-06-24T00:00:00"/>
    <n v="2003"/>
    <x v="12"/>
    <s v="R"/>
    <s v="RS"/>
    <x v="1"/>
    <s v="LAS"/>
    <s v="H"/>
    <n v="2"/>
    <n v="2"/>
    <n v="0"/>
    <n v="0"/>
    <n v="0"/>
    <n v="0"/>
    <n v="1534.2731489662947"/>
    <n v="1672.6017599521158"/>
    <n v="0.42244592487509164"/>
    <n v="62"/>
    <n v="71"/>
    <n v="0"/>
    <n v="-9"/>
    <n v="0"/>
    <n v="0.36401062383164778"/>
    <n v="1"/>
    <n v="74.05"/>
    <n v="74.05"/>
    <n v="-11.38702428425249"/>
    <n v="1522.8861246820422"/>
    <n v="0"/>
    <n v="1"/>
    <n v="0"/>
    <n v="0"/>
    <n v="0"/>
    <n v="0"/>
    <n v="0"/>
    <n v="0"/>
    <n v="0"/>
    <n v="0"/>
  </r>
  <r>
    <d v="2003-06-24T00:00:00"/>
    <n v="2003"/>
    <x v="11"/>
    <s v="R"/>
    <s v="RS"/>
    <x v="9"/>
    <s v="SAC"/>
    <s v="A"/>
    <n v="1"/>
    <n v="2"/>
    <n v="-1"/>
    <n v="1"/>
    <n v="-8"/>
    <n v="8"/>
    <n v="1452.1309443308678"/>
    <n v="1492.7962689598403"/>
    <n v="0.30794703261867584"/>
    <n v="60"/>
    <n v="57"/>
    <n v="0"/>
    <n v="3"/>
    <n v="1"/>
    <n v="0.280672167107263"/>
    <n v="1"/>
    <n v="74.2"/>
    <n v="74.2"/>
    <n v="14.412608453208275"/>
    <n v="1466.5435527840762"/>
    <n v="1"/>
    <n v="0"/>
    <n v="0"/>
    <n v="0"/>
    <n v="0"/>
    <n v="0"/>
    <n v="0"/>
    <n v="0"/>
    <n v="0"/>
    <n v="0"/>
  </r>
  <r>
    <d v="2003-06-24T00:00:00"/>
    <n v="2003"/>
    <x v="12"/>
    <s v="R"/>
    <s v="RS"/>
    <x v="2"/>
    <s v="SAS"/>
    <s v="H"/>
    <n v="2"/>
    <n v="1"/>
    <n v="1"/>
    <n v="-1"/>
    <n v="8"/>
    <n v="-8"/>
    <n v="1492.7962689598403"/>
    <n v="1452.1309443308678"/>
    <n v="0.69205296738132416"/>
    <n v="57"/>
    <n v="60"/>
    <n v="0"/>
    <n v="-3"/>
    <n v="0"/>
    <n v="0.280672167107263"/>
    <n v="1"/>
    <n v="74.05"/>
    <n v="74.05"/>
    <n v="-14.383472452292086"/>
    <n v="1478.4127965075481"/>
    <n v="0"/>
    <n v="1"/>
    <n v="0"/>
    <n v="0"/>
    <n v="0"/>
    <n v="0"/>
    <n v="0"/>
    <n v="0"/>
    <n v="0"/>
    <n v="0"/>
  </r>
  <r>
    <d v="2003-06-24T00:00:00"/>
    <n v="2003"/>
    <x v="10"/>
    <s v="R"/>
    <s v="RS"/>
    <x v="7"/>
    <s v="WAS"/>
    <s v="A"/>
    <n v="1"/>
    <n v="3"/>
    <n v="-2"/>
    <n v="2"/>
    <n v="-16"/>
    <n v="16"/>
    <n v="1498.0949100560463"/>
    <n v="1398.8041277030452"/>
    <n v="0.47597202503259967"/>
    <n v="65"/>
    <n v="63"/>
    <n v="0"/>
    <n v="2"/>
    <n v="1"/>
    <n v="0.24737309718270661"/>
    <n v="1"/>
    <n v="74.349999999999994"/>
    <n v="74.349999999999994"/>
    <n v="9.6380219632893311"/>
    <n v="1507.7329320193355"/>
    <n v="1"/>
    <n v="0"/>
    <n v="0"/>
    <n v="0"/>
    <n v="0"/>
    <n v="0"/>
    <n v="0"/>
    <n v="0"/>
    <n v="0"/>
    <n v="0"/>
  </r>
  <r>
    <d v="2003-06-24T00:00:00"/>
    <n v="2003"/>
    <x v="9"/>
    <s v="R"/>
    <s v="RS"/>
    <x v="4"/>
    <s v="CON"/>
    <s v="H"/>
    <n v="3"/>
    <n v="1"/>
    <n v="2"/>
    <n v="-2"/>
    <n v="16"/>
    <n v="-16"/>
    <n v="1398.8041277030452"/>
    <n v="1498.0949100560463"/>
    <n v="0.52402797496740039"/>
    <n v="63"/>
    <n v="65"/>
    <n v="0"/>
    <n v="-2"/>
    <n v="0"/>
    <n v="0.24737309718270661"/>
    <n v="1"/>
    <n v="74.5"/>
    <n v="74.5"/>
    <n v="-9.6574665267660418"/>
    <n v="1389.1466611762792"/>
    <n v="0"/>
    <n v="1"/>
    <n v="0"/>
    <n v="0"/>
    <n v="0"/>
    <n v="0"/>
    <n v="0"/>
    <n v="0"/>
    <n v="0"/>
    <n v="0"/>
  </r>
  <r>
    <d v="2003-06-25T00:00:00"/>
    <n v="2003"/>
    <x v="9"/>
    <s v="R"/>
    <s v="RS"/>
    <x v="10"/>
    <s v="CHA"/>
    <s v="A"/>
    <n v="3"/>
    <n v="2"/>
    <n v="1"/>
    <n v="-1"/>
    <n v="8"/>
    <n v="-8"/>
    <n v="1494.4847235066811"/>
    <n v="1507.2164673260324"/>
    <n v="0.38586450986914994"/>
    <n v="50"/>
    <n v="61"/>
    <n v="0"/>
    <n v="-11"/>
    <n v="0"/>
    <n v="0.43521839598830464"/>
    <n v="1"/>
    <n v="74.5"/>
    <n v="74.5"/>
    <n v="-12.511182312527826"/>
    <n v="1481.9735411941533"/>
    <n v="0"/>
    <n v="1"/>
    <n v="0"/>
    <n v="0"/>
    <n v="0"/>
    <n v="0"/>
    <n v="0"/>
    <n v="0"/>
    <n v="0"/>
    <n v="0"/>
  </r>
  <r>
    <d v="2003-06-25T00:00:00"/>
    <n v="2003"/>
    <x v="11"/>
    <s v="R"/>
    <s v="RS"/>
    <x v="5"/>
    <s v="CLE"/>
    <s v="H"/>
    <n v="2"/>
    <n v="3"/>
    <n v="-1"/>
    <n v="1"/>
    <n v="-8"/>
    <n v="8"/>
    <n v="1507.2164673260324"/>
    <n v="1494.4847235066811"/>
    <n v="0.61413549013085011"/>
    <n v="61"/>
    <n v="50"/>
    <n v="0"/>
    <n v="11"/>
    <n v="1"/>
    <n v="0.43521839598830464"/>
    <n v="1"/>
    <n v="74.2"/>
    <n v="74.2"/>
    <n v="12.460801712611605"/>
    <n v="1519.677269038644"/>
    <n v="1"/>
    <n v="0"/>
    <n v="0"/>
    <n v="0"/>
    <n v="0"/>
    <n v="0"/>
    <n v="0"/>
    <n v="0"/>
    <n v="0"/>
    <n v="0"/>
  </r>
  <r>
    <d v="2003-06-25T00:00:00"/>
    <n v="2003"/>
    <x v="11"/>
    <s v="R"/>
    <s v="RS"/>
    <x v="3"/>
    <s v="NYL"/>
    <s v="A"/>
    <n v="3"/>
    <n v="2"/>
    <n v="1"/>
    <n v="-1"/>
    <n v="8"/>
    <n v="-8"/>
    <n v="1381.6958178576563"/>
    <n v="1524.6891279994265"/>
    <n v="0.22889253627086317"/>
    <n v="64"/>
    <n v="70"/>
    <n v="0"/>
    <n v="-6"/>
    <n v="0"/>
    <n v="0.31387863969679147"/>
    <n v="1"/>
    <n v="74.2"/>
    <n v="74.2"/>
    <n v="-5.3308602617713703"/>
    <n v="1376.3649575958848"/>
    <n v="0"/>
    <n v="1"/>
    <n v="0"/>
    <n v="0"/>
    <n v="0"/>
    <n v="0"/>
    <n v="0"/>
    <n v="0"/>
    <n v="0"/>
    <n v="0"/>
  </r>
  <r>
    <d v="2003-06-25T00:00:00"/>
    <n v="2003"/>
    <x v="9"/>
    <s v="R"/>
    <s v="RS"/>
    <x v="12"/>
    <s v="PHX"/>
    <s v="H"/>
    <n v="2"/>
    <n v="3"/>
    <n v="-1"/>
    <n v="1"/>
    <n v="-8"/>
    <n v="8"/>
    <n v="1524.6891279994265"/>
    <n v="1381.6958178576563"/>
    <n v="0.77110746372913685"/>
    <n v="70"/>
    <n v="64"/>
    <n v="0"/>
    <n v="6"/>
    <n v="1"/>
    <n v="0.31387863969679147"/>
    <n v="1"/>
    <n v="74.5"/>
    <n v="74.5"/>
    <n v="5.3524136051478033"/>
    <n v="1530.0415416045744"/>
    <n v="1"/>
    <n v="0"/>
    <n v="0"/>
    <n v="0"/>
    <n v="0"/>
    <n v="0"/>
    <n v="0"/>
    <n v="0"/>
    <n v="0"/>
    <n v="0"/>
  </r>
  <r>
    <d v="2003-06-26T00:00:00"/>
    <n v="2003"/>
    <x v="10"/>
    <s v="R"/>
    <s v="RS"/>
    <x v="11"/>
    <s v="CON"/>
    <s v="A"/>
    <n v="1"/>
    <n v="1"/>
    <n v="0"/>
    <n v="0"/>
    <n v="0"/>
    <n v="0"/>
    <n v="1507.0313049782135"/>
    <n v="1507.7329320193355"/>
    <n v="0.38046340856422162"/>
    <n v="94"/>
    <n v="90"/>
    <n v="1"/>
    <n v="4"/>
    <n v="1"/>
    <n v="0.28012567495643975"/>
    <n v="1"/>
    <n v="74.349999999999994"/>
    <n v="74.349999999999994"/>
    <n v="12.903301668918457"/>
    <n v="1519.9346066471319"/>
    <n v="1"/>
    <n v="0"/>
    <n v="0"/>
    <n v="0"/>
    <n v="0"/>
    <n v="0"/>
    <n v="0"/>
    <n v="0"/>
    <n v="0"/>
    <n v="0"/>
  </r>
  <r>
    <d v="2003-06-26T00:00:00"/>
    <n v="2003"/>
    <x v="11"/>
    <s v="R"/>
    <s v="RS"/>
    <x v="7"/>
    <s v="IND"/>
    <s v="H"/>
    <n v="1"/>
    <n v="1"/>
    <n v="0"/>
    <n v="0"/>
    <n v="0"/>
    <n v="0"/>
    <n v="1507.7329320193355"/>
    <n v="1507.0313049782135"/>
    <n v="0.61953659143577844"/>
    <n v="90"/>
    <n v="94"/>
    <n v="1"/>
    <n v="-4"/>
    <n v="0"/>
    <n v="0.28012567495643975"/>
    <n v="1"/>
    <n v="74.2"/>
    <n v="74.2"/>
    <n v="-12.877269453043034"/>
    <n v="1494.8556625662925"/>
    <n v="0"/>
    <n v="1"/>
    <n v="0"/>
    <n v="0"/>
    <n v="0"/>
    <n v="0"/>
    <n v="0"/>
    <n v="0"/>
    <n v="0"/>
    <n v="0"/>
  </r>
  <r>
    <d v="2003-06-26T00:00:00"/>
    <n v="2003"/>
    <x v="13"/>
    <s v="R"/>
    <s v="RS"/>
    <x v="6"/>
    <s v="SAS"/>
    <s v="A"/>
    <n v="1"/>
    <n v="1"/>
    <n v="0"/>
    <n v="0"/>
    <n v="0"/>
    <n v="0"/>
    <n v="1683.9887842363682"/>
    <n v="1466.5435527840762"/>
    <n v="0.68312543663134662"/>
    <n v="67"/>
    <n v="58"/>
    <n v="0"/>
    <n v="9"/>
    <n v="1"/>
    <n v="0.34369287910866858"/>
    <n v="1"/>
    <n v="73.900000000000006"/>
    <n v="73.900000000000006"/>
    <n v="8.0482665409350833"/>
    <n v="1692.0370507773034"/>
    <n v="1"/>
    <n v="0"/>
    <n v="0"/>
    <n v="0"/>
    <n v="0"/>
    <n v="0"/>
    <n v="0"/>
    <n v="0"/>
    <n v="0"/>
    <n v="0"/>
  </r>
  <r>
    <d v="2003-06-26T00:00:00"/>
    <n v="2003"/>
    <x v="12"/>
    <s v="R"/>
    <s v="RS"/>
    <x v="9"/>
    <s v="LAS"/>
    <s v="H"/>
    <n v="1"/>
    <n v="1"/>
    <n v="0"/>
    <n v="0"/>
    <n v="0"/>
    <n v="0"/>
    <n v="1466.5435527840762"/>
    <n v="1683.9887842363682"/>
    <n v="0.31687456336865338"/>
    <n v="58"/>
    <n v="67"/>
    <n v="0"/>
    <n v="-9"/>
    <n v="0"/>
    <n v="0.34369287910866858"/>
    <n v="1"/>
    <n v="74.05"/>
    <n v="74.05"/>
    <n v="-8.0646026705851526"/>
    <n v="1458.478950113491"/>
    <n v="0"/>
    <n v="1"/>
    <n v="0"/>
    <n v="0"/>
    <n v="0"/>
    <n v="0"/>
    <n v="0"/>
    <n v="0"/>
    <n v="0"/>
    <n v="0"/>
  </r>
  <r>
    <d v="2003-06-27T00:00:00"/>
    <n v="2003"/>
    <x v="11"/>
    <s v="R"/>
    <s v="RS"/>
    <x v="0"/>
    <s v="CLE"/>
    <s v="A"/>
    <n v="4"/>
    <n v="1"/>
    <n v="3"/>
    <n v="-3"/>
    <n v="16"/>
    <n v="-16"/>
    <n v="1536.2197192986905"/>
    <n v="1481.9735411941533"/>
    <n v="0.50323246510221986"/>
    <n v="71"/>
    <n v="59"/>
    <n v="0"/>
    <n v="12"/>
    <n v="1"/>
    <n v="0.43640183342558181"/>
    <n v="1"/>
    <n v="74.2"/>
    <n v="74.2"/>
    <n v="16.085837515764791"/>
    <n v="1552.3055568144553"/>
    <n v="1"/>
    <n v="0"/>
    <n v="0"/>
    <n v="0"/>
    <n v="0"/>
    <n v="0"/>
    <n v="0"/>
    <n v="0"/>
    <n v="0"/>
    <n v="0"/>
  </r>
  <r>
    <d v="2003-06-27T00:00:00"/>
    <n v="2003"/>
    <x v="10"/>
    <s v="R"/>
    <s v="RS"/>
    <x v="10"/>
    <s v="SEA"/>
    <s v="H"/>
    <n v="1"/>
    <n v="4"/>
    <n v="-3"/>
    <n v="3"/>
    <n v="-16"/>
    <n v="16"/>
    <n v="1481.9735411941533"/>
    <n v="1536.2197192986905"/>
    <n v="0.49676753489778019"/>
    <n v="59"/>
    <n v="71"/>
    <n v="0"/>
    <n v="-12"/>
    <n v="0"/>
    <n v="0.43640183342558181"/>
    <n v="1"/>
    <n v="74.349999999999994"/>
    <n v="74.349999999999994"/>
    <n v="-16.118356055217145"/>
    <n v="1465.8551851389361"/>
    <n v="0"/>
    <n v="1"/>
    <n v="0"/>
    <n v="0"/>
    <n v="0"/>
    <n v="0"/>
    <n v="0"/>
    <n v="0"/>
    <n v="0"/>
    <n v="0"/>
  </r>
  <r>
    <d v="2003-06-27T00:00:00"/>
    <n v="2003"/>
    <x v="12"/>
    <s v="R"/>
    <s v="RS"/>
    <x v="3"/>
    <s v="MIN"/>
    <s v="A"/>
    <n v="1"/>
    <n v="5"/>
    <n v="-4"/>
    <n v="4"/>
    <n v="-16"/>
    <n v="16"/>
    <n v="1376.3649575958848"/>
    <n v="1457.7799525748012"/>
    <n v="0.24297971973170288"/>
    <n v="59"/>
    <n v="67"/>
    <n v="0"/>
    <n v="-8"/>
    <n v="0"/>
    <n v="0.36364381861418249"/>
    <n v="1"/>
    <n v="74.05"/>
    <n v="74.05"/>
    <n v="-6.5429153152054305"/>
    <n v="1369.8220422806794"/>
    <n v="0"/>
    <n v="1"/>
    <n v="0"/>
    <n v="0"/>
    <n v="0"/>
    <n v="0"/>
    <n v="0"/>
    <n v="0"/>
    <n v="0"/>
    <n v="0"/>
  </r>
  <r>
    <d v="2003-06-27T00:00:00"/>
    <n v="2003"/>
    <x v="11"/>
    <s v="R"/>
    <s v="RS"/>
    <x v="8"/>
    <s v="PHX"/>
    <s v="H"/>
    <n v="5"/>
    <n v="1"/>
    <n v="4"/>
    <n v="-4"/>
    <n v="16"/>
    <n v="-16"/>
    <n v="1457.7799525748012"/>
    <n v="1376.3649575958848"/>
    <n v="0.75702028026829704"/>
    <n v="67"/>
    <n v="59"/>
    <n v="0"/>
    <n v="8"/>
    <n v="1"/>
    <n v="0.36364381861418249"/>
    <n v="1"/>
    <n v="74.2"/>
    <n v="74.2"/>
    <n v="6.55616902617479"/>
    <n v="1464.336121600976"/>
    <n v="1"/>
    <n v="0"/>
    <n v="0"/>
    <n v="0"/>
    <n v="0"/>
    <n v="0"/>
    <n v="0"/>
    <n v="0"/>
    <n v="0"/>
    <n v="0"/>
  </r>
  <r>
    <d v="2003-06-27T00:00:00"/>
    <n v="2003"/>
    <x v="8"/>
    <s v="R"/>
    <s v="RS"/>
    <x v="13"/>
    <s v="NYL"/>
    <s v="A"/>
    <n v="2"/>
    <n v="1"/>
    <n v="1"/>
    <n v="-1"/>
    <n v="8"/>
    <n v="-8"/>
    <n v="1556.7456109705111"/>
    <n v="1530.0415416045744"/>
    <n v="0.44084867043240494"/>
    <n v="75"/>
    <n v="69"/>
    <n v="0"/>
    <n v="6"/>
    <n v="1"/>
    <n v="0.34363374495616988"/>
    <n v="1"/>
    <n v="74.650000000000006"/>
    <n v="74.650000000000006"/>
    <n v="14.343494760358283"/>
    <n v="1571.0891057308693"/>
    <n v="1"/>
    <n v="0"/>
    <n v="0"/>
    <n v="0"/>
    <n v="0"/>
    <n v="0"/>
    <n v="0"/>
    <n v="0"/>
    <n v="0"/>
    <n v="0"/>
  </r>
  <r>
    <d v="2003-06-27T00:00:00"/>
    <n v="2003"/>
    <x v="10"/>
    <s v="R"/>
    <s v="RS"/>
    <x v="12"/>
    <s v="DET"/>
    <s v="H"/>
    <n v="1"/>
    <n v="2"/>
    <n v="-1"/>
    <n v="1"/>
    <n v="-8"/>
    <n v="8"/>
    <n v="1530.0415416045744"/>
    <n v="1556.7456109705111"/>
    <n v="0.55915132956759506"/>
    <n v="69"/>
    <n v="75"/>
    <n v="0"/>
    <n v="-6"/>
    <n v="0"/>
    <n v="0.34363374495616988"/>
    <n v="1"/>
    <n v="74.349999999999994"/>
    <n v="74.349999999999994"/>
    <n v="-14.28585178074532"/>
    <n v="1515.755689823829"/>
    <n v="0"/>
    <n v="1"/>
    <n v="0"/>
    <n v="0"/>
    <n v="0"/>
    <n v="0"/>
    <n v="0"/>
    <n v="0"/>
    <n v="0"/>
    <n v="0"/>
  </r>
  <r>
    <d v="2003-06-28T00:00:00"/>
    <n v="2003"/>
    <x v="12"/>
    <s v="R"/>
    <s v="RS"/>
    <x v="7"/>
    <s v="CHA"/>
    <s v="A"/>
    <n v="1"/>
    <n v="2"/>
    <n v="-1"/>
    <n v="1"/>
    <n v="-8"/>
    <n v="8"/>
    <n v="1494.8556625662925"/>
    <n v="1519.677269038644"/>
    <n v="0.3277165650653055"/>
    <n v="55"/>
    <n v="69"/>
    <n v="0"/>
    <n v="-14"/>
    <n v="0"/>
    <n v="0.47772648779945404"/>
    <n v="1"/>
    <n v="74.05"/>
    <n v="74.05"/>
    <n v="-11.593185332234992"/>
    <n v="1483.2624772340575"/>
    <n v="0"/>
    <n v="1"/>
    <n v="0"/>
    <n v="0"/>
    <n v="0"/>
    <n v="0"/>
    <n v="0"/>
    <n v="0"/>
    <n v="0"/>
    <n v="0"/>
  </r>
  <r>
    <d v="2003-06-28T00:00:00"/>
    <n v="2003"/>
    <x v="12"/>
    <s v="R"/>
    <s v="RS"/>
    <x v="5"/>
    <s v="CON"/>
    <s v="H"/>
    <n v="2"/>
    <n v="1"/>
    <n v="1"/>
    <n v="-1"/>
    <n v="8"/>
    <n v="-8"/>
    <n v="1519.677269038644"/>
    <n v="1494.8556625662925"/>
    <n v="0.67228343493469445"/>
    <n v="69"/>
    <n v="55"/>
    <n v="0"/>
    <n v="14"/>
    <n v="1"/>
    <n v="0.47772648779945404"/>
    <n v="1"/>
    <n v="74.05"/>
    <n v="74.05"/>
    <n v="11.593185332234993"/>
    <n v="1531.270454370879"/>
    <n v="1"/>
    <n v="0"/>
    <n v="0"/>
    <n v="0"/>
    <n v="0"/>
    <n v="0"/>
    <n v="0"/>
    <n v="0"/>
    <n v="0"/>
    <n v="0"/>
  </r>
  <r>
    <d v="2003-06-28T00:00:00"/>
    <n v="2003"/>
    <x v="13"/>
    <s v="R"/>
    <s v="RS"/>
    <x v="3"/>
    <s v="DET"/>
    <s v="A"/>
    <n v="0"/>
    <n v="0"/>
    <n v="0"/>
    <n v="0"/>
    <n v="0"/>
    <n v="0"/>
    <n v="1369.8220422806794"/>
    <n v="1571.0891057308693"/>
    <n v="0.16217554750195842"/>
    <n v="68"/>
    <n v="65"/>
    <n v="0"/>
    <n v="3"/>
    <n v="1"/>
    <n v="0.24850382514598202"/>
    <n v="1"/>
    <n v="73.900000000000006"/>
    <n v="73.900000000000006"/>
    <n v="15.386170754123848"/>
    <n v="1385.2082130348033"/>
    <n v="1"/>
    <n v="0"/>
    <n v="0"/>
    <n v="0"/>
    <n v="0"/>
    <n v="0"/>
    <n v="0"/>
    <n v="0"/>
    <n v="0"/>
    <n v="0"/>
  </r>
  <r>
    <d v="2003-06-28T00:00:00"/>
    <n v="2003"/>
    <x v="9"/>
    <s v="R"/>
    <s v="RS"/>
    <x v="13"/>
    <s v="PHX"/>
    <s v="H"/>
    <n v="0"/>
    <n v="0"/>
    <n v="0"/>
    <n v="0"/>
    <n v="0"/>
    <n v="0"/>
    <n v="1571.0891057308693"/>
    <n v="1369.8220422806794"/>
    <n v="0.83782445249804161"/>
    <n v="65"/>
    <n v="68"/>
    <n v="0"/>
    <n v="-3"/>
    <n v="0"/>
    <n v="0.24850382514598202"/>
    <n v="1"/>
    <n v="74.5"/>
    <n v="74.5"/>
    <n v="-15.511092302871807"/>
    <n v="1555.5780134279976"/>
    <n v="0"/>
    <n v="1"/>
    <n v="0"/>
    <n v="0"/>
    <n v="0"/>
    <n v="0"/>
    <n v="0"/>
    <n v="0"/>
    <n v="0"/>
    <n v="0"/>
  </r>
  <r>
    <d v="2003-06-28T00:00:00"/>
    <n v="2003"/>
    <x v="13"/>
    <s v="R"/>
    <s v="RS"/>
    <x v="9"/>
    <s v="HOU"/>
    <s v="A"/>
    <n v="1"/>
    <n v="3"/>
    <n v="-2"/>
    <n v="2"/>
    <n v="-16"/>
    <n v="16"/>
    <n v="1458.478950113491"/>
    <n v="1522.8861246820422"/>
    <n v="0.26143813779312081"/>
    <n v="49"/>
    <n v="64"/>
    <n v="0"/>
    <n v="-15"/>
    <n v="0"/>
    <n v="0.47723363627734722"/>
    <n v="1"/>
    <n v="73.900000000000006"/>
    <n v="73.900000000000006"/>
    <n v="-9.220286706567542"/>
    <n v="1449.2586634069235"/>
    <n v="0"/>
    <n v="1"/>
    <n v="0"/>
    <n v="0"/>
    <n v="0"/>
    <n v="0"/>
    <n v="0"/>
    <n v="0"/>
    <n v="0"/>
    <n v="0"/>
  </r>
  <r>
    <d v="2003-06-28T00:00:00"/>
    <n v="2003"/>
    <x v="13"/>
    <s v="R"/>
    <s v="RS"/>
    <x v="1"/>
    <s v="SAS"/>
    <s v="H"/>
    <n v="3"/>
    <n v="1"/>
    <n v="2"/>
    <n v="-2"/>
    <n v="16"/>
    <n v="-16"/>
    <n v="1522.8861246820422"/>
    <n v="1458.478950113491"/>
    <n v="0.73856186220687914"/>
    <n v="64"/>
    <n v="49"/>
    <n v="0"/>
    <n v="15"/>
    <n v="1"/>
    <n v="0.47723363627734722"/>
    <n v="1"/>
    <n v="73.900000000000006"/>
    <n v="73.900000000000006"/>
    <n v="9.2202867065675438"/>
    <n v="1532.1064113886098"/>
    <n v="1"/>
    <n v="0"/>
    <n v="0"/>
    <n v="0"/>
    <n v="0"/>
    <n v="0"/>
    <n v="0"/>
    <n v="0"/>
    <n v="0"/>
    <n v="0"/>
  </r>
  <r>
    <d v="2003-06-28T00:00:00"/>
    <n v="2003"/>
    <x v="12"/>
    <s v="R"/>
    <s v="RS"/>
    <x v="0"/>
    <s v="IND"/>
    <s v="A"/>
    <n v="0"/>
    <n v="1"/>
    <n v="-1"/>
    <n v="1"/>
    <n v="-8"/>
    <n v="8"/>
    <n v="1552.3055568144553"/>
    <n v="1519.9346066471319"/>
    <n v="0.40388483447690943"/>
    <n v="70"/>
    <n v="79"/>
    <n v="0"/>
    <n v="-9"/>
    <n v="0"/>
    <n v="0.39530778659667948"/>
    <n v="1"/>
    <n v="74.05"/>
    <n v="74.05"/>
    <n v="-11.822735617818317"/>
    <n v="1540.4828211966369"/>
    <n v="0"/>
    <n v="1"/>
    <n v="0"/>
    <n v="0"/>
    <n v="0"/>
    <n v="0"/>
    <n v="0"/>
    <n v="0"/>
    <n v="0"/>
    <n v="0"/>
  </r>
  <r>
    <d v="2003-06-28T00:00:00"/>
    <n v="2003"/>
    <x v="11"/>
    <s v="R"/>
    <s v="RS"/>
    <x v="11"/>
    <s v="SEA"/>
    <s v="H"/>
    <n v="1"/>
    <n v="0"/>
    <n v="1"/>
    <n v="-1"/>
    <n v="8"/>
    <n v="-8"/>
    <n v="1519.9346066471319"/>
    <n v="1552.3055568144553"/>
    <n v="0.59611516552309052"/>
    <n v="79"/>
    <n v="70"/>
    <n v="0"/>
    <n v="9"/>
    <n v="1"/>
    <n v="0.39530778659667948"/>
    <n v="1"/>
    <n v="74.2"/>
    <n v="74.2"/>
    <n v="11.846684440811876"/>
    <n v="1531.7812910879438"/>
    <n v="1"/>
    <n v="0"/>
    <n v="0"/>
    <n v="0"/>
    <n v="0"/>
    <n v="0"/>
    <n v="0"/>
    <n v="0"/>
    <n v="0"/>
    <n v="0"/>
  </r>
  <r>
    <d v="2003-06-28T00:00:00"/>
    <n v="2003"/>
    <x v="13"/>
    <s v="R"/>
    <s v="RS"/>
    <x v="2"/>
    <s v="LAS"/>
    <s v="A"/>
    <n v="3"/>
    <n v="1"/>
    <n v="2"/>
    <n v="-2"/>
    <n v="16"/>
    <n v="-16"/>
    <n v="1478.4127965075481"/>
    <n v="1692.0370507773034"/>
    <n v="0.17813182859015744"/>
    <n v="69"/>
    <n v="60"/>
    <n v="0"/>
    <n v="9"/>
    <n v="1"/>
    <n v="0.34462186900461023"/>
    <n v="1"/>
    <n v="73.900000000000006"/>
    <n v="73.900000000000006"/>
    <n v="20.930973778162272"/>
    <n v="1499.3437702857104"/>
    <n v="1"/>
    <n v="0"/>
    <n v="0"/>
    <n v="0"/>
    <n v="0"/>
    <n v="0"/>
    <n v="0"/>
    <n v="0"/>
    <n v="0"/>
    <n v="0"/>
  </r>
  <r>
    <d v="2003-06-28T00:00:00"/>
    <n v="2003"/>
    <x v="14"/>
    <s v="R"/>
    <s v="RS"/>
    <x v="6"/>
    <s v="SAC"/>
    <s v="H"/>
    <n v="1"/>
    <n v="3"/>
    <n v="-2"/>
    <n v="2"/>
    <n v="-16"/>
    <n v="16"/>
    <n v="1692.0370507773034"/>
    <n v="1478.4127965075481"/>
    <n v="0.82186817140984259"/>
    <n v="60"/>
    <n v="69"/>
    <n v="0"/>
    <n v="-9"/>
    <n v="0"/>
    <n v="0.34462186900461023"/>
    <n v="1"/>
    <n v="73.75"/>
    <n v="73.75"/>
    <n v="-20.888488716366272"/>
    <n v="1671.1485620609371"/>
    <n v="0"/>
    <n v="1"/>
    <n v="0"/>
    <n v="0"/>
    <n v="0"/>
    <n v="0"/>
    <n v="0"/>
    <n v="0"/>
    <n v="0"/>
    <n v="0"/>
  </r>
  <r>
    <d v="2003-06-29T00:00:00"/>
    <n v="2003"/>
    <x v="12"/>
    <s v="R"/>
    <s v="RS"/>
    <x v="11"/>
    <s v="CLE"/>
    <s v="A"/>
    <n v="0"/>
    <n v="1"/>
    <n v="-1"/>
    <n v="1"/>
    <n v="-8"/>
    <n v="8"/>
    <n v="1531.7812910879438"/>
    <n v="1465.8551851389361"/>
    <n v="0.45112033616343367"/>
    <n v="53"/>
    <n v="66"/>
    <n v="0"/>
    <n v="-13"/>
    <n v="0"/>
    <n v="0.44746095693499988"/>
    <n v="1"/>
    <n v="74.05"/>
    <n v="74.05"/>
    <n v="-14.947639497992762"/>
    <n v="1516.8336515899512"/>
    <n v="0"/>
    <n v="1"/>
    <n v="0"/>
    <n v="0"/>
    <n v="0"/>
    <n v="0"/>
    <n v="0"/>
    <n v="0"/>
    <n v="0"/>
    <n v="0"/>
  </r>
  <r>
    <d v="2003-06-29T00:00:00"/>
    <n v="2003"/>
    <x v="11"/>
    <s v="R"/>
    <s v="RS"/>
    <x v="10"/>
    <s v="IND"/>
    <s v="H"/>
    <n v="1"/>
    <n v="0"/>
    <n v="1"/>
    <n v="-1"/>
    <n v="8"/>
    <n v="-8"/>
    <n v="1465.8551851389361"/>
    <n v="1531.7812910879438"/>
    <n v="0.54887966383656628"/>
    <n v="66"/>
    <n v="53"/>
    <n v="0"/>
    <n v="13"/>
    <n v="1"/>
    <n v="0.44746095693499988"/>
    <n v="1"/>
    <n v="74.2"/>
    <n v="74.2"/>
    <n v="14.977918308589645"/>
    <n v="1480.8331034475257"/>
    <n v="1"/>
    <n v="0"/>
    <n v="0"/>
    <n v="0"/>
    <n v="0"/>
    <n v="0"/>
    <n v="0"/>
    <n v="0"/>
    <n v="0"/>
    <n v="0"/>
  </r>
  <r>
    <d v="2003-06-29T00:00:00"/>
    <n v="2003"/>
    <x v="12"/>
    <s v="R"/>
    <s v="RS"/>
    <x v="8"/>
    <s v="WAS"/>
    <s v="A"/>
    <n v="1"/>
    <n v="4"/>
    <n v="-3"/>
    <n v="3"/>
    <n v="-16"/>
    <n v="16"/>
    <n v="1464.336121600976"/>
    <n v="1389.1466611762792"/>
    <n v="0.44153754137937046"/>
    <n v="59"/>
    <n v="50"/>
    <n v="0"/>
    <n v="9"/>
    <n v="1"/>
    <n v="0.38203408018636131"/>
    <n v="1"/>
    <n v="74.05"/>
    <n v="74.05"/>
    <n v="15.798692770218095"/>
    <n v="1480.1348143711941"/>
    <n v="1"/>
    <n v="0"/>
    <n v="0"/>
    <n v="0"/>
    <n v="0"/>
    <n v="0"/>
    <n v="0"/>
    <n v="0"/>
    <n v="0"/>
    <n v="0"/>
  </r>
  <r>
    <d v="2003-06-29T00:00:00"/>
    <n v="2003"/>
    <x v="10"/>
    <s v="R"/>
    <s v="RS"/>
    <x v="4"/>
    <s v="MIN"/>
    <s v="H"/>
    <n v="4"/>
    <n v="1"/>
    <n v="3"/>
    <n v="-3"/>
    <n v="16"/>
    <n v="-16"/>
    <n v="1389.1466611762792"/>
    <n v="1464.336121600976"/>
    <n v="0.5584624586206296"/>
    <n v="50"/>
    <n v="59"/>
    <n v="0"/>
    <n v="-9"/>
    <n v="0"/>
    <n v="0.38203408018636131"/>
    <n v="1"/>
    <n v="74.349999999999994"/>
    <n v="74.349999999999994"/>
    <n v="-15.86269827772742"/>
    <n v="1373.2839628985516"/>
    <n v="0"/>
    <n v="1"/>
    <n v="0"/>
    <n v="0"/>
    <n v="0"/>
    <n v="0"/>
    <n v="0"/>
    <n v="0"/>
    <n v="0"/>
    <n v="0"/>
  </r>
  <r>
    <d v="2003-06-30T00:00:00"/>
    <n v="2003"/>
    <x v="13"/>
    <s v="R"/>
    <s v="RS"/>
    <x v="0"/>
    <s v="CHA"/>
    <s v="A"/>
    <n v="1"/>
    <n v="1"/>
    <n v="0"/>
    <n v="0"/>
    <n v="0"/>
    <n v="0"/>
    <n v="1540.4828211966369"/>
    <n v="1531.270454370879"/>
    <n v="0.39400402402893847"/>
    <n v="83"/>
    <n v="71"/>
    <n v="0"/>
    <n v="12"/>
    <n v="1"/>
    <n v="0.4526544275499626"/>
    <n v="1"/>
    <n v="73.900000000000006"/>
    <n v="73.900000000000006"/>
    <n v="20.271269682296296"/>
    <n v="1560.7540908789333"/>
    <n v="1"/>
    <n v="0"/>
    <n v="0"/>
    <n v="0"/>
    <n v="0"/>
    <n v="0"/>
    <n v="0"/>
    <n v="0"/>
    <n v="0"/>
    <n v="0"/>
  </r>
  <r>
    <d v="2003-06-30T00:00:00"/>
    <n v="2003"/>
    <x v="13"/>
    <s v="R"/>
    <s v="RS"/>
    <x v="5"/>
    <s v="SEA"/>
    <s v="H"/>
    <n v="1"/>
    <n v="1"/>
    <n v="0"/>
    <n v="0"/>
    <n v="0"/>
    <n v="0"/>
    <n v="1531.270454370879"/>
    <n v="1540.4828211966369"/>
    <n v="0.60599597597106158"/>
    <n v="71"/>
    <n v="83"/>
    <n v="0"/>
    <n v="-12"/>
    <n v="0"/>
    <n v="0.4526544275499626"/>
    <n v="1"/>
    <n v="73.900000000000006"/>
    <n v="73.900000000000006"/>
    <n v="-20.271269682296296"/>
    <n v="1510.9991846885825"/>
    <n v="0"/>
    <n v="1"/>
    <n v="0"/>
    <n v="0"/>
    <n v="0"/>
    <n v="0"/>
    <n v="0"/>
    <n v="0"/>
    <n v="0"/>
    <n v="0"/>
  </r>
  <r>
    <d v="2003-07-01T00:00:00"/>
    <n v="2003"/>
    <x v="14"/>
    <s v="R"/>
    <s v="RS"/>
    <x v="9"/>
    <s v="DET"/>
    <s v="A"/>
    <n v="2"/>
    <n v="2"/>
    <n v="0"/>
    <n v="0"/>
    <n v="0"/>
    <n v="0"/>
    <n v="1449.2586634069235"/>
    <n v="1555.5780134279976"/>
    <n v="0.25057156787583545"/>
    <n v="88"/>
    <n v="99"/>
    <n v="0"/>
    <n v="-11"/>
    <n v="0"/>
    <n v="0.40403838793373376"/>
    <n v="1"/>
    <n v="73.75"/>
    <n v="73.75"/>
    <n v="-7.4664892605603264"/>
    <n v="1441.7921741463631"/>
    <n v="0"/>
    <n v="1"/>
    <n v="0"/>
    <n v="0"/>
    <n v="0"/>
    <n v="0"/>
    <n v="0"/>
    <n v="0"/>
    <n v="0"/>
    <n v="0"/>
  </r>
  <r>
    <d v="2003-07-01T00:00:00"/>
    <n v="2003"/>
    <x v="10"/>
    <s v="R"/>
    <s v="RS"/>
    <x v="13"/>
    <s v="SAS"/>
    <s v="H"/>
    <n v="2"/>
    <n v="2"/>
    <n v="0"/>
    <n v="0"/>
    <n v="0"/>
    <n v="0"/>
    <n v="1555.5780134279976"/>
    <n v="1449.2586634069235"/>
    <n v="0.74942843212416443"/>
    <n v="99"/>
    <n v="88"/>
    <n v="0"/>
    <n v="11"/>
    <n v="1"/>
    <n v="0.40403838793373376"/>
    <n v="1"/>
    <n v="74.349999999999994"/>
    <n v="74.349999999999994"/>
    <n v="7.5272335799682786"/>
    <n v="1563.1052470079658"/>
    <n v="1"/>
    <n v="0"/>
    <n v="0"/>
    <n v="0"/>
    <n v="0"/>
    <n v="0"/>
    <n v="0"/>
    <n v="0"/>
    <n v="0"/>
    <n v="0"/>
  </r>
  <r>
    <d v="2003-07-01T00:00:00"/>
    <n v="2003"/>
    <x v="13"/>
    <s v="R"/>
    <s v="RS"/>
    <x v="8"/>
    <s v="HOU"/>
    <s v="A"/>
    <n v="1"/>
    <n v="2"/>
    <n v="-1"/>
    <n v="1"/>
    <n v="-8"/>
    <n v="8"/>
    <n v="1480.1348143711941"/>
    <n v="1532.1064113886098"/>
    <n v="0.29425259301209361"/>
    <n v="69"/>
    <n v="71"/>
    <n v="0"/>
    <n v="-2"/>
    <n v="0"/>
    <n v="0.25672274493870395"/>
    <n v="1"/>
    <n v="73.900000000000006"/>
    <n v="73.900000000000006"/>
    <n v="-5.5825045370329622"/>
    <n v="1474.5523098341612"/>
    <n v="0"/>
    <n v="1"/>
    <n v="0"/>
    <n v="0"/>
    <n v="0"/>
    <n v="0"/>
    <n v="0"/>
    <n v="0"/>
    <n v="0"/>
    <n v="0"/>
  </r>
  <r>
    <d v="2003-07-01T00:00:00"/>
    <n v="2003"/>
    <x v="14"/>
    <s v="R"/>
    <s v="RS"/>
    <x v="1"/>
    <s v="MIN"/>
    <s v="H"/>
    <n v="2"/>
    <n v="1"/>
    <n v="1"/>
    <n v="-1"/>
    <n v="8"/>
    <n v="-8"/>
    <n v="1532.1064113886098"/>
    <n v="1480.1348143711941"/>
    <n v="0.70574740698790639"/>
    <n v="71"/>
    <n v="69"/>
    <n v="0"/>
    <n v="2"/>
    <n v="1"/>
    <n v="0.25672274493870395"/>
    <n v="1"/>
    <n v="73.75"/>
    <n v="73.75"/>
    <n v="5.5711733370254519"/>
    <n v="1537.6775847256351"/>
    <n v="1"/>
    <n v="0"/>
    <n v="0"/>
    <n v="0"/>
    <n v="0"/>
    <n v="0"/>
    <n v="0"/>
    <n v="0"/>
    <n v="0"/>
    <n v="0"/>
  </r>
  <r>
    <d v="2003-07-01T00:00:00"/>
    <n v="2003"/>
    <x v="13"/>
    <s v="R"/>
    <s v="RS"/>
    <x v="7"/>
    <s v="NYL"/>
    <s v="A"/>
    <n v="2"/>
    <n v="3"/>
    <n v="-1"/>
    <n v="1"/>
    <n v="-8"/>
    <n v="8"/>
    <n v="1483.2624772340575"/>
    <n v="1515.755689823829"/>
    <n v="0.31806203724367238"/>
    <n v="64"/>
    <n v="90"/>
    <n v="0"/>
    <n v="-26"/>
    <n v="0"/>
    <n v="0.63684314737192371"/>
    <n v="1"/>
    <n v="73.900000000000006"/>
    <n v="73.900000000000006"/>
    <n v="-14.968860972590411"/>
    <n v="1468.2936162614672"/>
    <n v="0"/>
    <n v="1"/>
    <n v="0"/>
    <n v="0"/>
    <n v="0"/>
    <n v="0"/>
    <n v="0"/>
    <n v="0"/>
    <n v="0"/>
    <n v="0"/>
  </r>
  <r>
    <d v="2003-07-01T00:00:00"/>
    <n v="2003"/>
    <x v="11"/>
    <s v="R"/>
    <s v="RS"/>
    <x v="12"/>
    <s v="CON"/>
    <s v="H"/>
    <n v="3"/>
    <n v="2"/>
    <n v="1"/>
    <n v="-1"/>
    <n v="8"/>
    <n v="-8"/>
    <n v="1515.755689823829"/>
    <n v="1483.2624772340575"/>
    <n v="0.68193796275632768"/>
    <n v="90"/>
    <n v="64"/>
    <n v="0"/>
    <n v="26"/>
    <n v="1"/>
    <n v="0.63684314737192371"/>
    <n v="1"/>
    <n v="74.2"/>
    <n v="74.2"/>
    <n v="15.029627661247744"/>
    <n v="1530.7853174850768"/>
    <n v="1"/>
    <n v="0"/>
    <n v="0"/>
    <n v="0"/>
    <n v="0"/>
    <n v="0"/>
    <n v="0"/>
    <n v="0"/>
    <n v="0"/>
    <n v="0"/>
  </r>
  <r>
    <d v="2003-07-02T00:00:00"/>
    <n v="2003"/>
    <x v="12"/>
    <s v="R"/>
    <s v="RS"/>
    <x v="10"/>
    <s v="CON"/>
    <s v="A"/>
    <n v="2"/>
    <n v="0"/>
    <n v="2"/>
    <n v="-2"/>
    <n v="16"/>
    <n v="-16"/>
    <n v="1480.8331034475257"/>
    <n v="1468.2936162614672"/>
    <n v="0.44345468596206233"/>
    <n v="57"/>
    <n v="64"/>
    <n v="0"/>
    <n v="-7"/>
    <n v="0"/>
    <n v="0.36627970608633426"/>
    <n v="1"/>
    <n v="74.05"/>
    <n v="74.05"/>
    <n v="-12.027826873324436"/>
    <n v="1468.8052765742013"/>
    <n v="0"/>
    <n v="1"/>
    <n v="0"/>
    <n v="0"/>
    <n v="0"/>
    <n v="0"/>
    <n v="0"/>
    <n v="0"/>
    <n v="0"/>
    <n v="0"/>
  </r>
  <r>
    <d v="2003-07-02T00:00:00"/>
    <n v="2003"/>
    <x v="14"/>
    <s v="R"/>
    <s v="RS"/>
    <x v="7"/>
    <s v="CLE"/>
    <s v="H"/>
    <n v="0"/>
    <n v="2"/>
    <n v="-2"/>
    <n v="2"/>
    <n v="-16"/>
    <n v="16"/>
    <n v="1468.2936162614672"/>
    <n v="1480.8331034475257"/>
    <n v="0.55654531403793772"/>
    <n v="64"/>
    <n v="57"/>
    <n v="0"/>
    <n v="7"/>
    <n v="1"/>
    <n v="0.36627970608633426"/>
    <n v="1"/>
    <n v="73.75"/>
    <n v="73.75"/>
    <n v="11.979098337713397"/>
    <n v="1480.2727145991805"/>
    <n v="1"/>
    <n v="0"/>
    <n v="0"/>
    <n v="0"/>
    <n v="0"/>
    <n v="0"/>
    <n v="0"/>
    <n v="0"/>
    <n v="0"/>
    <n v="0"/>
  </r>
  <r>
    <d v="2003-07-02T00:00:00"/>
    <n v="2003"/>
    <x v="14"/>
    <s v="R"/>
    <s v="RS"/>
    <x v="3"/>
    <s v="IND"/>
    <s v="A"/>
    <n v="3"/>
    <n v="2"/>
    <n v="1"/>
    <n v="-1"/>
    <n v="8"/>
    <n v="-8"/>
    <n v="1385.2082130348033"/>
    <n v="1516.8336515899512"/>
    <n v="0.24064685892470927"/>
    <n v="68"/>
    <n v="79"/>
    <n v="0"/>
    <n v="-11"/>
    <n v="0"/>
    <n v="0.39636007921404637"/>
    <n v="1"/>
    <n v="73.75"/>
    <n v="73.75"/>
    <n v="-7.0344820948681797"/>
    <n v="1378.173730939935"/>
    <n v="0"/>
    <n v="1"/>
    <n v="0"/>
    <n v="0"/>
    <n v="0"/>
    <n v="0"/>
    <n v="0"/>
    <n v="0"/>
    <n v="0"/>
    <n v="0"/>
  </r>
  <r>
    <d v="2003-07-02T00:00:00"/>
    <n v="2003"/>
    <x v="13"/>
    <s v="R"/>
    <s v="RS"/>
    <x v="11"/>
    <s v="PHX"/>
    <s v="H"/>
    <n v="2"/>
    <n v="3"/>
    <n v="-1"/>
    <n v="1"/>
    <n v="-8"/>
    <n v="8"/>
    <n v="1516.8336515899512"/>
    <n v="1385.2082130348033"/>
    <n v="0.75935314107529073"/>
    <n v="79"/>
    <n v="68"/>
    <n v="0"/>
    <n v="11"/>
    <n v="1"/>
    <n v="0.39636007921404637"/>
    <n v="1"/>
    <n v="73.900000000000006"/>
    <n v="73.900000000000006"/>
    <n v="7.0487895160780818"/>
    <n v="1523.8824411060293"/>
    <n v="1"/>
    <n v="0"/>
    <n v="0"/>
    <n v="0"/>
    <n v="0"/>
    <n v="0"/>
    <n v="0"/>
    <n v="0"/>
    <n v="0"/>
    <n v="0"/>
  </r>
  <r>
    <d v="2003-07-02T00:00:00"/>
    <n v="2003"/>
    <x v="11"/>
    <s v="R"/>
    <s v="RS"/>
    <x v="4"/>
    <s v="SAC"/>
    <s v="A"/>
    <n v="2"/>
    <n v="3"/>
    <n v="-1"/>
    <n v="1"/>
    <n v="-8"/>
    <n v="8"/>
    <n v="1373.2839628985516"/>
    <n v="1499.3437702857104"/>
    <n v="0.21394549364657417"/>
    <n v="62"/>
    <n v="83"/>
    <n v="0"/>
    <n v="-21"/>
    <n v="0"/>
    <n v="0.53262420246078268"/>
    <n v="1"/>
    <n v="74.2"/>
    <n v="74.2"/>
    <n v="-8.4552790559300082"/>
    <n v="1364.8286838426216"/>
    <n v="0"/>
    <n v="1"/>
    <n v="0"/>
    <n v="0"/>
    <n v="0"/>
    <n v="0"/>
    <n v="0"/>
    <n v="0"/>
    <n v="0"/>
    <n v="0"/>
  </r>
  <r>
    <d v="2003-07-02T00:00:00"/>
    <n v="2003"/>
    <x v="14"/>
    <s v="R"/>
    <s v="RS"/>
    <x v="2"/>
    <s v="WAS"/>
    <s v="H"/>
    <n v="3"/>
    <n v="2"/>
    <n v="1"/>
    <n v="-1"/>
    <n v="8"/>
    <n v="-8"/>
    <n v="1499.3437702857104"/>
    <n v="1373.2839628985516"/>
    <n v="0.78605450635342577"/>
    <n v="83"/>
    <n v="62"/>
    <n v="0"/>
    <n v="21"/>
    <n v="1"/>
    <n v="0.53262420246078268"/>
    <n v="1"/>
    <n v="73.75"/>
    <n v="73.75"/>
    <n v="8.4040004093643965"/>
    <n v="1507.7477706950749"/>
    <n v="1"/>
    <n v="0"/>
    <n v="0"/>
    <n v="0"/>
    <n v="0"/>
    <n v="0"/>
    <n v="0"/>
    <n v="0"/>
    <n v="0"/>
    <n v="0"/>
  </r>
  <r>
    <d v="2003-07-03T00:00:00"/>
    <n v="2003"/>
    <x v="14"/>
    <s v="R"/>
    <s v="RS"/>
    <x v="5"/>
    <s v="DET"/>
    <s v="A"/>
    <n v="2"/>
    <n v="1"/>
    <n v="1"/>
    <n v="-1"/>
    <n v="8"/>
    <n v="-8"/>
    <n v="1510.9991846885825"/>
    <n v="1563.1052470079658"/>
    <n v="0.33372480566369322"/>
    <n v="92"/>
    <n v="79"/>
    <n v="0"/>
    <n v="13"/>
    <n v="1"/>
    <n v="0.45239977971806367"/>
    <n v="1"/>
    <n v="73.75"/>
    <n v="73.75"/>
    <n v="22.229927897264947"/>
    <n v="1533.2291125858476"/>
    <n v="1"/>
    <n v="0"/>
    <n v="0"/>
    <n v="0"/>
    <n v="0"/>
    <n v="0"/>
    <n v="0"/>
    <n v="0"/>
    <n v="0"/>
    <n v="0"/>
  </r>
  <r>
    <d v="2003-07-03T00:00:00"/>
    <n v="2003"/>
    <x v="11"/>
    <s v="R"/>
    <s v="RS"/>
    <x v="13"/>
    <s v="CHA"/>
    <s v="H"/>
    <n v="1"/>
    <n v="2"/>
    <n v="-1"/>
    <n v="1"/>
    <n v="-8"/>
    <n v="8"/>
    <n v="1563.1052470079658"/>
    <n v="1510.9991846885825"/>
    <n v="0.66627519433630678"/>
    <n v="79"/>
    <n v="92"/>
    <n v="0"/>
    <n v="-13"/>
    <n v="0"/>
    <n v="0.45239977971806367"/>
    <n v="1"/>
    <n v="74.2"/>
    <n v="74.2"/>
    <n v="-22.365568135282157"/>
    <n v="1540.7396788726837"/>
    <n v="0"/>
    <n v="1"/>
    <n v="0"/>
    <n v="0"/>
    <n v="0"/>
    <n v="0"/>
    <n v="0"/>
    <n v="0"/>
    <n v="0"/>
    <n v="0"/>
  </r>
  <r>
    <d v="2003-07-03T00:00:00"/>
    <n v="2003"/>
    <x v="12"/>
    <s v="R"/>
    <s v="RS"/>
    <x v="4"/>
    <s v="SEA"/>
    <s v="A"/>
    <n v="0"/>
    <n v="2"/>
    <n v="-2"/>
    <n v="2"/>
    <n v="-16"/>
    <n v="16"/>
    <n v="1364.8286838426216"/>
    <n v="1560.7540908789333"/>
    <n v="0.14238910831595808"/>
    <n v="72"/>
    <n v="76"/>
    <n v="0"/>
    <n v="-4"/>
    <n v="0"/>
    <n v="0.26772152723983894"/>
    <n v="1"/>
    <n v="74.05"/>
    <n v="74.05"/>
    <n v="-2.8228326174864025"/>
    <n v="1362.0058512251351"/>
    <n v="0"/>
    <n v="1"/>
    <n v="0"/>
    <n v="0"/>
    <n v="0"/>
    <n v="0"/>
    <n v="0"/>
    <n v="0"/>
    <n v="0"/>
    <n v="0"/>
  </r>
  <r>
    <d v="2003-07-03T00:00:00"/>
    <n v="2003"/>
    <x v="14"/>
    <s v="R"/>
    <s v="RS"/>
    <x v="0"/>
    <s v="WAS"/>
    <s v="H"/>
    <n v="2"/>
    <n v="0"/>
    <n v="2"/>
    <n v="-2"/>
    <n v="16"/>
    <n v="-16"/>
    <n v="1560.7540908789333"/>
    <n v="1364.8286838426216"/>
    <n v="0.85761089168404181"/>
    <n v="76"/>
    <n v="72"/>
    <n v="0"/>
    <n v="4"/>
    <n v="1"/>
    <n v="0.26772152723983894"/>
    <n v="1"/>
    <n v="73.75"/>
    <n v="73.75"/>
    <n v="2.8113964286242044"/>
    <n v="1563.5654873075575"/>
    <n v="1"/>
    <n v="0"/>
    <n v="0"/>
    <n v="0"/>
    <n v="0"/>
    <n v="0"/>
    <n v="0"/>
    <n v="0"/>
    <n v="0"/>
    <n v="0"/>
  </r>
  <r>
    <d v="2003-07-04T00:00:00"/>
    <n v="2003"/>
    <x v="15"/>
    <s v="R"/>
    <s v="RS"/>
    <x v="2"/>
    <s v="CON"/>
    <s v="A"/>
    <n v="1"/>
    <n v="1"/>
    <n v="0"/>
    <n v="0"/>
    <n v="0"/>
    <n v="0"/>
    <n v="1507.7477706950749"/>
    <n v="1480.2727145991805"/>
    <n v="0.4193642541088502"/>
    <n v="67"/>
    <n v="69"/>
    <n v="0"/>
    <n v="-2"/>
    <n v="0"/>
    <n v="0.26184612336960944"/>
    <n v="1"/>
    <n v="73.599999999999994"/>
    <n v="73.599999999999994"/>
    <n v="-8.0819353504588012"/>
    <n v="1499.6658353446162"/>
    <n v="0"/>
    <n v="1"/>
    <n v="0"/>
    <n v="0"/>
    <n v="0"/>
    <n v="0"/>
    <n v="0"/>
    <n v="0"/>
    <n v="0"/>
    <n v="0"/>
  </r>
  <r>
    <d v="2003-07-04T00:00:00"/>
    <n v="2003"/>
    <x v="15"/>
    <s v="R"/>
    <s v="RS"/>
    <x v="7"/>
    <s v="SAC"/>
    <s v="H"/>
    <n v="1"/>
    <n v="1"/>
    <n v="0"/>
    <n v="0"/>
    <n v="0"/>
    <n v="0"/>
    <n v="1480.2727145991805"/>
    <n v="1507.7477706950749"/>
    <n v="0.58063574589114986"/>
    <n v="69"/>
    <n v="67"/>
    <n v="0"/>
    <n v="2"/>
    <n v="1"/>
    <n v="0.26184612336960944"/>
    <n v="1"/>
    <n v="73.599999999999994"/>
    <n v="73.599999999999994"/>
    <n v="8.0819353504587994"/>
    <n v="1488.3546499496392"/>
    <n v="1"/>
    <n v="0"/>
    <n v="0"/>
    <n v="0"/>
    <n v="0"/>
    <n v="0"/>
    <n v="0"/>
    <n v="0"/>
    <n v="0"/>
    <n v="0"/>
  </r>
  <r>
    <d v="2003-07-05T00:00:00"/>
    <n v="2003"/>
    <x v="16"/>
    <s v="R"/>
    <s v="RS"/>
    <x v="2"/>
    <s v="CHA"/>
    <s v="A"/>
    <n v="0"/>
    <n v="1"/>
    <n v="-1"/>
    <n v="1"/>
    <n v="-8"/>
    <n v="8"/>
    <n v="1499.6658353446162"/>
    <n v="1533.2291125858476"/>
    <n v="0.31672748798997685"/>
    <n v="65"/>
    <n v="67"/>
    <n v="0"/>
    <n v="-2"/>
    <n v="0"/>
    <n v="0.26055378828268255"/>
    <n v="1"/>
    <n v="73.45"/>
    <n v="73.45"/>
    <n v="-6.0614279660624515"/>
    <n v="1493.6044073785538"/>
    <n v="0"/>
    <n v="1"/>
    <n v="0"/>
    <n v="0"/>
    <n v="0"/>
    <n v="0"/>
    <n v="0"/>
    <n v="0"/>
    <n v="0"/>
    <n v="0"/>
  </r>
  <r>
    <d v="2003-07-05T00:00:00"/>
    <n v="2003"/>
    <x v="15"/>
    <s v="R"/>
    <s v="RS"/>
    <x v="5"/>
    <s v="SAC"/>
    <s v="H"/>
    <n v="1"/>
    <n v="0"/>
    <n v="1"/>
    <n v="-1"/>
    <n v="8"/>
    <n v="-8"/>
    <n v="1533.2291125858476"/>
    <n v="1499.6658353446162"/>
    <n v="0.68327251201002315"/>
    <n v="67"/>
    <n v="65"/>
    <n v="0"/>
    <n v="2"/>
    <n v="1"/>
    <n v="0.26055378828268255"/>
    <n v="1"/>
    <n v="73.599999999999994"/>
    <n v="73.599999999999994"/>
    <n v="6.0738066480898079"/>
    <n v="1539.3029192339375"/>
    <n v="1"/>
    <n v="0"/>
    <n v="0"/>
    <n v="0"/>
    <n v="0"/>
    <n v="0"/>
    <n v="0"/>
    <n v="0"/>
    <n v="0"/>
    <n v="0"/>
  </r>
  <r>
    <d v="2003-07-05T00:00:00"/>
    <n v="2003"/>
    <x v="13"/>
    <s v="R"/>
    <s v="RS"/>
    <x v="4"/>
    <s v="HOU"/>
    <s v="A"/>
    <n v="1"/>
    <n v="3"/>
    <n v="-2"/>
    <n v="2"/>
    <n v="-16"/>
    <n v="16"/>
    <n v="1362.0058512251351"/>
    <n v="1537.6775847256351"/>
    <n v="0.15722826681558319"/>
    <n v="54"/>
    <n v="76"/>
    <n v="0"/>
    <n v="-22"/>
    <n v="0"/>
    <n v="0.52517427522177484"/>
    <n v="1"/>
    <n v="73.900000000000006"/>
    <n v="73.900000000000006"/>
    <n v="-6.1020886150175562"/>
    <n v="1355.9037626101176"/>
    <n v="0"/>
    <n v="1"/>
    <n v="0"/>
    <n v="0"/>
    <n v="0"/>
    <n v="0"/>
    <n v="0"/>
    <n v="0"/>
    <n v="0"/>
    <n v="0"/>
  </r>
  <r>
    <d v="2003-07-05T00:00:00"/>
    <n v="2003"/>
    <x v="15"/>
    <s v="R"/>
    <s v="RS"/>
    <x v="1"/>
    <s v="WAS"/>
    <s v="H"/>
    <n v="3"/>
    <n v="1"/>
    <n v="2"/>
    <n v="-2"/>
    <n v="16"/>
    <n v="-16"/>
    <n v="1537.6775847256351"/>
    <n v="1362.0058512251351"/>
    <n v="0.84277173318441689"/>
    <n v="76"/>
    <n v="54"/>
    <n v="0"/>
    <n v="22"/>
    <n v="1"/>
    <n v="0.52517427522177484"/>
    <n v="1"/>
    <n v="73.599999999999994"/>
    <n v="73.599999999999994"/>
    <n v="6.0773169426967764"/>
    <n v="1543.754901668332"/>
    <n v="1"/>
    <n v="0"/>
    <n v="0"/>
    <n v="0"/>
    <n v="0"/>
    <n v="0"/>
    <n v="0"/>
    <n v="0"/>
    <n v="0"/>
    <n v="0"/>
  </r>
  <r>
    <d v="2003-07-05T00:00:00"/>
    <n v="2003"/>
    <x v="15"/>
    <s v="R"/>
    <s v="RS"/>
    <x v="0"/>
    <s v="LAS"/>
    <s v="A"/>
    <n v="1"/>
    <n v="6"/>
    <n v="-5"/>
    <n v="5"/>
    <n v="-16"/>
    <n v="16"/>
    <n v="1563.5654873075575"/>
    <n v="1671.1485620609371"/>
    <n v="0.21635294802209409"/>
    <n v="75"/>
    <n v="84"/>
    <n v="0"/>
    <n v="-9"/>
    <n v="0"/>
    <n v="0.372569698998723"/>
    <n v="1"/>
    <n v="73.599999999999994"/>
    <n v="73.599999999999994"/>
    <n v="-5.932642280344937"/>
    <n v="1557.6328450272126"/>
    <n v="0"/>
    <n v="1"/>
    <n v="0"/>
    <n v="0"/>
    <n v="0"/>
    <n v="0"/>
    <n v="0"/>
    <n v="0"/>
    <n v="0"/>
    <n v="0"/>
  </r>
  <r>
    <d v="2003-07-05T00:00:00"/>
    <n v="2003"/>
    <x v="15"/>
    <s v="R"/>
    <s v="RS"/>
    <x v="6"/>
    <s v="SEA"/>
    <s v="H"/>
    <n v="6"/>
    <n v="1"/>
    <n v="5"/>
    <n v="-5"/>
    <n v="16"/>
    <n v="-16"/>
    <n v="1671.1485620609371"/>
    <n v="1563.5654873075575"/>
    <n v="0.78364705197790596"/>
    <n v="84"/>
    <n v="75"/>
    <n v="0"/>
    <n v="9"/>
    <n v="1"/>
    <n v="0.372569698998723"/>
    <n v="1"/>
    <n v="73.599999999999994"/>
    <n v="73.599999999999994"/>
    <n v="5.9326422803449352"/>
    <n v="1677.081204341282"/>
    <n v="1"/>
    <n v="0"/>
    <n v="0"/>
    <n v="0"/>
    <n v="0"/>
    <n v="0"/>
    <n v="0"/>
    <n v="0"/>
    <n v="0"/>
    <n v="0"/>
  </r>
  <r>
    <d v="2003-07-05T00:00:00"/>
    <n v="2003"/>
    <x v="13"/>
    <s v="R"/>
    <s v="RS"/>
    <x v="10"/>
    <s v="MIN"/>
    <s v="A"/>
    <n v="2"/>
    <n v="3"/>
    <n v="-1"/>
    <n v="1"/>
    <n v="-8"/>
    <n v="8"/>
    <n v="1468.8052765742013"/>
    <n v="1474.5523098341612"/>
    <n v="0.35234921754350362"/>
    <n v="79"/>
    <n v="71"/>
    <n v="0"/>
    <n v="8"/>
    <n v="1"/>
    <n v="0.38646468052568811"/>
    <n v="1"/>
    <n v="73.900000000000006"/>
    <n v="73.900000000000006"/>
    <n v="18.496737887061947"/>
    <n v="1487.3020144612633"/>
    <n v="1"/>
    <n v="0"/>
    <n v="0"/>
    <n v="0"/>
    <n v="0"/>
    <n v="0"/>
    <n v="0"/>
    <n v="0"/>
    <n v="0"/>
    <n v="0"/>
  </r>
  <r>
    <d v="2003-07-05T00:00:00"/>
    <n v="2003"/>
    <x v="14"/>
    <s v="R"/>
    <s v="RS"/>
    <x v="8"/>
    <s v="CLE"/>
    <s v="H"/>
    <n v="3"/>
    <n v="2"/>
    <n v="1"/>
    <n v="-1"/>
    <n v="8"/>
    <n v="-8"/>
    <n v="1474.5523098341612"/>
    <n v="1468.8052765742013"/>
    <n v="0.64765078245649643"/>
    <n v="71"/>
    <n v="79"/>
    <n v="0"/>
    <n v="-8"/>
    <n v="0"/>
    <n v="0.38646468052568811"/>
    <n v="1"/>
    <n v="73.75"/>
    <n v="73.75"/>
    <n v="-18.459193764151809"/>
    <n v="1456.0931160700093"/>
    <n v="0"/>
    <n v="1"/>
    <n v="0"/>
    <n v="0"/>
    <n v="0"/>
    <n v="0"/>
    <n v="0"/>
    <n v="0"/>
    <n v="0"/>
    <n v="0"/>
  </r>
  <r>
    <d v="2003-07-05T00:00:00"/>
    <n v="2003"/>
    <x v="15"/>
    <s v="R"/>
    <s v="RS"/>
    <x v="3"/>
    <s v="SAS"/>
    <s v="A"/>
    <n v="2"/>
    <n v="3"/>
    <n v="-1"/>
    <n v="1"/>
    <n v="-8"/>
    <n v="8"/>
    <n v="1378.173730939935"/>
    <n v="1441.7921741463631"/>
    <n v="0.28052408392277156"/>
    <n v="70"/>
    <n v="81"/>
    <n v="0"/>
    <n v="-11"/>
    <n v="0"/>
    <n v="0.41769188092084086"/>
    <n v="1"/>
    <n v="73.599999999999994"/>
    <n v="73.599999999999994"/>
    <n v="-8.6239057341371517"/>
    <n v="1369.5498252057978"/>
    <n v="0"/>
    <n v="1"/>
    <n v="0"/>
    <n v="0"/>
    <n v="0"/>
    <n v="0"/>
    <n v="0"/>
    <n v="0"/>
    <n v="0"/>
    <n v="0"/>
  </r>
  <r>
    <d v="2003-07-05T00:00:00"/>
    <n v="2003"/>
    <x v="15"/>
    <s v="R"/>
    <s v="RS"/>
    <x v="9"/>
    <s v="PHX"/>
    <s v="H"/>
    <n v="3"/>
    <n v="2"/>
    <n v="1"/>
    <n v="-1"/>
    <n v="8"/>
    <n v="-8"/>
    <n v="1441.7921741463631"/>
    <n v="1378.173730939935"/>
    <n v="0.71947591607722849"/>
    <n v="81"/>
    <n v="70"/>
    <n v="0"/>
    <n v="11"/>
    <n v="1"/>
    <n v="0.41769188092084086"/>
    <n v="1"/>
    <n v="73.599999999999994"/>
    <n v="73.599999999999994"/>
    <n v="8.6239057341371499"/>
    <n v="1450.4160798805003"/>
    <n v="1"/>
    <n v="0"/>
    <n v="0"/>
    <n v="0"/>
    <n v="0"/>
    <n v="0"/>
    <n v="0"/>
    <n v="0"/>
    <n v="0"/>
    <n v="0"/>
  </r>
  <r>
    <d v="2003-07-06T00:00:00"/>
    <n v="2003"/>
    <x v="12"/>
    <s v="R"/>
    <s v="RS"/>
    <x v="12"/>
    <s v="CON"/>
    <s v="A"/>
    <n v="4"/>
    <n v="1"/>
    <n v="3"/>
    <n v="-3"/>
    <n v="16"/>
    <n v="-16"/>
    <n v="1530.7853174850768"/>
    <n v="1488.3546499496392"/>
    <n v="0.48623210485378765"/>
    <n v="58"/>
    <n v="62"/>
    <n v="0"/>
    <n v="-4"/>
    <n v="0"/>
    <n v="0.30079689084461181"/>
    <n v="1"/>
    <n v="74.05"/>
    <n v="74.05"/>
    <n v="-10.830338652563386"/>
    <n v="1519.9549788325135"/>
    <n v="0"/>
    <n v="1"/>
    <n v="0"/>
    <n v="0"/>
    <n v="0"/>
    <n v="0"/>
    <n v="0"/>
    <n v="0"/>
    <n v="0"/>
    <n v="0"/>
  </r>
  <r>
    <d v="2003-07-06T00:00:00"/>
    <n v="2003"/>
    <x v="16"/>
    <s v="R"/>
    <s v="RS"/>
    <x v="7"/>
    <s v="NYL"/>
    <s v="H"/>
    <n v="1"/>
    <n v="4"/>
    <n v="-3"/>
    <n v="3"/>
    <n v="-16"/>
    <n v="16"/>
    <n v="1488.3546499496392"/>
    <n v="1530.7853174850768"/>
    <n v="0.51376789514621246"/>
    <n v="62"/>
    <n v="58"/>
    <n v="0"/>
    <n v="4"/>
    <n v="1"/>
    <n v="0.30079689084461181"/>
    <n v="1"/>
    <n v="73.45"/>
    <n v="73.45"/>
    <n v="10.742584389342076"/>
    <n v="1499.0972343389813"/>
    <n v="1"/>
    <n v="0"/>
    <n v="0"/>
    <n v="0"/>
    <n v="0"/>
    <n v="0"/>
    <n v="0"/>
    <n v="0"/>
    <n v="0"/>
    <n v="0"/>
  </r>
  <r>
    <d v="2003-07-06T00:00:00"/>
    <n v="2003"/>
    <x v="12"/>
    <s v="R"/>
    <s v="RS"/>
    <x v="13"/>
    <s v="IND"/>
    <s v="A"/>
    <n v="2"/>
    <n v="3"/>
    <n v="-1"/>
    <n v="1"/>
    <n v="-8"/>
    <n v="8"/>
    <n v="1540.7396788726837"/>
    <n v="1523.8824411060293"/>
    <n v="0.38258082945046096"/>
    <n v="54"/>
    <n v="85"/>
    <n v="0"/>
    <n v="-31"/>
    <n v="0"/>
    <n v="0.70557286591723867"/>
    <n v="1"/>
    <n v="74.05"/>
    <n v="74.05"/>
    <n v="-19.988957201360364"/>
    <n v="1520.7507216713234"/>
    <n v="0"/>
    <n v="1"/>
    <n v="0"/>
    <n v="0"/>
    <n v="0"/>
    <n v="0"/>
    <n v="0"/>
    <n v="0"/>
    <n v="0"/>
    <n v="0"/>
  </r>
  <r>
    <d v="2003-07-06T00:00:00"/>
    <n v="2003"/>
    <x v="14"/>
    <s v="R"/>
    <s v="RS"/>
    <x v="11"/>
    <s v="DET"/>
    <s v="H"/>
    <n v="3"/>
    <n v="2"/>
    <n v="1"/>
    <n v="-1"/>
    <n v="8"/>
    <n v="-8"/>
    <n v="1523.8824411060293"/>
    <n v="1540.7396788726837"/>
    <n v="0.6174191705495391"/>
    <n v="85"/>
    <n v="54"/>
    <n v="0"/>
    <n v="31"/>
    <n v="1"/>
    <n v="0.70557286591723867"/>
    <n v="1"/>
    <n v="73.75"/>
    <n v="73.75"/>
    <n v="19.907975605676256"/>
    <n v="1543.7904167117056"/>
    <n v="1"/>
    <n v="0"/>
    <n v="0"/>
    <n v="0"/>
    <n v="0"/>
    <n v="0"/>
    <n v="0"/>
    <n v="0"/>
    <n v="0"/>
    <n v="0"/>
  </r>
  <r>
    <d v="2003-07-07T00:00:00"/>
    <n v="2003"/>
    <x v="14"/>
    <s v="R"/>
    <s v="RS"/>
    <x v="10"/>
    <s v="LAS"/>
    <s v="A"/>
    <n v="1"/>
    <n v="1"/>
    <n v="0"/>
    <n v="0"/>
    <n v="0"/>
    <n v="0"/>
    <n v="1487.3020144612633"/>
    <n v="1677.081204341282"/>
    <n v="0.17136276787015811"/>
    <n v="75"/>
    <n v="81"/>
    <n v="0"/>
    <n v="-6"/>
    <n v="0"/>
    <n v="0.30331214942539308"/>
    <n v="1"/>
    <n v="73.75"/>
    <n v="73.75"/>
    <n v="-3.8332601972459477"/>
    <n v="1483.4687542640174"/>
    <n v="0"/>
    <n v="1"/>
    <n v="0"/>
    <n v="0"/>
    <n v="0"/>
    <n v="0"/>
    <n v="0"/>
    <n v="0"/>
    <n v="0"/>
    <n v="0"/>
  </r>
  <r>
    <d v="2003-07-07T00:00:00"/>
    <n v="2003"/>
    <x v="16"/>
    <s v="R"/>
    <s v="RS"/>
    <x v="6"/>
    <s v="CLE"/>
    <s v="H"/>
    <n v="1"/>
    <n v="1"/>
    <n v="0"/>
    <n v="0"/>
    <n v="0"/>
    <n v="0"/>
    <n v="1677.081204341282"/>
    <n v="1487.3020144612633"/>
    <n v="0.82863723212984186"/>
    <n v="81"/>
    <n v="75"/>
    <n v="0"/>
    <n v="6"/>
    <n v="1"/>
    <n v="0.30331214942539308"/>
    <n v="1"/>
    <n v="73.45"/>
    <n v="73.45"/>
    <n v="3.8176672744096938"/>
    <n v="1680.8988716156916"/>
    <n v="1"/>
    <n v="0"/>
    <n v="0"/>
    <n v="0"/>
    <n v="0"/>
    <n v="0"/>
    <n v="0"/>
    <n v="0"/>
    <n v="0"/>
    <n v="0"/>
  </r>
  <r>
    <d v="2003-07-07T00:00:00"/>
    <n v="2003"/>
    <x v="16"/>
    <s v="R"/>
    <s v="RS"/>
    <x v="5"/>
    <s v="WAS"/>
    <s v="A"/>
    <n v="1"/>
    <n v="1"/>
    <n v="0"/>
    <n v="0"/>
    <n v="0"/>
    <n v="0"/>
    <n v="1539.3029192339375"/>
    <n v="1355.9037626101176"/>
    <n v="0.63926778538385642"/>
    <n v="62"/>
    <n v="56"/>
    <n v="0"/>
    <n v="6"/>
    <n v="1"/>
    <n v="0.30471098040709316"/>
    <n v="1"/>
    <n v="73.45"/>
    <n v="73.45"/>
    <n v="8.0735554549988624"/>
    <n v="1547.3764746889362"/>
    <n v="1"/>
    <n v="0"/>
    <n v="0"/>
    <n v="0"/>
    <n v="0"/>
    <n v="0"/>
    <n v="0"/>
    <n v="0"/>
    <n v="0"/>
    <n v="0"/>
  </r>
  <r>
    <d v="2003-07-07T00:00:00"/>
    <n v="2003"/>
    <x v="14"/>
    <s v="R"/>
    <s v="RS"/>
    <x v="4"/>
    <s v="CHA"/>
    <s v="H"/>
    <n v="1"/>
    <n v="1"/>
    <n v="0"/>
    <n v="0"/>
    <n v="0"/>
    <n v="0"/>
    <n v="1355.9037626101176"/>
    <n v="1539.3029192339375"/>
    <n v="0.36073221461614352"/>
    <n v="56"/>
    <n v="62"/>
    <n v="0"/>
    <n v="-6"/>
    <n v="0"/>
    <n v="0.30471098040709316"/>
    <n v="1"/>
    <n v="73.75"/>
    <n v="73.75"/>
    <n v="-8.1065311750328934"/>
    <n v="1347.7972314350848"/>
    <n v="0"/>
    <n v="1"/>
    <n v="0"/>
    <n v="0"/>
    <n v="0"/>
    <n v="0"/>
    <n v="0"/>
    <n v="0"/>
    <n v="0"/>
    <n v="0"/>
  </r>
  <r>
    <d v="2003-07-08T00:00:00"/>
    <n v="2003"/>
    <x v="17"/>
    <s v="R"/>
    <s v="RS"/>
    <x v="7"/>
    <s v="DET"/>
    <s v="A"/>
    <n v="1"/>
    <n v="1"/>
    <n v="0"/>
    <n v="0"/>
    <n v="0"/>
    <n v="0"/>
    <n v="1499.0972343389813"/>
    <n v="1520.7507216713234"/>
    <n v="0.35247211115593752"/>
    <n v="50"/>
    <n v="66"/>
    <n v="0"/>
    <n v="-16"/>
    <n v="0"/>
    <n v="0.50860841079647512"/>
    <n v="1"/>
    <n v="73.3"/>
    <n v="73.3"/>
    <n v="-13.140511546363822"/>
    <n v="1485.9567227926175"/>
    <n v="0"/>
    <n v="1"/>
    <n v="0"/>
    <n v="0"/>
    <n v="0"/>
    <n v="0"/>
    <n v="0"/>
    <n v="0"/>
    <n v="0"/>
    <n v="0"/>
  </r>
  <r>
    <d v="2003-07-08T00:00:00"/>
    <n v="2003"/>
    <x v="13"/>
    <s v="R"/>
    <s v="RS"/>
    <x v="13"/>
    <s v="CON"/>
    <s v="H"/>
    <n v="1"/>
    <n v="1"/>
    <n v="0"/>
    <n v="0"/>
    <n v="0"/>
    <n v="0"/>
    <n v="1520.7507216713234"/>
    <n v="1499.0972343389813"/>
    <n v="0.64752788884406243"/>
    <n v="66"/>
    <n v="50"/>
    <n v="0"/>
    <n v="16"/>
    <n v="1"/>
    <n v="0.50860841079647512"/>
    <n v="1"/>
    <n v="73.900000000000006"/>
    <n v="73.900000000000006"/>
    <n v="13.248073714546885"/>
    <n v="1533.9987953858704"/>
    <n v="1"/>
    <n v="0"/>
    <n v="0"/>
    <n v="0"/>
    <n v="0"/>
    <n v="0"/>
    <n v="0"/>
    <n v="0"/>
    <n v="0"/>
    <n v="0"/>
  </r>
  <r>
    <d v="2003-07-08T00:00:00"/>
    <n v="2003"/>
    <x v="15"/>
    <s v="R"/>
    <s v="RS"/>
    <x v="11"/>
    <s v="HOU"/>
    <s v="A"/>
    <n v="1"/>
    <n v="2"/>
    <n v="-1"/>
    <n v="1"/>
    <n v="-8"/>
    <n v="8"/>
    <n v="1543.7904167117056"/>
    <n v="1543.754901668332"/>
    <n v="0.35998210103584843"/>
    <n v="56"/>
    <n v="60"/>
    <n v="0"/>
    <n v="-4"/>
    <n v="0"/>
    <n v="0.31142351805408663"/>
    <n v="1"/>
    <n v="73.599999999999994"/>
    <n v="73.599999999999994"/>
    <n v="-8.2510672763038997"/>
    <n v="1535.5393494354016"/>
    <n v="0"/>
    <n v="1"/>
    <n v="0"/>
    <n v="0"/>
    <n v="0"/>
    <n v="0"/>
    <n v="0"/>
    <n v="0"/>
    <n v="0"/>
    <n v="0"/>
  </r>
  <r>
    <d v="2003-07-08T00:00:00"/>
    <n v="2003"/>
    <x v="16"/>
    <s v="R"/>
    <s v="RS"/>
    <x v="1"/>
    <s v="IND"/>
    <s v="H"/>
    <n v="2"/>
    <n v="1"/>
    <n v="1"/>
    <n v="-1"/>
    <n v="8"/>
    <n v="-8"/>
    <n v="1543.754901668332"/>
    <n v="1543.7904167117056"/>
    <n v="0.64001789896415151"/>
    <n v="60"/>
    <n v="56"/>
    <n v="0"/>
    <n v="4"/>
    <n v="1"/>
    <n v="0.31142351805408663"/>
    <n v="1"/>
    <n v="73.45"/>
    <n v="73.45"/>
    <n v="8.2342512424527374"/>
    <n v="1551.9891529107847"/>
    <n v="1"/>
    <n v="0"/>
    <n v="0"/>
    <n v="0"/>
    <n v="0"/>
    <n v="0"/>
    <n v="0"/>
    <n v="0"/>
    <n v="0"/>
    <n v="0"/>
  </r>
  <r>
    <d v="2003-07-08T00:00:00"/>
    <n v="2003"/>
    <x v="17"/>
    <s v="R"/>
    <s v="RS"/>
    <x v="2"/>
    <s v="MIN"/>
    <s v="A"/>
    <n v="2"/>
    <n v="2"/>
    <n v="0"/>
    <n v="0"/>
    <n v="0"/>
    <n v="0"/>
    <n v="1493.6044073785538"/>
    <n v="1456.0931160700093"/>
    <n v="0.43349380290100198"/>
    <n v="59"/>
    <n v="77"/>
    <n v="0"/>
    <n v="-18"/>
    <n v="0"/>
    <n v="0.53025836867938292"/>
    <n v="1"/>
    <n v="73.3"/>
    <n v="73.3"/>
    <n v="-16.849010438427904"/>
    <n v="1476.7553969401258"/>
    <n v="0"/>
    <n v="1"/>
    <n v="0"/>
    <n v="0"/>
    <n v="0"/>
    <n v="0"/>
    <n v="0"/>
    <n v="0"/>
    <n v="0"/>
    <n v="0"/>
  </r>
  <r>
    <d v="2003-07-08T00:00:00"/>
    <n v="2003"/>
    <x v="15"/>
    <s v="R"/>
    <s v="RS"/>
    <x v="8"/>
    <s v="SAC"/>
    <s v="H"/>
    <n v="2"/>
    <n v="2"/>
    <n v="0"/>
    <n v="0"/>
    <n v="0"/>
    <n v="0"/>
    <n v="1456.0931160700093"/>
    <n v="1493.6044073785538"/>
    <n v="0.56650619709899797"/>
    <n v="77"/>
    <n v="59"/>
    <n v="0"/>
    <n v="18"/>
    <n v="1"/>
    <n v="0.53025836867938292"/>
    <n v="1"/>
    <n v="73.599999999999994"/>
    <n v="73.599999999999994"/>
    <n v="16.917969553455574"/>
    <n v="1473.0110856234649"/>
    <n v="1"/>
    <n v="0"/>
    <n v="0"/>
    <n v="0"/>
    <n v="0"/>
    <n v="0"/>
    <n v="0"/>
    <n v="0"/>
    <n v="0"/>
    <n v="0"/>
  </r>
  <r>
    <d v="2003-07-09T00:00:00"/>
    <n v="2003"/>
    <x v="17"/>
    <s v="R"/>
    <s v="RS"/>
    <x v="6"/>
    <s v="WAS"/>
    <s v="A"/>
    <n v="1"/>
    <n v="1"/>
    <n v="0"/>
    <n v="0"/>
    <n v="0"/>
    <n v="0"/>
    <n v="1680.8988716156916"/>
    <n v="1347.7972314350848"/>
    <n v="0.80751514084520482"/>
    <n v="97"/>
    <n v="91"/>
    <n v="0"/>
    <n v="6"/>
    <n v="1"/>
    <n v="0.27495692539963029"/>
    <n v="1"/>
    <n v="73.3"/>
    <n v="73.3"/>
    <n v="3.8794058028381406"/>
    <n v="1684.7782774185298"/>
    <n v="1"/>
    <n v="0"/>
    <n v="0"/>
    <n v="0"/>
    <n v="0"/>
    <n v="0"/>
    <n v="0"/>
    <n v="0"/>
    <n v="0"/>
    <n v="0"/>
  </r>
  <r>
    <d v="2003-07-09T00:00:00"/>
    <n v="2003"/>
    <x v="15"/>
    <s v="R"/>
    <s v="RS"/>
    <x v="4"/>
    <s v="LAS"/>
    <s v="H"/>
    <n v="1"/>
    <n v="1"/>
    <n v="0"/>
    <n v="0"/>
    <n v="0"/>
    <n v="0"/>
    <n v="1347.7972314350848"/>
    <n v="1680.8988716156916"/>
    <n v="0.19248485915479507"/>
    <n v="91"/>
    <n v="97"/>
    <n v="0"/>
    <n v="-6"/>
    <n v="0"/>
    <n v="0.27495692539963029"/>
    <n v="1"/>
    <n v="73.599999999999994"/>
    <n v="73.599999999999994"/>
    <n v="-3.8952833163558931"/>
    <n v="1343.9019481187288"/>
    <n v="0"/>
    <n v="1"/>
    <n v="0"/>
    <n v="0"/>
    <n v="0"/>
    <n v="0"/>
    <n v="0"/>
    <n v="0"/>
    <n v="0"/>
    <n v="0"/>
  </r>
  <r>
    <d v="2003-07-10T00:00:00"/>
    <n v="2003"/>
    <x v="14"/>
    <s v="R"/>
    <s v="RS"/>
    <x v="13"/>
    <s v="CHA"/>
    <s v="A"/>
    <n v="1"/>
    <n v="2"/>
    <n v="-1"/>
    <n v="1"/>
    <n v="-8"/>
    <n v="8"/>
    <n v="1533.9987953858704"/>
    <n v="1547.3764746889362"/>
    <n v="0.34239162713688581"/>
    <n v="58"/>
    <n v="65"/>
    <n v="0"/>
    <n v="-7"/>
    <n v="0"/>
    <n v="0.36602668283768042"/>
    <n v="1"/>
    <n v="73.75"/>
    <n v="73.75"/>
    <n v="-9.2426797740328794"/>
    <n v="1524.7561156118375"/>
    <n v="0"/>
    <n v="1"/>
    <n v="0"/>
    <n v="0"/>
    <n v="0"/>
    <n v="0"/>
    <n v="0"/>
    <n v="0"/>
    <n v="0"/>
    <n v="0"/>
  </r>
  <r>
    <d v="2003-07-10T00:00:00"/>
    <n v="2003"/>
    <x v="17"/>
    <s v="R"/>
    <s v="RS"/>
    <x v="5"/>
    <s v="DET"/>
    <s v="H"/>
    <n v="2"/>
    <n v="1"/>
    <n v="1"/>
    <n v="-1"/>
    <n v="8"/>
    <n v="-8"/>
    <n v="1547.3764746889362"/>
    <n v="1533.9987953858704"/>
    <n v="0.65760837286311413"/>
    <n v="65"/>
    <n v="58"/>
    <n v="0"/>
    <n v="7"/>
    <n v="1"/>
    <n v="0.36602668283768042"/>
    <n v="1"/>
    <n v="73.3"/>
    <n v="73.3"/>
    <n v="9.1862837618523407"/>
    <n v="1556.5627584507886"/>
    <n v="1"/>
    <n v="0"/>
    <n v="0"/>
    <n v="0"/>
    <n v="0"/>
    <n v="0"/>
    <n v="0"/>
    <n v="0"/>
    <n v="0"/>
    <n v="0"/>
  </r>
  <r>
    <d v="2003-07-10T00:00:00"/>
    <n v="2003"/>
    <x v="13"/>
    <s v="R"/>
    <s v="RS"/>
    <x v="12"/>
    <s v="IND"/>
    <s v="A"/>
    <n v="3"/>
    <n v="1"/>
    <n v="2"/>
    <n v="-2"/>
    <n v="16"/>
    <n v="-16"/>
    <n v="1519.9549788325135"/>
    <n v="1535.5393494354016"/>
    <n v="0.40394675859434798"/>
    <n v="69"/>
    <n v="76"/>
    <n v="0"/>
    <n v="-7"/>
    <n v="0"/>
    <n v="0.36536222225719422"/>
    <n v="1"/>
    <n v="73.900000000000006"/>
    <n v="73.900000000000006"/>
    <n v="-10.906670830588618"/>
    <n v="1509.0483080019249"/>
    <n v="0"/>
    <n v="1"/>
    <n v="0"/>
    <n v="0"/>
    <n v="0"/>
    <n v="0"/>
    <n v="0"/>
    <n v="0"/>
    <n v="0"/>
    <n v="0"/>
  </r>
  <r>
    <d v="2003-07-10T00:00:00"/>
    <n v="2003"/>
    <x v="16"/>
    <s v="R"/>
    <s v="RS"/>
    <x v="11"/>
    <s v="NYL"/>
    <s v="H"/>
    <n v="1"/>
    <n v="3"/>
    <n v="-2"/>
    <n v="2"/>
    <n v="-16"/>
    <n v="16"/>
    <n v="1535.5393494354016"/>
    <n v="1519.9549788325135"/>
    <n v="0.59605324140565197"/>
    <n v="76"/>
    <n v="69"/>
    <n v="0"/>
    <n v="7"/>
    <n v="1"/>
    <n v="0.36536222225719422"/>
    <n v="1"/>
    <n v="73.45"/>
    <n v="73.45"/>
    <n v="10.840256732161489"/>
    <n v="1546.379606167563"/>
    <n v="1"/>
    <n v="0"/>
    <n v="0"/>
    <n v="0"/>
    <n v="0"/>
    <n v="0"/>
    <n v="0"/>
    <n v="0"/>
    <n v="0"/>
    <n v="0"/>
  </r>
  <r>
    <d v="2003-07-10T00:00:00"/>
    <n v="2003"/>
    <x v="18"/>
    <s v="R"/>
    <s v="RS"/>
    <x v="7"/>
    <s v="MIN"/>
    <s v="A"/>
    <n v="1"/>
    <n v="1"/>
    <n v="0"/>
    <n v="0"/>
    <n v="0"/>
    <n v="0"/>
    <n v="1485.9567227926175"/>
    <n v="1473.0110856234649"/>
    <n v="0.39914670034925903"/>
    <n v="75"/>
    <n v="83"/>
    <n v="0"/>
    <n v="-8"/>
    <n v="0"/>
    <n v="0.38417108543391632"/>
    <n v="1"/>
    <n v="73.150000000000006"/>
    <n v="73.150000000000006"/>
    <n v="-11.216866434967574"/>
    <n v="1474.7398563576498"/>
    <n v="0"/>
    <n v="1"/>
    <n v="0"/>
    <n v="0"/>
    <n v="0"/>
    <n v="0"/>
    <n v="0"/>
    <n v="0"/>
    <n v="0"/>
    <n v="0"/>
  </r>
  <r>
    <d v="2003-07-10T00:00:00"/>
    <n v="2003"/>
    <x v="16"/>
    <s v="R"/>
    <s v="RS"/>
    <x v="8"/>
    <s v="CON"/>
    <s v="H"/>
    <n v="1"/>
    <n v="1"/>
    <n v="0"/>
    <n v="0"/>
    <n v="0"/>
    <n v="0"/>
    <n v="1473.0110856234649"/>
    <n v="1485.9567227926175"/>
    <n v="0.60085329965074097"/>
    <n v="83"/>
    <n v="75"/>
    <n v="0"/>
    <n v="8"/>
    <n v="1"/>
    <n v="0.38417108543391632"/>
    <n v="1"/>
    <n v="73.45"/>
    <n v="73.45"/>
    <n v="11.262868621303737"/>
    <n v="1484.2739542447687"/>
    <n v="1"/>
    <n v="0"/>
    <n v="0"/>
    <n v="0"/>
    <n v="0"/>
    <n v="0"/>
    <n v="0"/>
    <n v="0"/>
    <n v="0"/>
    <n v="0"/>
  </r>
  <r>
    <d v="2003-07-10T00:00:00"/>
    <n v="2003"/>
    <x v="15"/>
    <s v="R"/>
    <s v="RS"/>
    <x v="10"/>
    <s v="PHX"/>
    <s v="A"/>
    <n v="2"/>
    <n v="4"/>
    <n v="-2"/>
    <n v="2"/>
    <n v="-16"/>
    <n v="16"/>
    <n v="1483.4687542640174"/>
    <n v="1369.5498252057978"/>
    <n v="0.49700513398625962"/>
    <n v="68"/>
    <n v="67"/>
    <n v="0"/>
    <n v="1"/>
    <n v="1"/>
    <n v="0.22300889246521283"/>
    <n v="1"/>
    <n v="73.599999999999994"/>
    <n v="73.599999999999994"/>
    <n v="8.2558833397263491"/>
    <n v="1491.7246376037438"/>
    <n v="1"/>
    <n v="0"/>
    <n v="0"/>
    <n v="0"/>
    <n v="0"/>
    <n v="0"/>
    <n v="0"/>
    <n v="0"/>
    <n v="0"/>
    <n v="0"/>
  </r>
  <r>
    <d v="2003-07-10T00:00:00"/>
    <n v="2003"/>
    <x v="16"/>
    <s v="R"/>
    <s v="RS"/>
    <x v="3"/>
    <s v="CLE"/>
    <s v="H"/>
    <n v="4"/>
    <n v="2"/>
    <n v="2"/>
    <n v="-2"/>
    <n v="16"/>
    <n v="-16"/>
    <n v="1369.5498252057978"/>
    <n v="1483.4687542640174"/>
    <n v="0.50299486601374044"/>
    <n v="67"/>
    <n v="68"/>
    <n v="0"/>
    <n v="-1"/>
    <n v="0"/>
    <n v="0.22300889246521283"/>
    <n v="1"/>
    <n v="73.45"/>
    <n v="73.45"/>
    <n v="-8.2390574905285394"/>
    <n v="1361.3107677152693"/>
    <n v="0"/>
    <n v="1"/>
    <n v="0"/>
    <n v="0"/>
    <n v="0"/>
    <n v="0"/>
    <n v="0"/>
    <n v="0"/>
    <n v="0"/>
    <n v="0"/>
  </r>
  <r>
    <d v="2003-07-10T00:00:00"/>
    <n v="2003"/>
    <x v="16"/>
    <s v="R"/>
    <s v="RS"/>
    <x v="9"/>
    <s v="SAC"/>
    <s v="A"/>
    <n v="4"/>
    <n v="1"/>
    <n v="3"/>
    <n v="-3"/>
    <n v="16"/>
    <n v="-16"/>
    <n v="1450.4160798805003"/>
    <n v="1476.7553969401258"/>
    <n v="0.38913316946164961"/>
    <n v="76"/>
    <n v="89"/>
    <n v="0"/>
    <n v="-13"/>
    <n v="0"/>
    <n v="0.46190519939874014"/>
    <n v="1"/>
    <n v="73.45"/>
    <n v="73.45"/>
    <n v="-13.202096484402613"/>
    <n v="1437.2139833960978"/>
    <n v="0"/>
    <n v="1"/>
    <n v="0"/>
    <n v="0"/>
    <n v="0"/>
    <n v="0"/>
    <n v="0"/>
    <n v="0"/>
    <n v="0"/>
    <n v="0"/>
  </r>
  <r>
    <d v="2003-07-10T00:00:00"/>
    <n v="2003"/>
    <x v="18"/>
    <s v="R"/>
    <s v="RS"/>
    <x v="2"/>
    <s v="SAS"/>
    <s v="H"/>
    <n v="1"/>
    <n v="4"/>
    <n v="-3"/>
    <n v="3"/>
    <n v="-16"/>
    <n v="16"/>
    <n v="1476.7553969401258"/>
    <n v="1450.4160798805003"/>
    <n v="0.61086683053835045"/>
    <n v="89"/>
    <n v="76"/>
    <n v="0"/>
    <n v="13"/>
    <n v="1"/>
    <n v="0.46190519939874014"/>
    <n v="1"/>
    <n v="73.150000000000006"/>
    <n v="73.150000000000006"/>
    <n v="13.148173694132758"/>
    <n v="1489.9035706342586"/>
    <n v="1"/>
    <n v="0"/>
    <n v="0"/>
    <n v="0"/>
    <n v="0"/>
    <n v="0"/>
    <n v="0"/>
    <n v="0"/>
    <n v="0"/>
    <n v="0"/>
  </r>
  <r>
    <d v="2003-07-15T00:00:00"/>
    <n v="2003"/>
    <x v="19"/>
    <s v="R"/>
    <s v="RS"/>
    <x v="2"/>
    <s v="CLE"/>
    <s v="A"/>
    <n v="4"/>
    <n v="4"/>
    <n v="0"/>
    <n v="0"/>
    <n v="0"/>
    <n v="0"/>
    <n v="1489.9035706342586"/>
    <n v="1491.7246376037438"/>
    <n v="0.37894565787360995"/>
    <n v="66"/>
    <n v="57"/>
    <n v="0"/>
    <n v="9"/>
    <n v="1"/>
    <n v="0.40535637622423271"/>
    <n v="1"/>
    <n v="73"/>
    <n v="73"/>
    <n v="18.377628642075518"/>
    <n v="1508.2811992763341"/>
    <n v="1"/>
    <n v="0"/>
    <n v="0"/>
    <n v="0"/>
    <n v="0"/>
    <n v="0"/>
    <n v="0"/>
    <n v="0"/>
    <n v="0"/>
    <n v="0"/>
  </r>
  <r>
    <d v="2003-07-15T00:00:00"/>
    <n v="2003"/>
    <x v="16"/>
    <s v="R"/>
    <s v="RS"/>
    <x v="10"/>
    <s v="SAC"/>
    <s v="H"/>
    <n v="4"/>
    <n v="4"/>
    <n v="0"/>
    <n v="0"/>
    <n v="0"/>
    <n v="0"/>
    <n v="1491.7246376037438"/>
    <n v="1489.9035706342586"/>
    <n v="0.62105434212638999"/>
    <n v="57"/>
    <n v="66"/>
    <n v="0"/>
    <n v="-9"/>
    <n v="0"/>
    <n v="0.40535637622423271"/>
    <n v="1"/>
    <n v="73.45"/>
    <n v="73.45"/>
    <n v="-18.490915393978721"/>
    <n v="1473.2337222097651"/>
    <n v="0"/>
    <n v="1"/>
    <n v="0"/>
    <n v="0"/>
    <n v="0"/>
    <n v="0"/>
    <n v="0"/>
    <n v="0"/>
    <n v="0"/>
    <n v="0"/>
  </r>
  <r>
    <d v="2003-07-15T00:00:00"/>
    <n v="2003"/>
    <x v="17"/>
    <s v="R"/>
    <s v="RS"/>
    <x v="3"/>
    <s v="LAS"/>
    <s v="A"/>
    <n v="4"/>
    <n v="5"/>
    <n v="-1"/>
    <n v="1"/>
    <n v="-8"/>
    <n v="8"/>
    <n v="1361.3107677152693"/>
    <n v="1684.7782774185298"/>
    <n v="8.0344541825629084E-2"/>
    <n v="77"/>
    <n v="80"/>
    <n v="1"/>
    <n v="-3"/>
    <n v="0"/>
    <n v="0.20571374236110102"/>
    <n v="1"/>
    <n v="73.3"/>
    <n v="73.3"/>
    <n v="-1.2115006684515575"/>
    <n v="1360.0992670468177"/>
    <n v="0"/>
    <n v="1"/>
    <n v="0"/>
    <n v="0"/>
    <n v="0"/>
    <n v="0"/>
    <n v="0"/>
    <n v="0"/>
    <n v="0"/>
    <n v="0"/>
  </r>
  <r>
    <d v="2003-07-15T00:00:00"/>
    <n v="2003"/>
    <x v="18"/>
    <s v="R"/>
    <s v="RS"/>
    <x v="6"/>
    <s v="PHX"/>
    <s v="H"/>
    <n v="5"/>
    <n v="4"/>
    <n v="1"/>
    <n v="-1"/>
    <n v="8"/>
    <n v="-8"/>
    <n v="1684.7782774185298"/>
    <n v="1361.3107677152693"/>
    <n v="0.919655458174371"/>
    <n v="80"/>
    <n v="77"/>
    <n v="1"/>
    <n v="3"/>
    <n v="1"/>
    <n v="0.20571374236110102"/>
    <n v="1"/>
    <n v="73.150000000000006"/>
    <n v="73.150000000000006"/>
    <n v="1.2090214719949708"/>
    <n v="1685.9872988905247"/>
    <n v="1"/>
    <n v="0"/>
    <n v="0"/>
    <n v="0"/>
    <n v="0"/>
    <n v="0"/>
    <n v="0"/>
    <n v="0"/>
    <n v="0"/>
    <n v="0"/>
  </r>
  <r>
    <d v="2003-07-15T00:00:00"/>
    <n v="2003"/>
    <x v="16"/>
    <s v="R"/>
    <s v="RS"/>
    <x v="4"/>
    <s v="NYL"/>
    <s v="A"/>
    <n v="5"/>
    <n v="4"/>
    <n v="1"/>
    <n v="-1"/>
    <n v="8"/>
    <n v="-8"/>
    <n v="1343.9019481187288"/>
    <n v="1509.0483080019249"/>
    <n v="0.20716520042936989"/>
    <n v="77"/>
    <n v="64"/>
    <n v="0"/>
    <n v="13"/>
    <n v="1"/>
    <n v="0.41493903029225937"/>
    <n v="1"/>
    <n v="73.45"/>
    <n v="73.45"/>
    <n v="24.163441659165148"/>
    <n v="1368.0653897778939"/>
    <n v="1"/>
    <n v="0"/>
    <n v="0"/>
    <n v="0"/>
    <n v="0"/>
    <n v="0"/>
    <n v="0"/>
    <n v="0"/>
    <n v="0"/>
    <n v="0"/>
  </r>
  <r>
    <d v="2003-07-15T00:00:00"/>
    <n v="2003"/>
    <x v="14"/>
    <s v="R"/>
    <s v="RS"/>
    <x v="12"/>
    <s v="WAS"/>
    <s v="H"/>
    <n v="4"/>
    <n v="5"/>
    <n v="-1"/>
    <n v="1"/>
    <n v="-8"/>
    <n v="8"/>
    <n v="1509.0483080019249"/>
    <n v="1343.9019481187288"/>
    <n v="0.79283479957063019"/>
    <n v="64"/>
    <n v="77"/>
    <n v="0"/>
    <n v="-13"/>
    <n v="0"/>
    <n v="0.41493903029225937"/>
    <n v="1"/>
    <n v="73.75"/>
    <n v="73.75"/>
    <n v="-24.262135090039891"/>
    <n v="1484.7861729118849"/>
    <n v="0"/>
    <n v="1"/>
    <n v="0"/>
    <n v="0"/>
    <n v="0"/>
    <n v="0"/>
    <n v="0"/>
    <n v="0"/>
    <n v="0"/>
    <n v="0"/>
  </r>
  <r>
    <d v="2003-07-15T00:00:00"/>
    <n v="2003"/>
    <x v="17"/>
    <s v="R"/>
    <s v="RS"/>
    <x v="1"/>
    <s v="SEA"/>
    <s v="A"/>
    <n v="6"/>
    <n v="9"/>
    <n v="-3"/>
    <n v="3"/>
    <n v="-16"/>
    <n v="16"/>
    <n v="1551.9891529107847"/>
    <n v="1557.6328450272126"/>
    <n v="0.3317595996626147"/>
    <n v="55"/>
    <n v="69"/>
    <n v="0"/>
    <n v="-14"/>
    <n v="0"/>
    <n v="0.48532558007562326"/>
    <n v="1"/>
    <n v="73.3"/>
    <n v="73.3"/>
    <n v="-11.802137097135372"/>
    <n v="1540.1870158136494"/>
    <n v="0"/>
    <n v="1"/>
    <n v="0"/>
    <n v="0"/>
    <n v="0"/>
    <n v="0"/>
    <n v="0"/>
    <n v="0"/>
    <n v="0"/>
    <n v="0"/>
  </r>
  <r>
    <d v="2003-07-15T00:00:00"/>
    <n v="2003"/>
    <x v="16"/>
    <s v="R"/>
    <s v="RS"/>
    <x v="0"/>
    <s v="HOU"/>
    <s v="H"/>
    <n v="9"/>
    <n v="6"/>
    <n v="3"/>
    <n v="-3"/>
    <n v="16"/>
    <n v="-16"/>
    <n v="1557.6328450272126"/>
    <n v="1551.9891529107847"/>
    <n v="0.6682404003373853"/>
    <n v="69"/>
    <n v="55"/>
    <n v="0"/>
    <n v="14"/>
    <n v="1"/>
    <n v="0.48532558007562326"/>
    <n v="1"/>
    <n v="73.45"/>
    <n v="73.45"/>
    <n v="11.826288810158159"/>
    <n v="1569.4591338373707"/>
    <n v="1"/>
    <n v="0"/>
    <n v="0"/>
    <n v="0"/>
    <n v="0"/>
    <n v="0"/>
    <n v="0"/>
    <n v="0"/>
    <n v="0"/>
    <n v="0"/>
  </r>
  <r>
    <d v="2003-07-16T00:00:00"/>
    <n v="2003"/>
    <x v="15"/>
    <s v="R"/>
    <s v="RS"/>
    <x v="13"/>
    <s v="IND"/>
    <s v="A"/>
    <n v="5"/>
    <n v="5"/>
    <n v="0"/>
    <n v="0"/>
    <n v="0"/>
    <n v="0"/>
    <n v="1524.7561156118375"/>
    <n v="1546.379606167563"/>
    <n v="0.35251152280315423"/>
    <n v="70"/>
    <n v="68"/>
    <n v="0"/>
    <n v="2"/>
    <n v="1"/>
    <n v="0.2631003639471538"/>
    <n v="1"/>
    <n v="73.599999999999994"/>
    <n v="73.599999999999994"/>
    <n v="12.538087814552979"/>
    <n v="1537.2942034263904"/>
    <n v="1"/>
    <n v="0"/>
    <n v="0"/>
    <n v="0"/>
    <n v="0"/>
    <n v="0"/>
    <n v="0"/>
    <n v="0"/>
    <n v="0"/>
    <n v="0"/>
  </r>
  <r>
    <d v="2003-07-16T00:00:00"/>
    <n v="2003"/>
    <x v="17"/>
    <s v="R"/>
    <s v="RS"/>
    <x v="11"/>
    <s v="DET"/>
    <s v="H"/>
    <n v="5"/>
    <n v="5"/>
    <n v="0"/>
    <n v="0"/>
    <n v="0"/>
    <n v="0"/>
    <n v="1546.379606167563"/>
    <n v="1524.7561156118375"/>
    <n v="0.64748847719684588"/>
    <n v="68"/>
    <n v="70"/>
    <n v="0"/>
    <n v="-2"/>
    <n v="0"/>
    <n v="0.2631003639471538"/>
    <n v="1"/>
    <n v="73.3"/>
    <n v="73.3"/>
    <n v="-12.486981478352357"/>
    <n v="1533.8926246892106"/>
    <n v="0"/>
    <n v="1"/>
    <n v="0"/>
    <n v="0"/>
    <n v="0"/>
    <n v="0"/>
    <n v="0"/>
    <n v="0"/>
    <n v="0"/>
    <n v="0"/>
  </r>
  <r>
    <d v="2003-07-16T00:00:00"/>
    <n v="2003"/>
    <x v="17"/>
    <s v="R"/>
    <s v="RS"/>
    <x v="9"/>
    <s v="MIN"/>
    <s v="A"/>
    <n v="5"/>
    <n v="5"/>
    <n v="0"/>
    <n v="0"/>
    <n v="0"/>
    <n v="0"/>
    <n v="1437.2139833960978"/>
    <n v="1484.2739542447687"/>
    <n v="0.31985421785538865"/>
    <n v="78"/>
    <n v="85"/>
    <n v="0"/>
    <n v="-7"/>
    <n v="0"/>
    <n v="0.35614053643493815"/>
    <n v="1"/>
    <n v="73.3"/>
    <n v="73.3"/>
    <n v="-8.3498267649620832"/>
    <n v="1428.8641566311358"/>
    <n v="0"/>
    <n v="1"/>
    <n v="0"/>
    <n v="0"/>
    <n v="0"/>
    <n v="0"/>
    <n v="0"/>
    <n v="0"/>
    <n v="0"/>
    <n v="0"/>
  </r>
  <r>
    <d v="2003-07-16T00:00:00"/>
    <n v="2003"/>
    <x v="17"/>
    <s v="R"/>
    <s v="RS"/>
    <x v="8"/>
    <s v="SAS"/>
    <s v="H"/>
    <n v="5"/>
    <n v="5"/>
    <n v="0"/>
    <n v="0"/>
    <n v="0"/>
    <n v="0"/>
    <n v="1484.2739542447687"/>
    <n v="1437.2139833960978"/>
    <n v="0.6801457821446113"/>
    <n v="85"/>
    <n v="78"/>
    <n v="0"/>
    <n v="7"/>
    <n v="1"/>
    <n v="0.35614053643493815"/>
    <n v="1"/>
    <n v="73.3"/>
    <n v="73.3"/>
    <n v="8.349826764962085"/>
    <n v="1492.6237810097307"/>
    <n v="1"/>
    <n v="0"/>
    <n v="0"/>
    <n v="0"/>
    <n v="0"/>
    <n v="0"/>
    <n v="0"/>
    <n v="0"/>
    <n v="0"/>
    <n v="0"/>
  </r>
  <r>
    <d v="2003-07-17T00:00:00"/>
    <n v="2003"/>
    <x v="18"/>
    <s v="R"/>
    <s v="RS"/>
    <x v="8"/>
    <s v="CLE"/>
    <s v="A"/>
    <n v="0"/>
    <n v="1"/>
    <n v="-1"/>
    <n v="1"/>
    <n v="-8"/>
    <n v="8"/>
    <n v="1492.6237810097307"/>
    <n v="1473.2337222097651"/>
    <n v="0.38603067737263946"/>
    <n v="61"/>
    <n v="70"/>
    <n v="0"/>
    <n v="-9"/>
    <n v="0"/>
    <n v="0.39951599495252926"/>
    <n v="1"/>
    <n v="73.150000000000006"/>
    <n v="73.150000000000006"/>
    <n v="-11.281590215672118"/>
    <n v="1481.3421907940585"/>
    <n v="0"/>
    <n v="1"/>
    <n v="0"/>
    <n v="0"/>
    <n v="0"/>
    <n v="0"/>
    <n v="0"/>
    <n v="0"/>
    <n v="0"/>
    <n v="0"/>
  </r>
  <r>
    <d v="2003-07-17T00:00:00"/>
    <n v="2003"/>
    <x v="17"/>
    <s v="R"/>
    <s v="RS"/>
    <x v="10"/>
    <s v="MIN"/>
    <s v="H"/>
    <n v="1"/>
    <n v="0"/>
    <n v="1"/>
    <n v="-1"/>
    <n v="8"/>
    <n v="-8"/>
    <n v="1473.2337222097651"/>
    <n v="1492.6237810097307"/>
    <n v="0.61396932262736059"/>
    <n v="70"/>
    <n v="61"/>
    <n v="0"/>
    <n v="9"/>
    <n v="1"/>
    <n v="0.39951599495252926"/>
    <n v="1"/>
    <n v="73.3"/>
    <n v="73.3"/>
    <n v="11.304724030195025"/>
    <n v="1484.5384462399602"/>
    <n v="1"/>
    <n v="0"/>
    <n v="0"/>
    <n v="0"/>
    <n v="0"/>
    <n v="0"/>
    <n v="0"/>
    <n v="0"/>
    <n v="0"/>
    <n v="0"/>
  </r>
  <r>
    <d v="2003-07-17T00:00:00"/>
    <n v="2003"/>
    <x v="17"/>
    <s v="R"/>
    <s v="RS"/>
    <x v="0"/>
    <s v="CON"/>
    <s v="A"/>
    <n v="1"/>
    <n v="6"/>
    <n v="-5"/>
    <n v="5"/>
    <n v="-16"/>
    <n v="16"/>
    <n v="1569.4591338373707"/>
    <n v="1474.7398563576498"/>
    <n v="0.46941281986829336"/>
    <n v="67"/>
    <n v="65"/>
    <n v="0"/>
    <n v="2"/>
    <n v="1"/>
    <n v="0.24824654314042069"/>
    <n v="1"/>
    <n v="73.3"/>
    <n v="73.3"/>
    <n v="9.6548145610600447"/>
    <n v="1579.1139483984307"/>
    <n v="1"/>
    <n v="0"/>
    <n v="0"/>
    <n v="0"/>
    <n v="0"/>
    <n v="0"/>
    <n v="0"/>
    <n v="0"/>
    <n v="0"/>
    <n v="0"/>
  </r>
  <r>
    <d v="2003-07-17T00:00:00"/>
    <n v="2003"/>
    <x v="19"/>
    <s v="R"/>
    <s v="RS"/>
    <x v="7"/>
    <s v="SEA"/>
    <s v="H"/>
    <n v="6"/>
    <n v="1"/>
    <n v="5"/>
    <n v="-5"/>
    <n v="16"/>
    <n v="-16"/>
    <n v="1474.7398563576498"/>
    <n v="1569.4591338373707"/>
    <n v="0.53058718013170669"/>
    <n v="65"/>
    <n v="67"/>
    <n v="0"/>
    <n v="-2"/>
    <n v="0"/>
    <n v="0.24824654314042069"/>
    <n v="1"/>
    <n v="73"/>
    <n v="73"/>
    <n v="-9.6152996310693517"/>
    <n v="1465.1245567265805"/>
    <n v="0"/>
    <n v="1"/>
    <n v="0"/>
    <n v="0"/>
    <n v="0"/>
    <n v="0"/>
    <n v="0"/>
    <n v="0"/>
    <n v="0"/>
    <n v="0"/>
  </r>
  <r>
    <d v="2003-07-17T00:00:00"/>
    <n v="2003"/>
    <x v="20"/>
    <s v="R"/>
    <s v="RS"/>
    <x v="2"/>
    <s v="SAS"/>
    <s v="A"/>
    <n v="1"/>
    <n v="0"/>
    <n v="1"/>
    <n v="-1"/>
    <n v="8"/>
    <n v="-8"/>
    <n v="1508.2811992763341"/>
    <n v="1428.8641566311358"/>
    <n v="0.51642453360535689"/>
    <n v="62"/>
    <n v="60"/>
    <n v="0"/>
    <n v="2"/>
    <n v="1"/>
    <n v="0.25121565076785957"/>
    <n v="1"/>
    <n v="72.849999999999994"/>
    <n v="72.849999999999994"/>
    <n v="8.8499437016333502"/>
    <n v="1517.1311429779673"/>
    <n v="1"/>
    <n v="0"/>
    <n v="0"/>
    <n v="0"/>
    <n v="0"/>
    <n v="0"/>
    <n v="0"/>
    <n v="0"/>
    <n v="0"/>
    <n v="0"/>
  </r>
  <r>
    <d v="2003-07-17T00:00:00"/>
    <n v="2003"/>
    <x v="18"/>
    <s v="R"/>
    <s v="RS"/>
    <x v="9"/>
    <s v="SAC"/>
    <s v="H"/>
    <n v="0"/>
    <n v="1"/>
    <n v="-1"/>
    <n v="1"/>
    <n v="-8"/>
    <n v="8"/>
    <n v="1428.8641566311358"/>
    <n v="1508.2811992763341"/>
    <n v="0.48357546639464311"/>
    <n v="60"/>
    <n v="62"/>
    <n v="0"/>
    <n v="-2"/>
    <n v="0"/>
    <n v="0.25121565076785957"/>
    <n v="1"/>
    <n v="73.150000000000006"/>
    <n v="73.150000000000006"/>
    <n v="-8.8863882192790644"/>
    <n v="1419.9777684118567"/>
    <n v="0"/>
    <n v="1"/>
    <n v="0"/>
    <n v="0"/>
    <n v="0"/>
    <n v="0"/>
    <n v="0"/>
    <n v="0"/>
    <n v="0"/>
    <n v="0"/>
  </r>
  <r>
    <d v="2003-07-17T00:00:00"/>
    <n v="2003"/>
    <x v="18"/>
    <s v="R"/>
    <s v="RS"/>
    <x v="5"/>
    <s v="WAS"/>
    <s v="A"/>
    <n v="6"/>
    <n v="1"/>
    <n v="5"/>
    <n v="-5"/>
    <n v="16"/>
    <n v="-16"/>
    <n v="1556.5627584507886"/>
    <n v="1368.0653897778939"/>
    <n v="0.68691632839713301"/>
    <n v="60"/>
    <n v="68"/>
    <n v="0"/>
    <n v="-8"/>
    <n v="0"/>
    <n v="0.33559922583719554"/>
    <n v="1"/>
    <n v="73.150000000000006"/>
    <n v="73.150000000000006"/>
    <n v="-16.863166214029235"/>
    <n v="1539.6995922367594"/>
    <n v="0"/>
    <n v="1"/>
    <n v="0"/>
    <n v="0"/>
    <n v="0"/>
    <n v="0"/>
    <n v="0"/>
    <n v="0"/>
    <n v="0"/>
    <n v="0"/>
  </r>
  <r>
    <d v="2003-07-17T00:00:00"/>
    <n v="2003"/>
    <x v="17"/>
    <s v="R"/>
    <s v="RS"/>
    <x v="4"/>
    <s v="CHA"/>
    <s v="H"/>
    <n v="1"/>
    <n v="6"/>
    <n v="-5"/>
    <n v="5"/>
    <n v="-16"/>
    <n v="16"/>
    <n v="1368.0653897778939"/>
    <n v="1556.5627584507886"/>
    <n v="0.31308367160286699"/>
    <n v="68"/>
    <n v="60"/>
    <n v="0"/>
    <n v="8"/>
    <n v="1"/>
    <n v="0.33559922583719554"/>
    <n v="1"/>
    <n v="73.3"/>
    <n v="73.3"/>
    <n v="16.897745502232986"/>
    <n v="1384.9631352801268"/>
    <n v="1"/>
    <n v="0"/>
    <n v="0"/>
    <n v="0"/>
    <n v="0"/>
    <n v="0"/>
    <n v="0"/>
    <n v="0"/>
    <n v="0"/>
    <n v="0"/>
  </r>
  <r>
    <d v="2003-07-18T00:00:00"/>
    <n v="2003"/>
    <x v="18"/>
    <s v="R"/>
    <s v="RS"/>
    <x v="0"/>
    <s v="DET"/>
    <s v="A"/>
    <n v="0"/>
    <n v="1"/>
    <n v="-1"/>
    <n v="1"/>
    <n v="-8"/>
    <n v="8"/>
    <n v="1579.1139483984307"/>
    <n v="1537.2942034263904"/>
    <n v="0.41704582585589922"/>
    <n v="61"/>
    <n v="74"/>
    <n v="0"/>
    <n v="-13"/>
    <n v="0"/>
    <n v="0.45614712527355961"/>
    <n v="1"/>
    <n v="73.150000000000006"/>
    <n v="73.150000000000006"/>
    <n v="-13.915635721905662"/>
    <n v="1565.1983126765251"/>
    <n v="0"/>
    <n v="1"/>
    <n v="0"/>
    <n v="0"/>
    <n v="0"/>
    <n v="0"/>
    <n v="0"/>
    <n v="0"/>
    <n v="0"/>
    <n v="0"/>
  </r>
  <r>
    <d v="2003-07-18T00:00:00"/>
    <n v="2003"/>
    <x v="16"/>
    <s v="R"/>
    <s v="RS"/>
    <x v="13"/>
    <s v="SEA"/>
    <s v="H"/>
    <n v="1"/>
    <n v="0"/>
    <n v="1"/>
    <n v="-1"/>
    <n v="8"/>
    <n v="-8"/>
    <n v="1537.2942034263904"/>
    <n v="1579.1139483984307"/>
    <n v="0.58295417414410078"/>
    <n v="74"/>
    <n v="61"/>
    <n v="0"/>
    <n v="13"/>
    <n v="1"/>
    <n v="0.45614712527355961"/>
    <n v="1"/>
    <n v="73.45"/>
    <n v="73.45"/>
    <n v="13.972705998277114"/>
    <n v="1551.2669094246676"/>
    <n v="1"/>
    <n v="0"/>
    <n v="0"/>
    <n v="0"/>
    <n v="0"/>
    <n v="0"/>
    <n v="0"/>
    <n v="0"/>
    <n v="0"/>
    <n v="0"/>
  </r>
  <r>
    <d v="2003-07-18T00:00:00"/>
    <n v="2003"/>
    <x v="18"/>
    <s v="R"/>
    <s v="RS"/>
    <x v="1"/>
    <s v="LAS"/>
    <s v="A"/>
    <n v="2"/>
    <n v="2"/>
    <n v="0"/>
    <n v="0"/>
    <n v="0"/>
    <n v="0"/>
    <n v="1540.1870158136494"/>
    <n v="1685.9872988905247"/>
    <n v="0.21034671680157663"/>
    <n v="79"/>
    <n v="74"/>
    <n v="0"/>
    <n v="5"/>
    <n v="1"/>
    <n v="0.29581445000391371"/>
    <n v="1"/>
    <n v="73.150000000000006"/>
    <n v="73.150000000000006"/>
    <n v="17.087170799157693"/>
    <n v="1557.2741866128072"/>
    <n v="1"/>
    <n v="0"/>
    <n v="0"/>
    <n v="0"/>
    <n v="0"/>
    <n v="0"/>
    <n v="0"/>
    <n v="0"/>
    <n v="0"/>
    <n v="0"/>
  </r>
  <r>
    <d v="2003-07-18T00:00:00"/>
    <n v="2003"/>
    <x v="19"/>
    <s v="R"/>
    <s v="RS"/>
    <x v="6"/>
    <s v="HOU"/>
    <s v="H"/>
    <n v="2"/>
    <n v="2"/>
    <n v="0"/>
    <n v="0"/>
    <n v="0"/>
    <n v="0"/>
    <n v="1685.9872988905247"/>
    <n v="1540.1870158136494"/>
    <n v="0.78965328319842332"/>
    <n v="74"/>
    <n v="79"/>
    <n v="0"/>
    <n v="-5"/>
    <n v="0"/>
    <n v="0.29581445000391371"/>
    <n v="1"/>
    <n v="73"/>
    <n v="73"/>
    <n v="-17.052132171408221"/>
    <n v="1668.9351667191165"/>
    <n v="0"/>
    <n v="1"/>
    <n v="0"/>
    <n v="0"/>
    <n v="0"/>
    <n v="0"/>
    <n v="0"/>
    <n v="0"/>
    <n v="0"/>
    <n v="0"/>
  </r>
  <r>
    <d v="2003-07-18T00:00:00"/>
    <n v="2003"/>
    <x v="19"/>
    <s v="R"/>
    <s v="RS"/>
    <x v="5"/>
    <s v="NYL"/>
    <s v="A"/>
    <n v="0"/>
    <n v="2"/>
    <n v="-2"/>
    <n v="2"/>
    <n v="-16"/>
    <n v="16"/>
    <n v="1539.6995922367594"/>
    <n v="1484.7861729118849"/>
    <n v="0.41298414552846213"/>
    <n v="48"/>
    <n v="56"/>
    <n v="0"/>
    <n v="-8"/>
    <n v="0"/>
    <n v="0.37132333978410759"/>
    <n v="1"/>
    <n v="73"/>
    <n v="73"/>
    <n v="-11.194597610272556"/>
    <n v="1528.5049946264869"/>
    <n v="0"/>
    <n v="1"/>
    <n v="0"/>
    <n v="0"/>
    <n v="0"/>
    <n v="0"/>
    <n v="0"/>
    <n v="0"/>
    <n v="0"/>
    <n v="0"/>
  </r>
  <r>
    <d v="2003-07-18T00:00:00"/>
    <n v="2003"/>
    <x v="15"/>
    <s v="R"/>
    <s v="RS"/>
    <x v="12"/>
    <s v="CHA"/>
    <s v="H"/>
    <n v="2"/>
    <n v="0"/>
    <n v="2"/>
    <n v="-2"/>
    <n v="16"/>
    <n v="-16"/>
    <n v="1484.7861729118849"/>
    <n v="1539.6995922367594"/>
    <n v="0.58701585447153792"/>
    <n v="56"/>
    <n v="48"/>
    <n v="0"/>
    <n v="8"/>
    <n v="1"/>
    <n v="0.37132333978410759"/>
    <n v="1"/>
    <n v="73.599999999999994"/>
    <n v="73.599999999999994"/>
    <n v="11.286608001589864"/>
    <n v="1496.0727809134748"/>
    <n v="1"/>
    <n v="0"/>
    <n v="0"/>
    <n v="0"/>
    <n v="0"/>
    <n v="0"/>
    <n v="0"/>
    <n v="0"/>
    <n v="0"/>
    <n v="0"/>
  </r>
  <r>
    <d v="2003-07-19T00:00:00"/>
    <n v="2003"/>
    <x v="17"/>
    <s v="R"/>
    <s v="RS"/>
    <x v="13"/>
    <s v="CLE"/>
    <s v="A"/>
    <n v="0"/>
    <n v="1"/>
    <n v="-1"/>
    <n v="1"/>
    <n v="-8"/>
    <n v="8"/>
    <n v="1551.2669094246676"/>
    <n v="1484.5384462399602"/>
    <n v="0.45226424207027666"/>
    <n v="58"/>
    <n v="57"/>
    <n v="0"/>
    <n v="1"/>
    <n v="1"/>
    <n v="0.23131682414530713"/>
    <n v="1"/>
    <n v="73.3"/>
    <n v="73.3"/>
    <n v="9.2871463564427597"/>
    <n v="1560.5540557811103"/>
    <n v="1"/>
    <n v="0"/>
    <n v="0"/>
    <n v="0"/>
    <n v="0"/>
    <n v="0"/>
    <n v="0"/>
    <n v="0"/>
    <n v="0"/>
    <n v="0"/>
  </r>
  <r>
    <d v="2003-07-19T00:00:00"/>
    <n v="2003"/>
    <x v="18"/>
    <s v="R"/>
    <s v="RS"/>
    <x v="10"/>
    <s v="DET"/>
    <s v="H"/>
    <n v="1"/>
    <n v="0"/>
    <n v="1"/>
    <n v="-1"/>
    <n v="8"/>
    <n v="-8"/>
    <n v="1484.5384462399602"/>
    <n v="1551.2669094246676"/>
    <n v="0.54773575792972329"/>
    <n v="57"/>
    <n v="58"/>
    <n v="0"/>
    <n v="-1"/>
    <n v="0"/>
    <n v="0.23131682414530713"/>
    <n v="1"/>
    <n v="73.150000000000006"/>
    <n v="73.150000000000006"/>
    <n v="-9.2681412820434907"/>
    <n v="1475.2703049579168"/>
    <n v="0"/>
    <n v="1"/>
    <n v="0"/>
    <n v="0"/>
    <n v="0"/>
    <n v="0"/>
    <n v="0"/>
    <n v="0"/>
    <n v="0"/>
    <n v="0"/>
  </r>
  <r>
    <d v="2003-07-19T00:00:00"/>
    <n v="2003"/>
    <x v="20"/>
    <s v="R"/>
    <s v="RS"/>
    <x v="7"/>
    <s v="PHX"/>
    <s v="A"/>
    <n v="1"/>
    <n v="3"/>
    <n v="-2"/>
    <n v="2"/>
    <n v="-16"/>
    <n v="16"/>
    <n v="1465.1245567265805"/>
    <n v="1360.0992670468177"/>
    <n v="0.48421137313633372"/>
    <n v="75"/>
    <n v="67"/>
    <n v="0"/>
    <n v="8"/>
    <n v="1"/>
    <n v="0.35706483674193934"/>
    <n v="1"/>
    <n v="72.849999999999994"/>
    <n v="72.849999999999994"/>
    <n v="13.416783177366291"/>
    <n v="1478.5413399039469"/>
    <n v="1"/>
    <n v="0"/>
    <n v="0"/>
    <n v="0"/>
    <n v="0"/>
    <n v="0"/>
    <n v="0"/>
    <n v="0"/>
    <n v="0"/>
    <n v="0"/>
  </r>
  <r>
    <d v="2003-07-19T00:00:00"/>
    <n v="2003"/>
    <x v="18"/>
    <s v="R"/>
    <s v="RS"/>
    <x v="3"/>
    <s v="CON"/>
    <s v="H"/>
    <n v="3"/>
    <n v="1"/>
    <n v="2"/>
    <n v="-2"/>
    <n v="16"/>
    <n v="-16"/>
    <n v="1360.0992670468177"/>
    <n v="1465.1245567265805"/>
    <n v="0.51578862686366622"/>
    <n v="67"/>
    <n v="75"/>
    <n v="0"/>
    <n v="-8"/>
    <n v="0"/>
    <n v="0.35706483674193934"/>
    <n v="1"/>
    <n v="73.150000000000006"/>
    <n v="73.150000000000006"/>
    <n v="-13.472034171919619"/>
    <n v="1346.627232874898"/>
    <n v="0"/>
    <n v="1"/>
    <n v="0"/>
    <n v="0"/>
    <n v="0"/>
    <n v="0"/>
    <n v="0"/>
    <n v="0"/>
    <n v="0"/>
    <n v="0"/>
  </r>
  <r>
    <d v="2003-07-19T00:00:00"/>
    <n v="2003"/>
    <x v="19"/>
    <s v="R"/>
    <s v="RS"/>
    <x v="1"/>
    <s v="SAC"/>
    <s v="A"/>
    <n v="0"/>
    <n v="1"/>
    <n v="-1"/>
    <n v="1"/>
    <n v="-8"/>
    <n v="8"/>
    <n v="1557.2741866128072"/>
    <n v="1517.1311429779673"/>
    <n v="0.41470117246590471"/>
    <n v="74"/>
    <n v="71"/>
    <n v="0"/>
    <n v="3"/>
    <n v="1"/>
    <n v="0.28079037100254306"/>
    <n v="1"/>
    <n v="73"/>
    <n v="73"/>
    <n v="11.997278069937602"/>
    <n v="1569.2714646827449"/>
    <n v="1"/>
    <n v="0"/>
    <n v="0"/>
    <n v="0"/>
    <n v="0"/>
    <n v="0"/>
    <n v="0"/>
    <n v="0"/>
    <n v="0"/>
    <n v="0"/>
  </r>
  <r>
    <d v="2003-07-19T00:00:00"/>
    <n v="2003"/>
    <x v="21"/>
    <s v="R"/>
    <s v="RS"/>
    <x v="2"/>
    <s v="HOU"/>
    <s v="H"/>
    <n v="1"/>
    <n v="0"/>
    <n v="1"/>
    <n v="-1"/>
    <n v="8"/>
    <n v="-8"/>
    <n v="1517.1311429779673"/>
    <n v="1557.2741866128072"/>
    <n v="0.58529882753409535"/>
    <n v="71"/>
    <n v="74"/>
    <n v="0"/>
    <n v="-3"/>
    <n v="0"/>
    <n v="0.28079037100254306"/>
    <n v="1"/>
    <n v="72.7"/>
    <n v="72.7"/>
    <n v="-11.947974187458406"/>
    <n v="1505.1831687905089"/>
    <n v="0"/>
    <n v="1"/>
    <n v="0"/>
    <n v="0"/>
    <n v="0"/>
    <n v="0"/>
    <n v="0"/>
    <n v="0"/>
    <n v="0"/>
    <n v="0"/>
  </r>
  <r>
    <d v="2003-07-19T00:00:00"/>
    <n v="2003"/>
    <x v="18"/>
    <s v="R"/>
    <s v="RS"/>
    <x v="4"/>
    <s v="SAS"/>
    <s v="A"/>
    <n v="1"/>
    <n v="1"/>
    <n v="0"/>
    <n v="0"/>
    <n v="0"/>
    <n v="0"/>
    <n v="1384.9631352801268"/>
    <n v="1419.9777684118567"/>
    <n v="0.33512325229035572"/>
    <n v="85"/>
    <n v="77"/>
    <n v="0"/>
    <n v="8"/>
    <n v="1"/>
    <n v="0.37730617071474337"/>
    <n v="1"/>
    <n v="73.150000000000006"/>
    <n v="73.150000000000006"/>
    <n v="18.350562591270023"/>
    <n v="1403.3136978713969"/>
    <n v="1"/>
    <n v="0"/>
    <n v="0"/>
    <n v="0"/>
    <n v="0"/>
    <n v="0"/>
    <n v="0"/>
    <n v="0"/>
    <n v="0"/>
    <n v="0"/>
  </r>
  <r>
    <d v="2003-07-19T00:00:00"/>
    <n v="2003"/>
    <x v="19"/>
    <s v="R"/>
    <s v="RS"/>
    <x v="9"/>
    <s v="WAS"/>
    <s v="H"/>
    <n v="1"/>
    <n v="1"/>
    <n v="0"/>
    <n v="0"/>
    <n v="0"/>
    <n v="0"/>
    <n v="1419.9777684118567"/>
    <n v="1384.9631352801268"/>
    <n v="0.66487674770964433"/>
    <n v="77"/>
    <n v="85"/>
    <n v="0"/>
    <n v="-8"/>
    <n v="0"/>
    <n v="0.37730617071474337"/>
    <n v="1"/>
    <n v="73"/>
    <n v="73"/>
    <n v="-18.312933276318685"/>
    <n v="1401.6648351355379"/>
    <n v="0"/>
    <n v="1"/>
    <n v="0"/>
    <n v="0"/>
    <n v="0"/>
    <n v="0"/>
    <n v="0"/>
    <n v="0"/>
    <n v="0"/>
    <n v="0"/>
  </r>
  <r>
    <d v="2003-07-20T00:00:00"/>
    <n v="2003"/>
    <x v="19"/>
    <s v="R"/>
    <s v="RS"/>
    <x v="10"/>
    <s v="CHA"/>
    <s v="A"/>
    <n v="0"/>
    <n v="1"/>
    <n v="-1"/>
    <n v="1"/>
    <n v="-8"/>
    <n v="8"/>
    <n v="1475.2703049579168"/>
    <n v="1528.5049946264869"/>
    <n v="0.2927449123119234"/>
    <n v="59"/>
    <n v="57"/>
    <n v="1"/>
    <n v="2"/>
    <n v="1"/>
    <n v="0.23081760252817715"/>
    <n v="1"/>
    <n v="73"/>
    <n v="73"/>
    <n v="11.91702543126928"/>
    <n v="1487.1873303891862"/>
    <n v="1"/>
    <n v="0"/>
    <n v="0"/>
    <n v="0"/>
    <n v="0"/>
    <n v="0"/>
    <n v="0"/>
    <n v="0"/>
    <n v="0"/>
    <n v="0"/>
  </r>
  <r>
    <d v="2003-07-20T00:00:00"/>
    <n v="2003"/>
    <x v="20"/>
    <s v="R"/>
    <s v="RS"/>
    <x v="5"/>
    <s v="CLE"/>
    <s v="H"/>
    <n v="1"/>
    <n v="0"/>
    <n v="1"/>
    <n v="-1"/>
    <n v="8"/>
    <n v="-8"/>
    <n v="1528.5049946264869"/>
    <n v="1475.2703049579168"/>
    <n v="0.70725508768807666"/>
    <n v="57"/>
    <n v="59"/>
    <n v="1"/>
    <n v="-2"/>
    <n v="0"/>
    <n v="0.23081760252817715"/>
    <n v="1"/>
    <n v="72.849999999999994"/>
    <n v="72.849999999999994"/>
    <n v="-11.892538392711877"/>
    <n v="1516.612456233775"/>
    <n v="0"/>
    <n v="1"/>
    <n v="0"/>
    <n v="0"/>
    <n v="0"/>
    <n v="0"/>
    <n v="0"/>
    <n v="0"/>
    <n v="0"/>
    <n v="0"/>
  </r>
  <r>
    <d v="2003-07-20T00:00:00"/>
    <n v="2003"/>
    <x v="21"/>
    <s v="R"/>
    <s v="RS"/>
    <x v="7"/>
    <s v="LAS"/>
    <s v="A"/>
    <n v="0"/>
    <n v="1"/>
    <n v="-1"/>
    <n v="1"/>
    <n v="-8"/>
    <n v="8"/>
    <n v="1478.5413399039469"/>
    <n v="1668.9351667191165"/>
    <n v="0.15820548136106344"/>
    <n v="76"/>
    <n v="73"/>
    <n v="0"/>
    <n v="3"/>
    <n v="1"/>
    <n v="0.25044718884870298"/>
    <n v="1"/>
    <n v="72.7"/>
    <n v="72.7"/>
    <n v="15.32698264580551"/>
    <n v="1493.8683225497523"/>
    <n v="1"/>
    <n v="0"/>
    <n v="0"/>
    <n v="0"/>
    <n v="0"/>
    <n v="0"/>
    <n v="0"/>
    <n v="0"/>
    <n v="0"/>
    <n v="0"/>
  </r>
  <r>
    <d v="2003-07-20T00:00:00"/>
    <n v="2003"/>
    <x v="20"/>
    <s v="R"/>
    <s v="RS"/>
    <x v="6"/>
    <s v="CON"/>
    <s v="H"/>
    <n v="1"/>
    <n v="0"/>
    <n v="1"/>
    <n v="-1"/>
    <n v="8"/>
    <n v="-8"/>
    <n v="1668.9351667191165"/>
    <n v="1478.5413399039469"/>
    <n v="0.84179451863893651"/>
    <n v="73"/>
    <n v="76"/>
    <n v="0"/>
    <n v="-3"/>
    <n v="0"/>
    <n v="0.25044718884870298"/>
    <n v="1"/>
    <n v="72.849999999999994"/>
    <n v="72.849999999999994"/>
    <n v="-15.358606406422712"/>
    <n v="1653.5765603126938"/>
    <n v="0"/>
    <n v="1"/>
    <n v="0"/>
    <n v="0"/>
    <n v="0"/>
    <n v="0"/>
    <n v="0"/>
    <n v="0"/>
    <n v="0"/>
    <n v="0"/>
  </r>
  <r>
    <d v="2003-07-20T00:00:00"/>
    <n v="2003"/>
    <x v="19"/>
    <s v="R"/>
    <s v="RS"/>
    <x v="0"/>
    <s v="MIN"/>
    <s v="A"/>
    <n v="1"/>
    <n v="2"/>
    <n v="-1"/>
    <n v="1"/>
    <n v="-8"/>
    <n v="8"/>
    <n v="1565.1983126765251"/>
    <n v="1481.3421907940585"/>
    <n v="0.4767837978948401"/>
    <n v="58"/>
    <n v="69"/>
    <n v="0"/>
    <n v="-11"/>
    <n v="0"/>
    <n v="0.41110772096117837"/>
    <n v="1"/>
    <n v="73"/>
    <n v="73"/>
    <n v="-14.308693539694683"/>
    <n v="1550.8896191368303"/>
    <n v="0"/>
    <n v="1"/>
    <n v="0"/>
    <n v="0"/>
    <n v="0"/>
    <n v="0"/>
    <n v="0"/>
    <n v="0"/>
    <n v="0"/>
    <n v="0"/>
  </r>
  <r>
    <d v="2003-07-20T00:00:00"/>
    <n v="2003"/>
    <x v="19"/>
    <s v="R"/>
    <s v="RS"/>
    <x v="8"/>
    <s v="SEA"/>
    <s v="H"/>
    <n v="2"/>
    <n v="1"/>
    <n v="1"/>
    <n v="-1"/>
    <n v="8"/>
    <n v="-8"/>
    <n v="1481.3421907940585"/>
    <n v="1565.1983126765251"/>
    <n v="0.52321620210515984"/>
    <n v="69"/>
    <n v="58"/>
    <n v="0"/>
    <n v="11"/>
    <n v="1"/>
    <n v="0.41110772096117837"/>
    <n v="1"/>
    <n v="73"/>
    <n v="73"/>
    <n v="14.308693539694685"/>
    <n v="1495.6508843337533"/>
    <n v="1"/>
    <n v="0"/>
    <n v="0"/>
    <n v="0"/>
    <n v="0"/>
    <n v="0"/>
    <n v="0"/>
    <n v="0"/>
    <n v="0"/>
    <n v="0"/>
  </r>
  <r>
    <d v="2003-07-20T00:00:00"/>
    <n v="2003"/>
    <x v="18"/>
    <s v="R"/>
    <s v="RS"/>
    <x v="11"/>
    <s v="NYL"/>
    <s v="A"/>
    <n v="3"/>
    <n v="1"/>
    <n v="2"/>
    <n v="-2"/>
    <n v="16"/>
    <n v="-16"/>
    <n v="1533.8926246892106"/>
    <n v="1496.0727809134748"/>
    <n v="0.47960443826098609"/>
    <n v="65"/>
    <n v="73"/>
    <n v="0"/>
    <n v="-8"/>
    <n v="0"/>
    <n v="0.37645110017159422"/>
    <n v="1"/>
    <n v="73.150000000000006"/>
    <n v="73.150000000000006"/>
    <n v="-13.207058288193098"/>
    <n v="1520.6855664010175"/>
    <n v="0"/>
    <n v="1"/>
    <n v="0"/>
    <n v="0"/>
    <n v="0"/>
    <n v="0"/>
    <n v="0"/>
    <n v="0"/>
    <n v="0"/>
    <n v="0"/>
  </r>
  <r>
    <d v="2003-07-20T00:00:00"/>
    <n v="2003"/>
    <x v="16"/>
    <s v="R"/>
    <s v="RS"/>
    <x v="12"/>
    <s v="IND"/>
    <s v="H"/>
    <n v="1"/>
    <n v="3"/>
    <n v="-2"/>
    <n v="2"/>
    <n v="-16"/>
    <n v="16"/>
    <n v="1496.0727809134748"/>
    <n v="1533.8926246892106"/>
    <n v="0.52039556173901391"/>
    <n v="73"/>
    <n v="65"/>
    <n v="0"/>
    <n v="8"/>
    <n v="1"/>
    <n v="0.37645110017159422"/>
    <n v="1"/>
    <n v="73.45"/>
    <n v="73.45"/>
    <n v="13.261222573722256"/>
    <n v="1509.3340034871972"/>
    <n v="1"/>
    <n v="0"/>
    <n v="0"/>
    <n v="0"/>
    <n v="0"/>
    <n v="0"/>
    <n v="0"/>
    <n v="0"/>
    <n v="0"/>
    <n v="0"/>
  </r>
  <r>
    <d v="2003-07-22T00:00:00"/>
    <n v="2003"/>
    <x v="20"/>
    <s v="R"/>
    <s v="RS"/>
    <x v="10"/>
    <s v="DET"/>
    <s v="A"/>
    <n v="1"/>
    <n v="2"/>
    <n v="-1"/>
    <n v="1"/>
    <n v="-8"/>
    <n v="8"/>
    <n v="1487.1873303891862"/>
    <n v="1560.5540557811103"/>
    <n v="0.26933894113611967"/>
    <n v="71"/>
    <n v="74"/>
    <n v="0"/>
    <n v="-3"/>
    <n v="0"/>
    <n v="0.27346420977921532"/>
    <n v="1"/>
    <n v="72.849999999999994"/>
    <n v="72.849999999999994"/>
    <n v="-5.3657347470357628"/>
    <n v="1481.8215956421504"/>
    <n v="0"/>
    <n v="1"/>
    <n v="0"/>
    <n v="0"/>
    <n v="0"/>
    <n v="0"/>
    <n v="0"/>
    <n v="0"/>
    <n v="0"/>
    <n v="0"/>
  </r>
  <r>
    <d v="2003-07-22T00:00:00"/>
    <n v="2003"/>
    <x v="18"/>
    <s v="R"/>
    <s v="RS"/>
    <x v="13"/>
    <s v="CLE"/>
    <s v="H"/>
    <n v="2"/>
    <n v="1"/>
    <n v="1"/>
    <n v="-1"/>
    <n v="8"/>
    <n v="-8"/>
    <n v="1560.5540557811103"/>
    <n v="1487.1873303891862"/>
    <n v="0.73066105886388033"/>
    <n v="74"/>
    <n v="71"/>
    <n v="0"/>
    <n v="3"/>
    <n v="1"/>
    <n v="0.27346420977921532"/>
    <n v="1"/>
    <n v="73.150000000000006"/>
    <n v="73.150000000000006"/>
    <n v="5.3878311152459322"/>
    <n v="1565.9418868963562"/>
    <n v="1"/>
    <n v="0"/>
    <n v="0"/>
    <n v="0"/>
    <n v="0"/>
    <n v="0"/>
    <n v="0"/>
    <n v="0"/>
    <n v="0"/>
    <n v="0"/>
  </r>
  <r>
    <d v="2003-07-22T00:00:00"/>
    <n v="2003"/>
    <x v="19"/>
    <s v="R"/>
    <s v="RS"/>
    <x v="4"/>
    <s v="LAS"/>
    <s v="A"/>
    <n v="2"/>
    <n v="1"/>
    <n v="1"/>
    <n v="-1"/>
    <n v="8"/>
    <n v="-8"/>
    <n v="1403.3136978713969"/>
    <n v="1653.5765603126938"/>
    <n v="0.1379920632962009"/>
    <n v="73"/>
    <n v="77"/>
    <n v="0"/>
    <n v="-4"/>
    <n v="0"/>
    <n v="0.25769072046398239"/>
    <n v="1"/>
    <n v="73"/>
    <n v="73"/>
    <n v="-2.5958270172649911"/>
    <n v="1400.7178708541319"/>
    <n v="0"/>
    <n v="1"/>
    <n v="0"/>
    <n v="0"/>
    <n v="0"/>
    <n v="0"/>
    <n v="0"/>
    <n v="0"/>
    <n v="0"/>
    <n v="0"/>
  </r>
  <r>
    <d v="2003-07-22T00:00:00"/>
    <n v="2003"/>
    <x v="21"/>
    <s v="R"/>
    <s v="RS"/>
    <x v="6"/>
    <s v="WAS"/>
    <s v="H"/>
    <n v="1"/>
    <n v="2"/>
    <n v="-1"/>
    <n v="1"/>
    <n v="-8"/>
    <n v="8"/>
    <n v="1653.5765603126938"/>
    <n v="1403.3136978713969"/>
    <n v="0.86200793670379905"/>
    <n v="77"/>
    <n v="73"/>
    <n v="0"/>
    <n v="4"/>
    <n v="1"/>
    <n v="0.25769072046398239"/>
    <n v="1"/>
    <n v="72.7"/>
    <n v="72.7"/>
    <n v="2.5851592350022594"/>
    <n v="1656.1617195476961"/>
    <n v="1"/>
    <n v="0"/>
    <n v="0"/>
    <n v="0"/>
    <n v="0"/>
    <n v="0"/>
    <n v="0"/>
    <n v="0"/>
    <n v="0"/>
    <n v="0"/>
  </r>
  <r>
    <d v="2003-07-23T00:00:00"/>
    <n v="2003"/>
    <x v="20"/>
    <s v="R"/>
    <s v="RS"/>
    <x v="8"/>
    <s v="CON"/>
    <s v="A"/>
    <n v="2"/>
    <n v="2"/>
    <n v="0"/>
    <n v="0"/>
    <n v="0"/>
    <n v="0"/>
    <n v="1495.6508843337533"/>
    <n v="1493.8683225497523"/>
    <n v="0.38383982307501285"/>
    <n v="70"/>
    <n v="84"/>
    <n v="0"/>
    <n v="-14"/>
    <n v="0"/>
    <n v="0.48688485159271944"/>
    <n v="1"/>
    <n v="72.849999999999994"/>
    <n v="72.849999999999994"/>
    <n v="-13.614630187113503"/>
    <n v="1482.0362541466397"/>
    <n v="0"/>
    <n v="1"/>
    <n v="0"/>
    <n v="0"/>
    <n v="0"/>
    <n v="0"/>
    <n v="0"/>
    <n v="0"/>
    <n v="0"/>
    <n v="0"/>
  </r>
  <r>
    <d v="2003-07-23T00:00:00"/>
    <n v="2003"/>
    <x v="22"/>
    <s v="R"/>
    <s v="RS"/>
    <x v="7"/>
    <s v="MIN"/>
    <s v="H"/>
    <n v="2"/>
    <n v="2"/>
    <n v="0"/>
    <n v="0"/>
    <n v="0"/>
    <n v="0"/>
    <n v="1493.8683225497523"/>
    <n v="1495.6508843337533"/>
    <n v="0.61616017692498726"/>
    <n v="84"/>
    <n v="70"/>
    <n v="0"/>
    <n v="14"/>
    <n v="1"/>
    <n v="0.48688485159271944"/>
    <n v="1"/>
    <n v="72.55"/>
    <n v="72.55"/>
    <n v="13.558564448525523"/>
    <n v="1507.4268869982777"/>
    <n v="1"/>
    <n v="0"/>
    <n v="0"/>
    <n v="0"/>
    <n v="0"/>
    <n v="0"/>
    <n v="0"/>
    <n v="0"/>
    <n v="0"/>
    <n v="0"/>
  </r>
  <r>
    <d v="2003-07-23T00:00:00"/>
    <n v="2003"/>
    <x v="20"/>
    <s v="R"/>
    <s v="RS"/>
    <x v="9"/>
    <s v="IND"/>
    <s v="A"/>
    <n v="3"/>
    <n v="2"/>
    <n v="1"/>
    <n v="-1"/>
    <n v="8"/>
    <n v="-8"/>
    <n v="1401.6648351355379"/>
    <n v="1520.6855664010175"/>
    <n v="0.25415416915159711"/>
    <n v="47"/>
    <n v="81"/>
    <n v="0"/>
    <n v="-34"/>
    <n v="0"/>
    <n v="0.68294722189756818"/>
    <n v="1"/>
    <n v="72.849999999999994"/>
    <n v="72.849999999999994"/>
    <n v="-12.644857431607688"/>
    <n v="1389.0199777039302"/>
    <n v="0"/>
    <n v="1"/>
    <n v="0"/>
    <n v="0"/>
    <n v="0"/>
    <n v="0"/>
    <n v="0"/>
    <n v="0"/>
    <n v="0"/>
    <n v="0"/>
  </r>
  <r>
    <d v="2003-07-23T00:00:00"/>
    <n v="2003"/>
    <x v="19"/>
    <s v="R"/>
    <s v="RS"/>
    <x v="11"/>
    <s v="SAS"/>
    <s v="H"/>
    <n v="2"/>
    <n v="3"/>
    <n v="-1"/>
    <n v="1"/>
    <n v="-8"/>
    <n v="8"/>
    <n v="1520.6855664010175"/>
    <n v="1401.6648351355379"/>
    <n v="0.74584583084840284"/>
    <n v="81"/>
    <n v="47"/>
    <n v="0"/>
    <n v="34"/>
    <n v="1"/>
    <n v="0.68294722189756818"/>
    <n v="1"/>
    <n v="73"/>
    <n v="73"/>
    <n v="12.670893514171055"/>
    <n v="1533.3564599151885"/>
    <n v="1"/>
    <n v="0"/>
    <n v="0"/>
    <n v="0"/>
    <n v="0"/>
    <n v="0"/>
    <n v="0"/>
    <n v="0"/>
    <n v="0"/>
    <n v="0"/>
  </r>
  <r>
    <d v="2003-07-23T00:00:00"/>
    <n v="2003"/>
    <x v="17"/>
    <s v="R"/>
    <s v="RS"/>
    <x v="12"/>
    <s v="SEA"/>
    <s v="A"/>
    <n v="2"/>
    <n v="2"/>
    <n v="0"/>
    <n v="0"/>
    <n v="0"/>
    <n v="0"/>
    <n v="1509.3340034871972"/>
    <n v="1550.8896191368303"/>
    <n v="0.32678633297540333"/>
    <n v="65"/>
    <n v="75"/>
    <n v="0"/>
    <n v="-10"/>
    <n v="0"/>
    <n v="0.40896729296581857"/>
    <n v="1"/>
    <n v="73.3"/>
    <n v="73.3"/>
    <n v="-9.7961727807804966"/>
    <n v="1499.5378307064166"/>
    <n v="0"/>
    <n v="1"/>
    <n v="0"/>
    <n v="0"/>
    <n v="0"/>
    <n v="0"/>
    <n v="0"/>
    <n v="0"/>
    <n v="0"/>
    <n v="0"/>
  </r>
  <r>
    <d v="2003-07-23T00:00:00"/>
    <n v="2003"/>
    <x v="20"/>
    <s v="R"/>
    <s v="RS"/>
    <x v="0"/>
    <s v="NYL"/>
    <s v="H"/>
    <n v="2"/>
    <n v="2"/>
    <n v="0"/>
    <n v="0"/>
    <n v="0"/>
    <n v="0"/>
    <n v="1550.8896191368303"/>
    <n v="1509.3340034871972"/>
    <n v="0.67321366702459662"/>
    <n v="75"/>
    <n v="65"/>
    <n v="0"/>
    <n v="10"/>
    <n v="1"/>
    <n v="0.40896729296581857"/>
    <n v="1"/>
    <n v="72.849999999999994"/>
    <n v="72.849999999999994"/>
    <n v="9.7360325658916693"/>
    <n v="1560.6256517027221"/>
    <n v="1"/>
    <n v="0"/>
    <n v="0"/>
    <n v="0"/>
    <n v="0"/>
    <n v="0"/>
    <n v="0"/>
    <n v="0"/>
    <n v="0"/>
    <n v="0"/>
  </r>
  <r>
    <d v="2003-07-24T00:00:00"/>
    <n v="2003"/>
    <x v="19"/>
    <s v="R"/>
    <s v="RS"/>
    <x v="13"/>
    <s v="CHA"/>
    <s v="A"/>
    <n v="1"/>
    <n v="3"/>
    <n v="-2"/>
    <n v="2"/>
    <n v="-16"/>
    <n v="16"/>
    <n v="1565.9418868963562"/>
    <n v="1516.612456233775"/>
    <n v="0.40521392929189026"/>
    <n v="61"/>
    <n v="67"/>
    <n v="0"/>
    <n v="-6"/>
    <n v="0"/>
    <n v="0.33741053637520424"/>
    <n v="1"/>
    <n v="73"/>
    <n v="73"/>
    <n v="-9.9808117937228964"/>
    <n v="1555.9610751026332"/>
    <n v="0"/>
    <n v="1"/>
    <n v="0"/>
    <n v="0"/>
    <n v="0"/>
    <n v="0"/>
    <n v="0"/>
    <n v="0"/>
    <n v="0"/>
    <n v="0"/>
  </r>
  <r>
    <d v="2003-07-24T00:00:00"/>
    <n v="2003"/>
    <x v="21"/>
    <s v="R"/>
    <s v="RS"/>
    <x v="5"/>
    <s v="DET"/>
    <s v="H"/>
    <n v="3"/>
    <n v="1"/>
    <n v="2"/>
    <n v="-2"/>
    <n v="16"/>
    <n v="-16"/>
    <n v="1516.612456233775"/>
    <n v="1565.9418868963562"/>
    <n v="0.59478607070810985"/>
    <n v="67"/>
    <n v="61"/>
    <n v="0"/>
    <n v="6"/>
    <n v="1"/>
    <n v="0.33741053637520424"/>
    <n v="1"/>
    <n v="72.7"/>
    <n v="72.7"/>
    <n v="9.9397947589541698"/>
    <n v="1526.5522509927291"/>
    <n v="1"/>
    <n v="0"/>
    <n v="0"/>
    <n v="0"/>
    <n v="0"/>
    <n v="0"/>
    <n v="0"/>
    <n v="0"/>
    <n v="0"/>
    <n v="0"/>
  </r>
  <r>
    <d v="2003-07-24T00:00:00"/>
    <n v="2003"/>
    <x v="19"/>
    <s v="R"/>
    <s v="RS"/>
    <x v="3"/>
    <s v="LAS"/>
    <s v="A"/>
    <n v="4"/>
    <n v="1"/>
    <n v="3"/>
    <n v="-3"/>
    <n v="16"/>
    <n v="-16"/>
    <n v="1346.627232874898"/>
    <n v="1656.1617195476961"/>
    <n v="0.11094152004484223"/>
    <n v="65"/>
    <n v="82"/>
    <n v="0"/>
    <n v="-17"/>
    <n v="0"/>
    <n v="0.42326325667900383"/>
    <n v="1"/>
    <n v="73"/>
    <n v="73"/>
    <n v="-3.42789524248222"/>
    <n v="1343.1993376324158"/>
    <n v="0"/>
    <n v="1"/>
    <n v="0"/>
    <n v="0"/>
    <n v="0"/>
    <n v="0"/>
    <n v="0"/>
    <n v="0"/>
    <n v="0"/>
    <n v="0"/>
  </r>
  <r>
    <d v="2003-07-24T00:00:00"/>
    <n v="2003"/>
    <x v="22"/>
    <s v="R"/>
    <s v="RS"/>
    <x v="6"/>
    <s v="PHX"/>
    <s v="H"/>
    <n v="1"/>
    <n v="4"/>
    <n v="-3"/>
    <n v="3"/>
    <n v="-16"/>
    <n v="16"/>
    <n v="1656.1617195476961"/>
    <n v="1346.627232874898"/>
    <n v="0.88905847995515774"/>
    <n v="82"/>
    <n v="65"/>
    <n v="0"/>
    <n v="17"/>
    <n v="1"/>
    <n v="0.42326325667900383"/>
    <n v="1"/>
    <n v="72.55"/>
    <n v="72.55"/>
    <n v="3.4067643813984261"/>
    <n v="1659.5684839290946"/>
    <n v="1"/>
    <n v="0"/>
    <n v="0"/>
    <n v="0"/>
    <n v="0"/>
    <n v="0"/>
    <n v="0"/>
    <n v="0"/>
    <n v="0"/>
    <n v="0"/>
  </r>
  <r>
    <d v="2003-07-24T00:00:00"/>
    <n v="2003"/>
    <x v="18"/>
    <s v="R"/>
    <s v="RS"/>
    <x v="12"/>
    <s v="SAC"/>
    <s v="A"/>
    <n v="0"/>
    <n v="4"/>
    <n v="-4"/>
    <n v="4"/>
    <n v="-16"/>
    <n v="16"/>
    <n v="1499.5378307064166"/>
    <n v="1505.1831687905089"/>
    <n v="0.33175749911499719"/>
    <n v="53"/>
    <n v="67"/>
    <n v="0"/>
    <n v="-14"/>
    <n v="0"/>
    <n v="0.48532491750082923"/>
    <n v="1"/>
    <n v="73.150000000000006"/>
    <n v="73.150000000000006"/>
    <n v="-11.777894731976765"/>
    <n v="1487.7599359744397"/>
    <n v="0"/>
    <n v="1"/>
    <n v="0"/>
    <n v="0"/>
    <n v="0"/>
    <n v="0"/>
    <n v="0"/>
    <n v="0"/>
    <n v="0"/>
    <n v="0"/>
  </r>
  <r>
    <d v="2003-07-24T00:00:00"/>
    <n v="2003"/>
    <x v="22"/>
    <s v="R"/>
    <s v="RS"/>
    <x v="2"/>
    <s v="NYL"/>
    <s v="H"/>
    <n v="4"/>
    <n v="0"/>
    <n v="4"/>
    <n v="-4"/>
    <n v="16"/>
    <n v="-16"/>
    <n v="1505.1831687905089"/>
    <n v="1499.5378307064166"/>
    <n v="0.66824250088500281"/>
    <n v="67"/>
    <n v="53"/>
    <n v="0"/>
    <n v="14"/>
    <n v="1"/>
    <n v="0.48532491750082923"/>
    <n v="1"/>
    <n v="72.55"/>
    <n v="72.55"/>
    <n v="11.681288623443802"/>
    <n v="1516.8644574139528"/>
    <n v="1"/>
    <n v="0"/>
    <n v="0"/>
    <n v="0"/>
    <n v="0"/>
    <n v="0"/>
    <n v="0"/>
    <n v="0"/>
    <n v="0"/>
    <n v="0"/>
  </r>
  <r>
    <d v="2003-07-24T00:00:00"/>
    <n v="2003"/>
    <x v="20"/>
    <s v="R"/>
    <s v="RS"/>
    <x v="11"/>
    <s v="WAS"/>
    <s v="A"/>
    <n v="0"/>
    <n v="1"/>
    <n v="-1"/>
    <n v="1"/>
    <n v="-8"/>
    <n v="8"/>
    <n v="1533.3564599151885"/>
    <n v="1400.7178708541319"/>
    <n v="0.54683301942233131"/>
    <n v="80"/>
    <n v="75"/>
    <n v="0"/>
    <n v="5"/>
    <n v="1"/>
    <n v="0.29873603677797861"/>
    <n v="1"/>
    <n v="72.849999999999994"/>
    <n v="72.849999999999994"/>
    <n v="9.862236871511902"/>
    <n v="1543.2186967867003"/>
    <n v="1"/>
    <n v="0"/>
    <n v="0"/>
    <n v="0"/>
    <n v="0"/>
    <n v="0"/>
    <n v="0"/>
    <n v="0"/>
    <n v="0"/>
    <n v="0"/>
  </r>
  <r>
    <d v="2003-07-24T00:00:00"/>
    <n v="2003"/>
    <x v="20"/>
    <s v="R"/>
    <s v="RS"/>
    <x v="4"/>
    <s v="IND"/>
    <s v="H"/>
    <n v="1"/>
    <n v="0"/>
    <n v="1"/>
    <n v="-1"/>
    <n v="8"/>
    <n v="-8"/>
    <n v="1400.7178708541319"/>
    <n v="1533.3564599151885"/>
    <n v="0.45316698057766874"/>
    <n v="75"/>
    <n v="80"/>
    <n v="0"/>
    <n v="-5"/>
    <n v="0"/>
    <n v="0.29873603677797861"/>
    <n v="1"/>
    <n v="72.849999999999994"/>
    <n v="72.849999999999994"/>
    <n v="-9.862236871511902"/>
    <n v="1390.85563398262"/>
    <n v="0"/>
    <n v="1"/>
    <n v="0"/>
    <n v="0"/>
    <n v="0"/>
    <n v="0"/>
    <n v="0"/>
    <n v="0"/>
    <n v="0"/>
    <n v="0"/>
  </r>
  <r>
    <d v="2003-07-25T00:00:00"/>
    <n v="2003"/>
    <x v="21"/>
    <s v="R"/>
    <s v="RS"/>
    <x v="9"/>
    <s v="MIN"/>
    <s v="A"/>
    <n v="1"/>
    <n v="1"/>
    <n v="0"/>
    <n v="0"/>
    <n v="0"/>
    <n v="0"/>
    <n v="1389.0199777039302"/>
    <n v="1482.0362541466397"/>
    <n v="0.26522465100150344"/>
    <n v="54"/>
    <n v="81"/>
    <n v="0"/>
    <n v="-27"/>
    <n v="0"/>
    <n v="0.618708375582808"/>
    <n v="1"/>
    <n v="72.7"/>
    <n v="72.7"/>
    <n v="-11.929831034057292"/>
    <n v="1377.0901466698729"/>
    <n v="0"/>
    <n v="1"/>
    <n v="0"/>
    <n v="0"/>
    <n v="0"/>
    <n v="0"/>
    <n v="0"/>
    <n v="0"/>
    <n v="0"/>
    <n v="0"/>
  </r>
  <r>
    <d v="2003-07-25T00:00:00"/>
    <n v="2003"/>
    <x v="21"/>
    <s v="R"/>
    <s v="RS"/>
    <x v="8"/>
    <s v="SAS"/>
    <s v="H"/>
    <n v="1"/>
    <n v="1"/>
    <n v="0"/>
    <n v="0"/>
    <n v="0"/>
    <n v="0"/>
    <n v="1482.0362541466397"/>
    <n v="1389.0199777039302"/>
    <n v="0.73477534899849661"/>
    <n v="81"/>
    <n v="54"/>
    <n v="0"/>
    <n v="27"/>
    <n v="1"/>
    <n v="0.618708375582808"/>
    <n v="1"/>
    <n v="72.7"/>
    <n v="72.7"/>
    <n v="11.929831034057289"/>
    <n v="1493.9660851806971"/>
    <n v="1"/>
    <n v="0"/>
    <n v="0"/>
    <n v="0"/>
    <n v="0"/>
    <n v="0"/>
    <n v="0"/>
    <n v="0"/>
    <n v="0"/>
    <n v="0"/>
  </r>
  <r>
    <d v="2003-07-25T00:00:00"/>
    <n v="2003"/>
    <x v="20"/>
    <s v="R"/>
    <s v="RS"/>
    <x v="3"/>
    <s v="SEA"/>
    <s v="A"/>
    <n v="0"/>
    <n v="1"/>
    <n v="-1"/>
    <n v="1"/>
    <n v="-8"/>
    <n v="8"/>
    <n v="1343.1993376324158"/>
    <n v="1560.6256517027221"/>
    <n v="0.1385658745227652"/>
    <n v="53"/>
    <n v="82"/>
    <n v="0"/>
    <n v="-29"/>
    <n v="0"/>
    <n v="0.58531123330900581"/>
    <n v="1"/>
    <n v="72.849999999999994"/>
    <n v="72.849999999999994"/>
    <n v="-5.908438268099907"/>
    <n v="1337.2908993643159"/>
    <n v="0"/>
    <n v="1"/>
    <n v="0"/>
    <n v="0"/>
    <n v="0"/>
    <n v="0"/>
    <n v="0"/>
    <n v="0"/>
    <n v="0"/>
    <n v="0"/>
  </r>
  <r>
    <d v="2003-07-25T00:00:00"/>
    <n v="2003"/>
    <x v="21"/>
    <s v="R"/>
    <s v="RS"/>
    <x v="0"/>
    <s v="PHX"/>
    <s v="H"/>
    <n v="1"/>
    <n v="0"/>
    <n v="1"/>
    <n v="-1"/>
    <n v="8"/>
    <n v="-8"/>
    <n v="1560.6256517027221"/>
    <n v="1343.1993376324158"/>
    <n v="0.86143412547723475"/>
    <n v="82"/>
    <n v="53"/>
    <n v="0"/>
    <n v="29"/>
    <n v="1"/>
    <n v="0.58531123330900581"/>
    <n v="1"/>
    <n v="72.7"/>
    <n v="72.7"/>
    <n v="5.8962726436631909"/>
    <n v="1566.5219243463853"/>
    <n v="1"/>
    <n v="0"/>
    <n v="0"/>
    <n v="0"/>
    <n v="0"/>
    <n v="0"/>
    <n v="0"/>
    <n v="0"/>
    <n v="0"/>
    <n v="0"/>
  </r>
  <r>
    <d v="2003-07-26T00:00:00"/>
    <n v="2003"/>
    <x v="21"/>
    <s v="R"/>
    <s v="RS"/>
    <x v="4"/>
    <s v="CLE"/>
    <s v="A"/>
    <n v="1"/>
    <n v="3"/>
    <n v="-2"/>
    <n v="2"/>
    <n v="-16"/>
    <n v="16"/>
    <n v="1390.85563398262"/>
    <n v="1481.8215956421504"/>
    <n v="0.23301009779125781"/>
    <n v="78"/>
    <n v="89"/>
    <n v="0"/>
    <n v="-11"/>
    <n v="0"/>
    <n v="0.40884359462945818"/>
    <n v="1"/>
    <n v="72.7"/>
    <n v="72.7"/>
    <n v="-6.925742669723796"/>
    <n v="1383.9298913128962"/>
    <n v="0"/>
    <n v="1"/>
    <n v="0"/>
    <n v="0"/>
    <n v="0"/>
    <n v="0"/>
    <n v="0"/>
    <n v="0"/>
    <n v="0"/>
    <n v="0"/>
  </r>
  <r>
    <d v="2003-07-26T00:00:00"/>
    <n v="2003"/>
    <x v="21"/>
    <s v="R"/>
    <s v="RS"/>
    <x v="10"/>
    <s v="WAS"/>
    <s v="H"/>
    <n v="3"/>
    <n v="1"/>
    <n v="2"/>
    <n v="-2"/>
    <n v="16"/>
    <n v="-16"/>
    <n v="1481.8215956421504"/>
    <n v="1390.85563398262"/>
    <n v="0.76698990220874219"/>
    <n v="89"/>
    <n v="78"/>
    <n v="0"/>
    <n v="11"/>
    <n v="1"/>
    <n v="0.40884359462945818"/>
    <n v="1"/>
    <n v="72.7"/>
    <n v="72.7"/>
    <n v="6.925742669723796"/>
    <n v="1488.7473383118743"/>
    <n v="1"/>
    <n v="0"/>
    <n v="0"/>
    <n v="0"/>
    <n v="0"/>
    <n v="0"/>
    <n v="0"/>
    <n v="0"/>
    <n v="0"/>
    <n v="0"/>
  </r>
  <r>
    <d v="2003-07-26T00:00:00"/>
    <n v="2003"/>
    <x v="22"/>
    <s v="R"/>
    <s v="RS"/>
    <x v="5"/>
    <s v="CON"/>
    <s v="A"/>
    <n v="1"/>
    <n v="2"/>
    <n v="-1"/>
    <n v="1"/>
    <n v="-8"/>
    <n v="8"/>
    <n v="1526.5522509927291"/>
    <n v="1507.4268869982777"/>
    <n v="0.38566960512322629"/>
    <n v="70"/>
    <n v="74"/>
    <n v="0"/>
    <n v="-4"/>
    <n v="0"/>
    <n v="0.30654704833649588"/>
    <n v="1"/>
    <n v="72.55"/>
    <n v="72.55"/>
    <n v="-8.5772875275171323"/>
    <n v="1517.9749634652119"/>
    <n v="0"/>
    <n v="1"/>
    <n v="0"/>
    <n v="0"/>
    <n v="0"/>
    <n v="0"/>
    <n v="0"/>
    <n v="0"/>
    <n v="0"/>
    <n v="0"/>
  </r>
  <r>
    <d v="2003-07-26T00:00:00"/>
    <n v="2003"/>
    <x v="23"/>
    <s v="R"/>
    <s v="RS"/>
    <x v="7"/>
    <s v="CHA"/>
    <s v="H"/>
    <n v="2"/>
    <n v="1"/>
    <n v="1"/>
    <n v="-1"/>
    <n v="8"/>
    <n v="-8"/>
    <n v="1507.4268869982777"/>
    <n v="1526.5522509927291"/>
    <n v="0.61433039487677377"/>
    <n v="74"/>
    <n v="70"/>
    <n v="0"/>
    <n v="4"/>
    <n v="1"/>
    <n v="0.30654704833649588"/>
    <n v="1"/>
    <n v="72.400000000000006"/>
    <n v="72.400000000000006"/>
    <n v="8.5595536456545886"/>
    <n v="1515.9864406439324"/>
    <n v="1"/>
    <n v="0"/>
    <n v="0"/>
    <n v="0"/>
    <n v="0"/>
    <n v="0"/>
    <n v="0"/>
    <n v="0"/>
    <n v="0"/>
    <n v="0"/>
  </r>
  <r>
    <d v="2003-07-26T00:00:00"/>
    <n v="2003"/>
    <x v="19"/>
    <s v="R"/>
    <s v="RS"/>
    <x v="12"/>
    <s v="HOU"/>
    <s v="A"/>
    <n v="1"/>
    <n v="6"/>
    <n v="-5"/>
    <n v="5"/>
    <n v="-16"/>
    <n v="16"/>
    <n v="1487.7599359744397"/>
    <n v="1569.2714646827449"/>
    <n v="0.24287751987462844"/>
    <n v="53"/>
    <n v="61"/>
    <n v="0"/>
    <n v="-8"/>
    <n v="0"/>
    <n v="0.36361642604439781"/>
    <n v="1"/>
    <n v="73"/>
    <n v="73"/>
    <n v="-6.4469406692637907"/>
    <n v="1481.3129953051759"/>
    <n v="0"/>
    <n v="1"/>
    <n v="0"/>
    <n v="0"/>
    <n v="0"/>
    <n v="0"/>
    <n v="0"/>
    <n v="0"/>
    <n v="0"/>
    <n v="0"/>
  </r>
  <r>
    <d v="2003-07-26T00:00:00"/>
    <n v="2003"/>
    <x v="20"/>
    <s v="R"/>
    <s v="RS"/>
    <x v="1"/>
    <s v="NYL"/>
    <s v="H"/>
    <n v="6"/>
    <n v="1"/>
    <n v="5"/>
    <n v="-5"/>
    <n v="16"/>
    <n v="-16"/>
    <n v="1569.2714646827449"/>
    <n v="1487.7599359744397"/>
    <n v="0.75712248012537153"/>
    <n v="61"/>
    <n v="53"/>
    <n v="0"/>
    <n v="8"/>
    <n v="1"/>
    <n v="0.36361642604439781"/>
    <n v="1"/>
    <n v="72.849999999999994"/>
    <n v="72.849999999999994"/>
    <n v="6.4336935309022891"/>
    <n v="1575.7051582136471"/>
    <n v="1"/>
    <n v="0"/>
    <n v="0"/>
    <n v="0"/>
    <n v="0"/>
    <n v="0"/>
    <n v="0"/>
    <n v="0"/>
    <n v="0"/>
    <n v="0"/>
  </r>
  <r>
    <d v="2003-07-26T00:00:00"/>
    <n v="2003"/>
    <x v="22"/>
    <s v="R"/>
    <s v="RS"/>
    <x v="8"/>
    <s v="IND"/>
    <s v="A"/>
    <n v="0"/>
    <n v="1"/>
    <n v="-1"/>
    <n v="1"/>
    <n v="-8"/>
    <n v="8"/>
    <n v="1493.9660851806971"/>
    <n v="1543.2186967867003"/>
    <n v="0.29751339244859154"/>
    <n v="70"/>
    <n v="65"/>
    <n v="0"/>
    <n v="5"/>
    <n v="1"/>
    <n v="0.31867627640313845"/>
    <n v="1"/>
    <n v="72.55"/>
    <n v="72.55"/>
    <n v="16.241464973838664"/>
    <n v="1510.2075501545357"/>
    <n v="1"/>
    <n v="0"/>
    <n v="0"/>
    <n v="0"/>
    <n v="0"/>
    <n v="0"/>
    <n v="0"/>
    <n v="0"/>
    <n v="0"/>
    <n v="0"/>
  </r>
  <r>
    <d v="2003-07-26T00:00:00"/>
    <n v="2003"/>
    <x v="21"/>
    <s v="R"/>
    <s v="RS"/>
    <x v="11"/>
    <s v="MIN"/>
    <s v="H"/>
    <n v="1"/>
    <n v="0"/>
    <n v="1"/>
    <n v="-1"/>
    <n v="8"/>
    <n v="-8"/>
    <n v="1543.2186967867003"/>
    <n v="1493.9660851806971"/>
    <n v="0.70248660755140846"/>
    <n v="65"/>
    <n v="70"/>
    <n v="0"/>
    <n v="-5"/>
    <n v="0"/>
    <n v="0.31867627640313845"/>
    <n v="1"/>
    <n v="72.7"/>
    <n v="72.7"/>
    <n v="-16.275044846286299"/>
    <n v="1526.9436519404139"/>
    <n v="0"/>
    <n v="1"/>
    <n v="0"/>
    <n v="0"/>
    <n v="0"/>
    <n v="0"/>
    <n v="0"/>
    <n v="0"/>
    <n v="0"/>
    <n v="0"/>
  </r>
  <r>
    <d v="2003-07-26T00:00:00"/>
    <n v="2003"/>
    <x v="22"/>
    <s v="R"/>
    <s v="RS"/>
    <x v="0"/>
    <s v="SAC"/>
    <s v="A"/>
    <n v="0"/>
    <n v="1"/>
    <n v="-1"/>
    <n v="1"/>
    <n v="-8"/>
    <n v="8"/>
    <n v="1566.5219243463853"/>
    <n v="1516.8644574139528"/>
    <n v="0.42805407590002226"/>
    <n v="63"/>
    <n v="76"/>
    <n v="0"/>
    <n v="-13"/>
    <n v="0"/>
    <n v="0.45328621783649814"/>
    <n v="1"/>
    <n v="72.55"/>
    <n v="72.55"/>
    <n v="-14.076949999985546"/>
    <n v="1552.4449743463997"/>
    <n v="0"/>
    <n v="1"/>
    <n v="0"/>
    <n v="0"/>
    <n v="0"/>
    <n v="0"/>
    <n v="0"/>
    <n v="0"/>
    <n v="0"/>
    <n v="0"/>
  </r>
  <r>
    <d v="2003-07-26T00:00:00"/>
    <n v="2003"/>
    <x v="23"/>
    <s v="R"/>
    <s v="RS"/>
    <x v="2"/>
    <s v="SEA"/>
    <s v="H"/>
    <n v="1"/>
    <n v="0"/>
    <n v="1"/>
    <n v="-1"/>
    <n v="8"/>
    <n v="-8"/>
    <n v="1516.8644574139528"/>
    <n v="1566.5219243463853"/>
    <n v="0.57194592409997769"/>
    <n v="76"/>
    <n v="63"/>
    <n v="0"/>
    <n v="13"/>
    <n v="1"/>
    <n v="0.45328621783649814"/>
    <n v="1"/>
    <n v="72.400000000000006"/>
    <n v="72.400000000000006"/>
    <n v="14.047845348021415"/>
    <n v="1530.9123027619742"/>
    <n v="1"/>
    <n v="0"/>
    <n v="0"/>
    <n v="0"/>
    <n v="0"/>
    <n v="0"/>
    <n v="0"/>
    <n v="0"/>
    <n v="0"/>
    <n v="0"/>
  </r>
  <r>
    <d v="2003-07-27T00:00:00"/>
    <n v="2003"/>
    <x v="22"/>
    <s v="R"/>
    <s v="RS"/>
    <x v="4"/>
    <s v="DET"/>
    <s v="A"/>
    <n v="0"/>
    <n v="2"/>
    <n v="-2"/>
    <n v="2"/>
    <n v="-16"/>
    <n v="16"/>
    <n v="1383.9298913128962"/>
    <n v="1555.9610751026332"/>
    <n v="0.16002517490111715"/>
    <n v="71"/>
    <n v="81"/>
    <n v="0"/>
    <n v="-10"/>
    <n v="0"/>
    <n v="0.37007587378316759"/>
    <n v="1"/>
    <n v="72.55"/>
    <n v="72.55"/>
    <n v="-4.2965166639119898"/>
    <n v="1379.6333746489843"/>
    <n v="0"/>
    <n v="1"/>
    <n v="0"/>
    <n v="0"/>
    <n v="0"/>
    <n v="0"/>
    <n v="0"/>
    <n v="0"/>
    <n v="0"/>
    <n v="0"/>
  </r>
  <r>
    <d v="2003-07-27T00:00:00"/>
    <n v="2003"/>
    <x v="20"/>
    <s v="R"/>
    <s v="RS"/>
    <x v="13"/>
    <s v="WAS"/>
    <s v="H"/>
    <n v="2"/>
    <n v="0"/>
    <n v="2"/>
    <n v="-2"/>
    <n v="16"/>
    <n v="-16"/>
    <n v="1555.9610751026332"/>
    <n v="1383.9298913128962"/>
    <n v="0.83997482509888288"/>
    <n v="81"/>
    <n v="71"/>
    <n v="0"/>
    <n v="10"/>
    <n v="1"/>
    <n v="0.37007587378316759"/>
    <n v="1"/>
    <n v="72.849999999999994"/>
    <n v="72.849999999999994"/>
    <n v="4.3142831008406395"/>
    <n v="1560.2753582034738"/>
    <n v="1"/>
    <n v="0"/>
    <n v="0"/>
    <n v="0"/>
    <n v="0"/>
    <n v="0"/>
    <n v="0"/>
    <n v="0"/>
    <n v="0"/>
    <n v="0"/>
  </r>
  <r>
    <d v="2003-07-27T00:00:00"/>
    <n v="2003"/>
    <x v="22"/>
    <s v="R"/>
    <s v="RS"/>
    <x v="10"/>
    <s v="SAS"/>
    <s v="A"/>
    <n v="0"/>
    <n v="1"/>
    <n v="-1"/>
    <n v="1"/>
    <n v="-8"/>
    <n v="8"/>
    <n v="1488.7473383118743"/>
    <n v="1377.0901466698729"/>
    <n v="0.5167697549736513"/>
    <n v="55"/>
    <n v="64"/>
    <n v="0"/>
    <n v="-9"/>
    <n v="0"/>
    <n v="0.37141246636770359"/>
    <n v="1"/>
    <n v="72.55"/>
    <n v="72.55"/>
    <n v="-13.924864606289281"/>
    <n v="1474.822473705585"/>
    <n v="0"/>
    <n v="1"/>
    <n v="0"/>
    <n v="0"/>
    <n v="0"/>
    <n v="0"/>
    <n v="0"/>
    <n v="0"/>
    <n v="0"/>
    <n v="0"/>
  </r>
  <r>
    <d v="2003-07-27T00:00:00"/>
    <n v="2003"/>
    <x v="22"/>
    <s v="R"/>
    <s v="RS"/>
    <x v="9"/>
    <s v="CLE"/>
    <s v="H"/>
    <n v="1"/>
    <n v="0"/>
    <n v="1"/>
    <n v="-1"/>
    <n v="8"/>
    <n v="-8"/>
    <n v="1377.0901466698729"/>
    <n v="1488.7473383118743"/>
    <n v="0.48323024502634876"/>
    <n v="64"/>
    <n v="55"/>
    <n v="0"/>
    <n v="9"/>
    <n v="1"/>
    <n v="0.37141246636770359"/>
    <n v="1"/>
    <n v="72.55"/>
    <n v="72.55"/>
    <n v="13.924864606289278"/>
    <n v="1391.0150112761621"/>
    <n v="1"/>
    <n v="0"/>
    <n v="0"/>
    <n v="0"/>
    <n v="0"/>
    <n v="0"/>
    <n v="0"/>
    <n v="0"/>
    <n v="0"/>
    <n v="0"/>
  </r>
  <r>
    <d v="2003-07-29T00:00:00"/>
    <n v="2003"/>
    <x v="21"/>
    <s v="R"/>
    <s v="RS"/>
    <x v="13"/>
    <s v="CLE"/>
    <s v="A"/>
    <n v="1"/>
    <n v="1"/>
    <n v="0"/>
    <n v="0"/>
    <n v="0"/>
    <n v="0"/>
    <n v="1560.2753582034738"/>
    <n v="1474.822473705585"/>
    <n v="0.50209085667913467"/>
    <n v="77"/>
    <n v="65"/>
    <n v="0"/>
    <n v="12"/>
    <n v="1"/>
    <n v="0.4258073853135827"/>
    <n v="1"/>
    <n v="72.7"/>
    <n v="72.7"/>
    <n v="15.413373485074047"/>
    <n v="1575.6887316885479"/>
    <n v="1"/>
    <n v="0"/>
    <n v="0"/>
    <n v="0"/>
    <n v="0"/>
    <n v="0"/>
    <n v="0"/>
    <n v="0"/>
    <n v="0"/>
    <n v="0"/>
  </r>
  <r>
    <d v="2003-07-29T00:00:00"/>
    <n v="2003"/>
    <x v="23"/>
    <s v="R"/>
    <s v="RS"/>
    <x v="10"/>
    <s v="DET"/>
    <s v="H"/>
    <n v="1"/>
    <n v="1"/>
    <n v="0"/>
    <n v="0"/>
    <n v="0"/>
    <n v="0"/>
    <n v="1474.822473705585"/>
    <n v="1560.2753582034738"/>
    <n v="0.49790914332086533"/>
    <n v="65"/>
    <n v="77"/>
    <n v="0"/>
    <n v="-12"/>
    <n v="0"/>
    <n v="0.4258073853135827"/>
    <n v="1"/>
    <n v="72.400000000000006"/>
    <n v="72.400000000000006"/>
    <n v="-15.349769467941691"/>
    <n v="1459.4727042376433"/>
    <n v="0"/>
    <n v="1"/>
    <n v="0"/>
    <n v="0"/>
    <n v="0"/>
    <n v="0"/>
    <n v="0"/>
    <n v="0"/>
    <n v="0"/>
    <n v="0"/>
  </r>
  <r>
    <d v="2003-07-29T00:00:00"/>
    <n v="2003"/>
    <x v="23"/>
    <s v="R"/>
    <s v="RS"/>
    <x v="8"/>
    <s v="HOU"/>
    <s v="A"/>
    <n v="2"/>
    <n v="2"/>
    <n v="0"/>
    <n v="0"/>
    <n v="0"/>
    <n v="0"/>
    <n v="1510.2075501545357"/>
    <n v="1575.7051582136471"/>
    <n v="0.29721872240451047"/>
    <n v="58"/>
    <n v="73"/>
    <n v="0"/>
    <n v="-15"/>
    <n v="0"/>
    <n v="0.47682242132403191"/>
    <n v="1"/>
    <n v="72.400000000000006"/>
    <n v="72.400000000000006"/>
    <n v="-10.260567883694188"/>
    <n v="1499.9469822708415"/>
    <n v="0"/>
    <n v="1"/>
    <n v="0"/>
    <n v="0"/>
    <n v="0"/>
    <n v="0"/>
    <n v="0"/>
    <n v="0"/>
    <n v="0"/>
    <n v="0"/>
  </r>
  <r>
    <d v="2003-07-29T00:00:00"/>
    <n v="2003"/>
    <x v="21"/>
    <s v="R"/>
    <s v="RS"/>
    <x v="1"/>
    <s v="MIN"/>
    <s v="H"/>
    <n v="2"/>
    <n v="2"/>
    <n v="0"/>
    <n v="0"/>
    <n v="0"/>
    <n v="0"/>
    <n v="1575.7051582136471"/>
    <n v="1510.2075501545357"/>
    <n v="0.70278127759548947"/>
    <n v="73"/>
    <n v="58"/>
    <n v="0"/>
    <n v="15"/>
    <n v="1"/>
    <n v="0.47682242132403191"/>
    <n v="1"/>
    <n v="72.7"/>
    <n v="72.7"/>
    <n v="10.303084048958116"/>
    <n v="1586.0082422626053"/>
    <n v="1"/>
    <n v="0"/>
    <n v="0"/>
    <n v="0"/>
    <n v="0"/>
    <n v="0"/>
    <n v="0"/>
    <n v="0"/>
    <n v="0"/>
    <n v="0"/>
  </r>
  <r>
    <d v="2003-07-29T00:00:00"/>
    <n v="2003"/>
    <x v="20"/>
    <s v="R"/>
    <s v="RS"/>
    <x v="12"/>
    <s v="PHX"/>
    <s v="A"/>
    <n v="2"/>
    <n v="3"/>
    <n v="-1"/>
    <n v="1"/>
    <n v="-8"/>
    <n v="8"/>
    <n v="1481.3129953051759"/>
    <n v="1337.2908993643159"/>
    <n v="0.56301602187778776"/>
    <n v="59"/>
    <n v="66"/>
    <n v="0"/>
    <n v="-7"/>
    <n v="0"/>
    <n v="0.3304473998797462"/>
    <n v="1"/>
    <n v="72.849999999999994"/>
    <n v="72.849999999999994"/>
    <n v="-13.553537100893164"/>
    <n v="1467.7594582042827"/>
    <n v="0"/>
    <n v="1"/>
    <n v="0"/>
    <n v="0"/>
    <n v="0"/>
    <n v="0"/>
    <n v="0"/>
    <n v="0"/>
    <n v="0"/>
    <n v="0"/>
  </r>
  <r>
    <d v="2003-07-29T00:00:00"/>
    <n v="2003"/>
    <x v="21"/>
    <s v="R"/>
    <s v="RS"/>
    <x v="3"/>
    <s v="NYL"/>
    <s v="H"/>
    <n v="3"/>
    <n v="2"/>
    <n v="1"/>
    <n v="-1"/>
    <n v="8"/>
    <n v="-8"/>
    <n v="1337.2908993643159"/>
    <n v="1481.3129953051759"/>
    <n v="0.43698397812221218"/>
    <n v="66"/>
    <n v="59"/>
    <n v="0"/>
    <n v="7"/>
    <n v="1"/>
    <n v="0.3304473998797462"/>
    <n v="1"/>
    <n v="72.7"/>
    <n v="72.7"/>
    <n v="13.525630023815143"/>
    <n v="1350.8165293881311"/>
    <n v="1"/>
    <n v="0"/>
    <n v="0"/>
    <n v="0"/>
    <n v="0"/>
    <n v="0"/>
    <n v="0"/>
    <n v="0"/>
    <n v="0"/>
    <n v="0"/>
  </r>
  <r>
    <d v="2003-07-29T00:00:00"/>
    <n v="2003"/>
    <x v="22"/>
    <s v="R"/>
    <s v="RS"/>
    <x v="11"/>
    <s v="WAS"/>
    <s v="A"/>
    <n v="2"/>
    <n v="1"/>
    <n v="1"/>
    <n v="-1"/>
    <n v="8"/>
    <n v="-8"/>
    <n v="1526.9436519404139"/>
    <n v="1379.6333746489843"/>
    <n v="0.61219462780589617"/>
    <n v="92"/>
    <n v="91"/>
    <n v="1"/>
    <n v="1"/>
    <n v="1"/>
    <n v="0.19573371411719315"/>
    <n v="1"/>
    <n v="72.55"/>
    <n v="72.55"/>
    <n v="5.5070228037187565"/>
    <n v="1532.4506747441326"/>
    <n v="1"/>
    <n v="0"/>
    <n v="0"/>
    <n v="0"/>
    <n v="0"/>
    <n v="0"/>
    <n v="0"/>
    <n v="0"/>
    <n v="0"/>
    <n v="0"/>
  </r>
  <r>
    <d v="2003-07-29T00:00:00"/>
    <n v="2003"/>
    <x v="23"/>
    <s v="R"/>
    <s v="RS"/>
    <x v="4"/>
    <s v="IND"/>
    <s v="H"/>
    <n v="1"/>
    <n v="2"/>
    <n v="-1"/>
    <n v="1"/>
    <n v="-8"/>
    <n v="8"/>
    <n v="1379.6333746489843"/>
    <n v="1526.9436519404139"/>
    <n v="0.38780537219410388"/>
    <n v="91"/>
    <n v="92"/>
    <n v="1"/>
    <n v="-1"/>
    <n v="0"/>
    <n v="0.19573371411719315"/>
    <n v="1"/>
    <n v="72.400000000000006"/>
    <n v="72.400000000000006"/>
    <n v="-5.4956368158406352"/>
    <n v="1374.1377378331435"/>
    <n v="0"/>
    <n v="1"/>
    <n v="0"/>
    <n v="0"/>
    <n v="0"/>
    <n v="0"/>
    <n v="0"/>
    <n v="0"/>
    <n v="0"/>
    <n v="0"/>
  </r>
  <r>
    <d v="2003-07-30T00:00:00"/>
    <n v="2003"/>
    <x v="23"/>
    <s v="R"/>
    <s v="RS"/>
    <x v="9"/>
    <s v="LAS"/>
    <s v="A"/>
    <n v="2"/>
    <n v="5"/>
    <n v="-3"/>
    <n v="3"/>
    <n v="-16"/>
    <n v="16"/>
    <n v="1391.0150112761621"/>
    <n v="1659.5684839290946"/>
    <n v="9.8529818795665941E-2"/>
    <n v="70"/>
    <n v="62"/>
    <n v="0"/>
    <n v="8"/>
    <n v="1"/>
    <n v="0.31730451133101689"/>
    <n v="1"/>
    <n v="72.400000000000006"/>
    <n v="72.400000000000006"/>
    <n v="20.709336205640376"/>
    <n v="1411.7243474818024"/>
    <n v="1"/>
    <n v="0"/>
    <n v="0"/>
    <n v="0"/>
    <n v="0"/>
    <n v="0"/>
    <n v="0"/>
    <n v="0"/>
    <n v="0"/>
    <n v="0"/>
  </r>
  <r>
    <d v="2003-07-30T00:00:00"/>
    <n v="2003"/>
    <x v="23"/>
    <s v="R"/>
    <s v="RS"/>
    <x v="6"/>
    <s v="SAS"/>
    <s v="H"/>
    <n v="5"/>
    <n v="2"/>
    <n v="3"/>
    <n v="-3"/>
    <n v="16"/>
    <n v="-16"/>
    <n v="1659.5684839290946"/>
    <n v="1391.0150112761621"/>
    <n v="0.90147018120433398"/>
    <n v="62"/>
    <n v="70"/>
    <n v="0"/>
    <n v="-8"/>
    <n v="0"/>
    <n v="0.31730451133101689"/>
    <n v="1"/>
    <n v="72.400000000000006"/>
    <n v="72.400000000000006"/>
    <n v="-20.709336205640373"/>
    <n v="1638.8591477234543"/>
    <n v="0"/>
    <n v="1"/>
    <n v="0"/>
    <n v="0"/>
    <n v="0"/>
    <n v="0"/>
    <n v="0"/>
    <n v="0"/>
    <n v="0"/>
    <n v="0"/>
  </r>
  <r>
    <d v="2003-07-31T00:00:00"/>
    <n v="2003"/>
    <x v="24"/>
    <s v="R"/>
    <s v="RS"/>
    <x v="6"/>
    <s v="SAC"/>
    <s v="A"/>
    <n v="0"/>
    <n v="4"/>
    <n v="-4"/>
    <n v="4"/>
    <n v="-16"/>
    <n v="16"/>
    <n v="1638.8591477234543"/>
    <n v="1530.9123027619742"/>
    <n v="0.48841265334572315"/>
    <n v="75"/>
    <n v="83"/>
    <n v="0"/>
    <n v="-8"/>
    <n v="0"/>
    <n v="0.35626726254103236"/>
    <n v="1"/>
    <n v="72.25"/>
    <n v="72.25"/>
    <n v="-12.571892967597046"/>
    <n v="1626.2872547558572"/>
    <n v="0"/>
    <n v="1"/>
    <n v="0"/>
    <n v="0"/>
    <n v="0"/>
    <n v="0"/>
    <n v="0"/>
    <n v="0"/>
    <n v="0"/>
    <n v="0"/>
  </r>
  <r>
    <d v="2003-07-31T00:00:00"/>
    <n v="2003"/>
    <x v="24"/>
    <s v="R"/>
    <s v="RS"/>
    <x v="2"/>
    <s v="LAS"/>
    <s v="H"/>
    <n v="4"/>
    <n v="0"/>
    <n v="4"/>
    <n v="-4"/>
    <n v="16"/>
    <n v="-16"/>
    <n v="1530.9123027619742"/>
    <n v="1638.8591477234543"/>
    <n v="0.51158734665427685"/>
    <n v="83"/>
    <n v="75"/>
    <n v="0"/>
    <n v="8"/>
    <n v="1"/>
    <n v="0.35626726254103236"/>
    <n v="1"/>
    <n v="72.25"/>
    <n v="72.25"/>
    <n v="12.571892967597046"/>
    <n v="1543.4841957295712"/>
    <n v="1"/>
    <n v="0"/>
    <n v="0"/>
    <n v="0"/>
    <n v="0"/>
    <n v="0"/>
    <n v="0"/>
    <n v="0"/>
    <n v="0"/>
    <n v="0"/>
  </r>
  <r>
    <d v="2003-07-31T00:00:00"/>
    <n v="2003"/>
    <x v="23"/>
    <s v="R"/>
    <s v="RS"/>
    <x v="5"/>
    <s v="SEA"/>
    <s v="A"/>
    <n v="4"/>
    <n v="4"/>
    <n v="0"/>
    <n v="0"/>
    <n v="0"/>
    <n v="0"/>
    <n v="1517.9749634652119"/>
    <n v="1552.4449743463997"/>
    <n v="0.335822161842106"/>
    <n v="54"/>
    <n v="69"/>
    <n v="0"/>
    <n v="-15"/>
    <n v="0"/>
    <n v="0.48880704135030822"/>
    <n v="1"/>
    <n v="72.400000000000006"/>
    <n v="72.400000000000006"/>
    <n v="-11.884621984133066"/>
    <n v="1506.0903414810789"/>
    <n v="0"/>
    <n v="1"/>
    <n v="0"/>
    <n v="0"/>
    <n v="0"/>
    <n v="0"/>
    <n v="0"/>
    <n v="0"/>
    <n v="0"/>
    <n v="0"/>
  </r>
  <r>
    <d v="2003-07-31T00:00:00"/>
    <n v="2003"/>
    <x v="23"/>
    <s v="R"/>
    <s v="RS"/>
    <x v="0"/>
    <s v="CHA"/>
    <s v="H"/>
    <n v="4"/>
    <n v="4"/>
    <n v="0"/>
    <n v="0"/>
    <n v="0"/>
    <n v="0"/>
    <n v="1552.4449743463997"/>
    <n v="1517.9749634652119"/>
    <n v="0.664177838157894"/>
    <n v="69"/>
    <n v="54"/>
    <n v="0"/>
    <n v="15"/>
    <n v="1"/>
    <n v="0.48880704135030822"/>
    <n v="1"/>
    <n v="72.400000000000006"/>
    <n v="72.400000000000006"/>
    <n v="11.884621984133066"/>
    <n v="1564.3295963305327"/>
    <n v="1"/>
    <n v="0"/>
    <n v="0"/>
    <n v="0"/>
    <n v="0"/>
    <n v="0"/>
    <n v="0"/>
    <n v="0"/>
    <n v="0"/>
    <n v="0"/>
  </r>
  <r>
    <d v="2003-08-01T00:00:00"/>
    <n v="2003"/>
    <x v="22"/>
    <s v="R"/>
    <s v="RS"/>
    <x v="3"/>
    <s v="CLE"/>
    <s v="A"/>
    <n v="2"/>
    <n v="2"/>
    <n v="0"/>
    <n v="0"/>
    <n v="0"/>
    <n v="0"/>
    <n v="1350.8165293881311"/>
    <n v="1459.4727042376433"/>
    <n v="0.24805399212095428"/>
    <n v="56"/>
    <n v="73"/>
    <n v="0"/>
    <n v="-17"/>
    <n v="0"/>
    <n v="0.48823403364284745"/>
    <n v="1"/>
    <n v="72.55"/>
    <n v="72.55"/>
    <n v="-8.7864145023025042"/>
    <n v="1342.0301148858287"/>
    <n v="0"/>
    <n v="1"/>
    <n v="0"/>
    <n v="0"/>
    <n v="0"/>
    <n v="0"/>
    <n v="0"/>
    <n v="0"/>
    <n v="0"/>
    <n v="0"/>
  </r>
  <r>
    <d v="2003-08-01T00:00:00"/>
    <n v="2003"/>
    <x v="24"/>
    <s v="R"/>
    <s v="RS"/>
    <x v="10"/>
    <s v="PHX"/>
    <s v="H"/>
    <n v="2"/>
    <n v="2"/>
    <n v="0"/>
    <n v="0"/>
    <n v="0"/>
    <n v="0"/>
    <n v="1459.4727042376433"/>
    <n v="1350.8165293881311"/>
    <n v="0.75194600787904575"/>
    <n v="73"/>
    <n v="56"/>
    <n v="0"/>
    <n v="17"/>
    <n v="1"/>
    <n v="0.48823403364284745"/>
    <n v="1"/>
    <n v="72.25"/>
    <n v="72.25"/>
    <n v="8.7500819819621771"/>
    <n v="1468.2227862196055"/>
    <n v="1"/>
    <n v="0"/>
    <n v="0"/>
    <n v="0"/>
    <n v="0"/>
    <n v="0"/>
    <n v="0"/>
    <n v="0"/>
    <n v="0"/>
    <n v="0"/>
  </r>
  <r>
    <d v="2003-08-01T00:00:00"/>
    <n v="2003"/>
    <x v="24"/>
    <s v="R"/>
    <s v="RS"/>
    <x v="4"/>
    <s v="CON"/>
    <s v="A"/>
    <n v="2"/>
    <n v="5"/>
    <n v="-3"/>
    <n v="3"/>
    <n v="-16"/>
    <n v="16"/>
    <n v="1374.1377378331435"/>
    <n v="1515.9864406439324"/>
    <n v="0.18477934305645502"/>
    <n v="48"/>
    <n v="45"/>
    <n v="0"/>
    <n v="3"/>
    <n v="1"/>
    <n v="0.25950781529171507"/>
    <n v="1"/>
    <n v="72.25"/>
    <n v="72.25"/>
    <n v="15.284930512730941"/>
    <n v="1389.4226683458744"/>
    <n v="1"/>
    <n v="0"/>
    <n v="0"/>
    <n v="0"/>
    <n v="0"/>
    <n v="0"/>
    <n v="0"/>
    <n v="0"/>
    <n v="0"/>
    <n v="0"/>
  </r>
  <r>
    <d v="2003-08-01T00:00:00"/>
    <n v="2003"/>
    <x v="24"/>
    <s v="R"/>
    <s v="RS"/>
    <x v="7"/>
    <s v="WAS"/>
    <s v="H"/>
    <n v="5"/>
    <n v="2"/>
    <n v="3"/>
    <n v="-3"/>
    <n v="16"/>
    <n v="-16"/>
    <n v="1515.9864406439324"/>
    <n v="1374.1377378331435"/>
    <n v="0.81522065694354495"/>
    <n v="45"/>
    <n v="48"/>
    <n v="0"/>
    <n v="-3"/>
    <n v="0"/>
    <n v="0.25950781529171507"/>
    <n v="1"/>
    <n v="72.25"/>
    <n v="72.25"/>
    <n v="-15.284930512730941"/>
    <n v="1500.7015101312015"/>
    <n v="0"/>
    <n v="1"/>
    <n v="0"/>
    <n v="0"/>
    <n v="0"/>
    <n v="0"/>
    <n v="0"/>
    <n v="0"/>
    <n v="0"/>
    <n v="0"/>
  </r>
  <r>
    <d v="2003-08-01T00:00:00"/>
    <n v="2003"/>
    <x v="22"/>
    <s v="R"/>
    <s v="RS"/>
    <x v="13"/>
    <s v="NYL"/>
    <s v="A"/>
    <n v="2"/>
    <n v="2"/>
    <n v="0"/>
    <n v="0"/>
    <n v="0"/>
    <n v="0"/>
    <n v="1575.6887316885479"/>
    <n v="1467.7594582042827"/>
    <n v="0.5343826438089756"/>
    <n v="62"/>
    <n v="60"/>
    <n v="0"/>
    <n v="2"/>
    <n v="1"/>
    <n v="0.24573927007183122"/>
    <n v="1"/>
    <n v="72.55"/>
    <n v="72.55"/>
    <n v="8.3012050435911249"/>
    <n v="1583.9899367321391"/>
    <n v="1"/>
    <n v="0"/>
    <n v="0"/>
    <n v="0"/>
    <n v="0"/>
    <n v="0"/>
    <n v="0"/>
    <n v="0"/>
    <n v="0"/>
    <n v="0"/>
  </r>
  <r>
    <d v="2003-08-01T00:00:00"/>
    <n v="2003"/>
    <x v="21"/>
    <s v="R"/>
    <s v="RS"/>
    <x v="12"/>
    <s v="DET"/>
    <s v="H"/>
    <n v="2"/>
    <n v="2"/>
    <n v="0"/>
    <n v="0"/>
    <n v="0"/>
    <n v="0"/>
    <n v="1467.7594582042827"/>
    <n v="1575.6887316885479"/>
    <n v="0.4656173561910244"/>
    <n v="60"/>
    <n v="62"/>
    <n v="0"/>
    <n v="-2"/>
    <n v="0"/>
    <n v="0.24573927007183122"/>
    <n v="1"/>
    <n v="72.7"/>
    <n v="72.7"/>
    <n v="-8.3183681139776002"/>
    <n v="1459.4410900903051"/>
    <n v="0"/>
    <n v="1"/>
    <n v="0"/>
    <n v="0"/>
    <n v="0"/>
    <n v="0"/>
    <n v="0"/>
    <n v="0"/>
    <n v="0"/>
    <n v="0"/>
  </r>
  <r>
    <d v="2003-08-01T00:00:00"/>
    <n v="2003"/>
    <x v="22"/>
    <s v="R"/>
    <s v="RS"/>
    <x v="1"/>
    <s v="SAS"/>
    <s v="A"/>
    <n v="2"/>
    <n v="1"/>
    <n v="1"/>
    <n v="-1"/>
    <n v="8"/>
    <n v="-8"/>
    <n v="1586.0082422626053"/>
    <n v="1411.7243474818024"/>
    <n v="0.64835569251932668"/>
    <n v="53"/>
    <n v="63"/>
    <n v="0"/>
    <n v="-10"/>
    <n v="0"/>
    <n v="0.36946924949573628"/>
    <n v="1"/>
    <n v="72.55"/>
    <n v="72.55"/>
    <n v="-17.379170480857859"/>
    <n v="1568.6290717817474"/>
    <n v="0"/>
    <n v="1"/>
    <n v="0"/>
    <n v="0"/>
    <n v="0"/>
    <n v="0"/>
    <n v="0"/>
    <n v="0"/>
    <n v="0"/>
    <n v="0"/>
  </r>
  <r>
    <d v="2003-08-01T00:00:00"/>
    <n v="2003"/>
    <x v="24"/>
    <s v="R"/>
    <s v="RS"/>
    <x v="9"/>
    <s v="HOU"/>
    <s v="H"/>
    <n v="1"/>
    <n v="2"/>
    <n v="-1"/>
    <n v="1"/>
    <n v="-8"/>
    <n v="8"/>
    <n v="1411.7243474818024"/>
    <n v="1586.0082422626053"/>
    <n v="0.35164430748067332"/>
    <n v="63"/>
    <n v="53"/>
    <n v="0"/>
    <n v="10"/>
    <n v="1"/>
    <n v="0.36946924949573628"/>
    <n v="1"/>
    <n v="72.25"/>
    <n v="72.25"/>
    <n v="17.307306233521437"/>
    <n v="1429.0316537153237"/>
    <n v="1"/>
    <n v="0"/>
    <n v="0"/>
    <n v="0"/>
    <n v="0"/>
    <n v="0"/>
    <n v="0"/>
    <n v="0"/>
    <n v="0"/>
    <n v="0"/>
  </r>
  <r>
    <d v="2003-08-02T00:00:00"/>
    <n v="2003"/>
    <x v="23"/>
    <s v="R"/>
    <s v="RS"/>
    <x v="11"/>
    <s v="DET"/>
    <s v="A"/>
    <n v="3"/>
    <n v="0"/>
    <n v="3"/>
    <n v="-3"/>
    <n v="16"/>
    <n v="-16"/>
    <n v="1532.4506747441326"/>
    <n v="1583.9899367321391"/>
    <n v="0.35525480423906941"/>
    <n v="58"/>
    <n v="72"/>
    <n v="0"/>
    <n v="-14"/>
    <n v="0"/>
    <n v="0.46752806085481702"/>
    <n v="1"/>
    <n v="72.400000000000006"/>
    <n v="72.400000000000006"/>
    <n v="-12.025031096832082"/>
    <n v="1520.4256436473006"/>
    <n v="0"/>
    <n v="1"/>
    <n v="0"/>
    <n v="0"/>
    <n v="0"/>
    <n v="0"/>
    <n v="0"/>
    <n v="0"/>
    <n v="0"/>
    <n v="0"/>
  </r>
  <r>
    <d v="2003-08-02T00:00:00"/>
    <n v="2003"/>
    <x v="23"/>
    <s v="R"/>
    <s v="RS"/>
    <x v="13"/>
    <s v="IND"/>
    <s v="H"/>
    <n v="0"/>
    <n v="3"/>
    <n v="-3"/>
    <n v="3"/>
    <n v="-16"/>
    <n v="16"/>
    <n v="1583.9899367321391"/>
    <n v="1532.4506747441326"/>
    <n v="0.64474519576093059"/>
    <n v="72"/>
    <n v="58"/>
    <n v="0"/>
    <n v="14"/>
    <n v="1"/>
    <n v="0.46752806085481702"/>
    <n v="1"/>
    <n v="72.400000000000006"/>
    <n v="72.400000000000006"/>
    <n v="12.025031096832082"/>
    <n v="1596.0149678289711"/>
    <n v="1"/>
    <n v="0"/>
    <n v="0"/>
    <n v="0"/>
    <n v="0"/>
    <n v="0"/>
    <n v="0"/>
    <n v="0"/>
    <n v="0"/>
    <n v="0"/>
  </r>
  <r>
    <d v="2003-08-02T00:00:00"/>
    <n v="2003"/>
    <x v="25"/>
    <s v="R"/>
    <s v="RS"/>
    <x v="9"/>
    <s v="HOU"/>
    <s v="A"/>
    <n v="0"/>
    <n v="0"/>
    <n v="0"/>
    <n v="0"/>
    <n v="0"/>
    <n v="0"/>
    <n v="1429.0316537153237"/>
    <n v="1568.6290717817474"/>
    <n v="0.21633894962449834"/>
    <n v="55"/>
    <n v="64"/>
    <n v="0"/>
    <n v="-9"/>
    <n v="0"/>
    <n v="0.36366584916225586"/>
    <n v="1"/>
    <n v="72.099999999999994"/>
    <n v="72.099999999999994"/>
    <n v="-5.672473831970791"/>
    <n v="1423.3591798833529"/>
    <n v="0"/>
    <n v="1"/>
    <n v="0"/>
    <n v="0"/>
    <n v="0"/>
    <n v="0"/>
    <n v="0"/>
    <n v="0"/>
    <n v="0"/>
    <n v="0"/>
  </r>
  <r>
    <d v="2003-08-02T00:00:00"/>
    <n v="2003"/>
    <x v="23"/>
    <s v="R"/>
    <s v="RS"/>
    <x v="1"/>
    <s v="SAS"/>
    <s v="H"/>
    <n v="0"/>
    <n v="0"/>
    <n v="0"/>
    <n v="0"/>
    <n v="0"/>
    <n v="0"/>
    <n v="1568.6290717817474"/>
    <n v="1429.0316537153237"/>
    <n v="0.7836610503755016"/>
    <n v="64"/>
    <n v="55"/>
    <n v="0"/>
    <n v="9"/>
    <n v="1"/>
    <n v="0.36366584916225586"/>
    <n v="1"/>
    <n v="72.400000000000006"/>
    <n v="72.400000000000006"/>
    <n v="5.6960763583174128"/>
    <n v="1574.3251481400648"/>
    <n v="1"/>
    <n v="0"/>
    <n v="0"/>
    <n v="0"/>
    <n v="0"/>
    <n v="0"/>
    <n v="0"/>
    <n v="0"/>
    <n v="0"/>
    <n v="0"/>
  </r>
  <r>
    <d v="2003-08-02T00:00:00"/>
    <n v="2003"/>
    <x v="24"/>
    <s v="R"/>
    <s v="RS"/>
    <x v="5"/>
    <s v="LAS"/>
    <s v="A"/>
    <n v="1"/>
    <n v="1"/>
    <n v="0"/>
    <n v="0"/>
    <n v="0"/>
    <n v="0"/>
    <n v="1506.0903414810789"/>
    <n v="1626.2872547558572"/>
    <n v="0.23587093805577308"/>
    <n v="84"/>
    <n v="73"/>
    <n v="0"/>
    <n v="11"/>
    <n v="1"/>
    <n v="0.39979124250482451"/>
    <n v="1"/>
    <n v="72.25"/>
    <n v="72.25"/>
    <n v="22.071804738605632"/>
    <n v="1528.1621462196845"/>
    <n v="1"/>
    <n v="0"/>
    <n v="0"/>
    <n v="0"/>
    <n v="0"/>
    <n v="0"/>
    <n v="0"/>
    <n v="0"/>
    <n v="0"/>
    <n v="0"/>
  </r>
  <r>
    <d v="2003-08-02T00:00:00"/>
    <n v="2003"/>
    <x v="25"/>
    <s v="R"/>
    <s v="RS"/>
    <x v="6"/>
    <s v="CHA"/>
    <s v="H"/>
    <n v="1"/>
    <n v="1"/>
    <n v="0"/>
    <n v="0"/>
    <n v="0"/>
    <n v="0"/>
    <n v="1626.2872547558572"/>
    <n v="1506.0903414810789"/>
    <n v="0.76412906194422692"/>
    <n v="73"/>
    <n v="84"/>
    <n v="0"/>
    <n v="-11"/>
    <n v="0"/>
    <n v="0.39979124250482451"/>
    <n v="1"/>
    <n v="72.099999999999994"/>
    <n v="72.099999999999994"/>
    <n v="-22.025980922539322"/>
    <n v="1604.261273833318"/>
    <n v="0"/>
    <n v="1"/>
    <n v="0"/>
    <n v="0"/>
    <n v="0"/>
    <n v="0"/>
    <n v="0"/>
    <n v="0"/>
    <n v="0"/>
    <n v="0"/>
  </r>
  <r>
    <d v="2003-08-02T00:00:00"/>
    <n v="2003"/>
    <x v="24"/>
    <s v="R"/>
    <s v="RS"/>
    <x v="0"/>
    <s v="MIN"/>
    <s v="A"/>
    <n v="1"/>
    <n v="3"/>
    <n v="-2"/>
    <n v="2"/>
    <n v="-16"/>
    <n v="16"/>
    <n v="1564.3295963305327"/>
    <n v="1499.9469822708415"/>
    <n v="0.42625835771094422"/>
    <n v="71"/>
    <n v="73"/>
    <n v="0"/>
    <n v="-2"/>
    <n v="0"/>
    <n v="0.25420278750877401"/>
    <n v="1"/>
    <n v="72.25"/>
    <n v="72.25"/>
    <n v="-7.8287255321727161"/>
    <n v="1556.50087079836"/>
    <n v="0"/>
    <n v="1"/>
    <n v="0"/>
    <n v="0"/>
    <n v="0"/>
    <n v="0"/>
    <n v="0"/>
    <n v="0"/>
    <n v="0"/>
    <n v="0"/>
  </r>
  <r>
    <d v="2003-08-02T00:00:00"/>
    <n v="2003"/>
    <x v="24"/>
    <s v="R"/>
    <s v="RS"/>
    <x v="8"/>
    <s v="SEA"/>
    <s v="H"/>
    <n v="3"/>
    <n v="1"/>
    <n v="2"/>
    <n v="-2"/>
    <n v="16"/>
    <n v="-16"/>
    <n v="1499.9469822708415"/>
    <n v="1564.3295963305327"/>
    <n v="0.57374164228905578"/>
    <n v="73"/>
    <n v="71"/>
    <n v="0"/>
    <n v="2"/>
    <n v="1"/>
    <n v="0.25420278750877401"/>
    <n v="1"/>
    <n v="72.25"/>
    <n v="72.25"/>
    <n v="7.8287255321727161"/>
    <n v="1507.7757078030143"/>
    <n v="1"/>
    <n v="0"/>
    <n v="0"/>
    <n v="0"/>
    <n v="0"/>
    <n v="0"/>
    <n v="0"/>
    <n v="0"/>
    <n v="0"/>
    <n v="0"/>
  </r>
  <r>
    <d v="2003-08-03T00:00:00"/>
    <n v="2003"/>
    <x v="24"/>
    <s v="R"/>
    <s v="RS"/>
    <x v="11"/>
    <s v="CON"/>
    <s v="A"/>
    <n v="0"/>
    <n v="1"/>
    <n v="-1"/>
    <n v="1"/>
    <n v="-8"/>
    <n v="8"/>
    <n v="1520.4256436473006"/>
    <n v="1500.7015101312015"/>
    <n v="0.38648657030391437"/>
    <n v="55"/>
    <n v="66"/>
    <n v="0"/>
    <n v="-11"/>
    <n v="0"/>
    <n v="0.43272339195885168"/>
    <n v="1"/>
    <n v="72.25"/>
    <n v="72.25"/>
    <n v="-12.083218579600731"/>
    <n v="1508.3424250676999"/>
    <n v="0"/>
    <n v="1"/>
    <n v="0"/>
    <n v="0"/>
    <n v="0"/>
    <n v="0"/>
    <n v="0"/>
    <n v="0"/>
    <n v="0"/>
    <n v="0"/>
  </r>
  <r>
    <d v="2003-08-03T00:00:00"/>
    <n v="2003"/>
    <x v="25"/>
    <s v="R"/>
    <s v="RS"/>
    <x v="7"/>
    <s v="IND"/>
    <s v="H"/>
    <n v="1"/>
    <n v="0"/>
    <n v="1"/>
    <n v="-1"/>
    <n v="8"/>
    <n v="-8"/>
    <n v="1500.7015101312015"/>
    <n v="1520.4256436473006"/>
    <n v="0.61351342969608558"/>
    <n v="66"/>
    <n v="55"/>
    <n v="0"/>
    <n v="11"/>
    <n v="1"/>
    <n v="0.43272339195885168"/>
    <n v="1"/>
    <n v="72.099999999999994"/>
    <n v="72.099999999999994"/>
    <n v="12.058132312653463"/>
    <n v="1512.759642443855"/>
    <n v="1"/>
    <n v="0"/>
    <n v="0"/>
    <n v="0"/>
    <n v="0"/>
    <n v="0"/>
    <n v="0"/>
    <n v="0"/>
    <n v="0"/>
    <n v="0"/>
  </r>
  <r>
    <d v="2003-08-03T00:00:00"/>
    <n v="2003"/>
    <x v="25"/>
    <s v="R"/>
    <s v="RS"/>
    <x v="10"/>
    <s v="NYL"/>
    <s v="A"/>
    <n v="1"/>
    <n v="1"/>
    <n v="0"/>
    <n v="0"/>
    <n v="0"/>
    <n v="0"/>
    <n v="1468.2227862196055"/>
    <n v="1459.4410900903051"/>
    <n v="0.39341224838467187"/>
    <n v="48"/>
    <n v="60"/>
    <n v="0"/>
    <n v="-12"/>
    <n v="0"/>
    <n v="0.45281570149892442"/>
    <n v="1"/>
    <n v="72.099999999999994"/>
    <n v="72.099999999999994"/>
    <n v="-12.844127836924406"/>
    <n v="1455.3786583826811"/>
    <n v="0"/>
    <n v="1"/>
    <n v="0"/>
    <n v="0"/>
    <n v="0"/>
    <n v="0"/>
    <n v="0"/>
    <n v="0"/>
    <n v="0"/>
    <n v="0"/>
  </r>
  <r>
    <d v="2003-08-03T00:00:00"/>
    <n v="2003"/>
    <x v="22"/>
    <s v="R"/>
    <s v="RS"/>
    <x v="12"/>
    <s v="CLE"/>
    <s v="H"/>
    <n v="1"/>
    <n v="1"/>
    <n v="0"/>
    <n v="0"/>
    <n v="0"/>
    <n v="0"/>
    <n v="1459.4410900903051"/>
    <n v="1468.2227862196055"/>
    <n v="0.60658775161532819"/>
    <n v="60"/>
    <n v="48"/>
    <n v="0"/>
    <n v="12"/>
    <n v="1"/>
    <n v="0.45281570149892442"/>
    <n v="1"/>
    <n v="72.55"/>
    <n v="72.55"/>
    <n v="12.924292296378162"/>
    <n v="1472.3653823866832"/>
    <n v="1"/>
    <n v="0"/>
    <n v="0"/>
    <n v="0"/>
    <n v="0"/>
    <n v="0"/>
    <n v="0"/>
    <n v="0"/>
    <n v="0"/>
    <n v="0"/>
  </r>
  <r>
    <d v="2003-08-03T00:00:00"/>
    <n v="2003"/>
    <x v="25"/>
    <s v="R"/>
    <s v="RS"/>
    <x v="5"/>
    <s v="SAC"/>
    <s v="A"/>
    <n v="0"/>
    <n v="2"/>
    <n v="-2"/>
    <n v="2"/>
    <n v="-16"/>
    <n v="16"/>
    <n v="1528.1621462196845"/>
    <n v="1543.4841957295712"/>
    <n v="0.31952610491942579"/>
    <n v="60"/>
    <n v="76"/>
    <n v="0"/>
    <n v="-16"/>
    <n v="0"/>
    <n v="0.51125809737974282"/>
    <n v="1"/>
    <n v="72.099999999999994"/>
    <n v="72.099999999999994"/>
    <n v="-11.778278240273556"/>
    <n v="1516.383867979411"/>
    <n v="0"/>
    <n v="1"/>
    <n v="0"/>
    <n v="0"/>
    <n v="0"/>
    <n v="0"/>
    <n v="0"/>
    <n v="0"/>
    <n v="0"/>
    <n v="0"/>
  </r>
  <r>
    <d v="2003-08-03T00:00:00"/>
    <n v="2003"/>
    <x v="25"/>
    <s v="R"/>
    <s v="RS"/>
    <x v="2"/>
    <s v="CHA"/>
    <s v="H"/>
    <n v="2"/>
    <n v="0"/>
    <n v="2"/>
    <n v="-2"/>
    <n v="16"/>
    <n v="-16"/>
    <n v="1543.4841957295712"/>
    <n v="1528.1621462196845"/>
    <n v="0.6804738950805741"/>
    <n v="76"/>
    <n v="60"/>
    <n v="0"/>
    <n v="16"/>
    <n v="1"/>
    <n v="0.51125809737974282"/>
    <n v="1"/>
    <n v="72.099999999999994"/>
    <n v="72.099999999999994"/>
    <n v="11.778278240273561"/>
    <n v="1555.2624739698447"/>
    <n v="1"/>
    <n v="0"/>
    <n v="0"/>
    <n v="0"/>
    <n v="0"/>
    <n v="0"/>
    <n v="0"/>
    <n v="0"/>
    <n v="0"/>
    <n v="0"/>
  </r>
  <r>
    <d v="2003-08-03T00:00:00"/>
    <n v="2003"/>
    <x v="23"/>
    <s v="R"/>
    <s v="RS"/>
    <x v="3"/>
    <s v="WAS"/>
    <s v="A"/>
    <n v="1"/>
    <n v="1"/>
    <n v="0"/>
    <n v="0"/>
    <n v="0"/>
    <n v="0"/>
    <n v="1342.0301148858287"/>
    <n v="1389.4226683458744"/>
    <n v="0.31943786702285709"/>
    <n v="70"/>
    <n v="69"/>
    <n v="1"/>
    <n v="1"/>
    <n v="1"/>
    <n v="0.21141223258950914"/>
    <n v="1"/>
    <n v="72.400000000000006"/>
    <n v="72.400000000000006"/>
    <n v="10.416851180276918"/>
    <n v="1352.4469660661055"/>
    <n v="1"/>
    <n v="0"/>
    <n v="0"/>
    <n v="0"/>
    <n v="0"/>
    <n v="0"/>
    <n v="0"/>
    <n v="0"/>
    <n v="0"/>
    <n v="0"/>
  </r>
  <r>
    <d v="2003-08-03T00:00:00"/>
    <n v="2003"/>
    <x v="25"/>
    <s v="R"/>
    <s v="RS"/>
    <x v="4"/>
    <s v="PHX"/>
    <s v="H"/>
    <n v="1"/>
    <n v="1"/>
    <n v="0"/>
    <n v="0"/>
    <n v="0"/>
    <n v="0"/>
    <n v="1389.4226683458744"/>
    <n v="1342.0301148858287"/>
    <n v="0.68056213297714285"/>
    <n v="69"/>
    <n v="70"/>
    <n v="1"/>
    <n v="-1"/>
    <n v="0"/>
    <n v="0.21141223258950914"/>
    <n v="1"/>
    <n v="72.099999999999994"/>
    <n v="72.099999999999994"/>
    <n v="-10.373687432292341"/>
    <n v="1379.048980913582"/>
    <n v="0"/>
    <n v="1"/>
    <n v="0"/>
    <n v="0"/>
    <n v="0"/>
    <n v="0"/>
    <n v="0"/>
    <n v="0"/>
    <n v="0"/>
    <n v="0"/>
  </r>
  <r>
    <d v="2003-08-04T00:00:00"/>
    <n v="2003"/>
    <x v="24"/>
    <s v="R"/>
    <s v="RS"/>
    <x v="3"/>
    <s v="MIN"/>
    <s v="A"/>
    <n v="0"/>
    <n v="1"/>
    <n v="-1"/>
    <n v="1"/>
    <n v="-8"/>
    <n v="8"/>
    <n v="1352.4469660661055"/>
    <n v="1507.7757078030143"/>
    <n v="0.18697447630220893"/>
    <n v="56"/>
    <n v="61"/>
    <n v="0"/>
    <n v="-5"/>
    <n v="0"/>
    <n v="0.29373476581283653"/>
    <n v="1"/>
    <n v="72.25"/>
    <n v="72.25"/>
    <n v="-3.9680353146941125"/>
    <n v="1348.4789307514113"/>
    <n v="0"/>
    <n v="1"/>
    <n v="0"/>
    <n v="0"/>
    <n v="0"/>
    <n v="0"/>
    <n v="0"/>
    <n v="0"/>
    <n v="0"/>
    <n v="0"/>
  </r>
  <r>
    <d v="2003-08-04T00:00:00"/>
    <n v="2003"/>
    <x v="25"/>
    <s v="R"/>
    <s v="RS"/>
    <x v="8"/>
    <s v="PHX"/>
    <s v="H"/>
    <n v="1"/>
    <n v="0"/>
    <n v="1"/>
    <n v="-1"/>
    <n v="8"/>
    <n v="-8"/>
    <n v="1507.7757078030143"/>
    <n v="1352.4469660661055"/>
    <n v="0.81302552369779113"/>
    <n v="61"/>
    <n v="56"/>
    <n v="0"/>
    <n v="5"/>
    <n v="1"/>
    <n v="0.29373476581283653"/>
    <n v="1"/>
    <n v="72.099999999999994"/>
    <n v="72.099999999999994"/>
    <n v="3.95979717909267"/>
    <n v="1511.7355049821069"/>
    <n v="1"/>
    <n v="0"/>
    <n v="0"/>
    <n v="0"/>
    <n v="0"/>
    <n v="0"/>
    <n v="0"/>
    <n v="0"/>
    <n v="0"/>
    <n v="0"/>
  </r>
  <r>
    <d v="2003-08-05T00:00:00"/>
    <n v="2003"/>
    <x v="24"/>
    <s v="R"/>
    <s v="RS"/>
    <x v="13"/>
    <s v="CON"/>
    <s v="A"/>
    <n v="2"/>
    <n v="1"/>
    <n v="1"/>
    <n v="-1"/>
    <n v="8"/>
    <n v="-8"/>
    <n v="1596.0149678289711"/>
    <n v="1512.759642443855"/>
    <n v="0.5219400800781413"/>
    <n v="78"/>
    <n v="61"/>
    <n v="0"/>
    <n v="17"/>
    <n v="1"/>
    <n v="0.49789817369871281"/>
    <n v="1"/>
    <n v="72.25"/>
    <n v="72.25"/>
    <n v="17.197317885692449"/>
    <n v="1613.2122857146635"/>
    <n v="1"/>
    <n v="0"/>
    <n v="0"/>
    <n v="0"/>
    <n v="0"/>
    <n v="0"/>
    <n v="0"/>
    <n v="0"/>
    <n v="0"/>
    <n v="0"/>
  </r>
  <r>
    <d v="2003-08-05T00:00:00"/>
    <n v="2003"/>
    <x v="26"/>
    <s v="R"/>
    <s v="RS"/>
    <x v="7"/>
    <s v="DET"/>
    <s v="H"/>
    <n v="1"/>
    <n v="2"/>
    <n v="-1"/>
    <n v="1"/>
    <n v="-8"/>
    <n v="8"/>
    <n v="1512.759642443855"/>
    <n v="1596.0149678289711"/>
    <n v="0.4780599199218587"/>
    <n v="61"/>
    <n v="78"/>
    <n v="0"/>
    <n v="-17"/>
    <n v="0"/>
    <n v="0.49789817369871281"/>
    <n v="1"/>
    <n v="71.95"/>
    <n v="71.95"/>
    <n v="-17.125910337378151"/>
    <n v="1495.6337321064768"/>
    <n v="0"/>
    <n v="1"/>
    <n v="0"/>
    <n v="0"/>
    <n v="0"/>
    <n v="0"/>
    <n v="0"/>
    <n v="0"/>
    <n v="0"/>
    <n v="0"/>
  </r>
  <r>
    <d v="2003-08-05T00:00:00"/>
    <n v="2003"/>
    <x v="26"/>
    <s v="R"/>
    <s v="RS"/>
    <x v="2"/>
    <s v="HOU"/>
    <s v="A"/>
    <n v="1"/>
    <n v="2"/>
    <n v="-1"/>
    <n v="1"/>
    <n v="-8"/>
    <n v="8"/>
    <n v="1555.2624739698447"/>
    <n v="1574.3251481400648"/>
    <n v="0.33506163622146995"/>
    <n v="47"/>
    <n v="74"/>
    <n v="0"/>
    <n v="-27"/>
    <n v="0"/>
    <n v="0.65624189547476397"/>
    <n v="1"/>
    <n v="71.95"/>
    <n v="71.95"/>
    <n v="-15.820472720186693"/>
    <n v="1539.442001249658"/>
    <n v="0"/>
    <n v="1"/>
    <n v="0"/>
    <n v="0"/>
    <n v="0"/>
    <n v="0"/>
    <n v="0"/>
    <n v="0"/>
    <n v="0"/>
    <n v="0"/>
  </r>
  <r>
    <d v="2003-08-05T00:00:00"/>
    <n v="2003"/>
    <x v="24"/>
    <s v="R"/>
    <s v="RS"/>
    <x v="1"/>
    <s v="SAC"/>
    <s v="H"/>
    <n v="2"/>
    <n v="1"/>
    <n v="1"/>
    <n v="-1"/>
    <n v="8"/>
    <n v="-8"/>
    <n v="1574.3251481400648"/>
    <n v="1555.2624739698447"/>
    <n v="0.66493836377852999"/>
    <n v="74"/>
    <n v="47"/>
    <n v="0"/>
    <n v="27"/>
    <n v="1"/>
    <n v="0.65624189547476397"/>
    <n v="1"/>
    <n v="72.25"/>
    <n v="72.25"/>
    <n v="15.886437165163152"/>
    <n v="1590.211585305228"/>
    <n v="1"/>
    <n v="0"/>
    <n v="0"/>
    <n v="0"/>
    <n v="0"/>
    <n v="0"/>
    <n v="0"/>
    <n v="0"/>
    <n v="0"/>
    <n v="0"/>
  </r>
  <r>
    <d v="2003-08-05T00:00:00"/>
    <n v="2003"/>
    <x v="26"/>
    <s v="R"/>
    <s v="RS"/>
    <x v="9"/>
    <s v="NYL"/>
    <s v="A"/>
    <n v="2"/>
    <n v="1"/>
    <n v="1"/>
    <n v="-1"/>
    <n v="8"/>
    <n v="-8"/>
    <n v="1423.3591798833529"/>
    <n v="1472.3653823866832"/>
    <n v="0.33770421685619134"/>
    <n v="60"/>
    <n v="69"/>
    <n v="0"/>
    <n v="-9"/>
    <n v="0"/>
    <n v="0.3900427648800186"/>
    <n v="1"/>
    <n v="71.95"/>
    <n v="71.95"/>
    <n v="-9.477188270381868"/>
    <n v="1413.881991612971"/>
    <n v="0"/>
    <n v="1"/>
    <n v="0"/>
    <n v="0"/>
    <n v="0"/>
    <n v="0"/>
    <n v="0"/>
    <n v="0"/>
    <n v="0"/>
    <n v="0"/>
  </r>
  <r>
    <d v="2003-08-05T00:00:00"/>
    <n v="2003"/>
    <x v="23"/>
    <s v="R"/>
    <s v="RS"/>
    <x v="12"/>
    <s v="SAS"/>
    <s v="H"/>
    <n v="1"/>
    <n v="2"/>
    <n v="-1"/>
    <n v="1"/>
    <n v="-8"/>
    <n v="8"/>
    <n v="1472.3653823866832"/>
    <n v="1423.3591798833529"/>
    <n v="0.66229578314380866"/>
    <n v="69"/>
    <n v="60"/>
    <n v="0"/>
    <n v="9"/>
    <n v="1"/>
    <n v="0.3900427648800186"/>
    <n v="1"/>
    <n v="72.400000000000006"/>
    <n v="72.400000000000006"/>
    <n v="9.5364618592862715"/>
    <n v="1481.9018442459694"/>
    <n v="1"/>
    <n v="0"/>
    <n v="0"/>
    <n v="0"/>
    <n v="0"/>
    <n v="0"/>
    <n v="0"/>
    <n v="0"/>
    <n v="0"/>
    <n v="0"/>
  </r>
  <r>
    <d v="2003-08-06T00:00:00"/>
    <n v="2003"/>
    <x v="26"/>
    <s v="R"/>
    <s v="RS"/>
    <x v="8"/>
    <s v="PHX"/>
    <s v="A"/>
    <n v="1"/>
    <n v="1"/>
    <n v="0"/>
    <n v="0"/>
    <n v="0"/>
    <n v="0"/>
    <n v="1511.7355049821069"/>
    <n v="1348.4789307514113"/>
    <n v="0.61212123168103894"/>
    <n v="49"/>
    <n v="56"/>
    <n v="0"/>
    <n v="-7"/>
    <n v="0"/>
    <n v="0.32578504690887838"/>
    <n v="1"/>
    <n v="71.95"/>
    <n v="71.95"/>
    <n v="-14.348264983544338"/>
    <n v="1497.3872399985626"/>
    <n v="0"/>
    <n v="1"/>
    <n v="0"/>
    <n v="0"/>
    <n v="0"/>
    <n v="0"/>
    <n v="0"/>
    <n v="0"/>
    <n v="0"/>
    <n v="0"/>
  </r>
  <r>
    <d v="2003-08-06T00:00:00"/>
    <n v="2003"/>
    <x v="25"/>
    <s v="R"/>
    <s v="RS"/>
    <x v="3"/>
    <s v="MIN"/>
    <s v="H"/>
    <n v="1"/>
    <n v="1"/>
    <n v="0"/>
    <n v="0"/>
    <n v="0"/>
    <n v="0"/>
    <n v="1348.4789307514113"/>
    <n v="1511.7355049821069"/>
    <n v="0.38787876831896112"/>
    <n v="56"/>
    <n v="49"/>
    <n v="0"/>
    <n v="7"/>
    <n v="1"/>
    <n v="0.32578504690887838"/>
    <n v="1"/>
    <n v="72.099999999999994"/>
    <n v="72.099999999999994"/>
    <n v="14.378177975170905"/>
    <n v="1362.8571087265823"/>
    <n v="1"/>
    <n v="0"/>
    <n v="0"/>
    <n v="0"/>
    <n v="0"/>
    <n v="0"/>
    <n v="0"/>
    <n v="0"/>
    <n v="0"/>
    <n v="0"/>
  </r>
  <r>
    <d v="2003-08-06T00:00:00"/>
    <n v="2003"/>
    <x v="26"/>
    <s v="R"/>
    <s v="RS"/>
    <x v="6"/>
    <s v="SEA"/>
    <s v="A"/>
    <n v="3"/>
    <n v="3"/>
    <n v="0"/>
    <n v="0"/>
    <n v="0"/>
    <n v="0"/>
    <n v="1604.261273833318"/>
    <n v="1556.50087079836"/>
    <n v="0.44803534491793934"/>
    <n v="56"/>
    <n v="92"/>
    <n v="0"/>
    <n v="-36"/>
    <n v="0"/>
    <n v="0.7439420628165756"/>
    <n v="1"/>
    <n v="71.95"/>
    <n v="71.95"/>
    <n v="-23.981822770399468"/>
    <n v="1580.2794510629185"/>
    <n v="0"/>
    <n v="1"/>
    <n v="0"/>
    <n v="0"/>
    <n v="0"/>
    <n v="0"/>
    <n v="0"/>
    <n v="0"/>
    <n v="0"/>
    <n v="0"/>
  </r>
  <r>
    <d v="2003-08-06T00:00:00"/>
    <n v="2003"/>
    <x v="25"/>
    <s v="R"/>
    <s v="RS"/>
    <x v="0"/>
    <s v="LAS"/>
    <s v="H"/>
    <n v="3"/>
    <n v="3"/>
    <n v="0"/>
    <n v="0"/>
    <n v="0"/>
    <n v="0"/>
    <n v="1556.50087079836"/>
    <n v="1604.261273833318"/>
    <n v="0.55196465508206072"/>
    <n v="92"/>
    <n v="56"/>
    <n v="0"/>
    <n v="36"/>
    <n v="1"/>
    <n v="0.7439420628165756"/>
    <n v="1"/>
    <n v="72.099999999999994"/>
    <n v="72.099999999999994"/>
    <n v="24.031819621206409"/>
    <n v="1580.5326904195663"/>
    <n v="1"/>
    <n v="0"/>
    <n v="0"/>
    <n v="0"/>
    <n v="0"/>
    <n v="0"/>
    <n v="0"/>
    <n v="0"/>
    <n v="0"/>
    <n v="0"/>
  </r>
  <r>
    <d v="2003-08-06T00:00:00"/>
    <n v="2003"/>
    <x v="25"/>
    <s v="R"/>
    <s v="RS"/>
    <x v="13"/>
    <s v="WAS"/>
    <s v="A"/>
    <n v="0"/>
    <n v="2"/>
    <n v="-2"/>
    <n v="2"/>
    <n v="-16"/>
    <n v="16"/>
    <n v="1613.2122857146635"/>
    <n v="1379.048980913582"/>
    <n v="0.66378392761256366"/>
    <n v="81"/>
    <n v="92"/>
    <n v="0"/>
    <n v="-11"/>
    <n v="0"/>
    <n v="0.36802166290425625"/>
    <n v="1"/>
    <n v="72.099999999999994"/>
    <n v="72.099999999999994"/>
    <n v="-17.613082955619685"/>
    <n v="1595.5992027590439"/>
    <n v="0"/>
    <n v="1"/>
    <n v="0"/>
    <n v="0"/>
    <n v="0"/>
    <n v="0"/>
    <n v="0"/>
    <n v="0"/>
    <n v="0"/>
    <n v="0"/>
  </r>
  <r>
    <d v="2003-08-06T00:00:00"/>
    <n v="2003"/>
    <x v="26"/>
    <s v="R"/>
    <s v="RS"/>
    <x v="4"/>
    <s v="DET"/>
    <s v="H"/>
    <n v="2"/>
    <n v="0"/>
    <n v="2"/>
    <n v="-2"/>
    <n v="16"/>
    <n v="-16"/>
    <n v="1379.048980913582"/>
    <n v="1613.2122857146635"/>
    <n v="0.33621607238743639"/>
    <n v="92"/>
    <n v="81"/>
    <n v="0"/>
    <n v="11"/>
    <n v="1"/>
    <n v="0.36802166290425625"/>
    <n v="1"/>
    <n v="71.95"/>
    <n v="71.95"/>
    <n v="17.576439925892323"/>
    <n v="1396.6254208394744"/>
    <n v="1"/>
    <n v="0"/>
    <n v="0"/>
    <n v="0"/>
    <n v="0"/>
    <n v="0"/>
    <n v="0"/>
    <n v="0"/>
    <n v="0"/>
    <n v="0"/>
  </r>
  <r>
    <d v="2003-08-07T00:00:00"/>
    <n v="2003"/>
    <x v="24"/>
    <s v="R"/>
    <s v="RS"/>
    <x v="12"/>
    <s v="CHA"/>
    <s v="A"/>
    <n v="1"/>
    <n v="3"/>
    <n v="-2"/>
    <n v="2"/>
    <n v="-16"/>
    <n v="16"/>
    <n v="1481.9018442459694"/>
    <n v="1516.383867979411"/>
    <n v="0.29603641438137301"/>
    <n v="54"/>
    <n v="65"/>
    <n v="0"/>
    <n v="-11"/>
    <n v="0"/>
    <n v="0.42755030382129311"/>
    <n v="1"/>
    <n v="72.25"/>
    <n v="72.25"/>
    <n v="-9.1447156563141334"/>
    <n v="1472.7571285896552"/>
    <n v="0"/>
    <n v="1"/>
    <n v="0"/>
    <n v="0"/>
    <n v="0"/>
    <n v="0"/>
    <n v="0"/>
    <n v="0"/>
    <n v="0"/>
    <n v="0"/>
  </r>
  <r>
    <d v="2003-08-07T00:00:00"/>
    <n v="2003"/>
    <x v="26"/>
    <s v="R"/>
    <s v="RS"/>
    <x v="5"/>
    <s v="NYL"/>
    <s v="H"/>
    <n v="3"/>
    <n v="1"/>
    <n v="2"/>
    <n v="-2"/>
    <n v="16"/>
    <n v="-16"/>
    <n v="1516.383867979411"/>
    <n v="1481.9018442459694"/>
    <n v="0.70396358561862693"/>
    <n v="65"/>
    <n v="54"/>
    <n v="0"/>
    <n v="11"/>
    <n v="1"/>
    <n v="0.42755030382129311"/>
    <n v="1"/>
    <n v="71.95"/>
    <n v="71.95"/>
    <n v="9.1067445186408591"/>
    <n v="1525.4906124980519"/>
    <n v="1"/>
    <n v="0"/>
    <n v="0"/>
    <n v="0"/>
    <n v="0"/>
    <n v="0"/>
    <n v="0"/>
    <n v="0"/>
    <n v="0"/>
    <n v="0"/>
  </r>
  <r>
    <d v="2003-08-07T00:00:00"/>
    <n v="2003"/>
    <x v="25"/>
    <s v="R"/>
    <s v="RS"/>
    <x v="1"/>
    <s v="IND"/>
    <s v="A"/>
    <n v="1"/>
    <n v="3"/>
    <n v="-2"/>
    <n v="2"/>
    <n v="-16"/>
    <n v="16"/>
    <n v="1590.211585305228"/>
    <n v="1508.3424250676999"/>
    <n v="0.45103916919906012"/>
    <n v="68"/>
    <n v="55"/>
    <n v="0"/>
    <n v="13"/>
    <n v="1"/>
    <n v="0.44189572879027561"/>
    <n v="1"/>
    <n v="72.099999999999994"/>
    <n v="72.099999999999994"/>
    <n v="17.490266485735358"/>
    <n v="1607.7018517909635"/>
    <n v="1"/>
    <n v="0"/>
    <n v="0"/>
    <n v="0"/>
    <n v="0"/>
    <n v="0"/>
    <n v="0"/>
    <n v="0"/>
    <n v="0"/>
    <n v="0"/>
  </r>
  <r>
    <d v="2003-08-07T00:00:00"/>
    <n v="2003"/>
    <x v="25"/>
    <s v="R"/>
    <s v="RS"/>
    <x v="11"/>
    <s v="HOU"/>
    <s v="H"/>
    <n v="3"/>
    <n v="1"/>
    <n v="2"/>
    <n v="-2"/>
    <n v="16"/>
    <n v="-16"/>
    <n v="1508.3424250676999"/>
    <n v="1590.211585305228"/>
    <n v="0.54896083080093983"/>
    <n v="55"/>
    <n v="68"/>
    <n v="0"/>
    <n v="-13"/>
    <n v="0"/>
    <n v="0.44189572879027561"/>
    <n v="1"/>
    <n v="72.099999999999994"/>
    <n v="72.099999999999994"/>
    <n v="-17.490266485735354"/>
    <n v="1490.8521585819644"/>
    <n v="0"/>
    <n v="1"/>
    <n v="0"/>
    <n v="0"/>
    <n v="0"/>
    <n v="0"/>
    <n v="0"/>
    <n v="0"/>
    <n v="0"/>
    <n v="0"/>
  </r>
  <r>
    <d v="2003-08-07T00:00:00"/>
    <n v="2003"/>
    <x v="27"/>
    <s v="R"/>
    <s v="RS"/>
    <x v="2"/>
    <s v="SAS"/>
    <s v="A"/>
    <n v="1"/>
    <n v="1"/>
    <n v="0"/>
    <n v="0"/>
    <n v="0"/>
    <n v="0"/>
    <n v="1539.442001249658"/>
    <n v="1413.881991612971"/>
    <n v="0.55952601717758144"/>
    <n v="86"/>
    <n v="61"/>
    <n v="0"/>
    <n v="25"/>
    <n v="1"/>
    <n v="0.58059509073719384"/>
    <n v="1"/>
    <n v="71.8"/>
    <n v="71.8"/>
    <n v="18.361918899334349"/>
    <n v="1557.8039201489923"/>
    <n v="1"/>
    <n v="0"/>
    <n v="0"/>
    <n v="0"/>
    <n v="0"/>
    <n v="0"/>
    <n v="0"/>
    <n v="0"/>
    <n v="0"/>
    <n v="0"/>
  </r>
  <r>
    <d v="2003-08-07T00:00:00"/>
    <n v="2003"/>
    <x v="27"/>
    <s v="R"/>
    <s v="RS"/>
    <x v="9"/>
    <s v="SAC"/>
    <s v="H"/>
    <n v="1"/>
    <n v="1"/>
    <n v="0"/>
    <n v="0"/>
    <n v="0"/>
    <n v="0"/>
    <n v="1413.881991612971"/>
    <n v="1539.442001249658"/>
    <n v="0.44047398282241851"/>
    <n v="61"/>
    <n v="86"/>
    <n v="0"/>
    <n v="-25"/>
    <n v="0"/>
    <n v="0.58059509073719384"/>
    <n v="1"/>
    <n v="71.8"/>
    <n v="71.8"/>
    <n v="-18.361918899334345"/>
    <n v="1395.5200727136366"/>
    <n v="0"/>
    <n v="1"/>
    <n v="0"/>
    <n v="0"/>
    <n v="0"/>
    <n v="0"/>
    <n v="0"/>
    <n v="0"/>
    <n v="0"/>
    <n v="0"/>
  </r>
  <r>
    <d v="2003-08-08T00:00:00"/>
    <n v="2003"/>
    <x v="26"/>
    <s v="R"/>
    <s v="RS"/>
    <x v="1"/>
    <s v="DET"/>
    <s v="A"/>
    <n v="0"/>
    <n v="1"/>
    <n v="-1"/>
    <n v="1"/>
    <n v="-8"/>
    <n v="8"/>
    <n v="1607.7018517909635"/>
    <n v="1595.5992027590439"/>
    <n v="0.37613688950476709"/>
    <n v="66"/>
    <n v="56"/>
    <n v="0"/>
    <n v="10"/>
    <n v="1"/>
    <n v="0.41890481767717802"/>
    <n v="1"/>
    <n v="71.95"/>
    <n v="71.95"/>
    <n v="18.80335994101376"/>
    <n v="1626.5052117319772"/>
    <n v="1"/>
    <n v="0"/>
    <n v="0"/>
    <n v="0"/>
    <n v="0"/>
    <n v="0"/>
    <n v="0"/>
    <n v="0"/>
    <n v="0"/>
    <n v="0"/>
  </r>
  <r>
    <d v="2003-08-08T00:00:00"/>
    <n v="2003"/>
    <x v="26"/>
    <s v="R"/>
    <s v="RS"/>
    <x v="13"/>
    <s v="HOU"/>
    <s v="H"/>
    <n v="1"/>
    <n v="0"/>
    <n v="1"/>
    <n v="-1"/>
    <n v="8"/>
    <n v="-8"/>
    <n v="1595.5992027590439"/>
    <n v="1607.7018517909635"/>
    <n v="0.6238631104952328"/>
    <n v="56"/>
    <n v="66"/>
    <n v="0"/>
    <n v="-10"/>
    <n v="0"/>
    <n v="0.41890481767717802"/>
    <n v="1"/>
    <n v="71.95"/>
    <n v="71.95"/>
    <n v="-18.803359941013756"/>
    <n v="1576.7958428180302"/>
    <n v="0"/>
    <n v="1"/>
    <n v="0"/>
    <n v="0"/>
    <n v="0"/>
    <n v="0"/>
    <n v="0"/>
    <n v="0"/>
    <n v="0"/>
    <n v="0"/>
  </r>
  <r>
    <d v="2003-08-08T00:00:00"/>
    <n v="2003"/>
    <x v="27"/>
    <s v="R"/>
    <s v="RS"/>
    <x v="6"/>
    <s v="PHX"/>
    <s v="A"/>
    <n v="1"/>
    <n v="1"/>
    <n v="0"/>
    <n v="0"/>
    <n v="0"/>
    <n v="0"/>
    <n v="1580.2794510629185"/>
    <n v="1362.8571087265823"/>
    <n v="0.68309691443073139"/>
    <n v="67"/>
    <n v="64"/>
    <n v="0"/>
    <n v="3"/>
    <n v="1"/>
    <n v="0.24567146637781828"/>
    <n v="1"/>
    <n v="71.8"/>
    <n v="71.8"/>
    <n v="5.589920483518644"/>
    <n v="1585.8693715464372"/>
    <n v="1"/>
    <n v="0"/>
    <n v="0"/>
    <n v="0"/>
    <n v="0"/>
    <n v="0"/>
    <n v="0"/>
    <n v="0"/>
    <n v="0"/>
    <n v="0"/>
  </r>
  <r>
    <d v="2003-08-08T00:00:00"/>
    <n v="2003"/>
    <x v="26"/>
    <s v="R"/>
    <s v="RS"/>
    <x v="3"/>
    <s v="LAS"/>
    <s v="H"/>
    <n v="1"/>
    <n v="1"/>
    <n v="0"/>
    <n v="0"/>
    <n v="0"/>
    <n v="0"/>
    <n v="1362.8571087265823"/>
    <n v="1580.2794510629185"/>
    <n v="0.31690308556926872"/>
    <n v="64"/>
    <n v="67"/>
    <n v="0"/>
    <n v="-3"/>
    <n v="0"/>
    <n v="0.24567146637781828"/>
    <n v="1"/>
    <n v="71.95"/>
    <n v="71.95"/>
    <n v="-5.6015985903783658"/>
    <n v="1357.2555101362038"/>
    <n v="0"/>
    <n v="1"/>
    <n v="0"/>
    <n v="0"/>
    <n v="0"/>
    <n v="0"/>
    <n v="0"/>
    <n v="0"/>
    <n v="0"/>
    <n v="0"/>
  </r>
  <r>
    <d v="2003-08-08T00:00:00"/>
    <n v="2003"/>
    <x v="27"/>
    <s v="R"/>
    <s v="RS"/>
    <x v="8"/>
    <s v="SEA"/>
    <s v="A"/>
    <n v="1"/>
    <n v="1"/>
    <n v="0"/>
    <n v="0"/>
    <n v="0"/>
    <n v="0"/>
    <n v="1497.3872399985626"/>
    <n v="1580.5326904195663"/>
    <n v="0.27644462397911901"/>
    <n v="65"/>
    <n v="68"/>
    <n v="0"/>
    <n v="-3"/>
    <n v="0"/>
    <n v="0.2713801659852339"/>
    <n v="1"/>
    <n v="71.8"/>
    <n v="71.8"/>
    <n v="-5.3865500141766445"/>
    <n v="1492.0006899843859"/>
    <n v="0"/>
    <n v="1"/>
    <n v="0"/>
    <n v="0"/>
    <n v="0"/>
    <n v="0"/>
    <n v="0"/>
    <n v="0"/>
    <n v="0"/>
    <n v="0"/>
  </r>
  <r>
    <d v="2003-08-08T00:00:00"/>
    <n v="2003"/>
    <x v="26"/>
    <s v="R"/>
    <s v="RS"/>
    <x v="0"/>
    <s v="MIN"/>
    <s v="H"/>
    <n v="1"/>
    <n v="1"/>
    <n v="0"/>
    <n v="0"/>
    <n v="0"/>
    <n v="0"/>
    <n v="1580.5326904195663"/>
    <n v="1497.3872399985626"/>
    <n v="0.72355537602088094"/>
    <n v="68"/>
    <n v="65"/>
    <n v="0"/>
    <n v="3"/>
    <n v="1"/>
    <n v="0.2713801659852339"/>
    <n v="1"/>
    <n v="71.95"/>
    <n v="71.95"/>
    <n v="5.3978032523678223"/>
    <n v="1585.9304936719341"/>
    <n v="1"/>
    <n v="0"/>
    <n v="0"/>
    <n v="0"/>
    <n v="0"/>
    <n v="0"/>
    <n v="0"/>
    <n v="0"/>
    <n v="0"/>
    <n v="0"/>
  </r>
  <r>
    <d v="2003-08-09T00:00:00"/>
    <n v="2003"/>
    <x v="27"/>
    <s v="R"/>
    <s v="RS"/>
    <x v="7"/>
    <s v="CHA"/>
    <s v="A"/>
    <n v="3"/>
    <n v="1"/>
    <n v="2"/>
    <n v="-2"/>
    <n v="16"/>
    <n v="-16"/>
    <n v="1495.6337321064768"/>
    <n v="1525.4906124980519"/>
    <n v="0.38433082007797226"/>
    <n v="68"/>
    <n v="69"/>
    <n v="0"/>
    <n v="-1"/>
    <n v="0"/>
    <n v="0.23825179159469245"/>
    <n v="1"/>
    <n v="71.8"/>
    <n v="71.8"/>
    <n v="-6.5745469630119411"/>
    <n v="1489.0591851434649"/>
    <n v="0"/>
    <n v="1"/>
    <n v="0"/>
    <n v="0"/>
    <n v="0"/>
    <n v="0"/>
    <n v="0"/>
    <n v="0"/>
    <n v="0"/>
    <n v="0"/>
  </r>
  <r>
    <d v="2003-08-09T00:00:00"/>
    <n v="2003"/>
    <x v="27"/>
    <s v="R"/>
    <s v="RS"/>
    <x v="5"/>
    <s v="CON"/>
    <s v="H"/>
    <n v="1"/>
    <n v="3"/>
    <n v="-2"/>
    <n v="2"/>
    <n v="-16"/>
    <n v="16"/>
    <n v="1525.4906124980519"/>
    <n v="1495.6337321064768"/>
    <n v="0.61566917992202774"/>
    <n v="69"/>
    <n v="68"/>
    <n v="0"/>
    <n v="1"/>
    <n v="1"/>
    <n v="0.23825179159469245"/>
    <n v="1"/>
    <n v="71.8"/>
    <n v="71.8"/>
    <n v="6.5745469630119411"/>
    <n v="1532.0651594610638"/>
    <n v="1"/>
    <n v="0"/>
    <n v="0"/>
    <n v="0"/>
    <n v="0"/>
    <n v="0"/>
    <n v="0"/>
    <n v="0"/>
    <n v="0"/>
    <n v="0"/>
  </r>
  <r>
    <d v="2003-08-09T00:00:00"/>
    <n v="2003"/>
    <x v="26"/>
    <s v="R"/>
    <s v="RS"/>
    <x v="10"/>
    <s v="IND"/>
    <s v="A"/>
    <n v="5"/>
    <n v="1"/>
    <n v="4"/>
    <n v="-4"/>
    <n v="16"/>
    <n v="-16"/>
    <n v="1455.3786583826811"/>
    <n v="1490.8521585819644"/>
    <n v="0.37670959976101381"/>
    <n v="66"/>
    <n v="62"/>
    <n v="0"/>
    <n v="4"/>
    <n v="1"/>
    <n v="0.30249073073956978"/>
    <n v="1"/>
    <n v="71.95"/>
    <n v="71.95"/>
    <n v="13.565421963018428"/>
    <n v="1468.9440803456996"/>
    <n v="1"/>
    <n v="0"/>
    <n v="0"/>
    <n v="0"/>
    <n v="0"/>
    <n v="0"/>
    <n v="0"/>
    <n v="0"/>
    <n v="0"/>
    <n v="0"/>
  </r>
  <r>
    <d v="2003-08-09T00:00:00"/>
    <n v="2003"/>
    <x v="26"/>
    <s v="R"/>
    <s v="RS"/>
    <x v="11"/>
    <s v="CLE"/>
    <s v="H"/>
    <n v="1"/>
    <n v="5"/>
    <n v="-4"/>
    <n v="4"/>
    <n v="-16"/>
    <n v="16"/>
    <n v="1490.8521585819644"/>
    <n v="1455.3786583826811"/>
    <n v="0.62329040023898619"/>
    <n v="62"/>
    <n v="66"/>
    <n v="0"/>
    <n v="-4"/>
    <n v="0"/>
    <n v="0.30249073073956978"/>
    <n v="1"/>
    <n v="71.95"/>
    <n v="71.95"/>
    <n v="-13.565421963018428"/>
    <n v="1477.286736618946"/>
    <n v="0"/>
    <n v="1"/>
    <n v="0"/>
    <n v="0"/>
    <n v="0"/>
    <n v="0"/>
    <n v="0"/>
    <n v="0"/>
    <n v="0"/>
    <n v="0"/>
  </r>
  <r>
    <d v="2003-08-09T00:00:00"/>
    <n v="2003"/>
    <x v="28"/>
    <s v="R"/>
    <s v="RS"/>
    <x v="8"/>
    <s v="SAC"/>
    <s v="A"/>
    <n v="0"/>
    <n v="1"/>
    <n v="-1"/>
    <n v="1"/>
    <n v="-8"/>
    <n v="8"/>
    <n v="1492.0006899843859"/>
    <n v="1557.8039201489923"/>
    <n v="0.27799275618427555"/>
    <n v="77"/>
    <n v="73"/>
    <n v="0"/>
    <n v="4"/>
    <n v="1"/>
    <n v="0.29524279364973366"/>
    <n v="1"/>
    <n v="71.650000000000006"/>
    <n v="71.650000000000006"/>
    <n v="15.273446767869094"/>
    <n v="1507.2741367522549"/>
    <n v="1"/>
    <n v="0"/>
    <n v="0"/>
    <n v="0"/>
    <n v="0"/>
    <n v="0"/>
    <n v="0"/>
    <n v="0"/>
    <n v="0"/>
    <n v="0"/>
  </r>
  <r>
    <d v="2003-08-09T00:00:00"/>
    <n v="2003"/>
    <x v="28"/>
    <s v="R"/>
    <s v="RS"/>
    <x v="2"/>
    <s v="MIN"/>
    <s v="H"/>
    <n v="1"/>
    <n v="0"/>
    <n v="1"/>
    <n v="-1"/>
    <n v="8"/>
    <n v="-8"/>
    <n v="1557.8039201489923"/>
    <n v="1492.0006899843859"/>
    <n v="0.72200724381572445"/>
    <n v="73"/>
    <n v="77"/>
    <n v="0"/>
    <n v="-4"/>
    <n v="0"/>
    <n v="0.29524279364973366"/>
    <n v="1"/>
    <n v="71.650000000000006"/>
    <n v="71.650000000000006"/>
    <n v="-15.273446767869094"/>
    <n v="1542.5304733811233"/>
    <n v="0"/>
    <n v="1"/>
    <n v="0"/>
    <n v="0"/>
    <n v="0"/>
    <n v="0"/>
    <n v="0"/>
    <n v="0"/>
    <n v="0"/>
    <n v="0"/>
  </r>
  <r>
    <d v="2003-08-09T00:00:00"/>
    <n v="2003"/>
    <x v="28"/>
    <s v="R"/>
    <s v="RS"/>
    <x v="6"/>
    <s v="SAS"/>
    <s v="A"/>
    <n v="0"/>
    <n v="1"/>
    <n v="-1"/>
    <n v="1"/>
    <n v="-8"/>
    <n v="8"/>
    <n v="1585.8693715464372"/>
    <n v="1395.5200727136366"/>
    <n v="0.62716936563768899"/>
    <n v="52"/>
    <n v="69"/>
    <n v="0"/>
    <n v="-17"/>
    <n v="0"/>
    <n v="0.45954673651777977"/>
    <n v="1"/>
    <n v="71.650000000000006"/>
    <n v="71.650000000000006"/>
    <n v="-20.650506963708327"/>
    <n v="1565.2188645827289"/>
    <n v="0"/>
    <n v="1"/>
    <n v="0"/>
    <n v="0"/>
    <n v="0"/>
    <n v="0"/>
    <n v="0"/>
    <n v="0"/>
    <n v="0"/>
    <n v="0"/>
  </r>
  <r>
    <d v="2003-08-09T00:00:00"/>
    <n v="2003"/>
    <x v="28"/>
    <s v="R"/>
    <s v="RS"/>
    <x v="9"/>
    <s v="LAS"/>
    <s v="H"/>
    <n v="1"/>
    <n v="0"/>
    <n v="1"/>
    <n v="-1"/>
    <n v="8"/>
    <n v="-8"/>
    <n v="1395.5200727136366"/>
    <n v="1585.8693715464372"/>
    <n v="0.37283063436231101"/>
    <n v="69"/>
    <n v="52"/>
    <n v="0"/>
    <n v="17"/>
    <n v="1"/>
    <n v="0.45954673651777977"/>
    <n v="1"/>
    <n v="71.650000000000006"/>
    <n v="71.650000000000006"/>
    <n v="20.650506963708327"/>
    <n v="1416.1705796773449"/>
    <n v="1"/>
    <n v="0"/>
    <n v="0"/>
    <n v="0"/>
    <n v="0"/>
    <n v="0"/>
    <n v="0"/>
    <n v="0"/>
    <n v="0"/>
    <n v="0"/>
  </r>
  <r>
    <d v="2003-08-09T00:00:00"/>
    <n v="2003"/>
    <x v="25"/>
    <s v="R"/>
    <s v="RS"/>
    <x v="12"/>
    <s v="WAS"/>
    <s v="A"/>
    <n v="1"/>
    <n v="2"/>
    <n v="-1"/>
    <n v="1"/>
    <n v="-8"/>
    <n v="8"/>
    <n v="1472.7571285896552"/>
    <n v="1396.6254208394744"/>
    <n v="0.46570470131207825"/>
    <n v="65"/>
    <n v="56"/>
    <n v="0"/>
    <n v="9"/>
    <n v="1"/>
    <n v="0.38175200068930532"/>
    <n v="1"/>
    <n v="72.099999999999994"/>
    <n v="72.099999999999994"/>
    <n v="14.706114374699593"/>
    <n v="1487.4632429643548"/>
    <n v="1"/>
    <n v="0"/>
    <n v="0"/>
    <n v="0"/>
    <n v="0"/>
    <n v="0"/>
    <n v="0"/>
    <n v="0"/>
    <n v="0"/>
    <n v="0"/>
  </r>
  <r>
    <d v="2003-08-09T00:00:00"/>
    <n v="2003"/>
    <x v="27"/>
    <s v="R"/>
    <s v="RS"/>
    <x v="4"/>
    <s v="NYL"/>
    <s v="H"/>
    <n v="2"/>
    <n v="1"/>
    <n v="1"/>
    <n v="-1"/>
    <n v="8"/>
    <n v="-8"/>
    <n v="1396.6254208394744"/>
    <n v="1472.7571285896552"/>
    <n v="0.53429529868792169"/>
    <n v="56"/>
    <n v="65"/>
    <n v="0"/>
    <n v="-9"/>
    <n v="0"/>
    <n v="0.38175200068930532"/>
    <n v="1"/>
    <n v="71.8"/>
    <n v="71.8"/>
    <n v="-14.644923884929691"/>
    <n v="1381.9804969545446"/>
    <n v="0"/>
    <n v="1"/>
    <n v="0"/>
    <n v="0"/>
    <n v="0"/>
    <n v="0"/>
    <n v="0"/>
    <n v="0"/>
    <n v="0"/>
    <n v="0"/>
  </r>
  <r>
    <d v="2003-08-10T00:00:00"/>
    <n v="2003"/>
    <x v="27"/>
    <s v="R"/>
    <s v="RS"/>
    <x v="11"/>
    <s v="CLE"/>
    <s v="A"/>
    <n v="0"/>
    <n v="0"/>
    <n v="0"/>
    <n v="0"/>
    <n v="0"/>
    <n v="0"/>
    <n v="1477.286736618946"/>
    <n v="1468.9440803456996"/>
    <n v="0.39280929470164105"/>
    <n v="67"/>
    <n v="71"/>
    <n v="0"/>
    <n v="-4"/>
    <n v="0"/>
    <n v="0.30928253665833089"/>
    <n v="1"/>
    <n v="71.8"/>
    <n v="71.8"/>
    <n v="-8.7229141553394651"/>
    <n v="1468.5638224636066"/>
    <n v="0"/>
    <n v="1"/>
    <n v="0"/>
    <n v="0"/>
    <n v="0"/>
    <n v="0"/>
    <n v="0"/>
    <n v="0"/>
    <n v="0"/>
    <n v="0"/>
  </r>
  <r>
    <d v="2003-08-10T00:00:00"/>
    <n v="2003"/>
    <x v="27"/>
    <s v="R"/>
    <s v="RS"/>
    <x v="10"/>
    <s v="IND"/>
    <s v="H"/>
    <n v="0"/>
    <n v="0"/>
    <n v="0"/>
    <n v="0"/>
    <n v="0"/>
    <n v="0"/>
    <n v="1468.9440803456996"/>
    <n v="1477.286736618946"/>
    <n v="0.60719070529835895"/>
    <n v="71"/>
    <n v="67"/>
    <n v="0"/>
    <n v="4"/>
    <n v="1"/>
    <n v="0.30928253665833089"/>
    <n v="1"/>
    <n v="71.8"/>
    <n v="71.8"/>
    <n v="8.7229141553394651"/>
    <n v="1477.666994501039"/>
    <n v="1"/>
    <n v="0"/>
    <n v="0"/>
    <n v="0"/>
    <n v="0"/>
    <n v="0"/>
    <n v="0"/>
    <n v="0"/>
    <n v="0"/>
    <n v="0"/>
  </r>
  <r>
    <d v="2003-08-10T00:00:00"/>
    <n v="2003"/>
    <x v="26"/>
    <s v="R"/>
    <s v="RS"/>
    <x v="12"/>
    <s v="DET"/>
    <s v="A"/>
    <n v="0"/>
    <n v="1"/>
    <n v="-1"/>
    <n v="1"/>
    <n v="-8"/>
    <n v="8"/>
    <n v="1487.4632429643548"/>
    <n v="1576.7958428180302"/>
    <n v="0.25163973556740876"/>
    <n v="87"/>
    <n v="90"/>
    <n v="1"/>
    <n v="-3"/>
    <n v="0"/>
    <n v="0.24307009907464672"/>
    <n v="1"/>
    <n v="71.95"/>
    <n v="71.95"/>
    <n v="-4.4009005680223581"/>
    <n v="1483.0623423963325"/>
    <n v="0"/>
    <n v="1"/>
    <n v="0"/>
    <n v="0"/>
    <n v="0"/>
    <n v="0"/>
    <n v="0"/>
    <n v="0"/>
    <n v="0"/>
    <n v="0"/>
  </r>
  <r>
    <d v="2003-08-10T00:00:00"/>
    <n v="2003"/>
    <x v="27"/>
    <s v="R"/>
    <s v="RS"/>
    <x v="13"/>
    <s v="NYL"/>
    <s v="H"/>
    <n v="1"/>
    <n v="0"/>
    <n v="1"/>
    <n v="-1"/>
    <n v="8"/>
    <n v="-8"/>
    <n v="1576.7958428180302"/>
    <n v="1487.4632429643548"/>
    <n v="0.74836026443259118"/>
    <n v="90"/>
    <n v="87"/>
    <n v="1"/>
    <n v="3"/>
    <n v="1"/>
    <n v="0.24307009907464672"/>
    <n v="1"/>
    <n v="71.8"/>
    <n v="71.8"/>
    <n v="4.391725653704035"/>
    <n v="1581.1875684717343"/>
    <n v="1"/>
    <n v="0"/>
    <n v="0"/>
    <n v="0"/>
    <n v="0"/>
    <n v="0"/>
    <n v="0"/>
    <n v="0"/>
    <n v="0"/>
    <n v="0"/>
  </r>
  <r>
    <d v="2003-08-10T00:00:00"/>
    <n v="2003"/>
    <x v="27"/>
    <s v="R"/>
    <s v="RS"/>
    <x v="3"/>
    <s v="HOU"/>
    <s v="A"/>
    <n v="1"/>
    <n v="1"/>
    <n v="0"/>
    <n v="0"/>
    <n v="0"/>
    <n v="0"/>
    <n v="1357.2555101362038"/>
    <n v="1626.5052117319772"/>
    <n v="0.11573346019883418"/>
    <n v="46"/>
    <n v="69"/>
    <n v="0"/>
    <n v="-23"/>
    <n v="0"/>
    <n v="0.50257306315756223"/>
    <n v="1"/>
    <n v="71.8"/>
    <n v="71.8"/>
    <n v="-4.1762125074201473"/>
    <n v="1353.0792976287837"/>
    <n v="0"/>
    <n v="1"/>
    <n v="0"/>
    <n v="0"/>
    <n v="0"/>
    <n v="0"/>
    <n v="0"/>
    <n v="0"/>
    <n v="0"/>
    <n v="0"/>
  </r>
  <r>
    <d v="2003-08-10T00:00:00"/>
    <n v="2003"/>
    <x v="27"/>
    <s v="R"/>
    <s v="RS"/>
    <x v="1"/>
    <s v="PHX"/>
    <s v="H"/>
    <n v="1"/>
    <n v="1"/>
    <n v="0"/>
    <n v="0"/>
    <n v="0"/>
    <n v="0"/>
    <n v="1626.5052117319772"/>
    <n v="1357.2555101362038"/>
    <n v="0.88426653980116587"/>
    <n v="69"/>
    <n v="46"/>
    <n v="0"/>
    <n v="23"/>
    <n v="1"/>
    <n v="0.50257306315756223"/>
    <n v="1"/>
    <n v="71.8"/>
    <n v="71.8"/>
    <n v="4.1762125074201446"/>
    <n v="1630.6814242393973"/>
    <n v="1"/>
    <n v="0"/>
    <n v="0"/>
    <n v="0"/>
    <n v="0"/>
    <n v="0"/>
    <n v="0"/>
    <n v="0"/>
    <n v="0"/>
    <n v="0"/>
  </r>
  <r>
    <d v="2003-08-12T00:00:00"/>
    <n v="2003"/>
    <x v="27"/>
    <s v="R"/>
    <s v="RS"/>
    <x v="12"/>
    <s v="CON"/>
    <s v="A"/>
    <n v="1"/>
    <n v="2"/>
    <n v="-1"/>
    <n v="1"/>
    <n v="-8"/>
    <n v="8"/>
    <n v="1483.0623423963325"/>
    <n v="1489.0591851434649"/>
    <n v="0.35202113240771554"/>
    <n v="74"/>
    <n v="73"/>
    <n v="0"/>
    <n v="1"/>
    <n v="1"/>
    <n v="0.24296548280416205"/>
    <n v="1"/>
    <n v="71.8"/>
    <n v="71.8"/>
    <n v="11.303940585942367"/>
    <n v="1494.3662829822749"/>
    <n v="1"/>
    <n v="0"/>
    <n v="0"/>
    <n v="0"/>
    <n v="0"/>
    <n v="0"/>
    <n v="0"/>
    <n v="0"/>
    <n v="0"/>
    <n v="0"/>
  </r>
  <r>
    <d v="2003-08-12T00:00:00"/>
    <n v="2003"/>
    <x v="28"/>
    <s v="R"/>
    <s v="RS"/>
    <x v="7"/>
    <s v="NYL"/>
    <s v="H"/>
    <n v="2"/>
    <n v="1"/>
    <n v="1"/>
    <n v="-1"/>
    <n v="8"/>
    <n v="-8"/>
    <n v="1489.0591851434649"/>
    <n v="1483.0623423963325"/>
    <n v="0.6479788675922844"/>
    <n v="73"/>
    <n v="74"/>
    <n v="0"/>
    <n v="-1"/>
    <n v="0"/>
    <n v="0.24296548280416205"/>
    <n v="1"/>
    <n v="71.650000000000006"/>
    <n v="71.650000000000006"/>
    <n v="-11.28032511118065"/>
    <n v="1477.7788600322842"/>
    <n v="0"/>
    <n v="1"/>
    <n v="0"/>
    <n v="0"/>
    <n v="0"/>
    <n v="0"/>
    <n v="0"/>
    <n v="0"/>
    <n v="0"/>
    <n v="0"/>
  </r>
  <r>
    <d v="2003-08-12T00:00:00"/>
    <n v="2003"/>
    <x v="28"/>
    <s v="R"/>
    <s v="RS"/>
    <x v="4"/>
    <s v="IND"/>
    <s v="A"/>
    <n v="2"/>
    <n v="1"/>
    <n v="1"/>
    <n v="-1"/>
    <n v="8"/>
    <n v="-8"/>
    <n v="1381.9804969545446"/>
    <n v="1468.5638224636066"/>
    <n v="0.2911401325620801"/>
    <n v="84"/>
    <n v="80"/>
    <n v="0"/>
    <n v="4"/>
    <n v="1"/>
    <n v="0.29047421529171913"/>
    <n v="1"/>
    <n v="71.650000000000006"/>
    <n v="71.650000000000006"/>
    <n v="14.753130059888134"/>
    <n v="1396.7336270144328"/>
    <n v="1"/>
    <n v="0"/>
    <n v="0"/>
    <n v="0"/>
    <n v="0"/>
    <n v="0"/>
    <n v="0"/>
    <n v="0"/>
    <n v="0"/>
    <n v="0"/>
  </r>
  <r>
    <d v="2003-08-12T00:00:00"/>
    <n v="2003"/>
    <x v="28"/>
    <s v="R"/>
    <s v="RS"/>
    <x v="11"/>
    <s v="WAS"/>
    <s v="H"/>
    <n v="1"/>
    <n v="2"/>
    <n v="-1"/>
    <n v="1"/>
    <n v="-8"/>
    <n v="8"/>
    <n v="1468.5638224636066"/>
    <n v="1381.9804969545446"/>
    <n v="0.70885986743791995"/>
    <n v="80"/>
    <n v="84"/>
    <n v="0"/>
    <n v="-4"/>
    <n v="0"/>
    <n v="0.29047421529171913"/>
    <n v="1"/>
    <n v="71.650000000000006"/>
    <n v="71.650000000000006"/>
    <n v="-14.753130059888136"/>
    <n v="1453.8106924037183"/>
    <n v="0"/>
    <n v="1"/>
    <n v="0"/>
    <n v="0"/>
    <n v="0"/>
    <n v="0"/>
    <n v="0"/>
    <n v="0"/>
    <n v="0"/>
    <n v="0"/>
  </r>
  <r>
    <d v="2003-08-12T00:00:00"/>
    <n v="2003"/>
    <x v="29"/>
    <s v="R"/>
    <s v="RS"/>
    <x v="9"/>
    <s v="SEA"/>
    <s v="A"/>
    <n v="2"/>
    <n v="3"/>
    <n v="-1"/>
    <n v="1"/>
    <n v="-8"/>
    <n v="8"/>
    <n v="1416.1705796773449"/>
    <n v="1585.9304936719341"/>
    <n v="0.17467316222218587"/>
    <n v="87"/>
    <n v="77"/>
    <n v="0"/>
    <n v="10"/>
    <n v="1"/>
    <n v="0.37068951574001635"/>
    <n v="1"/>
    <n v="71.5"/>
    <n v="71.5"/>
    <n v="21.874710416351434"/>
    <n v="1438.0452900936964"/>
    <n v="1"/>
    <n v="0"/>
    <n v="0"/>
    <n v="0"/>
    <n v="0"/>
    <n v="0"/>
    <n v="0"/>
    <n v="0"/>
    <n v="0"/>
    <n v="0"/>
  </r>
  <r>
    <d v="2003-08-12T00:00:00"/>
    <n v="2003"/>
    <x v="27"/>
    <s v="R"/>
    <s v="RS"/>
    <x v="0"/>
    <s v="SAS"/>
    <s v="H"/>
    <n v="3"/>
    <n v="2"/>
    <n v="1"/>
    <n v="-1"/>
    <n v="8"/>
    <n v="-8"/>
    <n v="1585.9304936719341"/>
    <n v="1416.1705796773449"/>
    <n v="0.82532683777781413"/>
    <n v="77"/>
    <n v="87"/>
    <n v="0"/>
    <n v="-10"/>
    <n v="0"/>
    <n v="0.37068951574001635"/>
    <n v="1"/>
    <n v="71.8"/>
    <n v="71.8"/>
    <n v="-21.966492418098358"/>
    <n v="1563.9640012538357"/>
    <n v="0"/>
    <n v="1"/>
    <n v="0"/>
    <n v="0"/>
    <n v="0"/>
    <n v="0"/>
    <n v="0"/>
    <n v="0"/>
    <n v="0"/>
    <n v="0"/>
  </r>
  <r>
    <d v="2003-08-13T00:00:00"/>
    <n v="2003"/>
    <x v="28"/>
    <s v="R"/>
    <s v="RS"/>
    <x v="13"/>
    <s v="PHX"/>
    <s v="A"/>
    <n v="2"/>
    <n v="2"/>
    <n v="0"/>
    <n v="0"/>
    <n v="0"/>
    <n v="0"/>
    <n v="1581.1875684717343"/>
    <n v="1353.0792976287837"/>
    <n v="0.69626059406469909"/>
    <n v="78"/>
    <n v="76"/>
    <n v="0"/>
    <n v="2"/>
    <n v="1"/>
    <n v="0.22505967616999351"/>
    <n v="1"/>
    <n v="71.650000000000006"/>
    <n v="71.650000000000006"/>
    <n v="4.8979576261513298"/>
    <n v="1586.0855260978856"/>
    <n v="1"/>
    <n v="0"/>
    <n v="0"/>
    <n v="0"/>
    <n v="0"/>
    <n v="0"/>
    <n v="0"/>
    <n v="0"/>
    <n v="0"/>
    <n v="0"/>
  </r>
  <r>
    <d v="2003-08-13T00:00:00"/>
    <n v="2003"/>
    <x v="28"/>
    <s v="R"/>
    <s v="RS"/>
    <x v="3"/>
    <s v="DET"/>
    <s v="H"/>
    <n v="2"/>
    <n v="2"/>
    <n v="0"/>
    <n v="0"/>
    <n v="0"/>
    <n v="0"/>
    <n v="1353.0792976287837"/>
    <n v="1581.1875684717343"/>
    <n v="0.30373940593530085"/>
    <n v="76"/>
    <n v="78"/>
    <n v="0"/>
    <n v="-2"/>
    <n v="0"/>
    <n v="0.22505967616999351"/>
    <n v="1"/>
    <n v="71.650000000000006"/>
    <n v="71.650000000000006"/>
    <n v="-4.8979576261513289"/>
    <n v="1348.1813400026324"/>
    <n v="0"/>
    <n v="1"/>
    <n v="0"/>
    <n v="0"/>
    <n v="0"/>
    <n v="0"/>
    <n v="0"/>
    <n v="0"/>
    <n v="0"/>
    <n v="0"/>
  </r>
  <r>
    <d v="2003-08-14T00:00:00"/>
    <n v="2003"/>
    <x v="29"/>
    <s v="R"/>
    <s v="RS"/>
    <x v="4"/>
    <s v="CHA"/>
    <s v="A"/>
    <n v="1"/>
    <n v="4"/>
    <n v="-3"/>
    <n v="3"/>
    <n v="-16"/>
    <n v="16"/>
    <n v="1396.7336270144328"/>
    <n v="1532.0651594610638"/>
    <n v="0.19049752934437006"/>
    <n v="76"/>
    <n v="69"/>
    <n v="0"/>
    <n v="7"/>
    <n v="1"/>
    <n v="0.33259800745575102"/>
    <n v="1"/>
    <n v="71.5"/>
    <n v="71.5"/>
    <n v="19.250581977095763"/>
    <n v="1415.9842089915287"/>
    <n v="1"/>
    <n v="0"/>
    <n v="0"/>
    <n v="0"/>
    <n v="0"/>
    <n v="0"/>
    <n v="0"/>
    <n v="0"/>
    <n v="0"/>
    <n v="0"/>
  </r>
  <r>
    <d v="2003-08-14T00:00:00"/>
    <n v="2003"/>
    <x v="28"/>
    <s v="R"/>
    <s v="RS"/>
    <x v="5"/>
    <s v="WAS"/>
    <s v="H"/>
    <n v="4"/>
    <n v="1"/>
    <n v="3"/>
    <n v="-3"/>
    <n v="16"/>
    <n v="-16"/>
    <n v="1532.0651594610638"/>
    <n v="1396.7336270144328"/>
    <n v="0.80950247065562986"/>
    <n v="69"/>
    <n v="76"/>
    <n v="0"/>
    <n v="-7"/>
    <n v="0"/>
    <n v="0.33259800745575102"/>
    <n v="1"/>
    <n v="71.650000000000006"/>
    <n v="71.650000000000006"/>
    <n v="-19.290967813411346"/>
    <n v="1512.7741916476525"/>
    <n v="0"/>
    <n v="1"/>
    <n v="0"/>
    <n v="0"/>
    <n v="0"/>
    <n v="0"/>
    <n v="0"/>
    <n v="0"/>
    <n v="0"/>
    <n v="0"/>
  </r>
  <r>
    <d v="2003-08-14T00:00:00"/>
    <n v="2003"/>
    <x v="29"/>
    <s v="R"/>
    <s v="RS"/>
    <x v="6"/>
    <s v="MIN"/>
    <s v="A"/>
    <n v="4"/>
    <n v="4"/>
    <n v="0"/>
    <n v="0"/>
    <n v="0"/>
    <n v="0"/>
    <n v="1565.2188645827289"/>
    <n v="1507.2741367522549"/>
    <n v="0.46257358452167879"/>
    <n v="87"/>
    <n v="83"/>
    <n v="0"/>
    <n v="4"/>
    <n v="1"/>
    <n v="0.2970872039260371"/>
    <n v="1"/>
    <n v="71.5"/>
    <n v="71.5"/>
    <n v="11.415869542966973"/>
    <n v="1576.6347341256958"/>
    <n v="1"/>
    <n v="0"/>
    <n v="0"/>
    <n v="0"/>
    <n v="0"/>
    <n v="0"/>
    <n v="0"/>
    <n v="0"/>
    <n v="0"/>
    <n v="0"/>
  </r>
  <r>
    <d v="2003-08-14T00:00:00"/>
    <n v="2003"/>
    <x v="29"/>
    <s v="R"/>
    <s v="RS"/>
    <x v="8"/>
    <s v="LAS"/>
    <s v="H"/>
    <n v="4"/>
    <n v="4"/>
    <n v="0"/>
    <n v="0"/>
    <n v="0"/>
    <n v="0"/>
    <n v="1507.2741367522549"/>
    <n v="1565.2188645827289"/>
    <n v="0.53742641547832115"/>
    <n v="83"/>
    <n v="87"/>
    <n v="0"/>
    <n v="-4"/>
    <n v="0"/>
    <n v="0.2970872039260371"/>
    <n v="1"/>
    <n v="71.5"/>
    <n v="71.5"/>
    <n v="-11.41586954296697"/>
    <n v="1495.858267209288"/>
    <n v="0"/>
    <n v="1"/>
    <n v="0"/>
    <n v="0"/>
    <n v="0"/>
    <n v="0"/>
    <n v="0"/>
    <n v="0"/>
    <n v="0"/>
    <n v="0"/>
  </r>
  <r>
    <d v="2003-08-15T00:00:00"/>
    <n v="2003"/>
    <x v="28"/>
    <s v="R"/>
    <s v="RS"/>
    <x v="0"/>
    <s v="PHX"/>
    <s v="A"/>
    <n v="2"/>
    <n v="1"/>
    <n v="1"/>
    <n v="-1"/>
    <n v="8"/>
    <n v="-8"/>
    <n v="1563.9640012538357"/>
    <n v="1348.1813400026324"/>
    <n v="0.70071509150881539"/>
    <n v="50"/>
    <n v="64"/>
    <n v="0"/>
    <n v="-14"/>
    <n v="0"/>
    <n v="0.41329064146315431"/>
    <n v="1"/>
    <n v="71.650000000000006"/>
    <n v="71.650000000000006"/>
    <n v="-20.74976760860816"/>
    <n v="1543.2142336452275"/>
    <n v="0"/>
    <n v="1"/>
    <n v="0"/>
    <n v="0"/>
    <n v="0"/>
    <n v="0"/>
    <n v="0"/>
    <n v="0"/>
    <n v="0"/>
    <n v="0"/>
  </r>
  <r>
    <d v="2003-08-15T00:00:00"/>
    <n v="2003"/>
    <x v="29"/>
    <s v="R"/>
    <s v="RS"/>
    <x v="3"/>
    <s v="SEA"/>
    <s v="H"/>
    <n v="1"/>
    <n v="2"/>
    <n v="-1"/>
    <n v="1"/>
    <n v="-8"/>
    <n v="8"/>
    <n v="1348.1813400026324"/>
    <n v="1563.9640012538357"/>
    <n v="0.29928490849118461"/>
    <n v="64"/>
    <n v="50"/>
    <n v="0"/>
    <n v="14"/>
    <n v="1"/>
    <n v="0.41329064146315431"/>
    <n v="1"/>
    <n v="71.5"/>
    <n v="71.5"/>
    <n v="20.706327760160271"/>
    <n v="1368.8876677627927"/>
    <n v="1"/>
    <n v="0"/>
    <n v="0"/>
    <n v="0"/>
    <n v="0"/>
    <n v="0"/>
    <n v="0"/>
    <n v="0"/>
    <n v="0"/>
    <n v="0"/>
  </r>
  <r>
    <d v="2003-08-15T00:00:00"/>
    <n v="2003"/>
    <x v="29"/>
    <s v="R"/>
    <s v="RS"/>
    <x v="13"/>
    <s v="SAC"/>
    <s v="A"/>
    <n v="1"/>
    <n v="5"/>
    <n v="-4"/>
    <n v="4"/>
    <n v="-16"/>
    <n v="16"/>
    <n v="1586.0855260978856"/>
    <n v="1542.5304733811233"/>
    <n v="0.39722846772759818"/>
    <n v="63"/>
    <n v="75"/>
    <n v="0"/>
    <n v="-12"/>
    <n v="0"/>
    <n v="0.4401536791604489"/>
    <n v="1"/>
    <n v="71.5"/>
    <n v="71.5"/>
    <n v="-12.501172364936254"/>
    <n v="1573.5843537329492"/>
    <n v="0"/>
    <n v="1"/>
    <n v="0"/>
    <n v="0"/>
    <n v="0"/>
    <n v="0"/>
    <n v="0"/>
    <n v="0"/>
    <n v="0"/>
    <n v="0"/>
  </r>
  <r>
    <d v="2003-08-15T00:00:00"/>
    <n v="2003"/>
    <x v="29"/>
    <s v="R"/>
    <s v="RS"/>
    <x v="2"/>
    <s v="DET"/>
    <s v="H"/>
    <n v="5"/>
    <n v="1"/>
    <n v="4"/>
    <n v="-4"/>
    <n v="16"/>
    <n v="-16"/>
    <n v="1542.5304733811233"/>
    <n v="1586.0855260978856"/>
    <n v="0.60277153227240188"/>
    <n v="75"/>
    <n v="63"/>
    <n v="0"/>
    <n v="12"/>
    <n v="1"/>
    <n v="0.4401536791604489"/>
    <n v="1"/>
    <n v="71.5"/>
    <n v="71.5"/>
    <n v="12.501172364936252"/>
    <n v="1555.0316457460597"/>
    <n v="1"/>
    <n v="0"/>
    <n v="0"/>
    <n v="0"/>
    <n v="0"/>
    <n v="0"/>
    <n v="0"/>
    <n v="0"/>
    <n v="0"/>
    <n v="0"/>
  </r>
  <r>
    <d v="2003-08-16T00:00:00"/>
    <n v="2003"/>
    <x v="30"/>
    <s v="R"/>
    <s v="RS"/>
    <x v="6"/>
    <s v="HOU"/>
    <s v="A"/>
    <n v="1"/>
    <n v="5"/>
    <n v="-4"/>
    <n v="4"/>
    <n v="-16"/>
    <n v="16"/>
    <n v="1576.6347341256958"/>
    <n v="1630.6814242393973"/>
    <n v="0.27311656721891431"/>
    <n v="64"/>
    <n v="63"/>
    <n v="0"/>
    <n v="1"/>
    <n v="1"/>
    <n v="0.2336560572013352"/>
    <n v="1"/>
    <n v="71.349999999999994"/>
    <n v="71.349999999999994"/>
    <n v="12.118135154282628"/>
    <n v="1588.7528692799783"/>
    <n v="1"/>
    <n v="0"/>
    <n v="0"/>
    <n v="0"/>
    <n v="0"/>
    <n v="0"/>
    <n v="0"/>
    <n v="0"/>
    <n v="0"/>
    <n v="0"/>
  </r>
  <r>
    <d v="2003-08-16T00:00:00"/>
    <n v="2003"/>
    <x v="28"/>
    <s v="R"/>
    <s v="RS"/>
    <x v="1"/>
    <s v="LAS"/>
    <s v="H"/>
    <n v="5"/>
    <n v="1"/>
    <n v="4"/>
    <n v="-4"/>
    <n v="16"/>
    <n v="-16"/>
    <n v="1630.6814242393973"/>
    <n v="1576.6347341256958"/>
    <n v="0.72688343278108569"/>
    <n v="63"/>
    <n v="64"/>
    <n v="0"/>
    <n v="-1"/>
    <n v="0"/>
    <n v="0.2336560572013352"/>
    <n v="1"/>
    <n v="71.650000000000006"/>
    <n v="71.650000000000006"/>
    <n v="-12.169087369367208"/>
    <n v="1618.5123368700301"/>
    <n v="0"/>
    <n v="1"/>
    <n v="0"/>
    <n v="0"/>
    <n v="0"/>
    <n v="0"/>
    <n v="0"/>
    <n v="0"/>
    <n v="0"/>
    <n v="0"/>
  </r>
  <r>
    <d v="2003-08-16T00:00:00"/>
    <n v="2003"/>
    <x v="29"/>
    <s v="R"/>
    <s v="RS"/>
    <x v="5"/>
    <s v="IND"/>
    <s v="A"/>
    <n v="1"/>
    <n v="3"/>
    <n v="-2"/>
    <n v="2"/>
    <n v="-16"/>
    <n v="16"/>
    <n v="1512.7741916476525"/>
    <n v="1453.8106924037183"/>
    <n v="0.41864738254148826"/>
    <n v="63"/>
    <n v="69"/>
    <n v="0"/>
    <n v="-6"/>
    <n v="0"/>
    <n v="0.3348285423384732"/>
    <n v="1"/>
    <n v="71.5"/>
    <n v="71.5"/>
    <n v="-10.022519138788134"/>
    <n v="1502.7516725088644"/>
    <n v="0"/>
    <n v="1"/>
    <n v="0"/>
    <n v="0"/>
    <n v="0"/>
    <n v="0"/>
    <n v="0"/>
    <n v="0"/>
    <n v="0"/>
    <n v="0"/>
  </r>
  <r>
    <d v="2003-08-16T00:00:00"/>
    <n v="2003"/>
    <x v="29"/>
    <s v="R"/>
    <s v="RS"/>
    <x v="11"/>
    <s v="CHA"/>
    <s v="H"/>
    <n v="3"/>
    <n v="1"/>
    <n v="2"/>
    <n v="-2"/>
    <n v="16"/>
    <n v="-16"/>
    <n v="1453.8106924037183"/>
    <n v="1512.7741916476525"/>
    <n v="0.58135261745851174"/>
    <n v="69"/>
    <n v="63"/>
    <n v="0"/>
    <n v="6"/>
    <n v="1"/>
    <n v="0.3348285423384732"/>
    <n v="1"/>
    <n v="71.5"/>
    <n v="71.5"/>
    <n v="10.022519138788134"/>
    <n v="1463.8332115425064"/>
    <n v="1"/>
    <n v="0"/>
    <n v="0"/>
    <n v="0"/>
    <n v="0"/>
    <n v="0"/>
    <n v="0"/>
    <n v="0"/>
    <n v="0"/>
    <n v="0"/>
  </r>
  <r>
    <d v="2003-08-16T00:00:00"/>
    <n v="2003"/>
    <x v="29"/>
    <s v="R"/>
    <s v="RS"/>
    <x v="7"/>
    <s v="NYL"/>
    <s v="A"/>
    <n v="3"/>
    <n v="3"/>
    <n v="0"/>
    <n v="0"/>
    <n v="0"/>
    <n v="0"/>
    <n v="1477.7788600322842"/>
    <n v="1494.3662829822749"/>
    <n v="0.3591563386861209"/>
    <n v="84"/>
    <n v="71"/>
    <n v="0"/>
    <n v="13"/>
    <n v="1"/>
    <n v="0.46560772871003597"/>
    <n v="1"/>
    <n v="71.5"/>
    <n v="71.5"/>
    <n v="21.334295954584384"/>
    <n v="1499.1131559868686"/>
    <n v="1"/>
    <n v="0"/>
    <n v="0"/>
    <n v="0"/>
    <n v="0"/>
    <n v="0"/>
    <n v="0"/>
    <n v="0"/>
    <n v="0"/>
    <n v="0"/>
  </r>
  <r>
    <d v="2003-08-16T00:00:00"/>
    <n v="2003"/>
    <x v="28"/>
    <s v="R"/>
    <s v="RS"/>
    <x v="12"/>
    <s v="CON"/>
    <s v="H"/>
    <n v="3"/>
    <n v="3"/>
    <n v="0"/>
    <n v="0"/>
    <n v="0"/>
    <n v="0"/>
    <n v="1494.3662829822749"/>
    <n v="1477.7788600322842"/>
    <n v="0.64084366131387904"/>
    <n v="71"/>
    <n v="84"/>
    <n v="0"/>
    <n v="-13"/>
    <n v="0"/>
    <n v="0.46560772871003597"/>
    <n v="1"/>
    <n v="71.650000000000006"/>
    <n v="71.650000000000006"/>
    <n v="-21.379053218824772"/>
    <n v="1472.9872297634502"/>
    <n v="0"/>
    <n v="1"/>
    <n v="0"/>
    <n v="0"/>
    <n v="0"/>
    <n v="0"/>
    <n v="0"/>
    <n v="0"/>
    <n v="0"/>
    <n v="0"/>
  </r>
  <r>
    <d v="2003-08-16T00:00:00"/>
    <n v="2003"/>
    <x v="30"/>
    <s v="R"/>
    <s v="RS"/>
    <x v="2"/>
    <s v="PHX"/>
    <s v="A"/>
    <n v="0"/>
    <n v="0"/>
    <n v="0"/>
    <n v="0"/>
    <n v="0"/>
    <n v="0"/>
    <n v="1555.0316457460597"/>
    <n v="1368.8876677627927"/>
    <n v="0.64290336702126483"/>
    <n v="65"/>
    <n v="61"/>
    <n v="1"/>
    <n v="4"/>
    <n v="1"/>
    <n v="0.24264965186772966"/>
    <n v="1"/>
    <n v="71.349999999999994"/>
    <n v="71.349999999999994"/>
    <n v="6.1824328117418244"/>
    <n v="1561.2140785578015"/>
    <n v="1"/>
    <n v="0"/>
    <n v="0"/>
    <n v="0"/>
    <n v="0"/>
    <n v="0"/>
    <n v="0"/>
    <n v="0"/>
    <n v="0"/>
    <n v="0"/>
  </r>
  <r>
    <d v="2003-08-16T00:00:00"/>
    <n v="2003"/>
    <x v="30"/>
    <s v="R"/>
    <s v="RS"/>
    <x v="3"/>
    <s v="SAC"/>
    <s v="H"/>
    <n v="0"/>
    <n v="0"/>
    <n v="0"/>
    <n v="0"/>
    <n v="0"/>
    <n v="0"/>
    <n v="1368.8876677627927"/>
    <n v="1555.0316457460597"/>
    <n v="0.35709663297873523"/>
    <n v="61"/>
    <n v="65"/>
    <n v="1"/>
    <n v="-4"/>
    <n v="0"/>
    <n v="0.24264965186772966"/>
    <n v="1"/>
    <n v="71.349999999999994"/>
    <n v="71.349999999999994"/>
    <n v="-6.1824328117418252"/>
    <n v="1362.7052349510509"/>
    <n v="0"/>
    <n v="1"/>
    <n v="0"/>
    <n v="0"/>
    <n v="0"/>
    <n v="0"/>
    <n v="0"/>
    <n v="0"/>
    <n v="0"/>
    <n v="0"/>
  </r>
  <r>
    <d v="2003-08-16T00:00:00"/>
    <n v="2003"/>
    <x v="30"/>
    <s v="R"/>
    <s v="RS"/>
    <x v="8"/>
    <s v="SAS"/>
    <s v="A"/>
    <n v="1"/>
    <n v="3"/>
    <n v="-2"/>
    <n v="2"/>
    <n v="-16"/>
    <n v="16"/>
    <n v="1495.858267209288"/>
    <n v="1438.0452900936964"/>
    <n v="0.41703635424982666"/>
    <n v="73"/>
    <n v="64"/>
    <n v="0"/>
    <n v="9"/>
    <n v="1"/>
    <n v="0.38731181935636955"/>
    <n v="1"/>
    <n v="71.349999999999994"/>
    <n v="71.349999999999994"/>
    <n v="16.110024476631583"/>
    <n v="1511.9682916859197"/>
    <n v="1"/>
    <n v="0"/>
    <n v="0"/>
    <n v="0"/>
    <n v="0"/>
    <n v="0"/>
    <n v="0"/>
    <n v="0"/>
    <n v="0"/>
    <n v="0"/>
  </r>
  <r>
    <d v="2003-08-16T00:00:00"/>
    <n v="2003"/>
    <x v="30"/>
    <s v="R"/>
    <s v="RS"/>
    <x v="9"/>
    <s v="MIN"/>
    <s v="H"/>
    <n v="3"/>
    <n v="1"/>
    <n v="2"/>
    <n v="-2"/>
    <n v="16"/>
    <n v="-16"/>
    <n v="1438.0452900936964"/>
    <n v="1495.858267209288"/>
    <n v="0.58296364575017334"/>
    <n v="64"/>
    <n v="73"/>
    <n v="0"/>
    <n v="-9"/>
    <n v="0"/>
    <n v="0.38731181935636955"/>
    <n v="1"/>
    <n v="71.349999999999994"/>
    <n v="71.349999999999994"/>
    <n v="-16.110024476631583"/>
    <n v="1421.9352656170647"/>
    <n v="0"/>
    <n v="1"/>
    <n v="0"/>
    <n v="0"/>
    <n v="0"/>
    <n v="0"/>
    <n v="0"/>
    <n v="0"/>
    <n v="0"/>
    <n v="0"/>
  </r>
  <r>
    <d v="2003-08-16T00:00:00"/>
    <n v="2003"/>
    <x v="28"/>
    <s v="R"/>
    <s v="RS"/>
    <x v="10"/>
    <s v="WAS"/>
    <s v="A"/>
    <n v="5"/>
    <n v="1"/>
    <n v="4"/>
    <n v="-4"/>
    <n v="16"/>
    <n v="-16"/>
    <n v="1477.666994501039"/>
    <n v="1415.9842089915287"/>
    <n v="0.51393104193363981"/>
    <n v="72"/>
    <n v="68"/>
    <n v="0"/>
    <n v="4"/>
    <n v="1"/>
    <n v="0.29620700716284615"/>
    <n v="1"/>
    <n v="71.650000000000006"/>
    <n v="71.650000000000006"/>
    <n v="10.315954295768906"/>
    <n v="1487.9829487968079"/>
    <n v="1"/>
    <n v="0"/>
    <n v="0"/>
    <n v="0"/>
    <n v="0"/>
    <n v="0"/>
    <n v="0"/>
    <n v="0"/>
    <n v="0"/>
    <n v="0"/>
  </r>
  <r>
    <d v="2003-08-16T00:00:00"/>
    <n v="2003"/>
    <x v="30"/>
    <s v="R"/>
    <s v="RS"/>
    <x v="4"/>
    <s v="CLE"/>
    <s v="H"/>
    <n v="1"/>
    <n v="5"/>
    <n v="-4"/>
    <n v="4"/>
    <n v="-16"/>
    <n v="16"/>
    <n v="1415.9842089915287"/>
    <n v="1477.666994501039"/>
    <n v="0.48606895806636019"/>
    <n v="68"/>
    <n v="72"/>
    <n v="0"/>
    <n v="-4"/>
    <n v="0"/>
    <n v="0.29620700716284615"/>
    <n v="1"/>
    <n v="71.349999999999994"/>
    <n v="71.349999999999994"/>
    <n v="-10.272761186365823"/>
    <n v="1405.7114478051628"/>
    <n v="0"/>
    <n v="1"/>
    <n v="0"/>
    <n v="0"/>
    <n v="0"/>
    <n v="0"/>
    <n v="0"/>
    <n v="0"/>
    <n v="0"/>
    <n v="0"/>
  </r>
  <r>
    <d v="2003-08-17T00:00:00"/>
    <n v="2003"/>
    <x v="29"/>
    <s v="R"/>
    <s v="RS"/>
    <x v="12"/>
    <s v="CLE"/>
    <s v="A"/>
    <n v="0"/>
    <n v="0"/>
    <n v="0"/>
    <n v="0"/>
    <n v="0"/>
    <n v="0"/>
    <n v="1472.9872297634502"/>
    <n v="1487.9829487968079"/>
    <n v="0.3612679373771393"/>
    <n v="71"/>
    <n v="54"/>
    <n v="0"/>
    <n v="17"/>
    <n v="1"/>
    <n v="0.52587056307221025"/>
    <n v="1"/>
    <n v="71.5"/>
    <n v="71.5"/>
    <n v="24.0161628437987"/>
    <n v="1497.0033926072488"/>
    <n v="1"/>
    <n v="0"/>
    <n v="0"/>
    <n v="0"/>
    <n v="0"/>
    <n v="0"/>
    <n v="0"/>
    <n v="0"/>
    <n v="0"/>
    <n v="0"/>
  </r>
  <r>
    <d v="2003-08-17T00:00:00"/>
    <n v="2003"/>
    <x v="29"/>
    <s v="R"/>
    <s v="RS"/>
    <x v="10"/>
    <s v="NYL"/>
    <s v="H"/>
    <n v="0"/>
    <n v="0"/>
    <n v="0"/>
    <n v="0"/>
    <n v="0"/>
    <n v="0"/>
    <n v="1487.9829487968079"/>
    <n v="1472.9872297634502"/>
    <n v="0.63873206262286064"/>
    <n v="54"/>
    <n v="71"/>
    <n v="0"/>
    <n v="-17"/>
    <n v="0"/>
    <n v="0.52587056307221025"/>
    <n v="1"/>
    <n v="71.5"/>
    <n v="71.5"/>
    <n v="-24.016162843798696"/>
    <n v="1463.9667859530093"/>
    <n v="0"/>
    <n v="1"/>
    <n v="0"/>
    <n v="0"/>
    <n v="0"/>
    <n v="0"/>
    <n v="0"/>
    <n v="0"/>
    <n v="0"/>
    <n v="0"/>
  </r>
  <r>
    <d v="2003-08-17T00:00:00"/>
    <n v="2003"/>
    <x v="30"/>
    <s v="R"/>
    <s v="RS"/>
    <x v="13"/>
    <s v="SEA"/>
    <s v="A"/>
    <n v="1"/>
    <n v="1"/>
    <n v="0"/>
    <n v="0"/>
    <n v="0"/>
    <n v="0"/>
    <n v="1573.5843537329492"/>
    <n v="1543.2142336452275"/>
    <n v="0.42342759243897876"/>
    <n v="95"/>
    <n v="86"/>
    <n v="0"/>
    <n v="9"/>
    <n v="1"/>
    <n v="0.39595063682297316"/>
    <n v="1"/>
    <n v="71.349999999999994"/>
    <n v="71.349999999999994"/>
    <n v="16.288792022514141"/>
    <n v="1589.8731457554634"/>
    <n v="1"/>
    <n v="0"/>
    <n v="0"/>
    <n v="0"/>
    <n v="0"/>
    <n v="0"/>
    <n v="0"/>
    <n v="0"/>
    <n v="0"/>
    <n v="0"/>
  </r>
  <r>
    <d v="2003-08-17T00:00:00"/>
    <n v="2003"/>
    <x v="29"/>
    <s v="R"/>
    <s v="RS"/>
    <x v="0"/>
    <s v="DET"/>
    <s v="H"/>
    <n v="1"/>
    <n v="1"/>
    <n v="0"/>
    <n v="0"/>
    <n v="0"/>
    <n v="0"/>
    <n v="1543.2142336452275"/>
    <n v="1573.5843537329492"/>
    <n v="0.57657240756102113"/>
    <n v="86"/>
    <n v="95"/>
    <n v="0"/>
    <n v="-9"/>
    <n v="0"/>
    <n v="0.39595063682297316"/>
    <n v="1"/>
    <n v="71.5"/>
    <n v="71.5"/>
    <n v="-16.32303615430639"/>
    <n v="1526.8911974909211"/>
    <n v="0"/>
    <n v="1"/>
    <n v="0"/>
    <n v="0"/>
    <n v="0"/>
    <n v="0"/>
    <n v="0"/>
    <n v="0"/>
    <n v="0"/>
    <n v="0"/>
  </r>
  <r>
    <d v="2003-08-18T00:00:00"/>
    <n v="2003"/>
    <x v="29"/>
    <s v="R"/>
    <s v="RS"/>
    <x v="1"/>
    <s v="NYL"/>
    <s v="A"/>
    <n v="1"/>
    <n v="0"/>
    <n v="1"/>
    <n v="-1"/>
    <n v="8"/>
    <n v="-8"/>
    <n v="1618.5123368700301"/>
    <n v="1497.0033926072488"/>
    <n v="0.57640243994508389"/>
    <n v="64"/>
    <n v="67"/>
    <n v="0"/>
    <n v="-3"/>
    <n v="0"/>
    <n v="0.26350198145099063"/>
    <n v="1"/>
    <n v="71.5"/>
    <n v="71.5"/>
    <n v="-10.85964773026814"/>
    <n v="1607.6526891397621"/>
    <n v="0"/>
    <n v="1"/>
    <n v="0"/>
    <n v="0"/>
    <n v="0"/>
    <n v="0"/>
    <n v="0"/>
    <n v="0"/>
    <n v="0"/>
    <n v="0"/>
  </r>
  <r>
    <d v="2003-08-18T00:00:00"/>
    <n v="2003"/>
    <x v="30"/>
    <s v="R"/>
    <s v="RS"/>
    <x v="12"/>
    <s v="HOU"/>
    <s v="H"/>
    <n v="0"/>
    <n v="1"/>
    <n v="-1"/>
    <n v="1"/>
    <n v="-8"/>
    <n v="8"/>
    <n v="1497.0033926072488"/>
    <n v="1618.5123368700301"/>
    <n v="0.42359756005491606"/>
    <n v="67"/>
    <n v="64"/>
    <n v="0"/>
    <n v="3"/>
    <n v="1"/>
    <n v="0.26350198145099063"/>
    <n v="1"/>
    <n v="71.349999999999994"/>
    <n v="71.349999999999994"/>
    <n v="10.836865252512334"/>
    <n v="1507.8402578597611"/>
    <n v="1"/>
    <n v="0"/>
    <n v="0"/>
    <n v="0"/>
    <n v="0"/>
    <n v="0"/>
    <n v="0"/>
    <n v="0"/>
    <n v="0"/>
    <n v="0"/>
  </r>
  <r>
    <d v="2003-08-19T00:00:00"/>
    <n v="2003"/>
    <x v="30"/>
    <s v="R"/>
    <s v="RS"/>
    <x v="7"/>
    <s v="CLE"/>
    <s v="A"/>
    <n v="2"/>
    <n v="1"/>
    <n v="1"/>
    <n v="-1"/>
    <n v="8"/>
    <n v="-8"/>
    <n v="1499.1131559868686"/>
    <n v="1463.9667859530093"/>
    <n v="0.45286024473073666"/>
    <n v="52"/>
    <n v="69"/>
    <n v="0"/>
    <n v="-17"/>
    <n v="0"/>
    <n v="0.51729130927282863"/>
    <n v="1"/>
    <n v="71.349999999999994"/>
    <n v="71.349999999999994"/>
    <n v="-16.714498727040752"/>
    <n v="1482.3986572598278"/>
    <n v="0"/>
    <n v="1"/>
    <n v="0"/>
    <n v="0"/>
    <n v="0"/>
    <n v="0"/>
    <n v="0"/>
    <n v="0"/>
    <n v="0"/>
    <n v="0"/>
  </r>
  <r>
    <d v="2003-08-19T00:00:00"/>
    <n v="2003"/>
    <x v="30"/>
    <s v="R"/>
    <s v="RS"/>
    <x v="10"/>
    <s v="CON"/>
    <s v="H"/>
    <n v="1"/>
    <n v="2"/>
    <n v="-1"/>
    <n v="1"/>
    <n v="-8"/>
    <n v="8"/>
    <n v="1463.9667859530093"/>
    <n v="1499.1131559868686"/>
    <n v="0.54713975526926339"/>
    <n v="69"/>
    <n v="52"/>
    <n v="0"/>
    <n v="17"/>
    <n v="1"/>
    <n v="0.51729130927282863"/>
    <n v="1"/>
    <n v="71.349999999999994"/>
    <n v="71.349999999999994"/>
    <n v="16.714498727040748"/>
    <n v="1480.6812846800501"/>
    <n v="1"/>
    <n v="0"/>
    <n v="0"/>
    <n v="0"/>
    <n v="0"/>
    <n v="0"/>
    <n v="0"/>
    <n v="0"/>
    <n v="0"/>
    <n v="0"/>
  </r>
  <r>
    <d v="2003-08-19T00:00:00"/>
    <n v="2003"/>
    <x v="30"/>
    <s v="R"/>
    <s v="RS"/>
    <x v="0"/>
    <s v="HOU"/>
    <s v="A"/>
    <n v="1"/>
    <n v="0"/>
    <n v="1"/>
    <n v="-1"/>
    <n v="8"/>
    <n v="-8"/>
    <n v="1526.8911974909211"/>
    <n v="1607.6526891397621"/>
    <n v="0.29810459492408153"/>
    <n v="47"/>
    <n v="52"/>
    <n v="0"/>
    <n v="-5"/>
    <n v="0"/>
    <n v="0.31083630570511428"/>
    <n v="1"/>
    <n v="71.349999999999994"/>
    <n v="71.349999999999994"/>
    <n v="-6.6114145068443673"/>
    <n v="1520.2797829840767"/>
    <n v="0"/>
    <n v="1"/>
    <n v="0"/>
    <n v="0"/>
    <n v="0"/>
    <n v="0"/>
    <n v="0"/>
    <n v="0"/>
    <n v="0"/>
    <n v="0"/>
  </r>
  <r>
    <d v="2003-08-19T00:00:00"/>
    <n v="2003"/>
    <x v="30"/>
    <s v="R"/>
    <s v="RS"/>
    <x v="1"/>
    <s v="SEA"/>
    <s v="H"/>
    <n v="0"/>
    <n v="1"/>
    <n v="-1"/>
    <n v="1"/>
    <n v="-8"/>
    <n v="8"/>
    <n v="1607.6526891397621"/>
    <n v="1526.8911974909211"/>
    <n v="0.70189540507591841"/>
    <n v="52"/>
    <n v="47"/>
    <n v="0"/>
    <n v="5"/>
    <n v="1"/>
    <n v="0.31083630570511428"/>
    <n v="1"/>
    <n v="71.349999999999994"/>
    <n v="71.349999999999994"/>
    <n v="6.611414506844369"/>
    <n v="1614.2641036466064"/>
    <n v="1"/>
    <n v="0"/>
    <n v="0"/>
    <n v="0"/>
    <n v="0"/>
    <n v="0"/>
    <n v="0"/>
    <n v="0"/>
    <n v="0"/>
    <n v="0"/>
  </r>
  <r>
    <d v="2003-08-20T00:00:00"/>
    <n v="2003"/>
    <x v="30"/>
    <s v="R"/>
    <s v="RS"/>
    <x v="11"/>
    <s v="CHA"/>
    <s v="A"/>
    <n v="3"/>
    <n v="3"/>
    <n v="0"/>
    <n v="0"/>
    <n v="0"/>
    <n v="0"/>
    <n v="1463.8332115425064"/>
    <n v="1502.7516725088644"/>
    <n v="0.33013477844356293"/>
    <n v="50"/>
    <n v="80"/>
    <n v="0"/>
    <n v="-30"/>
    <n v="0"/>
    <n v="0.6813936817692765"/>
    <n v="1"/>
    <n v="71.349999999999994"/>
    <n v="71.349999999999994"/>
    <n v="-16.050307516883112"/>
    <n v="1447.7829040256233"/>
    <n v="0"/>
    <n v="1"/>
    <n v="0"/>
    <n v="0"/>
    <n v="0"/>
    <n v="0"/>
    <n v="0"/>
    <n v="0"/>
    <n v="0"/>
    <n v="0"/>
  </r>
  <r>
    <d v="2003-08-20T00:00:00"/>
    <n v="2003"/>
    <x v="30"/>
    <s v="R"/>
    <s v="RS"/>
    <x v="5"/>
    <s v="IND"/>
    <s v="H"/>
    <n v="3"/>
    <n v="3"/>
    <n v="0"/>
    <n v="0"/>
    <n v="0"/>
    <n v="0"/>
    <n v="1502.7516725088644"/>
    <n v="1463.8332115425064"/>
    <n v="0.66986522155643713"/>
    <n v="80"/>
    <n v="50"/>
    <n v="0"/>
    <n v="30"/>
    <n v="1"/>
    <n v="0.6813936817692765"/>
    <n v="1"/>
    <n v="71.349999999999994"/>
    <n v="71.349999999999994"/>
    <n v="16.050307516883109"/>
    <n v="1518.8019800257475"/>
    <n v="1"/>
    <n v="0"/>
    <n v="0"/>
    <n v="0"/>
    <n v="0"/>
    <n v="0"/>
    <n v="0"/>
    <n v="0"/>
    <n v="0"/>
    <n v="0"/>
  </r>
  <r>
    <d v="2003-08-20T00:00:00"/>
    <n v="2003"/>
    <x v="31"/>
    <s v="R"/>
    <s v="RS"/>
    <x v="8"/>
    <s v="PHX"/>
    <s v="A"/>
    <n v="3"/>
    <n v="3"/>
    <n v="0"/>
    <n v="0"/>
    <n v="0"/>
    <n v="0"/>
    <n v="1511.9682916859197"/>
    <n v="1362.7052349510509"/>
    <n v="0.59283180133213409"/>
    <n v="69"/>
    <n v="66"/>
    <n v="0"/>
    <n v="3"/>
    <n v="1"/>
    <n v="0.25808179033754958"/>
    <n v="1"/>
    <n v="71.2"/>
    <n v="71.2"/>
    <n v="7.4818880748671157"/>
    <n v="1519.4501797607868"/>
    <n v="1"/>
    <n v="0"/>
    <n v="0"/>
    <n v="0"/>
    <n v="0"/>
    <n v="0"/>
    <n v="0"/>
    <n v="0"/>
    <n v="0"/>
    <n v="0"/>
  </r>
  <r>
    <d v="2003-08-20T00:00:00"/>
    <n v="2003"/>
    <x v="31"/>
    <s v="R"/>
    <s v="RS"/>
    <x v="3"/>
    <s v="MIN"/>
    <s v="H"/>
    <n v="3"/>
    <n v="3"/>
    <n v="0"/>
    <n v="0"/>
    <n v="0"/>
    <n v="0"/>
    <n v="1362.7052349510509"/>
    <n v="1511.9682916859197"/>
    <n v="0.40716819866786602"/>
    <n v="66"/>
    <n v="69"/>
    <n v="0"/>
    <n v="-3"/>
    <n v="0"/>
    <n v="0.25808179033754958"/>
    <n v="1"/>
    <n v="71.2"/>
    <n v="71.2"/>
    <n v="-7.4818880748671175"/>
    <n v="1355.2233468761838"/>
    <n v="0"/>
    <n v="1"/>
    <n v="0"/>
    <n v="0"/>
    <n v="0"/>
    <n v="0"/>
    <n v="0"/>
    <n v="0"/>
    <n v="0"/>
    <n v="0"/>
  </r>
  <r>
    <d v="2003-08-20T00:00:00"/>
    <n v="2003"/>
    <x v="31"/>
    <s v="R"/>
    <s v="RS"/>
    <x v="0"/>
    <s v="SAS"/>
    <s v="A"/>
    <n v="0"/>
    <n v="3"/>
    <n v="-3"/>
    <n v="3"/>
    <n v="-16"/>
    <n v="16"/>
    <n v="1520.2797829840767"/>
    <n v="1421.9352656170647"/>
    <n v="0.47461356628076012"/>
    <n v="70"/>
    <n v="78"/>
    <n v="1"/>
    <n v="-8"/>
    <n v="0"/>
    <n v="0.32301193727357708"/>
    <n v="1"/>
    <n v="71.2"/>
    <n v="71.2"/>
    <n v="-10.915376342047676"/>
    <n v="1509.3644066420291"/>
    <n v="0"/>
    <n v="1"/>
    <n v="0"/>
    <n v="0"/>
    <n v="0"/>
    <n v="0"/>
    <n v="0"/>
    <n v="0"/>
    <n v="0"/>
    <n v="0"/>
  </r>
  <r>
    <d v="2003-08-20T00:00:00"/>
    <n v="2003"/>
    <x v="31"/>
    <s v="R"/>
    <s v="RS"/>
    <x v="9"/>
    <s v="SEA"/>
    <s v="H"/>
    <n v="3"/>
    <n v="0"/>
    <n v="3"/>
    <n v="-3"/>
    <n v="16"/>
    <n v="-16"/>
    <n v="1421.9352656170647"/>
    <n v="1520.2797829840767"/>
    <n v="0.52538643371923988"/>
    <n v="78"/>
    <n v="70"/>
    <n v="1"/>
    <n v="8"/>
    <n v="1"/>
    <n v="0.32301193727357708"/>
    <n v="1"/>
    <n v="71.2"/>
    <n v="71.2"/>
    <n v="10.915376342047676"/>
    <n v="1432.8506419591124"/>
    <n v="1"/>
    <n v="0"/>
    <n v="0"/>
    <n v="0"/>
    <n v="0"/>
    <n v="0"/>
    <n v="0"/>
    <n v="0"/>
    <n v="0"/>
    <n v="0"/>
  </r>
  <r>
    <d v="2003-08-21T00:00:00"/>
    <n v="2003"/>
    <x v="31"/>
    <s v="R"/>
    <s v="RS"/>
    <x v="10"/>
    <s v="DET"/>
    <s v="A"/>
    <n v="1"/>
    <n v="3"/>
    <n v="-2"/>
    <n v="2"/>
    <n v="-16"/>
    <n v="16"/>
    <n v="1480.6812846800501"/>
    <n v="1589.8731457554634"/>
    <n v="0.21478693645626173"/>
    <n v="56"/>
    <n v="71"/>
    <n v="0"/>
    <n v="-15"/>
    <n v="0"/>
    <n v="0.46090848224403796"/>
    <n v="1"/>
    <n v="71.2"/>
    <n v="71.2"/>
    <n v="-7.0485950072186379"/>
    <n v="1473.6326896728315"/>
    <n v="0"/>
    <n v="1"/>
    <n v="0"/>
    <n v="0"/>
    <n v="0"/>
    <n v="0"/>
    <n v="0"/>
    <n v="0"/>
    <n v="0"/>
    <n v="0"/>
  </r>
  <r>
    <d v="2003-08-21T00:00:00"/>
    <n v="2003"/>
    <x v="31"/>
    <s v="R"/>
    <s v="RS"/>
    <x v="13"/>
    <s v="CLE"/>
    <s v="H"/>
    <n v="3"/>
    <n v="1"/>
    <n v="2"/>
    <n v="-2"/>
    <n v="16"/>
    <n v="-16"/>
    <n v="1589.8731457554634"/>
    <n v="1480.6812846800501"/>
    <n v="0.78521306354373832"/>
    <n v="71"/>
    <n v="56"/>
    <n v="0"/>
    <n v="15"/>
    <n v="1"/>
    <n v="0.46090848224403796"/>
    <n v="1"/>
    <n v="71.2"/>
    <n v="71.2"/>
    <n v="7.0485950072186361"/>
    <n v="1596.921740762682"/>
    <n v="1"/>
    <n v="0"/>
    <n v="0"/>
    <n v="0"/>
    <n v="0"/>
    <n v="0"/>
    <n v="0"/>
    <n v="0"/>
    <n v="0"/>
    <n v="0"/>
  </r>
  <r>
    <d v="2003-08-21T00:00:00"/>
    <n v="2003"/>
    <x v="32"/>
    <s v="R"/>
    <s v="RS"/>
    <x v="8"/>
    <s v="LAS"/>
    <s v="A"/>
    <n v="0"/>
    <n v="4"/>
    <n v="-4"/>
    <n v="4"/>
    <n v="-16"/>
    <n v="16"/>
    <n v="1519.4501797607868"/>
    <n v="1588.7528692799783"/>
    <n v="0.25603344003639589"/>
    <n v="65"/>
    <n v="88"/>
    <n v="0"/>
    <n v="-23"/>
    <n v="0"/>
    <n v="0.5817409268659377"/>
    <n v="1"/>
    <n v="71.05"/>
    <n v="71.05"/>
    <n v="-10.58255153733254"/>
    <n v="1508.8676282234542"/>
    <n v="0"/>
    <n v="1"/>
    <n v="0"/>
    <n v="0"/>
    <n v="0"/>
    <n v="0"/>
    <n v="0"/>
    <n v="0"/>
    <n v="0"/>
    <n v="0"/>
  </r>
  <r>
    <d v="2003-08-21T00:00:00"/>
    <n v="2003"/>
    <x v="31"/>
    <s v="R"/>
    <s v="RS"/>
    <x v="6"/>
    <s v="MIN"/>
    <s v="H"/>
    <n v="4"/>
    <n v="0"/>
    <n v="4"/>
    <n v="-4"/>
    <n v="16"/>
    <n v="-16"/>
    <n v="1588.7528692799783"/>
    <n v="1519.4501797607868"/>
    <n v="0.74396655996360417"/>
    <n v="88"/>
    <n v="65"/>
    <n v="0"/>
    <n v="23"/>
    <n v="1"/>
    <n v="0.5817409268659377"/>
    <n v="1"/>
    <n v="71.2"/>
    <n v="71.2"/>
    <n v="10.604893306939855"/>
    <n v="1599.3577625869182"/>
    <n v="1"/>
    <n v="0"/>
    <n v="0"/>
    <n v="0"/>
    <n v="0"/>
    <n v="0"/>
    <n v="0"/>
    <n v="0"/>
    <n v="0"/>
    <n v="0"/>
  </r>
  <r>
    <d v="2003-08-21T00:00:00"/>
    <n v="2003"/>
    <x v="31"/>
    <s v="R"/>
    <s v="RS"/>
    <x v="1"/>
    <s v="SAC"/>
    <s v="A"/>
    <n v="1"/>
    <n v="4"/>
    <n v="-3"/>
    <n v="3"/>
    <n v="-16"/>
    <n v="16"/>
    <n v="1614.2641036466064"/>
    <n v="1561.2140785578015"/>
    <n v="0.41038617438817687"/>
    <n v="54"/>
    <n v="62"/>
    <n v="0"/>
    <n v="-8"/>
    <n v="0"/>
    <n v="0.37187552984613065"/>
    <n v="1"/>
    <n v="71.2"/>
    <n v="71.2"/>
    <n v="-10.866015414199644"/>
    <n v="1603.3980882324067"/>
    <n v="0"/>
    <n v="1"/>
    <n v="0"/>
    <n v="0"/>
    <n v="0"/>
    <n v="0"/>
    <n v="0"/>
    <n v="0"/>
    <n v="0"/>
    <n v="0"/>
  </r>
  <r>
    <d v="2003-08-21T00:00:00"/>
    <n v="2003"/>
    <x v="31"/>
    <s v="R"/>
    <s v="RS"/>
    <x v="2"/>
    <s v="HOU"/>
    <s v="H"/>
    <n v="4"/>
    <n v="1"/>
    <n v="3"/>
    <n v="-3"/>
    <n v="16"/>
    <n v="-16"/>
    <n v="1561.2140785578015"/>
    <n v="1614.2641036466064"/>
    <n v="0.58961382561182307"/>
    <n v="62"/>
    <n v="54"/>
    <n v="0"/>
    <n v="8"/>
    <n v="1"/>
    <n v="0.37187552984613065"/>
    <n v="1"/>
    <n v="71.2"/>
    <n v="71.2"/>
    <n v="10.866015414199646"/>
    <n v="1572.0800939720011"/>
    <n v="1"/>
    <n v="0"/>
    <n v="0"/>
    <n v="0"/>
    <n v="0"/>
    <n v="0"/>
    <n v="0"/>
    <n v="0"/>
    <n v="0"/>
    <n v="0"/>
  </r>
  <r>
    <d v="2003-08-21T00:00:00"/>
    <n v="2003"/>
    <x v="31"/>
    <s v="R"/>
    <s v="RS"/>
    <x v="12"/>
    <s v="WAS"/>
    <s v="A"/>
    <n v="2"/>
    <n v="4"/>
    <n v="-2"/>
    <n v="2"/>
    <n v="-16"/>
    <n v="16"/>
    <n v="1507.8402578597611"/>
    <n v="1405.7114478051628"/>
    <n v="0.48004835262370904"/>
    <n v="65"/>
    <n v="60"/>
    <n v="0"/>
    <n v="5"/>
    <n v="1"/>
    <n v="0.30573562882523475"/>
    <n v="1"/>
    <n v="71.2"/>
    <n v="71.2"/>
    <n v="11.31850336349466"/>
    <n v="1519.1587612232559"/>
    <n v="1"/>
    <n v="0"/>
    <n v="0"/>
    <n v="0"/>
    <n v="0"/>
    <n v="0"/>
    <n v="0"/>
    <n v="0"/>
    <n v="0"/>
    <n v="0"/>
  </r>
  <r>
    <d v="2003-08-21T00:00:00"/>
    <n v="2003"/>
    <x v="31"/>
    <s v="R"/>
    <s v="RS"/>
    <x v="4"/>
    <s v="NYL"/>
    <s v="H"/>
    <n v="4"/>
    <n v="2"/>
    <n v="2"/>
    <n v="-2"/>
    <n v="16"/>
    <n v="-16"/>
    <n v="1405.7114478051628"/>
    <n v="1507.8402578597611"/>
    <n v="0.51995164737629096"/>
    <n v="60"/>
    <n v="65"/>
    <n v="0"/>
    <n v="-5"/>
    <n v="0"/>
    <n v="0.30573562882523475"/>
    <n v="1"/>
    <n v="71.2"/>
    <n v="71.2"/>
    <n v="-11.31850336349466"/>
    <n v="1394.3929444416681"/>
    <n v="0"/>
    <n v="1"/>
    <n v="0"/>
    <n v="0"/>
    <n v="0"/>
    <n v="0"/>
    <n v="0"/>
    <n v="0"/>
    <n v="0"/>
    <n v="0"/>
  </r>
  <r>
    <d v="2003-08-22T00:00:00"/>
    <n v="2003"/>
    <x v="31"/>
    <s v="R"/>
    <s v="RS"/>
    <x v="5"/>
    <s v="CON"/>
    <s v="A"/>
    <n v="1"/>
    <n v="2"/>
    <n v="-1"/>
    <n v="1"/>
    <n v="-8"/>
    <n v="8"/>
    <n v="1518.8019800257475"/>
    <n v="1482.3986572598278"/>
    <n v="0.40948569217834047"/>
    <n v="55"/>
    <n v="63"/>
    <n v="0"/>
    <n v="-8"/>
    <n v="0"/>
    <n v="0.37688239219640735"/>
    <n v="1"/>
    <n v="71.2"/>
    <n v="71.2"/>
    <n v="-10.988149843372275"/>
    <n v="1507.8138301823753"/>
    <n v="0"/>
    <n v="1"/>
    <n v="0"/>
    <n v="0"/>
    <n v="0"/>
    <n v="0"/>
    <n v="0"/>
    <n v="0"/>
    <n v="0"/>
    <n v="0"/>
  </r>
  <r>
    <d v="2003-08-22T00:00:00"/>
    <n v="2003"/>
    <x v="31"/>
    <s v="R"/>
    <s v="RS"/>
    <x v="7"/>
    <s v="CHA"/>
    <s v="H"/>
    <n v="2"/>
    <n v="1"/>
    <n v="1"/>
    <n v="-1"/>
    <n v="8"/>
    <n v="-8"/>
    <n v="1482.3986572598278"/>
    <n v="1518.8019800257475"/>
    <n v="0.59051430782165948"/>
    <n v="63"/>
    <n v="55"/>
    <n v="0"/>
    <n v="8"/>
    <n v="1"/>
    <n v="0.37688239219640735"/>
    <n v="1"/>
    <n v="71.2"/>
    <n v="71.2"/>
    <n v="10.988149843372277"/>
    <n v="1493.3868071032"/>
    <n v="1"/>
    <n v="0"/>
    <n v="0"/>
    <n v="0"/>
    <n v="0"/>
    <n v="0"/>
    <n v="0"/>
    <n v="0"/>
    <n v="0"/>
    <n v="0"/>
  </r>
  <r>
    <d v="2003-08-22T00:00:00"/>
    <n v="2003"/>
    <x v="31"/>
    <s v="R"/>
    <s v="RS"/>
    <x v="11"/>
    <s v="NYL"/>
    <s v="A"/>
    <n v="1"/>
    <n v="0"/>
    <n v="1"/>
    <n v="-1"/>
    <n v="8"/>
    <n v="-8"/>
    <n v="1447.7829040256233"/>
    <n v="1519.1587612232559"/>
    <n v="0.30953119243746269"/>
    <n v="64"/>
    <n v="51"/>
    <n v="0"/>
    <n v="13"/>
    <n v="1"/>
    <n v="0.44554291602289514"/>
    <n v="1"/>
    <n v="71.2"/>
    <n v="71.2"/>
    <n v="21.903504199231609"/>
    <n v="1469.6864082248549"/>
    <n v="1"/>
    <n v="0"/>
    <n v="0"/>
    <n v="0"/>
    <n v="0"/>
    <n v="0"/>
    <n v="0"/>
    <n v="0"/>
    <n v="0"/>
    <n v="0"/>
  </r>
  <r>
    <d v="2003-08-22T00:00:00"/>
    <n v="2003"/>
    <x v="32"/>
    <s v="R"/>
    <s v="RS"/>
    <x v="12"/>
    <s v="IND"/>
    <s v="H"/>
    <n v="0"/>
    <n v="1"/>
    <n v="-1"/>
    <n v="1"/>
    <n v="-8"/>
    <n v="8"/>
    <n v="1519.1587612232559"/>
    <n v="1447.7829040256233"/>
    <n v="0.69046880756253726"/>
    <n v="51"/>
    <n v="64"/>
    <n v="0"/>
    <n v="-13"/>
    <n v="0"/>
    <n v="0.44554291602289514"/>
    <n v="1"/>
    <n v="71.05"/>
    <n v="71.05"/>
    <n v="-21.857359176339962"/>
    <n v="1497.3014020469159"/>
    <n v="0"/>
    <n v="1"/>
    <n v="0"/>
    <n v="0"/>
    <n v="0"/>
    <n v="0"/>
    <n v="0"/>
    <n v="0"/>
    <n v="0"/>
    <n v="0"/>
  </r>
  <r>
    <d v="2003-08-22T00:00:00"/>
    <n v="2003"/>
    <x v="32"/>
    <s v="R"/>
    <s v="RS"/>
    <x v="9"/>
    <s v="PHX"/>
    <s v="A"/>
    <n v="1"/>
    <n v="1"/>
    <n v="0"/>
    <n v="0"/>
    <n v="0"/>
    <n v="0"/>
    <n v="1432.8506419591124"/>
    <n v="1355.2233468761838"/>
    <n v="0.49082996875494178"/>
    <n v="62"/>
    <n v="89"/>
    <n v="0"/>
    <n v="-27"/>
    <n v="0"/>
    <n v="0.62616069888212056"/>
    <n v="1"/>
    <n v="71.05"/>
    <n v="71.05"/>
    <n v="-21.836395896833139"/>
    <n v="1411.0142460622792"/>
    <n v="0"/>
    <n v="1"/>
    <n v="0"/>
    <n v="0"/>
    <n v="0"/>
    <n v="0"/>
    <n v="0"/>
    <n v="0"/>
    <n v="0"/>
    <n v="0"/>
  </r>
  <r>
    <d v="2003-08-22T00:00:00"/>
    <n v="2003"/>
    <x v="32"/>
    <s v="R"/>
    <s v="RS"/>
    <x v="3"/>
    <s v="SAS"/>
    <s v="H"/>
    <n v="1"/>
    <n v="1"/>
    <n v="0"/>
    <n v="0"/>
    <n v="0"/>
    <n v="0"/>
    <n v="1355.2233468761838"/>
    <n v="1432.8506419591124"/>
    <n v="0.50917003124505822"/>
    <n v="89"/>
    <n v="62"/>
    <n v="0"/>
    <n v="27"/>
    <n v="1"/>
    <n v="0.62616069888212056"/>
    <n v="1"/>
    <n v="71.05"/>
    <n v="71.05"/>
    <n v="21.836395896833139"/>
    <n v="1377.059742773017"/>
    <n v="1"/>
    <n v="0"/>
    <n v="0"/>
    <n v="0"/>
    <n v="0"/>
    <n v="0"/>
    <n v="0"/>
    <n v="0"/>
    <n v="0"/>
    <n v="0"/>
  </r>
  <r>
    <d v="2003-08-23T00:00:00"/>
    <n v="2003"/>
    <x v="32"/>
    <s v="R"/>
    <s v="RS"/>
    <x v="10"/>
    <s v="IND"/>
    <s v="A"/>
    <n v="1"/>
    <n v="0"/>
    <n v="1"/>
    <n v="-1"/>
    <n v="8"/>
    <n v="-8"/>
    <n v="1473.6326896728315"/>
    <n v="1469.6864082248549"/>
    <n v="0.40884966356023023"/>
    <n v="46"/>
    <n v="59"/>
    <n v="0"/>
    <n v="-13"/>
    <n v="0"/>
    <n v="0.47049649598624382"/>
    <n v="1"/>
    <n v="71.05"/>
    <n v="71.05"/>
    <n v="-13.667343837111764"/>
    <n v="1459.9653458357197"/>
    <n v="0"/>
    <n v="1"/>
    <n v="0"/>
    <n v="0"/>
    <n v="0"/>
    <n v="0"/>
    <n v="0"/>
    <n v="0"/>
    <n v="0"/>
    <n v="0"/>
  </r>
  <r>
    <d v="2003-08-23T00:00:00"/>
    <n v="2003"/>
    <x v="32"/>
    <s v="R"/>
    <s v="RS"/>
    <x v="11"/>
    <s v="CLE"/>
    <s v="H"/>
    <n v="0"/>
    <n v="1"/>
    <n v="-1"/>
    <n v="1"/>
    <n v="-8"/>
    <n v="8"/>
    <n v="1469.6864082248549"/>
    <n v="1473.6326896728315"/>
    <n v="0.59115033643976977"/>
    <n v="59"/>
    <n v="46"/>
    <n v="0"/>
    <n v="13"/>
    <n v="1"/>
    <n v="0.47049649598624382"/>
    <n v="1"/>
    <n v="71.05"/>
    <n v="71.05"/>
    <n v="13.667343837111764"/>
    <n v="1483.3537520619666"/>
    <n v="1"/>
    <n v="0"/>
    <n v="0"/>
    <n v="0"/>
    <n v="0"/>
    <n v="0"/>
    <n v="0"/>
    <n v="0"/>
    <n v="0"/>
    <n v="0"/>
  </r>
  <r>
    <d v="2003-08-23T00:00:00"/>
    <n v="2003"/>
    <x v="33"/>
    <s v="R"/>
    <s v="RS"/>
    <x v="9"/>
    <s v="LAS"/>
    <s v="A"/>
    <n v="0"/>
    <n v="1"/>
    <n v="-1"/>
    <n v="1"/>
    <n v="-8"/>
    <n v="8"/>
    <n v="1411.0142460622792"/>
    <n v="1599.3577625869182"/>
    <n v="0.15978364979422585"/>
    <n v="70"/>
    <n v="83"/>
    <n v="0"/>
    <n v="-13"/>
    <n v="0"/>
    <n v="0.40800601582734314"/>
    <n v="1"/>
    <n v="70.900000000000006"/>
    <n v="70.900000000000006"/>
    <n v="-4.6221617455947541"/>
    <n v="1406.3920843166845"/>
    <n v="0"/>
    <n v="1"/>
    <n v="0"/>
    <n v="0"/>
    <n v="0"/>
    <n v="0"/>
    <n v="0"/>
    <n v="0"/>
    <n v="0"/>
    <n v="0"/>
  </r>
  <r>
    <d v="2003-08-23T00:00:00"/>
    <n v="2003"/>
    <x v="32"/>
    <s v="R"/>
    <s v="RS"/>
    <x v="6"/>
    <s v="SAS"/>
    <s v="H"/>
    <n v="1"/>
    <n v="0"/>
    <n v="1"/>
    <n v="-1"/>
    <n v="8"/>
    <n v="-8"/>
    <n v="1599.3577625869182"/>
    <n v="1411.0142460622792"/>
    <n v="0.84021635020577412"/>
    <n v="83"/>
    <n v="70"/>
    <n v="0"/>
    <n v="13"/>
    <n v="1"/>
    <n v="0.40800601582734314"/>
    <n v="1"/>
    <n v="71.05"/>
    <n v="71.05"/>
    <n v="4.6319406491467889"/>
    <n v="1603.989703236065"/>
    <n v="1"/>
    <n v="0"/>
    <n v="0"/>
    <n v="0"/>
    <n v="0"/>
    <n v="0"/>
    <n v="0"/>
    <n v="0"/>
    <n v="0"/>
    <n v="0"/>
  </r>
  <r>
    <d v="2003-08-23T00:00:00"/>
    <n v="2003"/>
    <x v="32"/>
    <s v="R"/>
    <s v="RS"/>
    <x v="13"/>
    <s v="MIN"/>
    <s v="A"/>
    <n v="1"/>
    <n v="1"/>
    <n v="0"/>
    <n v="0"/>
    <n v="0"/>
    <n v="0"/>
    <n v="1596.921740762682"/>
    <n v="1508.8676282234542"/>
    <n v="0.50583407215364351"/>
    <n v="86"/>
    <n v="77"/>
    <n v="1"/>
    <n v="9"/>
    <n v="1"/>
    <n v="0.34039660682785888"/>
    <n v="1"/>
    <n v="71.05"/>
    <n v="71.05"/>
    <n v="11.951491378720103"/>
    <n v="1608.873232141402"/>
    <n v="1"/>
    <n v="0"/>
    <n v="0"/>
    <n v="0"/>
    <n v="0"/>
    <n v="0"/>
    <n v="0"/>
    <n v="0"/>
    <n v="0"/>
    <n v="0"/>
  </r>
  <r>
    <d v="2003-08-23T00:00:00"/>
    <n v="2003"/>
    <x v="33"/>
    <s v="R"/>
    <s v="RS"/>
    <x v="8"/>
    <s v="DET"/>
    <s v="H"/>
    <n v="1"/>
    <n v="1"/>
    <n v="0"/>
    <n v="0"/>
    <n v="0"/>
    <n v="0"/>
    <n v="1508.8676282234542"/>
    <n v="1596.921740762682"/>
    <n v="0.49416592784635655"/>
    <n v="77"/>
    <n v="86"/>
    <n v="1"/>
    <n v="-9"/>
    <n v="0"/>
    <n v="0.34039660682785888"/>
    <n v="1"/>
    <n v="70.900000000000006"/>
    <n v="70.900000000000006"/>
    <n v="-11.926259517962778"/>
    <n v="1496.9413687054914"/>
    <n v="0"/>
    <n v="1"/>
    <n v="0"/>
    <n v="0"/>
    <n v="0"/>
    <n v="0"/>
    <n v="0"/>
    <n v="0"/>
    <n v="0"/>
    <n v="0"/>
  </r>
  <r>
    <d v="2003-08-23T00:00:00"/>
    <n v="2003"/>
    <x v="33"/>
    <s v="R"/>
    <s v="RS"/>
    <x v="3"/>
    <s v="SAC"/>
    <s v="A"/>
    <n v="0"/>
    <n v="1"/>
    <n v="-1"/>
    <n v="1"/>
    <n v="-8"/>
    <n v="8"/>
    <n v="1377.059742773017"/>
    <n v="1572.0800939720011"/>
    <n v="0.15469086992020045"/>
    <n v="54"/>
    <n v="61"/>
    <n v="0"/>
    <n v="-7"/>
    <n v="0"/>
    <n v="0.31836711672547779"/>
    <n v="1"/>
    <n v="70.900000000000006"/>
    <n v="70.900000000000006"/>
    <n v="-3.4917176744337364"/>
    <n v="1373.5680250985833"/>
    <n v="0"/>
    <n v="1"/>
    <n v="0"/>
    <n v="0"/>
    <n v="0"/>
    <n v="0"/>
    <n v="0"/>
    <n v="0"/>
    <n v="0"/>
    <n v="0"/>
  </r>
  <r>
    <d v="2003-08-23T00:00:00"/>
    <n v="2003"/>
    <x v="32"/>
    <s v="R"/>
    <s v="RS"/>
    <x v="2"/>
    <s v="PHX"/>
    <s v="H"/>
    <n v="1"/>
    <n v="0"/>
    <n v="1"/>
    <n v="-1"/>
    <n v="8"/>
    <n v="-8"/>
    <n v="1572.0800939720011"/>
    <n v="1377.059742773017"/>
    <n v="0.84530913007979946"/>
    <n v="61"/>
    <n v="54"/>
    <n v="0"/>
    <n v="7"/>
    <n v="1"/>
    <n v="0.31836711672547779"/>
    <n v="1"/>
    <n v="71.05"/>
    <n v="71.05"/>
    <n v="3.4991049473697755"/>
    <n v="1575.5791989193708"/>
    <n v="1"/>
    <n v="0"/>
    <n v="0"/>
    <n v="0"/>
    <n v="0"/>
    <n v="0"/>
    <n v="0"/>
    <n v="0"/>
    <n v="0"/>
    <n v="0"/>
  </r>
  <r>
    <d v="2003-08-23T00:00:00"/>
    <n v="2003"/>
    <x v="32"/>
    <s v="R"/>
    <s v="RS"/>
    <x v="1"/>
    <s v="SEA"/>
    <s v="A"/>
    <n v="1"/>
    <n v="2"/>
    <n v="-1"/>
    <n v="1"/>
    <n v="-8"/>
    <n v="8"/>
    <n v="1603.3980882324067"/>
    <n v="1509.3644066420291"/>
    <n v="0.49141462151189874"/>
    <n v="64"/>
    <n v="71"/>
    <n v="0"/>
    <n v="-7"/>
    <n v="0"/>
    <n v="0.34321255567223447"/>
    <n v="1"/>
    <n v="71.05"/>
    <n v="71.05"/>
    <n v="-11.983269421617173"/>
    <n v="1591.4148188107895"/>
    <n v="0"/>
    <n v="1"/>
    <n v="0"/>
    <n v="0"/>
    <n v="0"/>
    <n v="0"/>
    <n v="0"/>
    <n v="0"/>
    <n v="0"/>
    <n v="0"/>
  </r>
  <r>
    <d v="2003-08-23T00:00:00"/>
    <n v="2003"/>
    <x v="32"/>
    <s v="R"/>
    <s v="RS"/>
    <x v="0"/>
    <s v="HOU"/>
    <s v="H"/>
    <n v="2"/>
    <n v="1"/>
    <n v="1"/>
    <n v="-1"/>
    <n v="8"/>
    <n v="-8"/>
    <n v="1509.3644066420291"/>
    <n v="1603.3980882324067"/>
    <n v="0.50858537848810115"/>
    <n v="71"/>
    <n v="64"/>
    <n v="0"/>
    <n v="7"/>
    <n v="1"/>
    <n v="0.34321255567223447"/>
    <n v="1"/>
    <n v="71.05"/>
    <n v="71.05"/>
    <n v="11.983269421617177"/>
    <n v="1521.3476760636463"/>
    <n v="1"/>
    <n v="0"/>
    <n v="0"/>
    <n v="0"/>
    <n v="0"/>
    <n v="0"/>
    <n v="0"/>
    <n v="0"/>
    <n v="0"/>
    <n v="0"/>
  </r>
  <r>
    <d v="2003-08-23T00:00:00"/>
    <n v="2003"/>
    <x v="32"/>
    <s v="R"/>
    <s v="RS"/>
    <x v="7"/>
    <s v="WAS"/>
    <s v="A"/>
    <n v="0"/>
    <n v="1"/>
    <n v="-1"/>
    <n v="1"/>
    <n v="-8"/>
    <n v="8"/>
    <n v="1493.3868071032"/>
    <n v="1394.3929444416681"/>
    <n v="0.49855205602442371"/>
    <n v="74"/>
    <n v="67"/>
    <n v="0"/>
    <n v="7"/>
    <n v="1"/>
    <n v="0.34190200566044315"/>
    <n v="1"/>
    <n v="71.05"/>
    <n v="71.05"/>
    <n v="12.181242405237388"/>
    <n v="1505.5680495084373"/>
    <n v="1"/>
    <n v="0"/>
    <n v="0"/>
    <n v="0"/>
    <n v="0"/>
    <n v="0"/>
    <n v="0"/>
    <n v="0"/>
    <n v="0"/>
    <n v="0"/>
  </r>
  <r>
    <d v="2003-08-23T00:00:00"/>
    <n v="2003"/>
    <x v="32"/>
    <s v="R"/>
    <s v="RS"/>
    <x v="4"/>
    <s v="CON"/>
    <s v="H"/>
    <n v="1"/>
    <n v="0"/>
    <n v="1"/>
    <n v="-1"/>
    <n v="8"/>
    <n v="-8"/>
    <n v="1394.3929444416681"/>
    <n v="1493.3868071032"/>
    <n v="0.50144794397557624"/>
    <n v="67"/>
    <n v="74"/>
    <n v="0"/>
    <n v="-7"/>
    <n v="0"/>
    <n v="0.34190200566044315"/>
    <n v="1"/>
    <n v="71.05"/>
    <n v="71.05"/>
    <n v="-12.181242405237384"/>
    <n v="1382.2117020364308"/>
    <n v="0"/>
    <n v="1"/>
    <n v="0"/>
    <n v="0"/>
    <n v="0"/>
    <n v="0"/>
    <n v="0"/>
    <n v="0"/>
    <n v="0"/>
    <n v="0"/>
  </r>
  <r>
    <d v="2003-08-24T00:00:00"/>
    <n v="2003"/>
    <x v="33"/>
    <s v="R"/>
    <s v="RS"/>
    <x v="12"/>
    <s v="CHA"/>
    <s v="A"/>
    <n v="1"/>
    <n v="1"/>
    <n v="0"/>
    <n v="0"/>
    <n v="0"/>
    <n v="0"/>
    <n v="1497.3014020469159"/>
    <n v="1507.8138301823753"/>
    <n v="0.36724426356164558"/>
    <n v="59"/>
    <n v="61"/>
    <n v="1"/>
    <n v="-2"/>
    <n v="0"/>
    <n v="0.23896378075192595"/>
    <n v="1"/>
    <n v="70.900000000000006"/>
    <n v="70.900000000000006"/>
    <n v="-6.2220477075224645"/>
    <n v="1491.0793543393934"/>
    <n v="0"/>
    <n v="1"/>
    <n v="0"/>
    <n v="0"/>
    <n v="0"/>
    <n v="0"/>
    <n v="0"/>
    <n v="0"/>
    <n v="0"/>
    <n v="0"/>
  </r>
  <r>
    <d v="2003-08-24T00:00:00"/>
    <n v="2003"/>
    <x v="32"/>
    <s v="R"/>
    <s v="RS"/>
    <x v="5"/>
    <s v="NYL"/>
    <s v="H"/>
    <n v="1"/>
    <n v="1"/>
    <n v="0"/>
    <n v="0"/>
    <n v="0"/>
    <n v="0"/>
    <n v="1507.8138301823753"/>
    <n v="1497.3014020469159"/>
    <n v="0.63275573643835448"/>
    <n v="61"/>
    <n v="59"/>
    <n v="1"/>
    <n v="2"/>
    <n v="1"/>
    <n v="0.23896378075192595"/>
    <n v="1"/>
    <n v="71.05"/>
    <n v="71.05"/>
    <n v="6.235211419174485"/>
    <n v="1514.0490416015498"/>
    <n v="1"/>
    <n v="0"/>
    <n v="0"/>
    <n v="0"/>
    <n v="0"/>
    <n v="0"/>
    <n v="0"/>
    <n v="0"/>
    <n v="0"/>
    <n v="0"/>
  </r>
  <r>
    <d v="2003-08-25T00:00:00"/>
    <n v="2003"/>
    <x v="33"/>
    <s v="R"/>
    <s v="RS"/>
    <x v="5"/>
    <s v="CLE"/>
    <s v="A"/>
    <n v="0"/>
    <n v="1"/>
    <n v="-1"/>
    <n v="1"/>
    <n v="-8"/>
    <n v="8"/>
    <n v="1514.0490416015498"/>
    <n v="1459.9653458357197"/>
    <n v="0.43430316162290533"/>
    <n v="66"/>
    <n v="75"/>
    <n v="0"/>
    <n v="-9"/>
    <n v="0"/>
    <n v="0.38846357242464136"/>
    <n v="1"/>
    <n v="70.900000000000006"/>
    <n v="70.900000000000006"/>
    <n v="-11.961606899465931"/>
    <n v="1502.0874347020838"/>
    <n v="0"/>
    <n v="1"/>
    <n v="0"/>
    <n v="0"/>
    <n v="0"/>
    <n v="0"/>
    <n v="0"/>
    <n v="0"/>
    <n v="0"/>
    <n v="0"/>
  </r>
  <r>
    <d v="2003-08-25T00:00:00"/>
    <n v="2003"/>
    <x v="33"/>
    <s v="R"/>
    <s v="RS"/>
    <x v="10"/>
    <s v="CHA"/>
    <s v="H"/>
    <n v="1"/>
    <n v="0"/>
    <n v="1"/>
    <n v="-1"/>
    <n v="8"/>
    <n v="-8"/>
    <n v="1459.9653458357197"/>
    <n v="1514.0490416015498"/>
    <n v="0.56569683837709461"/>
    <n v="75"/>
    <n v="66"/>
    <n v="0"/>
    <n v="9"/>
    <n v="1"/>
    <n v="0.38846357242464136"/>
    <n v="1"/>
    <n v="70.900000000000006"/>
    <n v="70.900000000000006"/>
    <n v="11.961606899465931"/>
    <n v="1471.9269527351858"/>
    <n v="1"/>
    <n v="0"/>
    <n v="0"/>
    <n v="0"/>
    <n v="0"/>
    <n v="0"/>
    <n v="0"/>
    <n v="0"/>
    <n v="0"/>
    <n v="0"/>
  </r>
  <r>
    <d v="2003-08-25T00:00:00"/>
    <n v="2003"/>
    <x v="33"/>
    <s v="R"/>
    <s v="RS"/>
    <x v="4"/>
    <s v="DET"/>
    <s v="A"/>
    <n v="1"/>
    <n v="1"/>
    <n v="0"/>
    <n v="0"/>
    <n v="0"/>
    <n v="0"/>
    <n v="1382.2117020364308"/>
    <n v="1608.873232141402"/>
    <n v="0.14327986078514685"/>
    <n v="60"/>
    <n v="68"/>
    <n v="0"/>
    <n v="-8"/>
    <n v="0"/>
    <n v="0.32662171942725665"/>
    <n v="1"/>
    <n v="70.900000000000006"/>
    <n v="70.900000000000006"/>
    <n v="-3.3180004972660324"/>
    <n v="1378.8937015391648"/>
    <n v="0"/>
    <n v="1"/>
    <n v="0"/>
    <n v="0"/>
    <n v="0"/>
    <n v="0"/>
    <n v="0"/>
    <n v="0"/>
    <n v="0"/>
    <n v="0"/>
  </r>
  <r>
    <d v="2003-08-25T00:00:00"/>
    <n v="2003"/>
    <x v="33"/>
    <s v="R"/>
    <s v="RS"/>
    <x v="13"/>
    <s v="WAS"/>
    <s v="H"/>
    <n v="1"/>
    <n v="1"/>
    <n v="0"/>
    <n v="0"/>
    <n v="0"/>
    <n v="0"/>
    <n v="1608.873232141402"/>
    <n v="1382.2117020364308"/>
    <n v="0.85672013921485313"/>
    <n v="68"/>
    <n v="60"/>
    <n v="0"/>
    <n v="8"/>
    <n v="1"/>
    <n v="0.32662171942725665"/>
    <n v="1"/>
    <n v="70.900000000000006"/>
    <n v="70.900000000000006"/>
    <n v="3.3180004972660333"/>
    <n v="1612.191232638668"/>
    <n v="1"/>
    <n v="0"/>
    <n v="0"/>
    <n v="0"/>
    <n v="0"/>
    <n v="0"/>
    <n v="0"/>
    <n v="0"/>
    <n v="0"/>
    <n v="0"/>
  </r>
  <r>
    <d v="2003-08-25T00:00:00"/>
    <n v="2003"/>
    <x v="33"/>
    <s v="R"/>
    <s v="RS"/>
    <x v="7"/>
    <s v="IND"/>
    <s v="A"/>
    <n v="1"/>
    <n v="1"/>
    <n v="0"/>
    <n v="0"/>
    <n v="0"/>
    <n v="0"/>
    <n v="1505.5680495084373"/>
    <n v="1483.3537520619666"/>
    <n v="0.41200884343816413"/>
    <n v="72"/>
    <n v="62"/>
    <n v="0"/>
    <n v="10"/>
    <n v="1"/>
    <n v="0.41543912574053232"/>
    <n v="1"/>
    <n v="70.900000000000006"/>
    <n v="70.900000000000006"/>
    <n v="17.319064320587643"/>
    <n v="1522.8871138290249"/>
    <n v="1"/>
    <n v="0"/>
    <n v="0"/>
    <n v="0"/>
    <n v="0"/>
    <n v="0"/>
    <n v="0"/>
    <n v="0"/>
    <n v="0"/>
    <n v="0"/>
  </r>
  <r>
    <d v="2003-08-25T00:00:00"/>
    <n v="2003"/>
    <x v="33"/>
    <s v="R"/>
    <s v="RS"/>
    <x v="11"/>
    <s v="CON"/>
    <s v="H"/>
    <n v="1"/>
    <n v="1"/>
    <n v="0"/>
    <n v="0"/>
    <n v="0"/>
    <n v="0"/>
    <n v="1483.3537520619666"/>
    <n v="1505.5680495084373"/>
    <n v="0.58799115656183598"/>
    <n v="62"/>
    <n v="72"/>
    <n v="0"/>
    <n v="-10"/>
    <n v="0"/>
    <n v="0.41543912574053232"/>
    <n v="1"/>
    <n v="70.900000000000006"/>
    <n v="70.900000000000006"/>
    <n v="-17.319064320587646"/>
    <n v="1466.034687741379"/>
    <n v="0"/>
    <n v="1"/>
    <n v="0"/>
    <n v="0"/>
    <n v="0"/>
    <n v="0"/>
    <n v="0"/>
    <n v="0"/>
    <n v="0"/>
    <n v="0"/>
  </r>
  <r>
    <d v="2003-08-25T00:00:00"/>
    <n v="2003"/>
    <x v="33"/>
    <s v="R"/>
    <s v="RS"/>
    <x v="1"/>
    <s v="LAS"/>
    <s v="A"/>
    <n v="1"/>
    <n v="1"/>
    <n v="0"/>
    <n v="0"/>
    <n v="0"/>
    <n v="0"/>
    <n v="1591.4148188107895"/>
    <n v="1603.989703236065"/>
    <n v="0.36448976531202104"/>
    <n v="64"/>
    <n v="67"/>
    <n v="0"/>
    <n v="-3"/>
    <n v="0"/>
    <n v="0.28717420242750263"/>
    <n v="1"/>
    <n v="70.900000000000006"/>
    <n v="70.900000000000006"/>
    <n v="-7.4212488871345297"/>
    <n v="1583.9935699236551"/>
    <n v="0"/>
    <n v="1"/>
    <n v="0"/>
    <n v="0"/>
    <n v="0"/>
    <n v="0"/>
    <n v="0"/>
    <n v="0"/>
    <n v="0"/>
    <n v="0"/>
  </r>
  <r>
    <d v="2003-08-25T00:00:00"/>
    <n v="2003"/>
    <x v="33"/>
    <s v="R"/>
    <s v="RS"/>
    <x v="6"/>
    <s v="HOU"/>
    <s v="H"/>
    <n v="1"/>
    <n v="1"/>
    <n v="0"/>
    <n v="0"/>
    <n v="0"/>
    <n v="0"/>
    <n v="1603.989703236065"/>
    <n v="1591.4148188107895"/>
    <n v="0.63551023468797896"/>
    <n v="67"/>
    <n v="64"/>
    <n v="0"/>
    <n v="3"/>
    <n v="1"/>
    <n v="0.28717420242750263"/>
    <n v="1"/>
    <n v="70.900000000000006"/>
    <n v="70.900000000000006"/>
    <n v="7.4212488871345297"/>
    <n v="1611.4109521231994"/>
    <n v="1"/>
    <n v="0"/>
    <n v="0"/>
    <n v="0"/>
    <n v="0"/>
    <n v="0"/>
    <n v="0"/>
    <n v="0"/>
    <n v="0"/>
    <n v="0"/>
  </r>
  <r>
    <d v="2003-08-25T00:00:00"/>
    <n v="2003"/>
    <x v="33"/>
    <s v="R"/>
    <s v="RS"/>
    <x v="2"/>
    <s v="SEA"/>
    <s v="A"/>
    <n v="1"/>
    <n v="1"/>
    <n v="0"/>
    <n v="0"/>
    <n v="0"/>
    <n v="0"/>
    <n v="1575.5791989193708"/>
    <n v="1521.3476760636463"/>
    <n v="0.45726424319799536"/>
    <n v="57"/>
    <n v="70"/>
    <n v="0"/>
    <n v="-13"/>
    <n v="0"/>
    <n v="0.45163312869636807"/>
    <n v="1"/>
    <n v="70.900000000000006"/>
    <n v="70.900000000000006"/>
    <n v="-14.641961768470971"/>
    <n v="1560.9372371508998"/>
    <n v="0"/>
    <n v="1"/>
    <n v="0"/>
    <n v="0"/>
    <n v="0"/>
    <n v="0"/>
    <n v="0"/>
    <n v="0"/>
    <n v="0"/>
    <n v="0"/>
  </r>
  <r>
    <d v="2003-08-25T00:00:00"/>
    <n v="2003"/>
    <x v="33"/>
    <s v="R"/>
    <s v="RS"/>
    <x v="0"/>
    <s v="SAC"/>
    <s v="H"/>
    <n v="1"/>
    <n v="1"/>
    <n v="0"/>
    <n v="0"/>
    <n v="0"/>
    <n v="0"/>
    <n v="1521.3476760636463"/>
    <n v="1575.5791989193708"/>
    <n v="0.54273575680200459"/>
    <n v="70"/>
    <n v="57"/>
    <n v="0"/>
    <n v="13"/>
    <n v="1"/>
    <n v="0.45163312869636807"/>
    <n v="1"/>
    <n v="70.900000000000006"/>
    <n v="70.900000000000006"/>
    <n v="14.641961768470972"/>
    <n v="1535.9896378321173"/>
    <n v="1"/>
    <n v="0"/>
    <n v="0"/>
    <n v="0"/>
    <n v="0"/>
    <n v="0"/>
    <n v="0"/>
    <n v="0"/>
    <n v="0"/>
    <n v="0"/>
  </r>
  <r>
    <d v="2003-08-28T00:00:00"/>
    <n v="2003"/>
    <x v="34"/>
    <s v="P"/>
    <n v="1"/>
    <x v="5"/>
    <s v="CON"/>
    <s v="A"/>
    <n v="2"/>
    <n v="2"/>
    <n v="0"/>
    <n v="0"/>
    <n v="0"/>
    <n v="0"/>
    <n v="1502.0874347020838"/>
    <n v="1522.8871138290249"/>
    <n v="0.35359468107402103"/>
    <n v="66"/>
    <n v="68"/>
    <n v="0"/>
    <n v="-2"/>
    <n v="0"/>
    <n v="0.26327790747902308"/>
    <n v="1.1000000000000001"/>
    <n v="70.75"/>
    <n v="77.825000000000003"/>
    <n v="-7.2450146910001463"/>
    <n v="1494.8424200110837"/>
    <n v="0"/>
    <n v="0"/>
    <n v="0"/>
    <n v="1"/>
    <n v="0"/>
    <n v="0"/>
    <n v="0"/>
    <n v="0"/>
    <n v="0"/>
    <n v="0"/>
  </r>
  <r>
    <d v="2003-08-28T00:00:00"/>
    <n v="2003"/>
    <x v="34"/>
    <s v="P"/>
    <n v="1"/>
    <x v="7"/>
    <s v="CHA"/>
    <s v="H"/>
    <n v="2"/>
    <n v="2"/>
    <n v="0"/>
    <n v="0"/>
    <n v="0"/>
    <n v="0"/>
    <n v="1522.8871138290249"/>
    <n v="1502.0874347020838"/>
    <n v="0.64640531892597897"/>
    <n v="68"/>
    <n v="66"/>
    <n v="0"/>
    <n v="2"/>
    <n v="1"/>
    <n v="0.26327790747902308"/>
    <n v="1.1000000000000001"/>
    <n v="70.75"/>
    <n v="77.825000000000003"/>
    <n v="7.2450146910001463"/>
    <n v="1530.1321285200249"/>
    <n v="0"/>
    <n v="0"/>
    <n v="1"/>
    <n v="0"/>
    <n v="0"/>
    <n v="0"/>
    <n v="0"/>
    <n v="0"/>
    <n v="0"/>
    <n v="0"/>
  </r>
  <r>
    <d v="2003-08-28T00:00:00"/>
    <n v="2003"/>
    <x v="34"/>
    <s v="P"/>
    <n v="1"/>
    <x v="6"/>
    <s v="MIN"/>
    <s v="A"/>
    <n v="2"/>
    <n v="4"/>
    <n v="-2"/>
    <n v="2"/>
    <n v="-16"/>
    <n v="16"/>
    <n v="1611.4109521231994"/>
    <n v="1496.9413687054914"/>
    <n v="0.49779756773935452"/>
    <n v="72"/>
    <n v="74"/>
    <n v="0"/>
    <n v="-2"/>
    <n v="0"/>
    <n v="0.2445165632025639"/>
    <n v="1.1000000000000001"/>
    <n v="70.75"/>
    <n v="77.825000000000003"/>
    <n v="-9.4728395775433629"/>
    <n v="1601.9381125456562"/>
    <n v="0"/>
    <n v="0"/>
    <n v="0"/>
    <n v="1"/>
    <n v="0"/>
    <n v="0"/>
    <n v="0"/>
    <n v="0"/>
    <n v="0"/>
    <n v="0"/>
  </r>
  <r>
    <d v="2003-08-28T00:00:00"/>
    <n v="2003"/>
    <x v="34"/>
    <s v="P"/>
    <n v="1"/>
    <x v="8"/>
    <s v="LAS"/>
    <s v="H"/>
    <n v="4"/>
    <n v="2"/>
    <n v="2"/>
    <n v="-2"/>
    <n v="16"/>
    <n v="-16"/>
    <n v="1496.9413687054914"/>
    <n v="1611.4109521231994"/>
    <n v="0.50220243226064554"/>
    <n v="74"/>
    <n v="72"/>
    <n v="0"/>
    <n v="2"/>
    <n v="1"/>
    <n v="0.2445165632025639"/>
    <n v="1.1000000000000001"/>
    <n v="70.75"/>
    <n v="77.825000000000003"/>
    <n v="9.4728395775433629"/>
    <n v="1506.4142082830347"/>
    <n v="0"/>
    <n v="0"/>
    <n v="1"/>
    <n v="0"/>
    <n v="0"/>
    <n v="0"/>
    <n v="0"/>
    <n v="0"/>
    <n v="0"/>
    <n v="0"/>
  </r>
  <r>
    <d v="2003-08-29T00:00:00"/>
    <n v="2003"/>
    <x v="34"/>
    <s v="P"/>
    <n v="1"/>
    <x v="13"/>
    <s v="CLE"/>
    <s v="A"/>
    <n v="3"/>
    <n v="3"/>
    <n v="0"/>
    <n v="0"/>
    <n v="0"/>
    <n v="0"/>
    <n v="1612.191232638668"/>
    <n v="1471.9269527351858"/>
    <n v="0.58027033254878779"/>
    <n v="76"/>
    <n v="74"/>
    <n v="0"/>
    <n v="2"/>
    <n v="1"/>
    <n v="0.23981060287210654"/>
    <n v="1.1000000000000001"/>
    <n v="70.75"/>
    <n v="77.825000000000003"/>
    <n v="7.833523984089064"/>
    <n v="1620.024756622757"/>
    <n v="0"/>
    <n v="0"/>
    <n v="1"/>
    <n v="0"/>
    <n v="0"/>
    <n v="0"/>
    <n v="0"/>
    <n v="0"/>
    <n v="0"/>
    <n v="0"/>
  </r>
  <r>
    <d v="2003-08-29T00:00:00"/>
    <n v="2003"/>
    <x v="34"/>
    <s v="P"/>
    <n v="1"/>
    <x v="10"/>
    <s v="DET"/>
    <s v="H"/>
    <n v="3"/>
    <n v="3"/>
    <n v="0"/>
    <n v="0"/>
    <n v="0"/>
    <n v="0"/>
    <n v="1471.9269527351858"/>
    <n v="1612.191232638668"/>
    <n v="0.41972966745121226"/>
    <n v="74"/>
    <n v="76"/>
    <n v="0"/>
    <n v="-2"/>
    <n v="0"/>
    <n v="0.23981060287210654"/>
    <n v="1.1000000000000001"/>
    <n v="70.75"/>
    <n v="77.825000000000003"/>
    <n v="-7.8335239840890658"/>
    <n v="1464.0934287510968"/>
    <n v="0"/>
    <n v="0"/>
    <n v="0"/>
    <n v="1"/>
    <n v="0"/>
    <n v="0"/>
    <n v="0"/>
    <n v="0"/>
    <n v="0"/>
    <n v="0"/>
  </r>
  <r>
    <d v="2003-08-29T00:00:00"/>
    <n v="2003"/>
    <x v="34"/>
    <s v="P"/>
    <n v="1"/>
    <x v="1"/>
    <s v="SAC"/>
    <s v="A"/>
    <n v="3"/>
    <n v="3"/>
    <n v="0"/>
    <n v="0"/>
    <n v="0"/>
    <n v="0"/>
    <n v="1583.9935699236551"/>
    <n v="1560.9372371508998"/>
    <n v="0.41318359967561208"/>
    <n v="59"/>
    <n v="65"/>
    <n v="0"/>
    <n v="-6"/>
    <n v="0"/>
    <n v="0.34465862447524065"/>
    <n v="1.1000000000000001"/>
    <n v="70.75"/>
    <n v="77.825000000000003"/>
    <n v="-11.08284743140816"/>
    <n v="1572.9107224922468"/>
    <n v="0"/>
    <n v="0"/>
    <n v="0"/>
    <n v="1"/>
    <n v="0"/>
    <n v="0"/>
    <n v="0"/>
    <n v="0"/>
    <n v="0"/>
    <n v="0"/>
  </r>
  <r>
    <d v="2003-08-29T00:00:00"/>
    <n v="2003"/>
    <x v="34"/>
    <s v="P"/>
    <n v="1"/>
    <x v="2"/>
    <s v="HOU"/>
    <s v="H"/>
    <n v="3"/>
    <n v="3"/>
    <n v="0"/>
    <n v="0"/>
    <n v="0"/>
    <n v="0"/>
    <n v="1560.9372371508998"/>
    <n v="1583.9935699236551"/>
    <n v="0.58681640032438798"/>
    <n v="65"/>
    <n v="59"/>
    <n v="0"/>
    <n v="6"/>
    <n v="1"/>
    <n v="0.34465862447524065"/>
    <n v="1.1000000000000001"/>
    <n v="70.75"/>
    <n v="77.825000000000003"/>
    <n v="11.082847431408158"/>
    <n v="1572.0200845823081"/>
    <n v="0"/>
    <n v="0"/>
    <n v="1"/>
    <n v="0"/>
    <n v="0"/>
    <n v="0"/>
    <n v="0"/>
    <n v="0"/>
    <n v="0"/>
    <n v="0"/>
  </r>
  <r>
    <d v="2003-08-30T00:00:00"/>
    <n v="2003"/>
    <x v="35"/>
    <s v="P"/>
    <n v="1"/>
    <x v="7"/>
    <s v="CHA"/>
    <s v="A"/>
    <n v="1"/>
    <n v="1"/>
    <n v="0"/>
    <n v="0"/>
    <n v="0"/>
    <n v="0"/>
    <n v="1530.1321285200249"/>
    <n v="1494.8424200110837"/>
    <n v="0.43035596408806509"/>
    <n v="68"/>
    <n v="62"/>
    <n v="0"/>
    <n v="6"/>
    <n v="1"/>
    <n v="0.34124538592489934"/>
    <n v="1.1000000000000001"/>
    <n v="70.599999999999994"/>
    <n v="77.66"/>
    <n v="15.096203056600306"/>
    <n v="1545.2283315766254"/>
    <n v="0"/>
    <n v="0"/>
    <n v="1"/>
    <n v="0"/>
    <n v="0"/>
    <n v="0"/>
    <n v="0"/>
    <n v="0"/>
    <n v="0"/>
    <n v="0"/>
  </r>
  <r>
    <d v="2003-08-30T00:00:00"/>
    <n v="2003"/>
    <x v="35"/>
    <s v="P"/>
    <n v="1"/>
    <x v="5"/>
    <s v="CON"/>
    <s v="H"/>
    <n v="1"/>
    <n v="1"/>
    <n v="0"/>
    <n v="0"/>
    <n v="0"/>
    <n v="0"/>
    <n v="1494.8424200110837"/>
    <n v="1530.1321285200249"/>
    <n v="0.56964403591193491"/>
    <n v="62"/>
    <n v="68"/>
    <n v="0"/>
    <n v="-6"/>
    <n v="0"/>
    <n v="0.34124538592489934"/>
    <n v="1.1000000000000001"/>
    <n v="70.599999999999994"/>
    <n v="77.66"/>
    <n v="-15.096203056600306"/>
    <n v="1479.7462169544833"/>
    <n v="0"/>
    <n v="0"/>
    <n v="0"/>
    <n v="1"/>
    <n v="0"/>
    <n v="0"/>
    <n v="0"/>
    <n v="0"/>
    <n v="0"/>
    <n v="0"/>
  </r>
  <r>
    <d v="2003-08-30T00:00:00"/>
    <n v="2003"/>
    <x v="35"/>
    <s v="P"/>
    <n v="1"/>
    <x v="8"/>
    <s v="LAS"/>
    <s v="A"/>
    <n v="1"/>
    <n v="1"/>
    <n v="0"/>
    <n v="0"/>
    <n v="0"/>
    <n v="0"/>
    <n v="1506.4142082830347"/>
    <n v="1601.9381125456562"/>
    <n v="0.26242108754312071"/>
    <n v="69"/>
    <n v="80"/>
    <n v="0"/>
    <n v="-11"/>
    <n v="0"/>
    <n v="0.4074051915001673"/>
    <n v="1.1000000000000001"/>
    <n v="70.599999999999994"/>
    <n v="77.66"/>
    <n v="-8.3027636645223826"/>
    <n v="1498.1114446185122"/>
    <n v="0"/>
    <n v="0"/>
    <n v="0"/>
    <n v="1"/>
    <n v="0"/>
    <n v="0"/>
    <n v="0"/>
    <n v="0"/>
    <n v="0"/>
    <n v="0"/>
  </r>
  <r>
    <d v="2003-08-30T00:00:00"/>
    <n v="2003"/>
    <x v="35"/>
    <s v="P"/>
    <n v="1"/>
    <x v="6"/>
    <s v="MIN"/>
    <s v="H"/>
    <n v="1"/>
    <n v="1"/>
    <n v="0"/>
    <n v="0"/>
    <n v="0"/>
    <n v="0"/>
    <n v="1601.9381125456562"/>
    <n v="1506.4142082830347"/>
    <n v="0.73757891245687923"/>
    <n v="80"/>
    <n v="69"/>
    <n v="0"/>
    <n v="11"/>
    <n v="1"/>
    <n v="0.4074051915001673"/>
    <n v="1.1000000000000001"/>
    <n v="70.599999999999994"/>
    <n v="77.66"/>
    <n v="8.3027636645223843"/>
    <n v="1610.2408762101786"/>
    <n v="0"/>
    <n v="0"/>
    <n v="1"/>
    <n v="0"/>
    <n v="0"/>
    <n v="0"/>
    <n v="0"/>
    <n v="0"/>
    <n v="0"/>
    <n v="0"/>
  </r>
  <r>
    <d v="2003-08-31T00:00:00"/>
    <n v="2003"/>
    <x v="35"/>
    <s v="P"/>
    <n v="1"/>
    <x v="10"/>
    <s v="DET"/>
    <s v="A"/>
    <n v="1"/>
    <n v="1"/>
    <n v="0"/>
    <n v="0"/>
    <n v="0"/>
    <n v="0"/>
    <n v="1464.0934287510968"/>
    <n v="1620.024756622757"/>
    <n v="0.20082344581844597"/>
    <n v="66"/>
    <n v="59"/>
    <n v="0"/>
    <n v="7"/>
    <n v="1"/>
    <n v="0.32754505914522325"/>
    <n v="1.1000000000000001"/>
    <n v="70.599999999999994"/>
    <n v="77.66"/>
    <n v="20.328773320355747"/>
    <n v="1484.4222020714526"/>
    <n v="0"/>
    <n v="0"/>
    <n v="1"/>
    <n v="0"/>
    <n v="0"/>
    <n v="0"/>
    <n v="0"/>
    <n v="0"/>
    <n v="0"/>
    <n v="0"/>
  </r>
  <r>
    <d v="2003-08-31T00:00:00"/>
    <n v="2003"/>
    <x v="35"/>
    <s v="P"/>
    <n v="1"/>
    <x v="13"/>
    <s v="CLE"/>
    <s v="H"/>
    <n v="1"/>
    <n v="1"/>
    <n v="0"/>
    <n v="0"/>
    <n v="0"/>
    <n v="0"/>
    <n v="1620.024756622757"/>
    <n v="1464.0934287510968"/>
    <n v="0.79917655418155409"/>
    <n v="59"/>
    <n v="66"/>
    <n v="0"/>
    <n v="-7"/>
    <n v="0"/>
    <n v="0.32754505914522325"/>
    <n v="1.1000000000000001"/>
    <n v="70.599999999999994"/>
    <n v="77.66"/>
    <n v="-20.328773320355747"/>
    <n v="1599.6959833024011"/>
    <n v="0"/>
    <n v="0"/>
    <n v="0"/>
    <n v="1"/>
    <n v="0"/>
    <n v="0"/>
    <n v="0"/>
    <n v="0"/>
    <n v="0"/>
    <n v="0"/>
  </r>
  <r>
    <d v="2003-08-31T00:00:00"/>
    <n v="2003"/>
    <x v="35"/>
    <s v="P"/>
    <n v="1"/>
    <x v="2"/>
    <s v="HOU"/>
    <s v="A"/>
    <n v="1"/>
    <n v="1"/>
    <n v="0"/>
    <n v="0"/>
    <n v="0"/>
    <n v="0"/>
    <n v="1572.0200845823081"/>
    <n v="1572.9107224922468"/>
    <n v="0.38020698034949324"/>
    <n v="48"/>
    <n v="69"/>
    <n v="0"/>
    <n v="-21"/>
    <n v="0"/>
    <n v="0.58813977312216592"/>
    <n v="1.1000000000000001"/>
    <n v="70.599999999999994"/>
    <n v="77.66"/>
    <n v="-17.365929030617597"/>
    <n v="1554.6541555516906"/>
    <n v="0"/>
    <n v="0"/>
    <n v="0"/>
    <n v="1"/>
    <n v="0"/>
    <n v="0"/>
    <n v="0"/>
    <n v="0"/>
    <n v="0"/>
    <n v="0"/>
  </r>
  <r>
    <d v="2003-08-31T00:00:00"/>
    <n v="2003"/>
    <x v="35"/>
    <s v="P"/>
    <n v="1"/>
    <x v="1"/>
    <s v="SAC"/>
    <s v="H"/>
    <n v="1"/>
    <n v="1"/>
    <n v="0"/>
    <n v="0"/>
    <n v="0"/>
    <n v="0"/>
    <n v="1572.9107224922468"/>
    <n v="1572.0200845823081"/>
    <n v="0.61979301965050682"/>
    <n v="69"/>
    <n v="48"/>
    <n v="0"/>
    <n v="21"/>
    <n v="1"/>
    <n v="0.58813977312216592"/>
    <n v="1.1000000000000001"/>
    <n v="70.599999999999994"/>
    <n v="77.66"/>
    <n v="17.365929030617597"/>
    <n v="1590.2766515228643"/>
    <n v="0"/>
    <n v="0"/>
    <n v="1"/>
    <n v="0"/>
    <n v="0"/>
    <n v="0"/>
    <n v="0"/>
    <n v="0"/>
    <n v="0"/>
    <n v="0"/>
  </r>
  <r>
    <d v="2003-09-01T00:00:00"/>
    <n v="2003"/>
    <x v="36"/>
    <s v="P"/>
    <n v="1"/>
    <x v="8"/>
    <s v="LAS"/>
    <s v="A"/>
    <n v="1"/>
    <n v="1"/>
    <n v="0"/>
    <n v="0"/>
    <n v="0"/>
    <n v="0"/>
    <n v="1498.1114446185122"/>
    <n v="1610.2408762101786"/>
    <n v="0.24434352252025987"/>
    <n v="64"/>
    <n v="74"/>
    <n v="0"/>
    <n v="-10"/>
    <n v="0"/>
    <n v="0.38697069585796312"/>
    <n v="1.1000000000000001"/>
    <n v="70.45"/>
    <n v="77.495000000000005"/>
    <n v="-7.3274454087842509"/>
    <n v="1490.7839992097279"/>
    <n v="0"/>
    <n v="0"/>
    <n v="0"/>
    <n v="1"/>
    <n v="0"/>
    <n v="0"/>
    <n v="0"/>
    <n v="0"/>
    <n v="0"/>
    <n v="0"/>
  </r>
  <r>
    <d v="2003-09-01T00:00:00"/>
    <n v="2003"/>
    <x v="36"/>
    <s v="P"/>
    <n v="1"/>
    <x v="6"/>
    <s v="MIN"/>
    <s v="H"/>
    <n v="1"/>
    <n v="1"/>
    <n v="0"/>
    <n v="0"/>
    <n v="0"/>
    <n v="0"/>
    <n v="1610.2408762101786"/>
    <n v="1498.1114446185122"/>
    <n v="0.75565647747974019"/>
    <n v="74"/>
    <n v="64"/>
    <n v="0"/>
    <n v="10"/>
    <n v="1"/>
    <n v="0.38697069585796312"/>
    <n v="1.1000000000000001"/>
    <n v="70.45"/>
    <n v="77.495000000000005"/>
    <n v="7.3274454087842491"/>
    <n v="1617.568321618963"/>
    <n v="0"/>
    <n v="0"/>
    <n v="1"/>
    <n v="0"/>
    <n v="0"/>
    <n v="0"/>
    <n v="0"/>
    <n v="0"/>
    <n v="0"/>
    <n v="0"/>
  </r>
  <r>
    <d v="2003-09-02T00:00:00"/>
    <n v="2003"/>
    <x v="36"/>
    <s v="P"/>
    <n v="1"/>
    <x v="10"/>
    <s v="DET"/>
    <s v="A"/>
    <n v="1"/>
    <n v="1"/>
    <n v="0"/>
    <n v="0"/>
    <n v="0"/>
    <n v="0"/>
    <n v="1484.4222020714526"/>
    <n v="1599.6959833024011"/>
    <n v="0.24101696590473351"/>
    <n v="63"/>
    <n v="77"/>
    <n v="0"/>
    <n v="-14"/>
    <n v="0"/>
    <n v="0.44487294781570558"/>
    <n v="1.1000000000000001"/>
    <n v="70.45"/>
    <n v="77.495000000000005"/>
    <n v="-8.3091633177713273"/>
    <n v="1476.1130387536812"/>
    <n v="0"/>
    <n v="0"/>
    <n v="0"/>
    <n v="1"/>
    <n v="0"/>
    <n v="0"/>
    <n v="0"/>
    <n v="0"/>
    <n v="0"/>
    <n v="0"/>
  </r>
  <r>
    <d v="2003-09-02T00:00:00"/>
    <n v="2003"/>
    <x v="36"/>
    <s v="P"/>
    <n v="1"/>
    <x v="13"/>
    <s v="CLE"/>
    <s v="H"/>
    <n v="1"/>
    <n v="1"/>
    <n v="0"/>
    <n v="0"/>
    <n v="0"/>
    <n v="0"/>
    <n v="1599.6959833024011"/>
    <n v="1484.4222020714526"/>
    <n v="0.75898303409526646"/>
    <n v="77"/>
    <n v="63"/>
    <n v="0"/>
    <n v="14"/>
    <n v="1"/>
    <n v="0.44487294781570558"/>
    <n v="1.1000000000000001"/>
    <n v="70.45"/>
    <n v="77.495000000000005"/>
    <n v="8.3091633177713291"/>
    <n v="1608.0051466201726"/>
    <n v="0"/>
    <n v="0"/>
    <n v="1"/>
    <n v="0"/>
    <n v="0"/>
    <n v="0"/>
    <n v="0"/>
    <n v="0"/>
    <n v="0"/>
    <n v="0"/>
  </r>
  <r>
    <d v="2003-09-02T00:00:00"/>
    <n v="2003"/>
    <x v="36"/>
    <s v="P"/>
    <n v="1"/>
    <x v="2"/>
    <s v="HOU"/>
    <s v="A"/>
    <n v="1"/>
    <n v="1"/>
    <n v="0"/>
    <n v="0"/>
    <n v="0"/>
    <n v="0"/>
    <n v="1554.6541555516906"/>
    <n v="1590.2766515228643"/>
    <n v="0.33434403950101726"/>
    <n v="70"/>
    <n v="68"/>
    <n v="0"/>
    <n v="2"/>
    <n v="1"/>
    <n v="0.26011956404126696"/>
    <n v="1.1000000000000001"/>
    <n v="70.45"/>
    <n v="77.495000000000005"/>
    <n v="13.4182699634099"/>
    <n v="1568.0724255151006"/>
    <n v="0"/>
    <n v="0"/>
    <n v="1"/>
    <n v="0"/>
    <n v="0"/>
    <n v="0"/>
    <n v="0"/>
    <n v="0"/>
    <n v="0"/>
    <n v="0"/>
  </r>
  <r>
    <d v="2003-09-02T00:00:00"/>
    <n v="2003"/>
    <x v="36"/>
    <s v="P"/>
    <n v="1"/>
    <x v="1"/>
    <s v="SAC"/>
    <s v="H"/>
    <n v="1"/>
    <n v="1"/>
    <n v="0"/>
    <n v="0"/>
    <n v="0"/>
    <n v="0"/>
    <n v="1590.2766515228643"/>
    <n v="1554.6541555516906"/>
    <n v="0.66565596049898279"/>
    <n v="68"/>
    <n v="70"/>
    <n v="0"/>
    <n v="-2"/>
    <n v="0"/>
    <n v="0.26011956404126696"/>
    <n v="1.1000000000000001"/>
    <n v="70.45"/>
    <n v="77.495000000000005"/>
    <n v="-13.418269963409902"/>
    <n v="1576.8583815594543"/>
    <n v="0"/>
    <n v="0"/>
    <n v="0"/>
    <n v="1"/>
    <n v="0"/>
    <n v="0"/>
    <n v="0"/>
    <n v="0"/>
    <n v="0"/>
    <n v="0"/>
  </r>
  <r>
    <d v="2003-09-05T00:00:00"/>
    <n v="2003"/>
    <x v="37"/>
    <s v="P"/>
    <n v="2"/>
    <x v="13"/>
    <s v="CON"/>
    <s v="A"/>
    <n v="2"/>
    <n v="5"/>
    <n v="-3"/>
    <n v="3"/>
    <n v="-16"/>
    <n v="16"/>
    <n v="1608.0051466201726"/>
    <n v="1545.2283315766254"/>
    <n v="0.42399924895226127"/>
    <n v="73"/>
    <n v="63"/>
    <n v="0"/>
    <n v="10"/>
    <n v="1"/>
    <n v="0.40209452149406993"/>
    <n v="1.2"/>
    <n v="70.3"/>
    <n v="84.36"/>
    <n v="19.53834512400649"/>
    <n v="1627.5434917441792"/>
    <n v="0"/>
    <n v="0"/>
    <n v="0"/>
    <n v="0"/>
    <n v="1"/>
    <n v="0"/>
    <n v="0"/>
    <n v="0"/>
    <n v="0"/>
    <n v="0"/>
  </r>
  <r>
    <d v="2003-09-05T00:00:00"/>
    <n v="2003"/>
    <x v="36"/>
    <s v="P"/>
    <n v="2"/>
    <x v="7"/>
    <s v="DET"/>
    <s v="H"/>
    <n v="5"/>
    <n v="2"/>
    <n v="3"/>
    <n v="-3"/>
    <n v="16"/>
    <n v="-16"/>
    <n v="1545.2283315766254"/>
    <n v="1608.0051466201726"/>
    <n v="0.57600075104773862"/>
    <n v="63"/>
    <n v="73"/>
    <n v="0"/>
    <n v="-10"/>
    <n v="0"/>
    <n v="0.40209452149406993"/>
    <n v="1.2"/>
    <n v="70.45"/>
    <n v="84.54"/>
    <n v="-19.580034338353585"/>
    <n v="1525.6482972382719"/>
    <n v="0"/>
    <n v="0"/>
    <n v="0"/>
    <n v="0"/>
    <n v="0"/>
    <n v="1"/>
    <n v="0"/>
    <n v="0"/>
    <n v="0"/>
    <n v="0"/>
  </r>
  <r>
    <d v="2003-09-05T00:00:00"/>
    <n v="2003"/>
    <x v="37"/>
    <s v="P"/>
    <n v="2"/>
    <x v="6"/>
    <s v="SAC"/>
    <s v="A"/>
    <n v="3"/>
    <n v="2"/>
    <n v="1"/>
    <n v="-1"/>
    <n v="8"/>
    <n v="-8"/>
    <n v="1617.568321618963"/>
    <n v="1568.0724255151006"/>
    <n v="0.47339560385606888"/>
    <n v="69"/>
    <n v="77"/>
    <n v="0"/>
    <n v="-8"/>
    <n v="0"/>
    <n v="0.37293331131107044"/>
    <n v="1.2"/>
    <n v="70.3"/>
    <n v="84.36"/>
    <n v="-14.893335365354606"/>
    <n v="1602.6749862536083"/>
    <n v="0"/>
    <n v="0"/>
    <n v="0"/>
    <n v="0"/>
    <n v="0"/>
    <n v="1"/>
    <n v="0"/>
    <n v="0"/>
    <n v="0"/>
    <n v="0"/>
  </r>
  <r>
    <d v="2003-09-05T00:00:00"/>
    <n v="2003"/>
    <x v="37"/>
    <s v="P"/>
    <n v="2"/>
    <x v="2"/>
    <s v="LAS"/>
    <s v="H"/>
    <n v="2"/>
    <n v="3"/>
    <n v="-1"/>
    <n v="1"/>
    <n v="-8"/>
    <n v="8"/>
    <n v="1568.0724255151006"/>
    <n v="1617.568321618963"/>
    <n v="0.52660439614393117"/>
    <n v="77"/>
    <n v="69"/>
    <n v="0"/>
    <n v="8"/>
    <n v="1"/>
    <n v="0.37293331131107044"/>
    <n v="1.2"/>
    <n v="70.3"/>
    <n v="84.36"/>
    <n v="14.893335365354604"/>
    <n v="1582.9657608804553"/>
    <n v="0"/>
    <n v="0"/>
    <n v="0"/>
    <n v="0"/>
    <n v="1"/>
    <n v="0"/>
    <n v="0"/>
    <n v="0"/>
    <n v="0"/>
    <n v="0"/>
  </r>
  <r>
    <d v="2003-09-07T00:00:00"/>
    <n v="2003"/>
    <x v="37"/>
    <s v="P"/>
    <n v="2"/>
    <x v="7"/>
    <s v="DET"/>
    <s v="A"/>
    <n v="1"/>
    <n v="1"/>
    <n v="0"/>
    <n v="0"/>
    <n v="0"/>
    <n v="0"/>
    <n v="1525.6482972382719"/>
    <n v="1627.5434917441792"/>
    <n v="0.25538430333411405"/>
    <n v="73"/>
    <n v="79"/>
    <n v="0"/>
    <n v="-6"/>
    <n v="0"/>
    <n v="0.32378713362496964"/>
    <n v="1.2"/>
    <n v="70.3"/>
    <n v="84.36"/>
    <n v="-6.9757411847042254"/>
    <n v="1518.6725560535676"/>
    <n v="0"/>
    <n v="0"/>
    <n v="0"/>
    <n v="0"/>
    <n v="0"/>
    <n v="1"/>
    <n v="0"/>
    <n v="0"/>
    <n v="0"/>
    <n v="0"/>
  </r>
  <r>
    <d v="2003-09-07T00:00:00"/>
    <n v="2003"/>
    <x v="38"/>
    <s v="P"/>
    <n v="2"/>
    <x v="13"/>
    <s v="CON"/>
    <s v="H"/>
    <n v="1"/>
    <n v="1"/>
    <n v="0"/>
    <n v="0"/>
    <n v="0"/>
    <n v="0"/>
    <n v="1627.5434917441792"/>
    <n v="1525.6482972382719"/>
    <n v="0.74461569666588601"/>
    <n v="79"/>
    <n v="73"/>
    <n v="0"/>
    <n v="6"/>
    <n v="1"/>
    <n v="0.32378713362496964"/>
    <n v="1.2"/>
    <n v="70.150000000000006"/>
    <n v="84.18"/>
    <n v="6.9608569574253396"/>
    <n v="1634.5043487016046"/>
    <n v="0"/>
    <n v="0"/>
    <n v="0"/>
    <n v="0"/>
    <n v="1"/>
    <n v="0"/>
    <n v="0"/>
    <n v="0"/>
    <n v="0"/>
    <n v="0"/>
  </r>
  <r>
    <d v="2003-09-07T00:00:00"/>
    <n v="2003"/>
    <x v="38"/>
    <s v="P"/>
    <n v="2"/>
    <x v="2"/>
    <s v="LAS"/>
    <s v="A"/>
    <n v="1"/>
    <n v="1"/>
    <n v="0"/>
    <n v="0"/>
    <n v="0"/>
    <n v="0"/>
    <n v="1582.9657608804553"/>
    <n v="1602.6749862536083"/>
    <n v="0.35503073738820651"/>
    <n v="54"/>
    <n v="79"/>
    <n v="0"/>
    <n v="-25"/>
    <n v="0"/>
    <n v="0.63098123557863173"/>
    <n v="1.2"/>
    <n v="70.150000000000006"/>
    <n v="84.18"/>
    <n v="-18.857812793032885"/>
    <n v="1564.1079480874223"/>
    <n v="0"/>
    <n v="0"/>
    <n v="0"/>
    <n v="0"/>
    <n v="0"/>
    <n v="1"/>
    <n v="0"/>
    <n v="0"/>
    <n v="0"/>
    <n v="0"/>
  </r>
  <r>
    <d v="2003-09-07T00:00:00"/>
    <n v="2003"/>
    <x v="38"/>
    <s v="P"/>
    <n v="2"/>
    <x v="6"/>
    <s v="SAC"/>
    <s v="H"/>
    <n v="1"/>
    <n v="1"/>
    <n v="0"/>
    <n v="0"/>
    <n v="0"/>
    <n v="0"/>
    <n v="1602.6749862536083"/>
    <n v="1582.9657608804553"/>
    <n v="0.64496926261179355"/>
    <n v="79"/>
    <n v="54"/>
    <n v="0"/>
    <n v="25"/>
    <n v="1"/>
    <n v="0.63098123557863173"/>
    <n v="1.2"/>
    <n v="70.150000000000006"/>
    <n v="84.18"/>
    <n v="18.857812793032881"/>
    <n v="1621.5327990466412"/>
    <n v="0"/>
    <n v="0"/>
    <n v="0"/>
    <n v="0"/>
    <n v="1"/>
    <n v="0"/>
    <n v="0"/>
    <n v="0"/>
    <n v="0"/>
    <n v="0"/>
  </r>
  <r>
    <d v="2003-09-08T00:00:00"/>
    <n v="2003"/>
    <x v="39"/>
    <s v="P"/>
    <n v="2"/>
    <x v="2"/>
    <s v="LAS"/>
    <s v="A"/>
    <n v="0"/>
    <n v="0"/>
    <n v="0"/>
    <n v="0"/>
    <n v="0"/>
    <n v="0"/>
    <n v="1564.1079480874223"/>
    <n v="1621.5327990466412"/>
    <n v="0.30701603476735195"/>
    <n v="63"/>
    <n v="66"/>
    <n v="0"/>
    <n v="-3"/>
    <n v="0"/>
    <n v="0.27693124169831063"/>
    <n v="1.2"/>
    <n v="70"/>
    <n v="84"/>
    <n v="-7.1418758652708165"/>
    <n v="1556.9660722221515"/>
    <n v="0"/>
    <n v="0"/>
    <n v="0"/>
    <n v="0"/>
    <n v="0"/>
    <n v="1"/>
    <n v="0"/>
    <n v="0"/>
    <n v="0"/>
    <n v="0"/>
  </r>
  <r>
    <d v="2003-09-08T00:00:00"/>
    <n v="2003"/>
    <x v="39"/>
    <s v="P"/>
    <n v="2"/>
    <x v="6"/>
    <s v="SAC"/>
    <s v="H"/>
    <n v="0"/>
    <n v="0"/>
    <n v="0"/>
    <n v="0"/>
    <n v="0"/>
    <n v="0"/>
    <n v="1621.5327990466412"/>
    <n v="1564.1079480874223"/>
    <n v="0.69298396523264805"/>
    <n v="66"/>
    <n v="63"/>
    <n v="0"/>
    <n v="3"/>
    <n v="1"/>
    <n v="0.27693124169831063"/>
    <n v="1.2"/>
    <n v="70"/>
    <n v="84"/>
    <n v="7.1418758652708165"/>
    <n v="1628.674674911912"/>
    <n v="0"/>
    <n v="0"/>
    <n v="0"/>
    <n v="0"/>
    <n v="1"/>
    <n v="0"/>
    <n v="0"/>
    <n v="0"/>
    <n v="0"/>
    <n v="0"/>
  </r>
  <r>
    <d v="2003-09-12T00:00:00"/>
    <n v="2003"/>
    <x v="39"/>
    <s v="P"/>
    <n v="3"/>
    <x v="13"/>
    <s v="LAS"/>
    <s v="A"/>
    <n v="4"/>
    <n v="3"/>
    <n v="1"/>
    <n v="-1"/>
    <n v="8"/>
    <n v="-8"/>
    <n v="1634.5043487016046"/>
    <n v="1628.674674911912"/>
    <n v="0.41147257252198294"/>
    <n v="63"/>
    <n v="75"/>
    <n v="0"/>
    <n v="-12"/>
    <n v="0"/>
    <n v="0.45392425115200186"/>
    <n v="1.35"/>
    <n v="70"/>
    <n v="94.5"/>
    <n v="-17.650462348728929"/>
    <n v="1616.8538863528756"/>
    <n v="0"/>
    <n v="0"/>
    <n v="0"/>
    <n v="0"/>
    <n v="0"/>
    <n v="0"/>
    <n v="0"/>
    <n v="1"/>
    <n v="0"/>
    <n v="0"/>
  </r>
  <r>
    <d v="2003-09-12T00:00:00"/>
    <n v="2003"/>
    <x v="40"/>
    <s v="P"/>
    <n v="3"/>
    <x v="6"/>
    <s v="DET"/>
    <s v="H"/>
    <n v="3"/>
    <n v="4"/>
    <n v="-1"/>
    <n v="1"/>
    <n v="-8"/>
    <n v="8"/>
    <n v="1628.674674911912"/>
    <n v="1634.5043487016046"/>
    <n v="0.58852742747801712"/>
    <n v="75"/>
    <n v="63"/>
    <n v="0"/>
    <n v="12"/>
    <n v="1"/>
    <n v="0.45392425115200186"/>
    <n v="1.35"/>
    <n v="69.849999999999994"/>
    <n v="94.297499999999999"/>
    <n v="17.612639929410221"/>
    <n v="1646.2873148413223"/>
    <n v="0"/>
    <n v="0"/>
    <n v="0"/>
    <n v="0"/>
    <n v="0"/>
    <n v="0"/>
    <n v="1"/>
    <n v="0"/>
    <n v="0"/>
    <n v="0"/>
  </r>
  <r>
    <d v="2003-09-14T00:00:00"/>
    <n v="2003"/>
    <x v="41"/>
    <s v="P"/>
    <n v="3"/>
    <x v="6"/>
    <s v="DET"/>
    <s v="A"/>
    <n v="1"/>
    <n v="1"/>
    <n v="0"/>
    <n v="0"/>
    <n v="0"/>
    <n v="0"/>
    <n v="1646.2873148413223"/>
    <n v="1616.8538863528756"/>
    <n v="0.42211174661601364"/>
    <n v="61"/>
    <n v="62"/>
    <n v="0"/>
    <n v="-1"/>
    <n v="0"/>
    <n v="0.23833385230024731"/>
    <n v="1.35"/>
    <n v="69.7"/>
    <n v="94.095000000000013"/>
    <n v="-9.4662880894588177"/>
    <n v="1636.8210267518634"/>
    <n v="0"/>
    <n v="0"/>
    <n v="0"/>
    <n v="0"/>
    <n v="0"/>
    <n v="0"/>
    <n v="0"/>
    <n v="1"/>
    <n v="0"/>
    <n v="0"/>
  </r>
  <r>
    <d v="2003-09-14T00:00:00"/>
    <n v="2003"/>
    <x v="40"/>
    <s v="P"/>
    <n v="3"/>
    <x v="13"/>
    <s v="LAS"/>
    <s v="H"/>
    <n v="1"/>
    <n v="1"/>
    <n v="0"/>
    <n v="0"/>
    <n v="0"/>
    <n v="0"/>
    <n v="1616.8538863528756"/>
    <n v="1646.2873148413223"/>
    <n v="0.57788825338398642"/>
    <n v="62"/>
    <n v="61"/>
    <n v="0"/>
    <n v="1"/>
    <n v="1"/>
    <n v="0.23833385230024731"/>
    <n v="1.35"/>
    <n v="69.849999999999994"/>
    <n v="94.297499999999999"/>
    <n v="9.4866603019899323"/>
    <n v="1626.3405466548656"/>
    <n v="0"/>
    <n v="0"/>
    <n v="0"/>
    <n v="0"/>
    <n v="0"/>
    <n v="0"/>
    <n v="1"/>
    <n v="0"/>
    <n v="0"/>
    <n v="0"/>
  </r>
  <r>
    <d v="2003-09-16T00:00:00"/>
    <n v="2003"/>
    <x v="42"/>
    <s v="P"/>
    <n v="3"/>
    <x v="6"/>
    <s v="DET"/>
    <s v="A"/>
    <n v="1"/>
    <n v="1"/>
    <n v="0"/>
    <n v="0"/>
    <n v="0"/>
    <n v="0"/>
    <n v="1636.8210267518634"/>
    <n v="1626.3405466548656"/>
    <n v="0.39574831277970474"/>
    <n v="78"/>
    <n v="83"/>
    <n v="0"/>
    <n v="-5"/>
    <n v="0"/>
    <n v="0.3288835938284575"/>
    <n v="1.35"/>
    <n v="69.55"/>
    <n v="93.892499999999998"/>
    <n v="-12.220590295511506"/>
    <n v="1624.6004364563519"/>
    <n v="0"/>
    <n v="0"/>
    <n v="0"/>
    <n v="0"/>
    <n v="0"/>
    <n v="0"/>
    <n v="0"/>
    <n v="1"/>
    <n v="0"/>
    <n v="0"/>
  </r>
  <r>
    <d v="2003-09-16T00:00:00"/>
    <n v="2003"/>
    <x v="41"/>
    <s v="P"/>
    <n v="3"/>
    <x v="13"/>
    <s v="LAS"/>
    <s v="H"/>
    <n v="1"/>
    <n v="1"/>
    <n v="0"/>
    <n v="0"/>
    <n v="0"/>
    <n v="0"/>
    <n v="1626.3405466548656"/>
    <n v="1636.8210267518634"/>
    <n v="0.60425168722029521"/>
    <n v="83"/>
    <n v="78"/>
    <n v="0"/>
    <n v="5"/>
    <n v="1"/>
    <n v="0.3288835938284575"/>
    <n v="1.35"/>
    <n v="69.7"/>
    <n v="94.095000000000013"/>
    <n v="12.246946708801614"/>
    <n v="1638.5874933636674"/>
    <n v="0"/>
    <n v="0"/>
    <n v="0"/>
    <n v="0"/>
    <n v="0"/>
    <n v="0"/>
    <n v="1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48C267-77E2-45B0-81EA-9528BBCE6471}" name="PivotTable1" cacheId="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18" firstHeaderRow="0" firstDataRow="1" firstDataCol="1"/>
  <pivotFields count="38">
    <pivotField showAll="0"/>
    <pivotField numFmtId="1" showAll="0"/>
    <pivotField numFmtId="1" showAll="0"/>
    <pivotField showAll="0"/>
    <pivotField showAll="0"/>
    <pivotField axis="axisRow" showAll="0" sortType="ascending">
      <items count="58">
        <item m="1" x="38"/>
        <item m="1" x="32"/>
        <item m="1" x="49"/>
        <item m="1" x="25"/>
        <item m="1" x="23"/>
        <item m="1" x="37"/>
        <item m="1" x="53"/>
        <item x="5"/>
        <item m="1" x="22"/>
        <item m="1" x="39"/>
        <item x="10"/>
        <item x="7"/>
        <item m="1" x="27"/>
        <item m="1" x="31"/>
        <item x="13"/>
        <item m="1" x="54"/>
        <item m="1" x="34"/>
        <item x="1"/>
        <item x="11"/>
        <item m="1" x="48"/>
        <item m="1" x="47"/>
        <item m="1" x="21"/>
        <item m="1" x="20"/>
        <item m="1" x="56"/>
        <item x="6"/>
        <item m="1" x="55"/>
        <item m="1" x="24"/>
        <item m="1" x="15"/>
        <item m="1" x="33"/>
        <item x="8"/>
        <item m="1" x="41"/>
        <item m="1" x="18"/>
        <item m="1" x="28"/>
        <item m="1" x="42"/>
        <item m="1" x="50"/>
        <item x="12"/>
        <item m="1" x="43"/>
        <item m="1" x="30"/>
        <item m="1" x="17"/>
        <item m="1" x="26"/>
        <item x="3"/>
        <item m="1" x="45"/>
        <item m="1" x="16"/>
        <item m="1" x="29"/>
        <item x="2"/>
        <item x="9"/>
        <item m="1" x="40"/>
        <item x="0"/>
        <item m="1" x="51"/>
        <item m="1" x="46"/>
        <item m="1" x="52"/>
        <item m="1" x="44"/>
        <item m="1" x="19"/>
        <item m="1" x="14"/>
        <item m="1" x="36"/>
        <item x="4"/>
        <item m="1" x="35"/>
        <item t="default"/>
      </items>
    </pivotField>
    <pivotField showAll="0"/>
    <pivotField showAll="0"/>
    <pivotField numFmtId="1" showAll="0"/>
    <pivotField numFmtId="1" showAll="0"/>
    <pivotField numFmtId="1" showAll="0"/>
    <pivotField numFmtId="1" showAll="0"/>
    <pivotField showAll="0"/>
    <pivotField showAll="0"/>
    <pivotField numFmtId="165" showAll="0"/>
    <pivotField numFmtId="165" showAll="0"/>
    <pivotField numFmtId="165" showAll="0"/>
    <pivotField showAll="0"/>
    <pivotField showAll="0"/>
    <pivotField showAll="0"/>
    <pivotField showAll="0"/>
    <pivotField showAll="0"/>
    <pivotField numFmtId="165" showAll="0"/>
    <pivotField numFmtId="166" showAll="0"/>
    <pivotField numFmtId="166" showAll="0"/>
    <pivotField numFmtId="165" showAll="0"/>
    <pivotField numFmtId="165" showAll="0"/>
    <pivotField numFmtId="165"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</pivotFields>
  <rowFields count="1">
    <field x="5"/>
  </rowFields>
  <rowItems count="15">
    <i>
      <x v="7"/>
    </i>
    <i>
      <x v="10"/>
    </i>
    <i>
      <x v="11"/>
    </i>
    <i>
      <x v="14"/>
    </i>
    <i>
      <x v="17"/>
    </i>
    <i>
      <x v="18"/>
    </i>
    <i>
      <x v="24"/>
    </i>
    <i>
      <x v="29"/>
    </i>
    <i>
      <x v="35"/>
    </i>
    <i>
      <x v="40"/>
    </i>
    <i>
      <x v="44"/>
    </i>
    <i>
      <x v="45"/>
    </i>
    <i>
      <x v="47"/>
    </i>
    <i>
      <x v="55"/>
    </i>
    <i t="grand">
      <x/>
    </i>
  </rowItems>
  <colFields count="1">
    <field x="-2"/>
  </colFields>
  <colItems count="1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</colItems>
  <dataFields count="10">
    <dataField name="Sum of W" fld="28" baseField="0" baseItem="0" numFmtId="1"/>
    <dataField name="Sum of L" fld="29" baseField="0" baseItem="0" numFmtId="1"/>
    <dataField name="Sum of R1W" fld="30" baseField="0" baseItem="0" numFmtId="1"/>
    <dataField name="Sum of R1L" fld="31" baseField="0" baseItem="0" numFmtId="1"/>
    <dataField name="Sum of R2W" fld="32" baseField="0" baseItem="0" numFmtId="1"/>
    <dataField name="Sum of R2L" fld="33" baseField="0" baseItem="0" numFmtId="1"/>
    <dataField name="Sum of R3W" fld="34" baseField="0" baseItem="0" numFmtId="1"/>
    <dataField name="Sum of R3L" fld="35" baseField="0" baseItem="0" numFmtId="1"/>
    <dataField name="Sum of FW" fld="36" baseField="0" baseItem="0" numFmtId="1"/>
    <dataField name="Sum of FL" fld="37" baseField="0" baseItem="0" numFmtId="1"/>
  </dataFields>
  <formats count="2">
    <format dxfId="41">
      <pivotArea outline="0" collapsedLevelsAreSubtotals="1" fieldPosition="0"/>
    </format>
    <format dxfId="4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28535-153F-4C68-8036-A7B493B7B668}" name="PivotTable1" cacheId="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47" firstHeaderRow="1" firstDataRow="1" firstDataCol="1"/>
  <pivotFields count="38">
    <pivotField numFmtId="167" showAll="0"/>
    <pivotField numFmtId="1" showAll="0"/>
    <pivotField axis="axisRow" numFmtId="1" showAll="0">
      <items count="20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m="1" x="43"/>
        <item m="1" x="44"/>
        <item m="1" x="45"/>
        <item m="1" x="46"/>
        <item m="1" x="47"/>
        <item m="1" x="48"/>
        <item m="1" x="202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m="1" x="149"/>
        <item m="1" x="150"/>
        <item m="1" x="151"/>
        <item m="1" x="152"/>
        <item m="1" x="153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m="1" x="184"/>
        <item m="1" x="185"/>
        <item m="1" x="186"/>
        <item m="1" x="187"/>
        <item m="1" x="188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t="default"/>
      </items>
    </pivotField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" showAll="0"/>
    <pivotField showAll="0"/>
    <pivotField showAll="0"/>
    <pivotField numFmtId="165" showAll="0"/>
    <pivotField numFmtId="165" showAll="0"/>
    <pivotField numFmtId="165" showAll="0"/>
    <pivotField showAll="0"/>
    <pivotField showAll="0"/>
    <pivotField showAll="0"/>
    <pivotField showAll="0"/>
    <pivotField showAll="0"/>
    <pivotField numFmtId="165" showAll="0"/>
    <pivotField numFmtId="166" showAll="0"/>
    <pivotField numFmtId="2" showAll="0"/>
    <pivotField numFmtId="165" showAll="0"/>
    <pivotField numFmtId="165" showAll="0"/>
    <pivotField numFmtId="165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</pivotFields>
  <rowFields count="1">
    <field x="2"/>
  </rowFields>
  <rowItems count="4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0411122-E0D9-44C2-8346-8B5172CF6F69}" name="ConfDiv" displayName="ConfDiv" ref="A1:D15" totalsRowShown="0">
  <autoFilter ref="A1:D15" xr:uid="{A0411122-E0D9-44C2-8346-8B5172CF6F69}">
    <filterColumn colId="0" hiddenButton="1"/>
    <filterColumn colId="1" hiddenButton="1"/>
    <filterColumn colId="2" hiddenButton="1"/>
    <filterColumn colId="3" hiddenButton="1"/>
  </autoFilter>
  <sortState xmlns:xlrd2="http://schemas.microsoft.com/office/spreadsheetml/2017/richdata2" ref="A2:D15">
    <sortCondition ref="C11:C15"/>
  </sortState>
  <tableColumns count="4">
    <tableColumn id="1" xr3:uid="{8C17ECDF-4459-4994-A3F5-8E8FEDF92B6F}" name="TeamID"/>
    <tableColumn id="4" xr3:uid="{789F069E-DAF9-4B19-A6DB-107BA6995CE5}" name="Logo" dataDxfId="44"/>
    <tableColumn id="5" xr3:uid="{A9DA91BA-5529-4913-978B-19C8EF225B29}" name="TeamName" dataDxfId="43"/>
    <tableColumn id="2" xr3:uid="{AA4C8157-DB69-4779-8EEE-6F419B992D71}" name="PreSeasonElo" dataDxfId="42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31CB27-66FD-438A-AAF6-82527D3C642A}" name="Games" displayName="Games" ref="A1:AL515" totalsRowShown="0" headerRowDxfId="39" dataDxfId="38">
  <autoFilter ref="A1:AL515" xr:uid="{DC31CB27-66FD-438A-AAF6-82527D3C642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  <filterColumn colId="34" hiddenButton="1"/>
    <filterColumn colId="35" hiddenButton="1"/>
    <filterColumn colId="36" hiddenButton="1"/>
    <filterColumn colId="37" hiddenButton="1"/>
  </autoFilter>
  <tableColumns count="38">
    <tableColumn id="1" xr3:uid="{FF1E0701-17EB-4F45-BA0D-2BA8901E1EBC}" name="Date" dataDxfId="37"/>
    <tableColumn id="21" xr3:uid="{D754AB95-C77C-4DD5-B1B9-A24A4FEE7279}" name="Season" dataDxfId="36"/>
    <tableColumn id="19" xr3:uid="{4C42B78B-6AFC-42C3-A5F4-3266E247C458}" name="GamesPlayed" dataDxfId="35">
      <calculatedColumnFormula>COUNTIFS(Games[Team],Games[[#This Row],[Team]],Games[Season],Games[[#This Row],[Season]],Games[Date],"&lt;=" &amp; Games[[#This Row],[Date]])</calculatedColumnFormula>
    </tableColumn>
    <tableColumn id="20" xr3:uid="{57D65017-56B1-4253-988D-82A168A33AEF}" name="Type" dataDxfId="34"/>
    <tableColumn id="14" xr3:uid="{EFA83923-8CCA-4DC9-BC85-5D86949A45D9}" name="Round" dataDxfId="33"/>
    <tableColumn id="2" xr3:uid="{6E102E51-A49B-416B-8CD2-B93B2A4EA389}" name="Team" dataDxfId="32"/>
    <tableColumn id="3" xr3:uid="{19101345-1C34-4AF3-88E6-76A7F19B7FE6}" name="Opponent" dataDxfId="31"/>
    <tableColumn id="16" xr3:uid="{4CBCDF29-B095-48DF-8EF6-06DC7D78C844}" name="HomeAway" dataDxfId="30"/>
    <tableColumn id="32" xr3:uid="{E3FA53E3-DAD6-4BC2-969A-C53F4798E86D}" name="DaysOff" dataDxfId="29">
      <calculatedColumnFormula array="1">IFERROR(
    Games[[#This Row],[Date]]
    - LOOKUP(
        2,
        1/((Games[Team]=Games[[#This Row],[Team]]) * (Games[Date] &lt; Games[[#This Row],[Date]])),
        Games[Date]
    )
    - 1,
Games[[#This Row],[Date]]-$A$2)</calculatedColumnFormula>
    </tableColumn>
    <tableColumn id="33" xr3:uid="{1121987E-1D41-452F-B87B-43C155AB8246}" name="OppDaysOff" dataDxfId="28">
      <calculatedColumnFormula array="1">IFERROR(
    Games[[#This Row],[Date]]
    - LOOKUP(
        2,
        1/((Games[Opponent]=Games[[#This Row],[Opponent]]) * (Games[Date] &lt; Games[[#This Row],[Date]])),
        Games[Date]
    )
    - 1,
Games[[#This Row],[Date]]-$A$2)</calculatedColumnFormula>
    </tableColumn>
    <tableColumn id="34" xr3:uid="{F36FF437-DF9A-4AE2-9EBA-AF838836F0F0}" name="RestDiff" dataDxfId="27">
      <calculatedColumnFormula>Games[[#This Row],[DaysOff]]-Games[[#This Row],[OppDaysOff]]</calculatedColumnFormula>
    </tableColumn>
    <tableColumn id="35" xr3:uid="{3F2DB366-7372-41BA-8B0C-09F9BA7EA850}" name="OppRestDiff" dataDxfId="26">
      <calculatedColumnFormula>Games[[#This Row],[OppDaysOff]]-Games[[#This Row],[DaysOff]]</calculatedColumnFormula>
    </tableColumn>
    <tableColumn id="36" xr3:uid="{BDD0FD2C-608F-4CCC-867B-4481F0F4B802}" name="RestAdj" dataDxfId="25">
      <calculatedColumnFormula>MAX(-16, MIN(16, Games[[#This Row],[RestDiff]]*8))</calculatedColumnFormula>
    </tableColumn>
    <tableColumn id="37" xr3:uid="{5F89213A-4C28-428C-B766-3B05D4F530A5}" name="OppRestAdj" dataDxfId="24">
      <calculatedColumnFormula>MAX(-16, MIN(16, Games[[#This Row],[OppRestDiff]]*8))</calculatedColumnFormula>
    </tableColumn>
    <tableColumn id="4" xr3:uid="{68053CFA-948B-4F2C-A114-7C46ABD9EA33}" name="PreGmRate" dataDxfId="23">
      <calculatedColumnFormula array="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calculatedColumnFormula>
    </tableColumn>
    <tableColumn id="5" xr3:uid="{14B91314-96C2-44CD-B03B-905B04A3F3F0}" name="OppPreGmRate" dataDxfId="22">
      <calculatedColumnFormula array="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calculatedColumnFormula>
    </tableColumn>
    <tableColumn id="6" xr3:uid="{8BA0C013-5040-4A7D-AD77-5AB196967F62}" name="ExpectedWin%" dataDxfId="21">
      <calculatedColumnFormula>1/(1+10^(((Games[[#This Row],[OppPreGmRate]]+IF(Games[[#This Row],[HomeAway]]="A",HCA,0)+Games[[#This Row],[OppRestAdj]])-(Games[[#This Row],[PreGmRate]]+IF(Games[[#This Row],[HomeAway]]="H",HCA,0)+Games[[#This Row],[RestAdj]]))/400))</calculatedColumnFormula>
    </tableColumn>
    <tableColumn id="7" xr3:uid="{33F3D358-BA7C-41B4-84B5-FEE3DD78DE4C}" name="PointsFor" dataDxfId="20"/>
    <tableColumn id="8" xr3:uid="{0CDDF0F9-2F1E-487C-96DD-90F70CE7DAFC}" name="PointsAgainst" dataDxfId="19"/>
    <tableColumn id="22" xr3:uid="{AB7B5B5C-5BAD-4213-990E-8EB9B177497C}" name="OT" dataDxfId="18"/>
    <tableColumn id="9" xr3:uid="{CE171F1D-5E5D-4800-A6DC-8F6DBD74C939}" name="MOV" dataDxfId="17">
      <calculatedColumnFormula>Games[[#This Row],[PointsFor]]-Games[[#This Row],[PointsAgainst]]</calculatedColumnFormula>
    </tableColumn>
    <tableColumn id="10" xr3:uid="{883A3911-25F6-4C39-9637-F1C42D6A1FC2}" name="Result" dataDxfId="16">
      <calculatedColumnFormula>IF(Games[[#This Row],[MOV]]&gt;0,1,IF(Games[[#This Row],[MOV]]=0,0.5,0))</calculatedColumnFormula>
    </tableColumn>
    <tableColumn id="15" xr3:uid="{00048431-5FD6-47EE-807E-5B63FD521193}" name="MOVMult" dataDxfId="15">
      <calculatedColumnFormula>((ABS(Games[[#This Row],[MOV]])+5)^0.6)/(12+0.01*(ABS(Games[[#This Row],[PreGmRate]]-Games[[#This Row],[OppPreGmRate]])))*IF(Games[[#This Row],[OT]]=1,0.9,1)</calculatedColumnFormula>
    </tableColumn>
    <tableColumn id="13" xr3:uid="{ED5D2A79-52FB-495A-B144-3B1C3F39BBCA}" name="POMult" dataDxfId="14">
      <calculatedColumnFormula array="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calculatedColumnFormula>
    </tableColumn>
    <tableColumn id="30" xr3:uid="{F56B2662-6D39-4B84-BEBE-39C9D43603BC}" name="K" dataDxfId="13">
      <calculatedColumnFormula>MAX(kmin, kmax - 0.15 * MIN(Games[[#This Row],[GamesPlayed]], 82))</calculatedColumnFormula>
    </tableColumn>
    <tableColumn id="29" xr3:uid="{FBA5D644-15ED-4725-9E52-1D37FD0FAC64}" name="Keff" dataDxfId="12">
      <calculatedColumnFormula>Games[[#This Row],[K]]*Games[[#This Row],[POMult]]</calculatedColumnFormula>
    </tableColumn>
    <tableColumn id="11" xr3:uid="{309DAEBD-E62C-4090-89E9-A58FD32AB89B}" name="RatingChange" dataDxfId="11">
      <calculatedColumnFormula>(Games[[#This Row],[Keff]]*Games[[#This Row],[MOVMult]])*(Games[[#This Row],[Result]]-Games[[#This Row],[ExpectedWin%]])</calculatedColumnFormula>
    </tableColumn>
    <tableColumn id="12" xr3:uid="{14E27C62-5B5E-4445-96C7-EAFB6057D6D3}" name="PostGmRate" dataDxfId="10">
      <calculatedColumnFormula>Games[[#This Row],[PreGmRate]]+Games[[#This Row],[RatingChange]]</calculatedColumnFormula>
    </tableColumn>
    <tableColumn id="17" xr3:uid="{90B7BF87-E472-4474-A10D-555BD3BF8F04}" name="W" dataDxfId="9">
      <calculatedColumnFormula>IF(Games[[#This Row],[Type]]="R",IF(Games[[#This Row],[Result]]&gt;0.5,1,0),0)</calculatedColumnFormula>
    </tableColumn>
    <tableColumn id="18" xr3:uid="{29756EA1-783D-4C76-A7B8-F906AF0EC7E7}" name="L" dataDxfId="8">
      <calculatedColumnFormula>IF(Games[[#This Row],[Type]]="R",IF(Games[[#This Row],[Result]]&lt;0.5,1,0),0)</calculatedColumnFormula>
    </tableColumn>
    <tableColumn id="23" xr3:uid="{C253CFA7-28A4-4AE5-B131-DC1E8F2B73F8}" name="R1W" dataDxfId="7">
      <calculatedColumnFormula>IF(AND(Games[[#This Row],[Type]]="P",Games[[#This Row],[Round]]=1),IF(Games[[#This Row],[Result]]&gt;0.5,1,0),0)</calculatedColumnFormula>
    </tableColumn>
    <tableColumn id="24" xr3:uid="{2AF5B953-BFA7-49EF-8248-A3D18735544D}" name="R1L" dataDxfId="6">
      <calculatedColumnFormula>IF(AND(Games[[#This Row],[Type]]="P",Games[[#This Row],[Round]]=1),IF(Games[[#This Row],[Result]]&lt;0.5,1,0),0)</calculatedColumnFormula>
    </tableColumn>
    <tableColumn id="25" xr3:uid="{96DF5D4B-41B7-4FB9-B64B-4E1022883966}" name="R2W" dataDxfId="5">
      <calculatedColumnFormula>IF(AND(Games[[#This Row],[Type]]="P",Games[[#This Row],[Round]]=2),IF(Games[[#This Row],[Result]]&gt;0.5,1,0),0)</calculatedColumnFormula>
    </tableColumn>
    <tableColumn id="26" xr3:uid="{46BC3E94-34FA-489D-AF6A-98B7151E6EE4}" name="R2L" dataDxfId="4">
      <calculatedColumnFormula>IF(AND(Games[[#This Row],[Type]]="P",Games[[#This Row],[Round]]=2),IF(Games[[#This Row],[Result]]&lt;0.5,1,0),0)</calculatedColumnFormula>
    </tableColumn>
    <tableColumn id="27" xr3:uid="{FA030EAA-DF20-4A5C-8AF4-BB61B025DE1E}" name="R3W" dataDxfId="3">
      <calculatedColumnFormula>IF(AND(Games[[#This Row],[Type]]="P",Games[[#This Row],[Round]]=3),IF(Games[[#This Row],[Result]]&gt;0.5,1,0),0)</calculatedColumnFormula>
    </tableColumn>
    <tableColumn id="28" xr3:uid="{82A066C2-772E-492B-B693-B398BAF15EF5}" name="R3L" dataDxfId="2">
      <calculatedColumnFormula>IF(AND(Games[[#This Row],[Type]]="P",Games[[#This Row],[Round]]=3),IF(Games[[#This Row],[Result]]&lt;0.5,1,0),0)</calculatedColumnFormula>
    </tableColumn>
    <tableColumn id="31" xr3:uid="{C00D5D4A-27C3-430F-AB40-BC3DF8B6C167}" name="FW" dataDxfId="1">
      <calculatedColumnFormula>IF(AND(Games[[#This Row],[Type]]="P",Games[[#This Row],[Round]]=4),IF(Games[[#This Row],[Result]]&gt;0.5,1,0),0)</calculatedColumnFormula>
    </tableColumn>
    <tableColumn id="39" xr3:uid="{129081B0-EA02-402F-B2C7-46E36806E0D9}" name="FL" dataDxfId="0">
      <calculatedColumnFormula>IF(AND(Games[[#This Row],[Type]]="P",Games[[#This Row],[Round]]=4),IF(Games[[#This Row],[Result]]&lt;0.5,1,0),0)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07B67-F804-4D32-B73D-364A0973FEE5}">
  <dimension ref="A1:H29"/>
  <sheetViews>
    <sheetView tabSelected="1" workbookViewId="0">
      <selection activeCell="G2" sqref="G2"/>
    </sheetView>
  </sheetViews>
  <sheetFormatPr defaultRowHeight="15.5" x14ac:dyDescent="0.35"/>
  <cols>
    <col min="1" max="1" width="7.6640625" bestFit="1" customWidth="1"/>
    <col min="2" max="2" width="5.08203125" bestFit="1" customWidth="1"/>
    <col min="3" max="3" width="23" bestFit="1" customWidth="1"/>
    <col min="4" max="4" width="9.4140625" customWidth="1"/>
    <col min="7" max="7" width="17" bestFit="1" customWidth="1"/>
    <col min="8" max="8" width="8.6640625" style="12"/>
  </cols>
  <sheetData>
    <row r="1" spans="1:8" x14ac:dyDescent="0.35">
      <c r="A1" t="s">
        <v>33</v>
      </c>
      <c r="B1" t="s">
        <v>31</v>
      </c>
      <c r="C1" t="s">
        <v>32</v>
      </c>
      <c r="D1" t="s">
        <v>63</v>
      </c>
    </row>
    <row r="2" spans="1:8" x14ac:dyDescent="0.35">
      <c r="A2" t="s">
        <v>64</v>
      </c>
      <c r="B2" s="8"/>
      <c r="C2" s="15" t="s">
        <v>68</v>
      </c>
      <c r="D2" s="13">
        <v>1516.4291176582831</v>
      </c>
      <c r="G2" t="s">
        <v>68</v>
      </c>
      <c r="H2" s="12">
        <v>1479.7462169544833</v>
      </c>
    </row>
    <row r="3" spans="1:8" x14ac:dyDescent="0.35">
      <c r="A3" t="s">
        <v>1</v>
      </c>
      <c r="B3" s="8"/>
      <c r="C3" s="15" t="s">
        <v>69</v>
      </c>
      <c r="D3" s="13">
        <v>1402.8521671907426</v>
      </c>
      <c r="G3" t="s">
        <v>69</v>
      </c>
      <c r="H3" s="12">
        <v>1476.1130387536812</v>
      </c>
    </row>
    <row r="4" spans="1:8" x14ac:dyDescent="0.35">
      <c r="A4" t="s">
        <v>87</v>
      </c>
      <c r="B4" s="8"/>
      <c r="C4" s="15" t="s">
        <v>86</v>
      </c>
      <c r="D4" s="13">
        <v>1487.7747399008049</v>
      </c>
      <c r="G4" t="s">
        <v>86</v>
      </c>
      <c r="H4" s="12">
        <v>1518.6725560535676</v>
      </c>
    </row>
    <row r="5" spans="1:8" x14ac:dyDescent="0.35">
      <c r="A5" t="s">
        <v>76</v>
      </c>
      <c r="B5" s="8"/>
      <c r="C5" s="15" t="s">
        <v>77</v>
      </c>
      <c r="D5" s="13">
        <v>1382.2834818958895</v>
      </c>
      <c r="G5" t="s">
        <v>77</v>
      </c>
      <c r="H5" s="12">
        <v>1638.5874933636674</v>
      </c>
    </row>
    <row r="6" spans="1:8" x14ac:dyDescent="0.35">
      <c r="A6" t="s">
        <v>2</v>
      </c>
      <c r="B6" s="8"/>
      <c r="C6" s="15" t="s">
        <v>65</v>
      </c>
      <c r="D6" s="13">
        <v>1633.156823695831</v>
      </c>
      <c r="G6" t="s">
        <v>65</v>
      </c>
      <c r="H6" s="12">
        <v>1576.8583815594543</v>
      </c>
    </row>
    <row r="7" spans="1:8" x14ac:dyDescent="0.35">
      <c r="A7" t="s">
        <v>80</v>
      </c>
      <c r="B7" s="8"/>
      <c r="C7" s="15" t="s">
        <v>81</v>
      </c>
      <c r="D7" s="13">
        <v>1479.8466279585643</v>
      </c>
      <c r="G7" t="s">
        <v>81</v>
      </c>
      <c r="H7" s="12">
        <v>1466.034687741379</v>
      </c>
    </row>
    <row r="8" spans="1:8" x14ac:dyDescent="0.35">
      <c r="A8" t="s">
        <v>71</v>
      </c>
      <c r="B8" s="8"/>
      <c r="C8" s="15" t="s">
        <v>72</v>
      </c>
      <c r="D8" s="13">
        <v>1747.9867640996329</v>
      </c>
      <c r="G8" t="s">
        <v>72</v>
      </c>
      <c r="H8" s="12">
        <v>1624.6004364563519</v>
      </c>
    </row>
    <row r="9" spans="1:8" x14ac:dyDescent="0.35">
      <c r="A9" t="s">
        <v>78</v>
      </c>
      <c r="B9" s="8"/>
      <c r="C9" s="15" t="s">
        <v>79</v>
      </c>
      <c r="D9" s="13">
        <v>1398.597093746286</v>
      </c>
      <c r="G9" t="s">
        <v>79</v>
      </c>
      <c r="H9" s="12">
        <v>1490.7839992097279</v>
      </c>
    </row>
    <row r="10" spans="1:8" x14ac:dyDescent="0.35">
      <c r="A10" t="s">
        <v>66</v>
      </c>
      <c r="B10" s="8"/>
      <c r="C10" s="15" t="s">
        <v>67</v>
      </c>
      <c r="D10" s="13">
        <v>1540.325418951423</v>
      </c>
      <c r="G10" t="s">
        <v>67</v>
      </c>
      <c r="H10" s="12">
        <v>1491.0793543393934</v>
      </c>
    </row>
    <row r="11" spans="1:8" x14ac:dyDescent="0.35">
      <c r="A11" t="s">
        <v>44</v>
      </c>
      <c r="B11" s="8"/>
      <c r="C11" s="15" t="s">
        <v>70</v>
      </c>
      <c r="D11" s="13">
        <v>1367.0523422285416</v>
      </c>
      <c r="G11" t="s">
        <v>70</v>
      </c>
      <c r="H11" s="12">
        <v>1373.5680250985833</v>
      </c>
    </row>
    <row r="12" spans="1:8" x14ac:dyDescent="0.35">
      <c r="A12" t="s">
        <v>45</v>
      </c>
      <c r="B12" s="8"/>
      <c r="C12" s="15" t="s">
        <v>73</v>
      </c>
      <c r="D12" s="13">
        <v>1521.3115140326775</v>
      </c>
      <c r="G12" t="s">
        <v>73</v>
      </c>
      <c r="H12" s="12">
        <v>1556.9660722221515</v>
      </c>
    </row>
    <row r="13" spans="1:8" x14ac:dyDescent="0.35">
      <c r="A13" t="s">
        <v>85</v>
      </c>
      <c r="B13" s="8"/>
      <c r="C13" s="15" t="s">
        <v>84</v>
      </c>
      <c r="D13" s="13">
        <v>1566.8511951076623</v>
      </c>
      <c r="G13" t="s">
        <v>84</v>
      </c>
      <c r="H13" s="12">
        <v>1406.3920843166845</v>
      </c>
    </row>
    <row r="14" spans="1:8" x14ac:dyDescent="0.35">
      <c r="A14" t="s">
        <v>82</v>
      </c>
      <c r="B14" s="8"/>
      <c r="C14" s="15" t="s">
        <v>83</v>
      </c>
      <c r="D14" s="13">
        <v>1513.2313889012701</v>
      </c>
      <c r="G14" t="s">
        <v>83</v>
      </c>
      <c r="H14" s="12">
        <v>1535.9896378321173</v>
      </c>
    </row>
    <row r="15" spans="1:8" x14ac:dyDescent="0.35">
      <c r="A15" t="s">
        <v>74</v>
      </c>
      <c r="B15" s="8"/>
      <c r="C15" s="15" t="s">
        <v>75</v>
      </c>
      <c r="D15" s="13">
        <v>1469.2426013181562</v>
      </c>
      <c r="G15" t="s">
        <v>75</v>
      </c>
      <c r="H15" s="12">
        <v>1378.8937015391648</v>
      </c>
    </row>
    <row r="16" spans="1:8" x14ac:dyDescent="0.35">
      <c r="B16" s="8"/>
      <c r="C16" s="15"/>
      <c r="D16" s="13"/>
    </row>
    <row r="17" spans="2:4" x14ac:dyDescent="0.35">
      <c r="B17" s="8"/>
      <c r="C17" s="15"/>
      <c r="D17" s="13"/>
    </row>
    <row r="18" spans="2:4" x14ac:dyDescent="0.35">
      <c r="B18" s="8"/>
      <c r="C18" s="15"/>
      <c r="D18" s="13"/>
    </row>
    <row r="19" spans="2:4" x14ac:dyDescent="0.35">
      <c r="B19" s="8"/>
      <c r="C19" s="15"/>
      <c r="D19" s="13"/>
    </row>
    <row r="20" spans="2:4" x14ac:dyDescent="0.35">
      <c r="B20" s="8"/>
      <c r="C20" s="15"/>
      <c r="D20" s="13"/>
    </row>
    <row r="21" spans="2:4" x14ac:dyDescent="0.35">
      <c r="B21" s="8"/>
      <c r="C21" s="15"/>
      <c r="D21" s="13"/>
    </row>
    <row r="22" spans="2:4" x14ac:dyDescent="0.35">
      <c r="B22" s="8"/>
      <c r="C22" s="15"/>
      <c r="D22" s="13"/>
    </row>
    <row r="23" spans="2:4" x14ac:dyDescent="0.35">
      <c r="B23" s="8"/>
      <c r="C23" s="15"/>
      <c r="D23" s="13"/>
    </row>
    <row r="24" spans="2:4" x14ac:dyDescent="0.35">
      <c r="B24" s="8"/>
      <c r="C24" s="15"/>
      <c r="D24" s="13"/>
    </row>
    <row r="25" spans="2:4" x14ac:dyDescent="0.35">
      <c r="B25" s="8"/>
      <c r="C25" s="15"/>
      <c r="D25" s="13"/>
    </row>
    <row r="26" spans="2:4" x14ac:dyDescent="0.35">
      <c r="B26" s="8"/>
      <c r="C26" s="15"/>
      <c r="D26" s="13"/>
    </row>
    <row r="27" spans="2:4" x14ac:dyDescent="0.35">
      <c r="B27" s="8"/>
      <c r="C27" s="8"/>
      <c r="D27" s="13"/>
    </row>
    <row r="28" spans="2:4" x14ac:dyDescent="0.35">
      <c r="B28" s="8"/>
      <c r="C28" s="8"/>
      <c r="D28" s="13"/>
    </row>
    <row r="29" spans="2:4" x14ac:dyDescent="0.35">
      <c r="B29" s="8"/>
      <c r="C29" s="8"/>
      <c r="D29" s="13"/>
    </row>
  </sheetData>
  <sortState xmlns:xlrd2="http://schemas.microsoft.com/office/spreadsheetml/2017/richdata2" ref="G2:H15">
    <sortCondition ref="G2:G15"/>
  </sortState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98F96-16C1-4B0D-8E6B-52874F1AE5CE}">
  <dimension ref="A2:BP38"/>
  <sheetViews>
    <sheetView workbookViewId="0">
      <selection activeCell="G2" sqref="G2:G15"/>
    </sheetView>
  </sheetViews>
  <sheetFormatPr defaultRowHeight="15.5" x14ac:dyDescent="0.35"/>
  <cols>
    <col min="1" max="1" width="4.9140625" bestFit="1" customWidth="1"/>
    <col min="2" max="2" width="1.75" bestFit="1" customWidth="1"/>
    <col min="3" max="3" width="18.83203125" bestFit="1" customWidth="1"/>
    <col min="4" max="5" width="2.75" style="1" bestFit="1" customWidth="1"/>
    <col min="6" max="6" width="5.25" style="1" bestFit="1" customWidth="1"/>
    <col min="7" max="7" width="7.25" style="1" bestFit="1" customWidth="1"/>
    <col min="8" max="8" width="5.75" style="1" hidden="1" customWidth="1"/>
    <col min="9" max="9" width="3.58203125" customWidth="1"/>
    <col min="10" max="10" width="4.75" bestFit="1" customWidth="1"/>
    <col min="11" max="11" width="1.75" bestFit="1" customWidth="1"/>
    <col min="12" max="12" width="18.83203125" bestFit="1" customWidth="1"/>
    <col min="13" max="14" width="5.1640625" style="1" bestFit="1" customWidth="1"/>
    <col min="15" max="15" width="5.25" style="1" bestFit="1" customWidth="1"/>
    <col min="16" max="16" width="9.25" bestFit="1" customWidth="1"/>
    <col min="17" max="17" width="5.75" bestFit="1" customWidth="1"/>
    <col min="18" max="18" width="1.75" bestFit="1" customWidth="1"/>
    <col min="19" max="19" width="4.9140625" bestFit="1" customWidth="1"/>
    <col min="20" max="20" width="1.75" bestFit="1" customWidth="1"/>
    <col min="21" max="21" width="16" bestFit="1" customWidth="1"/>
    <col min="22" max="23" width="5.1640625" style="1" bestFit="1" customWidth="1"/>
    <col min="24" max="24" width="6.25" style="4" bestFit="1" customWidth="1"/>
    <col min="25" max="25" width="9.25" style="4" bestFit="1" customWidth="1"/>
    <col min="26" max="26" width="5.75" style="1" bestFit="1" customWidth="1"/>
    <col min="27" max="27" width="3.58203125" customWidth="1"/>
    <col min="28" max="28" width="4.75" bestFit="1" customWidth="1"/>
    <col min="29" max="29" width="1.75" bestFit="1" customWidth="1"/>
    <col min="30" max="30" width="18.83203125" bestFit="1" customWidth="1"/>
    <col min="31" max="32" width="5.1640625" style="1" bestFit="1" customWidth="1"/>
    <col min="33" max="33" width="6.25" style="4" bestFit="1" customWidth="1"/>
    <col min="34" max="34" width="9.25" style="4" bestFit="1" customWidth="1"/>
    <col min="35" max="35" width="5.75" style="1" bestFit="1" customWidth="1"/>
    <col min="37" max="37" width="4.9140625" bestFit="1" customWidth="1"/>
    <col min="38" max="38" width="1.75" bestFit="1" customWidth="1"/>
    <col min="39" max="39" width="18.83203125" bestFit="1" customWidth="1"/>
    <col min="40" max="48" width="1.75" style="1" bestFit="1" customWidth="1"/>
    <col min="49" max="49" width="1.75" style="1" customWidth="1"/>
    <col min="50" max="50" width="9.25" style="1" bestFit="1" customWidth="1"/>
    <col min="51" max="51" width="5.75" style="1" bestFit="1" customWidth="1"/>
    <col min="52" max="52" width="1.75" bestFit="1" customWidth="1"/>
    <col min="53" max="53" width="3.58203125" customWidth="1"/>
    <col min="54" max="54" width="5.5" bestFit="1" customWidth="1"/>
    <col min="55" max="55" width="5.1640625" bestFit="1" customWidth="1"/>
    <col min="56" max="56" width="18.83203125" bestFit="1" customWidth="1"/>
    <col min="57" max="64" width="1.75" style="1" bestFit="1" customWidth="1"/>
    <col min="65" max="66" width="2.75" style="1" bestFit="1" customWidth="1"/>
    <col min="67" max="67" width="9.25" bestFit="1" customWidth="1"/>
    <col min="68" max="68" width="5.75" bestFit="1" customWidth="1"/>
    <col min="69" max="69" width="2.75" bestFit="1" customWidth="1"/>
  </cols>
  <sheetData>
    <row r="2" spans="1:68" x14ac:dyDescent="0.35">
      <c r="A2" t="str" cm="1">
        <f t="array" ref="A2:H15">_xlfn.SORTBY(A25:H38,G25:G38,-1)</f>
        <v>DET</v>
      </c>
      <c r="B2">
        <v>0</v>
      </c>
      <c r="C2" t="str">
        <v>Detroit Shock</v>
      </c>
      <c r="D2" s="1">
        <v>25</v>
      </c>
      <c r="E2" s="1">
        <v>9</v>
      </c>
      <c r="F2" s="3">
        <v>0.73529411764705888</v>
      </c>
      <c r="G2" s="9">
        <v>1638.5874933636674</v>
      </c>
      <c r="H2" s="1">
        <v>37880</v>
      </c>
      <c r="O2" s="4"/>
      <c r="P2" s="4"/>
      <c r="Q2" s="1"/>
      <c r="AK2" t="s">
        <v>2</v>
      </c>
      <c r="AL2">
        <f>_xlfn.XLOOKUP(AK2,ConfDiv[TeamID],ConfDiv[Logo])</f>
        <v>0</v>
      </c>
      <c r="AM2" t="str">
        <f>_xlfn.XLOOKUP(AK2,ConfDiv[TeamID],ConfDiv[TeamName])</f>
        <v>Houston Comets</v>
      </c>
      <c r="AN2" s="1">
        <f>_xlfn.XLOOKUP($AK2,StandingsPivot!$A$4:$A$33,StandingsPivot!D$4:D$33)</f>
        <v>1</v>
      </c>
      <c r="AO2" s="1">
        <f>_xlfn.XLOOKUP($AK2,StandingsPivot!$A$4:$A$33,StandingsPivot!E$4:E$33)</f>
        <v>2</v>
      </c>
      <c r="AP2" s="1">
        <f>_xlfn.XLOOKUP($AK2,StandingsPivot!$A$4:$A$33,StandingsPivot!F$4:F$33)</f>
        <v>0</v>
      </c>
      <c r="AQ2" s="1">
        <f>_xlfn.XLOOKUP($AK2,StandingsPivot!$A$4:$A$33,StandingsPivot!G$4:G$33)</f>
        <v>0</v>
      </c>
      <c r="AR2" s="1">
        <f>_xlfn.XLOOKUP($AK2,StandingsPivot!$A$4:$A$33,StandingsPivot!H$4:H$33)</f>
        <v>0</v>
      </c>
      <c r="AS2" s="1">
        <f>_xlfn.XLOOKUP($AK2,StandingsPivot!$A$4:$A$33,StandingsPivot!I$4:I$33)</f>
        <v>0</v>
      </c>
      <c r="AT2" s="1">
        <f>_xlfn.XLOOKUP($AK2,StandingsPivot!$A$4:$A$33,StandingsPivot!J$4:J$33)</f>
        <v>0</v>
      </c>
      <c r="AU2" s="1">
        <f>_xlfn.XLOOKUP($AK2,StandingsPivot!$A$4:$A$33,StandingsPivot!K$4:K$33)</f>
        <v>0</v>
      </c>
      <c r="AV2" s="1">
        <f t="shared" ref="AV2:AV5" si="0">SUM(AN2,AP2,AR2,AT2)</f>
        <v>1</v>
      </c>
      <c r="AW2" s="1">
        <f t="shared" ref="AW2:AW5" si="1">SUM(AO2,AQ2,AS2,AU2)</f>
        <v>2</v>
      </c>
      <c r="AX2" s="4" cm="1">
        <f t="array" ref="AX2">_xlfn.IFNA(INDEX(Games[PostGmRate], MATCH(1, (Games[Team]=AK2)*(Games[Date]=AY2), 0)),0)</f>
        <v>1576.8583815594543</v>
      </c>
      <c r="AY2" s="1">
        <f>_xlfn.MAXIFS(Games[Date], Games[Team], AK2)</f>
        <v>37866</v>
      </c>
      <c r="AZ2">
        <f t="shared" ref="AZ2:AZ5" si="2">SUM(AV2:AW2)</f>
        <v>3</v>
      </c>
    </row>
    <row r="3" spans="1:68" x14ac:dyDescent="0.35">
      <c r="A3" t="str">
        <v>LAS</v>
      </c>
      <c r="B3">
        <v>0</v>
      </c>
      <c r="C3" t="str">
        <v>Los Angeles Sparks</v>
      </c>
      <c r="D3" s="1">
        <v>24</v>
      </c>
      <c r="E3" s="1">
        <v>10</v>
      </c>
      <c r="F3" s="3">
        <v>0.70588235294117652</v>
      </c>
      <c r="G3" s="9">
        <v>1624.6004364563519</v>
      </c>
      <c r="H3" s="1">
        <v>37880</v>
      </c>
      <c r="O3" s="4"/>
      <c r="P3" s="4"/>
      <c r="Q3" s="1"/>
      <c r="AK3" t="s">
        <v>66</v>
      </c>
      <c r="AL3">
        <f>_xlfn.XLOOKUP(AK3,ConfDiv[TeamID],ConfDiv[Logo])</f>
        <v>0</v>
      </c>
      <c r="AM3" t="str">
        <f>_xlfn.XLOOKUP(AK3,ConfDiv[TeamID],ConfDiv[TeamName])</f>
        <v>New York Liberty</v>
      </c>
      <c r="AN3" s="1">
        <f>_xlfn.XLOOKUP($AK3,StandingsPivot!$A$4:$A$33,StandingsPivot!D$4:D$33)</f>
        <v>0</v>
      </c>
      <c r="AO3" s="1">
        <f>_xlfn.XLOOKUP($AK3,StandingsPivot!$A$4:$A$33,StandingsPivot!E$4:E$33)</f>
        <v>0</v>
      </c>
      <c r="AP3" s="1">
        <f>_xlfn.XLOOKUP($AK3,StandingsPivot!$A$4:$A$33,StandingsPivot!F$4:F$33)</f>
        <v>0</v>
      </c>
      <c r="AQ3" s="1">
        <f>_xlfn.XLOOKUP($AK3,StandingsPivot!$A$4:$A$33,StandingsPivot!G$4:G$33)</f>
        <v>0</v>
      </c>
      <c r="AR3" s="1">
        <f>_xlfn.XLOOKUP($AK3,StandingsPivot!$A$4:$A$33,StandingsPivot!H$4:H$33)</f>
        <v>0</v>
      </c>
      <c r="AS3" s="1">
        <f>_xlfn.XLOOKUP($AK3,StandingsPivot!$A$4:$A$33,StandingsPivot!I$4:I$33)</f>
        <v>0</v>
      </c>
      <c r="AT3" s="1">
        <f>_xlfn.XLOOKUP($AK3,StandingsPivot!$A$4:$A$33,StandingsPivot!J$4:J$33)</f>
        <v>0</v>
      </c>
      <c r="AU3" s="1">
        <f>_xlfn.XLOOKUP($AK3,StandingsPivot!$A$4:$A$33,StandingsPivot!K$4:K$33)</f>
        <v>0</v>
      </c>
      <c r="AV3" s="1">
        <f t="shared" si="0"/>
        <v>0</v>
      </c>
      <c r="AW3" s="1">
        <f t="shared" si="1"/>
        <v>0</v>
      </c>
      <c r="AX3" s="4" cm="1">
        <f t="array" ref="AX3">_xlfn.IFNA(INDEX(Games[PostGmRate], MATCH(1, (Games[Team]=AK3)*(Games[Date]=AY3), 0)),0)</f>
        <v>1491.0793543393934</v>
      </c>
      <c r="AY3" s="1">
        <f>_xlfn.MAXIFS(Games[Date], Games[Team], AK3)</f>
        <v>37857</v>
      </c>
      <c r="AZ3">
        <f t="shared" si="2"/>
        <v>0</v>
      </c>
    </row>
    <row r="4" spans="1:68" x14ac:dyDescent="0.35">
      <c r="A4" t="str">
        <v>HOU</v>
      </c>
      <c r="B4">
        <v>0</v>
      </c>
      <c r="C4" t="str">
        <v>Houston Comets</v>
      </c>
      <c r="D4" s="1">
        <v>20</v>
      </c>
      <c r="E4" s="1">
        <v>14</v>
      </c>
      <c r="F4" s="3">
        <v>0.58823529411764708</v>
      </c>
      <c r="G4" s="9">
        <v>1576.8583815594543</v>
      </c>
      <c r="H4" s="1">
        <v>37866</v>
      </c>
      <c r="O4" s="4"/>
      <c r="P4" s="4"/>
      <c r="Q4" s="1"/>
      <c r="AK4" t="s">
        <v>64</v>
      </c>
      <c r="AL4">
        <f>_xlfn.XLOOKUP(AK4,ConfDiv[TeamID],ConfDiv[Logo])</f>
        <v>0</v>
      </c>
      <c r="AM4" t="str">
        <f>_xlfn.XLOOKUP(AK4,ConfDiv[TeamID],ConfDiv[TeamName])</f>
        <v>Charlotte Sting</v>
      </c>
      <c r="AN4" s="1">
        <f>_xlfn.XLOOKUP($AK4,StandingsPivot!$A$4:$A$33,StandingsPivot!D$4:D$33)</f>
        <v>0</v>
      </c>
      <c r="AO4" s="1">
        <f>_xlfn.XLOOKUP($AK4,StandingsPivot!$A$4:$A$33,StandingsPivot!E$4:E$33)</f>
        <v>2</v>
      </c>
      <c r="AP4" s="1">
        <f>_xlfn.XLOOKUP($AK4,StandingsPivot!$A$4:$A$33,StandingsPivot!F$4:F$33)</f>
        <v>0</v>
      </c>
      <c r="AQ4" s="1">
        <f>_xlfn.XLOOKUP($AK4,StandingsPivot!$A$4:$A$33,StandingsPivot!G$4:G$33)</f>
        <v>0</v>
      </c>
      <c r="AR4" s="1">
        <f>_xlfn.XLOOKUP($AK4,StandingsPivot!$A$4:$A$33,StandingsPivot!H$4:H$33)</f>
        <v>0</v>
      </c>
      <c r="AS4" s="1">
        <f>_xlfn.XLOOKUP($AK4,StandingsPivot!$A$4:$A$33,StandingsPivot!I$4:I$33)</f>
        <v>0</v>
      </c>
      <c r="AT4" s="1">
        <f>_xlfn.XLOOKUP($AK4,StandingsPivot!$A$4:$A$33,StandingsPivot!J$4:J$33)</f>
        <v>0</v>
      </c>
      <c r="AU4" s="1">
        <f>_xlfn.XLOOKUP($AK4,StandingsPivot!$A$4:$A$33,StandingsPivot!K$4:K$33)</f>
        <v>0</v>
      </c>
      <c r="AV4" s="1">
        <f t="shared" si="0"/>
        <v>0</v>
      </c>
      <c r="AW4" s="1">
        <f t="shared" si="1"/>
        <v>2</v>
      </c>
      <c r="AX4" s="4" cm="1">
        <f t="array" ref="AX4">_xlfn.IFNA(INDEX(Games[PostGmRate], MATCH(1, (Games[Team]=AK4)*(Games[Date]=AY4), 0)),0)</f>
        <v>1479.7462169544833</v>
      </c>
      <c r="AY4" s="1">
        <f>_xlfn.MAXIFS(Games[Date], Games[Team], AK4)</f>
        <v>37863</v>
      </c>
      <c r="AZ4">
        <f t="shared" si="2"/>
        <v>2</v>
      </c>
    </row>
    <row r="5" spans="1:68" x14ac:dyDescent="0.35">
      <c r="A5" t="str">
        <v>SAC</v>
      </c>
      <c r="B5">
        <v>0</v>
      </c>
      <c r="C5" t="str">
        <v>Sacramento Monarchs</v>
      </c>
      <c r="D5" s="1">
        <v>19</v>
      </c>
      <c r="E5" s="1">
        <v>15</v>
      </c>
      <c r="F5" s="3">
        <v>0.55882352941176472</v>
      </c>
      <c r="G5" s="9">
        <v>1556.9660722221515</v>
      </c>
      <c r="H5" s="1">
        <v>37872</v>
      </c>
      <c r="O5" s="4"/>
      <c r="P5" s="4"/>
      <c r="Q5" s="1"/>
      <c r="AK5" t="s">
        <v>1</v>
      </c>
      <c r="AL5">
        <f>_xlfn.XLOOKUP(AK5,ConfDiv[TeamID],ConfDiv[Logo])</f>
        <v>0</v>
      </c>
      <c r="AM5" t="str">
        <f>_xlfn.XLOOKUP(AK5,ConfDiv[TeamID],ConfDiv[TeamName])</f>
        <v>Cleveland Rockers</v>
      </c>
      <c r="AN5" s="1">
        <f>_xlfn.XLOOKUP($AK5,StandingsPivot!$A$4:$A$33,StandingsPivot!D$4:D$33)</f>
        <v>1</v>
      </c>
      <c r="AO5" s="1">
        <f>_xlfn.XLOOKUP($AK5,StandingsPivot!$A$4:$A$33,StandingsPivot!E$4:E$33)</f>
        <v>2</v>
      </c>
      <c r="AP5" s="1">
        <f>_xlfn.XLOOKUP($AK5,StandingsPivot!$A$4:$A$33,StandingsPivot!F$4:F$33)</f>
        <v>0</v>
      </c>
      <c r="AQ5" s="1">
        <f>_xlfn.XLOOKUP($AK5,StandingsPivot!$A$4:$A$33,StandingsPivot!G$4:G$33)</f>
        <v>0</v>
      </c>
      <c r="AR5" s="1">
        <f>_xlfn.XLOOKUP($AK5,StandingsPivot!$A$4:$A$33,StandingsPivot!H$4:H$33)</f>
        <v>0</v>
      </c>
      <c r="AS5" s="1">
        <f>_xlfn.XLOOKUP($AK5,StandingsPivot!$A$4:$A$33,StandingsPivot!I$4:I$33)</f>
        <v>0</v>
      </c>
      <c r="AT5" s="1">
        <f>_xlfn.XLOOKUP($AK5,StandingsPivot!$A$4:$A$33,StandingsPivot!J$4:J$33)</f>
        <v>0</v>
      </c>
      <c r="AU5" s="1">
        <f>_xlfn.XLOOKUP($AK5,StandingsPivot!$A$4:$A$33,StandingsPivot!K$4:K$33)</f>
        <v>0</v>
      </c>
      <c r="AV5" s="1">
        <f t="shared" si="0"/>
        <v>1</v>
      </c>
      <c r="AW5" s="1">
        <f t="shared" si="1"/>
        <v>2</v>
      </c>
      <c r="AX5" s="4" cm="1">
        <f t="array" ref="AX5">_xlfn.IFNA(INDEX(Games[PostGmRate], MATCH(1, (Games[Team]=AK5)*(Games[Date]=AY5), 0)),0)</f>
        <v>1476.1130387536812</v>
      </c>
      <c r="AY5" s="1">
        <f>_xlfn.MAXIFS(Games[Date], Games[Team], AK5)</f>
        <v>37866</v>
      </c>
      <c r="AZ5">
        <f t="shared" si="2"/>
        <v>3</v>
      </c>
    </row>
    <row r="6" spans="1:68" x14ac:dyDescent="0.35">
      <c r="A6" t="str">
        <v>SEA</v>
      </c>
      <c r="B6">
        <v>0</v>
      </c>
      <c r="C6" t="str">
        <v>Seattle Storm</v>
      </c>
      <c r="D6" s="1">
        <v>18</v>
      </c>
      <c r="E6" s="1">
        <v>16</v>
      </c>
      <c r="F6" s="3">
        <v>0.52941176470588236</v>
      </c>
      <c r="G6" s="9">
        <v>1535.9896378321173</v>
      </c>
      <c r="H6" s="1">
        <v>37858</v>
      </c>
      <c r="O6" s="3"/>
      <c r="P6" s="4"/>
      <c r="Q6" s="1"/>
      <c r="AK6" t="s">
        <v>44</v>
      </c>
      <c r="AL6">
        <f>_xlfn.XLOOKUP(AK6,ConfDiv[TeamID],ConfDiv[Logo])</f>
        <v>0</v>
      </c>
      <c r="AM6" t="str">
        <f>_xlfn.XLOOKUP(AK6,ConfDiv[TeamID],ConfDiv[TeamName])</f>
        <v>Phoenix Mercury</v>
      </c>
      <c r="AN6" s="1">
        <f>_xlfn.XLOOKUP($AK6,StandingsPivot!$A$4:$A$33,StandingsPivot!D$4:D$33)</f>
        <v>0</v>
      </c>
      <c r="AO6" s="1">
        <f>_xlfn.XLOOKUP($AK6,StandingsPivot!$A$4:$A$33,StandingsPivot!E$4:E$33)</f>
        <v>0</v>
      </c>
      <c r="AP6" s="1">
        <f>_xlfn.XLOOKUP($AK6,StandingsPivot!$A$4:$A$33,StandingsPivot!F$4:F$33)</f>
        <v>0</v>
      </c>
      <c r="AQ6" s="1">
        <f>_xlfn.XLOOKUP($AK6,StandingsPivot!$A$4:$A$33,StandingsPivot!G$4:G$33)</f>
        <v>0</v>
      </c>
      <c r="AR6" s="1">
        <f>_xlfn.XLOOKUP($AK6,StandingsPivot!$A$4:$A$33,StandingsPivot!H$4:H$33)</f>
        <v>0</v>
      </c>
      <c r="AS6" s="1">
        <f>_xlfn.XLOOKUP($AK6,StandingsPivot!$A$4:$A$33,StandingsPivot!I$4:I$33)</f>
        <v>0</v>
      </c>
      <c r="AT6" s="1">
        <f>_xlfn.XLOOKUP($AK6,StandingsPivot!$A$4:$A$33,StandingsPivot!J$4:J$33)</f>
        <v>0</v>
      </c>
      <c r="AU6" s="1">
        <f>_xlfn.XLOOKUP($AK6,StandingsPivot!$A$4:$A$33,StandingsPivot!K$4:K$33)</f>
        <v>0</v>
      </c>
      <c r="AV6" s="1">
        <f t="shared" ref="AV6:AW9" si="3">SUM(AN6,AP6,AR6,AT6)</f>
        <v>0</v>
      </c>
      <c r="AW6" s="1">
        <f t="shared" si="3"/>
        <v>0</v>
      </c>
      <c r="AX6" s="4" cm="1">
        <f t="array" ref="AX6">_xlfn.IFNA(INDEX(Games[PostGmRate], MATCH(1, (Games[Team]=AK6)*(Games[Date]=AY6), 0)),0)</f>
        <v>1373.5680250985833</v>
      </c>
      <c r="AY6" s="1">
        <f>_xlfn.MAXIFS(Games[Date], Games[Team], AK6)</f>
        <v>37856</v>
      </c>
      <c r="AZ6">
        <f>SUM(AV6:AW6)</f>
        <v>0</v>
      </c>
      <c r="BO6" s="4"/>
      <c r="BP6" s="1"/>
    </row>
    <row r="7" spans="1:68" x14ac:dyDescent="0.35">
      <c r="A7" t="str">
        <v>CON</v>
      </c>
      <c r="B7">
        <v>0</v>
      </c>
      <c r="C7" t="str">
        <v>Connecticut Sun</v>
      </c>
      <c r="D7" s="1">
        <v>18</v>
      </c>
      <c r="E7" s="1">
        <v>16</v>
      </c>
      <c r="F7" s="3">
        <v>0.52941176470588236</v>
      </c>
      <c r="G7" s="9">
        <v>1518.6725560535676</v>
      </c>
      <c r="H7" s="1">
        <v>37871</v>
      </c>
      <c r="AK7" t="s">
        <v>71</v>
      </c>
      <c r="AL7">
        <f>_xlfn.XLOOKUP(AK7,ConfDiv[TeamID],ConfDiv[Logo])</f>
        <v>0</v>
      </c>
      <c r="AM7" t="str">
        <f>_xlfn.XLOOKUP(AK7,ConfDiv[TeamID],ConfDiv[TeamName])</f>
        <v>Los Angeles Sparks</v>
      </c>
      <c r="AN7" s="1">
        <f>_xlfn.XLOOKUP($AK7,StandingsPivot!$A$4:$A$33,StandingsPivot!D$4:D$33)</f>
        <v>2</v>
      </c>
      <c r="AO7" s="1">
        <f>_xlfn.XLOOKUP($AK7,StandingsPivot!$A$4:$A$33,StandingsPivot!E$4:E$33)</f>
        <v>1</v>
      </c>
      <c r="AP7" s="1">
        <f>_xlfn.XLOOKUP($AK7,StandingsPivot!$A$4:$A$33,StandingsPivot!F$4:F$33)</f>
        <v>2</v>
      </c>
      <c r="AQ7" s="1">
        <f>_xlfn.XLOOKUP($AK7,StandingsPivot!$A$4:$A$33,StandingsPivot!G$4:G$33)</f>
        <v>1</v>
      </c>
      <c r="AR7" s="1">
        <f>_xlfn.XLOOKUP($AK7,StandingsPivot!$A$4:$A$33,StandingsPivot!H$4:H$33)</f>
        <v>1</v>
      </c>
      <c r="AS7" s="1">
        <f>_xlfn.XLOOKUP($AK7,StandingsPivot!$A$4:$A$33,StandingsPivot!I$4:I$33)</f>
        <v>2</v>
      </c>
      <c r="AT7" s="1">
        <f>_xlfn.XLOOKUP($AK7,StandingsPivot!$A$4:$A$33,StandingsPivot!J$4:J$33)</f>
        <v>0</v>
      </c>
      <c r="AU7" s="1">
        <f>_xlfn.XLOOKUP($AK7,StandingsPivot!$A$4:$A$33,StandingsPivot!K$4:K$33)</f>
        <v>0</v>
      </c>
      <c r="AV7" s="1">
        <f t="shared" si="3"/>
        <v>5</v>
      </c>
      <c r="AW7" s="1">
        <f t="shared" si="3"/>
        <v>4</v>
      </c>
      <c r="AX7" s="4" cm="1">
        <f t="array" ref="AX7">_xlfn.IFNA(INDEX(Games[PostGmRate], MATCH(1, (Games[Team]=AK7)*(Games[Date]=AY7), 0)),0)</f>
        <v>1624.6004364563519</v>
      </c>
      <c r="AY7" s="1">
        <f>_xlfn.MAXIFS(Games[Date], Games[Team], AK7)</f>
        <v>37880</v>
      </c>
      <c r="AZ7">
        <f>SUM(AV7:AW7)</f>
        <v>9</v>
      </c>
      <c r="BO7" s="4"/>
      <c r="BP7" s="1"/>
    </row>
    <row r="8" spans="1:68" x14ac:dyDescent="0.35">
      <c r="A8" t="str">
        <v>NYL</v>
      </c>
      <c r="B8">
        <v>0</v>
      </c>
      <c r="C8" t="str">
        <v>New York Liberty</v>
      </c>
      <c r="D8" s="1">
        <v>16</v>
      </c>
      <c r="E8" s="1">
        <v>18</v>
      </c>
      <c r="F8" s="3">
        <v>0.47058823529411764</v>
      </c>
      <c r="G8" s="9">
        <v>1491.0793543393934</v>
      </c>
      <c r="H8" s="1">
        <v>37857</v>
      </c>
      <c r="O8" s="3"/>
      <c r="P8" s="4"/>
      <c r="Q8" s="1"/>
      <c r="AK8" t="s">
        <v>45</v>
      </c>
      <c r="AL8">
        <f>_xlfn.XLOOKUP(AK8,ConfDiv[TeamID],ConfDiv[Logo])</f>
        <v>0</v>
      </c>
      <c r="AM8" t="str">
        <f>_xlfn.XLOOKUP(AK8,ConfDiv[TeamID],ConfDiv[TeamName])</f>
        <v>Sacramento Monarchs</v>
      </c>
      <c r="AN8" s="1">
        <f>_xlfn.XLOOKUP($AK8,StandingsPivot!$A$4:$A$33,StandingsPivot!D$4:D$33)</f>
        <v>2</v>
      </c>
      <c r="AO8" s="1">
        <f>_xlfn.XLOOKUP($AK8,StandingsPivot!$A$4:$A$33,StandingsPivot!E$4:E$33)</f>
        <v>1</v>
      </c>
      <c r="AP8" s="1">
        <f>_xlfn.XLOOKUP($AK8,StandingsPivot!$A$4:$A$33,StandingsPivot!F$4:F$33)</f>
        <v>1</v>
      </c>
      <c r="AQ8" s="1">
        <f>_xlfn.XLOOKUP($AK8,StandingsPivot!$A$4:$A$33,StandingsPivot!G$4:G$33)</f>
        <v>2</v>
      </c>
      <c r="AR8" s="1">
        <f>_xlfn.XLOOKUP($AK8,StandingsPivot!$A$4:$A$33,StandingsPivot!H$4:H$33)</f>
        <v>0</v>
      </c>
      <c r="AS8" s="1">
        <f>_xlfn.XLOOKUP($AK8,StandingsPivot!$A$4:$A$33,StandingsPivot!I$4:I$33)</f>
        <v>0</v>
      </c>
      <c r="AT8" s="1">
        <f>_xlfn.XLOOKUP($AK8,StandingsPivot!$A$4:$A$33,StandingsPivot!J$4:J$33)</f>
        <v>0</v>
      </c>
      <c r="AU8" s="1">
        <f>_xlfn.XLOOKUP($AK8,StandingsPivot!$A$4:$A$33,StandingsPivot!K$4:K$33)</f>
        <v>0</v>
      </c>
      <c r="AV8" s="1">
        <f t="shared" si="3"/>
        <v>3</v>
      </c>
      <c r="AW8" s="1">
        <f t="shared" si="3"/>
        <v>3</v>
      </c>
      <c r="AX8" s="4" cm="1">
        <f t="array" ref="AX8">_xlfn.IFNA(INDEX(Games[PostGmRate], MATCH(1, (Games[Team]=AK8)*(Games[Date]=AY8), 0)),0)</f>
        <v>1556.9660722221515</v>
      </c>
      <c r="AY8" s="1">
        <f>_xlfn.MAXIFS(Games[Date], Games[Team], AK8)</f>
        <v>37872</v>
      </c>
      <c r="AZ8">
        <f>SUM(AV8:AW8)</f>
        <v>6</v>
      </c>
      <c r="BO8" s="4"/>
      <c r="BP8" s="1"/>
    </row>
    <row r="9" spans="1:68" x14ac:dyDescent="0.35">
      <c r="A9" t="str">
        <v>MIN</v>
      </c>
      <c r="B9">
        <v>0</v>
      </c>
      <c r="C9" t="str">
        <v>Minnesota Lynx</v>
      </c>
      <c r="D9" s="1">
        <v>18</v>
      </c>
      <c r="E9" s="1">
        <v>16</v>
      </c>
      <c r="F9" s="3">
        <v>0.52941176470588236</v>
      </c>
      <c r="G9" s="9">
        <v>1490.7839992097279</v>
      </c>
      <c r="H9" s="1">
        <v>37865</v>
      </c>
      <c r="O9" s="3"/>
      <c r="P9" s="4"/>
      <c r="Q9" s="1"/>
      <c r="AK9" t="s">
        <v>43</v>
      </c>
      <c r="AL9" t="e">
        <f>_xlfn.XLOOKUP(AK9,ConfDiv[TeamID],ConfDiv[Logo])</f>
        <v>#N/A</v>
      </c>
      <c r="AM9" t="e">
        <f>_xlfn.XLOOKUP(AK9,ConfDiv[TeamID],ConfDiv[TeamName])</f>
        <v>#N/A</v>
      </c>
      <c r="AN9" s="1" t="e">
        <f>_xlfn.XLOOKUP($AK9,StandingsPivot!$A$4:$A$33,StandingsPivot!D$4:D$33)</f>
        <v>#N/A</v>
      </c>
      <c r="AO9" s="1" t="e">
        <f>_xlfn.XLOOKUP($AK9,StandingsPivot!$A$4:$A$33,StandingsPivot!E$4:E$33)</f>
        <v>#N/A</v>
      </c>
      <c r="AP9" s="1" t="e">
        <f>_xlfn.XLOOKUP($AK9,StandingsPivot!$A$4:$A$33,StandingsPivot!F$4:F$33)</f>
        <v>#N/A</v>
      </c>
      <c r="AQ9" s="1" t="e">
        <f>_xlfn.XLOOKUP($AK9,StandingsPivot!$A$4:$A$33,StandingsPivot!G$4:G$33)</f>
        <v>#N/A</v>
      </c>
      <c r="AR9" s="1" t="e">
        <f>_xlfn.XLOOKUP($AK9,StandingsPivot!$A$4:$A$33,StandingsPivot!H$4:H$33)</f>
        <v>#N/A</v>
      </c>
      <c r="AS9" s="1" t="e">
        <f>_xlfn.XLOOKUP($AK9,StandingsPivot!$A$4:$A$33,StandingsPivot!I$4:I$33)</f>
        <v>#N/A</v>
      </c>
      <c r="AT9" s="1" t="e">
        <f>_xlfn.XLOOKUP($AK9,StandingsPivot!$A$4:$A$33,StandingsPivot!J$4:J$33)</f>
        <v>#N/A</v>
      </c>
      <c r="AU9" s="1" t="e">
        <f>_xlfn.XLOOKUP($AK9,StandingsPivot!$A$4:$A$33,StandingsPivot!K$4:K$33)</f>
        <v>#N/A</v>
      </c>
      <c r="AV9" s="1" t="e">
        <f t="shared" si="3"/>
        <v>#N/A</v>
      </c>
      <c r="AW9" s="1" t="e">
        <f t="shared" si="3"/>
        <v>#N/A</v>
      </c>
      <c r="AX9" s="4" cm="1">
        <f t="array" ref="AX9">_xlfn.IFNA(INDEX(Games[PostGmRate], MATCH(1, (Games[Team]=AK9)*(Games[Date]=AY9), 0)),0)</f>
        <v>0</v>
      </c>
      <c r="AY9" s="1">
        <f>_xlfn.MAXIFS(Games[Date], Games[Team], AK9)</f>
        <v>0</v>
      </c>
      <c r="AZ9" t="e">
        <f>SUM(AV9:AW9)</f>
        <v>#N/A</v>
      </c>
      <c r="BO9" s="4"/>
      <c r="BP9" s="1"/>
    </row>
    <row r="10" spans="1:68" x14ac:dyDescent="0.35">
      <c r="A10" t="str">
        <v>CHA</v>
      </c>
      <c r="B10">
        <v>0</v>
      </c>
      <c r="C10" t="str">
        <v>Charlotte Sting</v>
      </c>
      <c r="D10" s="1">
        <v>18</v>
      </c>
      <c r="E10" s="1">
        <v>16</v>
      </c>
      <c r="F10" s="3">
        <v>0.52941176470588236</v>
      </c>
      <c r="G10" s="9">
        <v>1479.7462169544833</v>
      </c>
      <c r="H10" s="1">
        <v>37863</v>
      </c>
      <c r="O10" s="3"/>
      <c r="P10" s="4"/>
      <c r="Q10" s="1"/>
      <c r="AX10" s="4"/>
      <c r="BO10" s="4"/>
      <c r="BP10" s="1"/>
    </row>
    <row r="11" spans="1:68" x14ac:dyDescent="0.35">
      <c r="A11" t="str">
        <v>CLE</v>
      </c>
      <c r="B11">
        <v>0</v>
      </c>
      <c r="C11" t="str">
        <v>Cleveland Rockers</v>
      </c>
      <c r="D11" s="1">
        <v>17</v>
      </c>
      <c r="E11" s="1">
        <v>17</v>
      </c>
      <c r="F11" s="3">
        <v>0.5</v>
      </c>
      <c r="G11" s="9">
        <v>1476.1130387536812</v>
      </c>
      <c r="H11" s="1">
        <v>37866</v>
      </c>
      <c r="O11" s="3"/>
      <c r="P11" s="4"/>
      <c r="Q11" s="1"/>
      <c r="AX11" s="4"/>
      <c r="BO11" s="4"/>
      <c r="BP11" s="1"/>
    </row>
    <row r="12" spans="1:68" x14ac:dyDescent="0.35">
      <c r="A12" t="str">
        <v>IND</v>
      </c>
      <c r="B12">
        <v>0</v>
      </c>
      <c r="C12" t="str">
        <v>Indiana Fever</v>
      </c>
      <c r="D12" s="1">
        <v>16</v>
      </c>
      <c r="E12" s="1">
        <v>18</v>
      </c>
      <c r="F12" s="3">
        <v>0.47058823529411764</v>
      </c>
      <c r="G12" s="9">
        <v>1466.034687741379</v>
      </c>
      <c r="H12" s="1">
        <v>37858</v>
      </c>
      <c r="O12" s="3"/>
      <c r="P12" s="4"/>
      <c r="Q12" s="1"/>
      <c r="AX12" s="4"/>
      <c r="BO12" s="4"/>
      <c r="BP12" s="1"/>
    </row>
    <row r="13" spans="1:68" x14ac:dyDescent="0.35">
      <c r="A13" t="str">
        <v>SAS</v>
      </c>
      <c r="B13">
        <v>0</v>
      </c>
      <c r="C13" t="str">
        <v>San Antonio Silver Stars</v>
      </c>
      <c r="D13" s="1">
        <v>12</v>
      </c>
      <c r="E13" s="1">
        <v>22</v>
      </c>
      <c r="F13" s="3">
        <v>0.35294117647058826</v>
      </c>
      <c r="G13" s="9">
        <v>1406.3920843166845</v>
      </c>
      <c r="H13" s="1">
        <v>37856</v>
      </c>
      <c r="AX13" s="4"/>
      <c r="BO13" s="4"/>
      <c r="BP13" s="1"/>
    </row>
    <row r="14" spans="1:68" x14ac:dyDescent="0.35">
      <c r="A14" t="str">
        <v>WAS</v>
      </c>
      <c r="B14">
        <v>0</v>
      </c>
      <c r="C14" t="str">
        <v>Washington Mystics</v>
      </c>
      <c r="D14" s="1">
        <v>9</v>
      </c>
      <c r="E14" s="1">
        <v>25</v>
      </c>
      <c r="F14" s="3">
        <v>0.26470588235294118</v>
      </c>
      <c r="G14" s="9">
        <v>1378.8937015391648</v>
      </c>
      <c r="H14" s="1">
        <v>37858</v>
      </c>
      <c r="O14" s="3"/>
      <c r="P14" s="4"/>
      <c r="Q14" s="1"/>
      <c r="AX14" s="4"/>
      <c r="BO14" s="4"/>
      <c r="BP14" s="1"/>
    </row>
    <row r="15" spans="1:68" x14ac:dyDescent="0.35">
      <c r="A15" t="str">
        <v>PHX</v>
      </c>
      <c r="B15">
        <v>0</v>
      </c>
      <c r="C15" t="str">
        <v>Phoenix Mercury</v>
      </c>
      <c r="D15" s="1">
        <v>8</v>
      </c>
      <c r="E15" s="1">
        <v>26</v>
      </c>
      <c r="F15" s="3">
        <v>0.23529411764705882</v>
      </c>
      <c r="G15" s="9">
        <v>1373.5680250985833</v>
      </c>
      <c r="H15" s="1">
        <v>37856</v>
      </c>
      <c r="O15" s="3"/>
      <c r="P15" s="4"/>
      <c r="Q15" s="1"/>
      <c r="AX15" s="4"/>
      <c r="BO15" s="4"/>
      <c r="BP15" s="1"/>
    </row>
    <row r="16" spans="1:68" x14ac:dyDescent="0.35">
      <c r="F16" s="3"/>
      <c r="G16" s="9"/>
      <c r="O16" s="3"/>
      <c r="P16" s="4"/>
      <c r="Q16" s="1"/>
      <c r="AX16" s="4"/>
      <c r="BO16" s="4"/>
      <c r="BP16" s="1"/>
    </row>
    <row r="17" spans="1:60" x14ac:dyDescent="0.35">
      <c r="F17" s="3"/>
      <c r="G17" s="9"/>
      <c r="O17" s="3"/>
      <c r="P17" s="4"/>
      <c r="Q17" s="1"/>
    </row>
    <row r="18" spans="1:60" x14ac:dyDescent="0.35">
      <c r="F18" s="3"/>
      <c r="G18" s="9"/>
      <c r="O18" s="3"/>
      <c r="P18" s="4"/>
      <c r="Q18" s="1"/>
    </row>
    <row r="19" spans="1:60" x14ac:dyDescent="0.35">
      <c r="F19" s="3"/>
      <c r="G19" s="9"/>
    </row>
    <row r="20" spans="1:60" x14ac:dyDescent="0.35">
      <c r="F20" s="3"/>
      <c r="G20" s="9"/>
      <c r="O20" s="3"/>
      <c r="P20" s="4"/>
      <c r="Q20" s="1"/>
    </row>
    <row r="21" spans="1:60" x14ac:dyDescent="0.35">
      <c r="F21" s="3"/>
      <c r="G21" s="9"/>
      <c r="AR21" s="3"/>
      <c r="AS21" s="4"/>
      <c r="BD21" s="1"/>
      <c r="BG21" s="3"/>
      <c r="BH21" s="4"/>
    </row>
    <row r="22" spans="1:60" x14ac:dyDescent="0.35">
      <c r="F22" s="3"/>
      <c r="G22" s="9"/>
      <c r="AR22" s="3"/>
      <c r="AS22" s="4"/>
      <c r="BD22" s="1"/>
      <c r="BG22" s="3"/>
      <c r="BH22" s="4"/>
    </row>
    <row r="23" spans="1:60" x14ac:dyDescent="0.35">
      <c r="F23" s="3"/>
      <c r="G23" s="9"/>
      <c r="AR23" s="3"/>
      <c r="AS23" s="4"/>
      <c r="BD23" s="1"/>
      <c r="BG23" s="3"/>
      <c r="BH23" s="4"/>
    </row>
    <row r="24" spans="1:60" x14ac:dyDescent="0.35">
      <c r="F24" s="3"/>
      <c r="G24" s="9"/>
      <c r="AR24" s="3"/>
      <c r="AS24" s="4"/>
      <c r="BD24" s="1"/>
      <c r="BG24" s="3"/>
      <c r="BH24" s="4"/>
    </row>
    <row r="25" spans="1:60" x14ac:dyDescent="0.35">
      <c r="A25" t="s">
        <v>64</v>
      </c>
      <c r="B25">
        <f>_xlfn.XLOOKUP(A25,ConfDiv[TeamID],ConfDiv[Logo])</f>
        <v>0</v>
      </c>
      <c r="C25" t="str">
        <f>_xlfn.XLOOKUP(A25,ConfDiv[TeamID],ConfDiv[TeamName])</f>
        <v>Charlotte Sting</v>
      </c>
      <c r="D25" s="1">
        <f>_xlfn.XLOOKUP($A25,StandingsPivot!$A$4:$A$35,StandingsPivot!B$4:B$35)</f>
        <v>18</v>
      </c>
      <c r="E25" s="1">
        <f>_xlfn.XLOOKUP($A25,StandingsPivot!$A$4:$A$35,StandingsPivot!C$4:C$35)</f>
        <v>16</v>
      </c>
      <c r="F25" s="3">
        <f t="shared" ref="F25:F38" si="4">(D25)/(D25+E25)</f>
        <v>0.52941176470588236</v>
      </c>
      <c r="G25" s="9" cm="1">
        <f t="array" ref="G25">INDEX(Games[PostGmRate], MATCH(1, (Games[Team]=A25)*(Games[Date]=H25), 0))</f>
        <v>1479.7462169544833</v>
      </c>
      <c r="H25" s="1">
        <f>_xlfn.MAXIFS(Games[Date], Games[Team], A25)</f>
        <v>37863</v>
      </c>
      <c r="AR25" s="3"/>
      <c r="AS25" s="4"/>
      <c r="BD25" s="1"/>
      <c r="BG25" s="3"/>
      <c r="BH25" s="4"/>
    </row>
    <row r="26" spans="1:60" x14ac:dyDescent="0.35">
      <c r="A26" t="s">
        <v>1</v>
      </c>
      <c r="B26">
        <f>_xlfn.XLOOKUP(A26,ConfDiv[TeamID],ConfDiv[Logo])</f>
        <v>0</v>
      </c>
      <c r="C26" t="str">
        <f>_xlfn.XLOOKUP(A26,ConfDiv[TeamID],ConfDiv[TeamName])</f>
        <v>Cleveland Rockers</v>
      </c>
      <c r="D26" s="1">
        <f>_xlfn.XLOOKUP($A26,StandingsPivot!$A$4:$A$35,StandingsPivot!B$4:B$35)</f>
        <v>17</v>
      </c>
      <c r="E26" s="1">
        <f>_xlfn.XLOOKUP($A26,StandingsPivot!$A$4:$A$35,StandingsPivot!C$4:C$35)</f>
        <v>17</v>
      </c>
      <c r="F26" s="3">
        <f t="shared" si="4"/>
        <v>0.5</v>
      </c>
      <c r="G26" s="9" cm="1">
        <f t="array" ref="G26">INDEX(Games[PostGmRate], MATCH(1, (Games[Team]=A26)*(Games[Date]=H26), 0))</f>
        <v>1476.1130387536812</v>
      </c>
      <c r="H26" s="1">
        <f>_xlfn.MAXIFS(Games[Date], Games[Team], A26)</f>
        <v>37866</v>
      </c>
      <c r="AR26" s="3"/>
      <c r="AS26" s="4"/>
      <c r="BD26" s="1"/>
      <c r="BG26" s="3"/>
      <c r="BH26" s="4"/>
    </row>
    <row r="27" spans="1:60" x14ac:dyDescent="0.35">
      <c r="A27" t="s">
        <v>87</v>
      </c>
      <c r="B27">
        <f>_xlfn.XLOOKUP(A27,ConfDiv[TeamID],ConfDiv[Logo])</f>
        <v>0</v>
      </c>
      <c r="C27" t="str">
        <f>_xlfn.XLOOKUP(A27,ConfDiv[TeamID],ConfDiv[TeamName])</f>
        <v>Connecticut Sun</v>
      </c>
      <c r="D27" s="1">
        <f>_xlfn.XLOOKUP($A27,StandingsPivot!$A$4:$A$35,StandingsPivot!B$4:B$35)</f>
        <v>18</v>
      </c>
      <c r="E27" s="1">
        <f>_xlfn.XLOOKUP($A27,StandingsPivot!$A$4:$A$35,StandingsPivot!C$4:C$35)</f>
        <v>16</v>
      </c>
      <c r="F27" s="3">
        <f t="shared" si="4"/>
        <v>0.52941176470588236</v>
      </c>
      <c r="G27" s="9" cm="1">
        <f t="array" ref="G27">INDEX(Games[PostGmRate], MATCH(1, (Games[Team]=A27)*(Games[Date]=H27), 0))</f>
        <v>1518.6725560535676</v>
      </c>
      <c r="H27" s="1">
        <f>_xlfn.MAXIFS(Games[Date], Games[Team], A27)</f>
        <v>37871</v>
      </c>
      <c r="AR27" s="3"/>
      <c r="AS27" s="4"/>
      <c r="BD27" s="1"/>
      <c r="BG27" s="3"/>
      <c r="BH27" s="4"/>
    </row>
    <row r="28" spans="1:60" x14ac:dyDescent="0.35">
      <c r="A28" t="s">
        <v>76</v>
      </c>
      <c r="B28">
        <f>_xlfn.XLOOKUP(A28,ConfDiv[TeamID],ConfDiv[Logo])</f>
        <v>0</v>
      </c>
      <c r="C28" t="str">
        <f>_xlfn.XLOOKUP(A28,ConfDiv[TeamID],ConfDiv[TeamName])</f>
        <v>Detroit Shock</v>
      </c>
      <c r="D28" s="1">
        <f>_xlfn.XLOOKUP($A28,StandingsPivot!$A$4:$A$35,StandingsPivot!B$4:B$35)</f>
        <v>25</v>
      </c>
      <c r="E28" s="1">
        <f>_xlfn.XLOOKUP($A28,StandingsPivot!$A$4:$A$35,StandingsPivot!C$4:C$35)</f>
        <v>9</v>
      </c>
      <c r="F28" s="3">
        <f t="shared" si="4"/>
        <v>0.73529411764705888</v>
      </c>
      <c r="G28" s="9" cm="1">
        <f t="array" ref="G28">INDEX(Games[PostGmRate], MATCH(1, (Games[Team]=A28)*(Games[Date]=H28), 0))</f>
        <v>1638.5874933636674</v>
      </c>
      <c r="H28" s="1">
        <f>_xlfn.MAXIFS(Games[Date], Games[Team], A28)</f>
        <v>37880</v>
      </c>
      <c r="AR28" s="3"/>
      <c r="AS28" s="4"/>
      <c r="BD28" s="1"/>
      <c r="BG28" s="3"/>
      <c r="BH28" s="4"/>
    </row>
    <row r="29" spans="1:60" x14ac:dyDescent="0.35">
      <c r="A29" t="s">
        <v>2</v>
      </c>
      <c r="B29">
        <f>_xlfn.XLOOKUP(A29,ConfDiv[TeamID],ConfDiv[Logo])</f>
        <v>0</v>
      </c>
      <c r="C29" t="str">
        <f>_xlfn.XLOOKUP(A29,ConfDiv[TeamID],ConfDiv[TeamName])</f>
        <v>Houston Comets</v>
      </c>
      <c r="D29" s="1">
        <f>_xlfn.XLOOKUP($A29,StandingsPivot!$A$4:$A$35,StandingsPivot!B$4:B$35)</f>
        <v>20</v>
      </c>
      <c r="E29" s="1">
        <f>_xlfn.XLOOKUP($A29,StandingsPivot!$A$4:$A$35,StandingsPivot!C$4:C$35)</f>
        <v>14</v>
      </c>
      <c r="F29" s="3">
        <f t="shared" si="4"/>
        <v>0.58823529411764708</v>
      </c>
      <c r="G29" s="9" cm="1">
        <f t="array" ref="G29">INDEX(Games[PostGmRate], MATCH(1, (Games[Team]=A29)*(Games[Date]=H29), 0))</f>
        <v>1576.8583815594543</v>
      </c>
      <c r="H29" s="1">
        <f>_xlfn.MAXIFS(Games[Date], Games[Team], A29)</f>
        <v>37866</v>
      </c>
      <c r="AR29" s="3"/>
      <c r="AS29" s="4"/>
      <c r="BD29" s="1"/>
      <c r="BG29" s="3"/>
      <c r="BH29" s="4"/>
    </row>
    <row r="30" spans="1:60" x14ac:dyDescent="0.35">
      <c r="A30" t="s">
        <v>80</v>
      </c>
      <c r="B30">
        <f>_xlfn.XLOOKUP(A30,ConfDiv[TeamID],ConfDiv[Logo])</f>
        <v>0</v>
      </c>
      <c r="C30" t="str">
        <f>_xlfn.XLOOKUP(A30,ConfDiv[TeamID],ConfDiv[TeamName])</f>
        <v>Indiana Fever</v>
      </c>
      <c r="D30" s="1">
        <f>_xlfn.XLOOKUP($A30,StandingsPivot!$A$4:$A$35,StandingsPivot!B$4:B$35)</f>
        <v>16</v>
      </c>
      <c r="E30" s="1">
        <f>_xlfn.XLOOKUP($A30,StandingsPivot!$A$4:$A$35,StandingsPivot!C$4:C$35)</f>
        <v>18</v>
      </c>
      <c r="F30" s="3">
        <f t="shared" si="4"/>
        <v>0.47058823529411764</v>
      </c>
      <c r="G30" s="9" cm="1">
        <f t="array" ref="G30">INDEX(Games[PostGmRate], MATCH(1, (Games[Team]=A30)*(Games[Date]=H30), 0))</f>
        <v>1466.034687741379</v>
      </c>
      <c r="H30" s="1">
        <f>_xlfn.MAXIFS(Games[Date], Games[Team], A30)</f>
        <v>37858</v>
      </c>
      <c r="AR30" s="3"/>
      <c r="AS30" s="4"/>
      <c r="BD30" s="1"/>
      <c r="BG30" s="3"/>
      <c r="BH30" s="4"/>
    </row>
    <row r="31" spans="1:60" x14ac:dyDescent="0.35">
      <c r="A31" t="s">
        <v>71</v>
      </c>
      <c r="B31">
        <f>_xlfn.XLOOKUP(A31,ConfDiv[TeamID],ConfDiv[Logo])</f>
        <v>0</v>
      </c>
      <c r="C31" t="str">
        <f>_xlfn.XLOOKUP(A31,ConfDiv[TeamID],ConfDiv[TeamName])</f>
        <v>Los Angeles Sparks</v>
      </c>
      <c r="D31" s="1">
        <f>_xlfn.XLOOKUP($A31,StandingsPivot!$A$4:$A$35,StandingsPivot!B$4:B$35)</f>
        <v>24</v>
      </c>
      <c r="E31" s="1">
        <f>_xlfn.XLOOKUP($A31,StandingsPivot!$A$4:$A$35,StandingsPivot!C$4:C$35)</f>
        <v>10</v>
      </c>
      <c r="F31" s="3">
        <f t="shared" si="4"/>
        <v>0.70588235294117652</v>
      </c>
      <c r="G31" s="9" cm="1">
        <f t="array" ref="G31">INDEX(Games[PostGmRate], MATCH(1, (Games[Team]=A31)*(Games[Date]=H31), 0))</f>
        <v>1624.6004364563519</v>
      </c>
      <c r="H31" s="1">
        <f>_xlfn.MAXIFS(Games[Date], Games[Team], A31)</f>
        <v>37880</v>
      </c>
      <c r="AR31" s="3"/>
      <c r="AS31" s="4"/>
      <c r="BD31" s="1"/>
      <c r="BG31" s="3"/>
      <c r="BH31" s="4"/>
    </row>
    <row r="32" spans="1:60" x14ac:dyDescent="0.35">
      <c r="A32" t="s">
        <v>78</v>
      </c>
      <c r="B32">
        <f>_xlfn.XLOOKUP(A32,ConfDiv[TeamID],ConfDiv[Logo])</f>
        <v>0</v>
      </c>
      <c r="C32" t="str">
        <f>_xlfn.XLOOKUP(A32,ConfDiv[TeamID],ConfDiv[TeamName])</f>
        <v>Minnesota Lynx</v>
      </c>
      <c r="D32" s="1">
        <f>_xlfn.XLOOKUP($A32,StandingsPivot!$A$4:$A$35,StandingsPivot!B$4:B$35)</f>
        <v>18</v>
      </c>
      <c r="E32" s="1">
        <f>_xlfn.XLOOKUP($A32,StandingsPivot!$A$4:$A$35,StandingsPivot!C$4:C$35)</f>
        <v>16</v>
      </c>
      <c r="F32" s="3">
        <f t="shared" si="4"/>
        <v>0.52941176470588236</v>
      </c>
      <c r="G32" s="9" cm="1">
        <f t="array" ref="G32">INDEX(Games[PostGmRate], MATCH(1, (Games[Team]=A32)*(Games[Date]=H32), 0))</f>
        <v>1490.7839992097279</v>
      </c>
      <c r="H32" s="1">
        <f>_xlfn.MAXIFS(Games[Date], Games[Team], A32)</f>
        <v>37865</v>
      </c>
      <c r="AR32" s="3"/>
      <c r="AS32" s="4"/>
      <c r="BD32" s="1"/>
      <c r="BG32" s="3"/>
      <c r="BH32" s="4"/>
    </row>
    <row r="33" spans="1:60" x14ac:dyDescent="0.35">
      <c r="A33" t="s">
        <v>66</v>
      </c>
      <c r="B33">
        <f>_xlfn.XLOOKUP(A33,ConfDiv[TeamID],ConfDiv[Logo])</f>
        <v>0</v>
      </c>
      <c r="C33" t="str">
        <f>_xlfn.XLOOKUP(A33,ConfDiv[TeamID],ConfDiv[TeamName])</f>
        <v>New York Liberty</v>
      </c>
      <c r="D33" s="1">
        <f>_xlfn.XLOOKUP($A33,StandingsPivot!$A$4:$A$35,StandingsPivot!B$4:B$35)</f>
        <v>16</v>
      </c>
      <c r="E33" s="1">
        <f>_xlfn.XLOOKUP($A33,StandingsPivot!$A$4:$A$35,StandingsPivot!C$4:C$35)</f>
        <v>18</v>
      </c>
      <c r="F33" s="3">
        <f t="shared" si="4"/>
        <v>0.47058823529411764</v>
      </c>
      <c r="G33" s="9" cm="1">
        <f t="array" ref="G33">INDEX(Games[PostGmRate], MATCH(1, (Games[Team]=A33)*(Games[Date]=H33), 0))</f>
        <v>1491.0793543393934</v>
      </c>
      <c r="H33" s="1">
        <f>_xlfn.MAXIFS(Games[Date], Games[Team], A33)</f>
        <v>37857</v>
      </c>
      <c r="AR33" s="3"/>
      <c r="AS33" s="4"/>
      <c r="BD33" s="1"/>
      <c r="BG33" s="3"/>
      <c r="BH33" s="4"/>
    </row>
    <row r="34" spans="1:60" x14ac:dyDescent="0.35">
      <c r="A34" t="s">
        <v>44</v>
      </c>
      <c r="B34">
        <f>_xlfn.XLOOKUP(A34,ConfDiv[TeamID],ConfDiv[Logo])</f>
        <v>0</v>
      </c>
      <c r="C34" t="str">
        <f>_xlfn.XLOOKUP(A34,ConfDiv[TeamID],ConfDiv[TeamName])</f>
        <v>Phoenix Mercury</v>
      </c>
      <c r="D34" s="1">
        <f>_xlfn.XLOOKUP($A34,StandingsPivot!$A$4:$A$35,StandingsPivot!B$4:B$35)</f>
        <v>8</v>
      </c>
      <c r="E34" s="1">
        <f>_xlfn.XLOOKUP($A34,StandingsPivot!$A$4:$A$35,StandingsPivot!C$4:C$35)</f>
        <v>26</v>
      </c>
      <c r="F34" s="3">
        <f t="shared" si="4"/>
        <v>0.23529411764705882</v>
      </c>
      <c r="G34" s="9" cm="1">
        <f t="array" ref="G34">INDEX(Games[PostGmRate], MATCH(1, (Games[Team]=A34)*(Games[Date]=H34), 0))</f>
        <v>1373.5680250985833</v>
      </c>
      <c r="H34" s="1">
        <f>_xlfn.MAXIFS(Games[Date], Games[Team], A34)</f>
        <v>37856</v>
      </c>
      <c r="AR34" s="3"/>
      <c r="AS34" s="4"/>
      <c r="BD34" s="1"/>
      <c r="BG34" s="3"/>
      <c r="BH34" s="4"/>
    </row>
    <row r="35" spans="1:60" x14ac:dyDescent="0.35">
      <c r="A35" t="s">
        <v>45</v>
      </c>
      <c r="B35">
        <f>_xlfn.XLOOKUP(A35,ConfDiv[TeamID],ConfDiv[Logo])</f>
        <v>0</v>
      </c>
      <c r="C35" t="str">
        <f>_xlfn.XLOOKUP(A35,ConfDiv[TeamID],ConfDiv[TeamName])</f>
        <v>Sacramento Monarchs</v>
      </c>
      <c r="D35" s="1">
        <f>_xlfn.XLOOKUP($A35,StandingsPivot!$A$4:$A$35,StandingsPivot!B$4:B$35)</f>
        <v>19</v>
      </c>
      <c r="E35" s="1">
        <f>_xlfn.XLOOKUP($A35,StandingsPivot!$A$4:$A$35,StandingsPivot!C$4:C$35)</f>
        <v>15</v>
      </c>
      <c r="F35" s="3">
        <f t="shared" si="4"/>
        <v>0.55882352941176472</v>
      </c>
      <c r="G35" s="9" cm="1">
        <f t="array" ref="G35">INDEX(Games[PostGmRate], MATCH(1, (Games[Team]=A35)*(Games[Date]=H35), 0))</f>
        <v>1556.9660722221515</v>
      </c>
      <c r="H35" s="1">
        <f>_xlfn.MAXIFS(Games[Date], Games[Team], A35)</f>
        <v>37872</v>
      </c>
    </row>
    <row r="36" spans="1:60" x14ac:dyDescent="0.35">
      <c r="A36" t="s">
        <v>85</v>
      </c>
      <c r="B36">
        <f>_xlfn.XLOOKUP(A36,ConfDiv[TeamID],ConfDiv[Logo])</f>
        <v>0</v>
      </c>
      <c r="C36" t="str">
        <f>_xlfn.XLOOKUP(A36,ConfDiv[TeamID],ConfDiv[TeamName])</f>
        <v>San Antonio Silver Stars</v>
      </c>
      <c r="D36" s="1">
        <f>_xlfn.XLOOKUP($A36,StandingsPivot!$A$4:$A$35,StandingsPivot!B$4:B$35)</f>
        <v>12</v>
      </c>
      <c r="E36" s="1">
        <f>_xlfn.XLOOKUP($A36,StandingsPivot!$A$4:$A$35,StandingsPivot!C$4:C$35)</f>
        <v>22</v>
      </c>
      <c r="F36" s="3">
        <f t="shared" si="4"/>
        <v>0.35294117647058826</v>
      </c>
      <c r="G36" s="9" cm="1">
        <f t="array" ref="G36">INDEX(Games[PostGmRate], MATCH(1, (Games[Team]=A36)*(Games[Date]=H36), 0))</f>
        <v>1406.3920843166845</v>
      </c>
      <c r="H36" s="1">
        <f>_xlfn.MAXIFS(Games[Date], Games[Team], A36)</f>
        <v>37856</v>
      </c>
    </row>
    <row r="37" spans="1:60" x14ac:dyDescent="0.35">
      <c r="A37" t="s">
        <v>82</v>
      </c>
      <c r="B37">
        <f>_xlfn.XLOOKUP(A37,ConfDiv[TeamID],ConfDiv[Logo])</f>
        <v>0</v>
      </c>
      <c r="C37" t="str">
        <f>_xlfn.XLOOKUP(A37,ConfDiv[TeamID],ConfDiv[TeamName])</f>
        <v>Seattle Storm</v>
      </c>
      <c r="D37" s="1">
        <f>_xlfn.XLOOKUP($A37,StandingsPivot!$A$4:$A$35,StandingsPivot!B$4:B$35)</f>
        <v>18</v>
      </c>
      <c r="E37" s="1">
        <f>_xlfn.XLOOKUP($A37,StandingsPivot!$A$4:$A$35,StandingsPivot!C$4:C$35)</f>
        <v>16</v>
      </c>
      <c r="F37" s="3">
        <f t="shared" si="4"/>
        <v>0.52941176470588236</v>
      </c>
      <c r="G37" s="9" cm="1">
        <f t="array" ref="G37">INDEX(Games[PostGmRate], MATCH(1, (Games[Team]=A37)*(Games[Date]=H37), 0))</f>
        <v>1535.9896378321173</v>
      </c>
      <c r="H37" s="1">
        <f>_xlfn.MAXIFS(Games[Date], Games[Team], A37)</f>
        <v>37858</v>
      </c>
    </row>
    <row r="38" spans="1:60" x14ac:dyDescent="0.35">
      <c r="A38" t="s">
        <v>74</v>
      </c>
      <c r="B38">
        <f>_xlfn.XLOOKUP(A38,ConfDiv[TeamID],ConfDiv[Logo])</f>
        <v>0</v>
      </c>
      <c r="C38" t="str">
        <f>_xlfn.XLOOKUP(A38,ConfDiv[TeamID],ConfDiv[TeamName])</f>
        <v>Washington Mystics</v>
      </c>
      <c r="D38" s="1">
        <f>_xlfn.XLOOKUP($A38,StandingsPivot!$A$4:$A$35,StandingsPivot!B$4:B$35)</f>
        <v>9</v>
      </c>
      <c r="E38" s="1">
        <f>_xlfn.XLOOKUP($A38,StandingsPivot!$A$4:$A$35,StandingsPivot!C$4:C$35)</f>
        <v>25</v>
      </c>
      <c r="F38" s="3">
        <f t="shared" si="4"/>
        <v>0.26470588235294118</v>
      </c>
      <c r="G38" s="9" cm="1">
        <f t="array" ref="G38">INDEX(Games[PostGmRate], MATCH(1, (Games[Team]=A38)*(Games[Date]=H38), 0))</f>
        <v>1378.8937015391648</v>
      </c>
      <c r="H38" s="1">
        <f>_xlfn.MAXIFS(Games[Date], Games[Team], A38)</f>
        <v>37858</v>
      </c>
    </row>
  </sheetData>
  <sortState xmlns:xlrd2="http://schemas.microsoft.com/office/spreadsheetml/2017/richdata2" ref="A25:G38">
    <sortCondition ref="A25:A38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A0A15-B55D-4E54-BB57-CA2740C4AA06}">
  <dimension ref="A3:K37"/>
  <sheetViews>
    <sheetView workbookViewId="0">
      <selection activeCell="A3" sqref="A3"/>
    </sheetView>
  </sheetViews>
  <sheetFormatPr defaultRowHeight="15.5" x14ac:dyDescent="0.35"/>
  <cols>
    <col min="1" max="1" width="12.83203125" bestFit="1" customWidth="1"/>
    <col min="2" max="2" width="9" style="1" bestFit="1" customWidth="1"/>
    <col min="3" max="3" width="8.4140625" style="1" bestFit="1" customWidth="1"/>
    <col min="4" max="4" width="11.4140625" style="1" bestFit="1" customWidth="1"/>
    <col min="5" max="5" width="10.83203125" bestFit="1" customWidth="1"/>
    <col min="6" max="6" width="11.4140625" bestFit="1" customWidth="1"/>
    <col min="7" max="7" width="10.83203125" bestFit="1" customWidth="1"/>
    <col min="8" max="8" width="11.4140625" bestFit="1" customWidth="1"/>
    <col min="9" max="9" width="10.83203125" bestFit="1" customWidth="1"/>
    <col min="10" max="10" width="10.25" bestFit="1" customWidth="1"/>
    <col min="11" max="11" width="9.6640625" bestFit="1" customWidth="1"/>
  </cols>
  <sheetData>
    <row r="3" spans="1:11" x14ac:dyDescent="0.35">
      <c r="A3" s="5" t="s">
        <v>19</v>
      </c>
      <c r="B3" s="1" t="s">
        <v>21</v>
      </c>
      <c r="C3" s="1" t="s">
        <v>22</v>
      </c>
      <c r="D3" t="s">
        <v>55</v>
      </c>
      <c r="E3" t="s">
        <v>56</v>
      </c>
      <c r="F3" t="s">
        <v>57</v>
      </c>
      <c r="G3" t="s">
        <v>58</v>
      </c>
      <c r="H3" t="s">
        <v>59</v>
      </c>
      <c r="I3" t="s">
        <v>60</v>
      </c>
      <c r="J3" t="s">
        <v>61</v>
      </c>
      <c r="K3" t="s">
        <v>62</v>
      </c>
    </row>
    <row r="4" spans="1:11" x14ac:dyDescent="0.35">
      <c r="A4" s="6" t="s">
        <v>64</v>
      </c>
      <c r="B4" s="2">
        <v>18</v>
      </c>
      <c r="C4" s="2">
        <v>16</v>
      </c>
      <c r="D4" s="2">
        <v>0</v>
      </c>
      <c r="E4" s="2">
        <v>2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</row>
    <row r="5" spans="1:11" x14ac:dyDescent="0.35">
      <c r="A5" s="6" t="s">
        <v>1</v>
      </c>
      <c r="B5" s="2">
        <v>17</v>
      </c>
      <c r="C5" s="2">
        <v>17</v>
      </c>
      <c r="D5" s="2">
        <v>1</v>
      </c>
      <c r="E5" s="2">
        <v>2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</row>
    <row r="6" spans="1:11" x14ac:dyDescent="0.35">
      <c r="A6" s="6" t="s">
        <v>87</v>
      </c>
      <c r="B6" s="2">
        <v>18</v>
      </c>
      <c r="C6" s="2">
        <v>16</v>
      </c>
      <c r="D6" s="2">
        <v>2</v>
      </c>
      <c r="E6" s="2">
        <v>0</v>
      </c>
      <c r="F6" s="2">
        <v>0</v>
      </c>
      <c r="G6" s="2">
        <v>2</v>
      </c>
      <c r="H6" s="2">
        <v>0</v>
      </c>
      <c r="I6" s="2">
        <v>0</v>
      </c>
      <c r="J6" s="2">
        <v>0</v>
      </c>
      <c r="K6" s="2">
        <v>0</v>
      </c>
    </row>
    <row r="7" spans="1:11" x14ac:dyDescent="0.35">
      <c r="A7" s="6" t="s">
        <v>76</v>
      </c>
      <c r="B7" s="2">
        <v>25</v>
      </c>
      <c r="C7" s="2">
        <v>9</v>
      </c>
      <c r="D7" s="2">
        <v>2</v>
      </c>
      <c r="E7" s="2">
        <v>1</v>
      </c>
      <c r="F7" s="2">
        <v>2</v>
      </c>
      <c r="G7" s="2">
        <v>0</v>
      </c>
      <c r="H7" s="2">
        <v>2</v>
      </c>
      <c r="I7" s="2">
        <v>1</v>
      </c>
      <c r="J7" s="2">
        <v>0</v>
      </c>
      <c r="K7" s="2">
        <v>0</v>
      </c>
    </row>
    <row r="8" spans="1:11" x14ac:dyDescent="0.35">
      <c r="A8" s="6" t="s">
        <v>2</v>
      </c>
      <c r="B8" s="2">
        <v>20</v>
      </c>
      <c r="C8" s="2">
        <v>14</v>
      </c>
      <c r="D8" s="2">
        <v>1</v>
      </c>
      <c r="E8" s="2">
        <v>2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</row>
    <row r="9" spans="1:11" x14ac:dyDescent="0.35">
      <c r="A9" s="6" t="s">
        <v>80</v>
      </c>
      <c r="B9" s="2">
        <v>16</v>
      </c>
      <c r="C9" s="2">
        <v>18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</row>
    <row r="10" spans="1:11" x14ac:dyDescent="0.35">
      <c r="A10" s="6" t="s">
        <v>71</v>
      </c>
      <c r="B10" s="2">
        <v>24</v>
      </c>
      <c r="C10" s="2">
        <v>10</v>
      </c>
      <c r="D10" s="2">
        <v>2</v>
      </c>
      <c r="E10" s="2">
        <v>1</v>
      </c>
      <c r="F10" s="2">
        <v>2</v>
      </c>
      <c r="G10" s="2">
        <v>1</v>
      </c>
      <c r="H10" s="2">
        <v>1</v>
      </c>
      <c r="I10" s="2">
        <v>2</v>
      </c>
      <c r="J10" s="2">
        <v>0</v>
      </c>
      <c r="K10" s="2">
        <v>0</v>
      </c>
    </row>
    <row r="11" spans="1:11" x14ac:dyDescent="0.35">
      <c r="A11" s="6" t="s">
        <v>78</v>
      </c>
      <c r="B11" s="2">
        <v>18</v>
      </c>
      <c r="C11" s="2">
        <v>16</v>
      </c>
      <c r="D11" s="2">
        <v>1</v>
      </c>
      <c r="E11" s="2">
        <v>2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</row>
    <row r="12" spans="1:11" x14ac:dyDescent="0.35">
      <c r="A12" s="6" t="s">
        <v>66</v>
      </c>
      <c r="B12" s="2">
        <v>16</v>
      </c>
      <c r="C12" s="2">
        <v>18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</row>
    <row r="13" spans="1:11" x14ac:dyDescent="0.35">
      <c r="A13" s="6" t="s">
        <v>44</v>
      </c>
      <c r="B13" s="2">
        <v>8</v>
      </c>
      <c r="C13" s="2">
        <v>26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</row>
    <row r="14" spans="1:11" x14ac:dyDescent="0.35">
      <c r="A14" s="6" t="s">
        <v>45</v>
      </c>
      <c r="B14" s="2">
        <v>19</v>
      </c>
      <c r="C14" s="2">
        <v>15</v>
      </c>
      <c r="D14" s="2">
        <v>2</v>
      </c>
      <c r="E14" s="2">
        <v>1</v>
      </c>
      <c r="F14" s="2">
        <v>1</v>
      </c>
      <c r="G14" s="2">
        <v>2</v>
      </c>
      <c r="H14" s="2">
        <v>0</v>
      </c>
      <c r="I14" s="2">
        <v>0</v>
      </c>
      <c r="J14" s="2">
        <v>0</v>
      </c>
      <c r="K14" s="2">
        <v>0</v>
      </c>
    </row>
    <row r="15" spans="1:11" x14ac:dyDescent="0.35">
      <c r="A15" s="6" t="s">
        <v>85</v>
      </c>
      <c r="B15" s="2">
        <v>12</v>
      </c>
      <c r="C15" s="2">
        <v>22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</row>
    <row r="16" spans="1:11" x14ac:dyDescent="0.35">
      <c r="A16" s="6" t="s">
        <v>82</v>
      </c>
      <c r="B16" s="2">
        <v>18</v>
      </c>
      <c r="C16" s="2">
        <v>16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</row>
    <row r="17" spans="1:11" x14ac:dyDescent="0.35">
      <c r="A17" s="6" t="s">
        <v>74</v>
      </c>
      <c r="B17" s="2">
        <v>9</v>
      </c>
      <c r="C17" s="2">
        <v>25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</row>
    <row r="18" spans="1:11" x14ac:dyDescent="0.35">
      <c r="A18" s="6" t="s">
        <v>20</v>
      </c>
      <c r="B18" s="2">
        <v>238</v>
      </c>
      <c r="C18" s="2">
        <v>238</v>
      </c>
      <c r="D18" s="2">
        <v>11</v>
      </c>
      <c r="E18" s="2">
        <v>11</v>
      </c>
      <c r="F18" s="2">
        <v>5</v>
      </c>
      <c r="G18" s="2">
        <v>5</v>
      </c>
      <c r="H18" s="2">
        <v>3</v>
      </c>
      <c r="I18" s="2">
        <v>3</v>
      </c>
      <c r="J18" s="2">
        <v>0</v>
      </c>
      <c r="K18" s="2">
        <v>0</v>
      </c>
    </row>
    <row r="19" spans="1:11" x14ac:dyDescent="0.35">
      <c r="B19"/>
      <c r="C19"/>
      <c r="D19"/>
    </row>
    <row r="20" spans="1:11" x14ac:dyDescent="0.35">
      <c r="B20"/>
      <c r="C20"/>
      <c r="D20"/>
    </row>
    <row r="21" spans="1:11" x14ac:dyDescent="0.35">
      <c r="B21"/>
      <c r="C21"/>
      <c r="D21"/>
    </row>
    <row r="22" spans="1:11" x14ac:dyDescent="0.35">
      <c r="B22"/>
      <c r="C22"/>
      <c r="D22"/>
    </row>
    <row r="23" spans="1:11" x14ac:dyDescent="0.35">
      <c r="B23"/>
      <c r="C23"/>
      <c r="D23"/>
    </row>
    <row r="24" spans="1:11" x14ac:dyDescent="0.35">
      <c r="B24"/>
      <c r="C24"/>
      <c r="D24"/>
    </row>
    <row r="25" spans="1:11" x14ac:dyDescent="0.35">
      <c r="B25"/>
      <c r="C25"/>
      <c r="D25"/>
    </row>
    <row r="26" spans="1:11" x14ac:dyDescent="0.35">
      <c r="B26"/>
      <c r="C26"/>
      <c r="D26"/>
    </row>
    <row r="27" spans="1:11" x14ac:dyDescent="0.35">
      <c r="B27"/>
      <c r="C27"/>
      <c r="D27"/>
    </row>
    <row r="28" spans="1:11" x14ac:dyDescent="0.35">
      <c r="B28"/>
      <c r="C28"/>
      <c r="D28"/>
    </row>
    <row r="29" spans="1:11" x14ac:dyDescent="0.35">
      <c r="B29"/>
      <c r="C29"/>
      <c r="D29"/>
    </row>
    <row r="30" spans="1:11" x14ac:dyDescent="0.35">
      <c r="B30"/>
      <c r="C30"/>
      <c r="D30"/>
    </row>
    <row r="31" spans="1:11" x14ac:dyDescent="0.35">
      <c r="B31"/>
      <c r="C31"/>
      <c r="D31"/>
    </row>
    <row r="32" spans="1:11" x14ac:dyDescent="0.35">
      <c r="B32"/>
      <c r="C32"/>
      <c r="D32"/>
    </row>
    <row r="33" customFormat="1" x14ac:dyDescent="0.35"/>
    <row r="34" customFormat="1" x14ac:dyDescent="0.35"/>
    <row r="35" customFormat="1" x14ac:dyDescent="0.35"/>
    <row r="36" customFormat="1" x14ac:dyDescent="0.35"/>
    <row r="37" customFormat="1" x14ac:dyDescent="0.3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B17C5-B3BB-411D-8ED5-B5306526185C}">
  <dimension ref="A3:A47"/>
  <sheetViews>
    <sheetView workbookViewId="0">
      <selection activeCell="A3" sqref="A3"/>
    </sheetView>
  </sheetViews>
  <sheetFormatPr defaultRowHeight="15.5" x14ac:dyDescent="0.35"/>
  <cols>
    <col min="1" max="1" width="12.83203125" bestFit="1" customWidth="1"/>
    <col min="2" max="2" width="18.75" bestFit="1" customWidth="1"/>
  </cols>
  <sheetData>
    <row r="3" spans="1:1" x14ac:dyDescent="0.35">
      <c r="A3" s="5" t="s">
        <v>19</v>
      </c>
    </row>
    <row r="4" spans="1:1" x14ac:dyDescent="0.35">
      <c r="A4" s="11">
        <v>1</v>
      </c>
    </row>
    <row r="5" spans="1:1" x14ac:dyDescent="0.35">
      <c r="A5" s="11">
        <v>2</v>
      </c>
    </row>
    <row r="6" spans="1:1" x14ac:dyDescent="0.35">
      <c r="A6" s="11">
        <v>3</v>
      </c>
    </row>
    <row r="7" spans="1:1" x14ac:dyDescent="0.35">
      <c r="A7" s="11">
        <v>4</v>
      </c>
    </row>
    <row r="8" spans="1:1" x14ac:dyDescent="0.35">
      <c r="A8" s="11">
        <v>5</v>
      </c>
    </row>
    <row r="9" spans="1:1" x14ac:dyDescent="0.35">
      <c r="A9" s="11">
        <v>6</v>
      </c>
    </row>
    <row r="10" spans="1:1" x14ac:dyDescent="0.35">
      <c r="A10" s="11">
        <v>7</v>
      </c>
    </row>
    <row r="11" spans="1:1" x14ac:dyDescent="0.35">
      <c r="A11" s="11">
        <v>8</v>
      </c>
    </row>
    <row r="12" spans="1:1" x14ac:dyDescent="0.35">
      <c r="A12" s="11">
        <v>9</v>
      </c>
    </row>
    <row r="13" spans="1:1" x14ac:dyDescent="0.35">
      <c r="A13" s="11">
        <v>10</v>
      </c>
    </row>
    <row r="14" spans="1:1" x14ac:dyDescent="0.35">
      <c r="A14" s="11">
        <v>11</v>
      </c>
    </row>
    <row r="15" spans="1:1" x14ac:dyDescent="0.35">
      <c r="A15" s="11">
        <v>12</v>
      </c>
    </row>
    <row r="16" spans="1:1" x14ac:dyDescent="0.35">
      <c r="A16" s="11">
        <v>13</v>
      </c>
    </row>
    <row r="17" spans="1:1" x14ac:dyDescent="0.35">
      <c r="A17" s="11">
        <v>14</v>
      </c>
    </row>
    <row r="18" spans="1:1" x14ac:dyDescent="0.35">
      <c r="A18" s="11">
        <v>15</v>
      </c>
    </row>
    <row r="19" spans="1:1" x14ac:dyDescent="0.35">
      <c r="A19" s="11">
        <v>16</v>
      </c>
    </row>
    <row r="20" spans="1:1" x14ac:dyDescent="0.35">
      <c r="A20" s="11">
        <v>17</v>
      </c>
    </row>
    <row r="21" spans="1:1" x14ac:dyDescent="0.35">
      <c r="A21" s="11">
        <v>18</v>
      </c>
    </row>
    <row r="22" spans="1:1" x14ac:dyDescent="0.35">
      <c r="A22" s="11">
        <v>19</v>
      </c>
    </row>
    <row r="23" spans="1:1" x14ac:dyDescent="0.35">
      <c r="A23" s="11">
        <v>20</v>
      </c>
    </row>
    <row r="24" spans="1:1" x14ac:dyDescent="0.35">
      <c r="A24" s="11">
        <v>21</v>
      </c>
    </row>
    <row r="25" spans="1:1" x14ac:dyDescent="0.35">
      <c r="A25" s="11">
        <v>22</v>
      </c>
    </row>
    <row r="26" spans="1:1" x14ac:dyDescent="0.35">
      <c r="A26" s="11">
        <v>23</v>
      </c>
    </row>
    <row r="27" spans="1:1" x14ac:dyDescent="0.35">
      <c r="A27" s="11">
        <v>24</v>
      </c>
    </row>
    <row r="28" spans="1:1" x14ac:dyDescent="0.35">
      <c r="A28" s="11">
        <v>25</v>
      </c>
    </row>
    <row r="29" spans="1:1" x14ac:dyDescent="0.35">
      <c r="A29" s="11">
        <v>26</v>
      </c>
    </row>
    <row r="30" spans="1:1" x14ac:dyDescent="0.35">
      <c r="A30" s="11">
        <v>27</v>
      </c>
    </row>
    <row r="31" spans="1:1" x14ac:dyDescent="0.35">
      <c r="A31" s="11">
        <v>28</v>
      </c>
    </row>
    <row r="32" spans="1:1" x14ac:dyDescent="0.35">
      <c r="A32" s="11">
        <v>29</v>
      </c>
    </row>
    <row r="33" spans="1:1" x14ac:dyDescent="0.35">
      <c r="A33" s="11">
        <v>30</v>
      </c>
    </row>
    <row r="34" spans="1:1" x14ac:dyDescent="0.35">
      <c r="A34" s="11">
        <v>31</v>
      </c>
    </row>
    <row r="35" spans="1:1" x14ac:dyDescent="0.35">
      <c r="A35" s="11">
        <v>32</v>
      </c>
    </row>
    <row r="36" spans="1:1" x14ac:dyDescent="0.35">
      <c r="A36" s="11">
        <v>33</v>
      </c>
    </row>
    <row r="37" spans="1:1" x14ac:dyDescent="0.35">
      <c r="A37" s="11">
        <v>34</v>
      </c>
    </row>
    <row r="38" spans="1:1" x14ac:dyDescent="0.35">
      <c r="A38" s="11">
        <v>35</v>
      </c>
    </row>
    <row r="39" spans="1:1" x14ac:dyDescent="0.35">
      <c r="A39" s="11">
        <v>36</v>
      </c>
    </row>
    <row r="40" spans="1:1" x14ac:dyDescent="0.35">
      <c r="A40" s="11">
        <v>37</v>
      </c>
    </row>
    <row r="41" spans="1:1" x14ac:dyDescent="0.35">
      <c r="A41" s="11">
        <v>38</v>
      </c>
    </row>
    <row r="42" spans="1:1" x14ac:dyDescent="0.35">
      <c r="A42" s="11">
        <v>39</v>
      </c>
    </row>
    <row r="43" spans="1:1" x14ac:dyDescent="0.35">
      <c r="A43" s="11">
        <v>40</v>
      </c>
    </row>
    <row r="44" spans="1:1" x14ac:dyDescent="0.35">
      <c r="A44" s="11">
        <v>41</v>
      </c>
    </row>
    <row r="45" spans="1:1" x14ac:dyDescent="0.35">
      <c r="A45" s="11">
        <v>42</v>
      </c>
    </row>
    <row r="46" spans="1:1" x14ac:dyDescent="0.35">
      <c r="A46" s="11">
        <v>43</v>
      </c>
    </row>
    <row r="47" spans="1:1" x14ac:dyDescent="0.35">
      <c r="A47" s="11" t="s">
        <v>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17D06-CBFA-4044-83DA-87079ECEE129}">
  <dimension ref="A1:AT515"/>
  <sheetViews>
    <sheetView workbookViewId="0">
      <selection activeCell="A2" sqref="A2"/>
    </sheetView>
  </sheetViews>
  <sheetFormatPr defaultRowHeight="15.5" x14ac:dyDescent="0.35"/>
  <cols>
    <col min="1" max="1" width="7.9140625" bestFit="1" customWidth="1"/>
    <col min="2" max="2" width="6.58203125" bestFit="1" customWidth="1"/>
    <col min="3" max="3" width="12.33203125" bestFit="1" customWidth="1"/>
    <col min="4" max="4" width="5" bestFit="1" customWidth="1"/>
    <col min="5" max="5" width="6.4140625" bestFit="1" customWidth="1"/>
    <col min="6" max="6" width="5.5" bestFit="1" customWidth="1"/>
    <col min="7" max="7" width="9.25" bestFit="1" customWidth="1"/>
    <col min="8" max="8" width="10.6640625" bestFit="1" customWidth="1"/>
    <col min="9" max="9" width="7.6640625" bestFit="1" customWidth="1"/>
    <col min="10" max="10" width="11.4140625" bestFit="1" customWidth="1"/>
    <col min="11" max="11" width="7.6640625" bestFit="1" customWidth="1"/>
    <col min="12" max="12" width="11.4140625" bestFit="1" customWidth="1"/>
    <col min="13" max="13" width="7.6640625" bestFit="1" customWidth="1"/>
    <col min="14" max="14" width="11.4140625" bestFit="1" customWidth="1"/>
    <col min="15" max="15" width="10.9140625" bestFit="1" customWidth="1"/>
    <col min="16" max="16" width="14.75" bestFit="1" customWidth="1"/>
    <col min="17" max="17" width="14.4140625" bestFit="1" customWidth="1"/>
    <col min="18" max="18" width="9.25" bestFit="1" customWidth="1"/>
    <col min="19" max="19" width="12.58203125" bestFit="1" customWidth="1"/>
    <col min="20" max="20" width="3.58203125" bestFit="1" customWidth="1"/>
    <col min="21" max="21" width="5.6640625" bestFit="1" customWidth="1"/>
    <col min="22" max="22" width="6.1640625" customWidth="1"/>
    <col min="23" max="23" width="9.9140625" customWidth="1"/>
    <col min="24" max="24" width="7.83203125" bestFit="1" customWidth="1"/>
    <col min="25" max="25" width="5.25" bestFit="1" customWidth="1"/>
    <col min="26" max="26" width="7.25" bestFit="1" customWidth="1"/>
    <col min="27" max="27" width="13.08203125" bestFit="1" customWidth="1"/>
    <col min="28" max="28" width="11.5" bestFit="1" customWidth="1"/>
    <col min="29" max="29" width="2.6640625" customWidth="1"/>
    <col min="30" max="30" width="2.08203125" customWidth="1"/>
    <col min="31" max="31" width="5.08203125" bestFit="1" customWidth="1"/>
    <col min="32" max="32" width="4.5" bestFit="1" customWidth="1"/>
    <col min="33" max="33" width="5.08203125" bestFit="1" customWidth="1"/>
    <col min="34" max="34" width="4.5" bestFit="1" customWidth="1"/>
    <col min="35" max="35" width="5.08203125" bestFit="1" customWidth="1"/>
    <col min="36" max="36" width="4.5" bestFit="1" customWidth="1"/>
    <col min="37" max="37" width="3.9140625" bestFit="1" customWidth="1"/>
    <col min="38" max="38" width="3.33203125" bestFit="1" customWidth="1"/>
    <col min="42" max="42" width="4.75" style="1" bestFit="1" customWidth="1"/>
    <col min="43" max="43" width="2.75" bestFit="1" customWidth="1"/>
    <col min="44" max="44" width="6.25" bestFit="1" customWidth="1"/>
    <col min="46" max="46" width="4.75" bestFit="1" customWidth="1"/>
    <col min="47" max="51" width="11.75" bestFit="1" customWidth="1"/>
    <col min="52" max="52" width="3.75" bestFit="1" customWidth="1"/>
    <col min="53" max="53" width="2.75" bestFit="1" customWidth="1"/>
  </cols>
  <sheetData>
    <row r="1" spans="1:46" x14ac:dyDescent="0.35">
      <c r="A1" s="1" t="s">
        <v>35</v>
      </c>
      <c r="B1" s="1" t="s">
        <v>30</v>
      </c>
      <c r="C1" s="1" t="s">
        <v>34</v>
      </c>
      <c r="D1" s="1" t="s">
        <v>28</v>
      </c>
      <c r="E1" s="1" t="s">
        <v>27</v>
      </c>
      <c r="F1" s="1" t="s">
        <v>0</v>
      </c>
      <c r="G1" s="1" t="s">
        <v>3</v>
      </c>
      <c r="H1" s="1" t="s">
        <v>14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  <c r="N1" s="1" t="s">
        <v>42</v>
      </c>
      <c r="O1" s="1" t="s">
        <v>4</v>
      </c>
      <c r="P1" s="1" t="s">
        <v>5</v>
      </c>
      <c r="Q1" s="1" t="s">
        <v>6</v>
      </c>
      <c r="R1" s="1" t="s">
        <v>7</v>
      </c>
      <c r="S1" s="1" t="s">
        <v>8</v>
      </c>
      <c r="T1" s="1" t="s">
        <v>24</v>
      </c>
      <c r="U1" s="1" t="s">
        <v>9</v>
      </c>
      <c r="V1" s="1" t="s">
        <v>10</v>
      </c>
      <c r="W1" s="1" t="s">
        <v>13</v>
      </c>
      <c r="X1" s="1" t="s">
        <v>26</v>
      </c>
      <c r="Y1" s="1" t="s">
        <v>36</v>
      </c>
      <c r="Z1" s="1" t="s">
        <v>25</v>
      </c>
      <c r="AA1" s="1" t="s">
        <v>11</v>
      </c>
      <c r="AB1" s="1" t="s">
        <v>12</v>
      </c>
      <c r="AC1" s="1" t="s">
        <v>17</v>
      </c>
      <c r="AD1" s="1" t="s">
        <v>18</v>
      </c>
      <c r="AE1" s="1" t="s">
        <v>47</v>
      </c>
      <c r="AF1" s="1" t="s">
        <v>48</v>
      </c>
      <c r="AG1" s="1" t="s">
        <v>49</v>
      </c>
      <c r="AH1" s="1" t="s">
        <v>50</v>
      </c>
      <c r="AI1" s="1" t="s">
        <v>51</v>
      </c>
      <c r="AJ1" s="1" t="s">
        <v>52</v>
      </c>
      <c r="AK1" s="1" t="s">
        <v>53</v>
      </c>
      <c r="AL1" s="1" t="s">
        <v>54</v>
      </c>
      <c r="AP1" s="1">
        <v>6</v>
      </c>
      <c r="AQ1">
        <v>76</v>
      </c>
    </row>
    <row r="2" spans="1:46" x14ac:dyDescent="0.35">
      <c r="A2" s="10">
        <v>37763</v>
      </c>
      <c r="B2" s="2">
        <v>2003</v>
      </c>
      <c r="C2" s="2">
        <f>COUNTIFS(Games[Team],Games[[#This Row],[Team]],Games[Season],Games[[#This Row],[Season]],Games[Date],"&lt;=" &amp; Games[[#This Row],[Date]])</f>
        <v>1</v>
      </c>
      <c r="D2" s="2" t="s">
        <v>23</v>
      </c>
      <c r="E2" s="2" t="s">
        <v>29</v>
      </c>
      <c r="F2" s="1" t="s">
        <v>82</v>
      </c>
      <c r="G2" s="1" t="s">
        <v>2</v>
      </c>
      <c r="H2" s="1" t="s">
        <v>16</v>
      </c>
      <c r="I2" s="2" cm="1">
        <f t="array" ref="I2">IFERROR(
    Games[[#This Row],[Date]]
    - LOOKUP(
        2,
        1/((Games[Team]=Games[[#This Row],[Team]]) * (Games[Date] &lt; Games[[#This Row],[Date]])),
        Games[Date]
    )
    - 1,
Games[[#This Row],[Date]]-$A$2)</f>
        <v>0</v>
      </c>
      <c r="J2" s="2" cm="1">
        <f t="array" ref="J2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" s="2">
        <f>Games[[#This Row],[DaysOff]]-Games[[#This Row],[OppDaysOff]]</f>
        <v>0</v>
      </c>
      <c r="L2" s="2">
        <f>Games[[#This Row],[OppDaysOff]]-Games[[#This Row],[DaysOff]]</f>
        <v>0</v>
      </c>
      <c r="M2" s="1">
        <f>MAX(-16, MIN(16, Games[[#This Row],[RestDiff]]*8))</f>
        <v>0</v>
      </c>
      <c r="N2" s="1">
        <f>MAX(-16, MIN(16, Games[[#This Row],[OppRestDiff]]*8))</f>
        <v>0</v>
      </c>
      <c r="O2" s="4" cm="1">
        <f t="array" ref="O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1506.6156944506351</v>
      </c>
      <c r="P2" s="4" cm="1">
        <f t="array" ref="P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1566.5784118479155</v>
      </c>
      <c r="Q2" s="4">
        <f>1/(1+10^(((Games[[#This Row],[OppPreGmRate]]+IF(Games[[#This Row],[HomeAway]]="A",HCA,0)+Games[[#This Row],[OppRestAdj]])-(Games[[#This Row],[PreGmRate]]+IF(Games[[#This Row],[HomeAway]]="H",HCA,0)+Games[[#This Row],[RestAdj]]))/400))</f>
        <v>0.3039166299376545</v>
      </c>
      <c r="R2" s="1">
        <v>64</v>
      </c>
      <c r="S2" s="1">
        <v>75</v>
      </c>
      <c r="T2" s="1">
        <v>0</v>
      </c>
      <c r="U2" s="1">
        <f>Games[[#This Row],[PointsFor]]-Games[[#This Row],[PointsAgainst]]</f>
        <v>-11</v>
      </c>
      <c r="V2" s="1">
        <f>IF(Games[[#This Row],[MOV]]&gt;0,1,IF(Games[[#This Row],[MOV]]=0,0.5,0))</f>
        <v>0</v>
      </c>
      <c r="W2" s="4">
        <f>((ABS(Games[[#This Row],[MOV]])+5)^0.6)/(12+0.01*(ABS(Games[[#This Row],[PreGmRate]]-Games[[#This Row],[OppPreGmRate]])))*IF(Games[[#This Row],[OT]]=1,0.9,1)</f>
        <v>0.41890379534360095</v>
      </c>
      <c r="X2" s="7" cm="1">
        <f t="array" ref="X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" s="9">
        <f>MAX(kmin, kmax - 0.15 * MIN(Games[[#This Row],[GamesPlayed]], 82))</f>
        <v>75.849999999999994</v>
      </c>
      <c r="Z2" s="4">
        <f>Games[[#This Row],[K]]*Games[[#This Row],[POMult]]</f>
        <v>75.849999999999994</v>
      </c>
      <c r="AA2" s="4">
        <f>(Games[[#This Row],[Keff]]*Games[[#This Row],[MOVMult]])*(Games[[#This Row],[Result]]-Games[[#This Row],[ExpectedWin%]])</f>
        <v>-9.6566022864555912</v>
      </c>
      <c r="AB2" s="4">
        <f>Games[[#This Row],[PreGmRate]]+Games[[#This Row],[RatingChange]]</f>
        <v>1496.9590921641795</v>
      </c>
      <c r="AC2" s="2">
        <f>IF(Games[[#This Row],[Type]]="R",IF(Games[[#This Row],[Result]]&gt;0.5,1,0),0)</f>
        <v>0</v>
      </c>
      <c r="AD2" s="2">
        <f>IF(Games[[#This Row],[Type]]="R",IF(Games[[#This Row],[Result]]&lt;0.5,1,0),0)</f>
        <v>1</v>
      </c>
      <c r="AE2" s="2">
        <f>IF(AND(Games[[#This Row],[Type]]="P",Games[[#This Row],[Round]]=1),IF(Games[[#This Row],[Result]]&gt;0.5,1,0),0)</f>
        <v>0</v>
      </c>
      <c r="AF2" s="2">
        <f>IF(AND(Games[[#This Row],[Type]]="P",Games[[#This Row],[Round]]=1),IF(Games[[#This Row],[Result]]&lt;0.5,1,0),0)</f>
        <v>0</v>
      </c>
      <c r="AG2" s="2">
        <f>IF(AND(Games[[#This Row],[Type]]="P",Games[[#This Row],[Round]]=2),IF(Games[[#This Row],[Result]]&gt;0.5,1,0),0)</f>
        <v>0</v>
      </c>
      <c r="AH2" s="2">
        <f>IF(AND(Games[[#This Row],[Type]]="P",Games[[#This Row],[Round]]=2),IF(Games[[#This Row],[Result]]&lt;0.5,1,0),0)</f>
        <v>0</v>
      </c>
      <c r="AI2" s="2">
        <f>IF(AND(Games[[#This Row],[Type]]="P",Games[[#This Row],[Round]]=3),IF(Games[[#This Row],[Result]]&gt;0.5,1,0),0)</f>
        <v>0</v>
      </c>
      <c r="AJ2" s="2">
        <f>IF(AND(Games[[#This Row],[Type]]="P",Games[[#This Row],[Round]]=3),IF(Games[[#This Row],[Result]]&lt;0.5,1,0),0)</f>
        <v>0</v>
      </c>
      <c r="AK2" s="2">
        <f>IF(AND(Games[[#This Row],[Type]]="P",Games[[#This Row],[Round]]=4),IF(Games[[#This Row],[Result]]&gt;0.5,1,0),0)</f>
        <v>0</v>
      </c>
      <c r="AL2" s="2">
        <f>IF(AND(Games[[#This Row],[Type]]="P",Games[[#This Row],[Round]]=4),IF(Games[[#This Row],[Result]]&lt;0.5,1,0),0)</f>
        <v>0</v>
      </c>
      <c r="AP2" s="1">
        <v>84</v>
      </c>
    </row>
    <row r="3" spans="1:46" x14ac:dyDescent="0.35">
      <c r="A3" s="10">
        <v>37763</v>
      </c>
      <c r="B3" s="2">
        <v>2003</v>
      </c>
      <c r="C3" s="2">
        <f>COUNTIFS(Games[Team],Games[[#This Row],[Team]],Games[Season],Games[[#This Row],[Season]],Games[Date],"&lt;=" &amp; Games[[#This Row],[Date]])</f>
        <v>1</v>
      </c>
      <c r="D3" s="2" t="s">
        <v>23</v>
      </c>
      <c r="E3" s="2" t="s">
        <v>29</v>
      </c>
      <c r="F3" s="1" t="s">
        <v>2</v>
      </c>
      <c r="G3" s="1" t="s">
        <v>82</v>
      </c>
      <c r="H3" s="1" t="s">
        <v>15</v>
      </c>
      <c r="I3" s="2" cm="1">
        <f t="array" ref="I3">IFERROR(
    Games[[#This Row],[Date]]
    - LOOKUP(
        2,
        1/((Games[Team]=Games[[#This Row],[Team]]) * (Games[Date] &lt; Games[[#This Row],[Date]])),
        Games[Date]
    )
    - 1,
Games[[#This Row],[Date]]-$A$2)</f>
        <v>0</v>
      </c>
      <c r="J3" s="2" cm="1">
        <f t="array" ref="J3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" s="2">
        <f>Games[[#This Row],[DaysOff]]-Games[[#This Row],[OppDaysOff]]</f>
        <v>0</v>
      </c>
      <c r="L3" s="2">
        <f>Games[[#This Row],[OppDaysOff]]-Games[[#This Row],[DaysOff]]</f>
        <v>0</v>
      </c>
      <c r="M3" s="1">
        <f>MAX(-16, MIN(16, Games[[#This Row],[RestDiff]]*8))</f>
        <v>0</v>
      </c>
      <c r="N3" s="1">
        <f>MAX(-16, MIN(16, Games[[#This Row],[OppRestDiff]]*8))</f>
        <v>0</v>
      </c>
      <c r="O3" s="4" cm="1">
        <f t="array" ref="O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1566.5784118479155</v>
      </c>
      <c r="P3" s="4" cm="1">
        <f t="array" ref="P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1506.6156944506351</v>
      </c>
      <c r="Q3" s="4">
        <f>1/(1+10^(((Games[[#This Row],[OppPreGmRate]]+IF(Games[[#This Row],[HomeAway]]="A",HCA,0)+Games[[#This Row],[OppRestAdj]])-(Games[[#This Row],[PreGmRate]]+IF(Games[[#This Row],[HomeAway]]="H",HCA,0)+Games[[#This Row],[RestAdj]]))/400))</f>
        <v>0.69608337006234555</v>
      </c>
      <c r="R3" s="1">
        <v>75</v>
      </c>
      <c r="S3" s="1">
        <v>64</v>
      </c>
      <c r="T3" s="1">
        <v>0</v>
      </c>
      <c r="U3" s="1">
        <f>Games[[#This Row],[PointsFor]]-Games[[#This Row],[PointsAgainst]]</f>
        <v>11</v>
      </c>
      <c r="V3" s="1">
        <f>IF(Games[[#This Row],[MOV]]&gt;0,1,IF(Games[[#This Row],[MOV]]=0,0.5,0))</f>
        <v>1</v>
      </c>
      <c r="W3" s="4">
        <f>((ABS(Games[[#This Row],[MOV]])+5)^0.6)/(12+0.01*(ABS(Games[[#This Row],[PreGmRate]]-Games[[#This Row],[OppPreGmRate]])))*IF(Games[[#This Row],[OT]]=1,0.9,1)</f>
        <v>0.41890379534360095</v>
      </c>
      <c r="X3" s="7" cm="1">
        <f t="array" ref="X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" s="9">
        <f>MAX(kmin, kmax - 0.15 * MIN(Games[[#This Row],[GamesPlayed]], 82))</f>
        <v>75.849999999999994</v>
      </c>
      <c r="Z3" s="4">
        <f>Games[[#This Row],[K]]*Games[[#This Row],[POMult]]</f>
        <v>75.849999999999994</v>
      </c>
      <c r="AA3" s="4">
        <f>(Games[[#This Row],[Keff]]*Games[[#This Row],[MOVMult]])*(Games[[#This Row],[Result]]-Games[[#This Row],[ExpectedWin%]])</f>
        <v>9.6566022864555894</v>
      </c>
      <c r="AB3" s="4">
        <f>Games[[#This Row],[PreGmRate]]+Games[[#This Row],[RatingChange]]</f>
        <v>1576.2350141343711</v>
      </c>
      <c r="AC3" s="2">
        <f>IF(Games[[#This Row],[Type]]="R",IF(Games[[#This Row],[Result]]&gt;0.5,1,0),0)</f>
        <v>1</v>
      </c>
      <c r="AD3" s="2">
        <f>IF(Games[[#This Row],[Type]]="R",IF(Games[[#This Row],[Result]]&lt;0.5,1,0),0)</f>
        <v>0</v>
      </c>
      <c r="AE3" s="2">
        <f>IF(AND(Games[[#This Row],[Type]]="P",Games[[#This Row],[Round]]=1),IF(Games[[#This Row],[Result]]&gt;0.5,1,0),0)</f>
        <v>0</v>
      </c>
      <c r="AF3" s="2">
        <f>IF(AND(Games[[#This Row],[Type]]="P",Games[[#This Row],[Round]]=1),IF(Games[[#This Row],[Result]]&lt;0.5,1,0),0)</f>
        <v>0</v>
      </c>
      <c r="AG3" s="2">
        <f>IF(AND(Games[[#This Row],[Type]]="P",Games[[#This Row],[Round]]=2),IF(Games[[#This Row],[Result]]&gt;0.5,1,0),0)</f>
        <v>0</v>
      </c>
      <c r="AH3" s="2">
        <f>IF(AND(Games[[#This Row],[Type]]="P",Games[[#This Row],[Round]]=2),IF(Games[[#This Row],[Result]]&lt;0.5,1,0),0)</f>
        <v>0</v>
      </c>
      <c r="AI3" s="2">
        <f>IF(AND(Games[[#This Row],[Type]]="P",Games[[#This Row],[Round]]=3),IF(Games[[#This Row],[Result]]&gt;0.5,1,0),0)</f>
        <v>0</v>
      </c>
      <c r="AJ3" s="2">
        <f>IF(AND(Games[[#This Row],[Type]]="P",Games[[#This Row],[Round]]=3),IF(Games[[#This Row],[Result]]&lt;0.5,1,0),0)</f>
        <v>0</v>
      </c>
      <c r="AK3" s="2">
        <f>IF(AND(Games[[#This Row],[Type]]="P",Games[[#This Row],[Round]]=4),IF(Games[[#This Row],[Result]]&gt;0.5,1,0),0)</f>
        <v>0</v>
      </c>
      <c r="AL3" s="2">
        <f>IF(AND(Games[[#This Row],[Type]]="P",Games[[#This Row],[Round]]=4),IF(Games[[#This Row],[Result]]&lt;0.5,1,0),0)</f>
        <v>0</v>
      </c>
      <c r="AP3" s="9">
        <v>0.5</v>
      </c>
      <c r="AR3" s="13"/>
    </row>
    <row r="4" spans="1:46" x14ac:dyDescent="0.35">
      <c r="A4" s="10">
        <v>37763</v>
      </c>
      <c r="B4" s="2">
        <v>2003</v>
      </c>
      <c r="C4" s="2">
        <f>COUNTIFS(Games[Team],Games[[#This Row],[Team]],Games[Season],Games[[#This Row],[Season]],Games[Date],"&lt;=" &amp; Games[[#This Row],[Date]])</f>
        <v>1</v>
      </c>
      <c r="D4" s="2" t="s">
        <v>23</v>
      </c>
      <c r="E4" s="2" t="s">
        <v>29</v>
      </c>
      <c r="F4" s="1" t="s">
        <v>45</v>
      </c>
      <c r="G4" s="1" t="s">
        <v>44</v>
      </c>
      <c r="H4" s="1" t="s">
        <v>16</v>
      </c>
      <c r="I4" s="2" cm="1">
        <f t="array" ref="I4">IFERROR(
    Games[[#This Row],[Date]]
    - LOOKUP(
        2,
        1/((Games[Team]=Games[[#This Row],[Team]]) * (Games[Date] &lt; Games[[#This Row],[Date]])),
        Games[Date]
    )
    - 1,
Games[[#This Row],[Date]]-$A$2)</f>
        <v>0</v>
      </c>
      <c r="J4" s="2" cm="1">
        <f t="array" ref="J4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4" s="2">
        <f>Games[[#This Row],[DaysOff]]-Games[[#This Row],[OppDaysOff]]</f>
        <v>0</v>
      </c>
      <c r="L4" s="2">
        <f>Games[[#This Row],[OppDaysOff]]-Games[[#This Row],[DaysOff]]</f>
        <v>0</v>
      </c>
      <c r="M4" s="1">
        <f>MAX(-16, MIN(16, Games[[#This Row],[RestDiff]]*8))</f>
        <v>0</v>
      </c>
      <c r="N4" s="1">
        <f>MAX(-16, MIN(16, Games[[#This Row],[OppRestDiff]]*8))</f>
        <v>0</v>
      </c>
      <c r="O4" s="4" cm="1">
        <f t="array" ref="O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1510.6557570163386</v>
      </c>
      <c r="P4" s="4" cm="1">
        <f t="array" ref="P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1433.5261711142707</v>
      </c>
      <c r="Q4" s="4">
        <f>1/(1+10^(((Games[[#This Row],[OppPreGmRate]]+IF(Games[[#This Row],[HomeAway]]="A",HCA,0)+Games[[#This Row],[OppRestAdj]])-(Games[[#This Row],[PreGmRate]]+IF(Games[[#This Row],[HomeAway]]="H",HCA,0)+Games[[#This Row],[RestAdj]]))/400))</f>
        <v>0.49011396788814038</v>
      </c>
      <c r="R4" s="1">
        <v>65</v>
      </c>
      <c r="S4" s="1">
        <v>56</v>
      </c>
      <c r="T4" s="1">
        <v>0</v>
      </c>
      <c r="U4" s="1">
        <f>Games[[#This Row],[PointsFor]]-Games[[#This Row],[PointsAgainst]]</f>
        <v>9</v>
      </c>
      <c r="V4" s="1">
        <f>IF(Games[[#This Row],[MOV]]&gt;0,1,IF(Games[[#This Row],[MOV]]=0,0.5,0))</f>
        <v>1</v>
      </c>
      <c r="W4" s="4">
        <f>((ABS(Games[[#This Row],[MOV]])+5)^0.6)/(12+0.01*(ABS(Games[[#This Row],[PreGmRate]]-Games[[#This Row],[OppPreGmRate]])))*IF(Games[[#This Row],[OT]]=1,0.9,1)</f>
        <v>0.3814537208709281</v>
      </c>
      <c r="X4" s="7" cm="1">
        <f t="array" ref="X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" s="9">
        <f>MAX(kmin, kmax - 0.15 * MIN(Games[[#This Row],[GamesPlayed]], 82))</f>
        <v>75.849999999999994</v>
      </c>
      <c r="Z4" s="4">
        <f>Games[[#This Row],[K]]*Games[[#This Row],[POMult]]</f>
        <v>75.849999999999994</v>
      </c>
      <c r="AA4" s="4">
        <f>(Games[[#This Row],[Keff]]*Games[[#This Row],[MOVMult]])*(Games[[#This Row],[Result]]-Games[[#This Row],[ExpectedWin%]])</f>
        <v>14.752667548232486</v>
      </c>
      <c r="AB4" s="4">
        <f>Games[[#This Row],[PreGmRate]]+Games[[#This Row],[RatingChange]]</f>
        <v>1525.4084245645711</v>
      </c>
      <c r="AC4" s="2">
        <f>IF(Games[[#This Row],[Type]]="R",IF(Games[[#This Row],[Result]]&gt;0.5,1,0),0)</f>
        <v>1</v>
      </c>
      <c r="AD4" s="2">
        <f>IF(Games[[#This Row],[Type]]="R",IF(Games[[#This Row],[Result]]&lt;0.5,1,0),0)</f>
        <v>0</v>
      </c>
      <c r="AE4" s="2">
        <f>IF(AND(Games[[#This Row],[Type]]="P",Games[[#This Row],[Round]]=1),IF(Games[[#This Row],[Result]]&gt;0.5,1,0),0)</f>
        <v>0</v>
      </c>
      <c r="AF4" s="2">
        <f>IF(AND(Games[[#This Row],[Type]]="P",Games[[#This Row],[Round]]=1),IF(Games[[#This Row],[Result]]&lt;0.5,1,0),0)</f>
        <v>0</v>
      </c>
      <c r="AG4" s="2">
        <f>IF(AND(Games[[#This Row],[Type]]="P",Games[[#This Row],[Round]]=2),IF(Games[[#This Row],[Result]]&gt;0.5,1,0),0)</f>
        <v>0</v>
      </c>
      <c r="AH4" s="2">
        <f>IF(AND(Games[[#This Row],[Type]]="P",Games[[#This Row],[Round]]=2),IF(Games[[#This Row],[Result]]&lt;0.5,1,0),0)</f>
        <v>0</v>
      </c>
      <c r="AI4" s="2">
        <f>IF(AND(Games[[#This Row],[Type]]="P",Games[[#This Row],[Round]]=3),IF(Games[[#This Row],[Result]]&gt;0.5,1,0),0)</f>
        <v>0</v>
      </c>
      <c r="AJ4" s="2">
        <f>IF(AND(Games[[#This Row],[Type]]="P",Games[[#This Row],[Round]]=3),IF(Games[[#This Row],[Result]]&lt;0.5,1,0),0)</f>
        <v>0</v>
      </c>
      <c r="AK4" s="2">
        <f>IF(AND(Games[[#This Row],[Type]]="P",Games[[#This Row],[Round]]=4),IF(Games[[#This Row],[Result]]&gt;0.5,1,0),0)</f>
        <v>0</v>
      </c>
      <c r="AL4" s="2">
        <f>IF(AND(Games[[#This Row],[Type]]="P",Games[[#This Row],[Round]]=4),IF(Games[[#This Row],[Result]]&lt;0.5,1,0),0)</f>
        <v>0</v>
      </c>
      <c r="AP4" s="1">
        <v>1500</v>
      </c>
    </row>
    <row r="5" spans="1:46" x14ac:dyDescent="0.35">
      <c r="A5" s="10">
        <v>37763</v>
      </c>
      <c r="B5" s="2">
        <v>2003</v>
      </c>
      <c r="C5" s="2">
        <f>COUNTIFS(Games[Team],Games[[#This Row],[Team]],Games[Season],Games[[#This Row],[Season]],Games[Date],"&lt;=" &amp; Games[[#This Row],[Date]])</f>
        <v>1</v>
      </c>
      <c r="D5" s="2" t="s">
        <v>23</v>
      </c>
      <c r="E5" s="2" t="s">
        <v>29</v>
      </c>
      <c r="F5" s="1" t="s">
        <v>44</v>
      </c>
      <c r="G5" s="1" t="s">
        <v>45</v>
      </c>
      <c r="H5" s="1" t="s">
        <v>15</v>
      </c>
      <c r="I5" s="2" cm="1">
        <f t="array" ref="I5">IFERROR(
    Games[[#This Row],[Date]]
    - LOOKUP(
        2,
        1/((Games[Team]=Games[[#This Row],[Team]]) * (Games[Date] &lt; Games[[#This Row],[Date]])),
        Games[Date]
    )
    - 1,
Games[[#This Row],[Date]]-$A$2)</f>
        <v>0</v>
      </c>
      <c r="J5" s="2" cm="1">
        <f t="array" ref="J5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5" s="2">
        <f>Games[[#This Row],[DaysOff]]-Games[[#This Row],[OppDaysOff]]</f>
        <v>0</v>
      </c>
      <c r="L5" s="2">
        <f>Games[[#This Row],[OppDaysOff]]-Games[[#This Row],[DaysOff]]</f>
        <v>0</v>
      </c>
      <c r="M5" s="1">
        <f>MAX(-16, MIN(16, Games[[#This Row],[RestDiff]]*8))</f>
        <v>0</v>
      </c>
      <c r="N5" s="1">
        <f>MAX(-16, MIN(16, Games[[#This Row],[OppRestDiff]]*8))</f>
        <v>0</v>
      </c>
      <c r="O5" s="4" cm="1">
        <f t="array" ref="O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1433.5261711142707</v>
      </c>
      <c r="P5" s="4" cm="1">
        <f t="array" ref="P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1510.6557570163386</v>
      </c>
      <c r="Q5" s="4">
        <f>1/(1+10^(((Games[[#This Row],[OppPreGmRate]]+IF(Games[[#This Row],[HomeAway]]="A",HCA,0)+Games[[#This Row],[OppRestAdj]])-(Games[[#This Row],[PreGmRate]]+IF(Games[[#This Row],[HomeAway]]="H",HCA,0)+Games[[#This Row],[RestAdj]]))/400))</f>
        <v>0.50988603211185968</v>
      </c>
      <c r="R5" s="1">
        <v>56</v>
      </c>
      <c r="S5" s="1">
        <v>65</v>
      </c>
      <c r="T5" s="1">
        <v>0</v>
      </c>
      <c r="U5" s="1">
        <f>Games[[#This Row],[PointsFor]]-Games[[#This Row],[PointsAgainst]]</f>
        <v>-9</v>
      </c>
      <c r="V5" s="1">
        <f>IF(Games[[#This Row],[MOV]]&gt;0,1,IF(Games[[#This Row],[MOV]]=0,0.5,0))</f>
        <v>0</v>
      </c>
      <c r="W5" s="4">
        <f>((ABS(Games[[#This Row],[MOV]])+5)^0.6)/(12+0.01*(ABS(Games[[#This Row],[PreGmRate]]-Games[[#This Row],[OppPreGmRate]])))*IF(Games[[#This Row],[OT]]=1,0.9,1)</f>
        <v>0.3814537208709281</v>
      </c>
      <c r="X5" s="7" cm="1">
        <f t="array" ref="X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" s="9">
        <f>MAX(kmin, kmax - 0.15 * MIN(Games[[#This Row],[GamesPlayed]], 82))</f>
        <v>75.849999999999994</v>
      </c>
      <c r="Z5" s="4">
        <f>Games[[#This Row],[K]]*Games[[#This Row],[POMult]]</f>
        <v>75.849999999999994</v>
      </c>
      <c r="AA5" s="4">
        <f>(Games[[#This Row],[Keff]]*Games[[#This Row],[MOVMult]])*(Games[[#This Row],[Result]]-Games[[#This Row],[ExpectedWin%]])</f>
        <v>-14.752667548232486</v>
      </c>
      <c r="AB5" s="4">
        <f>Games[[#This Row],[PreGmRate]]+Games[[#This Row],[RatingChange]]</f>
        <v>1418.7735035660382</v>
      </c>
      <c r="AC5" s="2">
        <f>IF(Games[[#This Row],[Type]]="R",IF(Games[[#This Row],[Result]]&gt;0.5,1,0),0)</f>
        <v>0</v>
      </c>
      <c r="AD5" s="2">
        <f>IF(Games[[#This Row],[Type]]="R",IF(Games[[#This Row],[Result]]&lt;0.5,1,0),0)</f>
        <v>1</v>
      </c>
      <c r="AE5" s="2">
        <f>IF(AND(Games[[#This Row],[Type]]="P",Games[[#This Row],[Round]]=1),IF(Games[[#This Row],[Result]]&gt;0.5,1,0),0)</f>
        <v>0</v>
      </c>
      <c r="AF5" s="2">
        <f>IF(AND(Games[[#This Row],[Type]]="P",Games[[#This Row],[Round]]=1),IF(Games[[#This Row],[Result]]&lt;0.5,1,0),0)</f>
        <v>0</v>
      </c>
      <c r="AG5" s="2">
        <f>IF(AND(Games[[#This Row],[Type]]="P",Games[[#This Row],[Round]]=2),IF(Games[[#This Row],[Result]]&gt;0.5,1,0),0)</f>
        <v>0</v>
      </c>
      <c r="AH5" s="2">
        <f>IF(AND(Games[[#This Row],[Type]]="P",Games[[#This Row],[Round]]=2),IF(Games[[#This Row],[Result]]&lt;0.5,1,0),0)</f>
        <v>0</v>
      </c>
      <c r="AI5" s="2">
        <f>IF(AND(Games[[#This Row],[Type]]="P",Games[[#This Row],[Round]]=3),IF(Games[[#This Row],[Result]]&gt;0.5,1,0),0)</f>
        <v>0</v>
      </c>
      <c r="AJ5" s="2">
        <f>IF(AND(Games[[#This Row],[Type]]="P",Games[[#This Row],[Round]]=3),IF(Games[[#This Row],[Result]]&lt;0.5,1,0),0)</f>
        <v>0</v>
      </c>
      <c r="AK5" s="2">
        <f>IF(AND(Games[[#This Row],[Type]]="P",Games[[#This Row],[Round]]=4),IF(Games[[#This Row],[Result]]&gt;0.5,1,0),0)</f>
        <v>0</v>
      </c>
      <c r="AL5" s="2">
        <f>IF(AND(Games[[#This Row],[Type]]="P",Games[[#This Row],[Round]]=4),IF(Games[[#This Row],[Result]]&lt;0.5,1,0),0)</f>
        <v>0</v>
      </c>
    </row>
    <row r="6" spans="1:46" x14ac:dyDescent="0.35">
      <c r="A6" s="10">
        <v>37764</v>
      </c>
      <c r="B6" s="2">
        <v>2003</v>
      </c>
      <c r="C6" s="2">
        <f>COUNTIFS(Games[Team],Games[[#This Row],[Team]],Games[Season],Games[[#This Row],[Season]],Games[Date],"&lt;=" &amp; Games[[#This Row],[Date]])</f>
        <v>1</v>
      </c>
      <c r="D6" s="2" t="s">
        <v>23</v>
      </c>
      <c r="E6" s="2" t="s">
        <v>29</v>
      </c>
      <c r="F6" s="1" t="s">
        <v>74</v>
      </c>
      <c r="G6" s="1" t="s">
        <v>64</v>
      </c>
      <c r="H6" s="1" t="s">
        <v>16</v>
      </c>
      <c r="I6" s="2" cm="1">
        <f t="array" ref="I6">IFERROR(
    Games[[#This Row],[Date]]
    - LOOKUP(
        2,
        1/((Games[Team]=Games[[#This Row],[Team]]) * (Games[Date] &lt; Games[[#This Row],[Date]])),
        Games[Date]
    )
    - 1,
Games[[#This Row],[Date]]-$A$2)</f>
        <v>1</v>
      </c>
      <c r="J6" s="2" cm="1">
        <f t="array" ref="J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6" s="2">
        <f>Games[[#This Row],[DaysOff]]-Games[[#This Row],[OppDaysOff]]</f>
        <v>0</v>
      </c>
      <c r="L6" s="2">
        <f>Games[[#This Row],[OppDaysOff]]-Games[[#This Row],[DaysOff]]</f>
        <v>0</v>
      </c>
      <c r="M6" s="1">
        <f>MAX(-16, MIN(16, Games[[#This Row],[RestDiff]]*8))</f>
        <v>0</v>
      </c>
      <c r="N6" s="1">
        <f>MAX(-16, MIN(16, Games[[#This Row],[OppRestDiff]]*8))</f>
        <v>0</v>
      </c>
      <c r="O6" s="4" cm="1">
        <f t="array" ref="O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1484.6213006590781</v>
      </c>
      <c r="P6" s="4" cm="1">
        <f t="array" ref="P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1508.2145588291414</v>
      </c>
      <c r="Q6" s="4">
        <f>1/(1+10^(((Games[[#This Row],[OppPreGmRate]]+IF(Games[[#This Row],[HomeAway]]="A",HCA,0)+Games[[#This Row],[OppRestAdj]])-(Games[[#This Row],[PreGmRate]]+IF(Games[[#This Row],[HomeAway]]="H",HCA,0)+Games[[#This Row],[RestAdj]]))/400))</f>
        <v>0.34992780119021372</v>
      </c>
      <c r="R6" s="1">
        <v>74</v>
      </c>
      <c r="S6" s="1">
        <v>70</v>
      </c>
      <c r="T6" s="1">
        <v>0</v>
      </c>
      <c r="U6" s="1">
        <f>Games[[#This Row],[PointsFor]]-Games[[#This Row],[PointsAgainst]]</f>
        <v>4</v>
      </c>
      <c r="V6" s="1">
        <f>IF(Games[[#This Row],[MOV]]&gt;0,1,IF(Games[[#This Row],[MOV]]=0,0.5,0))</f>
        <v>1</v>
      </c>
      <c r="W6" s="4">
        <f>((ABS(Games[[#This Row],[MOV]])+5)^0.6)/(12+0.01*(ABS(Games[[#This Row],[PreGmRate]]-Games[[#This Row],[OppPreGmRate]])))*IF(Games[[#This Row],[OT]]=1,0.9,1)</f>
        <v>0.30542770597115632</v>
      </c>
      <c r="X6" s="7" cm="1">
        <f t="array" ref="X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" s="9">
        <f>MAX(kmin, kmax - 0.15 * MIN(Games[[#This Row],[GamesPlayed]], 82))</f>
        <v>75.849999999999994</v>
      </c>
      <c r="Z6" s="4">
        <f>Games[[#This Row],[K]]*Games[[#This Row],[POMult]]</f>
        <v>75.849999999999994</v>
      </c>
      <c r="AA6" s="4">
        <f>(Games[[#This Row],[Keff]]*Games[[#This Row],[MOVMult]])*(Games[[#This Row],[Result]]-Games[[#This Row],[ExpectedWin%]])</f>
        <v>15.060022081195768</v>
      </c>
      <c r="AB6" s="4">
        <f>Games[[#This Row],[PreGmRate]]+Games[[#This Row],[RatingChange]]</f>
        <v>1499.6813227402738</v>
      </c>
      <c r="AC6" s="2">
        <f>IF(Games[[#This Row],[Type]]="R",IF(Games[[#This Row],[Result]]&gt;0.5,1,0),0)</f>
        <v>1</v>
      </c>
      <c r="AD6" s="2">
        <f>IF(Games[[#This Row],[Type]]="R",IF(Games[[#This Row],[Result]]&lt;0.5,1,0),0)</f>
        <v>0</v>
      </c>
      <c r="AE6" s="2">
        <f>IF(AND(Games[[#This Row],[Type]]="P",Games[[#This Row],[Round]]=1),IF(Games[[#This Row],[Result]]&gt;0.5,1,0),0)</f>
        <v>0</v>
      </c>
      <c r="AF6" s="2">
        <f>IF(AND(Games[[#This Row],[Type]]="P",Games[[#This Row],[Round]]=1),IF(Games[[#This Row],[Result]]&lt;0.5,1,0),0)</f>
        <v>0</v>
      </c>
      <c r="AG6" s="2">
        <f>IF(AND(Games[[#This Row],[Type]]="P",Games[[#This Row],[Round]]=2),IF(Games[[#This Row],[Result]]&gt;0.5,1,0),0)</f>
        <v>0</v>
      </c>
      <c r="AH6" s="2">
        <f>IF(AND(Games[[#This Row],[Type]]="P",Games[[#This Row],[Round]]=2),IF(Games[[#This Row],[Result]]&lt;0.5,1,0),0)</f>
        <v>0</v>
      </c>
      <c r="AI6" s="2">
        <f>IF(AND(Games[[#This Row],[Type]]="P",Games[[#This Row],[Round]]=3),IF(Games[[#This Row],[Result]]&gt;0.5,1,0),0)</f>
        <v>0</v>
      </c>
      <c r="AJ6" s="2">
        <f>IF(AND(Games[[#This Row],[Type]]="P",Games[[#This Row],[Round]]=3),IF(Games[[#This Row],[Result]]&lt;0.5,1,0),0)</f>
        <v>0</v>
      </c>
      <c r="AK6" s="2">
        <f>IF(AND(Games[[#This Row],[Type]]="P",Games[[#This Row],[Round]]=4),IF(Games[[#This Row],[Result]]&gt;0.5,1,0),0)</f>
        <v>0</v>
      </c>
      <c r="AL6" s="2">
        <f>IF(AND(Games[[#This Row],[Type]]="P",Games[[#This Row],[Round]]=4),IF(Games[[#This Row],[Result]]&lt;0.5,1,0),0)</f>
        <v>0</v>
      </c>
    </row>
    <row r="7" spans="1:46" x14ac:dyDescent="0.35">
      <c r="A7" s="10">
        <v>37764</v>
      </c>
      <c r="B7" s="2">
        <v>2003</v>
      </c>
      <c r="C7" s="2">
        <f>COUNTIFS(Games[Team],Games[[#This Row],[Team]],Games[Season],Games[[#This Row],[Season]],Games[Date],"&lt;=" &amp; Games[[#This Row],[Date]])</f>
        <v>1</v>
      </c>
      <c r="D7" s="2" t="s">
        <v>23</v>
      </c>
      <c r="E7" s="2" t="s">
        <v>29</v>
      </c>
      <c r="F7" s="1" t="s">
        <v>64</v>
      </c>
      <c r="G7" s="1" t="s">
        <v>74</v>
      </c>
      <c r="H7" s="1" t="s">
        <v>15</v>
      </c>
      <c r="I7" s="2" cm="1">
        <f t="array" ref="I7">IFERROR(
    Games[[#This Row],[Date]]
    - LOOKUP(
        2,
        1/((Games[Team]=Games[[#This Row],[Team]]) * (Games[Date] &lt; Games[[#This Row],[Date]])),
        Games[Date]
    )
    - 1,
Games[[#This Row],[Date]]-$A$2)</f>
        <v>1</v>
      </c>
      <c r="J7" s="2" cm="1">
        <f t="array" ref="J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7" s="2">
        <f>Games[[#This Row],[DaysOff]]-Games[[#This Row],[OppDaysOff]]</f>
        <v>0</v>
      </c>
      <c r="L7" s="2">
        <f>Games[[#This Row],[OppDaysOff]]-Games[[#This Row],[DaysOff]]</f>
        <v>0</v>
      </c>
      <c r="M7" s="1">
        <f>MAX(-16, MIN(16, Games[[#This Row],[RestDiff]]*8))</f>
        <v>0</v>
      </c>
      <c r="N7" s="1">
        <f>MAX(-16, MIN(16, Games[[#This Row],[OppRestDiff]]*8))</f>
        <v>0</v>
      </c>
      <c r="O7" s="4" cm="1">
        <f t="array" ref="O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1508.2145588291414</v>
      </c>
      <c r="P7" s="4" cm="1">
        <f t="array" ref="P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1484.6213006590781</v>
      </c>
      <c r="Q7" s="4">
        <f>1/(1+10^(((Games[[#This Row],[OppPreGmRate]]+IF(Games[[#This Row],[HomeAway]]="A",HCA,0)+Games[[#This Row],[OppRestAdj]])-(Games[[#This Row],[PreGmRate]]+IF(Games[[#This Row],[HomeAway]]="H",HCA,0)+Games[[#This Row],[RestAdj]]))/400))</f>
        <v>0.65007219880978628</v>
      </c>
      <c r="R7" s="1">
        <v>70</v>
      </c>
      <c r="S7" s="1">
        <v>74</v>
      </c>
      <c r="T7" s="1">
        <v>0</v>
      </c>
      <c r="U7" s="1">
        <f>Games[[#This Row],[PointsFor]]-Games[[#This Row],[PointsAgainst]]</f>
        <v>-4</v>
      </c>
      <c r="V7" s="1">
        <f>IF(Games[[#This Row],[MOV]]&gt;0,1,IF(Games[[#This Row],[MOV]]=0,0.5,0))</f>
        <v>0</v>
      </c>
      <c r="W7" s="4">
        <f>((ABS(Games[[#This Row],[MOV]])+5)^0.6)/(12+0.01*(ABS(Games[[#This Row],[PreGmRate]]-Games[[#This Row],[OppPreGmRate]])))*IF(Games[[#This Row],[OT]]=1,0.9,1)</f>
        <v>0.30542770597115632</v>
      </c>
      <c r="X7" s="7" cm="1">
        <f t="array" ref="X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" s="9">
        <f>MAX(kmin, kmax - 0.15 * MIN(Games[[#This Row],[GamesPlayed]], 82))</f>
        <v>75.849999999999994</v>
      </c>
      <c r="Z7" s="4">
        <f>Games[[#This Row],[K]]*Games[[#This Row],[POMult]]</f>
        <v>75.849999999999994</v>
      </c>
      <c r="AA7" s="4">
        <f>(Games[[#This Row],[Keff]]*Games[[#This Row],[MOVMult]])*(Games[[#This Row],[Result]]-Games[[#This Row],[ExpectedWin%]])</f>
        <v>-15.060022081195768</v>
      </c>
      <c r="AB7" s="4">
        <f>Games[[#This Row],[PreGmRate]]+Games[[#This Row],[RatingChange]]</f>
        <v>1493.1545367479457</v>
      </c>
      <c r="AC7" s="2">
        <f>IF(Games[[#This Row],[Type]]="R",IF(Games[[#This Row],[Result]]&gt;0.5,1,0),0)</f>
        <v>0</v>
      </c>
      <c r="AD7" s="2">
        <f>IF(Games[[#This Row],[Type]]="R",IF(Games[[#This Row],[Result]]&lt;0.5,1,0),0)</f>
        <v>1</v>
      </c>
      <c r="AE7" s="2">
        <f>IF(AND(Games[[#This Row],[Type]]="P",Games[[#This Row],[Round]]=1),IF(Games[[#This Row],[Result]]&gt;0.5,1,0),0)</f>
        <v>0</v>
      </c>
      <c r="AF7" s="2">
        <f>IF(AND(Games[[#This Row],[Type]]="P",Games[[#This Row],[Round]]=1),IF(Games[[#This Row],[Result]]&lt;0.5,1,0),0)</f>
        <v>0</v>
      </c>
      <c r="AG7" s="2">
        <f>IF(AND(Games[[#This Row],[Type]]="P",Games[[#This Row],[Round]]=2),IF(Games[[#This Row],[Result]]&gt;0.5,1,0),0)</f>
        <v>0</v>
      </c>
      <c r="AH7" s="2">
        <f>IF(AND(Games[[#This Row],[Type]]="P",Games[[#This Row],[Round]]=2),IF(Games[[#This Row],[Result]]&lt;0.5,1,0),0)</f>
        <v>0</v>
      </c>
      <c r="AI7" s="2">
        <f>IF(AND(Games[[#This Row],[Type]]="P",Games[[#This Row],[Round]]=3),IF(Games[[#This Row],[Result]]&gt;0.5,1,0),0)</f>
        <v>0</v>
      </c>
      <c r="AJ7" s="2">
        <f>IF(AND(Games[[#This Row],[Type]]="P",Games[[#This Row],[Round]]=3),IF(Games[[#This Row],[Result]]&lt;0.5,1,0),0)</f>
        <v>0</v>
      </c>
      <c r="AK7" s="2">
        <f>IF(AND(Games[[#This Row],[Type]]="P",Games[[#This Row],[Round]]=4),IF(Games[[#This Row],[Result]]&gt;0.5,1,0),0)</f>
        <v>0</v>
      </c>
      <c r="AL7" s="2">
        <f>IF(AND(Games[[#This Row],[Type]]="P",Games[[#This Row],[Round]]=4),IF(Games[[#This Row],[Result]]&lt;0.5,1,0),0)</f>
        <v>0</v>
      </c>
    </row>
    <row r="8" spans="1:46" x14ac:dyDescent="0.35">
      <c r="A8" s="10">
        <v>37765</v>
      </c>
      <c r="B8" s="2">
        <v>2003</v>
      </c>
      <c r="C8" s="2">
        <f>COUNTIFS(Games[Team],Games[[#This Row],[Team]],Games[Season],Games[[#This Row],[Season]],Games[Date],"&lt;=" &amp; Games[[#This Row],[Date]])</f>
        <v>1</v>
      </c>
      <c r="D8" s="2" t="s">
        <v>23</v>
      </c>
      <c r="E8" s="2" t="s">
        <v>29</v>
      </c>
      <c r="F8" s="1" t="s">
        <v>71</v>
      </c>
      <c r="G8" s="1" t="s">
        <v>87</v>
      </c>
      <c r="H8" s="1" t="s">
        <v>16</v>
      </c>
      <c r="I8" s="2" cm="1">
        <f t="array" ref="I8">IFERROR(
    Games[[#This Row],[Date]]
    - LOOKUP(
        2,
        1/((Games[Team]=Games[[#This Row],[Team]]) * (Games[Date] &lt; Games[[#This Row],[Date]])),
        Games[Date]
    )
    - 1,
Games[[#This Row],[Date]]-$A$2)</f>
        <v>2</v>
      </c>
      <c r="J8" s="2" cm="1">
        <f t="array" ref="J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8" s="2">
        <f>Games[[#This Row],[DaysOff]]-Games[[#This Row],[OppDaysOff]]</f>
        <v>0</v>
      </c>
      <c r="L8" s="2">
        <f>Games[[#This Row],[OppDaysOff]]-Games[[#This Row],[DaysOff]]</f>
        <v>0</v>
      </c>
      <c r="M8" s="1">
        <f>MAX(-16, MIN(16, Games[[#This Row],[RestDiff]]*8))</f>
        <v>0</v>
      </c>
      <c r="N8" s="1">
        <f>MAX(-16, MIN(16, Games[[#This Row],[OppRestDiff]]*8))</f>
        <v>0</v>
      </c>
      <c r="O8" s="4" cm="1">
        <f t="array" ref="O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1623.9933820498163</v>
      </c>
      <c r="P8" s="4" cm="1">
        <f t="array" ref="P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1493.8873699504024</v>
      </c>
      <c r="Q8" s="4">
        <f>1/(1+10^(((Games[[#This Row],[OppPreGmRate]]+IF(Games[[#This Row],[HomeAway]]="A",HCA,0)+Games[[#This Row],[OppRestAdj]])-(Games[[#This Row],[PreGmRate]]+IF(Games[[#This Row],[HomeAway]]="H",HCA,0)+Games[[#This Row],[RestAdj]]))/400))</f>
        <v>0.56596511731403731</v>
      </c>
      <c r="R8" s="1">
        <v>82</v>
      </c>
      <c r="S8" s="1">
        <v>73</v>
      </c>
      <c r="T8" s="1">
        <v>0</v>
      </c>
      <c r="U8" s="1">
        <f>Games[[#This Row],[PointsFor]]-Games[[#This Row],[PointsAgainst]]</f>
        <v>9</v>
      </c>
      <c r="V8" s="1">
        <f>IF(Games[[#This Row],[MOV]]&gt;0,1,IF(Games[[#This Row],[MOV]]=0,0.5,0))</f>
        <v>1</v>
      </c>
      <c r="W8" s="4">
        <f>((ABS(Games[[#This Row],[MOV]])+5)^0.6)/(12+0.01*(ABS(Games[[#This Row],[PreGmRate]]-Games[[#This Row],[OppPreGmRate]])))*IF(Games[[#This Row],[OT]]=1,0.9,1)</f>
        <v>0.36626090563094155</v>
      </c>
      <c r="X8" s="7" cm="1">
        <f t="array" ref="X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" s="9">
        <f>MAX(kmin, kmax - 0.15 * MIN(Games[[#This Row],[GamesPlayed]], 82))</f>
        <v>75.849999999999994</v>
      </c>
      <c r="Z8" s="4">
        <f>Games[[#This Row],[K]]*Games[[#This Row],[POMult]]</f>
        <v>75.849999999999994</v>
      </c>
      <c r="AA8" s="4">
        <f>(Games[[#This Row],[Keff]]*Games[[#This Row],[MOVMult]])*(Games[[#This Row],[Result]]-Games[[#This Row],[ExpectedWin%]])</f>
        <v>12.057875198425295</v>
      </c>
      <c r="AB8" s="4">
        <f>Games[[#This Row],[PreGmRate]]+Games[[#This Row],[RatingChange]]</f>
        <v>1636.0512572482417</v>
      </c>
      <c r="AC8" s="2">
        <f>IF(Games[[#This Row],[Type]]="R",IF(Games[[#This Row],[Result]]&gt;0.5,1,0),0)</f>
        <v>1</v>
      </c>
      <c r="AD8" s="2">
        <f>IF(Games[[#This Row],[Type]]="R",IF(Games[[#This Row],[Result]]&lt;0.5,1,0),0)</f>
        <v>0</v>
      </c>
      <c r="AE8" s="2">
        <f>IF(AND(Games[[#This Row],[Type]]="P",Games[[#This Row],[Round]]=1),IF(Games[[#This Row],[Result]]&gt;0.5,1,0),0)</f>
        <v>0</v>
      </c>
      <c r="AF8" s="2">
        <f>IF(AND(Games[[#This Row],[Type]]="P",Games[[#This Row],[Round]]=1),IF(Games[[#This Row],[Result]]&lt;0.5,1,0),0)</f>
        <v>0</v>
      </c>
      <c r="AG8" s="2">
        <f>IF(AND(Games[[#This Row],[Type]]="P",Games[[#This Row],[Round]]=2),IF(Games[[#This Row],[Result]]&gt;0.5,1,0),0)</f>
        <v>0</v>
      </c>
      <c r="AH8" s="2">
        <f>IF(AND(Games[[#This Row],[Type]]="P",Games[[#This Row],[Round]]=2),IF(Games[[#This Row],[Result]]&lt;0.5,1,0),0)</f>
        <v>0</v>
      </c>
      <c r="AI8" s="2">
        <f>IF(AND(Games[[#This Row],[Type]]="P",Games[[#This Row],[Round]]=3),IF(Games[[#This Row],[Result]]&gt;0.5,1,0),0)</f>
        <v>0</v>
      </c>
      <c r="AJ8" s="2">
        <f>IF(AND(Games[[#This Row],[Type]]="P",Games[[#This Row],[Round]]=3),IF(Games[[#This Row],[Result]]&lt;0.5,1,0),0)</f>
        <v>0</v>
      </c>
      <c r="AK8" s="2">
        <f>IF(AND(Games[[#This Row],[Type]]="P",Games[[#This Row],[Round]]=4),IF(Games[[#This Row],[Result]]&gt;0.5,1,0),0)</f>
        <v>0</v>
      </c>
      <c r="AL8" s="2">
        <f>IF(AND(Games[[#This Row],[Type]]="P",Games[[#This Row],[Round]]=4),IF(Games[[#This Row],[Result]]&lt;0.5,1,0),0)</f>
        <v>0</v>
      </c>
      <c r="AT8" s="14"/>
    </row>
    <row r="9" spans="1:46" x14ac:dyDescent="0.35">
      <c r="A9" s="10">
        <v>37765</v>
      </c>
      <c r="B9" s="2">
        <v>2003</v>
      </c>
      <c r="C9" s="2">
        <f>COUNTIFS(Games[Team],Games[[#This Row],[Team]],Games[Season],Games[[#This Row],[Season]],Games[Date],"&lt;=" &amp; Games[[#This Row],[Date]])</f>
        <v>1</v>
      </c>
      <c r="D9" s="2" t="s">
        <v>23</v>
      </c>
      <c r="E9" s="2" t="s">
        <v>29</v>
      </c>
      <c r="F9" s="1" t="s">
        <v>87</v>
      </c>
      <c r="G9" s="1" t="s">
        <v>71</v>
      </c>
      <c r="H9" s="1" t="s">
        <v>15</v>
      </c>
      <c r="I9" s="2" cm="1">
        <f t="array" ref="I9">IFERROR(
    Games[[#This Row],[Date]]
    - LOOKUP(
        2,
        1/((Games[Team]=Games[[#This Row],[Team]]) * (Games[Date] &lt; Games[[#This Row],[Date]])),
        Games[Date]
    )
    - 1,
Games[[#This Row],[Date]]-$A$2)</f>
        <v>2</v>
      </c>
      <c r="J9" s="2" cm="1">
        <f t="array" ref="J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9" s="2">
        <f>Games[[#This Row],[DaysOff]]-Games[[#This Row],[OppDaysOff]]</f>
        <v>0</v>
      </c>
      <c r="L9" s="2">
        <f>Games[[#This Row],[OppDaysOff]]-Games[[#This Row],[DaysOff]]</f>
        <v>0</v>
      </c>
      <c r="M9" s="1">
        <f>MAX(-16, MIN(16, Games[[#This Row],[RestDiff]]*8))</f>
        <v>0</v>
      </c>
      <c r="N9" s="1">
        <f>MAX(-16, MIN(16, Games[[#This Row],[OppRestDiff]]*8))</f>
        <v>0</v>
      </c>
      <c r="O9" s="4" cm="1">
        <f t="array" ref="O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1493.8873699504024</v>
      </c>
      <c r="P9" s="4" cm="1">
        <f t="array" ref="P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1623.9933820498163</v>
      </c>
      <c r="Q9" s="4">
        <f>1/(1+10^(((Games[[#This Row],[OppPreGmRate]]+IF(Games[[#This Row],[HomeAway]]="A",HCA,0)+Games[[#This Row],[OppRestAdj]])-(Games[[#This Row],[PreGmRate]]+IF(Games[[#This Row],[HomeAway]]="H",HCA,0)+Games[[#This Row],[RestAdj]]))/400))</f>
        <v>0.43403488268596269</v>
      </c>
      <c r="R9" s="1">
        <v>73</v>
      </c>
      <c r="S9" s="1">
        <v>82</v>
      </c>
      <c r="T9" s="1">
        <v>0</v>
      </c>
      <c r="U9" s="1">
        <f>Games[[#This Row],[PointsFor]]-Games[[#This Row],[PointsAgainst]]</f>
        <v>-9</v>
      </c>
      <c r="V9" s="1">
        <f>IF(Games[[#This Row],[MOV]]&gt;0,1,IF(Games[[#This Row],[MOV]]=0,0.5,0))</f>
        <v>0</v>
      </c>
      <c r="W9" s="4">
        <f>((ABS(Games[[#This Row],[MOV]])+5)^0.6)/(12+0.01*(ABS(Games[[#This Row],[PreGmRate]]-Games[[#This Row],[OppPreGmRate]])))*IF(Games[[#This Row],[OT]]=1,0.9,1)</f>
        <v>0.36626090563094155</v>
      </c>
      <c r="X9" s="7" cm="1">
        <f t="array" ref="X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" s="9">
        <f>MAX(kmin, kmax - 0.15 * MIN(Games[[#This Row],[GamesPlayed]], 82))</f>
        <v>75.849999999999994</v>
      </c>
      <c r="Z9" s="4">
        <f>Games[[#This Row],[K]]*Games[[#This Row],[POMult]]</f>
        <v>75.849999999999994</v>
      </c>
      <c r="AA9" s="4">
        <f>(Games[[#This Row],[Keff]]*Games[[#This Row],[MOVMult]])*(Games[[#This Row],[Result]]-Games[[#This Row],[ExpectedWin%]])</f>
        <v>-12.057875198425295</v>
      </c>
      <c r="AB9" s="4">
        <f>Games[[#This Row],[PreGmRate]]+Games[[#This Row],[RatingChange]]</f>
        <v>1481.8294947519771</v>
      </c>
      <c r="AC9" s="2">
        <f>IF(Games[[#This Row],[Type]]="R",IF(Games[[#This Row],[Result]]&gt;0.5,1,0),0)</f>
        <v>0</v>
      </c>
      <c r="AD9" s="2">
        <f>IF(Games[[#This Row],[Type]]="R",IF(Games[[#This Row],[Result]]&lt;0.5,1,0),0)</f>
        <v>1</v>
      </c>
      <c r="AE9" s="2">
        <f>IF(AND(Games[[#This Row],[Type]]="P",Games[[#This Row],[Round]]=1),IF(Games[[#This Row],[Result]]&gt;0.5,1,0),0)</f>
        <v>0</v>
      </c>
      <c r="AF9" s="2">
        <f>IF(AND(Games[[#This Row],[Type]]="P",Games[[#This Row],[Round]]=1),IF(Games[[#This Row],[Result]]&lt;0.5,1,0),0)</f>
        <v>0</v>
      </c>
      <c r="AG9" s="2">
        <f>IF(AND(Games[[#This Row],[Type]]="P",Games[[#This Row],[Round]]=2),IF(Games[[#This Row],[Result]]&gt;0.5,1,0),0)</f>
        <v>0</v>
      </c>
      <c r="AH9" s="2">
        <f>IF(AND(Games[[#This Row],[Type]]="P",Games[[#This Row],[Round]]=2),IF(Games[[#This Row],[Result]]&lt;0.5,1,0),0)</f>
        <v>0</v>
      </c>
      <c r="AI9" s="2">
        <f>IF(AND(Games[[#This Row],[Type]]="P",Games[[#This Row],[Round]]=3),IF(Games[[#This Row],[Result]]&gt;0.5,1,0),0)</f>
        <v>0</v>
      </c>
      <c r="AJ9" s="2">
        <f>IF(AND(Games[[#This Row],[Type]]="P",Games[[#This Row],[Round]]=3),IF(Games[[#This Row],[Result]]&lt;0.5,1,0),0)</f>
        <v>0</v>
      </c>
      <c r="AK9" s="2">
        <f>IF(AND(Games[[#This Row],[Type]]="P",Games[[#This Row],[Round]]=4),IF(Games[[#This Row],[Result]]&gt;0.5,1,0),0)</f>
        <v>0</v>
      </c>
      <c r="AL9" s="2">
        <f>IF(AND(Games[[#This Row],[Type]]="P",Games[[#This Row],[Round]]=4),IF(Games[[#This Row],[Result]]&lt;0.5,1,0),0)</f>
        <v>0</v>
      </c>
    </row>
    <row r="10" spans="1:46" x14ac:dyDescent="0.35">
      <c r="A10" s="10">
        <v>37765</v>
      </c>
      <c r="B10" s="2">
        <v>2003</v>
      </c>
      <c r="C10" s="2">
        <f>COUNTIFS(Games[Team],Games[[#This Row],[Team]],Games[Season],Games[[#This Row],[Season]],Games[Date],"&lt;=" &amp; Games[[#This Row],[Date]])</f>
        <v>2</v>
      </c>
      <c r="D10" s="2" t="s">
        <v>23</v>
      </c>
      <c r="E10" s="2" t="s">
        <v>29</v>
      </c>
      <c r="F10" s="1" t="s">
        <v>45</v>
      </c>
      <c r="G10" s="1" t="s">
        <v>78</v>
      </c>
      <c r="H10" s="1" t="s">
        <v>16</v>
      </c>
      <c r="I10" s="2" cm="1">
        <f t="array" ref="I10">IFERROR(
    Games[[#This Row],[Date]]
    - LOOKUP(
        2,
        1/((Games[Team]=Games[[#This Row],[Team]]) * (Games[Date] &lt; Games[[#This Row],[Date]])),
        Games[Date]
    )
    - 1,
Games[[#This Row],[Date]]-$A$2)</f>
        <v>1</v>
      </c>
      <c r="J10" s="2" cm="1">
        <f t="array" ref="J1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0" s="2">
        <f>Games[[#This Row],[DaysOff]]-Games[[#This Row],[OppDaysOff]]</f>
        <v>-1</v>
      </c>
      <c r="L10" s="2">
        <f>Games[[#This Row],[OppDaysOff]]-Games[[#This Row],[DaysOff]]</f>
        <v>1</v>
      </c>
      <c r="M10" s="1">
        <f>MAX(-16, MIN(16, Games[[#This Row],[RestDiff]]*8))</f>
        <v>-8</v>
      </c>
      <c r="N10" s="1">
        <f>MAX(-16, MIN(16, Games[[#This Row],[OppRestDiff]]*8))</f>
        <v>8</v>
      </c>
      <c r="O10" s="4" cm="1">
        <f t="array" ref="O1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1525.4084245645711</v>
      </c>
      <c r="P10" s="4" cm="1">
        <f t="array" ref="P1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1449.2985468731431</v>
      </c>
      <c r="Q10" s="4">
        <f>1/(1+10^(((Games[[#This Row],[OppPreGmRate]]+IF(Games[[#This Row],[HomeAway]]="A",HCA,0)+Games[[#This Row],[OppRestAdj]])-(Games[[#This Row],[PreGmRate]]+IF(Games[[#This Row],[HomeAway]]="H",HCA,0)+Games[[#This Row],[RestAdj]]))/400))</f>
        <v>0.46567343326877986</v>
      </c>
      <c r="R10" s="1">
        <v>71</v>
      </c>
      <c r="S10" s="1">
        <v>72</v>
      </c>
      <c r="T10" s="1">
        <v>0</v>
      </c>
      <c r="U10" s="1">
        <f>Games[[#This Row],[PointsFor]]-Games[[#This Row],[PointsAgainst]]</f>
        <v>-1</v>
      </c>
      <c r="V10" s="1">
        <f>IF(Games[[#This Row],[MOV]]&gt;0,1,IF(Games[[#This Row],[MOV]]=0,0.5,0))</f>
        <v>0</v>
      </c>
      <c r="W10" s="4">
        <f>((ABS(Games[[#This Row],[MOV]])+5)^0.6)/(12+0.01*(ABS(Games[[#This Row],[PreGmRate]]-Games[[#This Row],[OppPreGmRate]])))*IF(Games[[#This Row],[OT]]=1,0.9,1)</f>
        <v>0.22961628170172765</v>
      </c>
      <c r="X10" s="7" cm="1">
        <f t="array" ref="X1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" s="9">
        <f>MAX(kmin, kmax - 0.15 * MIN(Games[[#This Row],[GamesPlayed]], 82))</f>
        <v>75.7</v>
      </c>
      <c r="Z10" s="4">
        <f>Games[[#This Row],[K]]*Games[[#This Row],[POMult]]</f>
        <v>75.7</v>
      </c>
      <c r="AA10" s="4">
        <f>(Games[[#This Row],[Keff]]*Games[[#This Row],[MOVMult]])*(Games[[#This Row],[Result]]-Games[[#This Row],[ExpectedWin%]])</f>
        <v>-8.0943135091482308</v>
      </c>
      <c r="AB10" s="4">
        <f>Games[[#This Row],[PreGmRate]]+Games[[#This Row],[RatingChange]]</f>
        <v>1517.3141110554229</v>
      </c>
      <c r="AC10" s="2">
        <f>IF(Games[[#This Row],[Type]]="R",IF(Games[[#This Row],[Result]]&gt;0.5,1,0),0)</f>
        <v>0</v>
      </c>
      <c r="AD10" s="2">
        <f>IF(Games[[#This Row],[Type]]="R",IF(Games[[#This Row],[Result]]&lt;0.5,1,0),0)</f>
        <v>1</v>
      </c>
      <c r="AE10" s="2">
        <f>IF(AND(Games[[#This Row],[Type]]="P",Games[[#This Row],[Round]]=1),IF(Games[[#This Row],[Result]]&gt;0.5,1,0),0)</f>
        <v>0</v>
      </c>
      <c r="AF10" s="2">
        <f>IF(AND(Games[[#This Row],[Type]]="P",Games[[#This Row],[Round]]=1),IF(Games[[#This Row],[Result]]&lt;0.5,1,0),0)</f>
        <v>0</v>
      </c>
      <c r="AG10" s="2">
        <f>IF(AND(Games[[#This Row],[Type]]="P",Games[[#This Row],[Round]]=2),IF(Games[[#This Row],[Result]]&gt;0.5,1,0),0)</f>
        <v>0</v>
      </c>
      <c r="AH10" s="2">
        <f>IF(AND(Games[[#This Row],[Type]]="P",Games[[#This Row],[Round]]=2),IF(Games[[#This Row],[Result]]&lt;0.5,1,0),0)</f>
        <v>0</v>
      </c>
      <c r="AI10" s="2">
        <f>IF(AND(Games[[#This Row],[Type]]="P",Games[[#This Row],[Round]]=3),IF(Games[[#This Row],[Result]]&gt;0.5,1,0),0)</f>
        <v>0</v>
      </c>
      <c r="AJ10" s="2">
        <f>IF(AND(Games[[#This Row],[Type]]="P",Games[[#This Row],[Round]]=3),IF(Games[[#This Row],[Result]]&lt;0.5,1,0),0)</f>
        <v>0</v>
      </c>
      <c r="AK10" s="2">
        <f>IF(AND(Games[[#This Row],[Type]]="P",Games[[#This Row],[Round]]=4),IF(Games[[#This Row],[Result]]&gt;0.5,1,0),0)</f>
        <v>0</v>
      </c>
      <c r="AL10" s="2">
        <f>IF(AND(Games[[#This Row],[Type]]="P",Games[[#This Row],[Round]]=4),IF(Games[[#This Row],[Result]]&lt;0.5,1,0),0)</f>
        <v>0</v>
      </c>
    </row>
    <row r="11" spans="1:46" x14ac:dyDescent="0.35">
      <c r="A11" s="10">
        <v>37765</v>
      </c>
      <c r="B11" s="2">
        <v>2003</v>
      </c>
      <c r="C11" s="2">
        <f>COUNTIFS(Games[Team],Games[[#This Row],[Team]],Games[Season],Games[[#This Row],[Season]],Games[Date],"&lt;=" &amp; Games[[#This Row],[Date]])</f>
        <v>1</v>
      </c>
      <c r="D11" s="2" t="s">
        <v>23</v>
      </c>
      <c r="E11" s="2" t="s">
        <v>29</v>
      </c>
      <c r="F11" s="1" t="s">
        <v>78</v>
      </c>
      <c r="G11" s="1" t="s">
        <v>45</v>
      </c>
      <c r="H11" s="1" t="s">
        <v>15</v>
      </c>
      <c r="I11" s="2" cm="1">
        <f t="array" ref="I11">IFERROR(
    Games[[#This Row],[Date]]
    - LOOKUP(
        2,
        1/((Games[Team]=Games[[#This Row],[Team]]) * (Games[Date] &lt; Games[[#This Row],[Date]])),
        Games[Date]
    )
    - 1,
Games[[#This Row],[Date]]-$A$2)</f>
        <v>2</v>
      </c>
      <c r="J11" s="2" cm="1">
        <f t="array" ref="J1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1" s="2">
        <f>Games[[#This Row],[DaysOff]]-Games[[#This Row],[OppDaysOff]]</f>
        <v>1</v>
      </c>
      <c r="L11" s="2">
        <f>Games[[#This Row],[OppDaysOff]]-Games[[#This Row],[DaysOff]]</f>
        <v>-1</v>
      </c>
      <c r="M11" s="1">
        <f>MAX(-16, MIN(16, Games[[#This Row],[RestDiff]]*8))</f>
        <v>8</v>
      </c>
      <c r="N11" s="1">
        <f>MAX(-16, MIN(16, Games[[#This Row],[OppRestDiff]]*8))</f>
        <v>-8</v>
      </c>
      <c r="O11" s="4" cm="1">
        <f t="array" ref="O1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1449.2985468731431</v>
      </c>
      <c r="P11" s="4" cm="1">
        <f t="array" ref="P1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1525.4084245645711</v>
      </c>
      <c r="Q11" s="4">
        <f>1/(1+10^(((Games[[#This Row],[OppPreGmRate]]+IF(Games[[#This Row],[HomeAway]]="A",HCA,0)+Games[[#This Row],[OppRestAdj]])-(Games[[#This Row],[PreGmRate]]+IF(Games[[#This Row],[HomeAway]]="H",HCA,0)+Games[[#This Row],[RestAdj]]))/400))</f>
        <v>0.53432656673122014</v>
      </c>
      <c r="R11" s="1">
        <v>72</v>
      </c>
      <c r="S11" s="1">
        <v>71</v>
      </c>
      <c r="T11" s="1">
        <v>0</v>
      </c>
      <c r="U11" s="1">
        <f>Games[[#This Row],[PointsFor]]-Games[[#This Row],[PointsAgainst]]</f>
        <v>1</v>
      </c>
      <c r="V11" s="1">
        <f>IF(Games[[#This Row],[MOV]]&gt;0,1,IF(Games[[#This Row],[MOV]]=0,0.5,0))</f>
        <v>1</v>
      </c>
      <c r="W11" s="4">
        <f>((ABS(Games[[#This Row],[MOV]])+5)^0.6)/(12+0.01*(ABS(Games[[#This Row],[PreGmRate]]-Games[[#This Row],[OppPreGmRate]])))*IF(Games[[#This Row],[OT]]=1,0.9,1)</f>
        <v>0.22961628170172765</v>
      </c>
      <c r="X11" s="7" cm="1">
        <f t="array" ref="X1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" s="9">
        <f>MAX(kmin, kmax - 0.15 * MIN(Games[[#This Row],[GamesPlayed]], 82))</f>
        <v>75.849999999999994</v>
      </c>
      <c r="Z11" s="4">
        <f>Games[[#This Row],[K]]*Games[[#This Row],[POMult]]</f>
        <v>75.849999999999994</v>
      </c>
      <c r="AA11" s="4">
        <f>(Games[[#This Row],[Keff]]*Games[[#This Row],[MOVMult]])*(Games[[#This Row],[Result]]-Games[[#This Row],[ExpectedWin%]])</f>
        <v>8.1103524394833979</v>
      </c>
      <c r="AB11" s="4">
        <f>Games[[#This Row],[PreGmRate]]+Games[[#This Row],[RatingChange]]</f>
        <v>1457.4088993126265</v>
      </c>
      <c r="AC11" s="2">
        <f>IF(Games[[#This Row],[Type]]="R",IF(Games[[#This Row],[Result]]&gt;0.5,1,0),0)</f>
        <v>1</v>
      </c>
      <c r="AD11" s="2">
        <f>IF(Games[[#This Row],[Type]]="R",IF(Games[[#This Row],[Result]]&lt;0.5,1,0),0)</f>
        <v>0</v>
      </c>
      <c r="AE11" s="2">
        <f>IF(AND(Games[[#This Row],[Type]]="P",Games[[#This Row],[Round]]=1),IF(Games[[#This Row],[Result]]&gt;0.5,1,0),0)</f>
        <v>0</v>
      </c>
      <c r="AF11" s="2">
        <f>IF(AND(Games[[#This Row],[Type]]="P",Games[[#This Row],[Round]]=1),IF(Games[[#This Row],[Result]]&lt;0.5,1,0),0)</f>
        <v>0</v>
      </c>
      <c r="AG11" s="2">
        <f>IF(AND(Games[[#This Row],[Type]]="P",Games[[#This Row],[Round]]=2),IF(Games[[#This Row],[Result]]&gt;0.5,1,0),0)</f>
        <v>0</v>
      </c>
      <c r="AH11" s="2">
        <f>IF(AND(Games[[#This Row],[Type]]="P",Games[[#This Row],[Round]]=2),IF(Games[[#This Row],[Result]]&lt;0.5,1,0),0)</f>
        <v>0</v>
      </c>
      <c r="AI11" s="2">
        <f>IF(AND(Games[[#This Row],[Type]]="P",Games[[#This Row],[Round]]=3),IF(Games[[#This Row],[Result]]&gt;0.5,1,0),0)</f>
        <v>0</v>
      </c>
      <c r="AJ11" s="2">
        <f>IF(AND(Games[[#This Row],[Type]]="P",Games[[#This Row],[Round]]=3),IF(Games[[#This Row],[Result]]&lt;0.5,1,0),0)</f>
        <v>0</v>
      </c>
      <c r="AK11" s="2">
        <f>IF(AND(Games[[#This Row],[Type]]="P",Games[[#This Row],[Round]]=4),IF(Games[[#This Row],[Result]]&gt;0.5,1,0),0)</f>
        <v>0</v>
      </c>
      <c r="AL11" s="2">
        <f>IF(AND(Games[[#This Row],[Type]]="P",Games[[#This Row],[Round]]=4),IF(Games[[#This Row],[Result]]&lt;0.5,1,0),0)</f>
        <v>0</v>
      </c>
    </row>
    <row r="12" spans="1:46" x14ac:dyDescent="0.35">
      <c r="A12" s="10">
        <v>37765</v>
      </c>
      <c r="B12" s="2">
        <v>2003</v>
      </c>
      <c r="C12" s="2">
        <f>COUNTIFS(Games[Team],Games[[#This Row],[Team]],Games[Season],Games[[#This Row],[Season]],Games[Date],"&lt;=" &amp; Games[[#This Row],[Date]])</f>
        <v>2</v>
      </c>
      <c r="D12" s="2" t="s">
        <v>23</v>
      </c>
      <c r="E12" s="2" t="s">
        <v>29</v>
      </c>
      <c r="F12" s="1" t="s">
        <v>2</v>
      </c>
      <c r="G12" s="1" t="s">
        <v>44</v>
      </c>
      <c r="H12" s="1" t="s">
        <v>16</v>
      </c>
      <c r="I12" s="2" cm="1">
        <f t="array" ref="I12">IFERROR(
    Games[[#This Row],[Date]]
    - LOOKUP(
        2,
        1/((Games[Team]=Games[[#This Row],[Team]]) * (Games[Date] &lt; Games[[#This Row],[Date]])),
        Games[Date]
    )
    - 1,
Games[[#This Row],[Date]]-$A$2)</f>
        <v>1</v>
      </c>
      <c r="J12" s="2" cm="1">
        <f t="array" ref="J1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2" s="2">
        <f>Games[[#This Row],[DaysOff]]-Games[[#This Row],[OppDaysOff]]</f>
        <v>0</v>
      </c>
      <c r="L12" s="2">
        <f>Games[[#This Row],[OppDaysOff]]-Games[[#This Row],[DaysOff]]</f>
        <v>0</v>
      </c>
      <c r="M12" s="1">
        <f>MAX(-16, MIN(16, Games[[#This Row],[RestDiff]]*8))</f>
        <v>0</v>
      </c>
      <c r="N12" s="1">
        <f>MAX(-16, MIN(16, Games[[#This Row],[OppRestDiff]]*8))</f>
        <v>0</v>
      </c>
      <c r="O12" s="4" cm="1">
        <f t="array" ref="O1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1576.2350141343711</v>
      </c>
      <c r="P12" s="4" cm="1">
        <f t="array" ref="P1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1418.7735035660382</v>
      </c>
      <c r="Q12" s="4">
        <f>1/(1+10^(((Games[[#This Row],[OppPreGmRate]]+IF(Games[[#This Row],[HomeAway]]="A",HCA,0)+Games[[#This Row],[OppRestAdj]])-(Games[[#This Row],[PreGmRate]]+IF(Games[[#This Row],[HomeAway]]="H",HCA,0)+Games[[#This Row],[RestAdj]]))/400))</f>
        <v>0.60417183157183885</v>
      </c>
      <c r="R12" s="1">
        <v>69</v>
      </c>
      <c r="S12" s="1">
        <v>62</v>
      </c>
      <c r="T12" s="1">
        <v>0</v>
      </c>
      <c r="U12" s="1">
        <f>Games[[#This Row],[PointsFor]]-Games[[#This Row],[PointsAgainst]]</f>
        <v>7</v>
      </c>
      <c r="V12" s="1">
        <f>IF(Games[[#This Row],[MOV]]&gt;0,1,IF(Games[[#This Row],[MOV]]=0,0.5,0))</f>
        <v>1</v>
      </c>
      <c r="W12" s="4">
        <f>((ABS(Games[[#This Row],[MOV]])+5)^0.6)/(12+0.01*(ABS(Games[[#This Row],[PreGmRate]]-Games[[#This Row],[OppPreGmRate]])))*IF(Games[[#This Row],[OT]]=1,0.9,1)</f>
        <v>0.32717583778757692</v>
      </c>
      <c r="X12" s="7" cm="1">
        <f t="array" ref="X1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" s="9">
        <f>MAX(kmin, kmax - 0.15 * MIN(Games[[#This Row],[GamesPlayed]], 82))</f>
        <v>75.7</v>
      </c>
      <c r="Z12" s="4">
        <f>Games[[#This Row],[K]]*Games[[#This Row],[POMult]]</f>
        <v>75.7</v>
      </c>
      <c r="AA12" s="4">
        <f>(Games[[#This Row],[Keff]]*Games[[#This Row],[MOVMult]])*(Games[[#This Row],[Result]]-Games[[#This Row],[ExpectedWin%]])</f>
        <v>9.8035597357432138</v>
      </c>
      <c r="AB12" s="4">
        <f>Games[[#This Row],[PreGmRate]]+Games[[#This Row],[RatingChange]]</f>
        <v>1586.0385738701143</v>
      </c>
      <c r="AC12" s="2">
        <f>IF(Games[[#This Row],[Type]]="R",IF(Games[[#This Row],[Result]]&gt;0.5,1,0),0)</f>
        <v>1</v>
      </c>
      <c r="AD12" s="2">
        <f>IF(Games[[#This Row],[Type]]="R",IF(Games[[#This Row],[Result]]&lt;0.5,1,0),0)</f>
        <v>0</v>
      </c>
      <c r="AE12" s="2">
        <f>IF(AND(Games[[#This Row],[Type]]="P",Games[[#This Row],[Round]]=1),IF(Games[[#This Row],[Result]]&gt;0.5,1,0),0)</f>
        <v>0</v>
      </c>
      <c r="AF12" s="2">
        <f>IF(AND(Games[[#This Row],[Type]]="P",Games[[#This Row],[Round]]=1),IF(Games[[#This Row],[Result]]&lt;0.5,1,0),0)</f>
        <v>0</v>
      </c>
      <c r="AG12" s="2">
        <f>IF(AND(Games[[#This Row],[Type]]="P",Games[[#This Row],[Round]]=2),IF(Games[[#This Row],[Result]]&gt;0.5,1,0),0)</f>
        <v>0</v>
      </c>
      <c r="AH12" s="2">
        <f>IF(AND(Games[[#This Row],[Type]]="P",Games[[#This Row],[Round]]=2),IF(Games[[#This Row],[Result]]&lt;0.5,1,0),0)</f>
        <v>0</v>
      </c>
      <c r="AI12" s="2">
        <f>IF(AND(Games[[#This Row],[Type]]="P",Games[[#This Row],[Round]]=3),IF(Games[[#This Row],[Result]]&gt;0.5,1,0),0)</f>
        <v>0</v>
      </c>
      <c r="AJ12" s="2">
        <f>IF(AND(Games[[#This Row],[Type]]="P",Games[[#This Row],[Round]]=3),IF(Games[[#This Row],[Result]]&lt;0.5,1,0),0)</f>
        <v>0</v>
      </c>
      <c r="AK12" s="2">
        <f>IF(AND(Games[[#This Row],[Type]]="P",Games[[#This Row],[Round]]=4),IF(Games[[#This Row],[Result]]&gt;0.5,1,0),0)</f>
        <v>0</v>
      </c>
      <c r="AL12" s="2">
        <f>IF(AND(Games[[#This Row],[Type]]="P",Games[[#This Row],[Round]]=4),IF(Games[[#This Row],[Result]]&lt;0.5,1,0),0)</f>
        <v>0</v>
      </c>
    </row>
    <row r="13" spans="1:46" x14ac:dyDescent="0.35">
      <c r="A13" s="10">
        <v>37765</v>
      </c>
      <c r="B13" s="2">
        <v>2003</v>
      </c>
      <c r="C13" s="2">
        <f>COUNTIFS(Games[Team],Games[[#This Row],[Team]],Games[Season],Games[[#This Row],[Season]],Games[Date],"&lt;=" &amp; Games[[#This Row],[Date]])</f>
        <v>2</v>
      </c>
      <c r="D13" s="2" t="s">
        <v>23</v>
      </c>
      <c r="E13" s="2" t="s">
        <v>29</v>
      </c>
      <c r="F13" s="1" t="s">
        <v>44</v>
      </c>
      <c r="G13" s="1" t="s">
        <v>2</v>
      </c>
      <c r="H13" s="1" t="s">
        <v>15</v>
      </c>
      <c r="I13" s="2" cm="1">
        <f t="array" ref="I13">IFERROR(
    Games[[#This Row],[Date]]
    - LOOKUP(
        2,
        1/((Games[Team]=Games[[#This Row],[Team]]) * (Games[Date] &lt; Games[[#This Row],[Date]])),
        Games[Date]
    )
    - 1,
Games[[#This Row],[Date]]-$A$2)</f>
        <v>1</v>
      </c>
      <c r="J13" s="2" cm="1">
        <f t="array" ref="J1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3" s="2">
        <f>Games[[#This Row],[DaysOff]]-Games[[#This Row],[OppDaysOff]]</f>
        <v>0</v>
      </c>
      <c r="L13" s="2">
        <f>Games[[#This Row],[OppDaysOff]]-Games[[#This Row],[DaysOff]]</f>
        <v>0</v>
      </c>
      <c r="M13" s="1">
        <f>MAX(-16, MIN(16, Games[[#This Row],[RestDiff]]*8))</f>
        <v>0</v>
      </c>
      <c r="N13" s="1">
        <f>MAX(-16, MIN(16, Games[[#This Row],[OppRestDiff]]*8))</f>
        <v>0</v>
      </c>
      <c r="O13" s="4" cm="1">
        <f t="array" ref="O1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1418.7735035660382</v>
      </c>
      <c r="P13" s="4" cm="1">
        <f t="array" ref="P1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1576.2350141343711</v>
      </c>
      <c r="Q13" s="4">
        <f>1/(1+10^(((Games[[#This Row],[OppPreGmRate]]+IF(Games[[#This Row],[HomeAway]]="A",HCA,0)+Games[[#This Row],[OppRestAdj]])-(Games[[#This Row],[PreGmRate]]+IF(Games[[#This Row],[HomeAway]]="H",HCA,0)+Games[[#This Row],[RestAdj]]))/400))</f>
        <v>0.3958281684281611</v>
      </c>
      <c r="R13" s="1">
        <v>62</v>
      </c>
      <c r="S13" s="1">
        <v>69</v>
      </c>
      <c r="T13" s="1">
        <v>0</v>
      </c>
      <c r="U13" s="1">
        <f>Games[[#This Row],[PointsFor]]-Games[[#This Row],[PointsAgainst]]</f>
        <v>-7</v>
      </c>
      <c r="V13" s="1">
        <f>IF(Games[[#This Row],[MOV]]&gt;0,1,IF(Games[[#This Row],[MOV]]=0,0.5,0))</f>
        <v>0</v>
      </c>
      <c r="W13" s="4">
        <f>((ABS(Games[[#This Row],[MOV]])+5)^0.6)/(12+0.01*(ABS(Games[[#This Row],[PreGmRate]]-Games[[#This Row],[OppPreGmRate]])))*IF(Games[[#This Row],[OT]]=1,0.9,1)</f>
        <v>0.32717583778757692</v>
      </c>
      <c r="X13" s="7" cm="1">
        <f t="array" ref="X1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" s="9">
        <f>MAX(kmin, kmax - 0.15 * MIN(Games[[#This Row],[GamesPlayed]], 82))</f>
        <v>75.7</v>
      </c>
      <c r="Z13" s="4">
        <f>Games[[#This Row],[K]]*Games[[#This Row],[POMult]]</f>
        <v>75.7</v>
      </c>
      <c r="AA13" s="4">
        <f>(Games[[#This Row],[Keff]]*Games[[#This Row],[MOVMult]])*(Games[[#This Row],[Result]]-Games[[#This Row],[ExpectedWin%]])</f>
        <v>-9.803559735743212</v>
      </c>
      <c r="AB13" s="4">
        <f>Games[[#This Row],[PreGmRate]]+Games[[#This Row],[RatingChange]]</f>
        <v>1408.9699438302951</v>
      </c>
      <c r="AC13" s="2">
        <f>IF(Games[[#This Row],[Type]]="R",IF(Games[[#This Row],[Result]]&gt;0.5,1,0),0)</f>
        <v>0</v>
      </c>
      <c r="AD13" s="2">
        <f>IF(Games[[#This Row],[Type]]="R",IF(Games[[#This Row],[Result]]&lt;0.5,1,0),0)</f>
        <v>1</v>
      </c>
      <c r="AE13" s="2">
        <f>IF(AND(Games[[#This Row],[Type]]="P",Games[[#This Row],[Round]]=1),IF(Games[[#This Row],[Result]]&gt;0.5,1,0),0)</f>
        <v>0</v>
      </c>
      <c r="AF13" s="2">
        <f>IF(AND(Games[[#This Row],[Type]]="P",Games[[#This Row],[Round]]=1),IF(Games[[#This Row],[Result]]&lt;0.5,1,0),0)</f>
        <v>0</v>
      </c>
      <c r="AG13" s="2">
        <f>IF(AND(Games[[#This Row],[Type]]="P",Games[[#This Row],[Round]]=2),IF(Games[[#This Row],[Result]]&gt;0.5,1,0),0)</f>
        <v>0</v>
      </c>
      <c r="AH13" s="2">
        <f>IF(AND(Games[[#This Row],[Type]]="P",Games[[#This Row],[Round]]=2),IF(Games[[#This Row],[Result]]&lt;0.5,1,0),0)</f>
        <v>0</v>
      </c>
      <c r="AI13" s="2">
        <f>IF(AND(Games[[#This Row],[Type]]="P",Games[[#This Row],[Round]]=3),IF(Games[[#This Row],[Result]]&gt;0.5,1,0),0)</f>
        <v>0</v>
      </c>
      <c r="AJ13" s="2">
        <f>IF(AND(Games[[#This Row],[Type]]="P",Games[[#This Row],[Round]]=3),IF(Games[[#This Row],[Result]]&lt;0.5,1,0),0)</f>
        <v>0</v>
      </c>
      <c r="AK13" s="2">
        <f>IF(AND(Games[[#This Row],[Type]]="P",Games[[#This Row],[Round]]=4),IF(Games[[#This Row],[Result]]&gt;0.5,1,0),0)</f>
        <v>0</v>
      </c>
      <c r="AL13" s="2">
        <f>IF(AND(Games[[#This Row],[Type]]="P",Games[[#This Row],[Round]]=4),IF(Games[[#This Row],[Result]]&lt;0.5,1,0),0)</f>
        <v>0</v>
      </c>
    </row>
    <row r="14" spans="1:46" x14ac:dyDescent="0.35">
      <c r="A14" s="10">
        <v>37765</v>
      </c>
      <c r="B14" s="2">
        <v>2003</v>
      </c>
      <c r="C14" s="2">
        <f>COUNTIFS(Games[Team],Games[[#This Row],[Team]],Games[Season],Games[[#This Row],[Season]],Games[Date],"&lt;=" &amp; Games[[#This Row],[Date]])</f>
        <v>2</v>
      </c>
      <c r="D14" s="2" t="s">
        <v>23</v>
      </c>
      <c r="E14" s="2" t="s">
        <v>29</v>
      </c>
      <c r="F14" s="1" t="s">
        <v>82</v>
      </c>
      <c r="G14" s="1" t="s">
        <v>85</v>
      </c>
      <c r="H14" s="1" t="s">
        <v>16</v>
      </c>
      <c r="I14" s="2" cm="1">
        <f t="array" ref="I14">IFERROR(
    Games[[#This Row],[Date]]
    - LOOKUP(
        2,
        1/((Games[Team]=Games[[#This Row],[Team]]) * (Games[Date] &lt; Games[[#This Row],[Date]])),
        Games[Date]
    )
    - 1,
Games[[#This Row],[Date]]-$A$2)</f>
        <v>1</v>
      </c>
      <c r="J14" s="2" cm="1">
        <f t="array" ref="J1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4" s="2">
        <f>Games[[#This Row],[DaysOff]]-Games[[#This Row],[OppDaysOff]]</f>
        <v>-1</v>
      </c>
      <c r="L14" s="2">
        <f>Games[[#This Row],[OppDaysOff]]-Games[[#This Row],[DaysOff]]</f>
        <v>1</v>
      </c>
      <c r="M14" s="1">
        <f>MAX(-16, MIN(16, Games[[#This Row],[RestDiff]]*8))</f>
        <v>-8</v>
      </c>
      <c r="N14" s="1">
        <f>MAX(-16, MIN(16, Games[[#This Row],[OppRestDiff]]*8))</f>
        <v>8</v>
      </c>
      <c r="O14" s="4" cm="1">
        <f t="array" ref="O1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1496.9590921641795</v>
      </c>
      <c r="P14" s="4" cm="1">
        <f t="array" ref="P1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1533.4255975538313</v>
      </c>
      <c r="Q14" s="4">
        <f>1/(1+10^(((Games[[#This Row],[OppPreGmRate]]+IF(Games[[#This Row],[HomeAway]]="A",HCA,0)+Games[[#This Row],[OppRestAdj]])-(Games[[#This Row],[PreGmRate]]+IF(Games[[#This Row],[HomeAway]]="H",HCA,0)+Games[[#This Row],[RestAdj]]))/400))</f>
        <v>0.31312188155567483</v>
      </c>
      <c r="R14" s="1">
        <v>56</v>
      </c>
      <c r="S14" s="1">
        <v>65</v>
      </c>
      <c r="T14" s="1">
        <v>0</v>
      </c>
      <c r="U14" s="1">
        <f>Games[[#This Row],[PointsFor]]-Games[[#This Row],[PointsAgainst]]</f>
        <v>-9</v>
      </c>
      <c r="V14" s="1">
        <f>IF(Games[[#This Row],[MOV]]&gt;0,1,IF(Games[[#This Row],[MOV]]=0,0.5,0))</f>
        <v>0</v>
      </c>
      <c r="W14" s="4">
        <f>((ABS(Games[[#This Row],[MOV]])+5)^0.6)/(12+0.01*(ABS(Games[[#This Row],[PreGmRate]]-Games[[#This Row],[OppPreGmRate]])))*IF(Games[[#This Row],[OT]]=1,0.9,1)</f>
        <v>0.39399840630795674</v>
      </c>
      <c r="X14" s="7" cm="1">
        <f t="array" ref="X1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" s="9">
        <f>MAX(kmin, kmax - 0.15 * MIN(Games[[#This Row],[GamesPlayed]], 82))</f>
        <v>75.7</v>
      </c>
      <c r="Z14" s="4">
        <f>Games[[#This Row],[K]]*Games[[#This Row],[POMult]]</f>
        <v>75.7</v>
      </c>
      <c r="AA14" s="4">
        <f>(Games[[#This Row],[Keff]]*Games[[#This Row],[MOVMult]])*(Games[[#This Row],[Result]]-Games[[#This Row],[ExpectedWin%]])</f>
        <v>-9.3390728391005098</v>
      </c>
      <c r="AB14" s="4">
        <f>Games[[#This Row],[PreGmRate]]+Games[[#This Row],[RatingChange]]</f>
        <v>1487.6200193250791</v>
      </c>
      <c r="AC14" s="2">
        <f>IF(Games[[#This Row],[Type]]="R",IF(Games[[#This Row],[Result]]&gt;0.5,1,0),0)</f>
        <v>0</v>
      </c>
      <c r="AD14" s="2">
        <f>IF(Games[[#This Row],[Type]]="R",IF(Games[[#This Row],[Result]]&lt;0.5,1,0),0)</f>
        <v>1</v>
      </c>
      <c r="AE14" s="2">
        <f>IF(AND(Games[[#This Row],[Type]]="P",Games[[#This Row],[Round]]=1),IF(Games[[#This Row],[Result]]&gt;0.5,1,0),0)</f>
        <v>0</v>
      </c>
      <c r="AF14" s="2">
        <f>IF(AND(Games[[#This Row],[Type]]="P",Games[[#This Row],[Round]]=1),IF(Games[[#This Row],[Result]]&lt;0.5,1,0),0)</f>
        <v>0</v>
      </c>
      <c r="AG14" s="2">
        <f>IF(AND(Games[[#This Row],[Type]]="P",Games[[#This Row],[Round]]=2),IF(Games[[#This Row],[Result]]&gt;0.5,1,0),0)</f>
        <v>0</v>
      </c>
      <c r="AH14" s="2">
        <f>IF(AND(Games[[#This Row],[Type]]="P",Games[[#This Row],[Round]]=2),IF(Games[[#This Row],[Result]]&lt;0.5,1,0),0)</f>
        <v>0</v>
      </c>
      <c r="AI14" s="2">
        <f>IF(AND(Games[[#This Row],[Type]]="P",Games[[#This Row],[Round]]=3),IF(Games[[#This Row],[Result]]&gt;0.5,1,0),0)</f>
        <v>0</v>
      </c>
      <c r="AJ14" s="2">
        <f>IF(AND(Games[[#This Row],[Type]]="P",Games[[#This Row],[Round]]=3),IF(Games[[#This Row],[Result]]&lt;0.5,1,0),0)</f>
        <v>0</v>
      </c>
      <c r="AK14" s="2">
        <f>IF(AND(Games[[#This Row],[Type]]="P",Games[[#This Row],[Round]]=4),IF(Games[[#This Row],[Result]]&gt;0.5,1,0),0)</f>
        <v>0</v>
      </c>
      <c r="AL14" s="2">
        <f>IF(AND(Games[[#This Row],[Type]]="P",Games[[#This Row],[Round]]=4),IF(Games[[#This Row],[Result]]&lt;0.5,1,0),0)</f>
        <v>0</v>
      </c>
    </row>
    <row r="15" spans="1:46" x14ac:dyDescent="0.35">
      <c r="A15" s="10">
        <v>37765</v>
      </c>
      <c r="B15" s="2">
        <v>2003</v>
      </c>
      <c r="C15" s="2">
        <f>COUNTIFS(Games[Team],Games[[#This Row],[Team]],Games[Season],Games[[#This Row],[Season]],Games[Date],"&lt;=" &amp; Games[[#This Row],[Date]])</f>
        <v>1</v>
      </c>
      <c r="D15" s="2" t="s">
        <v>23</v>
      </c>
      <c r="E15" s="2" t="s">
        <v>29</v>
      </c>
      <c r="F15" s="1" t="s">
        <v>85</v>
      </c>
      <c r="G15" s="1" t="s">
        <v>82</v>
      </c>
      <c r="H15" s="1" t="s">
        <v>15</v>
      </c>
      <c r="I15" s="2" cm="1">
        <f t="array" ref="I15">IFERROR(
    Games[[#This Row],[Date]]
    - LOOKUP(
        2,
        1/((Games[Team]=Games[[#This Row],[Team]]) * (Games[Date] &lt; Games[[#This Row],[Date]])),
        Games[Date]
    )
    - 1,
Games[[#This Row],[Date]]-$A$2)</f>
        <v>2</v>
      </c>
      <c r="J15" s="2" cm="1">
        <f t="array" ref="J1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5" s="2">
        <f>Games[[#This Row],[DaysOff]]-Games[[#This Row],[OppDaysOff]]</f>
        <v>1</v>
      </c>
      <c r="L15" s="2">
        <f>Games[[#This Row],[OppDaysOff]]-Games[[#This Row],[DaysOff]]</f>
        <v>-1</v>
      </c>
      <c r="M15" s="1">
        <f>MAX(-16, MIN(16, Games[[#This Row],[RestDiff]]*8))</f>
        <v>8</v>
      </c>
      <c r="N15" s="1">
        <f>MAX(-16, MIN(16, Games[[#This Row],[OppRestDiff]]*8))</f>
        <v>-8</v>
      </c>
      <c r="O15" s="4" cm="1">
        <f t="array" ref="O1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1533.4255975538313</v>
      </c>
      <c r="P15" s="4" cm="1">
        <f t="array" ref="P1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1496.9590921641795</v>
      </c>
      <c r="Q15" s="4">
        <f>1/(1+10^(((Games[[#This Row],[OppPreGmRate]]+IF(Games[[#This Row],[HomeAway]]="A",HCA,0)+Games[[#This Row],[OppRestAdj]])-(Games[[#This Row],[PreGmRate]]+IF(Games[[#This Row],[HomeAway]]="H",HCA,0)+Games[[#This Row],[RestAdj]]))/400))</f>
        <v>0.68687811844432523</v>
      </c>
      <c r="R15" s="1">
        <v>65</v>
      </c>
      <c r="S15" s="1">
        <v>56</v>
      </c>
      <c r="T15" s="1">
        <v>0</v>
      </c>
      <c r="U15" s="1">
        <f>Games[[#This Row],[PointsFor]]-Games[[#This Row],[PointsAgainst]]</f>
        <v>9</v>
      </c>
      <c r="V15" s="1">
        <f>IF(Games[[#This Row],[MOV]]&gt;0,1,IF(Games[[#This Row],[MOV]]=0,0.5,0))</f>
        <v>1</v>
      </c>
      <c r="W15" s="4">
        <f>((ABS(Games[[#This Row],[MOV]])+5)^0.6)/(12+0.01*(ABS(Games[[#This Row],[PreGmRate]]-Games[[#This Row],[OppPreGmRate]])))*IF(Games[[#This Row],[OT]]=1,0.9,1)</f>
        <v>0.39399840630795674</v>
      </c>
      <c r="X15" s="7" cm="1">
        <f t="array" ref="X1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" s="9">
        <f>MAX(kmin, kmax - 0.15 * MIN(Games[[#This Row],[GamesPlayed]], 82))</f>
        <v>75.849999999999994</v>
      </c>
      <c r="Z15" s="4">
        <f>Games[[#This Row],[K]]*Games[[#This Row],[POMult]]</f>
        <v>75.849999999999994</v>
      </c>
      <c r="AA15" s="4">
        <f>(Games[[#This Row],[Keff]]*Games[[#This Row],[MOVMult]])*(Games[[#This Row],[Result]]-Games[[#This Row],[ExpectedWin%]])</f>
        <v>9.3575782674474706</v>
      </c>
      <c r="AB15" s="4">
        <f>Games[[#This Row],[PreGmRate]]+Games[[#This Row],[RatingChange]]</f>
        <v>1542.7831758212787</v>
      </c>
      <c r="AC15" s="2">
        <f>IF(Games[[#This Row],[Type]]="R",IF(Games[[#This Row],[Result]]&gt;0.5,1,0),0)</f>
        <v>1</v>
      </c>
      <c r="AD15" s="2">
        <f>IF(Games[[#This Row],[Type]]="R",IF(Games[[#This Row],[Result]]&lt;0.5,1,0),0)</f>
        <v>0</v>
      </c>
      <c r="AE15" s="2">
        <f>IF(AND(Games[[#This Row],[Type]]="P",Games[[#This Row],[Round]]=1),IF(Games[[#This Row],[Result]]&gt;0.5,1,0),0)</f>
        <v>0</v>
      </c>
      <c r="AF15" s="2">
        <f>IF(AND(Games[[#This Row],[Type]]="P",Games[[#This Row],[Round]]=1),IF(Games[[#This Row],[Result]]&lt;0.5,1,0),0)</f>
        <v>0</v>
      </c>
      <c r="AG15" s="2">
        <f>IF(AND(Games[[#This Row],[Type]]="P",Games[[#This Row],[Round]]=2),IF(Games[[#This Row],[Result]]&gt;0.5,1,0),0)</f>
        <v>0</v>
      </c>
      <c r="AH15" s="2">
        <f>IF(AND(Games[[#This Row],[Type]]="P",Games[[#This Row],[Round]]=2),IF(Games[[#This Row],[Result]]&lt;0.5,1,0),0)</f>
        <v>0</v>
      </c>
      <c r="AI15" s="2">
        <f>IF(AND(Games[[#This Row],[Type]]="P",Games[[#This Row],[Round]]=3),IF(Games[[#This Row],[Result]]&gt;0.5,1,0),0)</f>
        <v>0</v>
      </c>
      <c r="AJ15" s="2">
        <f>IF(AND(Games[[#This Row],[Type]]="P",Games[[#This Row],[Round]]=3),IF(Games[[#This Row],[Result]]&lt;0.5,1,0),0)</f>
        <v>0</v>
      </c>
      <c r="AK15" s="2">
        <f>IF(AND(Games[[#This Row],[Type]]="P",Games[[#This Row],[Round]]=4),IF(Games[[#This Row],[Result]]&gt;0.5,1,0),0)</f>
        <v>0</v>
      </c>
      <c r="AL15" s="2">
        <f>IF(AND(Games[[#This Row],[Type]]="P",Games[[#This Row],[Round]]=4),IF(Games[[#This Row],[Result]]&lt;0.5,1,0),0)</f>
        <v>0</v>
      </c>
    </row>
    <row r="16" spans="1:46" x14ac:dyDescent="0.35">
      <c r="A16" s="10">
        <v>37768</v>
      </c>
      <c r="B16" s="2">
        <v>2003</v>
      </c>
      <c r="C16" s="2">
        <f>COUNTIFS(Games[Team],Games[[#This Row],[Team]],Games[Season],Games[[#This Row],[Season]],Games[Date],"&lt;=" &amp; Games[[#This Row],[Date]])</f>
        <v>2</v>
      </c>
      <c r="D16" s="2" t="s">
        <v>23</v>
      </c>
      <c r="E16" s="2" t="s">
        <v>29</v>
      </c>
      <c r="F16" s="1" t="s">
        <v>71</v>
      </c>
      <c r="G16" s="1" t="s">
        <v>1</v>
      </c>
      <c r="H16" s="1" t="s">
        <v>16</v>
      </c>
      <c r="I16" s="2" cm="1">
        <f t="array" ref="I16">IFERROR(
    Games[[#This Row],[Date]]
    - LOOKUP(
        2,
        1/((Games[Team]=Games[[#This Row],[Team]]) * (Games[Date] &lt; Games[[#This Row],[Date]])),
        Games[Date]
    )
    - 1,
Games[[#This Row],[Date]]-$A$2)</f>
        <v>2</v>
      </c>
      <c r="J16" s="2" cm="1">
        <f t="array" ref="J16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16" s="2">
        <f>Games[[#This Row],[DaysOff]]-Games[[#This Row],[OppDaysOff]]</f>
        <v>-3</v>
      </c>
      <c r="L16" s="2">
        <f>Games[[#This Row],[OppDaysOff]]-Games[[#This Row],[DaysOff]]</f>
        <v>3</v>
      </c>
      <c r="M16" s="1">
        <f>MAX(-16, MIN(16, Games[[#This Row],[RestDiff]]*8))</f>
        <v>-16</v>
      </c>
      <c r="N16" s="1">
        <f>MAX(-16, MIN(16, Games[[#This Row],[OppRestDiff]]*8))</f>
        <v>16</v>
      </c>
      <c r="O16" s="4" cm="1">
        <f t="array" ref="O1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1636.0512572482417</v>
      </c>
      <c r="P16" s="4" cm="1">
        <f t="array" ref="P1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1451.4260835953714</v>
      </c>
      <c r="Q16" s="4">
        <f>1/(1+10^(((Games[[#This Row],[OppPreGmRate]]+IF(Games[[#This Row],[HomeAway]]="A",HCA,0)+Games[[#This Row],[OppRestAdj]])-(Games[[#This Row],[PreGmRate]]+IF(Games[[#This Row],[HomeAway]]="H",HCA,0)+Games[[#This Row],[RestAdj]]))/400))</f>
        <v>0.59749496590144557</v>
      </c>
      <c r="R16" s="1">
        <v>79</v>
      </c>
      <c r="S16" s="1">
        <v>71</v>
      </c>
      <c r="T16" s="1">
        <v>0</v>
      </c>
      <c r="U16" s="1">
        <f>Games[[#This Row],[PointsFor]]-Games[[#This Row],[PointsAgainst]]</f>
        <v>8</v>
      </c>
      <c r="V16" s="1">
        <f>IF(Games[[#This Row],[MOV]]&gt;0,1,IF(Games[[#This Row],[MOV]]=0,0.5,0))</f>
        <v>1</v>
      </c>
      <c r="W16" s="4">
        <f>((ABS(Games[[#This Row],[MOV]])+5)^0.6)/(12+0.01*(ABS(Games[[#This Row],[PreGmRate]]-Games[[#This Row],[OppPreGmRate]])))*IF(Games[[#This Row],[OT]]=1,0.9,1)</f>
        <v>0.33653775106101669</v>
      </c>
      <c r="X16" s="7" cm="1">
        <f t="array" ref="X1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" s="9">
        <f>MAX(kmin, kmax - 0.15 * MIN(Games[[#This Row],[GamesPlayed]], 82))</f>
        <v>75.7</v>
      </c>
      <c r="Z16" s="4">
        <f>Games[[#This Row],[K]]*Games[[#This Row],[POMult]]</f>
        <v>75.7</v>
      </c>
      <c r="AA16" s="4">
        <f>(Games[[#This Row],[Keff]]*Games[[#This Row],[MOVMult]])*(Games[[#This Row],[Result]]-Games[[#This Row],[ExpectedWin%]])</f>
        <v>10.254181119746287</v>
      </c>
      <c r="AB16" s="4">
        <f>Games[[#This Row],[PreGmRate]]+Games[[#This Row],[RatingChange]]</f>
        <v>1646.305438367988</v>
      </c>
      <c r="AC16" s="2">
        <f>IF(Games[[#This Row],[Type]]="R",IF(Games[[#This Row],[Result]]&gt;0.5,1,0),0)</f>
        <v>1</v>
      </c>
      <c r="AD16" s="2">
        <f>IF(Games[[#This Row],[Type]]="R",IF(Games[[#This Row],[Result]]&lt;0.5,1,0),0)</f>
        <v>0</v>
      </c>
      <c r="AE16" s="2">
        <f>IF(AND(Games[[#This Row],[Type]]="P",Games[[#This Row],[Round]]=1),IF(Games[[#This Row],[Result]]&gt;0.5,1,0),0)</f>
        <v>0</v>
      </c>
      <c r="AF16" s="2">
        <f>IF(AND(Games[[#This Row],[Type]]="P",Games[[#This Row],[Round]]=1),IF(Games[[#This Row],[Result]]&lt;0.5,1,0),0)</f>
        <v>0</v>
      </c>
      <c r="AG16" s="2">
        <f>IF(AND(Games[[#This Row],[Type]]="P",Games[[#This Row],[Round]]=2),IF(Games[[#This Row],[Result]]&gt;0.5,1,0),0)</f>
        <v>0</v>
      </c>
      <c r="AH16" s="2">
        <f>IF(AND(Games[[#This Row],[Type]]="P",Games[[#This Row],[Round]]=2),IF(Games[[#This Row],[Result]]&lt;0.5,1,0),0)</f>
        <v>0</v>
      </c>
      <c r="AI16" s="2">
        <f>IF(AND(Games[[#This Row],[Type]]="P",Games[[#This Row],[Round]]=3),IF(Games[[#This Row],[Result]]&gt;0.5,1,0),0)</f>
        <v>0</v>
      </c>
      <c r="AJ16" s="2">
        <f>IF(AND(Games[[#This Row],[Type]]="P",Games[[#This Row],[Round]]=3),IF(Games[[#This Row],[Result]]&lt;0.5,1,0),0)</f>
        <v>0</v>
      </c>
      <c r="AK16" s="2">
        <f>IF(AND(Games[[#This Row],[Type]]="P",Games[[#This Row],[Round]]=4),IF(Games[[#This Row],[Result]]&gt;0.5,1,0),0)</f>
        <v>0</v>
      </c>
      <c r="AL16" s="2">
        <f>IF(AND(Games[[#This Row],[Type]]="P",Games[[#This Row],[Round]]=4),IF(Games[[#This Row],[Result]]&lt;0.5,1,0),0)</f>
        <v>0</v>
      </c>
    </row>
    <row r="17" spans="1:38" x14ac:dyDescent="0.35">
      <c r="A17" s="10">
        <v>37768</v>
      </c>
      <c r="B17" s="2">
        <v>2003</v>
      </c>
      <c r="C17" s="2">
        <f>COUNTIFS(Games[Team],Games[[#This Row],[Team]],Games[Season],Games[[#This Row],[Season]],Games[Date],"&lt;=" &amp; Games[[#This Row],[Date]])</f>
        <v>1</v>
      </c>
      <c r="D17" s="2" t="s">
        <v>23</v>
      </c>
      <c r="E17" s="2" t="s">
        <v>29</v>
      </c>
      <c r="F17" s="1" t="s">
        <v>1</v>
      </c>
      <c r="G17" s="1" t="s">
        <v>71</v>
      </c>
      <c r="H17" s="1" t="s">
        <v>15</v>
      </c>
      <c r="I17" s="2" cm="1">
        <f t="array" ref="I17">IFERROR(
    Games[[#This Row],[Date]]
    - LOOKUP(
        2,
        1/((Games[Team]=Games[[#This Row],[Team]]) * (Games[Date] &lt; Games[[#This Row],[Date]])),
        Games[Date]
    )
    - 1,
Games[[#This Row],[Date]]-$A$2)</f>
        <v>5</v>
      </c>
      <c r="J17" s="2" cm="1">
        <f t="array" ref="J1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7" s="2">
        <f>Games[[#This Row],[DaysOff]]-Games[[#This Row],[OppDaysOff]]</f>
        <v>3</v>
      </c>
      <c r="L17" s="2">
        <f>Games[[#This Row],[OppDaysOff]]-Games[[#This Row],[DaysOff]]</f>
        <v>-3</v>
      </c>
      <c r="M17" s="1">
        <f>MAX(-16, MIN(16, Games[[#This Row],[RestDiff]]*8))</f>
        <v>16</v>
      </c>
      <c r="N17" s="1">
        <f>MAX(-16, MIN(16, Games[[#This Row],[OppRestDiff]]*8))</f>
        <v>-16</v>
      </c>
      <c r="O17" s="4" cm="1">
        <f t="array" ref="O1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1451.4260835953714</v>
      </c>
      <c r="P17" s="4" cm="1">
        <f t="array" ref="P1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1636.0512572482417</v>
      </c>
      <c r="Q17" s="4">
        <f>1/(1+10^(((Games[[#This Row],[OppPreGmRate]]+IF(Games[[#This Row],[HomeAway]]="A",HCA,0)+Games[[#This Row],[OppRestAdj]])-(Games[[#This Row],[PreGmRate]]+IF(Games[[#This Row],[HomeAway]]="H",HCA,0)+Games[[#This Row],[RestAdj]]))/400))</f>
        <v>0.40250503409855443</v>
      </c>
      <c r="R17" s="1">
        <v>71</v>
      </c>
      <c r="S17" s="1">
        <v>79</v>
      </c>
      <c r="T17" s="1">
        <v>0</v>
      </c>
      <c r="U17" s="1">
        <f>Games[[#This Row],[PointsFor]]-Games[[#This Row],[PointsAgainst]]</f>
        <v>-8</v>
      </c>
      <c r="V17" s="1">
        <f>IF(Games[[#This Row],[MOV]]&gt;0,1,IF(Games[[#This Row],[MOV]]=0,0.5,0))</f>
        <v>0</v>
      </c>
      <c r="W17" s="4">
        <f>((ABS(Games[[#This Row],[MOV]])+5)^0.6)/(12+0.01*(ABS(Games[[#This Row],[PreGmRate]]-Games[[#This Row],[OppPreGmRate]])))*IF(Games[[#This Row],[OT]]=1,0.9,1)</f>
        <v>0.33653775106101669</v>
      </c>
      <c r="X17" s="7" cm="1">
        <f t="array" ref="X1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" s="9">
        <f>MAX(kmin, kmax - 0.15 * MIN(Games[[#This Row],[GamesPlayed]], 82))</f>
        <v>75.849999999999994</v>
      </c>
      <c r="Z17" s="4">
        <f>Games[[#This Row],[K]]*Games[[#This Row],[POMult]]</f>
        <v>75.849999999999994</v>
      </c>
      <c r="AA17" s="4">
        <f>(Games[[#This Row],[Keff]]*Games[[#This Row],[MOVMult]])*(Games[[#This Row],[Result]]-Games[[#This Row],[ExpectedWin%]])</f>
        <v>-10.274499840591226</v>
      </c>
      <c r="AB17" s="4">
        <f>Games[[#This Row],[PreGmRate]]+Games[[#This Row],[RatingChange]]</f>
        <v>1441.1515837547802</v>
      </c>
      <c r="AC17" s="2">
        <f>IF(Games[[#This Row],[Type]]="R",IF(Games[[#This Row],[Result]]&gt;0.5,1,0),0)</f>
        <v>0</v>
      </c>
      <c r="AD17" s="2">
        <f>IF(Games[[#This Row],[Type]]="R",IF(Games[[#This Row],[Result]]&lt;0.5,1,0),0)</f>
        <v>1</v>
      </c>
      <c r="AE17" s="2">
        <f>IF(AND(Games[[#This Row],[Type]]="P",Games[[#This Row],[Round]]=1),IF(Games[[#This Row],[Result]]&gt;0.5,1,0),0)</f>
        <v>0</v>
      </c>
      <c r="AF17" s="2">
        <f>IF(AND(Games[[#This Row],[Type]]="P",Games[[#This Row],[Round]]=1),IF(Games[[#This Row],[Result]]&lt;0.5,1,0),0)</f>
        <v>0</v>
      </c>
      <c r="AG17" s="2">
        <f>IF(AND(Games[[#This Row],[Type]]="P",Games[[#This Row],[Round]]=2),IF(Games[[#This Row],[Result]]&gt;0.5,1,0),0)</f>
        <v>0</v>
      </c>
      <c r="AH17" s="2">
        <f>IF(AND(Games[[#This Row],[Type]]="P",Games[[#This Row],[Round]]=2),IF(Games[[#This Row],[Result]]&lt;0.5,1,0),0)</f>
        <v>0</v>
      </c>
      <c r="AI17" s="2">
        <f>IF(AND(Games[[#This Row],[Type]]="P",Games[[#This Row],[Round]]=3),IF(Games[[#This Row],[Result]]&gt;0.5,1,0),0)</f>
        <v>0</v>
      </c>
      <c r="AJ17" s="2">
        <f>IF(AND(Games[[#This Row],[Type]]="P",Games[[#This Row],[Round]]=3),IF(Games[[#This Row],[Result]]&lt;0.5,1,0),0)</f>
        <v>0</v>
      </c>
      <c r="AK17" s="2">
        <f>IF(AND(Games[[#This Row],[Type]]="P",Games[[#This Row],[Round]]=4),IF(Games[[#This Row],[Result]]&gt;0.5,1,0),0)</f>
        <v>0</v>
      </c>
      <c r="AL17" s="2">
        <f>IF(AND(Games[[#This Row],[Type]]="P",Games[[#This Row],[Round]]=4),IF(Games[[#This Row],[Result]]&lt;0.5,1,0),0)</f>
        <v>0</v>
      </c>
    </row>
    <row r="18" spans="1:38" x14ac:dyDescent="0.35">
      <c r="A18" s="10">
        <v>37769</v>
      </c>
      <c r="B18" s="2">
        <v>2003</v>
      </c>
      <c r="C18" s="2">
        <f>COUNTIFS(Games[Team],Games[[#This Row],[Team]],Games[Season],Games[[#This Row],[Season]],Games[Date],"&lt;=" &amp; Games[[#This Row],[Date]])</f>
        <v>3</v>
      </c>
      <c r="D18" s="2" t="s">
        <v>23</v>
      </c>
      <c r="E18" s="2" t="s">
        <v>29</v>
      </c>
      <c r="F18" s="1" t="s">
        <v>71</v>
      </c>
      <c r="G18" s="1" t="s">
        <v>78</v>
      </c>
      <c r="H18" s="1" t="s">
        <v>16</v>
      </c>
      <c r="I18" s="2" cm="1">
        <f t="array" ref="I18">IFERROR(
    Games[[#This Row],[Date]]
    - LOOKUP(
        2,
        1/((Games[Team]=Games[[#This Row],[Team]]) * (Games[Date] &lt; Games[[#This Row],[Date]])),
        Games[Date]
    )
    - 1,
Games[[#This Row],[Date]]-$A$2)</f>
        <v>0</v>
      </c>
      <c r="J18" s="2" cm="1">
        <f t="array" ref="J18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8" s="2">
        <f>Games[[#This Row],[DaysOff]]-Games[[#This Row],[OppDaysOff]]</f>
        <v>-3</v>
      </c>
      <c r="L18" s="2">
        <f>Games[[#This Row],[OppDaysOff]]-Games[[#This Row],[DaysOff]]</f>
        <v>3</v>
      </c>
      <c r="M18" s="1">
        <f>MAX(-16, MIN(16, Games[[#This Row],[RestDiff]]*8))</f>
        <v>-16</v>
      </c>
      <c r="N18" s="1">
        <f>MAX(-16, MIN(16, Games[[#This Row],[OppRestDiff]]*8))</f>
        <v>16</v>
      </c>
      <c r="O18" s="4" cm="1">
        <f t="array" ref="O1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1646.305438367988</v>
      </c>
      <c r="P18" s="4" cm="1">
        <f t="array" ref="P1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1457.4088993126265</v>
      </c>
      <c r="Q18" s="4">
        <f>1/(1+10^(((Games[[#This Row],[OppPreGmRate]]+IF(Games[[#This Row],[HomeAway]]="A",HCA,0)+Games[[#This Row],[OppRestAdj]])-(Games[[#This Row],[PreGmRate]]+IF(Games[[#This Row],[HomeAway]]="H",HCA,0)+Games[[#This Row],[RestAdj]]))/400))</f>
        <v>0.60339380183738767</v>
      </c>
      <c r="R18" s="1">
        <v>83</v>
      </c>
      <c r="S18" s="1">
        <v>80</v>
      </c>
      <c r="T18" s="1">
        <v>0</v>
      </c>
      <c r="U18" s="1">
        <f>Games[[#This Row],[PointsFor]]-Games[[#This Row],[PointsAgainst]]</f>
        <v>3</v>
      </c>
      <c r="V18" s="1">
        <f>IF(Games[[#This Row],[MOV]]&gt;0,1,IF(Games[[#This Row],[MOV]]=0,0.5,0))</f>
        <v>1</v>
      </c>
      <c r="W18" s="4">
        <f>((ABS(Games[[#This Row],[MOV]])+5)^0.6)/(12+0.01*(ABS(Games[[#This Row],[PreGmRate]]-Games[[#This Row],[OppPreGmRate]])))*IF(Games[[#This Row],[OT]]=1,0.9,1)</f>
        <v>0.25071718124899839</v>
      </c>
      <c r="X18" s="7" cm="1">
        <f t="array" ref="X1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" s="9">
        <f>MAX(kmin, kmax - 0.15 * MIN(Games[[#This Row],[GamesPlayed]], 82))</f>
        <v>75.55</v>
      </c>
      <c r="Z18" s="4">
        <f>Games[[#This Row],[K]]*Games[[#This Row],[POMult]]</f>
        <v>75.55</v>
      </c>
      <c r="AA18" s="4">
        <f>(Games[[#This Row],[Keff]]*Games[[#This Row],[MOVMult]])*(Games[[#This Row],[Result]]-Games[[#This Row],[ExpectedWin%]])</f>
        <v>7.5123888986289549</v>
      </c>
      <c r="AB18" s="4">
        <f>Games[[#This Row],[PreGmRate]]+Games[[#This Row],[RatingChange]]</f>
        <v>1653.8178272666169</v>
      </c>
      <c r="AC18" s="2">
        <f>IF(Games[[#This Row],[Type]]="R",IF(Games[[#This Row],[Result]]&gt;0.5,1,0),0)</f>
        <v>1</v>
      </c>
      <c r="AD18" s="2">
        <f>IF(Games[[#This Row],[Type]]="R",IF(Games[[#This Row],[Result]]&lt;0.5,1,0),0)</f>
        <v>0</v>
      </c>
      <c r="AE18" s="2">
        <f>IF(AND(Games[[#This Row],[Type]]="P",Games[[#This Row],[Round]]=1),IF(Games[[#This Row],[Result]]&gt;0.5,1,0),0)</f>
        <v>0</v>
      </c>
      <c r="AF18" s="2">
        <f>IF(AND(Games[[#This Row],[Type]]="P",Games[[#This Row],[Round]]=1),IF(Games[[#This Row],[Result]]&lt;0.5,1,0),0)</f>
        <v>0</v>
      </c>
      <c r="AG18" s="2">
        <f>IF(AND(Games[[#This Row],[Type]]="P",Games[[#This Row],[Round]]=2),IF(Games[[#This Row],[Result]]&gt;0.5,1,0),0)</f>
        <v>0</v>
      </c>
      <c r="AH18" s="2">
        <f>IF(AND(Games[[#This Row],[Type]]="P",Games[[#This Row],[Round]]=2),IF(Games[[#This Row],[Result]]&lt;0.5,1,0),0)</f>
        <v>0</v>
      </c>
      <c r="AI18" s="2">
        <f>IF(AND(Games[[#This Row],[Type]]="P",Games[[#This Row],[Round]]=3),IF(Games[[#This Row],[Result]]&gt;0.5,1,0),0)</f>
        <v>0</v>
      </c>
      <c r="AJ18" s="2">
        <f>IF(AND(Games[[#This Row],[Type]]="P",Games[[#This Row],[Round]]=3),IF(Games[[#This Row],[Result]]&lt;0.5,1,0),0)</f>
        <v>0</v>
      </c>
      <c r="AK18" s="2">
        <f>IF(AND(Games[[#This Row],[Type]]="P",Games[[#This Row],[Round]]=4),IF(Games[[#This Row],[Result]]&gt;0.5,1,0),0)</f>
        <v>0</v>
      </c>
      <c r="AL18" s="2">
        <f>IF(AND(Games[[#This Row],[Type]]="P",Games[[#This Row],[Round]]=4),IF(Games[[#This Row],[Result]]&lt;0.5,1,0),0)</f>
        <v>0</v>
      </c>
    </row>
    <row r="19" spans="1:38" x14ac:dyDescent="0.35">
      <c r="A19" s="10">
        <v>37769</v>
      </c>
      <c r="B19" s="2">
        <v>2003</v>
      </c>
      <c r="C19" s="2">
        <f>COUNTIFS(Games[Team],Games[[#This Row],[Team]],Games[Season],Games[[#This Row],[Season]],Games[Date],"&lt;=" &amp; Games[[#This Row],[Date]])</f>
        <v>2</v>
      </c>
      <c r="D19" s="2" t="s">
        <v>23</v>
      </c>
      <c r="E19" s="2" t="s">
        <v>29</v>
      </c>
      <c r="F19" s="1" t="s">
        <v>78</v>
      </c>
      <c r="G19" s="1" t="s">
        <v>71</v>
      </c>
      <c r="H19" s="1" t="s">
        <v>15</v>
      </c>
      <c r="I19" s="2" cm="1">
        <f t="array" ref="I19">IFERROR(
    Games[[#This Row],[Date]]
    - LOOKUP(
        2,
        1/((Games[Team]=Games[[#This Row],[Team]]) * (Games[Date] &lt; Games[[#This Row],[Date]])),
        Games[Date]
    )
    - 1,
Games[[#This Row],[Date]]-$A$2)</f>
        <v>3</v>
      </c>
      <c r="J19" s="2" cm="1">
        <f t="array" ref="J19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9" s="2">
        <f>Games[[#This Row],[DaysOff]]-Games[[#This Row],[OppDaysOff]]</f>
        <v>3</v>
      </c>
      <c r="L19" s="2">
        <f>Games[[#This Row],[OppDaysOff]]-Games[[#This Row],[DaysOff]]</f>
        <v>-3</v>
      </c>
      <c r="M19" s="1">
        <f>MAX(-16, MIN(16, Games[[#This Row],[RestDiff]]*8))</f>
        <v>16</v>
      </c>
      <c r="N19" s="1">
        <f>MAX(-16, MIN(16, Games[[#This Row],[OppRestDiff]]*8))</f>
        <v>-16</v>
      </c>
      <c r="O19" s="4" cm="1">
        <f t="array" ref="O1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1457.4088993126265</v>
      </c>
      <c r="P19" s="4" cm="1">
        <f t="array" ref="P1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1646.305438367988</v>
      </c>
      <c r="Q19" s="4">
        <f>1/(1+10^(((Games[[#This Row],[OppPreGmRate]]+IF(Games[[#This Row],[HomeAway]]="A",HCA,0)+Games[[#This Row],[OppRestAdj]])-(Games[[#This Row],[PreGmRate]]+IF(Games[[#This Row],[HomeAway]]="H",HCA,0)+Games[[#This Row],[RestAdj]]))/400))</f>
        <v>0.39660619816261244</v>
      </c>
      <c r="R19" s="1">
        <v>80</v>
      </c>
      <c r="S19" s="1">
        <v>83</v>
      </c>
      <c r="T19" s="1">
        <v>0</v>
      </c>
      <c r="U19" s="1">
        <f>Games[[#This Row],[PointsFor]]-Games[[#This Row],[PointsAgainst]]</f>
        <v>-3</v>
      </c>
      <c r="V19" s="1">
        <f>IF(Games[[#This Row],[MOV]]&gt;0,1,IF(Games[[#This Row],[MOV]]=0,0.5,0))</f>
        <v>0</v>
      </c>
      <c r="W19" s="4">
        <f>((ABS(Games[[#This Row],[MOV]])+5)^0.6)/(12+0.01*(ABS(Games[[#This Row],[PreGmRate]]-Games[[#This Row],[OppPreGmRate]])))*IF(Games[[#This Row],[OT]]=1,0.9,1)</f>
        <v>0.25071718124899839</v>
      </c>
      <c r="X19" s="7" cm="1">
        <f t="array" ref="X1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" s="9">
        <f>MAX(kmin, kmax - 0.15 * MIN(Games[[#This Row],[GamesPlayed]], 82))</f>
        <v>75.7</v>
      </c>
      <c r="Z19" s="4">
        <f>Games[[#This Row],[K]]*Games[[#This Row],[POMult]]</f>
        <v>75.7</v>
      </c>
      <c r="AA19" s="4">
        <f>(Games[[#This Row],[Keff]]*Games[[#This Row],[MOVMult]])*(Games[[#This Row],[Result]]-Games[[#This Row],[ExpectedWin%]])</f>
        <v>-7.5273042968393398</v>
      </c>
      <c r="AB19" s="4">
        <f>Games[[#This Row],[PreGmRate]]+Games[[#This Row],[RatingChange]]</f>
        <v>1449.8815950157873</v>
      </c>
      <c r="AC19" s="2">
        <f>IF(Games[[#This Row],[Type]]="R",IF(Games[[#This Row],[Result]]&gt;0.5,1,0),0)</f>
        <v>0</v>
      </c>
      <c r="AD19" s="2">
        <f>IF(Games[[#This Row],[Type]]="R",IF(Games[[#This Row],[Result]]&lt;0.5,1,0),0)</f>
        <v>1</v>
      </c>
      <c r="AE19" s="2">
        <f>IF(AND(Games[[#This Row],[Type]]="P",Games[[#This Row],[Round]]=1),IF(Games[[#This Row],[Result]]&gt;0.5,1,0),0)</f>
        <v>0</v>
      </c>
      <c r="AF19" s="2">
        <f>IF(AND(Games[[#This Row],[Type]]="P",Games[[#This Row],[Round]]=1),IF(Games[[#This Row],[Result]]&lt;0.5,1,0),0)</f>
        <v>0</v>
      </c>
      <c r="AG19" s="2">
        <f>IF(AND(Games[[#This Row],[Type]]="P",Games[[#This Row],[Round]]=2),IF(Games[[#This Row],[Result]]&gt;0.5,1,0),0)</f>
        <v>0</v>
      </c>
      <c r="AH19" s="2">
        <f>IF(AND(Games[[#This Row],[Type]]="P",Games[[#This Row],[Round]]=2),IF(Games[[#This Row],[Result]]&lt;0.5,1,0),0)</f>
        <v>0</v>
      </c>
      <c r="AI19" s="2">
        <f>IF(AND(Games[[#This Row],[Type]]="P",Games[[#This Row],[Round]]=3),IF(Games[[#This Row],[Result]]&gt;0.5,1,0),0)</f>
        <v>0</v>
      </c>
      <c r="AJ19" s="2">
        <f>IF(AND(Games[[#This Row],[Type]]="P",Games[[#This Row],[Round]]=3),IF(Games[[#This Row],[Result]]&lt;0.5,1,0),0)</f>
        <v>0</v>
      </c>
      <c r="AK19" s="2">
        <f>IF(AND(Games[[#This Row],[Type]]="P",Games[[#This Row],[Round]]=4),IF(Games[[#This Row],[Result]]&gt;0.5,1,0),0)</f>
        <v>0</v>
      </c>
      <c r="AL19" s="2">
        <f>IF(AND(Games[[#This Row],[Type]]="P",Games[[#This Row],[Round]]=4),IF(Games[[#This Row],[Result]]&lt;0.5,1,0),0)</f>
        <v>0</v>
      </c>
    </row>
    <row r="20" spans="1:38" x14ac:dyDescent="0.35">
      <c r="A20" s="10">
        <v>37769</v>
      </c>
      <c r="B20" s="2">
        <v>2003</v>
      </c>
      <c r="C20" s="2">
        <f>COUNTIFS(Games[Team],Games[[#This Row],[Team]],Games[Season],Games[[#This Row],[Season]],Games[Date],"&lt;=" &amp; Games[[#This Row],[Date]])</f>
        <v>2</v>
      </c>
      <c r="D20" s="2" t="s">
        <v>23</v>
      </c>
      <c r="E20" s="2" t="s">
        <v>29</v>
      </c>
      <c r="F20" s="1" t="s">
        <v>85</v>
      </c>
      <c r="G20" s="1" t="s">
        <v>44</v>
      </c>
      <c r="H20" s="1" t="s">
        <v>16</v>
      </c>
      <c r="I20" s="2" cm="1">
        <f t="array" ref="I20">IFERROR(
    Games[[#This Row],[Date]]
    - LOOKUP(
        2,
        1/((Games[Team]=Games[[#This Row],[Team]]) * (Games[Date] &lt; Games[[#This Row],[Date]])),
        Games[Date]
    )
    - 1,
Games[[#This Row],[Date]]-$A$2)</f>
        <v>3</v>
      </c>
      <c r="J20" s="2" cm="1">
        <f t="array" ref="J20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0" s="2">
        <f>Games[[#This Row],[DaysOff]]-Games[[#This Row],[OppDaysOff]]</f>
        <v>0</v>
      </c>
      <c r="L20" s="2">
        <f>Games[[#This Row],[OppDaysOff]]-Games[[#This Row],[DaysOff]]</f>
        <v>0</v>
      </c>
      <c r="M20" s="1">
        <f>MAX(-16, MIN(16, Games[[#This Row],[RestDiff]]*8))</f>
        <v>0</v>
      </c>
      <c r="N20" s="1">
        <f>MAX(-16, MIN(16, Games[[#This Row],[OppRestDiff]]*8))</f>
        <v>0</v>
      </c>
      <c r="O20" s="4" cm="1">
        <f t="array" ref="O2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1542.7831758212787</v>
      </c>
      <c r="P20" s="4" cm="1">
        <f t="array" ref="P2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1408.9699438302951</v>
      </c>
      <c r="Q20" s="4">
        <f>1/(1+10^(((Games[[#This Row],[OppPreGmRate]]+IF(Games[[#This Row],[HomeAway]]="A",HCA,0)+Games[[#This Row],[OppRestAdj]])-(Games[[#This Row],[PreGmRate]]+IF(Games[[#This Row],[HomeAway]]="H",HCA,0)+Games[[#This Row],[RestAdj]]))/400))</f>
        <v>0.5711998070613169</v>
      </c>
      <c r="R20" s="1">
        <v>50</v>
      </c>
      <c r="S20" s="1">
        <v>51</v>
      </c>
      <c r="T20" s="1">
        <v>0</v>
      </c>
      <c r="U20" s="1">
        <f>Games[[#This Row],[PointsFor]]-Games[[#This Row],[PointsAgainst]]</f>
        <v>-1</v>
      </c>
      <c r="V20" s="1">
        <f>IF(Games[[#This Row],[MOV]]&gt;0,1,IF(Games[[#This Row],[MOV]]=0,0.5,0))</f>
        <v>0</v>
      </c>
      <c r="W20" s="4">
        <f>((ABS(Games[[#This Row],[MOV]])+5)^0.6)/(12+0.01*(ABS(Games[[#This Row],[PreGmRate]]-Games[[#This Row],[OppPreGmRate]])))*IF(Games[[#This Row],[OT]]=1,0.9,1)</f>
        <v>0.21968263481759553</v>
      </c>
      <c r="X20" s="7" cm="1">
        <f t="array" ref="X2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" s="9">
        <f>MAX(kmin, kmax - 0.15 * MIN(Games[[#This Row],[GamesPlayed]], 82))</f>
        <v>75.7</v>
      </c>
      <c r="Z20" s="4">
        <f>Games[[#This Row],[K]]*Games[[#This Row],[POMult]]</f>
        <v>75.7</v>
      </c>
      <c r="AA20" s="4">
        <f>(Games[[#This Row],[Keff]]*Games[[#This Row],[MOVMult]])*(Games[[#This Row],[Result]]-Games[[#This Row],[ExpectedWin%]])</f>
        <v>-9.4990387717256972</v>
      </c>
      <c r="AB20" s="4">
        <f>Games[[#This Row],[PreGmRate]]+Games[[#This Row],[RatingChange]]</f>
        <v>1533.284137049553</v>
      </c>
      <c r="AC20" s="2">
        <f>IF(Games[[#This Row],[Type]]="R",IF(Games[[#This Row],[Result]]&gt;0.5,1,0),0)</f>
        <v>0</v>
      </c>
      <c r="AD20" s="2">
        <f>IF(Games[[#This Row],[Type]]="R",IF(Games[[#This Row],[Result]]&lt;0.5,1,0),0)</f>
        <v>1</v>
      </c>
      <c r="AE20" s="2">
        <f>IF(AND(Games[[#This Row],[Type]]="P",Games[[#This Row],[Round]]=1),IF(Games[[#This Row],[Result]]&gt;0.5,1,0),0)</f>
        <v>0</v>
      </c>
      <c r="AF20" s="2">
        <f>IF(AND(Games[[#This Row],[Type]]="P",Games[[#This Row],[Round]]=1),IF(Games[[#This Row],[Result]]&lt;0.5,1,0),0)</f>
        <v>0</v>
      </c>
      <c r="AG20" s="2">
        <f>IF(AND(Games[[#This Row],[Type]]="P",Games[[#This Row],[Round]]=2),IF(Games[[#This Row],[Result]]&gt;0.5,1,0),0)</f>
        <v>0</v>
      </c>
      <c r="AH20" s="2">
        <f>IF(AND(Games[[#This Row],[Type]]="P",Games[[#This Row],[Round]]=2),IF(Games[[#This Row],[Result]]&lt;0.5,1,0),0)</f>
        <v>0</v>
      </c>
      <c r="AI20" s="2">
        <f>IF(AND(Games[[#This Row],[Type]]="P",Games[[#This Row],[Round]]=3),IF(Games[[#This Row],[Result]]&gt;0.5,1,0),0)</f>
        <v>0</v>
      </c>
      <c r="AJ20" s="2">
        <f>IF(AND(Games[[#This Row],[Type]]="P",Games[[#This Row],[Round]]=3),IF(Games[[#This Row],[Result]]&lt;0.5,1,0),0)</f>
        <v>0</v>
      </c>
      <c r="AK20" s="2">
        <f>IF(AND(Games[[#This Row],[Type]]="P",Games[[#This Row],[Round]]=4),IF(Games[[#This Row],[Result]]&gt;0.5,1,0),0)</f>
        <v>0</v>
      </c>
      <c r="AL20" s="2">
        <f>IF(AND(Games[[#This Row],[Type]]="P",Games[[#This Row],[Round]]=4),IF(Games[[#This Row],[Result]]&lt;0.5,1,0),0)</f>
        <v>0</v>
      </c>
    </row>
    <row r="21" spans="1:38" x14ac:dyDescent="0.35">
      <c r="A21" s="10">
        <v>37769</v>
      </c>
      <c r="B21" s="2">
        <v>2003</v>
      </c>
      <c r="C21" s="2">
        <f>COUNTIFS(Games[Team],Games[[#This Row],[Team]],Games[Season],Games[[#This Row],[Season]],Games[Date],"&lt;=" &amp; Games[[#This Row],[Date]])</f>
        <v>3</v>
      </c>
      <c r="D21" s="2" t="s">
        <v>23</v>
      </c>
      <c r="E21" s="2" t="s">
        <v>29</v>
      </c>
      <c r="F21" s="1" t="s">
        <v>44</v>
      </c>
      <c r="G21" s="1" t="s">
        <v>85</v>
      </c>
      <c r="H21" s="1" t="s">
        <v>15</v>
      </c>
      <c r="I21" s="2" cm="1">
        <f t="array" ref="I21">IFERROR(
    Games[[#This Row],[Date]]
    - LOOKUP(
        2,
        1/((Games[Team]=Games[[#This Row],[Team]]) * (Games[Date] &lt; Games[[#This Row],[Date]])),
        Games[Date]
    )
    - 1,
Games[[#This Row],[Date]]-$A$2)</f>
        <v>3</v>
      </c>
      <c r="J21" s="2" cm="1">
        <f t="array" ref="J21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1" s="2">
        <f>Games[[#This Row],[DaysOff]]-Games[[#This Row],[OppDaysOff]]</f>
        <v>0</v>
      </c>
      <c r="L21" s="2">
        <f>Games[[#This Row],[OppDaysOff]]-Games[[#This Row],[DaysOff]]</f>
        <v>0</v>
      </c>
      <c r="M21" s="1">
        <f>MAX(-16, MIN(16, Games[[#This Row],[RestDiff]]*8))</f>
        <v>0</v>
      </c>
      <c r="N21" s="1">
        <f>MAX(-16, MIN(16, Games[[#This Row],[OppRestDiff]]*8))</f>
        <v>0</v>
      </c>
      <c r="O21" s="4" cm="1">
        <f t="array" ref="O2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1408.9699438302951</v>
      </c>
      <c r="P21" s="4" cm="1">
        <f t="array" ref="P2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1542.7831758212787</v>
      </c>
      <c r="Q21" s="4">
        <f>1/(1+10^(((Games[[#This Row],[OppPreGmRate]]+IF(Games[[#This Row],[HomeAway]]="A",HCA,0)+Games[[#This Row],[OppRestAdj]])-(Games[[#This Row],[PreGmRate]]+IF(Games[[#This Row],[HomeAway]]="H",HCA,0)+Games[[#This Row],[RestAdj]]))/400))</f>
        <v>0.42880019293868304</v>
      </c>
      <c r="R21" s="1">
        <v>51</v>
      </c>
      <c r="S21" s="1">
        <v>50</v>
      </c>
      <c r="T21" s="1">
        <v>0</v>
      </c>
      <c r="U21" s="1">
        <f>Games[[#This Row],[PointsFor]]-Games[[#This Row],[PointsAgainst]]</f>
        <v>1</v>
      </c>
      <c r="V21" s="1">
        <f>IF(Games[[#This Row],[MOV]]&gt;0,1,IF(Games[[#This Row],[MOV]]=0,0.5,0))</f>
        <v>1</v>
      </c>
      <c r="W21" s="4">
        <f>((ABS(Games[[#This Row],[MOV]])+5)^0.6)/(12+0.01*(ABS(Games[[#This Row],[PreGmRate]]-Games[[#This Row],[OppPreGmRate]])))*IF(Games[[#This Row],[OT]]=1,0.9,1)</f>
        <v>0.21968263481759553</v>
      </c>
      <c r="X21" s="7" cm="1">
        <f t="array" ref="X2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" s="9">
        <f>MAX(kmin, kmax - 0.15 * MIN(Games[[#This Row],[GamesPlayed]], 82))</f>
        <v>75.55</v>
      </c>
      <c r="Z21" s="4">
        <f>Games[[#This Row],[K]]*Games[[#This Row],[POMult]]</f>
        <v>75.55</v>
      </c>
      <c r="AA21" s="4">
        <f>(Games[[#This Row],[Keff]]*Games[[#This Row],[MOVMult]])*(Games[[#This Row],[Result]]-Games[[#This Row],[ExpectedWin%]])</f>
        <v>9.4802163699323163</v>
      </c>
      <c r="AB21" s="4">
        <f>Games[[#This Row],[PreGmRate]]+Games[[#This Row],[RatingChange]]</f>
        <v>1418.4501602002274</v>
      </c>
      <c r="AC21" s="2">
        <f>IF(Games[[#This Row],[Type]]="R",IF(Games[[#This Row],[Result]]&gt;0.5,1,0),0)</f>
        <v>1</v>
      </c>
      <c r="AD21" s="2">
        <f>IF(Games[[#This Row],[Type]]="R",IF(Games[[#This Row],[Result]]&lt;0.5,1,0),0)</f>
        <v>0</v>
      </c>
      <c r="AE21" s="2">
        <f>IF(AND(Games[[#This Row],[Type]]="P",Games[[#This Row],[Round]]=1),IF(Games[[#This Row],[Result]]&gt;0.5,1,0),0)</f>
        <v>0</v>
      </c>
      <c r="AF21" s="2">
        <f>IF(AND(Games[[#This Row],[Type]]="P",Games[[#This Row],[Round]]=1),IF(Games[[#This Row],[Result]]&lt;0.5,1,0),0)</f>
        <v>0</v>
      </c>
      <c r="AG21" s="2">
        <f>IF(AND(Games[[#This Row],[Type]]="P",Games[[#This Row],[Round]]=2),IF(Games[[#This Row],[Result]]&gt;0.5,1,0),0)</f>
        <v>0</v>
      </c>
      <c r="AH21" s="2">
        <f>IF(AND(Games[[#This Row],[Type]]="P",Games[[#This Row],[Round]]=2),IF(Games[[#This Row],[Result]]&lt;0.5,1,0),0)</f>
        <v>0</v>
      </c>
      <c r="AI21" s="2">
        <f>IF(AND(Games[[#This Row],[Type]]="P",Games[[#This Row],[Round]]=3),IF(Games[[#This Row],[Result]]&gt;0.5,1,0),0)</f>
        <v>0</v>
      </c>
      <c r="AJ21" s="2">
        <f>IF(AND(Games[[#This Row],[Type]]="P",Games[[#This Row],[Round]]=3),IF(Games[[#This Row],[Result]]&lt;0.5,1,0),0)</f>
        <v>0</v>
      </c>
      <c r="AK21" s="2">
        <f>IF(AND(Games[[#This Row],[Type]]="P",Games[[#This Row],[Round]]=4),IF(Games[[#This Row],[Result]]&gt;0.5,1,0),0)</f>
        <v>0</v>
      </c>
      <c r="AL21" s="2">
        <f>IF(AND(Games[[#This Row],[Type]]="P",Games[[#This Row],[Round]]=4),IF(Games[[#This Row],[Result]]&lt;0.5,1,0),0)</f>
        <v>0</v>
      </c>
    </row>
    <row r="22" spans="1:38" x14ac:dyDescent="0.35">
      <c r="A22" s="10">
        <v>37770</v>
      </c>
      <c r="B22" s="2">
        <v>2003</v>
      </c>
      <c r="C22" s="2">
        <f>COUNTIFS(Games[Team],Games[[#This Row],[Team]],Games[Season],Games[[#This Row],[Season]],Games[Date],"&lt;=" &amp; Games[[#This Row],[Date]])</f>
        <v>1</v>
      </c>
      <c r="D22" s="2" t="s">
        <v>23</v>
      </c>
      <c r="E22" s="2" t="s">
        <v>29</v>
      </c>
      <c r="F22" s="1" t="s">
        <v>80</v>
      </c>
      <c r="G22" s="1" t="s">
        <v>64</v>
      </c>
      <c r="H22" s="1" t="s">
        <v>16</v>
      </c>
      <c r="I22" s="2" cm="1">
        <f t="array" ref="I22">IFERROR(
    Games[[#This Row],[Date]]
    - LOOKUP(
        2,
        1/((Games[Team]=Games[[#This Row],[Team]]) * (Games[Date] &lt; Games[[#This Row],[Date]])),
        Games[Date]
    )
    - 1,
Games[[#This Row],[Date]]-$A$2)</f>
        <v>7</v>
      </c>
      <c r="J22" s="2" cm="1">
        <f t="array" ref="J22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22" s="2">
        <f>Games[[#This Row],[DaysOff]]-Games[[#This Row],[OppDaysOff]]</f>
        <v>2</v>
      </c>
      <c r="L22" s="2">
        <f>Games[[#This Row],[OppDaysOff]]-Games[[#This Row],[DaysOff]]</f>
        <v>-2</v>
      </c>
      <c r="M22" s="1">
        <f>MAX(-16, MIN(16, Games[[#This Row],[RestDiff]]*8))</f>
        <v>16</v>
      </c>
      <c r="N22" s="1">
        <f>MAX(-16, MIN(16, Games[[#This Row],[OppRestDiff]]*8))</f>
        <v>-16</v>
      </c>
      <c r="O22" s="4" cm="1">
        <f t="array" ref="O2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1489.9233139792823</v>
      </c>
      <c r="P22" s="4" cm="1">
        <f t="array" ref="P2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1493.1545367479457</v>
      </c>
      <c r="Q22" s="4">
        <f>1/(1+10^(((Games[[#This Row],[OppPreGmRate]]+IF(Games[[#This Row],[HomeAway]]="A",HCA,0)+Games[[#This Row],[OppRestAdj]])-(Games[[#This Row],[PreGmRate]]+IF(Games[[#This Row],[HomeAway]]="H",HCA,0)+Games[[#This Row],[RestAdj]]))/400))</f>
        <v>0.42117872672851214</v>
      </c>
      <c r="R22" s="1">
        <v>57</v>
      </c>
      <c r="S22" s="1">
        <v>66</v>
      </c>
      <c r="T22" s="1">
        <v>0</v>
      </c>
      <c r="U22" s="1">
        <f>Games[[#This Row],[PointsFor]]-Games[[#This Row],[PointsAgainst]]</f>
        <v>-9</v>
      </c>
      <c r="V22" s="1">
        <f>IF(Games[[#This Row],[MOV]]&gt;0,1,IF(Games[[#This Row],[MOV]]=0,0.5,0))</f>
        <v>0</v>
      </c>
      <c r="W22" s="4">
        <f>((ABS(Games[[#This Row],[MOV]])+5)^0.6)/(12+0.01*(ABS(Games[[#This Row],[PreGmRate]]-Games[[#This Row],[OppPreGmRate]])))*IF(Games[[#This Row],[OT]]=1,0.9,1)</f>
        <v>0.40488130906020814</v>
      </c>
      <c r="X22" s="7" cm="1">
        <f t="array" ref="X2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" s="9">
        <f>MAX(kmin, kmax - 0.15 * MIN(Games[[#This Row],[GamesPlayed]], 82))</f>
        <v>75.849999999999994</v>
      </c>
      <c r="Z22" s="4">
        <f>Games[[#This Row],[K]]*Games[[#This Row],[POMult]]</f>
        <v>75.849999999999994</v>
      </c>
      <c r="AA22" s="4">
        <f>(Games[[#This Row],[Keff]]*Games[[#This Row],[MOVMult]])*(Games[[#This Row],[Result]]-Games[[#This Row],[ExpectedWin%]])</f>
        <v>-12.934502852053603</v>
      </c>
      <c r="AB22" s="4">
        <f>Games[[#This Row],[PreGmRate]]+Games[[#This Row],[RatingChange]]</f>
        <v>1476.9888111272287</v>
      </c>
      <c r="AC22" s="2">
        <f>IF(Games[[#This Row],[Type]]="R",IF(Games[[#This Row],[Result]]&gt;0.5,1,0),0)</f>
        <v>0</v>
      </c>
      <c r="AD22" s="2">
        <f>IF(Games[[#This Row],[Type]]="R",IF(Games[[#This Row],[Result]]&lt;0.5,1,0),0)</f>
        <v>1</v>
      </c>
      <c r="AE22" s="2">
        <f>IF(AND(Games[[#This Row],[Type]]="P",Games[[#This Row],[Round]]=1),IF(Games[[#This Row],[Result]]&gt;0.5,1,0),0)</f>
        <v>0</v>
      </c>
      <c r="AF22" s="2">
        <f>IF(AND(Games[[#This Row],[Type]]="P",Games[[#This Row],[Round]]=1),IF(Games[[#This Row],[Result]]&lt;0.5,1,0),0)</f>
        <v>0</v>
      </c>
      <c r="AG22" s="2">
        <f>IF(AND(Games[[#This Row],[Type]]="P",Games[[#This Row],[Round]]=2),IF(Games[[#This Row],[Result]]&gt;0.5,1,0),0)</f>
        <v>0</v>
      </c>
      <c r="AH22" s="2">
        <f>IF(AND(Games[[#This Row],[Type]]="P",Games[[#This Row],[Round]]=2),IF(Games[[#This Row],[Result]]&lt;0.5,1,0),0)</f>
        <v>0</v>
      </c>
      <c r="AI22" s="2">
        <f>IF(AND(Games[[#This Row],[Type]]="P",Games[[#This Row],[Round]]=3),IF(Games[[#This Row],[Result]]&gt;0.5,1,0),0)</f>
        <v>0</v>
      </c>
      <c r="AJ22" s="2">
        <f>IF(AND(Games[[#This Row],[Type]]="P",Games[[#This Row],[Round]]=3),IF(Games[[#This Row],[Result]]&lt;0.5,1,0),0)</f>
        <v>0</v>
      </c>
      <c r="AK22" s="2">
        <f>IF(AND(Games[[#This Row],[Type]]="P",Games[[#This Row],[Round]]=4),IF(Games[[#This Row],[Result]]&gt;0.5,1,0),0)</f>
        <v>0</v>
      </c>
      <c r="AL22" s="2">
        <f>IF(AND(Games[[#This Row],[Type]]="P",Games[[#This Row],[Round]]=4),IF(Games[[#This Row],[Result]]&lt;0.5,1,0),0)</f>
        <v>0</v>
      </c>
    </row>
    <row r="23" spans="1:38" x14ac:dyDescent="0.35">
      <c r="A23" s="10">
        <v>37770</v>
      </c>
      <c r="B23" s="2">
        <v>2003</v>
      </c>
      <c r="C23" s="2">
        <f>COUNTIFS(Games[Team],Games[[#This Row],[Team]],Games[Season],Games[[#This Row],[Season]],Games[Date],"&lt;=" &amp; Games[[#This Row],[Date]])</f>
        <v>2</v>
      </c>
      <c r="D23" s="2" t="s">
        <v>23</v>
      </c>
      <c r="E23" s="2" t="s">
        <v>29</v>
      </c>
      <c r="F23" s="1" t="s">
        <v>64</v>
      </c>
      <c r="G23" s="1" t="s">
        <v>80</v>
      </c>
      <c r="H23" s="1" t="s">
        <v>15</v>
      </c>
      <c r="I23" s="2" cm="1">
        <f t="array" ref="I23">IFERROR(
    Games[[#This Row],[Date]]
    - LOOKUP(
        2,
        1/((Games[Team]=Games[[#This Row],[Team]]) * (Games[Date] &lt; Games[[#This Row],[Date]])),
        Games[Date]
    )
    - 1,
Games[[#This Row],[Date]]-$A$2)</f>
        <v>5</v>
      </c>
      <c r="J23" s="2" cm="1">
        <f t="array" ref="J23">IFERROR(
    Games[[#This Row],[Date]]
    - LOOKUP(
        2,
        1/((Games[Opponent]=Games[[#This Row],[Opponent]]) * (Games[Date] &lt; Games[[#This Row],[Date]])),
        Games[Date]
    )
    - 1,
Games[[#This Row],[Date]]-$A$2)</f>
        <v>7</v>
      </c>
      <c r="K23" s="2">
        <f>Games[[#This Row],[DaysOff]]-Games[[#This Row],[OppDaysOff]]</f>
        <v>-2</v>
      </c>
      <c r="L23" s="2">
        <f>Games[[#This Row],[OppDaysOff]]-Games[[#This Row],[DaysOff]]</f>
        <v>2</v>
      </c>
      <c r="M23" s="1">
        <f>MAX(-16, MIN(16, Games[[#This Row],[RestDiff]]*8))</f>
        <v>-16</v>
      </c>
      <c r="N23" s="1">
        <f>MAX(-16, MIN(16, Games[[#This Row],[OppRestDiff]]*8))</f>
        <v>16</v>
      </c>
      <c r="O23" s="4" cm="1">
        <f t="array" ref="O2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1493.1545367479457</v>
      </c>
      <c r="P23" s="4" cm="1">
        <f t="array" ref="P2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1489.9233139792823</v>
      </c>
      <c r="Q23" s="4">
        <f>1/(1+10^(((Games[[#This Row],[OppPreGmRate]]+IF(Games[[#This Row],[HomeAway]]="A",HCA,0)+Games[[#This Row],[OppRestAdj]])-(Games[[#This Row],[PreGmRate]]+IF(Games[[#This Row],[HomeAway]]="H",HCA,0)+Games[[#This Row],[RestAdj]]))/400))</f>
        <v>0.57882127327148791</v>
      </c>
      <c r="R23" s="1">
        <v>66</v>
      </c>
      <c r="S23" s="1">
        <v>57</v>
      </c>
      <c r="T23" s="1">
        <v>0</v>
      </c>
      <c r="U23" s="1">
        <f>Games[[#This Row],[PointsFor]]-Games[[#This Row],[PointsAgainst]]</f>
        <v>9</v>
      </c>
      <c r="V23" s="1">
        <f>IF(Games[[#This Row],[MOV]]&gt;0,1,IF(Games[[#This Row],[MOV]]=0,0.5,0))</f>
        <v>1</v>
      </c>
      <c r="W23" s="4">
        <f>((ABS(Games[[#This Row],[MOV]])+5)^0.6)/(12+0.01*(ABS(Games[[#This Row],[PreGmRate]]-Games[[#This Row],[OppPreGmRate]])))*IF(Games[[#This Row],[OT]]=1,0.9,1)</f>
        <v>0.40488130906020814</v>
      </c>
      <c r="X23" s="7" cm="1">
        <f t="array" ref="X2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" s="9">
        <f>MAX(kmin, kmax - 0.15 * MIN(Games[[#This Row],[GamesPlayed]], 82))</f>
        <v>75.7</v>
      </c>
      <c r="Z23" s="4">
        <f>Games[[#This Row],[K]]*Games[[#This Row],[POMult]]</f>
        <v>75.7</v>
      </c>
      <c r="AA23" s="4">
        <f>(Games[[#This Row],[Keff]]*Games[[#This Row],[MOVMult]])*(Games[[#This Row],[Result]]-Games[[#This Row],[ExpectedWin%]])</f>
        <v>12.908923742919681</v>
      </c>
      <c r="AB23" s="4">
        <f>Games[[#This Row],[PreGmRate]]+Games[[#This Row],[RatingChange]]</f>
        <v>1506.0634604908653</v>
      </c>
      <c r="AC23" s="2">
        <f>IF(Games[[#This Row],[Type]]="R",IF(Games[[#This Row],[Result]]&gt;0.5,1,0),0)</f>
        <v>1</v>
      </c>
      <c r="AD23" s="2">
        <f>IF(Games[[#This Row],[Type]]="R",IF(Games[[#This Row],[Result]]&lt;0.5,1,0),0)</f>
        <v>0</v>
      </c>
      <c r="AE23" s="2">
        <f>IF(AND(Games[[#This Row],[Type]]="P",Games[[#This Row],[Round]]=1),IF(Games[[#This Row],[Result]]&gt;0.5,1,0),0)</f>
        <v>0</v>
      </c>
      <c r="AF23" s="2">
        <f>IF(AND(Games[[#This Row],[Type]]="P",Games[[#This Row],[Round]]=1),IF(Games[[#This Row],[Result]]&lt;0.5,1,0),0)</f>
        <v>0</v>
      </c>
      <c r="AG23" s="2">
        <f>IF(AND(Games[[#This Row],[Type]]="P",Games[[#This Row],[Round]]=2),IF(Games[[#This Row],[Result]]&gt;0.5,1,0),0)</f>
        <v>0</v>
      </c>
      <c r="AH23" s="2">
        <f>IF(AND(Games[[#This Row],[Type]]="P",Games[[#This Row],[Round]]=2),IF(Games[[#This Row],[Result]]&lt;0.5,1,0),0)</f>
        <v>0</v>
      </c>
      <c r="AI23" s="2">
        <f>IF(AND(Games[[#This Row],[Type]]="P",Games[[#This Row],[Round]]=3),IF(Games[[#This Row],[Result]]&gt;0.5,1,0),0)</f>
        <v>0</v>
      </c>
      <c r="AJ23" s="2">
        <f>IF(AND(Games[[#This Row],[Type]]="P",Games[[#This Row],[Round]]=3),IF(Games[[#This Row],[Result]]&lt;0.5,1,0),0)</f>
        <v>0</v>
      </c>
      <c r="AK23" s="2">
        <f>IF(AND(Games[[#This Row],[Type]]="P",Games[[#This Row],[Round]]=4),IF(Games[[#This Row],[Result]]&gt;0.5,1,0),0)</f>
        <v>0</v>
      </c>
      <c r="AL23" s="2">
        <f>IF(AND(Games[[#This Row],[Type]]="P",Games[[#This Row],[Round]]=4),IF(Games[[#This Row],[Result]]&lt;0.5,1,0),0)</f>
        <v>0</v>
      </c>
    </row>
    <row r="24" spans="1:38" x14ac:dyDescent="0.35">
      <c r="A24" s="10">
        <v>37771</v>
      </c>
      <c r="B24" s="2">
        <v>2003</v>
      </c>
      <c r="C24" s="2">
        <f>COUNTIFS(Games[Team],Games[[#This Row],[Team]],Games[Season],Games[[#This Row],[Season]],Games[Date],"&lt;=" &amp; Games[[#This Row],[Date]])</f>
        <v>2</v>
      </c>
      <c r="D24" s="2" t="s">
        <v>23</v>
      </c>
      <c r="E24" s="2" t="s">
        <v>29</v>
      </c>
      <c r="F24" s="1" t="s">
        <v>87</v>
      </c>
      <c r="G24" s="1" t="s">
        <v>2</v>
      </c>
      <c r="H24" s="1" t="s">
        <v>16</v>
      </c>
      <c r="I24" s="2" cm="1">
        <f t="array" ref="I24">IFERROR(
    Games[[#This Row],[Date]]
    - LOOKUP(
        2,
        1/((Games[Team]=Games[[#This Row],[Team]]) * (Games[Date] &lt; Games[[#This Row],[Date]])),
        Games[Date]
    )
    - 1,
Games[[#This Row],[Date]]-$A$2)</f>
        <v>5</v>
      </c>
      <c r="J24" s="2" cm="1">
        <f t="array" ref="J24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24" s="2">
        <f>Games[[#This Row],[DaysOff]]-Games[[#This Row],[OppDaysOff]]</f>
        <v>0</v>
      </c>
      <c r="L24" s="2">
        <f>Games[[#This Row],[OppDaysOff]]-Games[[#This Row],[DaysOff]]</f>
        <v>0</v>
      </c>
      <c r="M24" s="1">
        <f>MAX(-16, MIN(16, Games[[#This Row],[RestDiff]]*8))</f>
        <v>0</v>
      </c>
      <c r="N24" s="1">
        <f>MAX(-16, MIN(16, Games[[#This Row],[OppRestDiff]]*8))</f>
        <v>0</v>
      </c>
      <c r="O24" s="4" cm="1">
        <f t="array" ref="O2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1481.8294947519771</v>
      </c>
      <c r="P24" s="4" cm="1">
        <f t="array" ref="P2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1586.0385738701143</v>
      </c>
      <c r="Q24" s="4">
        <f>1/(1+10^(((Games[[#This Row],[OppPreGmRate]]+IF(Games[[#This Row],[HomeAway]]="A",HCA,0)+Games[[#This Row],[OppRestAdj]])-(Games[[#This Row],[PreGmRate]]+IF(Games[[#This Row],[HomeAway]]="H",HCA,0)+Games[[#This Row],[RestAdj]]))/400))</f>
        <v>0.25285963314458998</v>
      </c>
      <c r="R24" s="1">
        <v>91</v>
      </c>
      <c r="S24" s="1">
        <v>83</v>
      </c>
      <c r="T24" s="1">
        <v>0</v>
      </c>
      <c r="U24" s="1">
        <f>Games[[#This Row],[PointsFor]]-Games[[#This Row],[PointsAgainst]]</f>
        <v>8</v>
      </c>
      <c r="V24" s="1">
        <f>IF(Games[[#This Row],[MOV]]&gt;0,1,IF(Games[[#This Row],[MOV]]=0,0.5,0))</f>
        <v>1</v>
      </c>
      <c r="W24" s="4">
        <f>((ABS(Games[[#This Row],[MOV]])+5)^0.6)/(12+0.01*(ABS(Games[[#This Row],[PreGmRate]]-Games[[#This Row],[OppPreGmRate]])))*IF(Games[[#This Row],[OT]]=1,0.9,1)</f>
        <v>0.35728829791515165</v>
      </c>
      <c r="X24" s="7" cm="1">
        <f t="array" ref="X2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" s="9">
        <f>MAX(kmin, kmax - 0.15 * MIN(Games[[#This Row],[GamesPlayed]], 82))</f>
        <v>75.7</v>
      </c>
      <c r="Z24" s="4">
        <f>Games[[#This Row],[K]]*Games[[#This Row],[POMult]]</f>
        <v>75.7</v>
      </c>
      <c r="AA24" s="4">
        <f>(Games[[#This Row],[Keff]]*Games[[#This Row],[MOVMult]])*(Games[[#This Row],[Result]]-Games[[#This Row],[ExpectedWin%]])</f>
        <v>20.207699405294587</v>
      </c>
      <c r="AB24" s="4">
        <f>Games[[#This Row],[PreGmRate]]+Games[[#This Row],[RatingChange]]</f>
        <v>1502.0371941572716</v>
      </c>
      <c r="AC24" s="2">
        <f>IF(Games[[#This Row],[Type]]="R",IF(Games[[#This Row],[Result]]&gt;0.5,1,0),0)</f>
        <v>1</v>
      </c>
      <c r="AD24" s="2">
        <f>IF(Games[[#This Row],[Type]]="R",IF(Games[[#This Row],[Result]]&lt;0.5,1,0),0)</f>
        <v>0</v>
      </c>
      <c r="AE24" s="2">
        <f>IF(AND(Games[[#This Row],[Type]]="P",Games[[#This Row],[Round]]=1),IF(Games[[#This Row],[Result]]&gt;0.5,1,0),0)</f>
        <v>0</v>
      </c>
      <c r="AF24" s="2">
        <f>IF(AND(Games[[#This Row],[Type]]="P",Games[[#This Row],[Round]]=1),IF(Games[[#This Row],[Result]]&lt;0.5,1,0),0)</f>
        <v>0</v>
      </c>
      <c r="AG24" s="2">
        <f>IF(AND(Games[[#This Row],[Type]]="P",Games[[#This Row],[Round]]=2),IF(Games[[#This Row],[Result]]&gt;0.5,1,0),0)</f>
        <v>0</v>
      </c>
      <c r="AH24" s="2">
        <f>IF(AND(Games[[#This Row],[Type]]="P",Games[[#This Row],[Round]]=2),IF(Games[[#This Row],[Result]]&lt;0.5,1,0),0)</f>
        <v>0</v>
      </c>
      <c r="AI24" s="2">
        <f>IF(AND(Games[[#This Row],[Type]]="P",Games[[#This Row],[Round]]=3),IF(Games[[#This Row],[Result]]&gt;0.5,1,0),0)</f>
        <v>0</v>
      </c>
      <c r="AJ24" s="2">
        <f>IF(AND(Games[[#This Row],[Type]]="P",Games[[#This Row],[Round]]=3),IF(Games[[#This Row],[Result]]&lt;0.5,1,0),0)</f>
        <v>0</v>
      </c>
      <c r="AK24" s="2">
        <f>IF(AND(Games[[#This Row],[Type]]="P",Games[[#This Row],[Round]]=4),IF(Games[[#This Row],[Result]]&gt;0.5,1,0),0)</f>
        <v>0</v>
      </c>
      <c r="AL24" s="2">
        <f>IF(AND(Games[[#This Row],[Type]]="P",Games[[#This Row],[Round]]=4),IF(Games[[#This Row],[Result]]&lt;0.5,1,0),0)</f>
        <v>0</v>
      </c>
    </row>
    <row r="25" spans="1:38" x14ac:dyDescent="0.35">
      <c r="A25" s="10">
        <v>37771</v>
      </c>
      <c r="B25" s="2">
        <v>2003</v>
      </c>
      <c r="C25" s="2">
        <f>COUNTIFS(Games[Team],Games[[#This Row],[Team]],Games[Season],Games[[#This Row],[Season]],Games[Date],"&lt;=" &amp; Games[[#This Row],[Date]])</f>
        <v>3</v>
      </c>
      <c r="D25" s="2" t="s">
        <v>23</v>
      </c>
      <c r="E25" s="2" t="s">
        <v>29</v>
      </c>
      <c r="F25" s="1" t="s">
        <v>2</v>
      </c>
      <c r="G25" s="1" t="s">
        <v>87</v>
      </c>
      <c r="H25" s="1" t="s">
        <v>15</v>
      </c>
      <c r="I25" s="2" cm="1">
        <f t="array" ref="I25">IFERROR(
    Games[[#This Row],[Date]]
    - LOOKUP(
        2,
        1/((Games[Team]=Games[[#This Row],[Team]]) * (Games[Date] &lt; Games[[#This Row],[Date]])),
        Games[Date]
    )
    - 1,
Games[[#This Row],[Date]]-$A$2)</f>
        <v>5</v>
      </c>
      <c r="J25" s="2" cm="1">
        <f t="array" ref="J25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25" s="2">
        <f>Games[[#This Row],[DaysOff]]-Games[[#This Row],[OppDaysOff]]</f>
        <v>0</v>
      </c>
      <c r="L25" s="2">
        <f>Games[[#This Row],[OppDaysOff]]-Games[[#This Row],[DaysOff]]</f>
        <v>0</v>
      </c>
      <c r="M25" s="1">
        <f>MAX(-16, MIN(16, Games[[#This Row],[RestDiff]]*8))</f>
        <v>0</v>
      </c>
      <c r="N25" s="1">
        <f>MAX(-16, MIN(16, Games[[#This Row],[OppRestDiff]]*8))</f>
        <v>0</v>
      </c>
      <c r="O25" s="4" cm="1">
        <f t="array" ref="O2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1586.0385738701143</v>
      </c>
      <c r="P25" s="4" cm="1">
        <f t="array" ref="P2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1481.8294947519771</v>
      </c>
      <c r="Q25" s="4">
        <f>1/(1+10^(((Games[[#This Row],[OppPreGmRate]]+IF(Games[[#This Row],[HomeAway]]="A",HCA,0)+Games[[#This Row],[OppRestAdj]])-(Games[[#This Row],[PreGmRate]]+IF(Games[[#This Row],[HomeAway]]="H",HCA,0)+Games[[#This Row],[RestAdj]]))/400))</f>
        <v>0.74714036685540997</v>
      </c>
      <c r="R25" s="1">
        <v>83</v>
      </c>
      <c r="S25" s="1">
        <v>91</v>
      </c>
      <c r="T25" s="1">
        <v>0</v>
      </c>
      <c r="U25" s="1">
        <f>Games[[#This Row],[PointsFor]]-Games[[#This Row],[PointsAgainst]]</f>
        <v>-8</v>
      </c>
      <c r="V25" s="1">
        <f>IF(Games[[#This Row],[MOV]]&gt;0,1,IF(Games[[#This Row],[MOV]]=0,0.5,0))</f>
        <v>0</v>
      </c>
      <c r="W25" s="4">
        <f>((ABS(Games[[#This Row],[MOV]])+5)^0.6)/(12+0.01*(ABS(Games[[#This Row],[PreGmRate]]-Games[[#This Row],[OppPreGmRate]])))*IF(Games[[#This Row],[OT]]=1,0.9,1)</f>
        <v>0.35728829791515165</v>
      </c>
      <c r="X25" s="7" cm="1">
        <f t="array" ref="X2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" s="9">
        <f>MAX(kmin, kmax - 0.15 * MIN(Games[[#This Row],[GamesPlayed]], 82))</f>
        <v>75.55</v>
      </c>
      <c r="Z25" s="4">
        <f>Games[[#This Row],[K]]*Games[[#This Row],[POMult]]</f>
        <v>75.55</v>
      </c>
      <c r="AA25" s="4">
        <f>(Games[[#This Row],[Keff]]*Games[[#This Row],[MOVMult]])*(Games[[#This Row],[Result]]-Games[[#This Row],[ExpectedWin%]])</f>
        <v>-20.167657728797966</v>
      </c>
      <c r="AB25" s="4">
        <f>Games[[#This Row],[PreGmRate]]+Games[[#This Row],[RatingChange]]</f>
        <v>1565.8709161413162</v>
      </c>
      <c r="AC25" s="2">
        <f>IF(Games[[#This Row],[Type]]="R",IF(Games[[#This Row],[Result]]&gt;0.5,1,0),0)</f>
        <v>0</v>
      </c>
      <c r="AD25" s="2">
        <f>IF(Games[[#This Row],[Type]]="R",IF(Games[[#This Row],[Result]]&lt;0.5,1,0),0)</f>
        <v>1</v>
      </c>
      <c r="AE25" s="2">
        <f>IF(AND(Games[[#This Row],[Type]]="P",Games[[#This Row],[Round]]=1),IF(Games[[#This Row],[Result]]&gt;0.5,1,0),0)</f>
        <v>0</v>
      </c>
      <c r="AF25" s="2">
        <f>IF(AND(Games[[#This Row],[Type]]="P",Games[[#This Row],[Round]]=1),IF(Games[[#This Row],[Result]]&lt;0.5,1,0),0)</f>
        <v>0</v>
      </c>
      <c r="AG25" s="2">
        <f>IF(AND(Games[[#This Row],[Type]]="P",Games[[#This Row],[Round]]=2),IF(Games[[#This Row],[Result]]&gt;0.5,1,0),0)</f>
        <v>0</v>
      </c>
      <c r="AH25" s="2">
        <f>IF(AND(Games[[#This Row],[Type]]="P",Games[[#This Row],[Round]]=2),IF(Games[[#This Row],[Result]]&lt;0.5,1,0),0)</f>
        <v>0</v>
      </c>
      <c r="AI25" s="2">
        <f>IF(AND(Games[[#This Row],[Type]]="P",Games[[#This Row],[Round]]=3),IF(Games[[#This Row],[Result]]&gt;0.5,1,0),0)</f>
        <v>0</v>
      </c>
      <c r="AJ25" s="2">
        <f>IF(AND(Games[[#This Row],[Type]]="P",Games[[#This Row],[Round]]=3),IF(Games[[#This Row],[Result]]&lt;0.5,1,0),0)</f>
        <v>0</v>
      </c>
      <c r="AK25" s="2">
        <f>IF(AND(Games[[#This Row],[Type]]="P",Games[[#This Row],[Round]]=4),IF(Games[[#This Row],[Result]]&gt;0.5,1,0),0)</f>
        <v>0</v>
      </c>
      <c r="AL25" s="2">
        <f>IF(AND(Games[[#This Row],[Type]]="P",Games[[#This Row],[Round]]=4),IF(Games[[#This Row],[Result]]&lt;0.5,1,0),0)</f>
        <v>0</v>
      </c>
    </row>
    <row r="26" spans="1:38" x14ac:dyDescent="0.35">
      <c r="A26" s="10">
        <v>37771</v>
      </c>
      <c r="B26" s="2">
        <v>2003</v>
      </c>
      <c r="C26" s="2">
        <f>COUNTIFS(Games[Team],Games[[#This Row],[Team]],Games[Season],Games[[#This Row],[Season]],Games[Date],"&lt;=" &amp; Games[[#This Row],[Date]])</f>
        <v>4</v>
      </c>
      <c r="D26" s="2" t="s">
        <v>23</v>
      </c>
      <c r="E26" s="2" t="s">
        <v>29</v>
      </c>
      <c r="F26" s="1" t="s">
        <v>44</v>
      </c>
      <c r="G26" s="1" t="s">
        <v>45</v>
      </c>
      <c r="H26" s="1" t="s">
        <v>16</v>
      </c>
      <c r="I26" s="2" cm="1">
        <f t="array" ref="I26">IFERROR(
    Games[[#This Row],[Date]]
    - LOOKUP(
        2,
        1/((Games[Team]=Games[[#This Row],[Team]]) * (Games[Date] &lt; Games[[#This Row],[Date]])),
        Games[Date]
    )
    - 1,
Games[[#This Row],[Date]]-$A$2)</f>
        <v>1</v>
      </c>
      <c r="J26" s="2" cm="1">
        <f t="array" ref="J26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26" s="2">
        <f>Games[[#This Row],[DaysOff]]-Games[[#This Row],[OppDaysOff]]</f>
        <v>-4</v>
      </c>
      <c r="L26" s="2">
        <f>Games[[#This Row],[OppDaysOff]]-Games[[#This Row],[DaysOff]]</f>
        <v>4</v>
      </c>
      <c r="M26" s="1">
        <f>MAX(-16, MIN(16, Games[[#This Row],[RestDiff]]*8))</f>
        <v>-16</v>
      </c>
      <c r="N26" s="1">
        <f>MAX(-16, MIN(16, Games[[#This Row],[OppRestDiff]]*8))</f>
        <v>16</v>
      </c>
      <c r="O26" s="4" cm="1">
        <f t="array" ref="O2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1418.4501602002274</v>
      </c>
      <c r="P26" s="4" cm="1">
        <f t="array" ref="P2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1517.3141110554229</v>
      </c>
      <c r="Q26" s="4">
        <f>1/(1+10^(((Games[[#This Row],[OppPreGmRate]]+IF(Games[[#This Row],[HomeAway]]="A",HCA,0)+Games[[#This Row],[OppRestAdj]])-(Games[[#This Row],[PreGmRate]]+IF(Games[[#This Row],[HomeAway]]="H",HCA,0)+Games[[#This Row],[RestAdj]]))/400))</f>
        <v>0.22498366174445</v>
      </c>
      <c r="R26" s="1">
        <v>49</v>
      </c>
      <c r="S26" s="1">
        <v>69</v>
      </c>
      <c r="T26" s="1">
        <v>0</v>
      </c>
      <c r="U26" s="1">
        <f>Games[[#This Row],[PointsFor]]-Games[[#This Row],[PointsAgainst]]</f>
        <v>-20</v>
      </c>
      <c r="V26" s="1">
        <f>IF(Games[[#This Row],[MOV]]&gt;0,1,IF(Games[[#This Row],[MOV]]=0,0.5,0))</f>
        <v>0</v>
      </c>
      <c r="W26" s="4">
        <f>((ABS(Games[[#This Row],[MOV]])+5)^0.6)/(12+0.01*(ABS(Games[[#This Row],[PreGmRate]]-Games[[#This Row],[OppPreGmRate]])))*IF(Games[[#This Row],[OT]]=1,0.9,1)</f>
        <v>0.53112939987008478</v>
      </c>
      <c r="X26" s="7" cm="1">
        <f t="array" ref="X2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" s="9">
        <f>MAX(kmin, kmax - 0.15 * MIN(Games[[#This Row],[GamesPlayed]], 82))</f>
        <v>75.400000000000006</v>
      </c>
      <c r="Z26" s="4">
        <f>Games[[#This Row],[K]]*Games[[#This Row],[POMult]]</f>
        <v>75.400000000000006</v>
      </c>
      <c r="AA26" s="4">
        <f>(Games[[#This Row],[Keff]]*Games[[#This Row],[MOVMult]])*(Games[[#This Row],[Result]]-Games[[#This Row],[ExpectedWin%]])</f>
        <v>-9.0099559681149533</v>
      </c>
      <c r="AB26" s="4">
        <f>Games[[#This Row],[PreGmRate]]+Games[[#This Row],[RatingChange]]</f>
        <v>1409.4402042321124</v>
      </c>
      <c r="AC26" s="2">
        <f>IF(Games[[#This Row],[Type]]="R",IF(Games[[#This Row],[Result]]&gt;0.5,1,0),0)</f>
        <v>0</v>
      </c>
      <c r="AD26" s="2">
        <f>IF(Games[[#This Row],[Type]]="R",IF(Games[[#This Row],[Result]]&lt;0.5,1,0),0)</f>
        <v>1</v>
      </c>
      <c r="AE26" s="2">
        <f>IF(AND(Games[[#This Row],[Type]]="P",Games[[#This Row],[Round]]=1),IF(Games[[#This Row],[Result]]&gt;0.5,1,0),0)</f>
        <v>0</v>
      </c>
      <c r="AF26" s="2">
        <f>IF(AND(Games[[#This Row],[Type]]="P",Games[[#This Row],[Round]]=1),IF(Games[[#This Row],[Result]]&lt;0.5,1,0),0)</f>
        <v>0</v>
      </c>
      <c r="AG26" s="2">
        <f>IF(AND(Games[[#This Row],[Type]]="P",Games[[#This Row],[Round]]=2),IF(Games[[#This Row],[Result]]&gt;0.5,1,0),0)</f>
        <v>0</v>
      </c>
      <c r="AH26" s="2">
        <f>IF(AND(Games[[#This Row],[Type]]="P",Games[[#This Row],[Round]]=2),IF(Games[[#This Row],[Result]]&lt;0.5,1,0),0)</f>
        <v>0</v>
      </c>
      <c r="AI26" s="2">
        <f>IF(AND(Games[[#This Row],[Type]]="P",Games[[#This Row],[Round]]=3),IF(Games[[#This Row],[Result]]&gt;0.5,1,0),0)</f>
        <v>0</v>
      </c>
      <c r="AJ26" s="2">
        <f>IF(AND(Games[[#This Row],[Type]]="P",Games[[#This Row],[Round]]=3),IF(Games[[#This Row],[Result]]&lt;0.5,1,0),0)</f>
        <v>0</v>
      </c>
      <c r="AK26" s="2">
        <f>IF(AND(Games[[#This Row],[Type]]="P",Games[[#This Row],[Round]]=4),IF(Games[[#This Row],[Result]]&gt;0.5,1,0),0)</f>
        <v>0</v>
      </c>
      <c r="AL26" s="2">
        <f>IF(AND(Games[[#This Row],[Type]]="P",Games[[#This Row],[Round]]=4),IF(Games[[#This Row],[Result]]&lt;0.5,1,0),0)</f>
        <v>0</v>
      </c>
    </row>
    <row r="27" spans="1:38" x14ac:dyDescent="0.35">
      <c r="A27" s="10">
        <v>37771</v>
      </c>
      <c r="B27" s="2">
        <v>2003</v>
      </c>
      <c r="C27" s="2">
        <f>COUNTIFS(Games[Team],Games[[#This Row],[Team]],Games[Season],Games[[#This Row],[Season]],Games[Date],"&lt;=" &amp; Games[[#This Row],[Date]])</f>
        <v>3</v>
      </c>
      <c r="D27" s="2" t="s">
        <v>23</v>
      </c>
      <c r="E27" s="2" t="s">
        <v>29</v>
      </c>
      <c r="F27" s="1" t="s">
        <v>45</v>
      </c>
      <c r="G27" s="1" t="s">
        <v>44</v>
      </c>
      <c r="H27" s="1" t="s">
        <v>15</v>
      </c>
      <c r="I27" s="2" cm="1">
        <f t="array" ref="I27">IFERROR(
    Games[[#This Row],[Date]]
    - LOOKUP(
        2,
        1/((Games[Team]=Games[[#This Row],[Team]]) * (Games[Date] &lt; Games[[#This Row],[Date]])),
        Games[Date]
    )
    - 1,
Games[[#This Row],[Date]]-$A$2)</f>
        <v>5</v>
      </c>
      <c r="J27" s="2" cm="1">
        <f t="array" ref="J2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7" s="2">
        <f>Games[[#This Row],[DaysOff]]-Games[[#This Row],[OppDaysOff]]</f>
        <v>4</v>
      </c>
      <c r="L27" s="2">
        <f>Games[[#This Row],[OppDaysOff]]-Games[[#This Row],[DaysOff]]</f>
        <v>-4</v>
      </c>
      <c r="M27" s="1">
        <f>MAX(-16, MIN(16, Games[[#This Row],[RestDiff]]*8))</f>
        <v>16</v>
      </c>
      <c r="N27" s="1">
        <f>MAX(-16, MIN(16, Games[[#This Row],[OppRestDiff]]*8))</f>
        <v>-16</v>
      </c>
      <c r="O27" s="4" cm="1">
        <f t="array" ref="O2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1517.3141110554229</v>
      </c>
      <c r="P27" s="4" cm="1">
        <f t="array" ref="P2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1418.4501602002274</v>
      </c>
      <c r="Q27" s="4">
        <f>1/(1+10^(((Games[[#This Row],[OppPreGmRate]]+IF(Games[[#This Row],[HomeAway]]="A",HCA,0)+Games[[#This Row],[OppRestAdj]])-(Games[[#This Row],[PreGmRate]]+IF(Games[[#This Row],[HomeAway]]="H",HCA,0)+Games[[#This Row],[RestAdj]]))/400))</f>
        <v>0.77501633825555005</v>
      </c>
      <c r="R27" s="1">
        <v>69</v>
      </c>
      <c r="S27" s="1">
        <v>49</v>
      </c>
      <c r="T27" s="1">
        <v>0</v>
      </c>
      <c r="U27" s="1">
        <f>Games[[#This Row],[PointsFor]]-Games[[#This Row],[PointsAgainst]]</f>
        <v>20</v>
      </c>
      <c r="V27" s="1">
        <f>IF(Games[[#This Row],[MOV]]&gt;0,1,IF(Games[[#This Row],[MOV]]=0,0.5,0))</f>
        <v>1</v>
      </c>
      <c r="W27" s="4">
        <f>((ABS(Games[[#This Row],[MOV]])+5)^0.6)/(12+0.01*(ABS(Games[[#This Row],[PreGmRate]]-Games[[#This Row],[OppPreGmRate]])))*IF(Games[[#This Row],[OT]]=1,0.9,1)</f>
        <v>0.53112939987008478</v>
      </c>
      <c r="X27" s="7" cm="1">
        <f t="array" ref="X2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" s="9">
        <f>MAX(kmin, kmax - 0.15 * MIN(Games[[#This Row],[GamesPlayed]], 82))</f>
        <v>75.55</v>
      </c>
      <c r="Z27" s="4">
        <f>Games[[#This Row],[K]]*Games[[#This Row],[POMult]]</f>
        <v>75.55</v>
      </c>
      <c r="AA27" s="4">
        <f>(Games[[#This Row],[Keff]]*Games[[#This Row],[MOVMult]])*(Games[[#This Row],[Result]]-Games[[#This Row],[ExpectedWin%]])</f>
        <v>9.0278802837013856</v>
      </c>
      <c r="AB27" s="4">
        <f>Games[[#This Row],[PreGmRate]]+Games[[#This Row],[RatingChange]]</f>
        <v>1526.3419913391242</v>
      </c>
      <c r="AC27" s="2">
        <f>IF(Games[[#This Row],[Type]]="R",IF(Games[[#This Row],[Result]]&gt;0.5,1,0),0)</f>
        <v>1</v>
      </c>
      <c r="AD27" s="2">
        <f>IF(Games[[#This Row],[Type]]="R",IF(Games[[#This Row],[Result]]&lt;0.5,1,0),0)</f>
        <v>0</v>
      </c>
      <c r="AE27" s="2">
        <f>IF(AND(Games[[#This Row],[Type]]="P",Games[[#This Row],[Round]]=1),IF(Games[[#This Row],[Result]]&gt;0.5,1,0),0)</f>
        <v>0</v>
      </c>
      <c r="AF27" s="2">
        <f>IF(AND(Games[[#This Row],[Type]]="P",Games[[#This Row],[Round]]=1),IF(Games[[#This Row],[Result]]&lt;0.5,1,0),0)</f>
        <v>0</v>
      </c>
      <c r="AG27" s="2">
        <f>IF(AND(Games[[#This Row],[Type]]="P",Games[[#This Row],[Round]]=2),IF(Games[[#This Row],[Result]]&gt;0.5,1,0),0)</f>
        <v>0</v>
      </c>
      <c r="AH27" s="2">
        <f>IF(AND(Games[[#This Row],[Type]]="P",Games[[#This Row],[Round]]=2),IF(Games[[#This Row],[Result]]&lt;0.5,1,0),0)</f>
        <v>0</v>
      </c>
      <c r="AI27" s="2">
        <f>IF(AND(Games[[#This Row],[Type]]="P",Games[[#This Row],[Round]]=3),IF(Games[[#This Row],[Result]]&gt;0.5,1,0),0)</f>
        <v>0</v>
      </c>
      <c r="AJ27" s="2">
        <f>IF(AND(Games[[#This Row],[Type]]="P",Games[[#This Row],[Round]]=3),IF(Games[[#This Row],[Result]]&lt;0.5,1,0),0)</f>
        <v>0</v>
      </c>
      <c r="AK27" s="2">
        <f>IF(AND(Games[[#This Row],[Type]]="P",Games[[#This Row],[Round]]=4),IF(Games[[#This Row],[Result]]&gt;0.5,1,0),0)</f>
        <v>0</v>
      </c>
      <c r="AL27" s="2">
        <f>IF(AND(Games[[#This Row],[Type]]="P",Games[[#This Row],[Round]]=4),IF(Games[[#This Row],[Result]]&lt;0.5,1,0),0)</f>
        <v>0</v>
      </c>
    </row>
    <row r="28" spans="1:38" x14ac:dyDescent="0.35">
      <c r="A28" s="10">
        <v>37771</v>
      </c>
      <c r="B28" s="2">
        <v>2003</v>
      </c>
      <c r="C28" s="2">
        <f>COUNTIFS(Games[Team],Games[[#This Row],[Team]],Games[Season],Games[[#This Row],[Season]],Games[Date],"&lt;=" &amp; Games[[#This Row],[Date]])</f>
        <v>3</v>
      </c>
      <c r="D28" s="2" t="s">
        <v>23</v>
      </c>
      <c r="E28" s="2" t="s">
        <v>29</v>
      </c>
      <c r="F28" s="1" t="s">
        <v>78</v>
      </c>
      <c r="G28" s="1" t="s">
        <v>85</v>
      </c>
      <c r="H28" s="1" t="s">
        <v>16</v>
      </c>
      <c r="I28" s="2" cm="1">
        <f t="array" ref="I28">IFERROR(
    Games[[#This Row],[Date]]
    - LOOKUP(
        2,
        1/((Games[Team]=Games[[#This Row],[Team]]) * (Games[Date] &lt; Games[[#This Row],[Date]])),
        Games[Date]
    )
    - 1,
Games[[#This Row],[Date]]-$A$2)</f>
        <v>1</v>
      </c>
      <c r="J28" s="2" cm="1">
        <f t="array" ref="J2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8" s="2">
        <f>Games[[#This Row],[DaysOff]]-Games[[#This Row],[OppDaysOff]]</f>
        <v>0</v>
      </c>
      <c r="L28" s="2">
        <f>Games[[#This Row],[OppDaysOff]]-Games[[#This Row],[DaysOff]]</f>
        <v>0</v>
      </c>
      <c r="M28" s="1">
        <f>MAX(-16, MIN(16, Games[[#This Row],[RestDiff]]*8))</f>
        <v>0</v>
      </c>
      <c r="N28" s="1">
        <f>MAX(-16, MIN(16, Games[[#This Row],[OppRestDiff]]*8))</f>
        <v>0</v>
      </c>
      <c r="O28" s="4" cm="1">
        <f t="array" ref="O2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1449.8815950157873</v>
      </c>
      <c r="P28" s="4" cm="1">
        <f t="array" ref="P2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1533.284137049553</v>
      </c>
      <c r="Q28" s="4">
        <f>1/(1+10^(((Games[[#This Row],[OppPreGmRate]]+IF(Games[[#This Row],[HomeAway]]="A",HCA,0)+Games[[#This Row],[OppRestAdj]])-(Games[[#This Row],[PreGmRate]]+IF(Games[[#This Row],[HomeAway]]="H",HCA,0)+Games[[#This Row],[RestAdj]]))/400))</f>
        <v>0.27614870025192922</v>
      </c>
      <c r="R28" s="1">
        <v>75</v>
      </c>
      <c r="S28" s="1">
        <v>65</v>
      </c>
      <c r="T28" s="1">
        <v>0</v>
      </c>
      <c r="U28" s="1">
        <f>Games[[#This Row],[PointsFor]]-Games[[#This Row],[PointsAgainst]]</f>
        <v>10</v>
      </c>
      <c r="V28" s="1">
        <f>IF(Games[[#This Row],[MOV]]&gt;0,1,IF(Games[[#This Row],[MOV]]=0,0.5,0))</f>
        <v>1</v>
      </c>
      <c r="W28" s="4">
        <f>((ABS(Games[[#This Row],[MOV]])+5)^0.6)/(12+0.01*(ABS(Games[[#This Row],[PreGmRate]]-Games[[#This Row],[OppPreGmRate]])))*IF(Games[[#This Row],[OT]]=1,0.9,1)</f>
        <v>0.39563240882639761</v>
      </c>
      <c r="X28" s="7" cm="1">
        <f t="array" ref="X2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" s="9">
        <f>MAX(kmin, kmax - 0.15 * MIN(Games[[#This Row],[GamesPlayed]], 82))</f>
        <v>75.55</v>
      </c>
      <c r="Z28" s="4">
        <f>Games[[#This Row],[K]]*Games[[#This Row],[POMult]]</f>
        <v>75.55</v>
      </c>
      <c r="AA28" s="4">
        <f>(Games[[#This Row],[Keff]]*Games[[#This Row],[MOVMult]])*(Games[[#This Row],[Result]]-Games[[#This Row],[ExpectedWin%]])</f>
        <v>21.635935969701901</v>
      </c>
      <c r="AB28" s="4">
        <f>Games[[#This Row],[PreGmRate]]+Games[[#This Row],[RatingChange]]</f>
        <v>1471.5175309854892</v>
      </c>
      <c r="AC28" s="2">
        <f>IF(Games[[#This Row],[Type]]="R",IF(Games[[#This Row],[Result]]&gt;0.5,1,0),0)</f>
        <v>1</v>
      </c>
      <c r="AD28" s="2">
        <f>IF(Games[[#This Row],[Type]]="R",IF(Games[[#This Row],[Result]]&lt;0.5,1,0),0)</f>
        <v>0</v>
      </c>
      <c r="AE28" s="2">
        <f>IF(AND(Games[[#This Row],[Type]]="P",Games[[#This Row],[Round]]=1),IF(Games[[#This Row],[Result]]&gt;0.5,1,0),0)</f>
        <v>0</v>
      </c>
      <c r="AF28" s="2">
        <f>IF(AND(Games[[#This Row],[Type]]="P",Games[[#This Row],[Round]]=1),IF(Games[[#This Row],[Result]]&lt;0.5,1,0),0)</f>
        <v>0</v>
      </c>
      <c r="AG28" s="2">
        <f>IF(AND(Games[[#This Row],[Type]]="P",Games[[#This Row],[Round]]=2),IF(Games[[#This Row],[Result]]&gt;0.5,1,0),0)</f>
        <v>0</v>
      </c>
      <c r="AH28" s="2">
        <f>IF(AND(Games[[#This Row],[Type]]="P",Games[[#This Row],[Round]]=2),IF(Games[[#This Row],[Result]]&lt;0.5,1,0),0)</f>
        <v>0</v>
      </c>
      <c r="AI28" s="2">
        <f>IF(AND(Games[[#This Row],[Type]]="P",Games[[#This Row],[Round]]=3),IF(Games[[#This Row],[Result]]&gt;0.5,1,0),0)</f>
        <v>0</v>
      </c>
      <c r="AJ28" s="2">
        <f>IF(AND(Games[[#This Row],[Type]]="P",Games[[#This Row],[Round]]=3),IF(Games[[#This Row],[Result]]&lt;0.5,1,0),0)</f>
        <v>0</v>
      </c>
      <c r="AK28" s="2">
        <f>IF(AND(Games[[#This Row],[Type]]="P",Games[[#This Row],[Round]]=4),IF(Games[[#This Row],[Result]]&gt;0.5,1,0),0)</f>
        <v>0</v>
      </c>
      <c r="AL28" s="2">
        <f>IF(AND(Games[[#This Row],[Type]]="P",Games[[#This Row],[Round]]=4),IF(Games[[#This Row],[Result]]&lt;0.5,1,0),0)</f>
        <v>0</v>
      </c>
    </row>
    <row r="29" spans="1:38" x14ac:dyDescent="0.35">
      <c r="A29" s="10">
        <v>37771</v>
      </c>
      <c r="B29" s="2">
        <v>2003</v>
      </c>
      <c r="C29" s="2">
        <f>COUNTIFS(Games[Team],Games[[#This Row],[Team]],Games[Season],Games[[#This Row],[Season]],Games[Date],"&lt;=" &amp; Games[[#This Row],[Date]])</f>
        <v>3</v>
      </c>
      <c r="D29" s="2" t="s">
        <v>23</v>
      </c>
      <c r="E29" s="2" t="s">
        <v>29</v>
      </c>
      <c r="F29" s="1" t="s">
        <v>85</v>
      </c>
      <c r="G29" s="1" t="s">
        <v>78</v>
      </c>
      <c r="H29" s="1" t="s">
        <v>15</v>
      </c>
      <c r="I29" s="2" cm="1">
        <f t="array" ref="I29">IFERROR(
    Games[[#This Row],[Date]]
    - LOOKUP(
        2,
        1/((Games[Team]=Games[[#This Row],[Team]]) * (Games[Date] &lt; Games[[#This Row],[Date]])),
        Games[Date]
    )
    - 1,
Games[[#This Row],[Date]]-$A$2)</f>
        <v>1</v>
      </c>
      <c r="J29" s="2" cm="1">
        <f t="array" ref="J2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9" s="2">
        <f>Games[[#This Row],[DaysOff]]-Games[[#This Row],[OppDaysOff]]</f>
        <v>0</v>
      </c>
      <c r="L29" s="2">
        <f>Games[[#This Row],[OppDaysOff]]-Games[[#This Row],[DaysOff]]</f>
        <v>0</v>
      </c>
      <c r="M29" s="1">
        <f>MAX(-16, MIN(16, Games[[#This Row],[RestDiff]]*8))</f>
        <v>0</v>
      </c>
      <c r="N29" s="1">
        <f>MAX(-16, MIN(16, Games[[#This Row],[OppRestDiff]]*8))</f>
        <v>0</v>
      </c>
      <c r="O29" s="4" cm="1">
        <f t="array" ref="O2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1533.284137049553</v>
      </c>
      <c r="P29" s="4" cm="1">
        <f t="array" ref="P2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1449.8815950157873</v>
      </c>
      <c r="Q29" s="4">
        <f>1/(1+10^(((Games[[#This Row],[OppPreGmRate]]+IF(Games[[#This Row],[HomeAway]]="A",HCA,0)+Games[[#This Row],[OppRestAdj]])-(Games[[#This Row],[PreGmRate]]+IF(Games[[#This Row],[HomeAway]]="H",HCA,0)+Games[[#This Row],[RestAdj]]))/400))</f>
        <v>0.72385129974807083</v>
      </c>
      <c r="R29" s="1">
        <v>65</v>
      </c>
      <c r="S29" s="1">
        <v>75</v>
      </c>
      <c r="T29" s="1">
        <v>0</v>
      </c>
      <c r="U29" s="1">
        <f>Games[[#This Row],[PointsFor]]-Games[[#This Row],[PointsAgainst]]</f>
        <v>-10</v>
      </c>
      <c r="V29" s="1">
        <f>IF(Games[[#This Row],[MOV]]&gt;0,1,IF(Games[[#This Row],[MOV]]=0,0.5,0))</f>
        <v>0</v>
      </c>
      <c r="W29" s="4">
        <f>((ABS(Games[[#This Row],[MOV]])+5)^0.6)/(12+0.01*(ABS(Games[[#This Row],[PreGmRate]]-Games[[#This Row],[OppPreGmRate]])))*IF(Games[[#This Row],[OT]]=1,0.9,1)</f>
        <v>0.39563240882639761</v>
      </c>
      <c r="X29" s="7" cm="1">
        <f t="array" ref="X2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" s="9">
        <f>MAX(kmin, kmax - 0.15 * MIN(Games[[#This Row],[GamesPlayed]], 82))</f>
        <v>75.55</v>
      </c>
      <c r="Z29" s="4">
        <f>Games[[#This Row],[K]]*Games[[#This Row],[POMult]]</f>
        <v>75.55</v>
      </c>
      <c r="AA29" s="4">
        <f>(Games[[#This Row],[Keff]]*Games[[#This Row],[MOVMult]])*(Games[[#This Row],[Result]]-Games[[#This Row],[ExpectedWin%]])</f>
        <v>-21.635935969701901</v>
      </c>
      <c r="AB29" s="4">
        <f>Games[[#This Row],[PreGmRate]]+Games[[#This Row],[RatingChange]]</f>
        <v>1511.6482010798511</v>
      </c>
      <c r="AC29" s="2">
        <f>IF(Games[[#This Row],[Type]]="R",IF(Games[[#This Row],[Result]]&gt;0.5,1,0),0)</f>
        <v>0</v>
      </c>
      <c r="AD29" s="2">
        <f>IF(Games[[#This Row],[Type]]="R",IF(Games[[#This Row],[Result]]&lt;0.5,1,0),0)</f>
        <v>1</v>
      </c>
      <c r="AE29" s="2">
        <f>IF(AND(Games[[#This Row],[Type]]="P",Games[[#This Row],[Round]]=1),IF(Games[[#This Row],[Result]]&gt;0.5,1,0),0)</f>
        <v>0</v>
      </c>
      <c r="AF29" s="2">
        <f>IF(AND(Games[[#This Row],[Type]]="P",Games[[#This Row],[Round]]=1),IF(Games[[#This Row],[Result]]&lt;0.5,1,0),0)</f>
        <v>0</v>
      </c>
      <c r="AG29" s="2">
        <f>IF(AND(Games[[#This Row],[Type]]="P",Games[[#This Row],[Round]]=2),IF(Games[[#This Row],[Result]]&gt;0.5,1,0),0)</f>
        <v>0</v>
      </c>
      <c r="AH29" s="2">
        <f>IF(AND(Games[[#This Row],[Type]]="P",Games[[#This Row],[Round]]=2),IF(Games[[#This Row],[Result]]&lt;0.5,1,0),0)</f>
        <v>0</v>
      </c>
      <c r="AI29" s="2">
        <f>IF(AND(Games[[#This Row],[Type]]="P",Games[[#This Row],[Round]]=3),IF(Games[[#This Row],[Result]]&gt;0.5,1,0),0)</f>
        <v>0</v>
      </c>
      <c r="AJ29" s="2">
        <f>IF(AND(Games[[#This Row],[Type]]="P",Games[[#This Row],[Round]]=3),IF(Games[[#This Row],[Result]]&lt;0.5,1,0),0)</f>
        <v>0</v>
      </c>
      <c r="AK29" s="2">
        <f>IF(AND(Games[[#This Row],[Type]]="P",Games[[#This Row],[Round]]=4),IF(Games[[#This Row],[Result]]&gt;0.5,1,0),0)</f>
        <v>0</v>
      </c>
      <c r="AL29" s="2">
        <f>IF(AND(Games[[#This Row],[Type]]="P",Games[[#This Row],[Round]]=4),IF(Games[[#This Row],[Result]]&lt;0.5,1,0),0)</f>
        <v>0</v>
      </c>
    </row>
    <row r="30" spans="1:38" x14ac:dyDescent="0.35">
      <c r="A30" s="10">
        <v>37771</v>
      </c>
      <c r="B30" s="2">
        <v>2003</v>
      </c>
      <c r="C30" s="2">
        <f>COUNTIFS(Games[Team],Games[[#This Row],[Team]],Games[Season],Games[[#This Row],[Season]],Games[Date],"&lt;=" &amp; Games[[#This Row],[Date]])</f>
        <v>4</v>
      </c>
      <c r="D30" s="2" t="s">
        <v>23</v>
      </c>
      <c r="E30" s="2" t="s">
        <v>29</v>
      </c>
      <c r="F30" s="1" t="s">
        <v>71</v>
      </c>
      <c r="G30" s="1" t="s">
        <v>82</v>
      </c>
      <c r="H30" s="1" t="s">
        <v>16</v>
      </c>
      <c r="I30" s="2" cm="1">
        <f t="array" ref="I30">IFERROR(
    Games[[#This Row],[Date]]
    - LOOKUP(
        2,
        1/((Games[Team]=Games[[#This Row],[Team]]) * (Games[Date] &lt; Games[[#This Row],[Date]])),
        Games[Date]
    )
    - 1,
Games[[#This Row],[Date]]-$A$2)</f>
        <v>1</v>
      </c>
      <c r="J30" s="2" cm="1">
        <f t="array" ref="J30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30" s="2">
        <f>Games[[#This Row],[DaysOff]]-Games[[#This Row],[OppDaysOff]]</f>
        <v>-4</v>
      </c>
      <c r="L30" s="2">
        <f>Games[[#This Row],[OppDaysOff]]-Games[[#This Row],[DaysOff]]</f>
        <v>4</v>
      </c>
      <c r="M30" s="1">
        <f>MAX(-16, MIN(16, Games[[#This Row],[RestDiff]]*8))</f>
        <v>-16</v>
      </c>
      <c r="N30" s="1">
        <f>MAX(-16, MIN(16, Games[[#This Row],[OppRestDiff]]*8))</f>
        <v>16</v>
      </c>
      <c r="O30" s="4" cm="1">
        <f t="array" ref="O3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1653.8178272666169</v>
      </c>
      <c r="P30" s="4" cm="1">
        <f t="array" ref="P3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1487.6200193250791</v>
      </c>
      <c r="Q30" s="4">
        <f>1/(1+10^(((Games[[#This Row],[OppPreGmRate]]+IF(Games[[#This Row],[HomeAway]]="A",HCA,0)+Games[[#This Row],[OppRestAdj]])-(Games[[#This Row],[PreGmRate]]+IF(Games[[#This Row],[HomeAway]]="H",HCA,0)+Games[[#This Row],[RestAdj]]))/400))</f>
        <v>0.57174194801750733</v>
      </c>
      <c r="R30" s="1">
        <v>77</v>
      </c>
      <c r="S30" s="1">
        <v>74</v>
      </c>
      <c r="T30" s="1">
        <v>1</v>
      </c>
      <c r="U30" s="1">
        <f>Games[[#This Row],[PointsFor]]-Games[[#This Row],[PointsAgainst]]</f>
        <v>3</v>
      </c>
      <c r="V30" s="1">
        <f>IF(Games[[#This Row],[MOV]]&gt;0,1,IF(Games[[#This Row],[MOV]]=0,0.5,0))</f>
        <v>1</v>
      </c>
      <c r="W30" s="4">
        <f>((ABS(Games[[#This Row],[MOV]])+5)^0.6)/(12+0.01*(ABS(Games[[#This Row],[PreGmRate]]-Games[[#This Row],[OppPreGmRate]])))*IF(Games[[#This Row],[OT]]=1,0.9,1)</f>
        <v>0.22939445588688545</v>
      </c>
      <c r="X30" s="7" cm="1">
        <f t="array" ref="X3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" s="9">
        <f>MAX(kmin, kmax - 0.15 * MIN(Games[[#This Row],[GamesPlayed]], 82))</f>
        <v>75.400000000000006</v>
      </c>
      <c r="Z30" s="4">
        <f>Games[[#This Row],[K]]*Games[[#This Row],[POMult]]</f>
        <v>75.400000000000006</v>
      </c>
      <c r="AA30" s="4">
        <f>(Games[[#This Row],[Keff]]*Games[[#This Row],[MOVMult]])*(Games[[#This Row],[Result]]-Games[[#This Row],[ExpectedWin%]])</f>
        <v>7.4072977201530872</v>
      </c>
      <c r="AB30" s="4">
        <f>Games[[#This Row],[PreGmRate]]+Games[[#This Row],[RatingChange]]</f>
        <v>1661.22512498677</v>
      </c>
      <c r="AC30" s="2">
        <f>IF(Games[[#This Row],[Type]]="R",IF(Games[[#This Row],[Result]]&gt;0.5,1,0),0)</f>
        <v>1</v>
      </c>
      <c r="AD30" s="2">
        <f>IF(Games[[#This Row],[Type]]="R",IF(Games[[#This Row],[Result]]&lt;0.5,1,0),0)</f>
        <v>0</v>
      </c>
      <c r="AE30" s="2">
        <f>IF(AND(Games[[#This Row],[Type]]="P",Games[[#This Row],[Round]]=1),IF(Games[[#This Row],[Result]]&gt;0.5,1,0),0)</f>
        <v>0</v>
      </c>
      <c r="AF30" s="2">
        <f>IF(AND(Games[[#This Row],[Type]]="P",Games[[#This Row],[Round]]=1),IF(Games[[#This Row],[Result]]&lt;0.5,1,0),0)</f>
        <v>0</v>
      </c>
      <c r="AG30" s="2">
        <f>IF(AND(Games[[#This Row],[Type]]="P",Games[[#This Row],[Round]]=2),IF(Games[[#This Row],[Result]]&gt;0.5,1,0),0)</f>
        <v>0</v>
      </c>
      <c r="AH30" s="2">
        <f>IF(AND(Games[[#This Row],[Type]]="P",Games[[#This Row],[Round]]=2),IF(Games[[#This Row],[Result]]&lt;0.5,1,0),0)</f>
        <v>0</v>
      </c>
      <c r="AI30" s="2">
        <f>IF(AND(Games[[#This Row],[Type]]="P",Games[[#This Row],[Round]]=3),IF(Games[[#This Row],[Result]]&gt;0.5,1,0),0)</f>
        <v>0</v>
      </c>
      <c r="AJ30" s="2">
        <f>IF(AND(Games[[#This Row],[Type]]="P",Games[[#This Row],[Round]]=3),IF(Games[[#This Row],[Result]]&lt;0.5,1,0),0)</f>
        <v>0</v>
      </c>
      <c r="AK30" s="2">
        <f>IF(AND(Games[[#This Row],[Type]]="P",Games[[#This Row],[Round]]=4),IF(Games[[#This Row],[Result]]&gt;0.5,1,0),0)</f>
        <v>0</v>
      </c>
      <c r="AL30" s="2">
        <f>IF(AND(Games[[#This Row],[Type]]="P",Games[[#This Row],[Round]]=4),IF(Games[[#This Row],[Result]]&lt;0.5,1,0),0)</f>
        <v>0</v>
      </c>
    </row>
    <row r="31" spans="1:38" x14ac:dyDescent="0.35">
      <c r="A31" s="10">
        <v>37771</v>
      </c>
      <c r="B31" s="2">
        <v>2003</v>
      </c>
      <c r="C31" s="2">
        <f>COUNTIFS(Games[Team],Games[[#This Row],[Team]],Games[Season],Games[[#This Row],[Season]],Games[Date],"&lt;=" &amp; Games[[#This Row],[Date]])</f>
        <v>3</v>
      </c>
      <c r="D31" s="2" t="s">
        <v>23</v>
      </c>
      <c r="E31" s="2" t="s">
        <v>29</v>
      </c>
      <c r="F31" s="1" t="s">
        <v>82</v>
      </c>
      <c r="G31" s="1" t="s">
        <v>71</v>
      </c>
      <c r="H31" s="1" t="s">
        <v>15</v>
      </c>
      <c r="I31" s="2" cm="1">
        <f t="array" ref="I31">IFERROR(
    Games[[#This Row],[Date]]
    - LOOKUP(
        2,
        1/((Games[Team]=Games[[#This Row],[Team]]) * (Games[Date] &lt; Games[[#This Row],[Date]])),
        Games[Date]
    )
    - 1,
Games[[#This Row],[Date]]-$A$2)</f>
        <v>5</v>
      </c>
      <c r="J31" s="2" cm="1">
        <f t="array" ref="J3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1" s="2">
        <f>Games[[#This Row],[DaysOff]]-Games[[#This Row],[OppDaysOff]]</f>
        <v>4</v>
      </c>
      <c r="L31" s="2">
        <f>Games[[#This Row],[OppDaysOff]]-Games[[#This Row],[DaysOff]]</f>
        <v>-4</v>
      </c>
      <c r="M31" s="1">
        <f>MAX(-16, MIN(16, Games[[#This Row],[RestDiff]]*8))</f>
        <v>16</v>
      </c>
      <c r="N31" s="1">
        <f>MAX(-16, MIN(16, Games[[#This Row],[OppRestDiff]]*8))</f>
        <v>-16</v>
      </c>
      <c r="O31" s="4" cm="1">
        <f t="array" ref="O3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1487.6200193250791</v>
      </c>
      <c r="P31" s="4" cm="1">
        <f t="array" ref="P3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1653.8178272666169</v>
      </c>
      <c r="Q31" s="4">
        <f>1/(1+10^(((Games[[#This Row],[OppPreGmRate]]+IF(Games[[#This Row],[HomeAway]]="A",HCA,0)+Games[[#This Row],[OppRestAdj]])-(Games[[#This Row],[PreGmRate]]+IF(Games[[#This Row],[HomeAway]]="H",HCA,0)+Games[[#This Row],[RestAdj]]))/400))</f>
        <v>0.42825805198249262</v>
      </c>
      <c r="R31" s="1">
        <v>74</v>
      </c>
      <c r="S31" s="1">
        <v>77</v>
      </c>
      <c r="T31" s="1">
        <v>1</v>
      </c>
      <c r="U31" s="1">
        <f>Games[[#This Row],[PointsFor]]-Games[[#This Row],[PointsAgainst]]</f>
        <v>-3</v>
      </c>
      <c r="V31" s="1">
        <f>IF(Games[[#This Row],[MOV]]&gt;0,1,IF(Games[[#This Row],[MOV]]=0,0.5,0))</f>
        <v>0</v>
      </c>
      <c r="W31" s="4">
        <f>((ABS(Games[[#This Row],[MOV]])+5)^0.6)/(12+0.01*(ABS(Games[[#This Row],[PreGmRate]]-Games[[#This Row],[OppPreGmRate]])))*IF(Games[[#This Row],[OT]]=1,0.9,1)</f>
        <v>0.22939445588688545</v>
      </c>
      <c r="X31" s="7" cm="1">
        <f t="array" ref="X3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" s="9">
        <f>MAX(kmin, kmax - 0.15 * MIN(Games[[#This Row],[GamesPlayed]], 82))</f>
        <v>75.55</v>
      </c>
      <c r="Z31" s="4">
        <f>Games[[#This Row],[K]]*Games[[#This Row],[POMult]]</f>
        <v>75.55</v>
      </c>
      <c r="AA31" s="4">
        <f>(Games[[#This Row],[Keff]]*Games[[#This Row],[MOVMult]])*(Games[[#This Row],[Result]]-Games[[#This Row],[ExpectedWin%]])</f>
        <v>-7.4220337235751401</v>
      </c>
      <c r="AB31" s="4">
        <f>Games[[#This Row],[PreGmRate]]+Games[[#This Row],[RatingChange]]</f>
        <v>1480.1979856015039</v>
      </c>
      <c r="AC31" s="2">
        <f>IF(Games[[#This Row],[Type]]="R",IF(Games[[#This Row],[Result]]&gt;0.5,1,0),0)</f>
        <v>0</v>
      </c>
      <c r="AD31" s="2">
        <f>IF(Games[[#This Row],[Type]]="R",IF(Games[[#This Row],[Result]]&lt;0.5,1,0),0)</f>
        <v>1</v>
      </c>
      <c r="AE31" s="2">
        <f>IF(AND(Games[[#This Row],[Type]]="P",Games[[#This Row],[Round]]=1),IF(Games[[#This Row],[Result]]&gt;0.5,1,0),0)</f>
        <v>0</v>
      </c>
      <c r="AF31" s="2">
        <f>IF(AND(Games[[#This Row],[Type]]="P",Games[[#This Row],[Round]]=1),IF(Games[[#This Row],[Result]]&lt;0.5,1,0),0)</f>
        <v>0</v>
      </c>
      <c r="AG31" s="2">
        <f>IF(AND(Games[[#This Row],[Type]]="P",Games[[#This Row],[Round]]=2),IF(Games[[#This Row],[Result]]&gt;0.5,1,0),0)</f>
        <v>0</v>
      </c>
      <c r="AH31" s="2">
        <f>IF(AND(Games[[#This Row],[Type]]="P",Games[[#This Row],[Round]]=2),IF(Games[[#This Row],[Result]]&lt;0.5,1,0),0)</f>
        <v>0</v>
      </c>
      <c r="AI31" s="2">
        <f>IF(AND(Games[[#This Row],[Type]]="P",Games[[#This Row],[Round]]=3),IF(Games[[#This Row],[Result]]&gt;0.5,1,0),0)</f>
        <v>0</v>
      </c>
      <c r="AJ31" s="2">
        <f>IF(AND(Games[[#This Row],[Type]]="P",Games[[#This Row],[Round]]=3),IF(Games[[#This Row],[Result]]&lt;0.5,1,0),0)</f>
        <v>0</v>
      </c>
      <c r="AK31" s="2">
        <f>IF(AND(Games[[#This Row],[Type]]="P",Games[[#This Row],[Round]]=4),IF(Games[[#This Row],[Result]]&gt;0.5,1,0),0)</f>
        <v>0</v>
      </c>
      <c r="AL31" s="2">
        <f>IF(AND(Games[[#This Row],[Type]]="P",Games[[#This Row],[Round]]=4),IF(Games[[#This Row],[Result]]&lt;0.5,1,0),0)</f>
        <v>0</v>
      </c>
    </row>
    <row r="32" spans="1:38" x14ac:dyDescent="0.35">
      <c r="A32" s="10">
        <v>37772</v>
      </c>
      <c r="B32" s="2">
        <v>2003</v>
      </c>
      <c r="C32" s="2">
        <f>COUNTIFS(Games[Team],Games[[#This Row],[Team]],Games[Season],Games[[#This Row],[Season]],Games[Date],"&lt;=" &amp; Games[[#This Row],[Date]])</f>
        <v>1</v>
      </c>
      <c r="D32" s="2" t="s">
        <v>23</v>
      </c>
      <c r="E32" s="2" t="s">
        <v>29</v>
      </c>
      <c r="F32" s="1" t="s">
        <v>66</v>
      </c>
      <c r="G32" s="1" t="s">
        <v>1</v>
      </c>
      <c r="H32" s="1" t="s">
        <v>16</v>
      </c>
      <c r="I32" s="2" cm="1">
        <f t="array" ref="I32">IFERROR(
    Games[[#This Row],[Date]]
    - LOOKUP(
        2,
        1/((Games[Team]=Games[[#This Row],[Team]]) * (Games[Date] &lt; Games[[#This Row],[Date]])),
        Games[Date]
    )
    - 1,
Games[[#This Row],[Date]]-$A$2)</f>
        <v>9</v>
      </c>
      <c r="J32" s="2" cm="1">
        <f t="array" ref="J32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2" s="2">
        <f>Games[[#This Row],[DaysOff]]-Games[[#This Row],[OppDaysOff]]</f>
        <v>6</v>
      </c>
      <c r="L32" s="2">
        <f>Games[[#This Row],[OppDaysOff]]-Games[[#This Row],[DaysOff]]</f>
        <v>-6</v>
      </c>
      <c r="M32" s="1">
        <f>MAX(-16, MIN(16, Games[[#This Row],[RestDiff]]*8))</f>
        <v>16</v>
      </c>
      <c r="N32" s="1">
        <f>MAX(-16, MIN(16, Games[[#This Row],[OppRestDiff]]*8))</f>
        <v>-16</v>
      </c>
      <c r="O32" s="4" cm="1">
        <f t="array" ref="O3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1520.1627094757114</v>
      </c>
      <c r="P32" s="4" cm="1">
        <f t="array" ref="P3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1441.1515837547802</v>
      </c>
      <c r="Q32" s="4">
        <f>1/(1+10^(((Games[[#This Row],[OppPreGmRate]]+IF(Games[[#This Row],[HomeAway]]="A",HCA,0)+Games[[#This Row],[OppRestAdj]])-(Games[[#This Row],[PreGmRate]]+IF(Games[[#This Row],[HomeAway]]="H",HCA,0)+Games[[#This Row],[RestAdj]]))/400))</f>
        <v>0.53879400691036761</v>
      </c>
      <c r="R32" s="1">
        <v>50</v>
      </c>
      <c r="S32" s="1">
        <v>74</v>
      </c>
      <c r="T32" s="1">
        <v>0</v>
      </c>
      <c r="U32" s="1">
        <f>Games[[#This Row],[PointsFor]]-Games[[#This Row],[PointsAgainst]]</f>
        <v>-24</v>
      </c>
      <c r="V32" s="1">
        <f>IF(Games[[#This Row],[MOV]]&gt;0,1,IF(Games[[#This Row],[MOV]]=0,0.5,0))</f>
        <v>0</v>
      </c>
      <c r="W32" s="4">
        <f>((ABS(Games[[#This Row],[MOV]])+5)^0.6)/(12+0.01*(ABS(Games[[#This Row],[PreGmRate]]-Games[[#This Row],[OppPreGmRate]])))*IF(Games[[#This Row],[OT]]=1,0.9,1)</f>
        <v>0.58960950547845803</v>
      </c>
      <c r="X32" s="7" cm="1">
        <f t="array" ref="X3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" s="9">
        <f>MAX(kmin, kmax - 0.15 * MIN(Games[[#This Row],[GamesPlayed]], 82))</f>
        <v>75.849999999999994</v>
      </c>
      <c r="Z32" s="4">
        <f>Games[[#This Row],[K]]*Games[[#This Row],[POMult]]</f>
        <v>75.849999999999994</v>
      </c>
      <c r="AA32" s="4">
        <f>(Games[[#This Row],[Keff]]*Games[[#This Row],[MOVMult]])*(Games[[#This Row],[Result]]-Games[[#This Row],[ExpectedWin%]])</f>
        <v>-24.095881455462205</v>
      </c>
      <c r="AB32" s="4">
        <f>Games[[#This Row],[PreGmRate]]+Games[[#This Row],[RatingChange]]</f>
        <v>1496.0668280202492</v>
      </c>
      <c r="AC32" s="2">
        <f>IF(Games[[#This Row],[Type]]="R",IF(Games[[#This Row],[Result]]&gt;0.5,1,0),0)</f>
        <v>0</v>
      </c>
      <c r="AD32" s="2">
        <f>IF(Games[[#This Row],[Type]]="R",IF(Games[[#This Row],[Result]]&lt;0.5,1,0),0)</f>
        <v>1</v>
      </c>
      <c r="AE32" s="2">
        <f>IF(AND(Games[[#This Row],[Type]]="P",Games[[#This Row],[Round]]=1),IF(Games[[#This Row],[Result]]&gt;0.5,1,0),0)</f>
        <v>0</v>
      </c>
      <c r="AF32" s="2">
        <f>IF(AND(Games[[#This Row],[Type]]="P",Games[[#This Row],[Round]]=1),IF(Games[[#This Row],[Result]]&lt;0.5,1,0),0)</f>
        <v>0</v>
      </c>
      <c r="AG32" s="2">
        <f>IF(AND(Games[[#This Row],[Type]]="P",Games[[#This Row],[Round]]=2),IF(Games[[#This Row],[Result]]&gt;0.5,1,0),0)</f>
        <v>0</v>
      </c>
      <c r="AH32" s="2">
        <f>IF(AND(Games[[#This Row],[Type]]="P",Games[[#This Row],[Round]]=2),IF(Games[[#This Row],[Result]]&lt;0.5,1,0),0)</f>
        <v>0</v>
      </c>
      <c r="AI32" s="2">
        <f>IF(AND(Games[[#This Row],[Type]]="P",Games[[#This Row],[Round]]=3),IF(Games[[#This Row],[Result]]&gt;0.5,1,0),0)</f>
        <v>0</v>
      </c>
      <c r="AJ32" s="2">
        <f>IF(AND(Games[[#This Row],[Type]]="P",Games[[#This Row],[Round]]=3),IF(Games[[#This Row],[Result]]&lt;0.5,1,0),0)</f>
        <v>0</v>
      </c>
      <c r="AK32" s="2">
        <f>IF(AND(Games[[#This Row],[Type]]="P",Games[[#This Row],[Round]]=4),IF(Games[[#This Row],[Result]]&gt;0.5,1,0),0)</f>
        <v>0</v>
      </c>
      <c r="AL32" s="2">
        <f>IF(AND(Games[[#This Row],[Type]]="P",Games[[#This Row],[Round]]=4),IF(Games[[#This Row],[Result]]&lt;0.5,1,0),0)</f>
        <v>0</v>
      </c>
    </row>
    <row r="33" spans="1:38" x14ac:dyDescent="0.35">
      <c r="A33" s="10">
        <v>37772</v>
      </c>
      <c r="B33" s="2">
        <v>2003</v>
      </c>
      <c r="C33" s="2">
        <f>COUNTIFS(Games[Team],Games[[#This Row],[Team]],Games[Season],Games[[#This Row],[Season]],Games[Date],"&lt;=" &amp; Games[[#This Row],[Date]])</f>
        <v>2</v>
      </c>
      <c r="D33" s="2" t="s">
        <v>23</v>
      </c>
      <c r="E33" s="2" t="s">
        <v>29</v>
      </c>
      <c r="F33" s="1" t="s">
        <v>1</v>
      </c>
      <c r="G33" s="1" t="s">
        <v>66</v>
      </c>
      <c r="H33" s="1" t="s">
        <v>15</v>
      </c>
      <c r="I33" s="2" cm="1">
        <f t="array" ref="I33">IFERROR(
    Games[[#This Row],[Date]]
    - LOOKUP(
        2,
        1/((Games[Team]=Games[[#This Row],[Team]]) * (Games[Date] &lt; Games[[#This Row],[Date]])),
        Games[Date]
    )
    - 1,
Games[[#This Row],[Date]]-$A$2)</f>
        <v>3</v>
      </c>
      <c r="J33" s="2" cm="1">
        <f t="array" ref="J33">IFERROR(
    Games[[#This Row],[Date]]
    - LOOKUP(
        2,
        1/((Games[Opponent]=Games[[#This Row],[Opponent]]) * (Games[Date] &lt; Games[[#This Row],[Date]])),
        Games[Date]
    )
    - 1,
Games[[#This Row],[Date]]-$A$2)</f>
        <v>9</v>
      </c>
      <c r="K33" s="2">
        <f>Games[[#This Row],[DaysOff]]-Games[[#This Row],[OppDaysOff]]</f>
        <v>-6</v>
      </c>
      <c r="L33" s="2">
        <f>Games[[#This Row],[OppDaysOff]]-Games[[#This Row],[DaysOff]]</f>
        <v>6</v>
      </c>
      <c r="M33" s="1">
        <f>MAX(-16, MIN(16, Games[[#This Row],[RestDiff]]*8))</f>
        <v>-16</v>
      </c>
      <c r="N33" s="1">
        <f>MAX(-16, MIN(16, Games[[#This Row],[OppRestDiff]]*8))</f>
        <v>16</v>
      </c>
      <c r="O33" s="4" cm="1">
        <f t="array" ref="O3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1441.1515837547802</v>
      </c>
      <c r="P33" s="4" cm="1">
        <f t="array" ref="P3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1520.1627094757114</v>
      </c>
      <c r="Q33" s="4">
        <f>1/(1+10^(((Games[[#This Row],[OppPreGmRate]]+IF(Games[[#This Row],[HomeAway]]="A",HCA,0)+Games[[#This Row],[OppRestAdj]])-(Games[[#This Row],[PreGmRate]]+IF(Games[[#This Row],[HomeAway]]="H",HCA,0)+Games[[#This Row],[RestAdj]]))/400))</f>
        <v>0.46120599308963234</v>
      </c>
      <c r="R33" s="1">
        <v>74</v>
      </c>
      <c r="S33" s="1">
        <v>50</v>
      </c>
      <c r="T33" s="1">
        <v>0</v>
      </c>
      <c r="U33" s="1">
        <f>Games[[#This Row],[PointsFor]]-Games[[#This Row],[PointsAgainst]]</f>
        <v>24</v>
      </c>
      <c r="V33" s="1">
        <f>IF(Games[[#This Row],[MOV]]&gt;0,1,IF(Games[[#This Row],[MOV]]=0,0.5,0))</f>
        <v>1</v>
      </c>
      <c r="W33" s="4">
        <f>((ABS(Games[[#This Row],[MOV]])+5)^0.6)/(12+0.01*(ABS(Games[[#This Row],[PreGmRate]]-Games[[#This Row],[OppPreGmRate]])))*IF(Games[[#This Row],[OT]]=1,0.9,1)</f>
        <v>0.58960950547845803</v>
      </c>
      <c r="X33" s="7" cm="1">
        <f t="array" ref="X3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" s="9">
        <f>MAX(kmin, kmax - 0.15 * MIN(Games[[#This Row],[GamesPlayed]], 82))</f>
        <v>75.7</v>
      </c>
      <c r="Z33" s="4">
        <f>Games[[#This Row],[K]]*Games[[#This Row],[POMult]]</f>
        <v>75.7</v>
      </c>
      <c r="AA33" s="4">
        <f>(Games[[#This Row],[Keff]]*Games[[#This Row],[MOVMult]])*(Games[[#This Row],[Result]]-Games[[#This Row],[ExpectedWin%]])</f>
        <v>24.048229745266831</v>
      </c>
      <c r="AB33" s="4">
        <f>Games[[#This Row],[PreGmRate]]+Games[[#This Row],[RatingChange]]</f>
        <v>1465.199813500047</v>
      </c>
      <c r="AC33" s="2">
        <f>IF(Games[[#This Row],[Type]]="R",IF(Games[[#This Row],[Result]]&gt;0.5,1,0),0)</f>
        <v>1</v>
      </c>
      <c r="AD33" s="2">
        <f>IF(Games[[#This Row],[Type]]="R",IF(Games[[#This Row],[Result]]&lt;0.5,1,0),0)</f>
        <v>0</v>
      </c>
      <c r="AE33" s="2">
        <f>IF(AND(Games[[#This Row],[Type]]="P",Games[[#This Row],[Round]]=1),IF(Games[[#This Row],[Result]]&gt;0.5,1,0),0)</f>
        <v>0</v>
      </c>
      <c r="AF33" s="2">
        <f>IF(AND(Games[[#This Row],[Type]]="P",Games[[#This Row],[Round]]=1),IF(Games[[#This Row],[Result]]&lt;0.5,1,0),0)</f>
        <v>0</v>
      </c>
      <c r="AG33" s="2">
        <f>IF(AND(Games[[#This Row],[Type]]="P",Games[[#This Row],[Round]]=2),IF(Games[[#This Row],[Result]]&gt;0.5,1,0),0)</f>
        <v>0</v>
      </c>
      <c r="AH33" s="2">
        <f>IF(AND(Games[[#This Row],[Type]]="P",Games[[#This Row],[Round]]=2),IF(Games[[#This Row],[Result]]&lt;0.5,1,0),0)</f>
        <v>0</v>
      </c>
      <c r="AI33" s="2">
        <f>IF(AND(Games[[#This Row],[Type]]="P",Games[[#This Row],[Round]]=3),IF(Games[[#This Row],[Result]]&gt;0.5,1,0),0)</f>
        <v>0</v>
      </c>
      <c r="AJ33" s="2">
        <f>IF(AND(Games[[#This Row],[Type]]="P",Games[[#This Row],[Round]]=3),IF(Games[[#This Row],[Result]]&lt;0.5,1,0),0)</f>
        <v>0</v>
      </c>
      <c r="AK33" s="2">
        <f>IF(AND(Games[[#This Row],[Type]]="P",Games[[#This Row],[Round]]=4),IF(Games[[#This Row],[Result]]&gt;0.5,1,0),0)</f>
        <v>0</v>
      </c>
      <c r="AL33" s="2">
        <f>IF(AND(Games[[#This Row],[Type]]="P",Games[[#This Row],[Round]]=4),IF(Games[[#This Row],[Result]]&lt;0.5,1,0),0)</f>
        <v>0</v>
      </c>
    </row>
    <row r="34" spans="1:38" x14ac:dyDescent="0.35">
      <c r="A34" s="10">
        <v>37772</v>
      </c>
      <c r="B34" s="2">
        <v>2003</v>
      </c>
      <c r="C34" s="2">
        <f>COUNTIFS(Games[Team],Games[[#This Row],[Team]],Games[Season],Games[[#This Row],[Season]],Games[Date],"&lt;=" &amp; Games[[#This Row],[Date]])</f>
        <v>3</v>
      </c>
      <c r="D34" s="2" t="s">
        <v>23</v>
      </c>
      <c r="E34" s="2" t="s">
        <v>29</v>
      </c>
      <c r="F34" s="1" t="s">
        <v>64</v>
      </c>
      <c r="G34" s="1" t="s">
        <v>76</v>
      </c>
      <c r="H34" s="1" t="s">
        <v>16</v>
      </c>
      <c r="I34" s="2" cm="1">
        <f t="array" ref="I34">IFERROR(
    Games[[#This Row],[Date]]
    - LOOKUP(
        2,
        1/((Games[Team]=Games[[#This Row],[Team]]) * (Games[Date] &lt; Games[[#This Row],[Date]])),
        Games[Date]
    )
    - 1,
Games[[#This Row],[Date]]-$A$2)</f>
        <v>1</v>
      </c>
      <c r="J34" s="2" cm="1">
        <f t="array" ref="J34">IFERROR(
    Games[[#This Row],[Date]]
    - LOOKUP(
        2,
        1/((Games[Opponent]=Games[[#This Row],[Opponent]]) * (Games[Date] &lt; Games[[#This Row],[Date]])),
        Games[Date]
    )
    - 1,
Games[[#This Row],[Date]]-$A$2)</f>
        <v>9</v>
      </c>
      <c r="K34" s="2">
        <f>Games[[#This Row],[DaysOff]]-Games[[#This Row],[OppDaysOff]]</f>
        <v>-8</v>
      </c>
      <c r="L34" s="2">
        <f>Games[[#This Row],[OppDaysOff]]-Games[[#This Row],[DaysOff]]</f>
        <v>8</v>
      </c>
      <c r="M34" s="1">
        <f>MAX(-16, MIN(16, Games[[#This Row],[RestDiff]]*8))</f>
        <v>-16</v>
      </c>
      <c r="N34" s="1">
        <f>MAX(-16, MIN(16, Games[[#This Row],[OppRestDiff]]*8))</f>
        <v>16</v>
      </c>
      <c r="O34" s="4" cm="1">
        <f t="array" ref="O3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1506.0634604908653</v>
      </c>
      <c r="P34" s="4" cm="1">
        <f t="array" ref="P3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1441.1417409479448</v>
      </c>
      <c r="Q34" s="4">
        <f>1/(1+10^(((Games[[#This Row],[OppPreGmRate]]+IF(Games[[#This Row],[HomeAway]]="A",HCA,0)+Games[[#This Row],[OppRestAdj]])-(Games[[#This Row],[PreGmRate]]+IF(Games[[#This Row],[HomeAway]]="H",HCA,0)+Games[[#This Row],[RestAdj]]))/400))</f>
        <v>0.42701749054340615</v>
      </c>
      <c r="R34" s="1">
        <v>70</v>
      </c>
      <c r="S34" s="1">
        <v>67</v>
      </c>
      <c r="T34" s="1">
        <v>0</v>
      </c>
      <c r="U34" s="1">
        <f>Games[[#This Row],[PointsFor]]-Games[[#This Row],[PointsAgainst]]</f>
        <v>3</v>
      </c>
      <c r="V34" s="1">
        <f>IF(Games[[#This Row],[MOV]]&gt;0,1,IF(Games[[#This Row],[MOV]]=0,0.5,0))</f>
        <v>1</v>
      </c>
      <c r="W34" s="4">
        <f>((ABS(Games[[#This Row],[MOV]])+5)^0.6)/(12+0.01*(ABS(Games[[#This Row],[PreGmRate]]-Games[[#This Row],[OppPreGmRate]])))*IF(Games[[#This Row],[OT]]=1,0.9,1)</f>
        <v>0.27528994082280367</v>
      </c>
      <c r="X34" s="7" cm="1">
        <f t="array" ref="X3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" s="9">
        <f>MAX(kmin, kmax - 0.15 * MIN(Games[[#This Row],[GamesPlayed]], 82))</f>
        <v>75.55</v>
      </c>
      <c r="Z34" s="4">
        <f>Games[[#This Row],[K]]*Games[[#This Row],[POMult]]</f>
        <v>75.55</v>
      </c>
      <c r="AA34" s="4">
        <f>(Games[[#This Row],[Keff]]*Games[[#This Row],[MOVMult]])*(Games[[#This Row],[Result]]-Games[[#This Row],[ExpectedWin%]])</f>
        <v>11.91697906067699</v>
      </c>
      <c r="AB34" s="4">
        <f>Games[[#This Row],[PreGmRate]]+Games[[#This Row],[RatingChange]]</f>
        <v>1517.9804395515423</v>
      </c>
      <c r="AC34" s="2">
        <f>IF(Games[[#This Row],[Type]]="R",IF(Games[[#This Row],[Result]]&gt;0.5,1,0),0)</f>
        <v>1</v>
      </c>
      <c r="AD34" s="2">
        <f>IF(Games[[#This Row],[Type]]="R",IF(Games[[#This Row],[Result]]&lt;0.5,1,0),0)</f>
        <v>0</v>
      </c>
      <c r="AE34" s="2">
        <f>IF(AND(Games[[#This Row],[Type]]="P",Games[[#This Row],[Round]]=1),IF(Games[[#This Row],[Result]]&gt;0.5,1,0),0)</f>
        <v>0</v>
      </c>
      <c r="AF34" s="2">
        <f>IF(AND(Games[[#This Row],[Type]]="P",Games[[#This Row],[Round]]=1),IF(Games[[#This Row],[Result]]&lt;0.5,1,0),0)</f>
        <v>0</v>
      </c>
      <c r="AG34" s="2">
        <f>IF(AND(Games[[#This Row],[Type]]="P",Games[[#This Row],[Round]]=2),IF(Games[[#This Row],[Result]]&gt;0.5,1,0),0)</f>
        <v>0</v>
      </c>
      <c r="AH34" s="2">
        <f>IF(AND(Games[[#This Row],[Type]]="P",Games[[#This Row],[Round]]=2),IF(Games[[#This Row],[Result]]&lt;0.5,1,0),0)</f>
        <v>0</v>
      </c>
      <c r="AI34" s="2">
        <f>IF(AND(Games[[#This Row],[Type]]="P",Games[[#This Row],[Round]]=3),IF(Games[[#This Row],[Result]]&gt;0.5,1,0),0)</f>
        <v>0</v>
      </c>
      <c r="AJ34" s="2">
        <f>IF(AND(Games[[#This Row],[Type]]="P",Games[[#This Row],[Round]]=3),IF(Games[[#This Row],[Result]]&lt;0.5,1,0),0)</f>
        <v>0</v>
      </c>
      <c r="AK34" s="2">
        <f>IF(AND(Games[[#This Row],[Type]]="P",Games[[#This Row],[Round]]=4),IF(Games[[#This Row],[Result]]&gt;0.5,1,0),0)</f>
        <v>0</v>
      </c>
      <c r="AL34" s="2">
        <f>IF(AND(Games[[#This Row],[Type]]="P",Games[[#This Row],[Round]]=4),IF(Games[[#This Row],[Result]]&lt;0.5,1,0),0)</f>
        <v>0</v>
      </c>
    </row>
    <row r="35" spans="1:38" x14ac:dyDescent="0.35">
      <c r="A35" s="10">
        <v>37772</v>
      </c>
      <c r="B35" s="2">
        <v>2003</v>
      </c>
      <c r="C35" s="2">
        <f>COUNTIFS(Games[Team],Games[[#This Row],[Team]],Games[Season],Games[[#This Row],[Season]],Games[Date],"&lt;=" &amp; Games[[#This Row],[Date]])</f>
        <v>1</v>
      </c>
      <c r="D35" s="2" t="s">
        <v>23</v>
      </c>
      <c r="E35" s="2" t="s">
        <v>29</v>
      </c>
      <c r="F35" s="1" t="s">
        <v>76</v>
      </c>
      <c r="G35" s="1" t="s">
        <v>64</v>
      </c>
      <c r="H35" s="1" t="s">
        <v>15</v>
      </c>
      <c r="I35" s="2" cm="1">
        <f t="array" ref="I35">IFERROR(
    Games[[#This Row],[Date]]
    - LOOKUP(
        2,
        1/((Games[Team]=Games[[#This Row],[Team]]) * (Games[Date] &lt; Games[[#This Row],[Date]])),
        Games[Date]
    )
    - 1,
Games[[#This Row],[Date]]-$A$2)</f>
        <v>9</v>
      </c>
      <c r="J35" s="2" cm="1">
        <f t="array" ref="J3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5" s="2">
        <f>Games[[#This Row],[DaysOff]]-Games[[#This Row],[OppDaysOff]]</f>
        <v>8</v>
      </c>
      <c r="L35" s="2">
        <f>Games[[#This Row],[OppDaysOff]]-Games[[#This Row],[DaysOff]]</f>
        <v>-8</v>
      </c>
      <c r="M35" s="1">
        <f>MAX(-16, MIN(16, Games[[#This Row],[RestDiff]]*8))</f>
        <v>16</v>
      </c>
      <c r="N35" s="1">
        <f>MAX(-16, MIN(16, Games[[#This Row],[OppRestDiff]]*8))</f>
        <v>-16</v>
      </c>
      <c r="O35" s="4" cm="1">
        <f t="array" ref="O3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1441.1417409479448</v>
      </c>
      <c r="P35" s="4" cm="1">
        <f t="array" ref="P3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1506.0634604908653</v>
      </c>
      <c r="Q35" s="4">
        <f>1/(1+10^(((Games[[#This Row],[OppPreGmRate]]+IF(Games[[#This Row],[HomeAway]]="A",HCA,0)+Games[[#This Row],[OppRestAdj]])-(Games[[#This Row],[PreGmRate]]+IF(Games[[#This Row],[HomeAway]]="H",HCA,0)+Games[[#This Row],[RestAdj]]))/400))</f>
        <v>0.5729825094565939</v>
      </c>
      <c r="R35" s="1">
        <v>67</v>
      </c>
      <c r="S35" s="1">
        <v>70</v>
      </c>
      <c r="T35" s="1">
        <v>0</v>
      </c>
      <c r="U35" s="1">
        <f>Games[[#This Row],[PointsFor]]-Games[[#This Row],[PointsAgainst]]</f>
        <v>-3</v>
      </c>
      <c r="V35" s="1">
        <f>IF(Games[[#This Row],[MOV]]&gt;0,1,IF(Games[[#This Row],[MOV]]=0,0.5,0))</f>
        <v>0</v>
      </c>
      <c r="W35" s="4">
        <f>((ABS(Games[[#This Row],[MOV]])+5)^0.6)/(12+0.01*(ABS(Games[[#This Row],[PreGmRate]]-Games[[#This Row],[OppPreGmRate]])))*IF(Games[[#This Row],[OT]]=1,0.9,1)</f>
        <v>0.27528994082280367</v>
      </c>
      <c r="X35" s="7" cm="1">
        <f t="array" ref="X3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" s="9">
        <f>MAX(kmin, kmax - 0.15 * MIN(Games[[#This Row],[GamesPlayed]], 82))</f>
        <v>75.849999999999994</v>
      </c>
      <c r="Z35" s="4">
        <f>Games[[#This Row],[K]]*Games[[#This Row],[POMult]]</f>
        <v>75.849999999999994</v>
      </c>
      <c r="AA35" s="4">
        <f>(Games[[#This Row],[Keff]]*Games[[#This Row],[MOVMult]])*(Games[[#This Row],[Result]]-Games[[#This Row],[ExpectedWin%]])</f>
        <v>-11.96429995701323</v>
      </c>
      <c r="AB35" s="4">
        <f>Games[[#This Row],[PreGmRate]]+Games[[#This Row],[RatingChange]]</f>
        <v>1429.1774409909315</v>
      </c>
      <c r="AC35" s="2">
        <f>IF(Games[[#This Row],[Type]]="R",IF(Games[[#This Row],[Result]]&gt;0.5,1,0),0)</f>
        <v>0</v>
      </c>
      <c r="AD35" s="2">
        <f>IF(Games[[#This Row],[Type]]="R",IF(Games[[#This Row],[Result]]&lt;0.5,1,0),0)</f>
        <v>1</v>
      </c>
      <c r="AE35" s="2">
        <f>IF(AND(Games[[#This Row],[Type]]="P",Games[[#This Row],[Round]]=1),IF(Games[[#This Row],[Result]]&gt;0.5,1,0),0)</f>
        <v>0</v>
      </c>
      <c r="AF35" s="2">
        <f>IF(AND(Games[[#This Row],[Type]]="P",Games[[#This Row],[Round]]=1),IF(Games[[#This Row],[Result]]&lt;0.5,1,0),0)</f>
        <v>0</v>
      </c>
      <c r="AG35" s="2">
        <f>IF(AND(Games[[#This Row],[Type]]="P",Games[[#This Row],[Round]]=2),IF(Games[[#This Row],[Result]]&gt;0.5,1,0),0)</f>
        <v>0</v>
      </c>
      <c r="AH35" s="2">
        <f>IF(AND(Games[[#This Row],[Type]]="P",Games[[#This Row],[Round]]=2),IF(Games[[#This Row],[Result]]&lt;0.5,1,0),0)</f>
        <v>0</v>
      </c>
      <c r="AI35" s="2">
        <f>IF(AND(Games[[#This Row],[Type]]="P",Games[[#This Row],[Round]]=3),IF(Games[[#This Row],[Result]]&gt;0.5,1,0),0)</f>
        <v>0</v>
      </c>
      <c r="AJ35" s="2">
        <f>IF(AND(Games[[#This Row],[Type]]="P",Games[[#This Row],[Round]]=3),IF(Games[[#This Row],[Result]]&lt;0.5,1,0),0)</f>
        <v>0</v>
      </c>
      <c r="AK35" s="2">
        <f>IF(AND(Games[[#This Row],[Type]]="P",Games[[#This Row],[Round]]=4),IF(Games[[#This Row],[Result]]&gt;0.5,1,0),0)</f>
        <v>0</v>
      </c>
      <c r="AL35" s="2">
        <f>IF(AND(Games[[#This Row],[Type]]="P",Games[[#This Row],[Round]]=4),IF(Games[[#This Row],[Result]]&lt;0.5,1,0),0)</f>
        <v>0</v>
      </c>
    </row>
    <row r="36" spans="1:38" x14ac:dyDescent="0.35">
      <c r="A36" s="10">
        <v>37772</v>
      </c>
      <c r="B36" s="2">
        <v>2003</v>
      </c>
      <c r="C36" s="2">
        <f>COUNTIFS(Games[Team],Games[[#This Row],[Team]],Games[Season],Games[[#This Row],[Season]],Games[Date],"&lt;=" &amp; Games[[#This Row],[Date]])</f>
        <v>2</v>
      </c>
      <c r="D36" s="2" t="s">
        <v>23</v>
      </c>
      <c r="E36" s="2" t="s">
        <v>29</v>
      </c>
      <c r="F36" s="1" t="s">
        <v>74</v>
      </c>
      <c r="G36" s="1" t="s">
        <v>80</v>
      </c>
      <c r="H36" s="1" t="s">
        <v>16</v>
      </c>
      <c r="I36" s="2" cm="1">
        <f t="array" ref="I36">IFERROR(
    Games[[#This Row],[Date]]
    - LOOKUP(
        2,
        1/((Games[Team]=Games[[#This Row],[Team]]) * (Games[Date] &lt; Games[[#This Row],[Date]])),
        Games[Date]
    )
    - 1,
Games[[#This Row],[Date]]-$A$2)</f>
        <v>7</v>
      </c>
      <c r="J36" s="2" cm="1">
        <f t="array" ref="J3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6" s="2">
        <f>Games[[#This Row],[DaysOff]]-Games[[#This Row],[OppDaysOff]]</f>
        <v>6</v>
      </c>
      <c r="L36" s="2">
        <f>Games[[#This Row],[OppDaysOff]]-Games[[#This Row],[DaysOff]]</f>
        <v>-6</v>
      </c>
      <c r="M36" s="1">
        <f>MAX(-16, MIN(16, Games[[#This Row],[RestDiff]]*8))</f>
        <v>16</v>
      </c>
      <c r="N36" s="1">
        <f>MAX(-16, MIN(16, Games[[#This Row],[OppRestDiff]]*8))</f>
        <v>-16</v>
      </c>
      <c r="O36" s="4" cm="1">
        <f t="array" ref="O3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1499.6813227402738</v>
      </c>
      <c r="P36" s="4" cm="1">
        <f t="array" ref="P3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1476.9888111272287</v>
      </c>
      <c r="Q36" s="4">
        <f>1/(1+10^(((Games[[#This Row],[OppPreGmRate]]+IF(Games[[#This Row],[HomeAway]]="A",HCA,0)+Games[[#This Row],[OppRestAdj]])-(Games[[#This Row],[PreGmRate]]+IF(Games[[#This Row],[HomeAway]]="H",HCA,0)+Games[[#This Row],[RestAdj]]))/400))</f>
        <v>0.45792288714946722</v>
      </c>
      <c r="R36" s="1">
        <v>60</v>
      </c>
      <c r="S36" s="1">
        <v>71</v>
      </c>
      <c r="T36" s="1">
        <v>0</v>
      </c>
      <c r="U36" s="1">
        <f>Games[[#This Row],[PointsFor]]-Games[[#This Row],[PointsAgainst]]</f>
        <v>-11</v>
      </c>
      <c r="V36" s="1">
        <f>IF(Games[[#This Row],[MOV]]&gt;0,1,IF(Games[[#This Row],[MOV]]=0,0.5,0))</f>
        <v>0</v>
      </c>
      <c r="W36" s="4">
        <f>((ABS(Games[[#This Row],[MOV]])+5)^0.6)/(12+0.01*(ABS(Games[[#This Row],[PreGmRate]]-Games[[#This Row],[OppPreGmRate]])))*IF(Games[[#This Row],[OT]]=1,0.9,1)</f>
        <v>0.43167285257423382</v>
      </c>
      <c r="X36" s="7" cm="1">
        <f t="array" ref="X3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" s="9">
        <f>MAX(kmin, kmax - 0.15 * MIN(Games[[#This Row],[GamesPlayed]], 82))</f>
        <v>75.7</v>
      </c>
      <c r="Z36" s="4">
        <f>Games[[#This Row],[K]]*Games[[#This Row],[POMult]]</f>
        <v>75.7</v>
      </c>
      <c r="AA36" s="4">
        <f>(Games[[#This Row],[Keff]]*Games[[#This Row],[MOVMult]])*(Games[[#This Row],[Result]]-Games[[#This Row],[ExpectedWin%]])</f>
        <v>-14.963836936881348</v>
      </c>
      <c r="AB36" s="4">
        <f>Games[[#This Row],[PreGmRate]]+Games[[#This Row],[RatingChange]]</f>
        <v>1484.7174858033925</v>
      </c>
      <c r="AC36" s="2">
        <f>IF(Games[[#This Row],[Type]]="R",IF(Games[[#This Row],[Result]]&gt;0.5,1,0),0)</f>
        <v>0</v>
      </c>
      <c r="AD36" s="2">
        <f>IF(Games[[#This Row],[Type]]="R",IF(Games[[#This Row],[Result]]&lt;0.5,1,0),0)</f>
        <v>1</v>
      </c>
      <c r="AE36" s="2">
        <f>IF(AND(Games[[#This Row],[Type]]="P",Games[[#This Row],[Round]]=1),IF(Games[[#This Row],[Result]]&gt;0.5,1,0),0)</f>
        <v>0</v>
      </c>
      <c r="AF36" s="2">
        <f>IF(AND(Games[[#This Row],[Type]]="P",Games[[#This Row],[Round]]=1),IF(Games[[#This Row],[Result]]&lt;0.5,1,0),0)</f>
        <v>0</v>
      </c>
      <c r="AG36" s="2">
        <f>IF(AND(Games[[#This Row],[Type]]="P",Games[[#This Row],[Round]]=2),IF(Games[[#This Row],[Result]]&gt;0.5,1,0),0)</f>
        <v>0</v>
      </c>
      <c r="AH36" s="2">
        <f>IF(AND(Games[[#This Row],[Type]]="P",Games[[#This Row],[Round]]=2),IF(Games[[#This Row],[Result]]&lt;0.5,1,0),0)</f>
        <v>0</v>
      </c>
      <c r="AI36" s="2">
        <f>IF(AND(Games[[#This Row],[Type]]="P",Games[[#This Row],[Round]]=3),IF(Games[[#This Row],[Result]]&gt;0.5,1,0),0)</f>
        <v>0</v>
      </c>
      <c r="AJ36" s="2">
        <f>IF(AND(Games[[#This Row],[Type]]="P",Games[[#This Row],[Round]]=3),IF(Games[[#This Row],[Result]]&lt;0.5,1,0),0)</f>
        <v>0</v>
      </c>
      <c r="AK36" s="2">
        <f>IF(AND(Games[[#This Row],[Type]]="P",Games[[#This Row],[Round]]=4),IF(Games[[#This Row],[Result]]&gt;0.5,1,0),0)</f>
        <v>0</v>
      </c>
      <c r="AL36" s="2">
        <f>IF(AND(Games[[#This Row],[Type]]="P",Games[[#This Row],[Round]]=4),IF(Games[[#This Row],[Result]]&lt;0.5,1,0),0)</f>
        <v>0</v>
      </c>
    </row>
    <row r="37" spans="1:38" x14ac:dyDescent="0.35">
      <c r="A37" s="10">
        <v>37772</v>
      </c>
      <c r="B37" s="2">
        <v>2003</v>
      </c>
      <c r="C37" s="2">
        <f>COUNTIFS(Games[Team],Games[[#This Row],[Team]],Games[Season],Games[[#This Row],[Season]],Games[Date],"&lt;=" &amp; Games[[#This Row],[Date]])</f>
        <v>2</v>
      </c>
      <c r="D37" s="2" t="s">
        <v>23</v>
      </c>
      <c r="E37" s="2" t="s">
        <v>29</v>
      </c>
      <c r="F37" s="1" t="s">
        <v>80</v>
      </c>
      <c r="G37" s="1" t="s">
        <v>74</v>
      </c>
      <c r="H37" s="1" t="s">
        <v>15</v>
      </c>
      <c r="I37" s="2" cm="1">
        <f t="array" ref="I37">IFERROR(
    Games[[#This Row],[Date]]
    - LOOKUP(
        2,
        1/((Games[Team]=Games[[#This Row],[Team]]) * (Games[Date] &lt; Games[[#This Row],[Date]])),
        Games[Date]
    )
    - 1,
Games[[#This Row],[Date]]-$A$2)</f>
        <v>1</v>
      </c>
      <c r="J37" s="2" cm="1">
        <f t="array" ref="J37">IFERROR(
    Games[[#This Row],[Date]]
    - LOOKUP(
        2,
        1/((Games[Opponent]=Games[[#This Row],[Opponent]]) * (Games[Date] &lt; Games[[#This Row],[Date]])),
        Games[Date]
    )
    - 1,
Games[[#This Row],[Date]]-$A$2)</f>
        <v>7</v>
      </c>
      <c r="K37" s="2">
        <f>Games[[#This Row],[DaysOff]]-Games[[#This Row],[OppDaysOff]]</f>
        <v>-6</v>
      </c>
      <c r="L37" s="2">
        <f>Games[[#This Row],[OppDaysOff]]-Games[[#This Row],[DaysOff]]</f>
        <v>6</v>
      </c>
      <c r="M37" s="1">
        <f>MAX(-16, MIN(16, Games[[#This Row],[RestDiff]]*8))</f>
        <v>-16</v>
      </c>
      <c r="N37" s="1">
        <f>MAX(-16, MIN(16, Games[[#This Row],[OppRestDiff]]*8))</f>
        <v>16</v>
      </c>
      <c r="O37" s="4" cm="1">
        <f t="array" ref="O3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1476.9888111272287</v>
      </c>
      <c r="P37" s="4" cm="1">
        <f t="array" ref="P3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1499.6813227402738</v>
      </c>
      <c r="Q37" s="4">
        <f>1/(1+10^(((Games[[#This Row],[OppPreGmRate]]+IF(Games[[#This Row],[HomeAway]]="A",HCA,0)+Games[[#This Row],[OppRestAdj]])-(Games[[#This Row],[PreGmRate]]+IF(Games[[#This Row],[HomeAway]]="H",HCA,0)+Games[[#This Row],[RestAdj]]))/400))</f>
        <v>0.54207711285053284</v>
      </c>
      <c r="R37" s="1">
        <v>71</v>
      </c>
      <c r="S37" s="1">
        <v>60</v>
      </c>
      <c r="T37" s="1">
        <v>0</v>
      </c>
      <c r="U37" s="1">
        <f>Games[[#This Row],[PointsFor]]-Games[[#This Row],[PointsAgainst]]</f>
        <v>11</v>
      </c>
      <c r="V37" s="1">
        <f>IF(Games[[#This Row],[MOV]]&gt;0,1,IF(Games[[#This Row],[MOV]]=0,0.5,0))</f>
        <v>1</v>
      </c>
      <c r="W37" s="4">
        <f>((ABS(Games[[#This Row],[MOV]])+5)^0.6)/(12+0.01*(ABS(Games[[#This Row],[PreGmRate]]-Games[[#This Row],[OppPreGmRate]])))*IF(Games[[#This Row],[OT]]=1,0.9,1)</f>
        <v>0.43167285257423382</v>
      </c>
      <c r="X37" s="7" cm="1">
        <f t="array" ref="X3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" s="9">
        <f>MAX(kmin, kmax - 0.15 * MIN(Games[[#This Row],[GamesPlayed]], 82))</f>
        <v>75.7</v>
      </c>
      <c r="Z37" s="4">
        <f>Games[[#This Row],[K]]*Games[[#This Row],[POMult]]</f>
        <v>75.7</v>
      </c>
      <c r="AA37" s="4">
        <f>(Games[[#This Row],[Keff]]*Games[[#This Row],[MOVMult]])*(Games[[#This Row],[Result]]-Games[[#This Row],[ExpectedWin%]])</f>
        <v>14.963836936881346</v>
      </c>
      <c r="AB37" s="4">
        <f>Games[[#This Row],[PreGmRate]]+Games[[#This Row],[RatingChange]]</f>
        <v>1491.95264806411</v>
      </c>
      <c r="AC37" s="2">
        <f>IF(Games[[#This Row],[Type]]="R",IF(Games[[#This Row],[Result]]&gt;0.5,1,0),0)</f>
        <v>1</v>
      </c>
      <c r="AD37" s="2">
        <f>IF(Games[[#This Row],[Type]]="R",IF(Games[[#This Row],[Result]]&lt;0.5,1,0),0)</f>
        <v>0</v>
      </c>
      <c r="AE37" s="2">
        <f>IF(AND(Games[[#This Row],[Type]]="P",Games[[#This Row],[Round]]=1),IF(Games[[#This Row],[Result]]&gt;0.5,1,0),0)</f>
        <v>0</v>
      </c>
      <c r="AF37" s="2">
        <f>IF(AND(Games[[#This Row],[Type]]="P",Games[[#This Row],[Round]]=1),IF(Games[[#This Row],[Result]]&lt;0.5,1,0),0)</f>
        <v>0</v>
      </c>
      <c r="AG37" s="2">
        <f>IF(AND(Games[[#This Row],[Type]]="P",Games[[#This Row],[Round]]=2),IF(Games[[#This Row],[Result]]&gt;0.5,1,0),0)</f>
        <v>0</v>
      </c>
      <c r="AH37" s="2">
        <f>IF(AND(Games[[#This Row],[Type]]="P",Games[[#This Row],[Round]]=2),IF(Games[[#This Row],[Result]]&lt;0.5,1,0),0)</f>
        <v>0</v>
      </c>
      <c r="AI37" s="2">
        <f>IF(AND(Games[[#This Row],[Type]]="P",Games[[#This Row],[Round]]=3),IF(Games[[#This Row],[Result]]&gt;0.5,1,0),0)</f>
        <v>0</v>
      </c>
      <c r="AJ37" s="2">
        <f>IF(AND(Games[[#This Row],[Type]]="P",Games[[#This Row],[Round]]=3),IF(Games[[#This Row],[Result]]&lt;0.5,1,0),0)</f>
        <v>0</v>
      </c>
      <c r="AK37" s="2">
        <f>IF(AND(Games[[#This Row],[Type]]="P",Games[[#This Row],[Round]]=4),IF(Games[[#This Row],[Result]]&gt;0.5,1,0),0)</f>
        <v>0</v>
      </c>
      <c r="AL37" s="2">
        <f>IF(AND(Games[[#This Row],[Type]]="P",Games[[#This Row],[Round]]=4),IF(Games[[#This Row],[Result]]&lt;0.5,1,0),0)</f>
        <v>0</v>
      </c>
    </row>
    <row r="38" spans="1:38" x14ac:dyDescent="0.35">
      <c r="A38" s="10">
        <v>37773</v>
      </c>
      <c r="B38" s="2">
        <v>2003</v>
      </c>
      <c r="C38" s="2">
        <f>COUNTIFS(Games[Team],Games[[#This Row],[Team]],Games[Season],Games[[#This Row],[Season]],Games[Date],"&lt;=" &amp; Games[[#This Row],[Date]])</f>
        <v>4</v>
      </c>
      <c r="D38" s="2" t="s">
        <v>23</v>
      </c>
      <c r="E38" s="2" t="s">
        <v>29</v>
      </c>
      <c r="F38" s="1" t="s">
        <v>2</v>
      </c>
      <c r="G38" s="1" t="s">
        <v>78</v>
      </c>
      <c r="H38" s="1" t="s">
        <v>16</v>
      </c>
      <c r="I38" s="2" cm="1">
        <f t="array" ref="I38">IFERROR(
    Games[[#This Row],[Date]]
    - LOOKUP(
        2,
        1/((Games[Team]=Games[[#This Row],[Team]]) * (Games[Date] &lt; Games[[#This Row],[Date]])),
        Games[Date]
    )
    - 1,
Games[[#This Row],[Date]]-$A$2)</f>
        <v>1</v>
      </c>
      <c r="J38" s="2" cm="1">
        <f t="array" ref="J3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8" s="2">
        <f>Games[[#This Row],[DaysOff]]-Games[[#This Row],[OppDaysOff]]</f>
        <v>0</v>
      </c>
      <c r="L38" s="2">
        <f>Games[[#This Row],[OppDaysOff]]-Games[[#This Row],[DaysOff]]</f>
        <v>0</v>
      </c>
      <c r="M38" s="1">
        <f>MAX(-16, MIN(16, Games[[#This Row],[RestDiff]]*8))</f>
        <v>0</v>
      </c>
      <c r="N38" s="1">
        <f>MAX(-16, MIN(16, Games[[#This Row],[OppRestDiff]]*8))</f>
        <v>0</v>
      </c>
      <c r="O38" s="4" cm="1">
        <f t="array" ref="O3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1565.8709161413162</v>
      </c>
      <c r="P38" s="4" cm="1">
        <f t="array" ref="P3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1471.5175309854892</v>
      </c>
      <c r="Q38" s="4">
        <f>1/(1+10^(((Games[[#This Row],[OppPreGmRate]]+IF(Games[[#This Row],[HomeAway]]="A",HCA,0)+Games[[#This Row],[OppRestAdj]])-(Games[[#This Row],[PreGmRate]]+IF(Games[[#This Row],[HomeAway]]="H",HCA,0)+Games[[#This Row],[RestAdj]]))/400))</f>
        <v>0.51489531016806156</v>
      </c>
      <c r="R38" s="1">
        <v>64</v>
      </c>
      <c r="S38" s="1">
        <v>68</v>
      </c>
      <c r="T38" s="1">
        <v>1</v>
      </c>
      <c r="U38" s="1">
        <f>Games[[#This Row],[PointsFor]]-Games[[#This Row],[PointsAgainst]]</f>
        <v>-4</v>
      </c>
      <c r="V38" s="1">
        <f>IF(Games[[#This Row],[MOV]]&gt;0,1,IF(Games[[#This Row],[MOV]]=0,0.5,0))</f>
        <v>0</v>
      </c>
      <c r="W38" s="4">
        <f>((ABS(Games[[#This Row],[MOV]])+5)^0.6)/(12+0.01*(ABS(Games[[#This Row],[PreGmRate]]-Games[[#This Row],[OppPreGmRate]])))*IF(Games[[#This Row],[OT]]=1,0.9,1)</f>
        <v>0.25985743735332134</v>
      </c>
      <c r="X38" s="7" cm="1">
        <f t="array" ref="X3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" s="9">
        <f>MAX(kmin, kmax - 0.15 * MIN(Games[[#This Row],[GamesPlayed]], 82))</f>
        <v>75.400000000000006</v>
      </c>
      <c r="Z38" s="4">
        <f>Games[[#This Row],[K]]*Games[[#This Row],[POMult]]</f>
        <v>75.400000000000006</v>
      </c>
      <c r="AA38" s="4">
        <f>(Games[[#This Row],[Keff]]*Games[[#This Row],[MOVMult]])*(Games[[#This Row],[Result]]-Games[[#This Row],[ExpectedWin%]])</f>
        <v>-10.08847293573591</v>
      </c>
      <c r="AB38" s="4">
        <f>Games[[#This Row],[PreGmRate]]+Games[[#This Row],[RatingChange]]</f>
        <v>1555.7824432055804</v>
      </c>
      <c r="AC38" s="2">
        <f>IF(Games[[#This Row],[Type]]="R",IF(Games[[#This Row],[Result]]&gt;0.5,1,0),0)</f>
        <v>0</v>
      </c>
      <c r="AD38" s="2">
        <f>IF(Games[[#This Row],[Type]]="R",IF(Games[[#This Row],[Result]]&lt;0.5,1,0),0)</f>
        <v>1</v>
      </c>
      <c r="AE38" s="2">
        <f>IF(AND(Games[[#This Row],[Type]]="P",Games[[#This Row],[Round]]=1),IF(Games[[#This Row],[Result]]&gt;0.5,1,0),0)</f>
        <v>0</v>
      </c>
      <c r="AF38" s="2">
        <f>IF(AND(Games[[#This Row],[Type]]="P",Games[[#This Row],[Round]]=1),IF(Games[[#This Row],[Result]]&lt;0.5,1,0),0)</f>
        <v>0</v>
      </c>
      <c r="AG38" s="2">
        <f>IF(AND(Games[[#This Row],[Type]]="P",Games[[#This Row],[Round]]=2),IF(Games[[#This Row],[Result]]&gt;0.5,1,0),0)</f>
        <v>0</v>
      </c>
      <c r="AH38" s="2">
        <f>IF(AND(Games[[#This Row],[Type]]="P",Games[[#This Row],[Round]]=2),IF(Games[[#This Row],[Result]]&lt;0.5,1,0),0)</f>
        <v>0</v>
      </c>
      <c r="AI38" s="2">
        <f>IF(AND(Games[[#This Row],[Type]]="P",Games[[#This Row],[Round]]=3),IF(Games[[#This Row],[Result]]&gt;0.5,1,0),0)</f>
        <v>0</v>
      </c>
      <c r="AJ38" s="2">
        <f>IF(AND(Games[[#This Row],[Type]]="P",Games[[#This Row],[Round]]=3),IF(Games[[#This Row],[Result]]&lt;0.5,1,0),0)</f>
        <v>0</v>
      </c>
      <c r="AK38" s="2">
        <f>IF(AND(Games[[#This Row],[Type]]="P",Games[[#This Row],[Round]]=4),IF(Games[[#This Row],[Result]]&gt;0.5,1,0),0)</f>
        <v>0</v>
      </c>
      <c r="AL38" s="2">
        <f>IF(AND(Games[[#This Row],[Type]]="P",Games[[#This Row],[Round]]=4),IF(Games[[#This Row],[Result]]&lt;0.5,1,0),0)</f>
        <v>0</v>
      </c>
    </row>
    <row r="39" spans="1:38" x14ac:dyDescent="0.35">
      <c r="A39" s="10">
        <v>37773</v>
      </c>
      <c r="B39" s="2">
        <v>2003</v>
      </c>
      <c r="C39" s="2">
        <f>COUNTIFS(Games[Team],Games[[#This Row],[Team]],Games[Season],Games[[#This Row],[Season]],Games[Date],"&lt;=" &amp; Games[[#This Row],[Date]])</f>
        <v>4</v>
      </c>
      <c r="D39" s="2" t="s">
        <v>23</v>
      </c>
      <c r="E39" s="2" t="s">
        <v>29</v>
      </c>
      <c r="F39" s="1" t="s">
        <v>78</v>
      </c>
      <c r="G39" s="1" t="s">
        <v>2</v>
      </c>
      <c r="H39" s="1" t="s">
        <v>15</v>
      </c>
      <c r="I39" s="2" cm="1">
        <f t="array" ref="I39">IFERROR(
    Games[[#This Row],[Date]]
    - LOOKUP(
        2,
        1/((Games[Team]=Games[[#This Row],[Team]]) * (Games[Date] &lt; Games[[#This Row],[Date]])),
        Games[Date]
    )
    - 1,
Games[[#This Row],[Date]]-$A$2)</f>
        <v>1</v>
      </c>
      <c r="J39" s="2" cm="1">
        <f t="array" ref="J3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9" s="2">
        <f>Games[[#This Row],[DaysOff]]-Games[[#This Row],[OppDaysOff]]</f>
        <v>0</v>
      </c>
      <c r="L39" s="2">
        <f>Games[[#This Row],[OppDaysOff]]-Games[[#This Row],[DaysOff]]</f>
        <v>0</v>
      </c>
      <c r="M39" s="1">
        <f>MAX(-16, MIN(16, Games[[#This Row],[RestDiff]]*8))</f>
        <v>0</v>
      </c>
      <c r="N39" s="1">
        <f>MAX(-16, MIN(16, Games[[#This Row],[OppRestDiff]]*8))</f>
        <v>0</v>
      </c>
      <c r="O39" s="4" cm="1">
        <f t="array" ref="O3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1471.5175309854892</v>
      </c>
      <c r="P39" s="4" cm="1">
        <f t="array" ref="P3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1565.8709161413162</v>
      </c>
      <c r="Q39" s="4">
        <f>1/(1+10^(((Games[[#This Row],[OppPreGmRate]]+IF(Games[[#This Row],[HomeAway]]="A",HCA,0)+Games[[#This Row],[OppRestAdj]])-(Games[[#This Row],[PreGmRate]]+IF(Games[[#This Row],[HomeAway]]="H",HCA,0)+Games[[#This Row],[RestAdj]]))/400))</f>
        <v>0.48510468983193844</v>
      </c>
      <c r="R39" s="1">
        <v>68</v>
      </c>
      <c r="S39" s="1">
        <v>64</v>
      </c>
      <c r="T39" s="1">
        <v>1</v>
      </c>
      <c r="U39" s="1">
        <f>Games[[#This Row],[PointsFor]]-Games[[#This Row],[PointsAgainst]]</f>
        <v>4</v>
      </c>
      <c r="V39" s="1">
        <f>IF(Games[[#This Row],[MOV]]&gt;0,1,IF(Games[[#This Row],[MOV]]=0,0.5,0))</f>
        <v>1</v>
      </c>
      <c r="W39" s="4">
        <f>((ABS(Games[[#This Row],[MOV]])+5)^0.6)/(12+0.01*(ABS(Games[[#This Row],[PreGmRate]]-Games[[#This Row],[OppPreGmRate]])))*IF(Games[[#This Row],[OT]]=1,0.9,1)</f>
        <v>0.25985743735332134</v>
      </c>
      <c r="X39" s="7" cm="1">
        <f t="array" ref="X3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" s="9">
        <f>MAX(kmin, kmax - 0.15 * MIN(Games[[#This Row],[GamesPlayed]], 82))</f>
        <v>75.400000000000006</v>
      </c>
      <c r="Z39" s="4">
        <f>Games[[#This Row],[K]]*Games[[#This Row],[POMult]]</f>
        <v>75.400000000000006</v>
      </c>
      <c r="AA39" s="4">
        <f>(Games[[#This Row],[Keff]]*Games[[#This Row],[MOVMult]])*(Games[[#This Row],[Result]]-Games[[#This Row],[ExpectedWin%]])</f>
        <v>10.08847293573591</v>
      </c>
      <c r="AB39" s="4">
        <f>Games[[#This Row],[PreGmRate]]+Games[[#This Row],[RatingChange]]</f>
        <v>1481.606003921225</v>
      </c>
      <c r="AC39" s="2">
        <f>IF(Games[[#This Row],[Type]]="R",IF(Games[[#This Row],[Result]]&gt;0.5,1,0),0)</f>
        <v>1</v>
      </c>
      <c r="AD39" s="2">
        <f>IF(Games[[#This Row],[Type]]="R",IF(Games[[#This Row],[Result]]&lt;0.5,1,0),0)</f>
        <v>0</v>
      </c>
      <c r="AE39" s="2">
        <f>IF(AND(Games[[#This Row],[Type]]="P",Games[[#This Row],[Round]]=1),IF(Games[[#This Row],[Result]]&gt;0.5,1,0),0)</f>
        <v>0</v>
      </c>
      <c r="AF39" s="2">
        <f>IF(AND(Games[[#This Row],[Type]]="P",Games[[#This Row],[Round]]=1),IF(Games[[#This Row],[Result]]&lt;0.5,1,0),0)</f>
        <v>0</v>
      </c>
      <c r="AG39" s="2">
        <f>IF(AND(Games[[#This Row],[Type]]="P",Games[[#This Row],[Round]]=2),IF(Games[[#This Row],[Result]]&gt;0.5,1,0),0)</f>
        <v>0</v>
      </c>
      <c r="AH39" s="2">
        <f>IF(AND(Games[[#This Row],[Type]]="P",Games[[#This Row],[Round]]=2),IF(Games[[#This Row],[Result]]&lt;0.5,1,0),0)</f>
        <v>0</v>
      </c>
      <c r="AI39" s="2">
        <f>IF(AND(Games[[#This Row],[Type]]="P",Games[[#This Row],[Round]]=3),IF(Games[[#This Row],[Result]]&gt;0.5,1,0),0)</f>
        <v>0</v>
      </c>
      <c r="AJ39" s="2">
        <f>IF(AND(Games[[#This Row],[Type]]="P",Games[[#This Row],[Round]]=3),IF(Games[[#This Row],[Result]]&lt;0.5,1,0),0)</f>
        <v>0</v>
      </c>
      <c r="AK39" s="2">
        <f>IF(AND(Games[[#This Row],[Type]]="P",Games[[#This Row],[Round]]=4),IF(Games[[#This Row],[Result]]&gt;0.5,1,0),0)</f>
        <v>0</v>
      </c>
      <c r="AL39" s="2">
        <f>IF(AND(Games[[#This Row],[Type]]="P",Games[[#This Row],[Round]]=4),IF(Games[[#This Row],[Result]]&lt;0.5,1,0),0)</f>
        <v>0</v>
      </c>
    </row>
    <row r="40" spans="1:38" x14ac:dyDescent="0.35">
      <c r="A40" s="10">
        <v>37773</v>
      </c>
      <c r="B40" s="2">
        <v>2003</v>
      </c>
      <c r="C40" s="2">
        <f>COUNTIFS(Games[Team],Games[[#This Row],[Team]],Games[Season],Games[[#This Row],[Season]],Games[Date],"&lt;=" &amp; Games[[#This Row],[Date]])</f>
        <v>3</v>
      </c>
      <c r="D40" s="2" t="s">
        <v>23</v>
      </c>
      <c r="E40" s="2" t="s">
        <v>29</v>
      </c>
      <c r="F40" s="1" t="s">
        <v>74</v>
      </c>
      <c r="G40" s="1" t="s">
        <v>66</v>
      </c>
      <c r="H40" s="1" t="s">
        <v>16</v>
      </c>
      <c r="I40" s="2" cm="1">
        <f t="array" ref="I40">IFERROR(
    Games[[#This Row],[Date]]
    - LOOKUP(
        2,
        1/((Games[Team]=Games[[#This Row],[Team]]) * (Games[Date] &lt; Games[[#This Row],[Date]])),
        Games[Date]
    )
    - 1,
Games[[#This Row],[Date]]-$A$2)</f>
        <v>0</v>
      </c>
      <c r="J40" s="2" cm="1">
        <f t="array" ref="J40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40" s="2">
        <f>Games[[#This Row],[DaysOff]]-Games[[#This Row],[OppDaysOff]]</f>
        <v>0</v>
      </c>
      <c r="L40" s="2">
        <f>Games[[#This Row],[OppDaysOff]]-Games[[#This Row],[DaysOff]]</f>
        <v>0</v>
      </c>
      <c r="M40" s="1">
        <f>MAX(-16, MIN(16, Games[[#This Row],[RestDiff]]*8))</f>
        <v>0</v>
      </c>
      <c r="N40" s="1">
        <f>MAX(-16, MIN(16, Games[[#This Row],[OppRestDiff]]*8))</f>
        <v>0</v>
      </c>
      <c r="O40" s="4" cm="1">
        <f t="array" ref="O4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1484.7174858033925</v>
      </c>
      <c r="P40" s="4" cm="1">
        <f t="array" ref="P4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1496.0668280202492</v>
      </c>
      <c r="Q40" s="4">
        <f>1/(1+10^(((Games[[#This Row],[OppPreGmRate]]+IF(Games[[#This Row],[HomeAway]]="A",HCA,0)+Games[[#This Row],[OppRestAdj]])-(Games[[#This Row],[PreGmRate]]+IF(Games[[#This Row],[HomeAway]]="H",HCA,0)+Games[[#This Row],[RestAdj]]))/400))</f>
        <v>0.36612547202924967</v>
      </c>
      <c r="R40" s="1">
        <v>57</v>
      </c>
      <c r="S40" s="1">
        <v>70</v>
      </c>
      <c r="T40" s="1">
        <v>0</v>
      </c>
      <c r="U40" s="1">
        <f>Games[[#This Row],[PointsFor]]-Games[[#This Row],[PointsAgainst]]</f>
        <v>-13</v>
      </c>
      <c r="V40" s="1">
        <f>IF(Games[[#This Row],[MOV]]&gt;0,1,IF(Games[[#This Row],[MOV]]=0,0.5,0))</f>
        <v>0</v>
      </c>
      <c r="W40" s="4">
        <f>((ABS(Games[[#This Row],[MOV]])+5)^0.6)/(12+0.01*(ABS(Games[[#This Row],[PreGmRate]]-Games[[#This Row],[OppPreGmRate]])))*IF(Games[[#This Row],[OT]]=1,0.9,1)</f>
        <v>0.46762109577761618</v>
      </c>
      <c r="X40" s="7" cm="1">
        <f t="array" ref="X4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" s="9">
        <f>MAX(kmin, kmax - 0.15 * MIN(Games[[#This Row],[GamesPlayed]], 82))</f>
        <v>75.55</v>
      </c>
      <c r="Z40" s="4">
        <f>Games[[#This Row],[K]]*Games[[#This Row],[POMult]]</f>
        <v>75.55</v>
      </c>
      <c r="AA40" s="4">
        <f>(Games[[#This Row],[Keff]]*Games[[#This Row],[MOVMult]])*(Games[[#This Row],[Result]]-Games[[#This Row],[ExpectedWin%]])</f>
        <v>-12.934763978613429</v>
      </c>
      <c r="AB40" s="4">
        <f>Games[[#This Row],[PreGmRate]]+Games[[#This Row],[RatingChange]]</f>
        <v>1471.7827218247792</v>
      </c>
      <c r="AC40" s="2">
        <f>IF(Games[[#This Row],[Type]]="R",IF(Games[[#This Row],[Result]]&gt;0.5,1,0),0)</f>
        <v>0</v>
      </c>
      <c r="AD40" s="2">
        <f>IF(Games[[#This Row],[Type]]="R",IF(Games[[#This Row],[Result]]&lt;0.5,1,0),0)</f>
        <v>1</v>
      </c>
      <c r="AE40" s="2">
        <f>IF(AND(Games[[#This Row],[Type]]="P",Games[[#This Row],[Round]]=1),IF(Games[[#This Row],[Result]]&gt;0.5,1,0),0)</f>
        <v>0</v>
      </c>
      <c r="AF40" s="2">
        <f>IF(AND(Games[[#This Row],[Type]]="P",Games[[#This Row],[Round]]=1),IF(Games[[#This Row],[Result]]&lt;0.5,1,0),0)</f>
        <v>0</v>
      </c>
      <c r="AG40" s="2">
        <f>IF(AND(Games[[#This Row],[Type]]="P",Games[[#This Row],[Round]]=2),IF(Games[[#This Row],[Result]]&gt;0.5,1,0),0)</f>
        <v>0</v>
      </c>
      <c r="AH40" s="2">
        <f>IF(AND(Games[[#This Row],[Type]]="P",Games[[#This Row],[Round]]=2),IF(Games[[#This Row],[Result]]&lt;0.5,1,0),0)</f>
        <v>0</v>
      </c>
      <c r="AI40" s="2">
        <f>IF(AND(Games[[#This Row],[Type]]="P",Games[[#This Row],[Round]]=3),IF(Games[[#This Row],[Result]]&gt;0.5,1,0),0)</f>
        <v>0</v>
      </c>
      <c r="AJ40" s="2">
        <f>IF(AND(Games[[#This Row],[Type]]="P",Games[[#This Row],[Round]]=3),IF(Games[[#This Row],[Result]]&lt;0.5,1,0),0)</f>
        <v>0</v>
      </c>
      <c r="AK40" s="2">
        <f>IF(AND(Games[[#This Row],[Type]]="P",Games[[#This Row],[Round]]=4),IF(Games[[#This Row],[Result]]&gt;0.5,1,0),0)</f>
        <v>0</v>
      </c>
      <c r="AL40" s="2">
        <f>IF(AND(Games[[#This Row],[Type]]="P",Games[[#This Row],[Round]]=4),IF(Games[[#This Row],[Result]]&lt;0.5,1,0),0)</f>
        <v>0</v>
      </c>
    </row>
    <row r="41" spans="1:38" x14ac:dyDescent="0.35">
      <c r="A41" s="10">
        <v>37773</v>
      </c>
      <c r="B41" s="2">
        <v>2003</v>
      </c>
      <c r="C41" s="2">
        <f>COUNTIFS(Games[Team],Games[[#This Row],[Team]],Games[Season],Games[[#This Row],[Season]],Games[Date],"&lt;=" &amp; Games[[#This Row],[Date]])</f>
        <v>2</v>
      </c>
      <c r="D41" s="2" t="s">
        <v>23</v>
      </c>
      <c r="E41" s="2" t="s">
        <v>29</v>
      </c>
      <c r="F41" s="1" t="s">
        <v>66</v>
      </c>
      <c r="G41" s="1" t="s">
        <v>74</v>
      </c>
      <c r="H41" s="1" t="s">
        <v>15</v>
      </c>
      <c r="I41" s="2" cm="1">
        <f t="array" ref="I41">IFERROR(
    Games[[#This Row],[Date]]
    - LOOKUP(
        2,
        1/((Games[Team]=Games[[#This Row],[Team]]) * (Games[Date] &lt; Games[[#This Row],[Date]])),
        Games[Date]
    )
    - 1,
Games[[#This Row],[Date]]-$A$2)</f>
        <v>0</v>
      </c>
      <c r="J41" s="2" cm="1">
        <f t="array" ref="J41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41" s="2">
        <f>Games[[#This Row],[DaysOff]]-Games[[#This Row],[OppDaysOff]]</f>
        <v>0</v>
      </c>
      <c r="L41" s="2">
        <f>Games[[#This Row],[OppDaysOff]]-Games[[#This Row],[DaysOff]]</f>
        <v>0</v>
      </c>
      <c r="M41" s="1">
        <f>MAX(-16, MIN(16, Games[[#This Row],[RestDiff]]*8))</f>
        <v>0</v>
      </c>
      <c r="N41" s="1">
        <f>MAX(-16, MIN(16, Games[[#This Row],[OppRestDiff]]*8))</f>
        <v>0</v>
      </c>
      <c r="O41" s="4" cm="1">
        <f t="array" ref="O4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1496.0668280202492</v>
      </c>
      <c r="P41" s="4" cm="1">
        <f t="array" ref="P4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1484.7174858033925</v>
      </c>
      <c r="Q41" s="4">
        <f>1/(1+10^(((Games[[#This Row],[OppPreGmRate]]+IF(Games[[#This Row],[HomeAway]]="A",HCA,0)+Games[[#This Row],[OppRestAdj]])-(Games[[#This Row],[PreGmRate]]+IF(Games[[#This Row],[HomeAway]]="H",HCA,0)+Games[[#This Row],[RestAdj]]))/400))</f>
        <v>0.63387452797075028</v>
      </c>
      <c r="R41" s="1">
        <v>70</v>
      </c>
      <c r="S41" s="1">
        <v>57</v>
      </c>
      <c r="T41" s="1">
        <v>0</v>
      </c>
      <c r="U41" s="1">
        <f>Games[[#This Row],[PointsFor]]-Games[[#This Row],[PointsAgainst]]</f>
        <v>13</v>
      </c>
      <c r="V41" s="1">
        <f>IF(Games[[#This Row],[MOV]]&gt;0,1,IF(Games[[#This Row],[MOV]]=0,0.5,0))</f>
        <v>1</v>
      </c>
      <c r="W41" s="4">
        <f>((ABS(Games[[#This Row],[MOV]])+5)^0.6)/(12+0.01*(ABS(Games[[#This Row],[PreGmRate]]-Games[[#This Row],[OppPreGmRate]])))*IF(Games[[#This Row],[OT]]=1,0.9,1)</f>
        <v>0.46762109577761618</v>
      </c>
      <c r="X41" s="7" cm="1">
        <f t="array" ref="X4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1" s="9">
        <f>MAX(kmin, kmax - 0.15 * MIN(Games[[#This Row],[GamesPlayed]], 82))</f>
        <v>75.7</v>
      </c>
      <c r="Z41" s="4">
        <f>Games[[#This Row],[K]]*Games[[#This Row],[POMult]]</f>
        <v>75.7</v>
      </c>
      <c r="AA41" s="4">
        <f>(Games[[#This Row],[Keff]]*Games[[#This Row],[MOVMult]])*(Games[[#This Row],[Result]]-Games[[#This Row],[ExpectedWin%]])</f>
        <v>12.960445177776794</v>
      </c>
      <c r="AB41" s="4">
        <f>Games[[#This Row],[PreGmRate]]+Games[[#This Row],[RatingChange]]</f>
        <v>1509.027273198026</v>
      </c>
      <c r="AC41" s="2">
        <f>IF(Games[[#This Row],[Type]]="R",IF(Games[[#This Row],[Result]]&gt;0.5,1,0),0)</f>
        <v>1</v>
      </c>
      <c r="AD41" s="2">
        <f>IF(Games[[#This Row],[Type]]="R",IF(Games[[#This Row],[Result]]&lt;0.5,1,0),0)</f>
        <v>0</v>
      </c>
      <c r="AE41" s="2">
        <f>IF(AND(Games[[#This Row],[Type]]="P",Games[[#This Row],[Round]]=1),IF(Games[[#This Row],[Result]]&gt;0.5,1,0),0)</f>
        <v>0</v>
      </c>
      <c r="AF41" s="2">
        <f>IF(AND(Games[[#This Row],[Type]]="P",Games[[#This Row],[Round]]=1),IF(Games[[#This Row],[Result]]&lt;0.5,1,0),0)</f>
        <v>0</v>
      </c>
      <c r="AG41" s="2">
        <f>IF(AND(Games[[#This Row],[Type]]="P",Games[[#This Row],[Round]]=2),IF(Games[[#This Row],[Result]]&gt;0.5,1,0),0)</f>
        <v>0</v>
      </c>
      <c r="AH41" s="2">
        <f>IF(AND(Games[[#This Row],[Type]]="P",Games[[#This Row],[Round]]=2),IF(Games[[#This Row],[Result]]&lt;0.5,1,0),0)</f>
        <v>0</v>
      </c>
      <c r="AI41" s="2">
        <f>IF(AND(Games[[#This Row],[Type]]="P",Games[[#This Row],[Round]]=3),IF(Games[[#This Row],[Result]]&gt;0.5,1,0),0)</f>
        <v>0</v>
      </c>
      <c r="AJ41" s="2">
        <f>IF(AND(Games[[#This Row],[Type]]="P",Games[[#This Row],[Round]]=3),IF(Games[[#This Row],[Result]]&lt;0.5,1,0),0)</f>
        <v>0</v>
      </c>
      <c r="AK41" s="2">
        <f>IF(AND(Games[[#This Row],[Type]]="P",Games[[#This Row],[Round]]=4),IF(Games[[#This Row],[Result]]&gt;0.5,1,0),0)</f>
        <v>0</v>
      </c>
      <c r="AL41" s="2">
        <f>IF(AND(Games[[#This Row],[Type]]="P",Games[[#This Row],[Round]]=4),IF(Games[[#This Row],[Result]]&lt;0.5,1,0),0)</f>
        <v>0</v>
      </c>
    </row>
    <row r="42" spans="1:38" x14ac:dyDescent="0.35">
      <c r="A42" s="10">
        <v>37773</v>
      </c>
      <c r="B42" s="2">
        <v>2003</v>
      </c>
      <c r="C42" s="2">
        <f>COUNTIFS(Games[Team],Games[[#This Row],[Team]],Games[Season],Games[[#This Row],[Season]],Games[Date],"&lt;=" &amp; Games[[#This Row],[Date]])</f>
        <v>3</v>
      </c>
      <c r="D42" s="2" t="s">
        <v>23</v>
      </c>
      <c r="E42" s="2" t="s">
        <v>29</v>
      </c>
      <c r="F42" s="1" t="s">
        <v>87</v>
      </c>
      <c r="G42" s="1" t="s">
        <v>85</v>
      </c>
      <c r="H42" s="1" t="s">
        <v>16</v>
      </c>
      <c r="I42" s="2" cm="1">
        <f t="array" ref="I42">IFERROR(
    Games[[#This Row],[Date]]
    - LOOKUP(
        2,
        1/((Games[Team]=Games[[#This Row],[Team]]) * (Games[Date] &lt; Games[[#This Row],[Date]])),
        Games[Date]
    )
    - 1,
Games[[#This Row],[Date]]-$A$2)</f>
        <v>1</v>
      </c>
      <c r="J42" s="2" cm="1">
        <f t="array" ref="J4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2" s="2">
        <f>Games[[#This Row],[DaysOff]]-Games[[#This Row],[OppDaysOff]]</f>
        <v>0</v>
      </c>
      <c r="L42" s="2">
        <f>Games[[#This Row],[OppDaysOff]]-Games[[#This Row],[DaysOff]]</f>
        <v>0</v>
      </c>
      <c r="M42" s="1">
        <f>MAX(-16, MIN(16, Games[[#This Row],[RestDiff]]*8))</f>
        <v>0</v>
      </c>
      <c r="N42" s="1">
        <f>MAX(-16, MIN(16, Games[[#This Row],[OppRestDiff]]*8))</f>
        <v>0</v>
      </c>
      <c r="O42" s="4" cm="1">
        <f t="array" ref="O4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1502.0371941572716</v>
      </c>
      <c r="P42" s="4" cm="1">
        <f t="array" ref="P4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1511.6482010798511</v>
      </c>
      <c r="Q42" s="4">
        <f>1/(1+10^(((Games[[#This Row],[OppPreGmRate]]+IF(Games[[#This Row],[HomeAway]]="A",HCA,0)+Games[[#This Row],[OppRestAdj]])-(Games[[#This Row],[PreGmRate]]+IF(Games[[#This Row],[HomeAway]]="H",HCA,0)+Games[[#This Row],[RestAdj]]))/400))</f>
        <v>0.36845089012866039</v>
      </c>
      <c r="R42" s="1">
        <v>83</v>
      </c>
      <c r="S42" s="1">
        <v>64</v>
      </c>
      <c r="T42" s="1">
        <v>0</v>
      </c>
      <c r="U42" s="1">
        <f>Games[[#This Row],[PointsFor]]-Games[[#This Row],[PointsAgainst]]</f>
        <v>19</v>
      </c>
      <c r="V42" s="1">
        <f>IF(Games[[#This Row],[MOV]]&gt;0,1,IF(Games[[#This Row],[MOV]]=0,0.5,0))</f>
        <v>1</v>
      </c>
      <c r="W42" s="4">
        <f>((ABS(Games[[#This Row],[MOV]])+5)^0.6)/(12+0.01*(ABS(Games[[#This Row],[PreGmRate]]-Games[[#This Row],[OppPreGmRate]])))*IF(Games[[#This Row],[OT]]=1,0.9,1)</f>
        <v>0.55652030563144983</v>
      </c>
      <c r="X42" s="7" cm="1">
        <f t="array" ref="X4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2" s="9">
        <f>MAX(kmin, kmax - 0.15 * MIN(Games[[#This Row],[GamesPlayed]], 82))</f>
        <v>75.55</v>
      </c>
      <c r="Z42" s="4">
        <f>Games[[#This Row],[K]]*Games[[#This Row],[POMult]]</f>
        <v>75.55</v>
      </c>
      <c r="AA42" s="4">
        <f>(Games[[#This Row],[Keff]]*Games[[#This Row],[MOVMult]])*(Games[[#This Row],[Result]]-Games[[#This Row],[ExpectedWin%]])</f>
        <v>26.553551220520877</v>
      </c>
      <c r="AB42" s="4">
        <f>Games[[#This Row],[PreGmRate]]+Games[[#This Row],[RatingChange]]</f>
        <v>1528.5907453777925</v>
      </c>
      <c r="AC42" s="2">
        <f>IF(Games[[#This Row],[Type]]="R",IF(Games[[#This Row],[Result]]&gt;0.5,1,0),0)</f>
        <v>1</v>
      </c>
      <c r="AD42" s="2">
        <f>IF(Games[[#This Row],[Type]]="R",IF(Games[[#This Row],[Result]]&lt;0.5,1,0),0)</f>
        <v>0</v>
      </c>
      <c r="AE42" s="2">
        <f>IF(AND(Games[[#This Row],[Type]]="P",Games[[#This Row],[Round]]=1),IF(Games[[#This Row],[Result]]&gt;0.5,1,0),0)</f>
        <v>0</v>
      </c>
      <c r="AF42" s="2">
        <f>IF(AND(Games[[#This Row],[Type]]="P",Games[[#This Row],[Round]]=1),IF(Games[[#This Row],[Result]]&lt;0.5,1,0),0)</f>
        <v>0</v>
      </c>
      <c r="AG42" s="2">
        <f>IF(AND(Games[[#This Row],[Type]]="P",Games[[#This Row],[Round]]=2),IF(Games[[#This Row],[Result]]&gt;0.5,1,0),0)</f>
        <v>0</v>
      </c>
      <c r="AH42" s="2">
        <f>IF(AND(Games[[#This Row],[Type]]="P",Games[[#This Row],[Round]]=2),IF(Games[[#This Row],[Result]]&lt;0.5,1,0),0)</f>
        <v>0</v>
      </c>
      <c r="AI42" s="2">
        <f>IF(AND(Games[[#This Row],[Type]]="P",Games[[#This Row],[Round]]=3),IF(Games[[#This Row],[Result]]&gt;0.5,1,0),0)</f>
        <v>0</v>
      </c>
      <c r="AJ42" s="2">
        <f>IF(AND(Games[[#This Row],[Type]]="P",Games[[#This Row],[Round]]=3),IF(Games[[#This Row],[Result]]&lt;0.5,1,0),0)</f>
        <v>0</v>
      </c>
      <c r="AK42" s="2">
        <f>IF(AND(Games[[#This Row],[Type]]="P",Games[[#This Row],[Round]]=4),IF(Games[[#This Row],[Result]]&gt;0.5,1,0),0)</f>
        <v>0</v>
      </c>
      <c r="AL42" s="2">
        <f>IF(AND(Games[[#This Row],[Type]]="P",Games[[#This Row],[Round]]=4),IF(Games[[#This Row],[Result]]&lt;0.5,1,0),0)</f>
        <v>0</v>
      </c>
    </row>
    <row r="43" spans="1:38" x14ac:dyDescent="0.35">
      <c r="A43" s="10">
        <v>37773</v>
      </c>
      <c r="B43" s="2">
        <v>2003</v>
      </c>
      <c r="C43" s="2">
        <f>COUNTIFS(Games[Team],Games[[#This Row],[Team]],Games[Season],Games[[#This Row],[Season]],Games[Date],"&lt;=" &amp; Games[[#This Row],[Date]])</f>
        <v>4</v>
      </c>
      <c r="D43" s="2" t="s">
        <v>23</v>
      </c>
      <c r="E43" s="2" t="s">
        <v>29</v>
      </c>
      <c r="F43" s="1" t="s">
        <v>85</v>
      </c>
      <c r="G43" s="1" t="s">
        <v>87</v>
      </c>
      <c r="H43" s="1" t="s">
        <v>15</v>
      </c>
      <c r="I43" s="2" cm="1">
        <f t="array" ref="I43">IFERROR(
    Games[[#This Row],[Date]]
    - LOOKUP(
        2,
        1/((Games[Team]=Games[[#This Row],[Team]]) * (Games[Date] &lt; Games[[#This Row],[Date]])),
        Games[Date]
    )
    - 1,
Games[[#This Row],[Date]]-$A$2)</f>
        <v>1</v>
      </c>
      <c r="J43" s="2" cm="1">
        <f t="array" ref="J4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3" s="2">
        <f>Games[[#This Row],[DaysOff]]-Games[[#This Row],[OppDaysOff]]</f>
        <v>0</v>
      </c>
      <c r="L43" s="2">
        <f>Games[[#This Row],[OppDaysOff]]-Games[[#This Row],[DaysOff]]</f>
        <v>0</v>
      </c>
      <c r="M43" s="1">
        <f>MAX(-16, MIN(16, Games[[#This Row],[RestDiff]]*8))</f>
        <v>0</v>
      </c>
      <c r="N43" s="1">
        <f>MAX(-16, MIN(16, Games[[#This Row],[OppRestDiff]]*8))</f>
        <v>0</v>
      </c>
      <c r="O43" s="4" cm="1">
        <f t="array" ref="O4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1511.6482010798511</v>
      </c>
      <c r="P43" s="4" cm="1">
        <f t="array" ref="P4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1502.0371941572716</v>
      </c>
      <c r="Q43" s="4">
        <f>1/(1+10^(((Games[[#This Row],[OppPreGmRate]]+IF(Games[[#This Row],[HomeAway]]="A",HCA,0)+Games[[#This Row],[OppRestAdj]])-(Games[[#This Row],[PreGmRate]]+IF(Games[[#This Row],[HomeAway]]="H",HCA,0)+Games[[#This Row],[RestAdj]]))/400))</f>
        <v>0.6315491098713395</v>
      </c>
      <c r="R43" s="1">
        <v>64</v>
      </c>
      <c r="S43" s="1">
        <v>83</v>
      </c>
      <c r="T43" s="1">
        <v>0</v>
      </c>
      <c r="U43" s="1">
        <f>Games[[#This Row],[PointsFor]]-Games[[#This Row],[PointsAgainst]]</f>
        <v>-19</v>
      </c>
      <c r="V43" s="1">
        <f>IF(Games[[#This Row],[MOV]]&gt;0,1,IF(Games[[#This Row],[MOV]]=0,0.5,0))</f>
        <v>0</v>
      </c>
      <c r="W43" s="4">
        <f>((ABS(Games[[#This Row],[MOV]])+5)^0.6)/(12+0.01*(ABS(Games[[#This Row],[PreGmRate]]-Games[[#This Row],[OppPreGmRate]])))*IF(Games[[#This Row],[OT]]=1,0.9,1)</f>
        <v>0.55652030563144983</v>
      </c>
      <c r="X43" s="7" cm="1">
        <f t="array" ref="X4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3" s="9">
        <f>MAX(kmin, kmax - 0.15 * MIN(Games[[#This Row],[GamesPlayed]], 82))</f>
        <v>75.400000000000006</v>
      </c>
      <c r="Z43" s="4">
        <f>Games[[#This Row],[K]]*Games[[#This Row],[POMult]]</f>
        <v>75.400000000000006</v>
      </c>
      <c r="AA43" s="4">
        <f>(Games[[#This Row],[Keff]]*Games[[#This Row],[MOVMult]])*(Games[[#This Row],[Result]]-Games[[#This Row],[ExpectedWin%]])</f>
        <v>-26.500830734973846</v>
      </c>
      <c r="AB43" s="4">
        <f>Games[[#This Row],[PreGmRate]]+Games[[#This Row],[RatingChange]]</f>
        <v>1485.1473703448773</v>
      </c>
      <c r="AC43" s="2">
        <f>IF(Games[[#This Row],[Type]]="R",IF(Games[[#This Row],[Result]]&gt;0.5,1,0),0)</f>
        <v>0</v>
      </c>
      <c r="AD43" s="2">
        <f>IF(Games[[#This Row],[Type]]="R",IF(Games[[#This Row],[Result]]&lt;0.5,1,0),0)</f>
        <v>1</v>
      </c>
      <c r="AE43" s="2">
        <f>IF(AND(Games[[#This Row],[Type]]="P",Games[[#This Row],[Round]]=1),IF(Games[[#This Row],[Result]]&gt;0.5,1,0),0)</f>
        <v>0</v>
      </c>
      <c r="AF43" s="2">
        <f>IF(AND(Games[[#This Row],[Type]]="P",Games[[#This Row],[Round]]=1),IF(Games[[#This Row],[Result]]&lt;0.5,1,0),0)</f>
        <v>0</v>
      </c>
      <c r="AG43" s="2">
        <f>IF(AND(Games[[#This Row],[Type]]="P",Games[[#This Row],[Round]]=2),IF(Games[[#This Row],[Result]]&gt;0.5,1,0),0)</f>
        <v>0</v>
      </c>
      <c r="AH43" s="2">
        <f>IF(AND(Games[[#This Row],[Type]]="P",Games[[#This Row],[Round]]=2),IF(Games[[#This Row],[Result]]&lt;0.5,1,0),0)</f>
        <v>0</v>
      </c>
      <c r="AI43" s="2">
        <f>IF(AND(Games[[#This Row],[Type]]="P",Games[[#This Row],[Round]]=3),IF(Games[[#This Row],[Result]]&gt;0.5,1,0),0)</f>
        <v>0</v>
      </c>
      <c r="AJ43" s="2">
        <f>IF(AND(Games[[#This Row],[Type]]="P",Games[[#This Row],[Round]]=3),IF(Games[[#This Row],[Result]]&lt;0.5,1,0),0)</f>
        <v>0</v>
      </c>
      <c r="AK43" s="2">
        <f>IF(AND(Games[[#This Row],[Type]]="P",Games[[#This Row],[Round]]=4),IF(Games[[#This Row],[Result]]&gt;0.5,1,0),0)</f>
        <v>0</v>
      </c>
      <c r="AL43" s="2">
        <f>IF(AND(Games[[#This Row],[Type]]="P",Games[[#This Row],[Round]]=4),IF(Games[[#This Row],[Result]]&lt;0.5,1,0),0)</f>
        <v>0</v>
      </c>
    </row>
    <row r="44" spans="1:38" x14ac:dyDescent="0.35">
      <c r="A44" s="10">
        <v>37775</v>
      </c>
      <c r="B44" s="2">
        <v>2003</v>
      </c>
      <c r="C44" s="2">
        <f>COUNTIFS(Games[Team],Games[[#This Row],[Team]],Games[Season],Games[[#This Row],[Season]],Games[Date],"&lt;=" &amp; Games[[#This Row],[Date]])</f>
        <v>5</v>
      </c>
      <c r="D44" s="2" t="s">
        <v>23</v>
      </c>
      <c r="E44" s="2" t="s">
        <v>29</v>
      </c>
      <c r="F44" s="1" t="s">
        <v>44</v>
      </c>
      <c r="G44" s="1" t="s">
        <v>2</v>
      </c>
      <c r="H44" s="1" t="s">
        <v>16</v>
      </c>
      <c r="I44" s="2" cm="1">
        <f t="array" ref="I44">IFERROR(
    Games[[#This Row],[Date]]
    - LOOKUP(
        2,
        1/((Games[Team]=Games[[#This Row],[Team]]) * (Games[Date] &lt; Games[[#This Row],[Date]])),
        Games[Date]
    )
    - 1,
Games[[#This Row],[Date]]-$A$2)</f>
        <v>3</v>
      </c>
      <c r="J44" s="2" cm="1">
        <f t="array" ref="J4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4" s="2">
        <f>Games[[#This Row],[DaysOff]]-Games[[#This Row],[OppDaysOff]]</f>
        <v>2</v>
      </c>
      <c r="L44" s="2">
        <f>Games[[#This Row],[OppDaysOff]]-Games[[#This Row],[DaysOff]]</f>
        <v>-2</v>
      </c>
      <c r="M44" s="1">
        <f>MAX(-16, MIN(16, Games[[#This Row],[RestDiff]]*8))</f>
        <v>16</v>
      </c>
      <c r="N44" s="1">
        <f>MAX(-16, MIN(16, Games[[#This Row],[OppRestDiff]]*8))</f>
        <v>-16</v>
      </c>
      <c r="O44" s="4" cm="1">
        <f t="array" ref="O4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1409.4402042321124</v>
      </c>
      <c r="P44" s="4" cm="1">
        <f t="array" ref="P4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1555.7824432055804</v>
      </c>
      <c r="Q44" s="4">
        <f>1/(1+10^(((Games[[#This Row],[OppPreGmRate]]+IF(Games[[#This Row],[HomeAway]]="A",HCA,0)+Games[[#This Row],[OppRestAdj]])-(Games[[#This Row],[PreGmRate]]+IF(Games[[#This Row],[HomeAway]]="H",HCA,0)+Games[[#This Row],[RestAdj]]))/400))</f>
        <v>0.24199925755406881</v>
      </c>
      <c r="R44" s="1">
        <v>51</v>
      </c>
      <c r="S44" s="1">
        <v>66</v>
      </c>
      <c r="T44" s="1">
        <v>0</v>
      </c>
      <c r="U44" s="1">
        <f>Games[[#This Row],[PointsFor]]-Games[[#This Row],[PointsAgainst]]</f>
        <v>-15</v>
      </c>
      <c r="V44" s="1">
        <f>IF(Games[[#This Row],[MOV]]&gt;0,1,IF(Games[[#This Row],[MOV]]=0,0.5,0))</f>
        <v>0</v>
      </c>
      <c r="W44" s="4">
        <f>((ABS(Games[[#This Row],[MOV]])+5)^0.6)/(12+0.01*(ABS(Games[[#This Row],[PreGmRate]]-Games[[#This Row],[OppPreGmRate]])))*IF(Games[[#This Row],[OT]]=1,0.9,1)</f>
        <v>0.44819037551298835</v>
      </c>
      <c r="X44" s="7" cm="1">
        <f t="array" ref="X4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4" s="9">
        <f>MAX(kmin, kmax - 0.15 * MIN(Games[[#This Row],[GamesPlayed]], 82))</f>
        <v>75.25</v>
      </c>
      <c r="Z44" s="4">
        <f>Games[[#This Row],[K]]*Games[[#This Row],[POMult]]</f>
        <v>75.25</v>
      </c>
      <c r="AA44" s="4">
        <f>(Games[[#This Row],[Keff]]*Games[[#This Row],[MOVMult]])*(Games[[#This Row],[Result]]-Games[[#This Row],[ExpectedWin%]])</f>
        <v>-8.1617457933059416</v>
      </c>
      <c r="AB44" s="4">
        <f>Games[[#This Row],[PreGmRate]]+Games[[#This Row],[RatingChange]]</f>
        <v>1401.2784584388064</v>
      </c>
      <c r="AC44" s="2">
        <f>IF(Games[[#This Row],[Type]]="R",IF(Games[[#This Row],[Result]]&gt;0.5,1,0),0)</f>
        <v>0</v>
      </c>
      <c r="AD44" s="2">
        <f>IF(Games[[#This Row],[Type]]="R",IF(Games[[#This Row],[Result]]&lt;0.5,1,0),0)</f>
        <v>1</v>
      </c>
      <c r="AE44" s="2">
        <f>IF(AND(Games[[#This Row],[Type]]="P",Games[[#This Row],[Round]]=1),IF(Games[[#This Row],[Result]]&gt;0.5,1,0),0)</f>
        <v>0</v>
      </c>
      <c r="AF44" s="2">
        <f>IF(AND(Games[[#This Row],[Type]]="P",Games[[#This Row],[Round]]=1),IF(Games[[#This Row],[Result]]&lt;0.5,1,0),0)</f>
        <v>0</v>
      </c>
      <c r="AG44" s="2">
        <f>IF(AND(Games[[#This Row],[Type]]="P",Games[[#This Row],[Round]]=2),IF(Games[[#This Row],[Result]]&gt;0.5,1,0),0)</f>
        <v>0</v>
      </c>
      <c r="AH44" s="2">
        <f>IF(AND(Games[[#This Row],[Type]]="P",Games[[#This Row],[Round]]=2),IF(Games[[#This Row],[Result]]&lt;0.5,1,0),0)</f>
        <v>0</v>
      </c>
      <c r="AI44" s="2">
        <f>IF(AND(Games[[#This Row],[Type]]="P",Games[[#This Row],[Round]]=3),IF(Games[[#This Row],[Result]]&gt;0.5,1,0),0)</f>
        <v>0</v>
      </c>
      <c r="AJ44" s="2">
        <f>IF(AND(Games[[#This Row],[Type]]="P",Games[[#This Row],[Round]]=3),IF(Games[[#This Row],[Result]]&lt;0.5,1,0),0)</f>
        <v>0</v>
      </c>
      <c r="AK44" s="2">
        <f>IF(AND(Games[[#This Row],[Type]]="P",Games[[#This Row],[Round]]=4),IF(Games[[#This Row],[Result]]&gt;0.5,1,0),0)</f>
        <v>0</v>
      </c>
      <c r="AL44" s="2">
        <f>IF(AND(Games[[#This Row],[Type]]="P",Games[[#This Row],[Round]]=4),IF(Games[[#This Row],[Result]]&lt;0.5,1,0),0)</f>
        <v>0</v>
      </c>
    </row>
    <row r="45" spans="1:38" x14ac:dyDescent="0.35">
      <c r="A45" s="10">
        <v>37775</v>
      </c>
      <c r="B45" s="2">
        <v>2003</v>
      </c>
      <c r="C45" s="2">
        <f>COUNTIFS(Games[Team],Games[[#This Row],[Team]],Games[Season],Games[[#This Row],[Season]],Games[Date],"&lt;=" &amp; Games[[#This Row],[Date]])</f>
        <v>5</v>
      </c>
      <c r="D45" s="2" t="s">
        <v>23</v>
      </c>
      <c r="E45" s="2" t="s">
        <v>29</v>
      </c>
      <c r="F45" s="1" t="s">
        <v>2</v>
      </c>
      <c r="G45" s="1" t="s">
        <v>44</v>
      </c>
      <c r="H45" s="1" t="s">
        <v>15</v>
      </c>
      <c r="I45" s="2" cm="1">
        <f t="array" ref="I45">IFERROR(
    Games[[#This Row],[Date]]
    - LOOKUP(
        2,
        1/((Games[Team]=Games[[#This Row],[Team]]) * (Games[Date] &lt; Games[[#This Row],[Date]])),
        Games[Date]
    )
    - 1,
Games[[#This Row],[Date]]-$A$2)</f>
        <v>1</v>
      </c>
      <c r="J45" s="2" cm="1">
        <f t="array" ref="J45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45" s="2">
        <f>Games[[#This Row],[DaysOff]]-Games[[#This Row],[OppDaysOff]]</f>
        <v>-2</v>
      </c>
      <c r="L45" s="2">
        <f>Games[[#This Row],[OppDaysOff]]-Games[[#This Row],[DaysOff]]</f>
        <v>2</v>
      </c>
      <c r="M45" s="1">
        <f>MAX(-16, MIN(16, Games[[#This Row],[RestDiff]]*8))</f>
        <v>-16</v>
      </c>
      <c r="N45" s="1">
        <f>MAX(-16, MIN(16, Games[[#This Row],[OppRestDiff]]*8))</f>
        <v>16</v>
      </c>
      <c r="O45" s="4" cm="1">
        <f t="array" ref="O4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1555.7824432055804</v>
      </c>
      <c r="P45" s="4" cm="1">
        <f t="array" ref="P4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1409.4402042321124</v>
      </c>
      <c r="Q45" s="4">
        <f>1/(1+10^(((Games[[#This Row],[OppPreGmRate]]+IF(Games[[#This Row],[HomeAway]]="A",HCA,0)+Games[[#This Row],[OppRestAdj]])-(Games[[#This Row],[PreGmRate]]+IF(Games[[#This Row],[HomeAway]]="H",HCA,0)+Games[[#This Row],[RestAdj]]))/400))</f>
        <v>0.75800074244593119</v>
      </c>
      <c r="R45" s="1">
        <v>66</v>
      </c>
      <c r="S45" s="1">
        <v>51</v>
      </c>
      <c r="T45" s="1">
        <v>0</v>
      </c>
      <c r="U45" s="1">
        <f>Games[[#This Row],[PointsFor]]-Games[[#This Row],[PointsAgainst]]</f>
        <v>15</v>
      </c>
      <c r="V45" s="1">
        <f>IF(Games[[#This Row],[MOV]]&gt;0,1,IF(Games[[#This Row],[MOV]]=0,0.5,0))</f>
        <v>1</v>
      </c>
      <c r="W45" s="4">
        <f>((ABS(Games[[#This Row],[MOV]])+5)^0.6)/(12+0.01*(ABS(Games[[#This Row],[PreGmRate]]-Games[[#This Row],[OppPreGmRate]])))*IF(Games[[#This Row],[OT]]=1,0.9,1)</f>
        <v>0.44819037551298835</v>
      </c>
      <c r="X45" s="7" cm="1">
        <f t="array" ref="X4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5" s="9">
        <f>MAX(kmin, kmax - 0.15 * MIN(Games[[#This Row],[GamesPlayed]], 82))</f>
        <v>75.25</v>
      </c>
      <c r="Z45" s="4">
        <f>Games[[#This Row],[K]]*Games[[#This Row],[POMult]]</f>
        <v>75.25</v>
      </c>
      <c r="AA45" s="4">
        <f>(Games[[#This Row],[Keff]]*Games[[#This Row],[MOVMult]])*(Games[[#This Row],[Result]]-Games[[#This Row],[ExpectedWin%]])</f>
        <v>8.1617457933059416</v>
      </c>
      <c r="AB45" s="4">
        <f>Games[[#This Row],[PreGmRate]]+Games[[#This Row],[RatingChange]]</f>
        <v>1563.9441889988864</v>
      </c>
      <c r="AC45" s="2">
        <f>IF(Games[[#This Row],[Type]]="R",IF(Games[[#This Row],[Result]]&gt;0.5,1,0),0)</f>
        <v>1</v>
      </c>
      <c r="AD45" s="2">
        <f>IF(Games[[#This Row],[Type]]="R",IF(Games[[#This Row],[Result]]&lt;0.5,1,0),0)</f>
        <v>0</v>
      </c>
      <c r="AE45" s="2">
        <f>IF(AND(Games[[#This Row],[Type]]="P",Games[[#This Row],[Round]]=1),IF(Games[[#This Row],[Result]]&gt;0.5,1,0),0)</f>
        <v>0</v>
      </c>
      <c r="AF45" s="2">
        <f>IF(AND(Games[[#This Row],[Type]]="P",Games[[#This Row],[Round]]=1),IF(Games[[#This Row],[Result]]&lt;0.5,1,0),0)</f>
        <v>0</v>
      </c>
      <c r="AG45" s="2">
        <f>IF(AND(Games[[#This Row],[Type]]="P",Games[[#This Row],[Round]]=2),IF(Games[[#This Row],[Result]]&gt;0.5,1,0),0)</f>
        <v>0</v>
      </c>
      <c r="AH45" s="2">
        <f>IF(AND(Games[[#This Row],[Type]]="P",Games[[#This Row],[Round]]=2),IF(Games[[#This Row],[Result]]&lt;0.5,1,0),0)</f>
        <v>0</v>
      </c>
      <c r="AI45" s="2">
        <f>IF(AND(Games[[#This Row],[Type]]="P",Games[[#This Row],[Round]]=3),IF(Games[[#This Row],[Result]]&gt;0.5,1,0),0)</f>
        <v>0</v>
      </c>
      <c r="AJ45" s="2">
        <f>IF(AND(Games[[#This Row],[Type]]="P",Games[[#This Row],[Round]]=3),IF(Games[[#This Row],[Result]]&lt;0.5,1,0),0)</f>
        <v>0</v>
      </c>
      <c r="AK45" s="2">
        <f>IF(AND(Games[[#This Row],[Type]]="P",Games[[#This Row],[Round]]=4),IF(Games[[#This Row],[Result]]&gt;0.5,1,0),0)</f>
        <v>0</v>
      </c>
      <c r="AL45" s="2">
        <f>IF(AND(Games[[#This Row],[Type]]="P",Games[[#This Row],[Round]]=4),IF(Games[[#This Row],[Result]]&lt;0.5,1,0),0)</f>
        <v>0</v>
      </c>
    </row>
    <row r="46" spans="1:38" x14ac:dyDescent="0.35">
      <c r="A46" s="10">
        <v>37775</v>
      </c>
      <c r="B46" s="2">
        <v>2003</v>
      </c>
      <c r="C46" s="2">
        <f>COUNTIFS(Games[Team],Games[[#This Row],[Team]],Games[Season],Games[[#This Row],[Season]],Games[Date],"&lt;=" &amp; Games[[#This Row],[Date]])</f>
        <v>4</v>
      </c>
      <c r="D46" s="2" t="s">
        <v>23</v>
      </c>
      <c r="E46" s="2" t="s">
        <v>29</v>
      </c>
      <c r="F46" s="1" t="s">
        <v>45</v>
      </c>
      <c r="G46" s="1" t="s">
        <v>82</v>
      </c>
      <c r="H46" s="1" t="s">
        <v>16</v>
      </c>
      <c r="I46" s="2" cm="1">
        <f t="array" ref="I46">IFERROR(
    Games[[#This Row],[Date]]
    - LOOKUP(
        2,
        1/((Games[Team]=Games[[#This Row],[Team]]) * (Games[Date] &lt; Games[[#This Row],[Date]])),
        Games[Date]
    )
    - 1,
Games[[#This Row],[Date]]-$A$2)</f>
        <v>3</v>
      </c>
      <c r="J46" s="2" cm="1">
        <f t="array" ref="J46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46" s="2">
        <f>Games[[#This Row],[DaysOff]]-Games[[#This Row],[OppDaysOff]]</f>
        <v>0</v>
      </c>
      <c r="L46" s="2">
        <f>Games[[#This Row],[OppDaysOff]]-Games[[#This Row],[DaysOff]]</f>
        <v>0</v>
      </c>
      <c r="M46" s="1">
        <f>MAX(-16, MIN(16, Games[[#This Row],[RestDiff]]*8))</f>
        <v>0</v>
      </c>
      <c r="N46" s="1">
        <f>MAX(-16, MIN(16, Games[[#This Row],[OppRestDiff]]*8))</f>
        <v>0</v>
      </c>
      <c r="O46" s="4" cm="1">
        <f t="array" ref="O4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1526.3419913391242</v>
      </c>
      <c r="P46" s="4" cm="1">
        <f t="array" ref="P4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1480.1979856015039</v>
      </c>
      <c r="Q46" s="4">
        <f>1/(1+10^(((Games[[#This Row],[OppPreGmRate]]+IF(Games[[#This Row],[HomeAway]]="A",HCA,0)+Games[[#This Row],[OppRestAdj]])-(Games[[#This Row],[PreGmRate]]+IF(Games[[#This Row],[HomeAway]]="H",HCA,0)+Games[[#This Row],[RestAdj]]))/400))</f>
        <v>0.44573541666618488</v>
      </c>
      <c r="R46" s="1">
        <v>56</v>
      </c>
      <c r="S46" s="1">
        <v>70</v>
      </c>
      <c r="T46" s="1">
        <v>0</v>
      </c>
      <c r="U46" s="1">
        <f>Games[[#This Row],[PointsFor]]-Games[[#This Row],[PointsAgainst]]</f>
        <v>-14</v>
      </c>
      <c r="V46" s="1">
        <f>IF(Games[[#This Row],[MOV]]&gt;0,1,IF(Games[[#This Row],[MOV]]=0,0.5,0))</f>
        <v>0</v>
      </c>
      <c r="W46" s="4">
        <f>((ABS(Games[[#This Row],[MOV]])+5)^0.6)/(12+0.01*(ABS(Games[[#This Row],[PreGmRate]]-Games[[#This Row],[OppPreGmRate]])))*IF(Games[[#This Row],[OT]]=1,0.9,1)</f>
        <v>0.46955225202449236</v>
      </c>
      <c r="X46" s="7" cm="1">
        <f t="array" ref="X4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6" s="9">
        <f>MAX(kmin, kmax - 0.15 * MIN(Games[[#This Row],[GamesPlayed]], 82))</f>
        <v>75.400000000000006</v>
      </c>
      <c r="Z46" s="4">
        <f>Games[[#This Row],[K]]*Games[[#This Row],[POMult]]</f>
        <v>75.400000000000006</v>
      </c>
      <c r="AA46" s="4">
        <f>(Games[[#This Row],[Keff]]*Games[[#This Row],[MOVMult]])*(Games[[#This Row],[Result]]-Games[[#This Row],[ExpectedWin%]])</f>
        <v>-15.780923580182266</v>
      </c>
      <c r="AB46" s="4">
        <f>Games[[#This Row],[PreGmRate]]+Games[[#This Row],[RatingChange]]</f>
        <v>1510.561067758942</v>
      </c>
      <c r="AC46" s="2">
        <f>IF(Games[[#This Row],[Type]]="R",IF(Games[[#This Row],[Result]]&gt;0.5,1,0),0)</f>
        <v>0</v>
      </c>
      <c r="AD46" s="2">
        <f>IF(Games[[#This Row],[Type]]="R",IF(Games[[#This Row],[Result]]&lt;0.5,1,0),0)</f>
        <v>1</v>
      </c>
      <c r="AE46" s="2">
        <f>IF(AND(Games[[#This Row],[Type]]="P",Games[[#This Row],[Round]]=1),IF(Games[[#This Row],[Result]]&gt;0.5,1,0),0)</f>
        <v>0</v>
      </c>
      <c r="AF46" s="2">
        <f>IF(AND(Games[[#This Row],[Type]]="P",Games[[#This Row],[Round]]=1),IF(Games[[#This Row],[Result]]&lt;0.5,1,0),0)</f>
        <v>0</v>
      </c>
      <c r="AG46" s="2">
        <f>IF(AND(Games[[#This Row],[Type]]="P",Games[[#This Row],[Round]]=2),IF(Games[[#This Row],[Result]]&gt;0.5,1,0),0)</f>
        <v>0</v>
      </c>
      <c r="AH46" s="2">
        <f>IF(AND(Games[[#This Row],[Type]]="P",Games[[#This Row],[Round]]=2),IF(Games[[#This Row],[Result]]&lt;0.5,1,0),0)</f>
        <v>0</v>
      </c>
      <c r="AI46" s="2">
        <f>IF(AND(Games[[#This Row],[Type]]="P",Games[[#This Row],[Round]]=3),IF(Games[[#This Row],[Result]]&gt;0.5,1,0),0)</f>
        <v>0</v>
      </c>
      <c r="AJ46" s="2">
        <f>IF(AND(Games[[#This Row],[Type]]="P",Games[[#This Row],[Round]]=3),IF(Games[[#This Row],[Result]]&lt;0.5,1,0),0)</f>
        <v>0</v>
      </c>
      <c r="AK46" s="2">
        <f>IF(AND(Games[[#This Row],[Type]]="P",Games[[#This Row],[Round]]=4),IF(Games[[#This Row],[Result]]&gt;0.5,1,0),0)</f>
        <v>0</v>
      </c>
      <c r="AL46" s="2">
        <f>IF(AND(Games[[#This Row],[Type]]="P",Games[[#This Row],[Round]]=4),IF(Games[[#This Row],[Result]]&lt;0.5,1,0),0)</f>
        <v>0</v>
      </c>
    </row>
    <row r="47" spans="1:38" x14ac:dyDescent="0.35">
      <c r="A47" s="10">
        <v>37775</v>
      </c>
      <c r="B47" s="2">
        <v>2003</v>
      </c>
      <c r="C47" s="2">
        <f>COUNTIFS(Games[Team],Games[[#This Row],[Team]],Games[Season],Games[[#This Row],[Season]],Games[Date],"&lt;=" &amp; Games[[#This Row],[Date]])</f>
        <v>4</v>
      </c>
      <c r="D47" s="2" t="s">
        <v>23</v>
      </c>
      <c r="E47" s="2" t="s">
        <v>29</v>
      </c>
      <c r="F47" s="1" t="s">
        <v>82</v>
      </c>
      <c r="G47" s="1" t="s">
        <v>45</v>
      </c>
      <c r="H47" s="1" t="s">
        <v>15</v>
      </c>
      <c r="I47" s="2" cm="1">
        <f t="array" ref="I47">IFERROR(
    Games[[#This Row],[Date]]
    - LOOKUP(
        2,
        1/((Games[Team]=Games[[#This Row],[Team]]) * (Games[Date] &lt; Games[[#This Row],[Date]])),
        Games[Date]
    )
    - 1,
Games[[#This Row],[Date]]-$A$2)</f>
        <v>3</v>
      </c>
      <c r="J47" s="2" cm="1">
        <f t="array" ref="J47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47" s="2">
        <f>Games[[#This Row],[DaysOff]]-Games[[#This Row],[OppDaysOff]]</f>
        <v>0</v>
      </c>
      <c r="L47" s="2">
        <f>Games[[#This Row],[OppDaysOff]]-Games[[#This Row],[DaysOff]]</f>
        <v>0</v>
      </c>
      <c r="M47" s="1">
        <f>MAX(-16, MIN(16, Games[[#This Row],[RestDiff]]*8))</f>
        <v>0</v>
      </c>
      <c r="N47" s="1">
        <f>MAX(-16, MIN(16, Games[[#This Row],[OppRestDiff]]*8))</f>
        <v>0</v>
      </c>
      <c r="O47" s="4" cm="1">
        <f t="array" ref="O4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1480.1979856015039</v>
      </c>
      <c r="P47" s="4" cm="1">
        <f t="array" ref="P4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1526.3419913391242</v>
      </c>
      <c r="Q47" s="4">
        <f>1/(1+10^(((Games[[#This Row],[OppPreGmRate]]+IF(Games[[#This Row],[HomeAway]]="A",HCA,0)+Games[[#This Row],[OppRestAdj]])-(Games[[#This Row],[PreGmRate]]+IF(Games[[#This Row],[HomeAway]]="H",HCA,0)+Games[[#This Row],[RestAdj]]))/400))</f>
        <v>0.55426458333381512</v>
      </c>
      <c r="R47" s="1">
        <v>70</v>
      </c>
      <c r="S47" s="1">
        <v>56</v>
      </c>
      <c r="T47" s="1">
        <v>0</v>
      </c>
      <c r="U47" s="1">
        <f>Games[[#This Row],[PointsFor]]-Games[[#This Row],[PointsAgainst]]</f>
        <v>14</v>
      </c>
      <c r="V47" s="1">
        <f>IF(Games[[#This Row],[MOV]]&gt;0,1,IF(Games[[#This Row],[MOV]]=0,0.5,0))</f>
        <v>1</v>
      </c>
      <c r="W47" s="4">
        <f>((ABS(Games[[#This Row],[MOV]])+5)^0.6)/(12+0.01*(ABS(Games[[#This Row],[PreGmRate]]-Games[[#This Row],[OppPreGmRate]])))*IF(Games[[#This Row],[OT]]=1,0.9,1)</f>
        <v>0.46955225202449236</v>
      </c>
      <c r="X47" s="7" cm="1">
        <f t="array" ref="X4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7" s="9">
        <f>MAX(kmin, kmax - 0.15 * MIN(Games[[#This Row],[GamesPlayed]], 82))</f>
        <v>75.400000000000006</v>
      </c>
      <c r="Z47" s="4">
        <f>Games[[#This Row],[K]]*Games[[#This Row],[POMult]]</f>
        <v>75.400000000000006</v>
      </c>
      <c r="AA47" s="4">
        <f>(Games[[#This Row],[Keff]]*Games[[#This Row],[MOVMult]])*(Games[[#This Row],[Result]]-Games[[#This Row],[ExpectedWin%]])</f>
        <v>15.780923580182266</v>
      </c>
      <c r="AB47" s="4">
        <f>Games[[#This Row],[PreGmRate]]+Games[[#This Row],[RatingChange]]</f>
        <v>1495.978909181686</v>
      </c>
      <c r="AC47" s="2">
        <f>IF(Games[[#This Row],[Type]]="R",IF(Games[[#This Row],[Result]]&gt;0.5,1,0),0)</f>
        <v>1</v>
      </c>
      <c r="AD47" s="2">
        <f>IF(Games[[#This Row],[Type]]="R",IF(Games[[#This Row],[Result]]&lt;0.5,1,0),0)</f>
        <v>0</v>
      </c>
      <c r="AE47" s="2">
        <f>IF(AND(Games[[#This Row],[Type]]="P",Games[[#This Row],[Round]]=1),IF(Games[[#This Row],[Result]]&gt;0.5,1,0),0)</f>
        <v>0</v>
      </c>
      <c r="AF47" s="2">
        <f>IF(AND(Games[[#This Row],[Type]]="P",Games[[#This Row],[Round]]=1),IF(Games[[#This Row],[Result]]&lt;0.5,1,0),0)</f>
        <v>0</v>
      </c>
      <c r="AG47" s="2">
        <f>IF(AND(Games[[#This Row],[Type]]="P",Games[[#This Row],[Round]]=2),IF(Games[[#This Row],[Result]]&gt;0.5,1,0),0)</f>
        <v>0</v>
      </c>
      <c r="AH47" s="2">
        <f>IF(AND(Games[[#This Row],[Type]]="P",Games[[#This Row],[Round]]=2),IF(Games[[#This Row],[Result]]&lt;0.5,1,0),0)</f>
        <v>0</v>
      </c>
      <c r="AI47" s="2">
        <f>IF(AND(Games[[#This Row],[Type]]="P",Games[[#This Row],[Round]]=3),IF(Games[[#This Row],[Result]]&gt;0.5,1,0),0)</f>
        <v>0</v>
      </c>
      <c r="AJ47" s="2">
        <f>IF(AND(Games[[#This Row],[Type]]="P",Games[[#This Row],[Round]]=3),IF(Games[[#This Row],[Result]]&lt;0.5,1,0),0)</f>
        <v>0</v>
      </c>
      <c r="AK47" s="2">
        <f>IF(AND(Games[[#This Row],[Type]]="P",Games[[#This Row],[Round]]=4),IF(Games[[#This Row],[Result]]&gt;0.5,1,0),0)</f>
        <v>0</v>
      </c>
      <c r="AL47" s="2">
        <f>IF(AND(Games[[#This Row],[Type]]="P",Games[[#This Row],[Round]]=4),IF(Games[[#This Row],[Result]]&lt;0.5,1,0),0)</f>
        <v>0</v>
      </c>
    </row>
    <row r="48" spans="1:38" x14ac:dyDescent="0.35">
      <c r="A48" s="10">
        <v>37776</v>
      </c>
      <c r="B48" s="2">
        <v>2003</v>
      </c>
      <c r="C48" s="2">
        <f>COUNTIFS(Games[Team],Games[[#This Row],[Team]],Games[Season],Games[[#This Row],[Season]],Games[Date],"&lt;=" &amp; Games[[#This Row],[Date]])</f>
        <v>5</v>
      </c>
      <c r="D48" s="2" t="s">
        <v>23</v>
      </c>
      <c r="E48" s="2" t="s">
        <v>29</v>
      </c>
      <c r="F48" s="1" t="s">
        <v>85</v>
      </c>
      <c r="G48" s="1" t="s">
        <v>64</v>
      </c>
      <c r="H48" s="1" t="s">
        <v>16</v>
      </c>
      <c r="I48" s="2" cm="1">
        <f t="array" ref="I48">IFERROR(
    Games[[#This Row],[Date]]
    - LOOKUP(
        2,
        1/((Games[Team]=Games[[#This Row],[Team]]) * (Games[Date] &lt; Games[[#This Row],[Date]])),
        Games[Date]
    )
    - 1,
Games[[#This Row],[Date]]-$A$2)</f>
        <v>2</v>
      </c>
      <c r="J48" s="2" cm="1">
        <f t="array" ref="J48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48" s="2">
        <f>Games[[#This Row],[DaysOff]]-Games[[#This Row],[OppDaysOff]]</f>
        <v>-1</v>
      </c>
      <c r="L48" s="2">
        <f>Games[[#This Row],[OppDaysOff]]-Games[[#This Row],[DaysOff]]</f>
        <v>1</v>
      </c>
      <c r="M48" s="1">
        <f>MAX(-16, MIN(16, Games[[#This Row],[RestDiff]]*8))</f>
        <v>-8</v>
      </c>
      <c r="N48" s="1">
        <f>MAX(-16, MIN(16, Games[[#This Row],[OppRestDiff]]*8))</f>
        <v>8</v>
      </c>
      <c r="O48" s="4" cm="1">
        <f t="array" ref="O4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1485.1473703448773</v>
      </c>
      <c r="P48" s="4" cm="1">
        <f t="array" ref="P4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1517.9804395515423</v>
      </c>
      <c r="Q48" s="4">
        <f>1/(1+10^(((Games[[#This Row],[OppPreGmRate]]+IF(Games[[#This Row],[HomeAway]]="A",HCA,0)+Games[[#This Row],[OppRestAdj]])-(Games[[#This Row],[PreGmRate]]+IF(Games[[#This Row],[HomeAway]]="H",HCA,0)+Games[[#This Row],[RestAdj]]))/400))</f>
        <v>0.3176378540686926</v>
      </c>
      <c r="R48" s="1">
        <v>52</v>
      </c>
      <c r="S48" s="1">
        <v>67</v>
      </c>
      <c r="T48" s="1">
        <v>0</v>
      </c>
      <c r="U48" s="1">
        <f>Games[[#This Row],[PointsFor]]-Games[[#This Row],[PointsAgainst]]</f>
        <v>-15</v>
      </c>
      <c r="V48" s="1">
        <f>IF(Games[[#This Row],[MOV]]&gt;0,1,IF(Games[[#This Row],[MOV]]=0,0.5,0))</f>
        <v>0</v>
      </c>
      <c r="W48" s="4">
        <f>((ABS(Games[[#This Row],[MOV]])+5)^0.6)/(12+0.01*(ABS(Games[[#This Row],[PreGmRate]]-Games[[#This Row],[OppPreGmRate]])))*IF(Games[[#This Row],[OT]]=1,0.9,1)</f>
        <v>0.48945607375929556</v>
      </c>
      <c r="X48" s="7" cm="1">
        <f t="array" ref="X4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8" s="9">
        <f>MAX(kmin, kmax - 0.15 * MIN(Games[[#This Row],[GamesPlayed]], 82))</f>
        <v>75.25</v>
      </c>
      <c r="Z48" s="4">
        <f>Games[[#This Row],[K]]*Games[[#This Row],[POMult]]</f>
        <v>75.25</v>
      </c>
      <c r="AA48" s="4">
        <f>(Games[[#This Row],[Keff]]*Games[[#This Row],[MOVMult]])*(Games[[#This Row],[Result]]-Games[[#This Row],[ExpectedWin%]])</f>
        <v>-11.699100713966724</v>
      </c>
      <c r="AB48" s="4">
        <f>Games[[#This Row],[PreGmRate]]+Games[[#This Row],[RatingChange]]</f>
        <v>1473.4482696309105</v>
      </c>
      <c r="AC48" s="2">
        <f>IF(Games[[#This Row],[Type]]="R",IF(Games[[#This Row],[Result]]&gt;0.5,1,0),0)</f>
        <v>0</v>
      </c>
      <c r="AD48" s="2">
        <f>IF(Games[[#This Row],[Type]]="R",IF(Games[[#This Row],[Result]]&lt;0.5,1,0),0)</f>
        <v>1</v>
      </c>
      <c r="AE48" s="2">
        <f>IF(AND(Games[[#This Row],[Type]]="P",Games[[#This Row],[Round]]=1),IF(Games[[#This Row],[Result]]&gt;0.5,1,0),0)</f>
        <v>0</v>
      </c>
      <c r="AF48" s="2">
        <f>IF(AND(Games[[#This Row],[Type]]="P",Games[[#This Row],[Round]]=1),IF(Games[[#This Row],[Result]]&lt;0.5,1,0),0)</f>
        <v>0</v>
      </c>
      <c r="AG48" s="2">
        <f>IF(AND(Games[[#This Row],[Type]]="P",Games[[#This Row],[Round]]=2),IF(Games[[#This Row],[Result]]&gt;0.5,1,0),0)</f>
        <v>0</v>
      </c>
      <c r="AH48" s="2">
        <f>IF(AND(Games[[#This Row],[Type]]="P",Games[[#This Row],[Round]]=2),IF(Games[[#This Row],[Result]]&lt;0.5,1,0),0)</f>
        <v>0</v>
      </c>
      <c r="AI48" s="2">
        <f>IF(AND(Games[[#This Row],[Type]]="P",Games[[#This Row],[Round]]=3),IF(Games[[#This Row],[Result]]&gt;0.5,1,0),0)</f>
        <v>0</v>
      </c>
      <c r="AJ48" s="2">
        <f>IF(AND(Games[[#This Row],[Type]]="P",Games[[#This Row],[Round]]=3),IF(Games[[#This Row],[Result]]&lt;0.5,1,0),0)</f>
        <v>0</v>
      </c>
      <c r="AK48" s="2">
        <f>IF(AND(Games[[#This Row],[Type]]="P",Games[[#This Row],[Round]]=4),IF(Games[[#This Row],[Result]]&gt;0.5,1,0),0)</f>
        <v>0</v>
      </c>
      <c r="AL48" s="2">
        <f>IF(AND(Games[[#This Row],[Type]]="P",Games[[#This Row],[Round]]=4),IF(Games[[#This Row],[Result]]&lt;0.5,1,0),0)</f>
        <v>0</v>
      </c>
    </row>
    <row r="49" spans="1:38" x14ac:dyDescent="0.35">
      <c r="A49" s="10">
        <v>37776</v>
      </c>
      <c r="B49" s="2">
        <v>2003</v>
      </c>
      <c r="C49" s="2">
        <f>COUNTIFS(Games[Team],Games[[#This Row],[Team]],Games[Season],Games[[#This Row],[Season]],Games[Date],"&lt;=" &amp; Games[[#This Row],[Date]])</f>
        <v>4</v>
      </c>
      <c r="D49" s="2" t="s">
        <v>23</v>
      </c>
      <c r="E49" s="2" t="s">
        <v>29</v>
      </c>
      <c r="F49" s="1" t="s">
        <v>64</v>
      </c>
      <c r="G49" s="1" t="s">
        <v>85</v>
      </c>
      <c r="H49" s="1" t="s">
        <v>15</v>
      </c>
      <c r="I49" s="2" cm="1">
        <f t="array" ref="I49">IFERROR(
    Games[[#This Row],[Date]]
    - LOOKUP(
        2,
        1/((Games[Team]=Games[[#This Row],[Team]]) * (Games[Date] &lt; Games[[#This Row],[Date]])),
        Games[Date]
    )
    - 1,
Games[[#This Row],[Date]]-$A$2)</f>
        <v>3</v>
      </c>
      <c r="J49" s="2" cm="1">
        <f t="array" ref="J4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9" s="2">
        <f>Games[[#This Row],[DaysOff]]-Games[[#This Row],[OppDaysOff]]</f>
        <v>1</v>
      </c>
      <c r="L49" s="2">
        <f>Games[[#This Row],[OppDaysOff]]-Games[[#This Row],[DaysOff]]</f>
        <v>-1</v>
      </c>
      <c r="M49" s="1">
        <f>MAX(-16, MIN(16, Games[[#This Row],[RestDiff]]*8))</f>
        <v>8</v>
      </c>
      <c r="N49" s="1">
        <f>MAX(-16, MIN(16, Games[[#This Row],[OppRestDiff]]*8))</f>
        <v>-8</v>
      </c>
      <c r="O49" s="4" cm="1">
        <f t="array" ref="O4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1517.9804395515423</v>
      </c>
      <c r="P49" s="4" cm="1">
        <f t="array" ref="P4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1485.1473703448773</v>
      </c>
      <c r="Q49" s="4">
        <f>1/(1+10^(((Games[[#This Row],[OppPreGmRate]]+IF(Games[[#This Row],[HomeAway]]="A",HCA,0)+Games[[#This Row],[OppRestAdj]])-(Games[[#This Row],[PreGmRate]]+IF(Games[[#This Row],[HomeAway]]="H",HCA,0)+Games[[#This Row],[RestAdj]]))/400))</f>
        <v>0.6823621459313074</v>
      </c>
      <c r="R49" s="1">
        <v>67</v>
      </c>
      <c r="S49" s="1">
        <v>52</v>
      </c>
      <c r="T49" s="1">
        <v>0</v>
      </c>
      <c r="U49" s="1">
        <f>Games[[#This Row],[PointsFor]]-Games[[#This Row],[PointsAgainst]]</f>
        <v>15</v>
      </c>
      <c r="V49" s="1">
        <f>IF(Games[[#This Row],[MOV]]&gt;0,1,IF(Games[[#This Row],[MOV]]=0,0.5,0))</f>
        <v>1</v>
      </c>
      <c r="W49" s="4">
        <f>((ABS(Games[[#This Row],[MOV]])+5)^0.6)/(12+0.01*(ABS(Games[[#This Row],[PreGmRate]]-Games[[#This Row],[OppPreGmRate]])))*IF(Games[[#This Row],[OT]]=1,0.9,1)</f>
        <v>0.48945607375929556</v>
      </c>
      <c r="X49" s="7" cm="1">
        <f t="array" ref="X4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9" s="9">
        <f>MAX(kmin, kmax - 0.15 * MIN(Games[[#This Row],[GamesPlayed]], 82))</f>
        <v>75.400000000000006</v>
      </c>
      <c r="Z49" s="4">
        <f>Games[[#This Row],[K]]*Games[[#This Row],[POMult]]</f>
        <v>75.400000000000006</v>
      </c>
      <c r="AA49" s="4">
        <f>(Games[[#This Row],[Keff]]*Games[[#This Row],[MOVMult]])*(Games[[#This Row],[Result]]-Games[[#This Row],[ExpectedWin%]])</f>
        <v>11.722421180506194</v>
      </c>
      <c r="AB49" s="4">
        <f>Games[[#This Row],[PreGmRate]]+Games[[#This Row],[RatingChange]]</f>
        <v>1529.7028607320485</v>
      </c>
      <c r="AC49" s="2">
        <f>IF(Games[[#This Row],[Type]]="R",IF(Games[[#This Row],[Result]]&gt;0.5,1,0),0)</f>
        <v>1</v>
      </c>
      <c r="AD49" s="2">
        <f>IF(Games[[#This Row],[Type]]="R",IF(Games[[#This Row],[Result]]&lt;0.5,1,0),0)</f>
        <v>0</v>
      </c>
      <c r="AE49" s="2">
        <f>IF(AND(Games[[#This Row],[Type]]="P",Games[[#This Row],[Round]]=1),IF(Games[[#This Row],[Result]]&gt;0.5,1,0),0)</f>
        <v>0</v>
      </c>
      <c r="AF49" s="2">
        <f>IF(AND(Games[[#This Row],[Type]]="P",Games[[#This Row],[Round]]=1),IF(Games[[#This Row],[Result]]&lt;0.5,1,0),0)</f>
        <v>0</v>
      </c>
      <c r="AG49" s="2">
        <f>IF(AND(Games[[#This Row],[Type]]="P",Games[[#This Row],[Round]]=2),IF(Games[[#This Row],[Result]]&gt;0.5,1,0),0)</f>
        <v>0</v>
      </c>
      <c r="AH49" s="2">
        <f>IF(AND(Games[[#This Row],[Type]]="P",Games[[#This Row],[Round]]=2),IF(Games[[#This Row],[Result]]&lt;0.5,1,0),0)</f>
        <v>0</v>
      </c>
      <c r="AI49" s="2">
        <f>IF(AND(Games[[#This Row],[Type]]="P",Games[[#This Row],[Round]]=3),IF(Games[[#This Row],[Result]]&gt;0.5,1,0),0)</f>
        <v>0</v>
      </c>
      <c r="AJ49" s="2">
        <f>IF(AND(Games[[#This Row],[Type]]="P",Games[[#This Row],[Round]]=3),IF(Games[[#This Row],[Result]]&lt;0.5,1,0),0)</f>
        <v>0</v>
      </c>
      <c r="AK49" s="2">
        <f>IF(AND(Games[[#This Row],[Type]]="P",Games[[#This Row],[Round]]=4),IF(Games[[#This Row],[Result]]&gt;0.5,1,0),0)</f>
        <v>0</v>
      </c>
      <c r="AL49" s="2">
        <f>IF(AND(Games[[#This Row],[Type]]="P",Games[[#This Row],[Round]]=4),IF(Games[[#This Row],[Result]]&lt;0.5,1,0),0)</f>
        <v>0</v>
      </c>
    </row>
    <row r="50" spans="1:38" x14ac:dyDescent="0.35">
      <c r="A50" s="10">
        <v>37777</v>
      </c>
      <c r="B50" s="2">
        <v>2003</v>
      </c>
      <c r="C50" s="2">
        <f>COUNTIFS(Games[Team],Games[[#This Row],[Team]],Games[Season],Games[[#This Row],[Season]],Games[Date],"&lt;=" &amp; Games[[#This Row],[Date]])</f>
        <v>4</v>
      </c>
      <c r="D50" s="2" t="s">
        <v>23</v>
      </c>
      <c r="E50" s="2" t="s">
        <v>29</v>
      </c>
      <c r="F50" s="1" t="s">
        <v>87</v>
      </c>
      <c r="G50" s="1" t="s">
        <v>76</v>
      </c>
      <c r="H50" s="1" t="s">
        <v>16</v>
      </c>
      <c r="I50" s="2" cm="1">
        <f t="array" ref="I50">IFERROR(
    Games[[#This Row],[Date]]
    - LOOKUP(
        2,
        1/((Games[Team]=Games[[#This Row],[Team]]) * (Games[Date] &lt; Games[[#This Row],[Date]])),
        Games[Date]
    )
    - 1,
Games[[#This Row],[Date]]-$A$2)</f>
        <v>3</v>
      </c>
      <c r="J50" s="2" cm="1">
        <f t="array" ref="J50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50" s="2">
        <f>Games[[#This Row],[DaysOff]]-Games[[#This Row],[OppDaysOff]]</f>
        <v>-1</v>
      </c>
      <c r="L50" s="2">
        <f>Games[[#This Row],[OppDaysOff]]-Games[[#This Row],[DaysOff]]</f>
        <v>1</v>
      </c>
      <c r="M50" s="1">
        <f>MAX(-16, MIN(16, Games[[#This Row],[RestDiff]]*8))</f>
        <v>-8</v>
      </c>
      <c r="N50" s="1">
        <f>MAX(-16, MIN(16, Games[[#This Row],[OppRestDiff]]*8))</f>
        <v>8</v>
      </c>
      <c r="O50" s="4" cm="1">
        <f t="array" ref="O5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1528.5907453777925</v>
      </c>
      <c r="P50" s="4" cm="1">
        <f t="array" ref="P5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1429.1774409909315</v>
      </c>
      <c r="Q50" s="4">
        <f>1/(1+10^(((Games[[#This Row],[OppPreGmRate]]+IF(Games[[#This Row],[HomeAway]]="A",HCA,0)+Games[[#This Row],[OppRestAdj]])-(Games[[#This Row],[PreGmRate]]+IF(Games[[#This Row],[HomeAway]]="H",HCA,0)+Games[[#This Row],[RestAdj]]))/400))</f>
        <v>0.49915567794444804</v>
      </c>
      <c r="R50" s="1">
        <v>89</v>
      </c>
      <c r="S50" s="1">
        <v>103</v>
      </c>
      <c r="T50" s="1">
        <v>0</v>
      </c>
      <c r="U50" s="1">
        <f>Games[[#This Row],[PointsFor]]-Games[[#This Row],[PointsAgainst]]</f>
        <v>-14</v>
      </c>
      <c r="V50" s="1">
        <f>IF(Games[[#This Row],[MOV]]&gt;0,1,IF(Games[[#This Row],[MOV]]=0,0.5,0))</f>
        <v>0</v>
      </c>
      <c r="W50" s="4">
        <f>((ABS(Games[[#This Row],[MOV]])+5)^0.6)/(12+0.01*(ABS(Games[[#This Row],[PreGmRate]]-Games[[#This Row],[OppPreGmRate]])))*IF(Games[[#This Row],[OT]]=1,0.9,1)</f>
        <v>0.45030301157107194</v>
      </c>
      <c r="X50" s="7" cm="1">
        <f t="array" ref="X5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0" s="9">
        <f>MAX(kmin, kmax - 0.15 * MIN(Games[[#This Row],[GamesPlayed]], 82))</f>
        <v>75.400000000000006</v>
      </c>
      <c r="Z50" s="4">
        <f>Games[[#This Row],[K]]*Games[[#This Row],[POMult]]</f>
        <v>75.400000000000006</v>
      </c>
      <c r="AA50" s="4">
        <f>(Games[[#This Row],[Keff]]*Games[[#This Row],[MOVMult]])*(Games[[#This Row],[Result]]-Games[[#This Row],[ExpectedWin%]])</f>
        <v>-16.947756398597356</v>
      </c>
      <c r="AB50" s="4">
        <f>Games[[#This Row],[PreGmRate]]+Games[[#This Row],[RatingChange]]</f>
        <v>1511.642988979195</v>
      </c>
      <c r="AC50" s="2">
        <f>IF(Games[[#This Row],[Type]]="R",IF(Games[[#This Row],[Result]]&gt;0.5,1,0),0)</f>
        <v>0</v>
      </c>
      <c r="AD50" s="2">
        <f>IF(Games[[#This Row],[Type]]="R",IF(Games[[#This Row],[Result]]&lt;0.5,1,0),0)</f>
        <v>1</v>
      </c>
      <c r="AE50" s="2">
        <f>IF(AND(Games[[#This Row],[Type]]="P",Games[[#This Row],[Round]]=1),IF(Games[[#This Row],[Result]]&gt;0.5,1,0),0)</f>
        <v>0</v>
      </c>
      <c r="AF50" s="2">
        <f>IF(AND(Games[[#This Row],[Type]]="P",Games[[#This Row],[Round]]=1),IF(Games[[#This Row],[Result]]&lt;0.5,1,0),0)</f>
        <v>0</v>
      </c>
      <c r="AG50" s="2">
        <f>IF(AND(Games[[#This Row],[Type]]="P",Games[[#This Row],[Round]]=2),IF(Games[[#This Row],[Result]]&gt;0.5,1,0),0)</f>
        <v>0</v>
      </c>
      <c r="AH50" s="2">
        <f>IF(AND(Games[[#This Row],[Type]]="P",Games[[#This Row],[Round]]=2),IF(Games[[#This Row],[Result]]&lt;0.5,1,0),0)</f>
        <v>0</v>
      </c>
      <c r="AI50" s="2">
        <f>IF(AND(Games[[#This Row],[Type]]="P",Games[[#This Row],[Round]]=3),IF(Games[[#This Row],[Result]]&gt;0.5,1,0),0)</f>
        <v>0</v>
      </c>
      <c r="AJ50" s="2">
        <f>IF(AND(Games[[#This Row],[Type]]="P",Games[[#This Row],[Round]]=3),IF(Games[[#This Row],[Result]]&lt;0.5,1,0),0)</f>
        <v>0</v>
      </c>
      <c r="AK50" s="2">
        <f>IF(AND(Games[[#This Row],[Type]]="P",Games[[#This Row],[Round]]=4),IF(Games[[#This Row],[Result]]&gt;0.5,1,0),0)</f>
        <v>0</v>
      </c>
      <c r="AL50" s="2">
        <f>IF(AND(Games[[#This Row],[Type]]="P",Games[[#This Row],[Round]]=4),IF(Games[[#This Row],[Result]]&lt;0.5,1,0),0)</f>
        <v>0</v>
      </c>
    </row>
    <row r="51" spans="1:38" x14ac:dyDescent="0.35">
      <c r="A51" s="10">
        <v>37777</v>
      </c>
      <c r="B51" s="2">
        <v>2003</v>
      </c>
      <c r="C51" s="2">
        <f>COUNTIFS(Games[Team],Games[[#This Row],[Team]],Games[Season],Games[[#This Row],[Season]],Games[Date],"&lt;=" &amp; Games[[#This Row],[Date]])</f>
        <v>2</v>
      </c>
      <c r="D51" s="2" t="s">
        <v>23</v>
      </c>
      <c r="E51" s="2" t="s">
        <v>29</v>
      </c>
      <c r="F51" s="1" t="s">
        <v>76</v>
      </c>
      <c r="G51" s="1" t="s">
        <v>87</v>
      </c>
      <c r="H51" s="1" t="s">
        <v>15</v>
      </c>
      <c r="I51" s="2" cm="1">
        <f t="array" ref="I51">IFERROR(
    Games[[#This Row],[Date]]
    - LOOKUP(
        2,
        1/((Games[Team]=Games[[#This Row],[Team]]) * (Games[Date] &lt; Games[[#This Row],[Date]])),
        Games[Date]
    )
    - 1,
Games[[#This Row],[Date]]-$A$2)</f>
        <v>4</v>
      </c>
      <c r="J51" s="2" cm="1">
        <f t="array" ref="J51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51" s="2">
        <f>Games[[#This Row],[DaysOff]]-Games[[#This Row],[OppDaysOff]]</f>
        <v>1</v>
      </c>
      <c r="L51" s="2">
        <f>Games[[#This Row],[OppDaysOff]]-Games[[#This Row],[DaysOff]]</f>
        <v>-1</v>
      </c>
      <c r="M51" s="1">
        <f>MAX(-16, MIN(16, Games[[#This Row],[RestDiff]]*8))</f>
        <v>8</v>
      </c>
      <c r="N51" s="1">
        <f>MAX(-16, MIN(16, Games[[#This Row],[OppRestDiff]]*8))</f>
        <v>-8</v>
      </c>
      <c r="O51" s="4" cm="1">
        <f t="array" ref="O5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1429.1774409909315</v>
      </c>
      <c r="P51" s="4" cm="1">
        <f t="array" ref="P5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1528.5907453777925</v>
      </c>
      <c r="Q51" s="4">
        <f>1/(1+10^(((Games[[#This Row],[OppPreGmRate]]+IF(Games[[#This Row],[HomeAway]]="A",HCA,0)+Games[[#This Row],[OppRestAdj]])-(Games[[#This Row],[PreGmRate]]+IF(Games[[#This Row],[HomeAway]]="H",HCA,0)+Games[[#This Row],[RestAdj]]))/400))</f>
        <v>0.50084432205555196</v>
      </c>
      <c r="R51" s="1">
        <v>103</v>
      </c>
      <c r="S51" s="1">
        <v>89</v>
      </c>
      <c r="T51" s="1">
        <v>0</v>
      </c>
      <c r="U51" s="1">
        <f>Games[[#This Row],[PointsFor]]-Games[[#This Row],[PointsAgainst]]</f>
        <v>14</v>
      </c>
      <c r="V51" s="1">
        <f>IF(Games[[#This Row],[MOV]]&gt;0,1,IF(Games[[#This Row],[MOV]]=0,0.5,0))</f>
        <v>1</v>
      </c>
      <c r="W51" s="4">
        <f>((ABS(Games[[#This Row],[MOV]])+5)^0.6)/(12+0.01*(ABS(Games[[#This Row],[PreGmRate]]-Games[[#This Row],[OppPreGmRate]])))*IF(Games[[#This Row],[OT]]=1,0.9,1)</f>
        <v>0.45030301157107194</v>
      </c>
      <c r="X51" s="7" cm="1">
        <f t="array" ref="X5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1" s="9">
        <f>MAX(kmin, kmax - 0.15 * MIN(Games[[#This Row],[GamesPlayed]], 82))</f>
        <v>75.7</v>
      </c>
      <c r="Z51" s="4">
        <f>Games[[#This Row],[K]]*Games[[#This Row],[POMult]]</f>
        <v>75.7</v>
      </c>
      <c r="AA51" s="4">
        <f>(Games[[#This Row],[Keff]]*Games[[#This Row],[MOVMult]])*(Games[[#This Row],[Result]]-Games[[#This Row],[ExpectedWin%]])</f>
        <v>17.015187790103706</v>
      </c>
      <c r="AB51" s="4">
        <f>Games[[#This Row],[PreGmRate]]+Games[[#This Row],[RatingChange]]</f>
        <v>1446.1926287810352</v>
      </c>
      <c r="AC51" s="2">
        <f>IF(Games[[#This Row],[Type]]="R",IF(Games[[#This Row],[Result]]&gt;0.5,1,0),0)</f>
        <v>1</v>
      </c>
      <c r="AD51" s="2">
        <f>IF(Games[[#This Row],[Type]]="R",IF(Games[[#This Row],[Result]]&lt;0.5,1,0),0)</f>
        <v>0</v>
      </c>
      <c r="AE51" s="2">
        <f>IF(AND(Games[[#This Row],[Type]]="P",Games[[#This Row],[Round]]=1),IF(Games[[#This Row],[Result]]&gt;0.5,1,0),0)</f>
        <v>0</v>
      </c>
      <c r="AF51" s="2">
        <f>IF(AND(Games[[#This Row],[Type]]="P",Games[[#This Row],[Round]]=1),IF(Games[[#This Row],[Result]]&lt;0.5,1,0),0)</f>
        <v>0</v>
      </c>
      <c r="AG51" s="2">
        <f>IF(AND(Games[[#This Row],[Type]]="P",Games[[#This Row],[Round]]=2),IF(Games[[#This Row],[Result]]&gt;0.5,1,0),0)</f>
        <v>0</v>
      </c>
      <c r="AH51" s="2">
        <f>IF(AND(Games[[#This Row],[Type]]="P",Games[[#This Row],[Round]]=2),IF(Games[[#This Row],[Result]]&lt;0.5,1,0),0)</f>
        <v>0</v>
      </c>
      <c r="AI51" s="2">
        <f>IF(AND(Games[[#This Row],[Type]]="P",Games[[#This Row],[Round]]=3),IF(Games[[#This Row],[Result]]&gt;0.5,1,0),0)</f>
        <v>0</v>
      </c>
      <c r="AJ51" s="2">
        <f>IF(AND(Games[[#This Row],[Type]]="P",Games[[#This Row],[Round]]=3),IF(Games[[#This Row],[Result]]&lt;0.5,1,0),0)</f>
        <v>0</v>
      </c>
      <c r="AK51" s="2">
        <f>IF(AND(Games[[#This Row],[Type]]="P",Games[[#This Row],[Round]]=4),IF(Games[[#This Row],[Result]]&gt;0.5,1,0),0)</f>
        <v>0</v>
      </c>
      <c r="AL51" s="2">
        <f>IF(AND(Games[[#This Row],[Type]]="P",Games[[#This Row],[Round]]=4),IF(Games[[#This Row],[Result]]&lt;0.5,1,0),0)</f>
        <v>0</v>
      </c>
    </row>
    <row r="52" spans="1:38" x14ac:dyDescent="0.35">
      <c r="A52" s="10">
        <v>37777</v>
      </c>
      <c r="B52" s="2">
        <v>2003</v>
      </c>
      <c r="C52" s="2">
        <f>COUNTIFS(Games[Team],Games[[#This Row],[Team]],Games[Season],Games[[#This Row],[Season]],Games[Date],"&lt;=" &amp; Games[[#This Row],[Date]])</f>
        <v>5</v>
      </c>
      <c r="D52" s="2" t="s">
        <v>23</v>
      </c>
      <c r="E52" s="2" t="s">
        <v>29</v>
      </c>
      <c r="F52" s="1" t="s">
        <v>45</v>
      </c>
      <c r="G52" s="1" t="s">
        <v>71</v>
      </c>
      <c r="H52" s="1" t="s">
        <v>16</v>
      </c>
      <c r="I52" s="2" cm="1">
        <f t="array" ref="I52">IFERROR(
    Games[[#This Row],[Date]]
    - LOOKUP(
        2,
        1/((Games[Team]=Games[[#This Row],[Team]]) * (Games[Date] &lt; Games[[#This Row],[Date]])),
        Games[Date]
    )
    - 1,
Games[[#This Row],[Date]]-$A$2)</f>
        <v>1</v>
      </c>
      <c r="J52" s="2" cm="1">
        <f t="array" ref="J52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52" s="2">
        <f>Games[[#This Row],[DaysOff]]-Games[[#This Row],[OppDaysOff]]</f>
        <v>-4</v>
      </c>
      <c r="L52" s="2">
        <f>Games[[#This Row],[OppDaysOff]]-Games[[#This Row],[DaysOff]]</f>
        <v>4</v>
      </c>
      <c r="M52" s="1">
        <f>MAX(-16, MIN(16, Games[[#This Row],[RestDiff]]*8))</f>
        <v>-16</v>
      </c>
      <c r="N52" s="1">
        <f>MAX(-16, MIN(16, Games[[#This Row],[OppRestDiff]]*8))</f>
        <v>16</v>
      </c>
      <c r="O52" s="4" cm="1">
        <f t="array" ref="O5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1510.561067758942</v>
      </c>
      <c r="P52" s="4" cm="1">
        <f t="array" ref="P5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1661.22512498677</v>
      </c>
      <c r="Q52" s="4">
        <f>1/(1+10^(((Games[[#This Row],[OppPreGmRate]]+IF(Games[[#This Row],[HomeAway]]="A",HCA,0)+Games[[#This Row],[OppRestAdj]])-(Games[[#This Row],[PreGmRate]]+IF(Games[[#This Row],[HomeAway]]="H",HCA,0)+Games[[#This Row],[RestAdj]]))/400))</f>
        <v>0.1772572209919063</v>
      </c>
      <c r="R52" s="1">
        <v>61</v>
      </c>
      <c r="S52" s="1">
        <v>63</v>
      </c>
      <c r="T52" s="1">
        <v>0</v>
      </c>
      <c r="U52" s="1">
        <f>Games[[#This Row],[PointsFor]]-Games[[#This Row],[PointsAgainst]]</f>
        <v>-2</v>
      </c>
      <c r="V52" s="1">
        <f>IF(Games[[#This Row],[MOV]]&gt;0,1,IF(Games[[#This Row],[MOV]]=0,0.5,0))</f>
        <v>0</v>
      </c>
      <c r="W52" s="4">
        <f>((ABS(Games[[#This Row],[MOV]])+5)^0.6)/(12+0.01*(ABS(Games[[#This Row],[PreGmRate]]-Games[[#This Row],[OppPreGmRate]])))*IF(Games[[#This Row],[OT]]=1,0.9,1)</f>
        <v>0.23796412087198154</v>
      </c>
      <c r="X52" s="7" cm="1">
        <f t="array" ref="X5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2" s="9">
        <f>MAX(kmin, kmax - 0.15 * MIN(Games[[#This Row],[GamesPlayed]], 82))</f>
        <v>75.25</v>
      </c>
      <c r="Z52" s="4">
        <f>Games[[#This Row],[K]]*Games[[#This Row],[POMult]]</f>
        <v>75.25</v>
      </c>
      <c r="AA52" s="4">
        <f>(Games[[#This Row],[Keff]]*Games[[#This Row],[MOVMult]])*(Games[[#This Row],[Result]]-Games[[#This Row],[ExpectedWin%]])</f>
        <v>-3.1741096218066023</v>
      </c>
      <c r="AB52" s="4">
        <f>Games[[#This Row],[PreGmRate]]+Games[[#This Row],[RatingChange]]</f>
        <v>1507.3869581371355</v>
      </c>
      <c r="AC52" s="2">
        <f>IF(Games[[#This Row],[Type]]="R",IF(Games[[#This Row],[Result]]&gt;0.5,1,0),0)</f>
        <v>0</v>
      </c>
      <c r="AD52" s="2">
        <f>IF(Games[[#This Row],[Type]]="R",IF(Games[[#This Row],[Result]]&lt;0.5,1,0),0)</f>
        <v>1</v>
      </c>
      <c r="AE52" s="2">
        <f>IF(AND(Games[[#This Row],[Type]]="P",Games[[#This Row],[Round]]=1),IF(Games[[#This Row],[Result]]&gt;0.5,1,0),0)</f>
        <v>0</v>
      </c>
      <c r="AF52" s="2">
        <f>IF(AND(Games[[#This Row],[Type]]="P",Games[[#This Row],[Round]]=1),IF(Games[[#This Row],[Result]]&lt;0.5,1,0),0)</f>
        <v>0</v>
      </c>
      <c r="AG52" s="2">
        <f>IF(AND(Games[[#This Row],[Type]]="P",Games[[#This Row],[Round]]=2),IF(Games[[#This Row],[Result]]&gt;0.5,1,0),0)</f>
        <v>0</v>
      </c>
      <c r="AH52" s="2">
        <f>IF(AND(Games[[#This Row],[Type]]="P",Games[[#This Row],[Round]]=2),IF(Games[[#This Row],[Result]]&lt;0.5,1,0),0)</f>
        <v>0</v>
      </c>
      <c r="AI52" s="2">
        <f>IF(AND(Games[[#This Row],[Type]]="P",Games[[#This Row],[Round]]=3),IF(Games[[#This Row],[Result]]&gt;0.5,1,0),0)</f>
        <v>0</v>
      </c>
      <c r="AJ52" s="2">
        <f>IF(AND(Games[[#This Row],[Type]]="P",Games[[#This Row],[Round]]=3),IF(Games[[#This Row],[Result]]&lt;0.5,1,0),0)</f>
        <v>0</v>
      </c>
      <c r="AK52" s="2">
        <f>IF(AND(Games[[#This Row],[Type]]="P",Games[[#This Row],[Round]]=4),IF(Games[[#This Row],[Result]]&gt;0.5,1,0),0)</f>
        <v>0</v>
      </c>
      <c r="AL52" s="2">
        <f>IF(AND(Games[[#This Row],[Type]]="P",Games[[#This Row],[Round]]=4),IF(Games[[#This Row],[Result]]&lt;0.5,1,0),0)</f>
        <v>0</v>
      </c>
    </row>
    <row r="53" spans="1:38" x14ac:dyDescent="0.35">
      <c r="A53" s="10">
        <v>37777</v>
      </c>
      <c r="B53" s="2">
        <v>2003</v>
      </c>
      <c r="C53" s="2">
        <f>COUNTIFS(Games[Team],Games[[#This Row],[Team]],Games[Season],Games[[#This Row],[Season]],Games[Date],"&lt;=" &amp; Games[[#This Row],[Date]])</f>
        <v>5</v>
      </c>
      <c r="D53" s="2" t="s">
        <v>23</v>
      </c>
      <c r="E53" s="2" t="s">
        <v>29</v>
      </c>
      <c r="F53" s="1" t="s">
        <v>71</v>
      </c>
      <c r="G53" s="1" t="s">
        <v>45</v>
      </c>
      <c r="H53" s="1" t="s">
        <v>15</v>
      </c>
      <c r="I53" s="2" cm="1">
        <f t="array" ref="I53">IFERROR(
    Games[[#This Row],[Date]]
    - LOOKUP(
        2,
        1/((Games[Team]=Games[[#This Row],[Team]]) * (Games[Date] &lt; Games[[#This Row],[Date]])),
        Games[Date]
    )
    - 1,
Games[[#This Row],[Date]]-$A$2)</f>
        <v>5</v>
      </c>
      <c r="J53" s="2" cm="1">
        <f t="array" ref="J5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3" s="2">
        <f>Games[[#This Row],[DaysOff]]-Games[[#This Row],[OppDaysOff]]</f>
        <v>4</v>
      </c>
      <c r="L53" s="2">
        <f>Games[[#This Row],[OppDaysOff]]-Games[[#This Row],[DaysOff]]</f>
        <v>-4</v>
      </c>
      <c r="M53" s="1">
        <f>MAX(-16, MIN(16, Games[[#This Row],[RestDiff]]*8))</f>
        <v>16</v>
      </c>
      <c r="N53" s="1">
        <f>MAX(-16, MIN(16, Games[[#This Row],[OppRestDiff]]*8))</f>
        <v>-16</v>
      </c>
      <c r="O53" s="4" cm="1">
        <f t="array" ref="O5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1661.22512498677</v>
      </c>
      <c r="P53" s="4" cm="1">
        <f t="array" ref="P5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1510.561067758942</v>
      </c>
      <c r="Q53" s="4">
        <f>1/(1+10^(((Games[[#This Row],[OppPreGmRate]]+IF(Games[[#This Row],[HomeAway]]="A",HCA,0)+Games[[#This Row],[OppRestAdj]])-(Games[[#This Row],[PreGmRate]]+IF(Games[[#This Row],[HomeAway]]="H",HCA,0)+Games[[#This Row],[RestAdj]]))/400))</f>
        <v>0.82274277900809367</v>
      </c>
      <c r="R53" s="1">
        <v>63</v>
      </c>
      <c r="S53" s="1">
        <v>61</v>
      </c>
      <c r="T53" s="1">
        <v>0</v>
      </c>
      <c r="U53" s="1">
        <f>Games[[#This Row],[PointsFor]]-Games[[#This Row],[PointsAgainst]]</f>
        <v>2</v>
      </c>
      <c r="V53" s="1">
        <f>IF(Games[[#This Row],[MOV]]&gt;0,1,IF(Games[[#This Row],[MOV]]=0,0.5,0))</f>
        <v>1</v>
      </c>
      <c r="W53" s="4">
        <f>((ABS(Games[[#This Row],[MOV]])+5)^0.6)/(12+0.01*(ABS(Games[[#This Row],[PreGmRate]]-Games[[#This Row],[OppPreGmRate]])))*IF(Games[[#This Row],[OT]]=1,0.9,1)</f>
        <v>0.23796412087198154</v>
      </c>
      <c r="X53" s="7" cm="1">
        <f t="array" ref="X5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3" s="9">
        <f>MAX(kmin, kmax - 0.15 * MIN(Games[[#This Row],[GamesPlayed]], 82))</f>
        <v>75.25</v>
      </c>
      <c r="Z53" s="4">
        <f>Games[[#This Row],[K]]*Games[[#This Row],[POMult]]</f>
        <v>75.25</v>
      </c>
      <c r="AA53" s="4">
        <f>(Games[[#This Row],[Keff]]*Games[[#This Row],[MOVMult]])*(Games[[#This Row],[Result]]-Games[[#This Row],[ExpectedWin%]])</f>
        <v>3.1741096218066027</v>
      </c>
      <c r="AB53" s="4">
        <f>Games[[#This Row],[PreGmRate]]+Games[[#This Row],[RatingChange]]</f>
        <v>1664.3992346085765</v>
      </c>
      <c r="AC53" s="2">
        <f>IF(Games[[#This Row],[Type]]="R",IF(Games[[#This Row],[Result]]&gt;0.5,1,0),0)</f>
        <v>1</v>
      </c>
      <c r="AD53" s="2">
        <f>IF(Games[[#This Row],[Type]]="R",IF(Games[[#This Row],[Result]]&lt;0.5,1,0),0)</f>
        <v>0</v>
      </c>
      <c r="AE53" s="2">
        <f>IF(AND(Games[[#This Row],[Type]]="P",Games[[#This Row],[Round]]=1),IF(Games[[#This Row],[Result]]&gt;0.5,1,0),0)</f>
        <v>0</v>
      </c>
      <c r="AF53" s="2">
        <f>IF(AND(Games[[#This Row],[Type]]="P",Games[[#This Row],[Round]]=1),IF(Games[[#This Row],[Result]]&lt;0.5,1,0),0)</f>
        <v>0</v>
      </c>
      <c r="AG53" s="2">
        <f>IF(AND(Games[[#This Row],[Type]]="P",Games[[#This Row],[Round]]=2),IF(Games[[#This Row],[Result]]&gt;0.5,1,0),0)</f>
        <v>0</v>
      </c>
      <c r="AH53" s="2">
        <f>IF(AND(Games[[#This Row],[Type]]="P",Games[[#This Row],[Round]]=2),IF(Games[[#This Row],[Result]]&lt;0.5,1,0),0)</f>
        <v>0</v>
      </c>
      <c r="AI53" s="2">
        <f>IF(AND(Games[[#This Row],[Type]]="P",Games[[#This Row],[Round]]=3),IF(Games[[#This Row],[Result]]&gt;0.5,1,0),0)</f>
        <v>0</v>
      </c>
      <c r="AJ53" s="2">
        <f>IF(AND(Games[[#This Row],[Type]]="P",Games[[#This Row],[Round]]=3),IF(Games[[#This Row],[Result]]&lt;0.5,1,0),0)</f>
        <v>0</v>
      </c>
      <c r="AK53" s="2">
        <f>IF(AND(Games[[#This Row],[Type]]="P",Games[[#This Row],[Round]]=4),IF(Games[[#This Row],[Result]]&gt;0.5,1,0),0)</f>
        <v>0</v>
      </c>
      <c r="AL53" s="2">
        <f>IF(AND(Games[[#This Row],[Type]]="P",Games[[#This Row],[Round]]=4),IF(Games[[#This Row],[Result]]&lt;0.5,1,0),0)</f>
        <v>0</v>
      </c>
    </row>
    <row r="54" spans="1:38" x14ac:dyDescent="0.35">
      <c r="A54" s="10">
        <v>37777</v>
      </c>
      <c r="B54" s="2">
        <v>2003</v>
      </c>
      <c r="C54" s="2">
        <f>COUNTIFS(Games[Team],Games[[#This Row],[Team]],Games[Season],Games[[#This Row],[Season]],Games[Date],"&lt;=" &amp; Games[[#This Row],[Date]])</f>
        <v>6</v>
      </c>
      <c r="D54" s="2" t="s">
        <v>23</v>
      </c>
      <c r="E54" s="2" t="s">
        <v>29</v>
      </c>
      <c r="F54" s="1" t="s">
        <v>44</v>
      </c>
      <c r="G54" s="1" t="s">
        <v>85</v>
      </c>
      <c r="H54" s="1" t="s">
        <v>16</v>
      </c>
      <c r="I54" s="2" cm="1">
        <f t="array" ref="I54">IFERROR(
    Games[[#This Row],[Date]]
    - LOOKUP(
        2,
        1/((Games[Team]=Games[[#This Row],[Team]]) * (Games[Date] &lt; Games[[#This Row],[Date]])),
        Games[Date]
    )
    - 1,
Games[[#This Row],[Date]]-$A$2)</f>
        <v>1</v>
      </c>
      <c r="J54" s="2" cm="1">
        <f t="array" ref="J54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54" s="2">
        <f>Games[[#This Row],[DaysOff]]-Games[[#This Row],[OppDaysOff]]</f>
        <v>1</v>
      </c>
      <c r="L54" s="2">
        <f>Games[[#This Row],[OppDaysOff]]-Games[[#This Row],[DaysOff]]</f>
        <v>-1</v>
      </c>
      <c r="M54" s="1">
        <f>MAX(-16, MIN(16, Games[[#This Row],[RestDiff]]*8))</f>
        <v>8</v>
      </c>
      <c r="N54" s="1">
        <f>MAX(-16, MIN(16, Games[[#This Row],[OppRestDiff]]*8))</f>
        <v>-8</v>
      </c>
      <c r="O54" s="4" cm="1">
        <f t="array" ref="O5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1401.2784584388064</v>
      </c>
      <c r="P54" s="4" cm="1">
        <f t="array" ref="P5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1473.4482696309105</v>
      </c>
      <c r="Q54" s="4">
        <f>1/(1+10^(((Games[[#This Row],[OppPreGmRate]]+IF(Games[[#This Row],[HomeAway]]="A",HCA,0)+Games[[#This Row],[OppRestAdj]])-(Games[[#This Row],[PreGmRate]]+IF(Games[[#This Row],[HomeAway]]="H",HCA,0)+Games[[#This Row],[RestAdj]]))/400))</f>
        <v>0.30855525748904022</v>
      </c>
      <c r="R54" s="1">
        <v>55</v>
      </c>
      <c r="S54" s="1">
        <v>70</v>
      </c>
      <c r="T54" s="1">
        <v>0</v>
      </c>
      <c r="U54" s="1">
        <f>Games[[#This Row],[PointsFor]]-Games[[#This Row],[PointsAgainst]]</f>
        <v>-15</v>
      </c>
      <c r="V54" s="1">
        <f>IF(Games[[#This Row],[MOV]]&gt;0,1,IF(Games[[#This Row],[MOV]]=0,0.5,0))</f>
        <v>0</v>
      </c>
      <c r="W54" s="4">
        <f>((ABS(Games[[#This Row],[MOV]])+5)^0.6)/(12+0.01*(ABS(Games[[#This Row],[PreGmRate]]-Games[[#This Row],[OppPreGmRate]])))*IF(Games[[#This Row],[OT]]=1,0.9,1)</f>
        <v>0.47432161048459043</v>
      </c>
      <c r="X54" s="7" cm="1">
        <f t="array" ref="X5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4" s="9">
        <f>MAX(kmin, kmax - 0.15 * MIN(Games[[#This Row],[GamesPlayed]], 82))</f>
        <v>75.099999999999994</v>
      </c>
      <c r="Z54" s="4">
        <f>Games[[#This Row],[K]]*Games[[#This Row],[POMult]]</f>
        <v>75.099999999999994</v>
      </c>
      <c r="AA54" s="4">
        <f>(Games[[#This Row],[Keff]]*Games[[#This Row],[MOVMult]])*(Games[[#This Row],[Result]]-Games[[#This Row],[ExpectedWin%]])</f>
        <v>-10.991217441842245</v>
      </c>
      <c r="AB54" s="4">
        <f>Games[[#This Row],[PreGmRate]]+Games[[#This Row],[RatingChange]]</f>
        <v>1390.2872409969641</v>
      </c>
      <c r="AC54" s="2">
        <f>IF(Games[[#This Row],[Type]]="R",IF(Games[[#This Row],[Result]]&gt;0.5,1,0),0)</f>
        <v>0</v>
      </c>
      <c r="AD54" s="2">
        <f>IF(Games[[#This Row],[Type]]="R",IF(Games[[#This Row],[Result]]&lt;0.5,1,0),0)</f>
        <v>1</v>
      </c>
      <c r="AE54" s="2">
        <f>IF(AND(Games[[#This Row],[Type]]="P",Games[[#This Row],[Round]]=1),IF(Games[[#This Row],[Result]]&gt;0.5,1,0),0)</f>
        <v>0</v>
      </c>
      <c r="AF54" s="2">
        <f>IF(AND(Games[[#This Row],[Type]]="P",Games[[#This Row],[Round]]=1),IF(Games[[#This Row],[Result]]&lt;0.5,1,0),0)</f>
        <v>0</v>
      </c>
      <c r="AG54" s="2">
        <f>IF(AND(Games[[#This Row],[Type]]="P",Games[[#This Row],[Round]]=2),IF(Games[[#This Row],[Result]]&gt;0.5,1,0),0)</f>
        <v>0</v>
      </c>
      <c r="AH54" s="2">
        <f>IF(AND(Games[[#This Row],[Type]]="P",Games[[#This Row],[Round]]=2),IF(Games[[#This Row],[Result]]&lt;0.5,1,0),0)</f>
        <v>0</v>
      </c>
      <c r="AI54" s="2">
        <f>IF(AND(Games[[#This Row],[Type]]="P",Games[[#This Row],[Round]]=3),IF(Games[[#This Row],[Result]]&gt;0.5,1,0),0)</f>
        <v>0</v>
      </c>
      <c r="AJ54" s="2">
        <f>IF(AND(Games[[#This Row],[Type]]="P",Games[[#This Row],[Round]]=3),IF(Games[[#This Row],[Result]]&lt;0.5,1,0),0)</f>
        <v>0</v>
      </c>
      <c r="AK54" s="2">
        <f>IF(AND(Games[[#This Row],[Type]]="P",Games[[#This Row],[Round]]=4),IF(Games[[#This Row],[Result]]&gt;0.5,1,0),0)</f>
        <v>0</v>
      </c>
      <c r="AL54" s="2">
        <f>IF(AND(Games[[#This Row],[Type]]="P",Games[[#This Row],[Round]]=4),IF(Games[[#This Row],[Result]]&lt;0.5,1,0),0)</f>
        <v>0</v>
      </c>
    </row>
    <row r="55" spans="1:38" x14ac:dyDescent="0.35">
      <c r="A55" s="10">
        <v>37777</v>
      </c>
      <c r="B55" s="2">
        <v>2003</v>
      </c>
      <c r="C55" s="2">
        <f>COUNTIFS(Games[Team],Games[[#This Row],[Team]],Games[Season],Games[[#This Row],[Season]],Games[Date],"&lt;=" &amp; Games[[#This Row],[Date]])</f>
        <v>6</v>
      </c>
      <c r="D55" s="2" t="s">
        <v>23</v>
      </c>
      <c r="E55" s="2" t="s">
        <v>29</v>
      </c>
      <c r="F55" s="1" t="s">
        <v>85</v>
      </c>
      <c r="G55" s="1" t="s">
        <v>44</v>
      </c>
      <c r="H55" s="1" t="s">
        <v>15</v>
      </c>
      <c r="I55" s="2" cm="1">
        <f t="array" ref="I55">IFERROR(
    Games[[#This Row],[Date]]
    - LOOKUP(
        2,
        1/((Games[Team]=Games[[#This Row],[Team]]) * (Games[Date] &lt; Games[[#This Row],[Date]])),
        Games[Date]
    )
    - 1,
Games[[#This Row],[Date]]-$A$2)</f>
        <v>0</v>
      </c>
      <c r="J55" s="2" cm="1">
        <f t="array" ref="J5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5" s="2">
        <f>Games[[#This Row],[DaysOff]]-Games[[#This Row],[OppDaysOff]]</f>
        <v>-1</v>
      </c>
      <c r="L55" s="2">
        <f>Games[[#This Row],[OppDaysOff]]-Games[[#This Row],[DaysOff]]</f>
        <v>1</v>
      </c>
      <c r="M55" s="1">
        <f>MAX(-16, MIN(16, Games[[#This Row],[RestDiff]]*8))</f>
        <v>-8</v>
      </c>
      <c r="N55" s="1">
        <f>MAX(-16, MIN(16, Games[[#This Row],[OppRestDiff]]*8))</f>
        <v>8</v>
      </c>
      <c r="O55" s="4" cm="1">
        <f t="array" ref="O5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1473.4482696309105</v>
      </c>
      <c r="P55" s="4" cm="1">
        <f t="array" ref="P5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1401.2784584388064</v>
      </c>
      <c r="Q55" s="4">
        <f>1/(1+10^(((Games[[#This Row],[OppPreGmRate]]+IF(Games[[#This Row],[HomeAway]]="A",HCA,0)+Games[[#This Row],[OppRestAdj]])-(Games[[#This Row],[PreGmRate]]+IF(Games[[#This Row],[HomeAway]]="H",HCA,0)+Games[[#This Row],[RestAdj]]))/400))</f>
        <v>0.69144474251095978</v>
      </c>
      <c r="R55" s="1">
        <v>70</v>
      </c>
      <c r="S55" s="1">
        <v>55</v>
      </c>
      <c r="T55" s="1">
        <v>0</v>
      </c>
      <c r="U55" s="1">
        <f>Games[[#This Row],[PointsFor]]-Games[[#This Row],[PointsAgainst]]</f>
        <v>15</v>
      </c>
      <c r="V55" s="1">
        <f>IF(Games[[#This Row],[MOV]]&gt;0,1,IF(Games[[#This Row],[MOV]]=0,0.5,0))</f>
        <v>1</v>
      </c>
      <c r="W55" s="4">
        <f>((ABS(Games[[#This Row],[MOV]])+5)^0.6)/(12+0.01*(ABS(Games[[#This Row],[PreGmRate]]-Games[[#This Row],[OppPreGmRate]])))*IF(Games[[#This Row],[OT]]=1,0.9,1)</f>
        <v>0.47432161048459043</v>
      </c>
      <c r="X55" s="7" cm="1">
        <f t="array" ref="X5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5" s="9">
        <f>MAX(kmin, kmax - 0.15 * MIN(Games[[#This Row],[GamesPlayed]], 82))</f>
        <v>75.099999999999994</v>
      </c>
      <c r="Z55" s="4">
        <f>Games[[#This Row],[K]]*Games[[#This Row],[POMult]]</f>
        <v>75.099999999999994</v>
      </c>
      <c r="AA55" s="4">
        <f>(Games[[#This Row],[Keff]]*Games[[#This Row],[MOVMult]])*(Games[[#This Row],[Result]]-Games[[#This Row],[ExpectedWin%]])</f>
        <v>10.991217441842245</v>
      </c>
      <c r="AB55" s="4">
        <f>Games[[#This Row],[PreGmRate]]+Games[[#This Row],[RatingChange]]</f>
        <v>1484.4394870727529</v>
      </c>
      <c r="AC55" s="2">
        <f>IF(Games[[#This Row],[Type]]="R",IF(Games[[#This Row],[Result]]&gt;0.5,1,0),0)</f>
        <v>1</v>
      </c>
      <c r="AD55" s="2">
        <f>IF(Games[[#This Row],[Type]]="R",IF(Games[[#This Row],[Result]]&lt;0.5,1,0),0)</f>
        <v>0</v>
      </c>
      <c r="AE55" s="2">
        <f>IF(AND(Games[[#This Row],[Type]]="P",Games[[#This Row],[Round]]=1),IF(Games[[#This Row],[Result]]&gt;0.5,1,0),0)</f>
        <v>0</v>
      </c>
      <c r="AF55" s="2">
        <f>IF(AND(Games[[#This Row],[Type]]="P",Games[[#This Row],[Round]]=1),IF(Games[[#This Row],[Result]]&lt;0.5,1,0),0)</f>
        <v>0</v>
      </c>
      <c r="AG55" s="2">
        <f>IF(AND(Games[[#This Row],[Type]]="P",Games[[#This Row],[Round]]=2),IF(Games[[#This Row],[Result]]&gt;0.5,1,0),0)</f>
        <v>0</v>
      </c>
      <c r="AH55" s="2">
        <f>IF(AND(Games[[#This Row],[Type]]="P",Games[[#This Row],[Round]]=2),IF(Games[[#This Row],[Result]]&lt;0.5,1,0),0)</f>
        <v>0</v>
      </c>
      <c r="AI55" s="2">
        <f>IF(AND(Games[[#This Row],[Type]]="P",Games[[#This Row],[Round]]=3),IF(Games[[#This Row],[Result]]&gt;0.5,1,0),0)</f>
        <v>0</v>
      </c>
      <c r="AJ55" s="2">
        <f>IF(AND(Games[[#This Row],[Type]]="P",Games[[#This Row],[Round]]=3),IF(Games[[#This Row],[Result]]&lt;0.5,1,0),0)</f>
        <v>0</v>
      </c>
      <c r="AK55" s="2">
        <f>IF(AND(Games[[#This Row],[Type]]="P",Games[[#This Row],[Round]]=4),IF(Games[[#This Row],[Result]]&gt;0.5,1,0),0)</f>
        <v>0</v>
      </c>
      <c r="AL55" s="2">
        <f>IF(AND(Games[[#This Row],[Type]]="P",Games[[#This Row],[Round]]=4),IF(Games[[#This Row],[Result]]&lt;0.5,1,0),0)</f>
        <v>0</v>
      </c>
    </row>
    <row r="56" spans="1:38" x14ac:dyDescent="0.35">
      <c r="A56" s="10">
        <v>37778</v>
      </c>
      <c r="B56" s="2">
        <v>2003</v>
      </c>
      <c r="C56" s="2">
        <f>COUNTIFS(Games[Team],Games[[#This Row],[Team]],Games[Season],Games[[#This Row],[Season]],Games[Date],"&lt;=" &amp; Games[[#This Row],[Date]])</f>
        <v>6</v>
      </c>
      <c r="D56" s="2" t="s">
        <v>23</v>
      </c>
      <c r="E56" s="2" t="s">
        <v>29</v>
      </c>
      <c r="F56" s="1" t="s">
        <v>2</v>
      </c>
      <c r="G56" s="1" t="s">
        <v>64</v>
      </c>
      <c r="H56" s="1" t="s">
        <v>16</v>
      </c>
      <c r="I56" s="2" cm="1">
        <f t="array" ref="I56">IFERROR(
    Games[[#This Row],[Date]]
    - LOOKUP(
        2,
        1/((Games[Team]=Games[[#This Row],[Team]]) * (Games[Date] &lt; Games[[#This Row],[Date]])),
        Games[Date]
    )
    - 1,
Games[[#This Row],[Date]]-$A$2)</f>
        <v>2</v>
      </c>
      <c r="J56" s="2" cm="1">
        <f t="array" ref="J5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6" s="2">
        <f>Games[[#This Row],[DaysOff]]-Games[[#This Row],[OppDaysOff]]</f>
        <v>1</v>
      </c>
      <c r="L56" s="2">
        <f>Games[[#This Row],[OppDaysOff]]-Games[[#This Row],[DaysOff]]</f>
        <v>-1</v>
      </c>
      <c r="M56" s="1">
        <f>MAX(-16, MIN(16, Games[[#This Row],[RestDiff]]*8))</f>
        <v>8</v>
      </c>
      <c r="N56" s="1">
        <f>MAX(-16, MIN(16, Games[[#This Row],[OppRestDiff]]*8))</f>
        <v>-8</v>
      </c>
      <c r="O56" s="4" cm="1">
        <f t="array" ref="O5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1563.9441889988864</v>
      </c>
      <c r="P56" s="4" cm="1">
        <f t="array" ref="P5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1529.7028607320485</v>
      </c>
      <c r="Q56" s="4">
        <f>1/(1+10^(((Games[[#This Row],[OppPreGmRate]]+IF(Games[[#This Row],[HomeAway]]="A",HCA,0)+Games[[#This Row],[OppRestAdj]])-(Games[[#This Row],[PreGmRate]]+IF(Games[[#This Row],[HomeAway]]="H",HCA,0)+Games[[#This Row],[RestAdj]]))/400))</f>
        <v>0.4515696818772425</v>
      </c>
      <c r="R56" s="1">
        <v>58</v>
      </c>
      <c r="S56" s="1">
        <v>69</v>
      </c>
      <c r="T56" s="1">
        <v>0</v>
      </c>
      <c r="U56" s="1">
        <f>Games[[#This Row],[PointsFor]]-Games[[#This Row],[PointsAgainst]]</f>
        <v>-11</v>
      </c>
      <c r="V56" s="1">
        <f>IF(Games[[#This Row],[MOV]]&gt;0,1,IF(Games[[#This Row],[MOV]]=0,0.5,0))</f>
        <v>0</v>
      </c>
      <c r="W56" s="4">
        <f>((ABS(Games[[#This Row],[MOV]])+5)^0.6)/(12+0.01*(ABS(Games[[#This Row],[PreGmRate]]-Games[[#This Row],[OppPreGmRate]])))*IF(Games[[#This Row],[OT]]=1,0.9,1)</f>
        <v>0.42763368250706385</v>
      </c>
      <c r="X56" s="7" cm="1">
        <f t="array" ref="X5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6" s="9">
        <f>MAX(kmin, kmax - 0.15 * MIN(Games[[#This Row],[GamesPlayed]], 82))</f>
        <v>75.099999999999994</v>
      </c>
      <c r="Z56" s="4">
        <f>Games[[#This Row],[K]]*Games[[#This Row],[POMult]]</f>
        <v>75.099999999999994</v>
      </c>
      <c r="AA56" s="4">
        <f>(Games[[#This Row],[Keff]]*Games[[#This Row],[MOVMult]])*(Games[[#This Row],[Result]]-Games[[#This Row],[ExpectedWin%]])</f>
        <v>-14.502291088325112</v>
      </c>
      <c r="AB56" s="4">
        <f>Games[[#This Row],[PreGmRate]]+Games[[#This Row],[RatingChange]]</f>
        <v>1549.4418979105612</v>
      </c>
      <c r="AC56" s="2">
        <f>IF(Games[[#This Row],[Type]]="R",IF(Games[[#This Row],[Result]]&gt;0.5,1,0),0)</f>
        <v>0</v>
      </c>
      <c r="AD56" s="2">
        <f>IF(Games[[#This Row],[Type]]="R",IF(Games[[#This Row],[Result]]&lt;0.5,1,0),0)</f>
        <v>1</v>
      </c>
      <c r="AE56" s="2">
        <f>IF(AND(Games[[#This Row],[Type]]="P",Games[[#This Row],[Round]]=1),IF(Games[[#This Row],[Result]]&gt;0.5,1,0),0)</f>
        <v>0</v>
      </c>
      <c r="AF56" s="2">
        <f>IF(AND(Games[[#This Row],[Type]]="P",Games[[#This Row],[Round]]=1),IF(Games[[#This Row],[Result]]&lt;0.5,1,0),0)</f>
        <v>0</v>
      </c>
      <c r="AG56" s="2">
        <f>IF(AND(Games[[#This Row],[Type]]="P",Games[[#This Row],[Round]]=2),IF(Games[[#This Row],[Result]]&gt;0.5,1,0),0)</f>
        <v>0</v>
      </c>
      <c r="AH56" s="2">
        <f>IF(AND(Games[[#This Row],[Type]]="P",Games[[#This Row],[Round]]=2),IF(Games[[#This Row],[Result]]&lt;0.5,1,0),0)</f>
        <v>0</v>
      </c>
      <c r="AI56" s="2">
        <f>IF(AND(Games[[#This Row],[Type]]="P",Games[[#This Row],[Round]]=3),IF(Games[[#This Row],[Result]]&gt;0.5,1,0),0)</f>
        <v>0</v>
      </c>
      <c r="AJ56" s="2">
        <f>IF(AND(Games[[#This Row],[Type]]="P",Games[[#This Row],[Round]]=3),IF(Games[[#This Row],[Result]]&lt;0.5,1,0),0)</f>
        <v>0</v>
      </c>
      <c r="AK56" s="2">
        <f>IF(AND(Games[[#This Row],[Type]]="P",Games[[#This Row],[Round]]=4),IF(Games[[#This Row],[Result]]&gt;0.5,1,0),0)</f>
        <v>0</v>
      </c>
      <c r="AL56" s="2">
        <f>IF(AND(Games[[#This Row],[Type]]="P",Games[[#This Row],[Round]]=4),IF(Games[[#This Row],[Result]]&lt;0.5,1,0),0)</f>
        <v>0</v>
      </c>
    </row>
    <row r="57" spans="1:38" x14ac:dyDescent="0.35">
      <c r="A57" s="10">
        <v>37778</v>
      </c>
      <c r="B57" s="2">
        <v>2003</v>
      </c>
      <c r="C57" s="2">
        <f>COUNTIFS(Games[Team],Games[[#This Row],[Team]],Games[Season],Games[[#This Row],[Season]],Games[Date],"&lt;=" &amp; Games[[#This Row],[Date]])</f>
        <v>5</v>
      </c>
      <c r="D57" s="2" t="s">
        <v>23</v>
      </c>
      <c r="E57" s="2" t="s">
        <v>29</v>
      </c>
      <c r="F57" s="1" t="s">
        <v>64</v>
      </c>
      <c r="G57" s="1" t="s">
        <v>2</v>
      </c>
      <c r="H57" s="1" t="s">
        <v>15</v>
      </c>
      <c r="I57" s="2" cm="1">
        <f t="array" ref="I57">IFERROR(
    Games[[#This Row],[Date]]
    - LOOKUP(
        2,
        1/((Games[Team]=Games[[#This Row],[Team]]) * (Games[Date] &lt; Games[[#This Row],[Date]])),
        Games[Date]
    )
    - 1,
Games[[#This Row],[Date]]-$A$2)</f>
        <v>1</v>
      </c>
      <c r="J57" s="2" cm="1">
        <f t="array" ref="J5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57" s="2">
        <f>Games[[#This Row],[DaysOff]]-Games[[#This Row],[OppDaysOff]]</f>
        <v>-1</v>
      </c>
      <c r="L57" s="2">
        <f>Games[[#This Row],[OppDaysOff]]-Games[[#This Row],[DaysOff]]</f>
        <v>1</v>
      </c>
      <c r="M57" s="1">
        <f>MAX(-16, MIN(16, Games[[#This Row],[RestDiff]]*8))</f>
        <v>-8</v>
      </c>
      <c r="N57" s="1">
        <f>MAX(-16, MIN(16, Games[[#This Row],[OppRestDiff]]*8))</f>
        <v>8</v>
      </c>
      <c r="O57" s="4" cm="1">
        <f t="array" ref="O5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1529.7028607320485</v>
      </c>
      <c r="P57" s="4" cm="1">
        <f t="array" ref="P5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1563.9441889988864</v>
      </c>
      <c r="Q57" s="4">
        <f>1/(1+10^(((Games[[#This Row],[OppPreGmRate]]+IF(Games[[#This Row],[HomeAway]]="A",HCA,0)+Games[[#This Row],[OppRestAdj]])-(Games[[#This Row],[PreGmRate]]+IF(Games[[#This Row],[HomeAway]]="H",HCA,0)+Games[[#This Row],[RestAdj]]))/400))</f>
        <v>0.54843031812275755</v>
      </c>
      <c r="R57" s="1">
        <v>69</v>
      </c>
      <c r="S57" s="1">
        <v>58</v>
      </c>
      <c r="T57" s="1">
        <v>0</v>
      </c>
      <c r="U57" s="1">
        <f>Games[[#This Row],[PointsFor]]-Games[[#This Row],[PointsAgainst]]</f>
        <v>11</v>
      </c>
      <c r="V57" s="1">
        <f>IF(Games[[#This Row],[MOV]]&gt;0,1,IF(Games[[#This Row],[MOV]]=0,0.5,0))</f>
        <v>1</v>
      </c>
      <c r="W57" s="4">
        <f>((ABS(Games[[#This Row],[MOV]])+5)^0.6)/(12+0.01*(ABS(Games[[#This Row],[PreGmRate]]-Games[[#This Row],[OppPreGmRate]])))*IF(Games[[#This Row],[OT]]=1,0.9,1)</f>
        <v>0.42763368250706385</v>
      </c>
      <c r="X57" s="7" cm="1">
        <f t="array" ref="X5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7" s="9">
        <f>MAX(kmin, kmax - 0.15 * MIN(Games[[#This Row],[GamesPlayed]], 82))</f>
        <v>75.25</v>
      </c>
      <c r="Z57" s="4">
        <f>Games[[#This Row],[K]]*Games[[#This Row],[POMult]]</f>
        <v>75.25</v>
      </c>
      <c r="AA57" s="4">
        <f>(Games[[#This Row],[Keff]]*Games[[#This Row],[MOVMult]])*(Games[[#This Row],[Result]]-Games[[#This Row],[ExpectedWin%]])</f>
        <v>14.531257049220567</v>
      </c>
      <c r="AB57" s="4">
        <f>Games[[#This Row],[PreGmRate]]+Games[[#This Row],[RatingChange]]</f>
        <v>1544.2341177812691</v>
      </c>
      <c r="AC57" s="2">
        <f>IF(Games[[#This Row],[Type]]="R",IF(Games[[#This Row],[Result]]&gt;0.5,1,0),0)</f>
        <v>1</v>
      </c>
      <c r="AD57" s="2">
        <f>IF(Games[[#This Row],[Type]]="R",IF(Games[[#This Row],[Result]]&lt;0.5,1,0),0)</f>
        <v>0</v>
      </c>
      <c r="AE57" s="2">
        <f>IF(AND(Games[[#This Row],[Type]]="P",Games[[#This Row],[Round]]=1),IF(Games[[#This Row],[Result]]&gt;0.5,1,0),0)</f>
        <v>0</v>
      </c>
      <c r="AF57" s="2">
        <f>IF(AND(Games[[#This Row],[Type]]="P",Games[[#This Row],[Round]]=1),IF(Games[[#This Row],[Result]]&lt;0.5,1,0),0)</f>
        <v>0</v>
      </c>
      <c r="AG57" s="2">
        <f>IF(AND(Games[[#This Row],[Type]]="P",Games[[#This Row],[Round]]=2),IF(Games[[#This Row],[Result]]&gt;0.5,1,0),0)</f>
        <v>0</v>
      </c>
      <c r="AH57" s="2">
        <f>IF(AND(Games[[#This Row],[Type]]="P",Games[[#This Row],[Round]]=2),IF(Games[[#This Row],[Result]]&lt;0.5,1,0),0)</f>
        <v>0</v>
      </c>
      <c r="AI57" s="2">
        <f>IF(AND(Games[[#This Row],[Type]]="P",Games[[#This Row],[Round]]=3),IF(Games[[#This Row],[Result]]&gt;0.5,1,0),0)</f>
        <v>0</v>
      </c>
      <c r="AJ57" s="2">
        <f>IF(AND(Games[[#This Row],[Type]]="P",Games[[#This Row],[Round]]=3),IF(Games[[#This Row],[Result]]&lt;0.5,1,0),0)</f>
        <v>0</v>
      </c>
      <c r="AK57" s="2">
        <f>IF(AND(Games[[#This Row],[Type]]="P",Games[[#This Row],[Round]]=4),IF(Games[[#This Row],[Result]]&gt;0.5,1,0),0)</f>
        <v>0</v>
      </c>
      <c r="AL57" s="2">
        <f>IF(AND(Games[[#This Row],[Type]]="P",Games[[#This Row],[Round]]=4),IF(Games[[#This Row],[Result]]&lt;0.5,1,0),0)</f>
        <v>0</v>
      </c>
    </row>
    <row r="58" spans="1:38" x14ac:dyDescent="0.35">
      <c r="A58" s="10">
        <v>37778</v>
      </c>
      <c r="B58" s="2">
        <v>2003</v>
      </c>
      <c r="C58" s="2">
        <f>COUNTIFS(Games[Team],Games[[#This Row],[Team]],Games[Season],Games[[#This Row],[Season]],Games[Date],"&lt;=" &amp; Games[[#This Row],[Date]])</f>
        <v>3</v>
      </c>
      <c r="D58" s="2" t="s">
        <v>23</v>
      </c>
      <c r="E58" s="2" t="s">
        <v>29</v>
      </c>
      <c r="F58" s="1" t="s">
        <v>66</v>
      </c>
      <c r="G58" s="1" t="s">
        <v>78</v>
      </c>
      <c r="H58" s="1" t="s">
        <v>16</v>
      </c>
      <c r="I58" s="2" cm="1">
        <f t="array" ref="I58">IFERROR(
    Games[[#This Row],[Date]]
    - LOOKUP(
        2,
        1/((Games[Team]=Games[[#This Row],[Team]]) * (Games[Date] &lt; Games[[#This Row],[Date]])),
        Games[Date]
    )
    - 1,
Games[[#This Row],[Date]]-$A$2)</f>
        <v>4</v>
      </c>
      <c r="J58" s="2" cm="1">
        <f t="array" ref="J58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58" s="2">
        <f>Games[[#This Row],[DaysOff]]-Games[[#This Row],[OppDaysOff]]</f>
        <v>0</v>
      </c>
      <c r="L58" s="2">
        <f>Games[[#This Row],[OppDaysOff]]-Games[[#This Row],[DaysOff]]</f>
        <v>0</v>
      </c>
      <c r="M58" s="1">
        <f>MAX(-16, MIN(16, Games[[#This Row],[RestDiff]]*8))</f>
        <v>0</v>
      </c>
      <c r="N58" s="1">
        <f>MAX(-16, MIN(16, Games[[#This Row],[OppRestDiff]]*8))</f>
        <v>0</v>
      </c>
      <c r="O58" s="4" cm="1">
        <f t="array" ref="O5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1509.027273198026</v>
      </c>
      <c r="P58" s="4" cm="1">
        <f t="array" ref="P5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1481.606003921225</v>
      </c>
      <c r="Q58" s="4">
        <f>1/(1+10^(((Games[[#This Row],[OppPreGmRate]]+IF(Games[[#This Row],[HomeAway]]="A",HCA,0)+Games[[#This Row],[OppRestAdj]])-(Games[[#This Row],[PreGmRate]]+IF(Games[[#This Row],[HomeAway]]="H",HCA,0)+Games[[#This Row],[RestAdj]]))/400))</f>
        <v>0.41928886373610436</v>
      </c>
      <c r="R58" s="1">
        <v>70</v>
      </c>
      <c r="S58" s="1">
        <v>60</v>
      </c>
      <c r="T58" s="1">
        <v>0</v>
      </c>
      <c r="U58" s="1">
        <f>Games[[#This Row],[PointsFor]]-Games[[#This Row],[PointsAgainst]]</f>
        <v>10</v>
      </c>
      <c r="V58" s="1">
        <f>IF(Games[[#This Row],[MOV]]&gt;0,1,IF(Games[[#This Row],[MOV]]=0,0.5,0))</f>
        <v>1</v>
      </c>
      <c r="W58" s="4">
        <f>((ABS(Games[[#This Row],[MOV]])+5)^0.6)/(12+0.01*(ABS(Games[[#This Row],[PreGmRate]]-Games[[#This Row],[OppPreGmRate]])))*IF(Games[[#This Row],[OT]]=1,0.9,1)</f>
        <v>0.41367674808007143</v>
      </c>
      <c r="X58" s="7" cm="1">
        <f t="array" ref="X5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8" s="9">
        <f>MAX(kmin, kmax - 0.15 * MIN(Games[[#This Row],[GamesPlayed]], 82))</f>
        <v>75.55</v>
      </c>
      <c r="Z58" s="4">
        <f>Games[[#This Row],[K]]*Games[[#This Row],[POMult]]</f>
        <v>75.55</v>
      </c>
      <c r="AA58" s="4">
        <f>(Games[[#This Row],[Keff]]*Games[[#This Row],[MOVMult]])*(Games[[#This Row],[Result]]-Games[[#This Row],[ExpectedWin%]])</f>
        <v>18.149126763697815</v>
      </c>
      <c r="AB58" s="4">
        <f>Games[[#This Row],[PreGmRate]]+Games[[#This Row],[RatingChange]]</f>
        <v>1527.1763999617237</v>
      </c>
      <c r="AC58" s="2">
        <f>IF(Games[[#This Row],[Type]]="R",IF(Games[[#This Row],[Result]]&gt;0.5,1,0),0)</f>
        <v>1</v>
      </c>
      <c r="AD58" s="2">
        <f>IF(Games[[#This Row],[Type]]="R",IF(Games[[#This Row],[Result]]&lt;0.5,1,0),0)</f>
        <v>0</v>
      </c>
      <c r="AE58" s="2">
        <f>IF(AND(Games[[#This Row],[Type]]="P",Games[[#This Row],[Round]]=1),IF(Games[[#This Row],[Result]]&gt;0.5,1,0),0)</f>
        <v>0</v>
      </c>
      <c r="AF58" s="2">
        <f>IF(AND(Games[[#This Row],[Type]]="P",Games[[#This Row],[Round]]=1),IF(Games[[#This Row],[Result]]&lt;0.5,1,0),0)</f>
        <v>0</v>
      </c>
      <c r="AG58" s="2">
        <f>IF(AND(Games[[#This Row],[Type]]="P",Games[[#This Row],[Round]]=2),IF(Games[[#This Row],[Result]]&gt;0.5,1,0),0)</f>
        <v>0</v>
      </c>
      <c r="AH58" s="2">
        <f>IF(AND(Games[[#This Row],[Type]]="P",Games[[#This Row],[Round]]=2),IF(Games[[#This Row],[Result]]&lt;0.5,1,0),0)</f>
        <v>0</v>
      </c>
      <c r="AI58" s="2">
        <f>IF(AND(Games[[#This Row],[Type]]="P",Games[[#This Row],[Round]]=3),IF(Games[[#This Row],[Result]]&gt;0.5,1,0),0)</f>
        <v>0</v>
      </c>
      <c r="AJ58" s="2">
        <f>IF(AND(Games[[#This Row],[Type]]="P",Games[[#This Row],[Round]]=3),IF(Games[[#This Row],[Result]]&lt;0.5,1,0),0)</f>
        <v>0</v>
      </c>
      <c r="AK58" s="2">
        <f>IF(AND(Games[[#This Row],[Type]]="P",Games[[#This Row],[Round]]=4),IF(Games[[#This Row],[Result]]&gt;0.5,1,0),0)</f>
        <v>0</v>
      </c>
      <c r="AL58" s="2">
        <f>IF(AND(Games[[#This Row],[Type]]="P",Games[[#This Row],[Round]]=4),IF(Games[[#This Row],[Result]]&lt;0.5,1,0),0)</f>
        <v>0</v>
      </c>
    </row>
    <row r="59" spans="1:38" x14ac:dyDescent="0.35">
      <c r="A59" s="10">
        <v>37778</v>
      </c>
      <c r="B59" s="2">
        <v>2003</v>
      </c>
      <c r="C59" s="2">
        <f>COUNTIFS(Games[Team],Games[[#This Row],[Team]],Games[Season],Games[[#This Row],[Season]],Games[Date],"&lt;=" &amp; Games[[#This Row],[Date]])</f>
        <v>5</v>
      </c>
      <c r="D59" s="2" t="s">
        <v>23</v>
      </c>
      <c r="E59" s="2" t="s">
        <v>29</v>
      </c>
      <c r="F59" s="1" t="s">
        <v>78</v>
      </c>
      <c r="G59" s="1" t="s">
        <v>66</v>
      </c>
      <c r="H59" s="1" t="s">
        <v>15</v>
      </c>
      <c r="I59" s="2" cm="1">
        <f t="array" ref="I59">IFERROR(
    Games[[#This Row],[Date]]
    - LOOKUP(
        2,
        1/((Games[Team]=Games[[#This Row],[Team]]) * (Games[Date] &lt; Games[[#This Row],[Date]])),
        Games[Date]
    )
    - 1,
Games[[#This Row],[Date]]-$A$2)</f>
        <v>4</v>
      </c>
      <c r="J59" s="2" cm="1">
        <f t="array" ref="J59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59" s="2">
        <f>Games[[#This Row],[DaysOff]]-Games[[#This Row],[OppDaysOff]]</f>
        <v>0</v>
      </c>
      <c r="L59" s="2">
        <f>Games[[#This Row],[OppDaysOff]]-Games[[#This Row],[DaysOff]]</f>
        <v>0</v>
      </c>
      <c r="M59" s="1">
        <f>MAX(-16, MIN(16, Games[[#This Row],[RestDiff]]*8))</f>
        <v>0</v>
      </c>
      <c r="N59" s="1">
        <f>MAX(-16, MIN(16, Games[[#This Row],[OppRestDiff]]*8))</f>
        <v>0</v>
      </c>
      <c r="O59" s="4" cm="1">
        <f t="array" ref="O5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1481.606003921225</v>
      </c>
      <c r="P59" s="4" cm="1">
        <f t="array" ref="P5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1509.027273198026</v>
      </c>
      <c r="Q59" s="4">
        <f>1/(1+10^(((Games[[#This Row],[OppPreGmRate]]+IF(Games[[#This Row],[HomeAway]]="A",HCA,0)+Games[[#This Row],[OppRestAdj]])-(Games[[#This Row],[PreGmRate]]+IF(Games[[#This Row],[HomeAway]]="H",HCA,0)+Games[[#This Row],[RestAdj]]))/400))</f>
        <v>0.58071113626389559</v>
      </c>
      <c r="R59" s="1">
        <v>60</v>
      </c>
      <c r="S59" s="1">
        <v>70</v>
      </c>
      <c r="T59" s="1">
        <v>0</v>
      </c>
      <c r="U59" s="1">
        <f>Games[[#This Row],[PointsFor]]-Games[[#This Row],[PointsAgainst]]</f>
        <v>-10</v>
      </c>
      <c r="V59" s="1">
        <f>IF(Games[[#This Row],[MOV]]&gt;0,1,IF(Games[[#This Row],[MOV]]=0,0.5,0))</f>
        <v>0</v>
      </c>
      <c r="W59" s="4">
        <f>((ABS(Games[[#This Row],[MOV]])+5)^0.6)/(12+0.01*(ABS(Games[[#This Row],[PreGmRate]]-Games[[#This Row],[OppPreGmRate]])))*IF(Games[[#This Row],[OT]]=1,0.9,1)</f>
        <v>0.41367674808007143</v>
      </c>
      <c r="X59" s="7" cm="1">
        <f t="array" ref="X5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9" s="9">
        <f>MAX(kmin, kmax - 0.15 * MIN(Games[[#This Row],[GamesPlayed]], 82))</f>
        <v>75.25</v>
      </c>
      <c r="Z59" s="4">
        <f>Games[[#This Row],[K]]*Games[[#This Row],[POMult]]</f>
        <v>75.25</v>
      </c>
      <c r="AA59" s="4">
        <f>(Games[[#This Row],[Keff]]*Games[[#This Row],[MOVMult]])*(Games[[#This Row],[Result]]-Games[[#This Row],[ExpectedWin%]])</f>
        <v>-18.07705875537075</v>
      </c>
      <c r="AB59" s="4">
        <f>Games[[#This Row],[PreGmRate]]+Games[[#This Row],[RatingChange]]</f>
        <v>1463.5289451658543</v>
      </c>
      <c r="AC59" s="2">
        <f>IF(Games[[#This Row],[Type]]="R",IF(Games[[#This Row],[Result]]&gt;0.5,1,0),0)</f>
        <v>0</v>
      </c>
      <c r="AD59" s="2">
        <f>IF(Games[[#This Row],[Type]]="R",IF(Games[[#This Row],[Result]]&lt;0.5,1,0),0)</f>
        <v>1</v>
      </c>
      <c r="AE59" s="2">
        <f>IF(AND(Games[[#This Row],[Type]]="P",Games[[#This Row],[Round]]=1),IF(Games[[#This Row],[Result]]&gt;0.5,1,0),0)</f>
        <v>0</v>
      </c>
      <c r="AF59" s="2">
        <f>IF(AND(Games[[#This Row],[Type]]="P",Games[[#This Row],[Round]]=1),IF(Games[[#This Row],[Result]]&lt;0.5,1,0),0)</f>
        <v>0</v>
      </c>
      <c r="AG59" s="2">
        <f>IF(AND(Games[[#This Row],[Type]]="P",Games[[#This Row],[Round]]=2),IF(Games[[#This Row],[Result]]&gt;0.5,1,0),0)</f>
        <v>0</v>
      </c>
      <c r="AH59" s="2">
        <f>IF(AND(Games[[#This Row],[Type]]="P",Games[[#This Row],[Round]]=2),IF(Games[[#This Row],[Result]]&lt;0.5,1,0),0)</f>
        <v>0</v>
      </c>
      <c r="AI59" s="2">
        <f>IF(AND(Games[[#This Row],[Type]]="P",Games[[#This Row],[Round]]=3),IF(Games[[#This Row],[Result]]&gt;0.5,1,0),0)</f>
        <v>0</v>
      </c>
      <c r="AJ59" s="2">
        <f>IF(AND(Games[[#This Row],[Type]]="P",Games[[#This Row],[Round]]=3),IF(Games[[#This Row],[Result]]&lt;0.5,1,0),0)</f>
        <v>0</v>
      </c>
      <c r="AK59" s="2">
        <f>IF(AND(Games[[#This Row],[Type]]="P",Games[[#This Row],[Round]]=4),IF(Games[[#This Row],[Result]]&gt;0.5,1,0),0)</f>
        <v>0</v>
      </c>
      <c r="AL59" s="2">
        <f>IF(AND(Games[[#This Row],[Type]]="P",Games[[#This Row],[Round]]=4),IF(Games[[#This Row],[Result]]&lt;0.5,1,0),0)</f>
        <v>0</v>
      </c>
    </row>
    <row r="60" spans="1:38" x14ac:dyDescent="0.35">
      <c r="A60" s="10">
        <v>37778</v>
      </c>
      <c r="B60" s="2">
        <v>2003</v>
      </c>
      <c r="C60" s="2">
        <f>COUNTIFS(Games[Team],Games[[#This Row],[Team]],Games[Season],Games[[#This Row],[Season]],Games[Date],"&lt;=" &amp; Games[[#This Row],[Date]])</f>
        <v>3</v>
      </c>
      <c r="D60" s="2" t="s">
        <v>23</v>
      </c>
      <c r="E60" s="2" t="s">
        <v>29</v>
      </c>
      <c r="F60" s="1" t="s">
        <v>1</v>
      </c>
      <c r="G60" s="1" t="s">
        <v>74</v>
      </c>
      <c r="H60" s="1" t="s">
        <v>16</v>
      </c>
      <c r="I60" s="2" cm="1">
        <f t="array" ref="I60">IFERROR(
    Games[[#This Row],[Date]]
    - LOOKUP(
        2,
        1/((Games[Team]=Games[[#This Row],[Team]]) * (Games[Date] &lt; Games[[#This Row],[Date]])),
        Games[Date]
    )
    - 1,
Games[[#This Row],[Date]]-$A$2)</f>
        <v>5</v>
      </c>
      <c r="J60" s="2" cm="1">
        <f t="array" ref="J60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60" s="2">
        <f>Games[[#This Row],[DaysOff]]-Games[[#This Row],[OppDaysOff]]</f>
        <v>1</v>
      </c>
      <c r="L60" s="2">
        <f>Games[[#This Row],[OppDaysOff]]-Games[[#This Row],[DaysOff]]</f>
        <v>-1</v>
      </c>
      <c r="M60" s="1">
        <f>MAX(-16, MIN(16, Games[[#This Row],[RestDiff]]*8))</f>
        <v>8</v>
      </c>
      <c r="N60" s="1">
        <f>MAX(-16, MIN(16, Games[[#This Row],[OppRestDiff]]*8))</f>
        <v>-8</v>
      </c>
      <c r="O60" s="4" cm="1">
        <f t="array" ref="O6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1465.199813500047</v>
      </c>
      <c r="P60" s="4" cm="1">
        <f t="array" ref="P6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1471.7827218247792</v>
      </c>
      <c r="Q60" s="4">
        <f>1/(1+10^(((Games[[#This Row],[OppPreGmRate]]+IF(Games[[#This Row],[HomeAway]]="A",HCA,0)+Games[[#This Row],[OppRestAdj]])-(Games[[#This Row],[PreGmRate]]+IF(Games[[#This Row],[HomeAway]]="H",HCA,0)+Games[[#This Row],[RestAdj]]))/400))</f>
        <v>0.39428544137219801</v>
      </c>
      <c r="R60" s="1">
        <v>63</v>
      </c>
      <c r="S60" s="1">
        <v>53</v>
      </c>
      <c r="T60" s="1">
        <v>0</v>
      </c>
      <c r="U60" s="1">
        <f>Games[[#This Row],[PointsFor]]-Games[[#This Row],[PointsAgainst]]</f>
        <v>10</v>
      </c>
      <c r="V60" s="1">
        <f>IF(Games[[#This Row],[MOV]]&gt;0,1,IF(Games[[#This Row],[MOV]]=0,0.5,0))</f>
        <v>1</v>
      </c>
      <c r="W60" s="4">
        <f>((ABS(Games[[#This Row],[MOV]])+5)^0.6)/(12+0.01*(ABS(Games[[#This Row],[PreGmRate]]-Games[[#This Row],[OppPreGmRate]])))*IF(Games[[#This Row],[OT]]=1,0.9,1)</f>
        <v>0.42082117664316071</v>
      </c>
      <c r="X60" s="7" cm="1">
        <f t="array" ref="X6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0" s="9">
        <f>MAX(kmin, kmax - 0.15 * MIN(Games[[#This Row],[GamesPlayed]], 82))</f>
        <v>75.55</v>
      </c>
      <c r="Z60" s="4">
        <f>Games[[#This Row],[K]]*Games[[#This Row],[POMult]]</f>
        <v>75.55</v>
      </c>
      <c r="AA60" s="4">
        <f>(Games[[#This Row],[Keff]]*Games[[#This Row],[MOVMult]])*(Games[[#This Row],[Result]]-Games[[#This Row],[ExpectedWin%]])</f>
        <v>19.257507127672731</v>
      </c>
      <c r="AB60" s="4">
        <f>Games[[#This Row],[PreGmRate]]+Games[[#This Row],[RatingChange]]</f>
        <v>1484.4573206277196</v>
      </c>
      <c r="AC60" s="2">
        <f>IF(Games[[#This Row],[Type]]="R",IF(Games[[#This Row],[Result]]&gt;0.5,1,0),0)</f>
        <v>1</v>
      </c>
      <c r="AD60" s="2">
        <f>IF(Games[[#This Row],[Type]]="R",IF(Games[[#This Row],[Result]]&lt;0.5,1,0),0)</f>
        <v>0</v>
      </c>
      <c r="AE60" s="2">
        <f>IF(AND(Games[[#This Row],[Type]]="P",Games[[#This Row],[Round]]=1),IF(Games[[#This Row],[Result]]&gt;0.5,1,0),0)</f>
        <v>0</v>
      </c>
      <c r="AF60" s="2">
        <f>IF(AND(Games[[#This Row],[Type]]="P",Games[[#This Row],[Round]]=1),IF(Games[[#This Row],[Result]]&lt;0.5,1,0),0)</f>
        <v>0</v>
      </c>
      <c r="AG60" s="2">
        <f>IF(AND(Games[[#This Row],[Type]]="P",Games[[#This Row],[Round]]=2),IF(Games[[#This Row],[Result]]&gt;0.5,1,0),0)</f>
        <v>0</v>
      </c>
      <c r="AH60" s="2">
        <f>IF(AND(Games[[#This Row],[Type]]="P",Games[[#This Row],[Round]]=2),IF(Games[[#This Row],[Result]]&lt;0.5,1,0),0)</f>
        <v>0</v>
      </c>
      <c r="AI60" s="2">
        <f>IF(AND(Games[[#This Row],[Type]]="P",Games[[#This Row],[Round]]=3),IF(Games[[#This Row],[Result]]&gt;0.5,1,0),0)</f>
        <v>0</v>
      </c>
      <c r="AJ60" s="2">
        <f>IF(AND(Games[[#This Row],[Type]]="P",Games[[#This Row],[Round]]=3),IF(Games[[#This Row],[Result]]&lt;0.5,1,0),0)</f>
        <v>0</v>
      </c>
      <c r="AK60" s="2">
        <f>IF(AND(Games[[#This Row],[Type]]="P",Games[[#This Row],[Round]]=4),IF(Games[[#This Row],[Result]]&gt;0.5,1,0),0)</f>
        <v>0</v>
      </c>
      <c r="AL60" s="2">
        <f>IF(AND(Games[[#This Row],[Type]]="P",Games[[#This Row],[Round]]=4),IF(Games[[#This Row],[Result]]&lt;0.5,1,0),0)</f>
        <v>0</v>
      </c>
    </row>
    <row r="61" spans="1:38" x14ac:dyDescent="0.35">
      <c r="A61" s="10">
        <v>37778</v>
      </c>
      <c r="B61" s="2">
        <v>2003</v>
      </c>
      <c r="C61" s="2">
        <f>COUNTIFS(Games[Team],Games[[#This Row],[Team]],Games[Season],Games[[#This Row],[Season]],Games[Date],"&lt;=" &amp; Games[[#This Row],[Date]])</f>
        <v>4</v>
      </c>
      <c r="D61" s="2" t="s">
        <v>23</v>
      </c>
      <c r="E61" s="2" t="s">
        <v>29</v>
      </c>
      <c r="F61" s="1" t="s">
        <v>74</v>
      </c>
      <c r="G61" s="1" t="s">
        <v>1</v>
      </c>
      <c r="H61" s="1" t="s">
        <v>15</v>
      </c>
      <c r="I61" s="2" cm="1">
        <f t="array" ref="I61">IFERROR(
    Games[[#This Row],[Date]]
    - LOOKUP(
        2,
        1/((Games[Team]=Games[[#This Row],[Team]]) * (Games[Date] &lt; Games[[#This Row],[Date]])),
        Games[Date]
    )
    - 1,
Games[[#This Row],[Date]]-$A$2)</f>
        <v>4</v>
      </c>
      <c r="J61" s="2" cm="1">
        <f t="array" ref="J61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61" s="2">
        <f>Games[[#This Row],[DaysOff]]-Games[[#This Row],[OppDaysOff]]</f>
        <v>-1</v>
      </c>
      <c r="L61" s="2">
        <f>Games[[#This Row],[OppDaysOff]]-Games[[#This Row],[DaysOff]]</f>
        <v>1</v>
      </c>
      <c r="M61" s="1">
        <f>MAX(-16, MIN(16, Games[[#This Row],[RestDiff]]*8))</f>
        <v>-8</v>
      </c>
      <c r="N61" s="1">
        <f>MAX(-16, MIN(16, Games[[#This Row],[OppRestDiff]]*8))</f>
        <v>8</v>
      </c>
      <c r="O61" s="4" cm="1">
        <f t="array" ref="O6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1471.7827218247792</v>
      </c>
      <c r="P61" s="4" cm="1">
        <f t="array" ref="P6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1465.199813500047</v>
      </c>
      <c r="Q61" s="4">
        <f>1/(1+10^(((Games[[#This Row],[OppPreGmRate]]+IF(Games[[#This Row],[HomeAway]]="A",HCA,0)+Games[[#This Row],[OppRestAdj]])-(Games[[#This Row],[PreGmRate]]+IF(Games[[#This Row],[HomeAway]]="H",HCA,0)+Games[[#This Row],[RestAdj]]))/400))</f>
        <v>0.60571455862780199</v>
      </c>
      <c r="R61" s="1">
        <v>53</v>
      </c>
      <c r="S61" s="1">
        <v>63</v>
      </c>
      <c r="T61" s="1">
        <v>0</v>
      </c>
      <c r="U61" s="1">
        <f>Games[[#This Row],[PointsFor]]-Games[[#This Row],[PointsAgainst]]</f>
        <v>-10</v>
      </c>
      <c r="V61" s="1">
        <f>IF(Games[[#This Row],[MOV]]&gt;0,1,IF(Games[[#This Row],[MOV]]=0,0.5,0))</f>
        <v>0</v>
      </c>
      <c r="W61" s="4">
        <f>((ABS(Games[[#This Row],[MOV]])+5)^0.6)/(12+0.01*(ABS(Games[[#This Row],[PreGmRate]]-Games[[#This Row],[OppPreGmRate]])))*IF(Games[[#This Row],[OT]]=1,0.9,1)</f>
        <v>0.42082117664316071</v>
      </c>
      <c r="X61" s="7" cm="1">
        <f t="array" ref="X6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1" s="9">
        <f>MAX(kmin, kmax - 0.15 * MIN(Games[[#This Row],[GamesPlayed]], 82))</f>
        <v>75.400000000000006</v>
      </c>
      <c r="Z61" s="4">
        <f>Games[[#This Row],[K]]*Games[[#This Row],[POMult]]</f>
        <v>75.400000000000006</v>
      </c>
      <c r="AA61" s="4">
        <f>(Games[[#This Row],[Keff]]*Games[[#This Row],[MOVMult]])*(Games[[#This Row],[Result]]-Games[[#This Row],[ExpectedWin%]])</f>
        <v>-19.219272500681988</v>
      </c>
      <c r="AB61" s="4">
        <f>Games[[#This Row],[PreGmRate]]+Games[[#This Row],[RatingChange]]</f>
        <v>1452.5634493240973</v>
      </c>
      <c r="AC61" s="2">
        <f>IF(Games[[#This Row],[Type]]="R",IF(Games[[#This Row],[Result]]&gt;0.5,1,0),0)</f>
        <v>0</v>
      </c>
      <c r="AD61" s="2">
        <f>IF(Games[[#This Row],[Type]]="R",IF(Games[[#This Row],[Result]]&lt;0.5,1,0),0)</f>
        <v>1</v>
      </c>
      <c r="AE61" s="2">
        <f>IF(AND(Games[[#This Row],[Type]]="P",Games[[#This Row],[Round]]=1),IF(Games[[#This Row],[Result]]&gt;0.5,1,0),0)</f>
        <v>0</v>
      </c>
      <c r="AF61" s="2">
        <f>IF(AND(Games[[#This Row],[Type]]="P",Games[[#This Row],[Round]]=1),IF(Games[[#This Row],[Result]]&lt;0.5,1,0),0)</f>
        <v>0</v>
      </c>
      <c r="AG61" s="2">
        <f>IF(AND(Games[[#This Row],[Type]]="P",Games[[#This Row],[Round]]=2),IF(Games[[#This Row],[Result]]&gt;0.5,1,0),0)</f>
        <v>0</v>
      </c>
      <c r="AH61" s="2">
        <f>IF(AND(Games[[#This Row],[Type]]="P",Games[[#This Row],[Round]]=2),IF(Games[[#This Row],[Result]]&lt;0.5,1,0),0)</f>
        <v>0</v>
      </c>
      <c r="AI61" s="2">
        <f>IF(AND(Games[[#This Row],[Type]]="P",Games[[#This Row],[Round]]=3),IF(Games[[#This Row],[Result]]&gt;0.5,1,0),0)</f>
        <v>0</v>
      </c>
      <c r="AJ61" s="2">
        <f>IF(AND(Games[[#This Row],[Type]]="P",Games[[#This Row],[Round]]=3),IF(Games[[#This Row],[Result]]&lt;0.5,1,0),0)</f>
        <v>0</v>
      </c>
      <c r="AK61" s="2">
        <f>IF(AND(Games[[#This Row],[Type]]="P",Games[[#This Row],[Round]]=4),IF(Games[[#This Row],[Result]]&gt;0.5,1,0),0)</f>
        <v>0</v>
      </c>
      <c r="AL61" s="2">
        <f>IF(AND(Games[[#This Row],[Type]]="P",Games[[#This Row],[Round]]=4),IF(Games[[#This Row],[Result]]&lt;0.5,1,0),0)</f>
        <v>0</v>
      </c>
    </row>
    <row r="62" spans="1:38" x14ac:dyDescent="0.35">
      <c r="A62" s="10">
        <v>37779</v>
      </c>
      <c r="B62" s="2">
        <v>2003</v>
      </c>
      <c r="C62" s="2">
        <f>COUNTIFS(Games[Team],Games[[#This Row],[Team]],Games[Season],Games[[#This Row],[Season]],Games[Date],"&lt;=" &amp; Games[[#This Row],[Date]])</f>
        <v>6</v>
      </c>
      <c r="D62" s="2" t="s">
        <v>23</v>
      </c>
      <c r="E62" s="2" t="s">
        <v>29</v>
      </c>
      <c r="F62" s="1" t="s">
        <v>64</v>
      </c>
      <c r="G62" s="1" t="s">
        <v>1</v>
      </c>
      <c r="H62" s="1" t="s">
        <v>16</v>
      </c>
      <c r="I62" s="2" cm="1">
        <f t="array" ref="I62">IFERROR(
    Games[[#This Row],[Date]]
    - LOOKUP(
        2,
        1/((Games[Team]=Games[[#This Row],[Team]]) * (Games[Date] &lt; Games[[#This Row],[Date]])),
        Games[Date]
    )
    - 1,
Games[[#This Row],[Date]]-$A$2)</f>
        <v>0</v>
      </c>
      <c r="J62" s="2" cm="1">
        <f t="array" ref="J62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62" s="2">
        <f>Games[[#This Row],[DaysOff]]-Games[[#This Row],[OppDaysOff]]</f>
        <v>0</v>
      </c>
      <c r="L62" s="2">
        <f>Games[[#This Row],[OppDaysOff]]-Games[[#This Row],[DaysOff]]</f>
        <v>0</v>
      </c>
      <c r="M62" s="1">
        <f>MAX(-16, MIN(16, Games[[#This Row],[RestDiff]]*8))</f>
        <v>0</v>
      </c>
      <c r="N62" s="1">
        <f>MAX(-16, MIN(16, Games[[#This Row],[OppRestDiff]]*8))</f>
        <v>0</v>
      </c>
      <c r="O62" s="4" cm="1">
        <f t="array" ref="O6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1544.2341177812691</v>
      </c>
      <c r="P62" s="4" cm="1">
        <f t="array" ref="P6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1484.4573206277196</v>
      </c>
      <c r="Q62" s="4">
        <f>1/(1+10^(((Games[[#This Row],[OppPreGmRate]]+IF(Games[[#This Row],[HomeAway]]="A",HCA,0)+Games[[#This Row],[OppRestAdj]])-(Games[[#This Row],[PreGmRate]]+IF(Games[[#This Row],[HomeAway]]="H",HCA,0)+Games[[#This Row],[RestAdj]]))/400))</f>
        <v>0.46519638264425184</v>
      </c>
      <c r="R62" s="1">
        <v>57</v>
      </c>
      <c r="S62" s="1">
        <v>67</v>
      </c>
      <c r="T62" s="1">
        <v>0</v>
      </c>
      <c r="U62" s="1">
        <f>Games[[#This Row],[PointsFor]]-Games[[#This Row],[PointsAgainst]]</f>
        <v>-10</v>
      </c>
      <c r="V62" s="1">
        <f>IF(Games[[#This Row],[MOV]]&gt;0,1,IF(Games[[#This Row],[MOV]]=0,0.5,0))</f>
        <v>0</v>
      </c>
      <c r="W62" s="4">
        <f>((ABS(Games[[#This Row],[MOV]])+5)^0.6)/(12+0.01*(ABS(Games[[#This Row],[PreGmRate]]-Games[[#This Row],[OppPreGmRate]])))*IF(Games[[#This Row],[OT]]=1,0.9,1)</f>
        <v>0.40305206473560118</v>
      </c>
      <c r="X62" s="7" cm="1">
        <f t="array" ref="X6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2" s="9">
        <f>MAX(kmin, kmax - 0.15 * MIN(Games[[#This Row],[GamesPlayed]], 82))</f>
        <v>75.099999999999994</v>
      </c>
      <c r="Z62" s="4">
        <f>Games[[#This Row],[K]]*Games[[#This Row],[POMult]]</f>
        <v>75.099999999999994</v>
      </c>
      <c r="AA62" s="4">
        <f>(Games[[#This Row],[Keff]]*Games[[#This Row],[MOVMult]])*(Games[[#This Row],[Result]]-Games[[#This Row],[ExpectedWin%]])</f>
        <v>-14.081127026175617</v>
      </c>
      <c r="AB62" s="4">
        <f>Games[[#This Row],[PreGmRate]]+Games[[#This Row],[RatingChange]]</f>
        <v>1530.1529907550935</v>
      </c>
      <c r="AC62" s="2">
        <f>IF(Games[[#This Row],[Type]]="R",IF(Games[[#This Row],[Result]]&gt;0.5,1,0),0)</f>
        <v>0</v>
      </c>
      <c r="AD62" s="2">
        <f>IF(Games[[#This Row],[Type]]="R",IF(Games[[#This Row],[Result]]&lt;0.5,1,0),0)</f>
        <v>1</v>
      </c>
      <c r="AE62" s="2">
        <f>IF(AND(Games[[#This Row],[Type]]="P",Games[[#This Row],[Round]]=1),IF(Games[[#This Row],[Result]]&gt;0.5,1,0),0)</f>
        <v>0</v>
      </c>
      <c r="AF62" s="2">
        <f>IF(AND(Games[[#This Row],[Type]]="P",Games[[#This Row],[Round]]=1),IF(Games[[#This Row],[Result]]&lt;0.5,1,0),0)</f>
        <v>0</v>
      </c>
      <c r="AG62" s="2">
        <f>IF(AND(Games[[#This Row],[Type]]="P",Games[[#This Row],[Round]]=2),IF(Games[[#This Row],[Result]]&gt;0.5,1,0),0)</f>
        <v>0</v>
      </c>
      <c r="AH62" s="2">
        <f>IF(AND(Games[[#This Row],[Type]]="P",Games[[#This Row],[Round]]=2),IF(Games[[#This Row],[Result]]&lt;0.5,1,0),0)</f>
        <v>0</v>
      </c>
      <c r="AI62" s="2">
        <f>IF(AND(Games[[#This Row],[Type]]="P",Games[[#This Row],[Round]]=3),IF(Games[[#This Row],[Result]]&gt;0.5,1,0),0)</f>
        <v>0</v>
      </c>
      <c r="AJ62" s="2">
        <f>IF(AND(Games[[#This Row],[Type]]="P",Games[[#This Row],[Round]]=3),IF(Games[[#This Row],[Result]]&lt;0.5,1,0),0)</f>
        <v>0</v>
      </c>
      <c r="AK62" s="2">
        <f>IF(AND(Games[[#This Row],[Type]]="P",Games[[#This Row],[Round]]=4),IF(Games[[#This Row],[Result]]&gt;0.5,1,0),0)</f>
        <v>0</v>
      </c>
      <c r="AL62" s="2">
        <f>IF(AND(Games[[#This Row],[Type]]="P",Games[[#This Row],[Round]]=4),IF(Games[[#This Row],[Result]]&lt;0.5,1,0),0)</f>
        <v>0</v>
      </c>
    </row>
    <row r="63" spans="1:38" x14ac:dyDescent="0.35">
      <c r="A63" s="10">
        <v>37779</v>
      </c>
      <c r="B63" s="2">
        <v>2003</v>
      </c>
      <c r="C63" s="2">
        <f>COUNTIFS(Games[Team],Games[[#This Row],[Team]],Games[Season],Games[[#This Row],[Season]],Games[Date],"&lt;=" &amp; Games[[#This Row],[Date]])</f>
        <v>4</v>
      </c>
      <c r="D63" s="2" t="s">
        <v>23</v>
      </c>
      <c r="E63" s="2" t="s">
        <v>29</v>
      </c>
      <c r="F63" s="1" t="s">
        <v>1</v>
      </c>
      <c r="G63" s="1" t="s">
        <v>64</v>
      </c>
      <c r="H63" s="1" t="s">
        <v>15</v>
      </c>
      <c r="I63" s="2" cm="1">
        <f t="array" ref="I63">IFERROR(
    Games[[#This Row],[Date]]
    - LOOKUP(
        2,
        1/((Games[Team]=Games[[#This Row],[Team]]) * (Games[Date] &lt; Games[[#This Row],[Date]])),
        Games[Date]
    )
    - 1,
Games[[#This Row],[Date]]-$A$2)</f>
        <v>0</v>
      </c>
      <c r="J63" s="2" cm="1">
        <f t="array" ref="J63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63" s="2">
        <f>Games[[#This Row],[DaysOff]]-Games[[#This Row],[OppDaysOff]]</f>
        <v>0</v>
      </c>
      <c r="L63" s="2">
        <f>Games[[#This Row],[OppDaysOff]]-Games[[#This Row],[DaysOff]]</f>
        <v>0</v>
      </c>
      <c r="M63" s="1">
        <f>MAX(-16, MIN(16, Games[[#This Row],[RestDiff]]*8))</f>
        <v>0</v>
      </c>
      <c r="N63" s="1">
        <f>MAX(-16, MIN(16, Games[[#This Row],[OppRestDiff]]*8))</f>
        <v>0</v>
      </c>
      <c r="O63" s="4" cm="1">
        <f t="array" ref="O6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1484.4573206277196</v>
      </c>
      <c r="P63" s="4" cm="1">
        <f t="array" ref="P6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1544.2341177812691</v>
      </c>
      <c r="Q63" s="4">
        <f>1/(1+10^(((Games[[#This Row],[OppPreGmRate]]+IF(Games[[#This Row],[HomeAway]]="A",HCA,0)+Games[[#This Row],[OppRestAdj]])-(Games[[#This Row],[PreGmRate]]+IF(Games[[#This Row],[HomeAway]]="H",HCA,0)+Games[[#This Row],[RestAdj]]))/400))</f>
        <v>0.53480361735574822</v>
      </c>
      <c r="R63" s="1">
        <v>67</v>
      </c>
      <c r="S63" s="1">
        <v>57</v>
      </c>
      <c r="T63" s="1">
        <v>0</v>
      </c>
      <c r="U63" s="1">
        <f>Games[[#This Row],[PointsFor]]-Games[[#This Row],[PointsAgainst]]</f>
        <v>10</v>
      </c>
      <c r="V63" s="1">
        <f>IF(Games[[#This Row],[MOV]]&gt;0,1,IF(Games[[#This Row],[MOV]]=0,0.5,0))</f>
        <v>1</v>
      </c>
      <c r="W63" s="4">
        <f>((ABS(Games[[#This Row],[MOV]])+5)^0.6)/(12+0.01*(ABS(Games[[#This Row],[PreGmRate]]-Games[[#This Row],[OppPreGmRate]])))*IF(Games[[#This Row],[OT]]=1,0.9,1)</f>
        <v>0.40305206473560118</v>
      </c>
      <c r="X63" s="7" cm="1">
        <f t="array" ref="X6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3" s="9">
        <f>MAX(kmin, kmax - 0.15 * MIN(Games[[#This Row],[GamesPlayed]], 82))</f>
        <v>75.400000000000006</v>
      </c>
      <c r="Z63" s="4">
        <f>Games[[#This Row],[K]]*Games[[#This Row],[POMult]]</f>
        <v>75.400000000000006</v>
      </c>
      <c r="AA63" s="4">
        <f>(Games[[#This Row],[Keff]]*Games[[#This Row],[MOVMult]])*(Games[[#This Row],[Result]]-Games[[#This Row],[ExpectedWin%]])</f>
        <v>14.137376534935305</v>
      </c>
      <c r="AB63" s="4">
        <f>Games[[#This Row],[PreGmRate]]+Games[[#This Row],[RatingChange]]</f>
        <v>1498.5946971626549</v>
      </c>
      <c r="AC63" s="2">
        <f>IF(Games[[#This Row],[Type]]="R",IF(Games[[#This Row],[Result]]&gt;0.5,1,0),0)</f>
        <v>1</v>
      </c>
      <c r="AD63" s="2">
        <f>IF(Games[[#This Row],[Type]]="R",IF(Games[[#This Row],[Result]]&lt;0.5,1,0),0)</f>
        <v>0</v>
      </c>
      <c r="AE63" s="2">
        <f>IF(AND(Games[[#This Row],[Type]]="P",Games[[#This Row],[Round]]=1),IF(Games[[#This Row],[Result]]&gt;0.5,1,0),0)</f>
        <v>0</v>
      </c>
      <c r="AF63" s="2">
        <f>IF(AND(Games[[#This Row],[Type]]="P",Games[[#This Row],[Round]]=1),IF(Games[[#This Row],[Result]]&lt;0.5,1,0),0)</f>
        <v>0</v>
      </c>
      <c r="AG63" s="2">
        <f>IF(AND(Games[[#This Row],[Type]]="P",Games[[#This Row],[Round]]=2),IF(Games[[#This Row],[Result]]&gt;0.5,1,0),0)</f>
        <v>0</v>
      </c>
      <c r="AH63" s="2">
        <f>IF(AND(Games[[#This Row],[Type]]="P",Games[[#This Row],[Round]]=2),IF(Games[[#This Row],[Result]]&lt;0.5,1,0),0)</f>
        <v>0</v>
      </c>
      <c r="AI63" s="2">
        <f>IF(AND(Games[[#This Row],[Type]]="P",Games[[#This Row],[Round]]=3),IF(Games[[#This Row],[Result]]&gt;0.5,1,0),0)</f>
        <v>0</v>
      </c>
      <c r="AJ63" s="2">
        <f>IF(AND(Games[[#This Row],[Type]]="P",Games[[#This Row],[Round]]=3),IF(Games[[#This Row],[Result]]&lt;0.5,1,0),0)</f>
        <v>0</v>
      </c>
      <c r="AK63" s="2">
        <f>IF(AND(Games[[#This Row],[Type]]="P",Games[[#This Row],[Round]]=4),IF(Games[[#This Row],[Result]]&gt;0.5,1,0),0)</f>
        <v>0</v>
      </c>
      <c r="AL63" s="2">
        <f>IF(AND(Games[[#This Row],[Type]]="P",Games[[#This Row],[Round]]=4),IF(Games[[#This Row],[Result]]&lt;0.5,1,0),0)</f>
        <v>0</v>
      </c>
    </row>
    <row r="64" spans="1:38" x14ac:dyDescent="0.35">
      <c r="A64" s="10">
        <v>37779</v>
      </c>
      <c r="B64" s="2">
        <v>2003</v>
      </c>
      <c r="C64" s="2">
        <f>COUNTIFS(Games[Team],Games[[#This Row],[Team]],Games[Season],Games[[#This Row],[Season]],Games[Date],"&lt;=" &amp; Games[[#This Row],[Date]])</f>
        <v>7</v>
      </c>
      <c r="D64" s="2" t="s">
        <v>23</v>
      </c>
      <c r="E64" s="2" t="s">
        <v>29</v>
      </c>
      <c r="F64" s="1" t="s">
        <v>2</v>
      </c>
      <c r="G64" s="1" t="s">
        <v>87</v>
      </c>
      <c r="H64" s="1" t="s">
        <v>16</v>
      </c>
      <c r="I64" s="2" cm="1">
        <f t="array" ref="I64">IFERROR(
    Games[[#This Row],[Date]]
    - LOOKUP(
        2,
        1/((Games[Team]=Games[[#This Row],[Team]]) * (Games[Date] &lt; Games[[#This Row],[Date]])),
        Games[Date]
    )
    - 1,
Games[[#This Row],[Date]]-$A$2)</f>
        <v>0</v>
      </c>
      <c r="J64" s="2" cm="1">
        <f t="array" ref="J6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64" s="2">
        <f>Games[[#This Row],[DaysOff]]-Games[[#This Row],[OppDaysOff]]</f>
        <v>-1</v>
      </c>
      <c r="L64" s="2">
        <f>Games[[#This Row],[OppDaysOff]]-Games[[#This Row],[DaysOff]]</f>
        <v>1</v>
      </c>
      <c r="M64" s="1">
        <f>MAX(-16, MIN(16, Games[[#This Row],[RestDiff]]*8))</f>
        <v>-8</v>
      </c>
      <c r="N64" s="1">
        <f>MAX(-16, MIN(16, Games[[#This Row],[OppRestDiff]]*8))</f>
        <v>8</v>
      </c>
      <c r="O64" s="4" cm="1">
        <f t="array" ref="O6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1549.4418979105612</v>
      </c>
      <c r="P64" s="4" cm="1">
        <f t="array" ref="P6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1511.642988979195</v>
      </c>
      <c r="Q64" s="4">
        <f>1/(1+10^(((Games[[#This Row],[OppPreGmRate]]+IF(Games[[#This Row],[HomeAway]]="A",HCA,0)+Games[[#This Row],[OppRestAdj]])-(Games[[#This Row],[PreGmRate]]+IF(Games[[#This Row],[HomeAway]]="H",HCA,0)+Games[[#This Row],[RestAdj]]))/400))</f>
        <v>0.41142968693032567</v>
      </c>
      <c r="R64" s="1">
        <v>58</v>
      </c>
      <c r="S64" s="1">
        <v>65</v>
      </c>
      <c r="T64" s="1">
        <v>0</v>
      </c>
      <c r="U64" s="1">
        <f>Games[[#This Row],[PointsFor]]-Games[[#This Row],[PointsAgainst]]</f>
        <v>-7</v>
      </c>
      <c r="V64" s="1">
        <f>IF(Games[[#This Row],[MOV]]&gt;0,1,IF(Games[[#This Row],[MOV]]=0,0.5,0))</f>
        <v>0</v>
      </c>
      <c r="W64" s="4">
        <f>((ABS(Games[[#This Row],[MOV]])+5)^0.6)/(12+0.01*(ABS(Games[[#This Row],[PreGmRate]]-Games[[#This Row],[OppPreGmRate]])))*IF(Games[[#This Row],[OT]]=1,0.9,1)</f>
        <v>0.35880513690872073</v>
      </c>
      <c r="X64" s="7" cm="1">
        <f t="array" ref="X6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4" s="9">
        <f>MAX(kmin, kmax - 0.15 * MIN(Games[[#This Row],[GamesPlayed]], 82))</f>
        <v>74.95</v>
      </c>
      <c r="Z64" s="4">
        <f>Games[[#This Row],[K]]*Games[[#This Row],[POMult]]</f>
        <v>74.95</v>
      </c>
      <c r="AA64" s="4">
        <f>(Games[[#This Row],[Keff]]*Games[[#This Row],[MOVMult]])*(Games[[#This Row],[Result]]-Games[[#This Row],[ExpectedWin%]])</f>
        <v>-11.064350231793703</v>
      </c>
      <c r="AB64" s="4">
        <f>Games[[#This Row],[PreGmRate]]+Games[[#This Row],[RatingChange]]</f>
        <v>1538.3775476787675</v>
      </c>
      <c r="AC64" s="2">
        <f>IF(Games[[#This Row],[Type]]="R",IF(Games[[#This Row],[Result]]&gt;0.5,1,0),0)</f>
        <v>0</v>
      </c>
      <c r="AD64" s="2">
        <f>IF(Games[[#This Row],[Type]]="R",IF(Games[[#This Row],[Result]]&lt;0.5,1,0),0)</f>
        <v>1</v>
      </c>
      <c r="AE64" s="2">
        <f>IF(AND(Games[[#This Row],[Type]]="P",Games[[#This Row],[Round]]=1),IF(Games[[#This Row],[Result]]&gt;0.5,1,0),0)</f>
        <v>0</v>
      </c>
      <c r="AF64" s="2">
        <f>IF(AND(Games[[#This Row],[Type]]="P",Games[[#This Row],[Round]]=1),IF(Games[[#This Row],[Result]]&lt;0.5,1,0),0)</f>
        <v>0</v>
      </c>
      <c r="AG64" s="2">
        <f>IF(AND(Games[[#This Row],[Type]]="P",Games[[#This Row],[Round]]=2),IF(Games[[#This Row],[Result]]&gt;0.5,1,0),0)</f>
        <v>0</v>
      </c>
      <c r="AH64" s="2">
        <f>IF(AND(Games[[#This Row],[Type]]="P",Games[[#This Row],[Round]]=2),IF(Games[[#This Row],[Result]]&lt;0.5,1,0),0)</f>
        <v>0</v>
      </c>
      <c r="AI64" s="2">
        <f>IF(AND(Games[[#This Row],[Type]]="P",Games[[#This Row],[Round]]=3),IF(Games[[#This Row],[Result]]&gt;0.5,1,0),0)</f>
        <v>0</v>
      </c>
      <c r="AJ64" s="2">
        <f>IF(AND(Games[[#This Row],[Type]]="P",Games[[#This Row],[Round]]=3),IF(Games[[#This Row],[Result]]&lt;0.5,1,0),0)</f>
        <v>0</v>
      </c>
      <c r="AK64" s="2">
        <f>IF(AND(Games[[#This Row],[Type]]="P",Games[[#This Row],[Round]]=4),IF(Games[[#This Row],[Result]]&gt;0.5,1,0),0)</f>
        <v>0</v>
      </c>
      <c r="AL64" s="2">
        <f>IF(AND(Games[[#This Row],[Type]]="P",Games[[#This Row],[Round]]=4),IF(Games[[#This Row],[Result]]&lt;0.5,1,0),0)</f>
        <v>0</v>
      </c>
    </row>
    <row r="65" spans="1:38" x14ac:dyDescent="0.35">
      <c r="A65" s="10">
        <v>37779</v>
      </c>
      <c r="B65" s="2">
        <v>2003</v>
      </c>
      <c r="C65" s="2">
        <f>COUNTIFS(Games[Team],Games[[#This Row],[Team]],Games[Season],Games[[#This Row],[Season]],Games[Date],"&lt;=" &amp; Games[[#This Row],[Date]])</f>
        <v>5</v>
      </c>
      <c r="D65" s="2" t="s">
        <v>23</v>
      </c>
      <c r="E65" s="2" t="s">
        <v>29</v>
      </c>
      <c r="F65" s="1" t="s">
        <v>87</v>
      </c>
      <c r="G65" s="1" t="s">
        <v>2</v>
      </c>
      <c r="H65" s="1" t="s">
        <v>15</v>
      </c>
      <c r="I65" s="2" cm="1">
        <f t="array" ref="I65">IFERROR(
    Games[[#This Row],[Date]]
    - LOOKUP(
        2,
        1/((Games[Team]=Games[[#This Row],[Team]]) * (Games[Date] &lt; Games[[#This Row],[Date]])),
        Games[Date]
    )
    - 1,
Games[[#This Row],[Date]]-$A$2)</f>
        <v>1</v>
      </c>
      <c r="J65" s="2" cm="1">
        <f t="array" ref="J65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65" s="2">
        <f>Games[[#This Row],[DaysOff]]-Games[[#This Row],[OppDaysOff]]</f>
        <v>1</v>
      </c>
      <c r="L65" s="2">
        <f>Games[[#This Row],[OppDaysOff]]-Games[[#This Row],[DaysOff]]</f>
        <v>-1</v>
      </c>
      <c r="M65" s="1">
        <f>MAX(-16, MIN(16, Games[[#This Row],[RestDiff]]*8))</f>
        <v>8</v>
      </c>
      <c r="N65" s="1">
        <f>MAX(-16, MIN(16, Games[[#This Row],[OppRestDiff]]*8))</f>
        <v>-8</v>
      </c>
      <c r="O65" s="4" cm="1">
        <f t="array" ref="O6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1511.642988979195</v>
      </c>
      <c r="P65" s="4" cm="1">
        <f t="array" ref="P6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1549.4418979105612</v>
      </c>
      <c r="Q65" s="4">
        <f>1/(1+10^(((Games[[#This Row],[OppPreGmRate]]+IF(Games[[#This Row],[HomeAway]]="A",HCA,0)+Games[[#This Row],[OppRestAdj]])-(Games[[#This Row],[PreGmRate]]+IF(Games[[#This Row],[HomeAway]]="H",HCA,0)+Games[[#This Row],[RestAdj]]))/400))</f>
        <v>0.58857031306967433</v>
      </c>
      <c r="R65" s="1">
        <v>65</v>
      </c>
      <c r="S65" s="1">
        <v>58</v>
      </c>
      <c r="T65" s="1">
        <v>0</v>
      </c>
      <c r="U65" s="1">
        <f>Games[[#This Row],[PointsFor]]-Games[[#This Row],[PointsAgainst]]</f>
        <v>7</v>
      </c>
      <c r="V65" s="1">
        <f>IF(Games[[#This Row],[MOV]]&gt;0,1,IF(Games[[#This Row],[MOV]]=0,0.5,0))</f>
        <v>1</v>
      </c>
      <c r="W65" s="4">
        <f>((ABS(Games[[#This Row],[MOV]])+5)^0.6)/(12+0.01*(ABS(Games[[#This Row],[PreGmRate]]-Games[[#This Row],[OppPreGmRate]])))*IF(Games[[#This Row],[OT]]=1,0.9,1)</f>
        <v>0.35880513690872073</v>
      </c>
      <c r="X65" s="7" cm="1">
        <f t="array" ref="X6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5" s="9">
        <f>MAX(kmin, kmax - 0.15 * MIN(Games[[#This Row],[GamesPlayed]], 82))</f>
        <v>75.25</v>
      </c>
      <c r="Z65" s="4">
        <f>Games[[#This Row],[K]]*Games[[#This Row],[POMult]]</f>
        <v>75.25</v>
      </c>
      <c r="AA65" s="4">
        <f>(Games[[#This Row],[Keff]]*Games[[#This Row],[MOVMult]])*(Games[[#This Row],[Result]]-Games[[#This Row],[ExpectedWin%]])</f>
        <v>11.108637157337908</v>
      </c>
      <c r="AB65" s="4">
        <f>Games[[#This Row],[PreGmRate]]+Games[[#This Row],[RatingChange]]</f>
        <v>1522.7516261365329</v>
      </c>
      <c r="AC65" s="2">
        <f>IF(Games[[#This Row],[Type]]="R",IF(Games[[#This Row],[Result]]&gt;0.5,1,0),0)</f>
        <v>1</v>
      </c>
      <c r="AD65" s="2">
        <f>IF(Games[[#This Row],[Type]]="R",IF(Games[[#This Row],[Result]]&lt;0.5,1,0),0)</f>
        <v>0</v>
      </c>
      <c r="AE65" s="2">
        <f>IF(AND(Games[[#This Row],[Type]]="P",Games[[#This Row],[Round]]=1),IF(Games[[#This Row],[Result]]&gt;0.5,1,0),0)</f>
        <v>0</v>
      </c>
      <c r="AF65" s="2">
        <f>IF(AND(Games[[#This Row],[Type]]="P",Games[[#This Row],[Round]]=1),IF(Games[[#This Row],[Result]]&lt;0.5,1,0),0)</f>
        <v>0</v>
      </c>
      <c r="AG65" s="2">
        <f>IF(AND(Games[[#This Row],[Type]]="P",Games[[#This Row],[Round]]=2),IF(Games[[#This Row],[Result]]&gt;0.5,1,0),0)</f>
        <v>0</v>
      </c>
      <c r="AH65" s="2">
        <f>IF(AND(Games[[#This Row],[Type]]="P",Games[[#This Row],[Round]]=2),IF(Games[[#This Row],[Result]]&lt;0.5,1,0),0)</f>
        <v>0</v>
      </c>
      <c r="AI65" s="2">
        <f>IF(AND(Games[[#This Row],[Type]]="P",Games[[#This Row],[Round]]=3),IF(Games[[#This Row],[Result]]&gt;0.5,1,0),0)</f>
        <v>0</v>
      </c>
      <c r="AJ65" s="2">
        <f>IF(AND(Games[[#This Row],[Type]]="P",Games[[#This Row],[Round]]=3),IF(Games[[#This Row],[Result]]&lt;0.5,1,0),0)</f>
        <v>0</v>
      </c>
      <c r="AK65" s="2">
        <f>IF(AND(Games[[#This Row],[Type]]="P",Games[[#This Row],[Round]]=4),IF(Games[[#This Row],[Result]]&gt;0.5,1,0),0)</f>
        <v>0</v>
      </c>
      <c r="AL65" s="2">
        <f>IF(AND(Games[[#This Row],[Type]]="P",Games[[#This Row],[Round]]=4),IF(Games[[#This Row],[Result]]&lt;0.5,1,0),0)</f>
        <v>0</v>
      </c>
    </row>
    <row r="66" spans="1:38" x14ac:dyDescent="0.35">
      <c r="A66" s="10">
        <v>37779</v>
      </c>
      <c r="B66" s="2">
        <v>2003</v>
      </c>
      <c r="C66" s="2">
        <f>COUNTIFS(Games[Team],Games[[#This Row],[Team]],Games[Season],Games[[#This Row],[Season]],Games[Date],"&lt;=" &amp; Games[[#This Row],[Date]])</f>
        <v>4</v>
      </c>
      <c r="D66" s="2" t="s">
        <v>23</v>
      </c>
      <c r="E66" s="2" t="s">
        <v>29</v>
      </c>
      <c r="F66" s="1" t="s">
        <v>66</v>
      </c>
      <c r="G66" s="1" t="s">
        <v>80</v>
      </c>
      <c r="H66" s="1" t="s">
        <v>16</v>
      </c>
      <c r="I66" s="2" cm="1">
        <f t="array" ref="I66">IFERROR(
    Games[[#This Row],[Date]]
    - LOOKUP(
        2,
        1/((Games[Team]=Games[[#This Row],[Team]]) * (Games[Date] &lt; Games[[#This Row],[Date]])),
        Games[Date]
    )
    - 1,
Games[[#This Row],[Date]]-$A$2)</f>
        <v>0</v>
      </c>
      <c r="J66" s="2" cm="1">
        <f t="array" ref="J66">IFERROR(
    Games[[#This Row],[Date]]
    - LOOKUP(
        2,
        1/((Games[Opponent]=Games[[#This Row],[Opponent]]) * (Games[Date] &lt; Games[[#This Row],[Date]])),
        Games[Date]
    )
    - 1,
Games[[#This Row],[Date]]-$A$2)</f>
        <v>6</v>
      </c>
      <c r="K66" s="2">
        <f>Games[[#This Row],[DaysOff]]-Games[[#This Row],[OppDaysOff]]</f>
        <v>-6</v>
      </c>
      <c r="L66" s="2">
        <f>Games[[#This Row],[OppDaysOff]]-Games[[#This Row],[DaysOff]]</f>
        <v>6</v>
      </c>
      <c r="M66" s="1">
        <f>MAX(-16, MIN(16, Games[[#This Row],[RestDiff]]*8))</f>
        <v>-16</v>
      </c>
      <c r="N66" s="1">
        <f>MAX(-16, MIN(16, Games[[#This Row],[OppRestDiff]]*8))</f>
        <v>16</v>
      </c>
      <c r="O66" s="4" cm="1">
        <f t="array" ref="O6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1527.1763999617237</v>
      </c>
      <c r="P66" s="4" cm="1">
        <f t="array" ref="P6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1491.95264806411</v>
      </c>
      <c r="Q66" s="4">
        <f>1/(1+10^(((Games[[#This Row],[OppPreGmRate]]+IF(Games[[#This Row],[HomeAway]]="A",HCA,0)+Games[[#This Row],[OppRestAdj]])-(Games[[#This Row],[PreGmRate]]+IF(Games[[#This Row],[HomeAway]]="H",HCA,0)+Games[[#This Row],[RestAdj]]))/400))</f>
        <v>0.38580380216113086</v>
      </c>
      <c r="R66" s="1">
        <v>66</v>
      </c>
      <c r="S66" s="1">
        <v>86</v>
      </c>
      <c r="T66" s="1">
        <v>0</v>
      </c>
      <c r="U66" s="1">
        <f>Games[[#This Row],[PointsFor]]-Games[[#This Row],[PointsAgainst]]</f>
        <v>-20</v>
      </c>
      <c r="V66" s="1">
        <f>IF(Games[[#This Row],[MOV]]&gt;0,1,IF(Games[[#This Row],[MOV]]=0,0.5,0))</f>
        <v>0</v>
      </c>
      <c r="W66" s="4">
        <f>((ABS(Games[[#This Row],[MOV]])+5)^0.6)/(12+0.01*(ABS(Games[[#This Row],[PreGmRate]]-Games[[#This Row],[OppPreGmRate]])))*IF(Games[[#This Row],[OT]]=1,0.9,1)</f>
        <v>0.55849381917308649</v>
      </c>
      <c r="X66" s="7" cm="1">
        <f t="array" ref="X6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6" s="9">
        <f>MAX(kmin, kmax - 0.15 * MIN(Games[[#This Row],[GamesPlayed]], 82))</f>
        <v>75.400000000000006</v>
      </c>
      <c r="Z66" s="4">
        <f>Games[[#This Row],[K]]*Games[[#This Row],[POMult]]</f>
        <v>75.400000000000006</v>
      </c>
      <c r="AA66" s="4">
        <f>(Games[[#This Row],[Keff]]*Games[[#This Row],[MOVMult]])*(Games[[#This Row],[Result]]-Games[[#This Row],[ExpectedWin%]])</f>
        <v>-16.246365534603278</v>
      </c>
      <c r="AB66" s="4">
        <f>Games[[#This Row],[PreGmRate]]+Games[[#This Row],[RatingChange]]</f>
        <v>1510.9300344271205</v>
      </c>
      <c r="AC66" s="2">
        <f>IF(Games[[#This Row],[Type]]="R",IF(Games[[#This Row],[Result]]&gt;0.5,1,0),0)</f>
        <v>0</v>
      </c>
      <c r="AD66" s="2">
        <f>IF(Games[[#This Row],[Type]]="R",IF(Games[[#This Row],[Result]]&lt;0.5,1,0),0)</f>
        <v>1</v>
      </c>
      <c r="AE66" s="2">
        <f>IF(AND(Games[[#This Row],[Type]]="P",Games[[#This Row],[Round]]=1),IF(Games[[#This Row],[Result]]&gt;0.5,1,0),0)</f>
        <v>0</v>
      </c>
      <c r="AF66" s="2">
        <f>IF(AND(Games[[#This Row],[Type]]="P",Games[[#This Row],[Round]]=1),IF(Games[[#This Row],[Result]]&lt;0.5,1,0),0)</f>
        <v>0</v>
      </c>
      <c r="AG66" s="2">
        <f>IF(AND(Games[[#This Row],[Type]]="P",Games[[#This Row],[Round]]=2),IF(Games[[#This Row],[Result]]&gt;0.5,1,0),0)</f>
        <v>0</v>
      </c>
      <c r="AH66" s="2">
        <f>IF(AND(Games[[#This Row],[Type]]="P",Games[[#This Row],[Round]]=2),IF(Games[[#This Row],[Result]]&lt;0.5,1,0),0)</f>
        <v>0</v>
      </c>
      <c r="AI66" s="2">
        <f>IF(AND(Games[[#This Row],[Type]]="P",Games[[#This Row],[Round]]=3),IF(Games[[#This Row],[Result]]&gt;0.5,1,0),0)</f>
        <v>0</v>
      </c>
      <c r="AJ66" s="2">
        <f>IF(AND(Games[[#This Row],[Type]]="P",Games[[#This Row],[Round]]=3),IF(Games[[#This Row],[Result]]&lt;0.5,1,0),0)</f>
        <v>0</v>
      </c>
      <c r="AK66" s="2">
        <f>IF(AND(Games[[#This Row],[Type]]="P",Games[[#This Row],[Round]]=4),IF(Games[[#This Row],[Result]]&gt;0.5,1,0),0)</f>
        <v>0</v>
      </c>
      <c r="AL66" s="2">
        <f>IF(AND(Games[[#This Row],[Type]]="P",Games[[#This Row],[Round]]=4),IF(Games[[#This Row],[Result]]&lt;0.5,1,0),0)</f>
        <v>0</v>
      </c>
    </row>
    <row r="67" spans="1:38" x14ac:dyDescent="0.35">
      <c r="A67" s="10">
        <v>37779</v>
      </c>
      <c r="B67" s="2">
        <v>2003</v>
      </c>
      <c r="C67" s="2">
        <f>COUNTIFS(Games[Team],Games[[#This Row],[Team]],Games[Season],Games[[#This Row],[Season]],Games[Date],"&lt;=" &amp; Games[[#This Row],[Date]])</f>
        <v>3</v>
      </c>
      <c r="D67" s="2" t="s">
        <v>23</v>
      </c>
      <c r="E67" s="2" t="s">
        <v>29</v>
      </c>
      <c r="F67" s="1" t="s">
        <v>80</v>
      </c>
      <c r="G67" s="1" t="s">
        <v>66</v>
      </c>
      <c r="H67" s="1" t="s">
        <v>15</v>
      </c>
      <c r="I67" s="2" cm="1">
        <f t="array" ref="I67">IFERROR(
    Games[[#This Row],[Date]]
    - LOOKUP(
        2,
        1/((Games[Team]=Games[[#This Row],[Team]]) * (Games[Date] &lt; Games[[#This Row],[Date]])),
        Games[Date]
    )
    - 1,
Games[[#This Row],[Date]]-$A$2)</f>
        <v>6</v>
      </c>
      <c r="J67" s="2" cm="1">
        <f t="array" ref="J67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67" s="2">
        <f>Games[[#This Row],[DaysOff]]-Games[[#This Row],[OppDaysOff]]</f>
        <v>6</v>
      </c>
      <c r="L67" s="2">
        <f>Games[[#This Row],[OppDaysOff]]-Games[[#This Row],[DaysOff]]</f>
        <v>-6</v>
      </c>
      <c r="M67" s="1">
        <f>MAX(-16, MIN(16, Games[[#This Row],[RestDiff]]*8))</f>
        <v>16</v>
      </c>
      <c r="N67" s="1">
        <f>MAX(-16, MIN(16, Games[[#This Row],[OppRestDiff]]*8))</f>
        <v>-16</v>
      </c>
      <c r="O67" s="4" cm="1">
        <f t="array" ref="O6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1491.95264806411</v>
      </c>
      <c r="P67" s="4" cm="1">
        <f t="array" ref="P6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1527.1763999617237</v>
      </c>
      <c r="Q67" s="4">
        <f>1/(1+10^(((Games[[#This Row],[OppPreGmRate]]+IF(Games[[#This Row],[HomeAway]]="A",HCA,0)+Games[[#This Row],[OppRestAdj]])-(Games[[#This Row],[PreGmRate]]+IF(Games[[#This Row],[HomeAway]]="H",HCA,0)+Games[[#This Row],[RestAdj]]))/400))</f>
        <v>0.61419619783886914</v>
      </c>
      <c r="R67" s="1">
        <v>86</v>
      </c>
      <c r="S67" s="1">
        <v>66</v>
      </c>
      <c r="T67" s="1">
        <v>0</v>
      </c>
      <c r="U67" s="1">
        <f>Games[[#This Row],[PointsFor]]-Games[[#This Row],[PointsAgainst]]</f>
        <v>20</v>
      </c>
      <c r="V67" s="1">
        <f>IF(Games[[#This Row],[MOV]]&gt;0,1,IF(Games[[#This Row],[MOV]]=0,0.5,0))</f>
        <v>1</v>
      </c>
      <c r="W67" s="4">
        <f>((ABS(Games[[#This Row],[MOV]])+5)^0.6)/(12+0.01*(ABS(Games[[#This Row],[PreGmRate]]-Games[[#This Row],[OppPreGmRate]])))*IF(Games[[#This Row],[OT]]=1,0.9,1)</f>
        <v>0.55849381917308649</v>
      </c>
      <c r="X67" s="7" cm="1">
        <f t="array" ref="X6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7" s="9">
        <f>MAX(kmin, kmax - 0.15 * MIN(Games[[#This Row],[GamesPlayed]], 82))</f>
        <v>75.55</v>
      </c>
      <c r="Z67" s="4">
        <f>Games[[#This Row],[K]]*Games[[#This Row],[POMult]]</f>
        <v>75.55</v>
      </c>
      <c r="AA67" s="4">
        <f>(Games[[#This Row],[Keff]]*Games[[#This Row],[MOVMult]])*(Games[[#This Row],[Result]]-Games[[#This Row],[ExpectedWin%]])</f>
        <v>16.278685890441345</v>
      </c>
      <c r="AB67" s="4">
        <f>Games[[#This Row],[PreGmRate]]+Games[[#This Row],[RatingChange]]</f>
        <v>1508.2313339545512</v>
      </c>
      <c r="AC67" s="2">
        <f>IF(Games[[#This Row],[Type]]="R",IF(Games[[#This Row],[Result]]&gt;0.5,1,0),0)</f>
        <v>1</v>
      </c>
      <c r="AD67" s="2">
        <f>IF(Games[[#This Row],[Type]]="R",IF(Games[[#This Row],[Result]]&lt;0.5,1,0),0)</f>
        <v>0</v>
      </c>
      <c r="AE67" s="2">
        <f>IF(AND(Games[[#This Row],[Type]]="P",Games[[#This Row],[Round]]=1),IF(Games[[#This Row],[Result]]&gt;0.5,1,0),0)</f>
        <v>0</v>
      </c>
      <c r="AF67" s="2">
        <f>IF(AND(Games[[#This Row],[Type]]="P",Games[[#This Row],[Round]]=1),IF(Games[[#This Row],[Result]]&lt;0.5,1,0),0)</f>
        <v>0</v>
      </c>
      <c r="AG67" s="2">
        <f>IF(AND(Games[[#This Row],[Type]]="P",Games[[#This Row],[Round]]=2),IF(Games[[#This Row],[Result]]&gt;0.5,1,0),0)</f>
        <v>0</v>
      </c>
      <c r="AH67" s="2">
        <f>IF(AND(Games[[#This Row],[Type]]="P",Games[[#This Row],[Round]]=2),IF(Games[[#This Row],[Result]]&lt;0.5,1,0),0)</f>
        <v>0</v>
      </c>
      <c r="AI67" s="2">
        <f>IF(AND(Games[[#This Row],[Type]]="P",Games[[#This Row],[Round]]=3),IF(Games[[#This Row],[Result]]&gt;0.5,1,0),0)</f>
        <v>0</v>
      </c>
      <c r="AJ67" s="2">
        <f>IF(AND(Games[[#This Row],[Type]]="P",Games[[#This Row],[Round]]=3),IF(Games[[#This Row],[Result]]&lt;0.5,1,0),0)</f>
        <v>0</v>
      </c>
      <c r="AK67" s="2">
        <f>IF(AND(Games[[#This Row],[Type]]="P",Games[[#This Row],[Round]]=4),IF(Games[[#This Row],[Result]]&gt;0.5,1,0),0)</f>
        <v>0</v>
      </c>
      <c r="AL67" s="2">
        <f>IF(AND(Games[[#This Row],[Type]]="P",Games[[#This Row],[Round]]=4),IF(Games[[#This Row],[Result]]&lt;0.5,1,0),0)</f>
        <v>0</v>
      </c>
    </row>
    <row r="68" spans="1:38" x14ac:dyDescent="0.35">
      <c r="A68" s="10">
        <v>37779</v>
      </c>
      <c r="B68" s="2">
        <v>2003</v>
      </c>
      <c r="C68" s="2">
        <f>COUNTIFS(Games[Team],Games[[#This Row],[Team]],Games[Season],Games[[#This Row],[Season]],Games[Date],"&lt;=" &amp; Games[[#This Row],[Date]])</f>
        <v>6</v>
      </c>
      <c r="D68" s="2" t="s">
        <v>23</v>
      </c>
      <c r="E68" s="2" t="s">
        <v>29</v>
      </c>
      <c r="F68" s="1" t="s">
        <v>71</v>
      </c>
      <c r="G68" s="1" t="s">
        <v>45</v>
      </c>
      <c r="H68" s="1" t="s">
        <v>16</v>
      </c>
      <c r="I68" s="2" cm="1">
        <f t="array" ref="I68">IFERROR(
    Games[[#This Row],[Date]]
    - LOOKUP(
        2,
        1/((Games[Team]=Games[[#This Row],[Team]]) * (Games[Date] &lt; Games[[#This Row],[Date]])),
        Games[Date]
    )
    - 1,
Games[[#This Row],[Date]]-$A$2)</f>
        <v>1</v>
      </c>
      <c r="J68" s="2" cm="1">
        <f t="array" ref="J6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68" s="2">
        <f>Games[[#This Row],[DaysOff]]-Games[[#This Row],[OppDaysOff]]</f>
        <v>0</v>
      </c>
      <c r="L68" s="2">
        <f>Games[[#This Row],[OppDaysOff]]-Games[[#This Row],[DaysOff]]</f>
        <v>0</v>
      </c>
      <c r="M68" s="1">
        <f>MAX(-16, MIN(16, Games[[#This Row],[RestDiff]]*8))</f>
        <v>0</v>
      </c>
      <c r="N68" s="1">
        <f>MAX(-16, MIN(16, Games[[#This Row],[OppRestDiff]]*8))</f>
        <v>0</v>
      </c>
      <c r="O68" s="4" cm="1">
        <f t="array" ref="O6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1664.3992346085765</v>
      </c>
      <c r="P68" s="4" cm="1">
        <f t="array" ref="P6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1507.3869581371355</v>
      </c>
      <c r="Q68" s="4">
        <f>1/(1+10^(((Games[[#This Row],[OppPreGmRate]]+IF(Games[[#This Row],[HomeAway]]="A",HCA,0)+Games[[#This Row],[OppRestAdj]])-(Games[[#This Row],[PreGmRate]]+IF(Games[[#This Row],[HomeAway]]="H",HCA,0)+Games[[#This Row],[RestAdj]]))/400))</f>
        <v>0.60355322810911805</v>
      </c>
      <c r="R68" s="1">
        <v>79</v>
      </c>
      <c r="S68" s="1">
        <v>61</v>
      </c>
      <c r="T68" s="1">
        <v>0</v>
      </c>
      <c r="U68" s="1">
        <f>Games[[#This Row],[PointsFor]]-Games[[#This Row],[PointsAgainst]]</f>
        <v>18</v>
      </c>
      <c r="V68" s="1">
        <f>IF(Games[[#This Row],[MOV]]&gt;0,1,IF(Games[[#This Row],[MOV]]=0,0.5,0))</f>
        <v>1</v>
      </c>
      <c r="W68" s="4">
        <f>((ABS(Games[[#This Row],[MOV]])+5)^0.6)/(12+0.01*(ABS(Games[[#This Row],[PreGmRate]]-Games[[#This Row],[OppPreGmRate]])))*IF(Games[[#This Row],[OT]]=1,0.9,1)</f>
        <v>0.48356284606198663</v>
      </c>
      <c r="X68" s="7" cm="1">
        <f t="array" ref="X6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8" s="9">
        <f>MAX(kmin, kmax - 0.15 * MIN(Games[[#This Row],[GamesPlayed]], 82))</f>
        <v>75.099999999999994</v>
      </c>
      <c r="Z68" s="4">
        <f>Games[[#This Row],[K]]*Games[[#This Row],[POMult]]</f>
        <v>75.099999999999994</v>
      </c>
      <c r="AA68" s="4">
        <f>(Games[[#This Row],[Keff]]*Games[[#This Row],[MOVMult]])*(Games[[#This Row],[Result]]-Games[[#This Row],[ExpectedWin%]])</f>
        <v>14.397190392505919</v>
      </c>
      <c r="AB68" s="4">
        <f>Games[[#This Row],[PreGmRate]]+Games[[#This Row],[RatingChange]]</f>
        <v>1678.7964250010825</v>
      </c>
      <c r="AC68" s="2">
        <f>IF(Games[[#This Row],[Type]]="R",IF(Games[[#This Row],[Result]]&gt;0.5,1,0),0)</f>
        <v>1</v>
      </c>
      <c r="AD68" s="2">
        <f>IF(Games[[#This Row],[Type]]="R",IF(Games[[#This Row],[Result]]&lt;0.5,1,0),0)</f>
        <v>0</v>
      </c>
      <c r="AE68" s="2">
        <f>IF(AND(Games[[#This Row],[Type]]="P",Games[[#This Row],[Round]]=1),IF(Games[[#This Row],[Result]]&gt;0.5,1,0),0)</f>
        <v>0</v>
      </c>
      <c r="AF68" s="2">
        <f>IF(AND(Games[[#This Row],[Type]]="P",Games[[#This Row],[Round]]=1),IF(Games[[#This Row],[Result]]&lt;0.5,1,0),0)</f>
        <v>0</v>
      </c>
      <c r="AG68" s="2">
        <f>IF(AND(Games[[#This Row],[Type]]="P",Games[[#This Row],[Round]]=2),IF(Games[[#This Row],[Result]]&gt;0.5,1,0),0)</f>
        <v>0</v>
      </c>
      <c r="AH68" s="2">
        <f>IF(AND(Games[[#This Row],[Type]]="P",Games[[#This Row],[Round]]=2),IF(Games[[#This Row],[Result]]&lt;0.5,1,0),0)</f>
        <v>0</v>
      </c>
      <c r="AI68" s="2">
        <f>IF(AND(Games[[#This Row],[Type]]="P",Games[[#This Row],[Round]]=3),IF(Games[[#This Row],[Result]]&gt;0.5,1,0),0)</f>
        <v>0</v>
      </c>
      <c r="AJ68" s="2">
        <f>IF(AND(Games[[#This Row],[Type]]="P",Games[[#This Row],[Round]]=3),IF(Games[[#This Row],[Result]]&lt;0.5,1,0),0)</f>
        <v>0</v>
      </c>
      <c r="AK68" s="2">
        <f>IF(AND(Games[[#This Row],[Type]]="P",Games[[#This Row],[Round]]=4),IF(Games[[#This Row],[Result]]&gt;0.5,1,0),0)</f>
        <v>0</v>
      </c>
      <c r="AL68" s="2">
        <f>IF(AND(Games[[#This Row],[Type]]="P",Games[[#This Row],[Round]]=4),IF(Games[[#This Row],[Result]]&lt;0.5,1,0),0)</f>
        <v>0</v>
      </c>
    </row>
    <row r="69" spans="1:38" x14ac:dyDescent="0.35">
      <c r="A69" s="10">
        <v>37779</v>
      </c>
      <c r="B69" s="2">
        <v>2003</v>
      </c>
      <c r="C69" s="2">
        <f>COUNTIFS(Games[Team],Games[[#This Row],[Team]],Games[Season],Games[[#This Row],[Season]],Games[Date],"&lt;=" &amp; Games[[#This Row],[Date]])</f>
        <v>6</v>
      </c>
      <c r="D69" s="2" t="s">
        <v>23</v>
      </c>
      <c r="E69" s="2" t="s">
        <v>29</v>
      </c>
      <c r="F69" s="1" t="s">
        <v>45</v>
      </c>
      <c r="G69" s="1" t="s">
        <v>71</v>
      </c>
      <c r="H69" s="1" t="s">
        <v>15</v>
      </c>
      <c r="I69" s="2" cm="1">
        <f t="array" ref="I69">IFERROR(
    Games[[#This Row],[Date]]
    - LOOKUP(
        2,
        1/((Games[Team]=Games[[#This Row],[Team]]) * (Games[Date] &lt; Games[[#This Row],[Date]])),
        Games[Date]
    )
    - 1,
Games[[#This Row],[Date]]-$A$2)</f>
        <v>1</v>
      </c>
      <c r="J69" s="2" cm="1">
        <f t="array" ref="J6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69" s="2">
        <f>Games[[#This Row],[DaysOff]]-Games[[#This Row],[OppDaysOff]]</f>
        <v>0</v>
      </c>
      <c r="L69" s="2">
        <f>Games[[#This Row],[OppDaysOff]]-Games[[#This Row],[DaysOff]]</f>
        <v>0</v>
      </c>
      <c r="M69" s="1">
        <f>MAX(-16, MIN(16, Games[[#This Row],[RestDiff]]*8))</f>
        <v>0</v>
      </c>
      <c r="N69" s="1">
        <f>MAX(-16, MIN(16, Games[[#This Row],[OppRestDiff]]*8))</f>
        <v>0</v>
      </c>
      <c r="O69" s="4" cm="1">
        <f t="array" ref="O6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1507.3869581371355</v>
      </c>
      <c r="P69" s="4" cm="1">
        <f t="array" ref="P6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1664.3992346085765</v>
      </c>
      <c r="Q69" s="4">
        <f>1/(1+10^(((Games[[#This Row],[OppPreGmRate]]+IF(Games[[#This Row],[HomeAway]]="A",HCA,0)+Games[[#This Row],[OppRestAdj]])-(Games[[#This Row],[PreGmRate]]+IF(Games[[#This Row],[HomeAway]]="H",HCA,0)+Games[[#This Row],[RestAdj]]))/400))</f>
        <v>0.39644677189088195</v>
      </c>
      <c r="R69" s="1">
        <v>61</v>
      </c>
      <c r="S69" s="1">
        <v>79</v>
      </c>
      <c r="T69" s="1">
        <v>0</v>
      </c>
      <c r="U69" s="1">
        <f>Games[[#This Row],[PointsFor]]-Games[[#This Row],[PointsAgainst]]</f>
        <v>-18</v>
      </c>
      <c r="V69" s="1">
        <f>IF(Games[[#This Row],[MOV]]&gt;0,1,IF(Games[[#This Row],[MOV]]=0,0.5,0))</f>
        <v>0</v>
      </c>
      <c r="W69" s="4">
        <f>((ABS(Games[[#This Row],[MOV]])+5)^0.6)/(12+0.01*(ABS(Games[[#This Row],[PreGmRate]]-Games[[#This Row],[OppPreGmRate]])))*IF(Games[[#This Row],[OT]]=1,0.9,1)</f>
        <v>0.48356284606198663</v>
      </c>
      <c r="X69" s="7" cm="1">
        <f t="array" ref="X6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9" s="9">
        <f>MAX(kmin, kmax - 0.15 * MIN(Games[[#This Row],[GamesPlayed]], 82))</f>
        <v>75.099999999999994</v>
      </c>
      <c r="Z69" s="4">
        <f>Games[[#This Row],[K]]*Games[[#This Row],[POMult]]</f>
        <v>75.099999999999994</v>
      </c>
      <c r="AA69" s="4">
        <f>(Games[[#This Row],[Keff]]*Games[[#This Row],[MOVMult]])*(Games[[#This Row],[Result]]-Games[[#This Row],[ExpectedWin%]])</f>
        <v>-14.397190392505919</v>
      </c>
      <c r="AB69" s="4">
        <f>Games[[#This Row],[PreGmRate]]+Games[[#This Row],[RatingChange]]</f>
        <v>1492.9897677446295</v>
      </c>
      <c r="AC69" s="2">
        <f>IF(Games[[#This Row],[Type]]="R",IF(Games[[#This Row],[Result]]&gt;0.5,1,0),0)</f>
        <v>0</v>
      </c>
      <c r="AD69" s="2">
        <f>IF(Games[[#This Row],[Type]]="R",IF(Games[[#This Row],[Result]]&lt;0.5,1,0),0)</f>
        <v>1</v>
      </c>
      <c r="AE69" s="2">
        <f>IF(AND(Games[[#This Row],[Type]]="P",Games[[#This Row],[Round]]=1),IF(Games[[#This Row],[Result]]&gt;0.5,1,0),0)</f>
        <v>0</v>
      </c>
      <c r="AF69" s="2">
        <f>IF(AND(Games[[#This Row],[Type]]="P",Games[[#This Row],[Round]]=1),IF(Games[[#This Row],[Result]]&lt;0.5,1,0),0)</f>
        <v>0</v>
      </c>
      <c r="AG69" s="2">
        <f>IF(AND(Games[[#This Row],[Type]]="P",Games[[#This Row],[Round]]=2),IF(Games[[#This Row],[Result]]&gt;0.5,1,0),0)</f>
        <v>0</v>
      </c>
      <c r="AH69" s="2">
        <f>IF(AND(Games[[#This Row],[Type]]="P",Games[[#This Row],[Round]]=2),IF(Games[[#This Row],[Result]]&lt;0.5,1,0),0)</f>
        <v>0</v>
      </c>
      <c r="AI69" s="2">
        <f>IF(AND(Games[[#This Row],[Type]]="P",Games[[#This Row],[Round]]=3),IF(Games[[#This Row],[Result]]&gt;0.5,1,0),0)</f>
        <v>0</v>
      </c>
      <c r="AJ69" s="2">
        <f>IF(AND(Games[[#This Row],[Type]]="P",Games[[#This Row],[Round]]=3),IF(Games[[#This Row],[Result]]&lt;0.5,1,0),0)</f>
        <v>0</v>
      </c>
      <c r="AK69" s="2">
        <f>IF(AND(Games[[#This Row],[Type]]="P",Games[[#This Row],[Round]]=4),IF(Games[[#This Row],[Result]]&gt;0.5,1,0),0)</f>
        <v>0</v>
      </c>
      <c r="AL69" s="2">
        <f>IF(AND(Games[[#This Row],[Type]]="P",Games[[#This Row],[Round]]=4),IF(Games[[#This Row],[Result]]&lt;0.5,1,0),0)</f>
        <v>0</v>
      </c>
    </row>
    <row r="70" spans="1:38" x14ac:dyDescent="0.35">
      <c r="A70" s="10">
        <v>37779</v>
      </c>
      <c r="B70" s="2">
        <v>2003</v>
      </c>
      <c r="C70" s="2">
        <f>COUNTIFS(Games[Team],Games[[#This Row],[Team]],Games[Season],Games[[#This Row],[Season]],Games[Date],"&lt;=" &amp; Games[[#This Row],[Date]])</f>
        <v>3</v>
      </c>
      <c r="D70" s="2" t="s">
        <v>23</v>
      </c>
      <c r="E70" s="2" t="s">
        <v>29</v>
      </c>
      <c r="F70" s="1" t="s">
        <v>76</v>
      </c>
      <c r="G70" s="1" t="s">
        <v>85</v>
      </c>
      <c r="H70" s="1" t="s">
        <v>16</v>
      </c>
      <c r="I70" s="2" cm="1">
        <f t="array" ref="I70">IFERROR(
    Games[[#This Row],[Date]]
    - LOOKUP(
        2,
        1/((Games[Team]=Games[[#This Row],[Team]]) * (Games[Date] &lt; Games[[#This Row],[Date]])),
        Games[Date]
    )
    - 1,
Games[[#This Row],[Date]]-$A$2)</f>
        <v>1</v>
      </c>
      <c r="J70" s="2" cm="1">
        <f t="array" ref="J7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70" s="2">
        <f>Games[[#This Row],[DaysOff]]-Games[[#This Row],[OppDaysOff]]</f>
        <v>0</v>
      </c>
      <c r="L70" s="2">
        <f>Games[[#This Row],[OppDaysOff]]-Games[[#This Row],[DaysOff]]</f>
        <v>0</v>
      </c>
      <c r="M70" s="1">
        <f>MAX(-16, MIN(16, Games[[#This Row],[RestDiff]]*8))</f>
        <v>0</v>
      </c>
      <c r="N70" s="1">
        <f>MAX(-16, MIN(16, Games[[#This Row],[OppRestDiff]]*8))</f>
        <v>0</v>
      </c>
      <c r="O70" s="4" cm="1">
        <f t="array" ref="O7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1446.1926287810352</v>
      </c>
      <c r="P70" s="4" cm="1">
        <f t="array" ref="P7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1484.4394870727529</v>
      </c>
      <c r="Q70" s="4">
        <f>1/(1+10^(((Games[[#This Row],[OppPreGmRate]]+IF(Games[[#This Row],[HomeAway]]="A",HCA,0)+Games[[#This Row],[OppRestAdj]])-(Games[[#This Row],[PreGmRate]]+IF(Games[[#This Row],[HomeAway]]="H",HCA,0)+Games[[#This Row],[RestAdj]]))/400))</f>
        <v>0.33099030122771983</v>
      </c>
      <c r="R70" s="1">
        <v>74</v>
      </c>
      <c r="S70" s="1">
        <v>55</v>
      </c>
      <c r="T70" s="1">
        <v>0</v>
      </c>
      <c r="U70" s="1">
        <f>Games[[#This Row],[PointsFor]]-Games[[#This Row],[PointsAgainst]]</f>
        <v>19</v>
      </c>
      <c r="V70" s="1">
        <f>IF(Games[[#This Row],[MOV]]&gt;0,1,IF(Games[[#This Row],[MOV]]=0,0.5,0))</f>
        <v>1</v>
      </c>
      <c r="W70" s="4">
        <f>((ABS(Games[[#This Row],[MOV]])+5)^0.6)/(12+0.01*(ABS(Games[[#This Row],[PreGmRate]]-Games[[#This Row],[OppPreGmRate]])))*IF(Games[[#This Row],[OT]]=1,0.9,1)</f>
        <v>0.54365014759369357</v>
      </c>
      <c r="X70" s="7" cm="1">
        <f t="array" ref="X7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0" s="9">
        <f>MAX(kmin, kmax - 0.15 * MIN(Games[[#This Row],[GamesPlayed]], 82))</f>
        <v>75.55</v>
      </c>
      <c r="Z70" s="4">
        <f>Games[[#This Row],[K]]*Games[[#This Row],[POMult]]</f>
        <v>75.55</v>
      </c>
      <c r="AA70" s="4">
        <f>(Games[[#This Row],[Keff]]*Games[[#This Row],[MOVMult]])*(Games[[#This Row],[Result]]-Games[[#This Row],[ExpectedWin%]])</f>
        <v>27.478080582750732</v>
      </c>
      <c r="AB70" s="4">
        <f>Games[[#This Row],[PreGmRate]]+Games[[#This Row],[RatingChange]]</f>
        <v>1473.6707093637858</v>
      </c>
      <c r="AC70" s="2">
        <f>IF(Games[[#This Row],[Type]]="R",IF(Games[[#This Row],[Result]]&gt;0.5,1,0),0)</f>
        <v>1</v>
      </c>
      <c r="AD70" s="2">
        <f>IF(Games[[#This Row],[Type]]="R",IF(Games[[#This Row],[Result]]&lt;0.5,1,0),0)</f>
        <v>0</v>
      </c>
      <c r="AE70" s="2">
        <f>IF(AND(Games[[#This Row],[Type]]="P",Games[[#This Row],[Round]]=1),IF(Games[[#This Row],[Result]]&gt;0.5,1,0),0)</f>
        <v>0</v>
      </c>
      <c r="AF70" s="2">
        <f>IF(AND(Games[[#This Row],[Type]]="P",Games[[#This Row],[Round]]=1),IF(Games[[#This Row],[Result]]&lt;0.5,1,0),0)</f>
        <v>0</v>
      </c>
      <c r="AG70" s="2">
        <f>IF(AND(Games[[#This Row],[Type]]="P",Games[[#This Row],[Round]]=2),IF(Games[[#This Row],[Result]]&gt;0.5,1,0),0)</f>
        <v>0</v>
      </c>
      <c r="AH70" s="2">
        <f>IF(AND(Games[[#This Row],[Type]]="P",Games[[#This Row],[Round]]=2),IF(Games[[#This Row],[Result]]&lt;0.5,1,0),0)</f>
        <v>0</v>
      </c>
      <c r="AI70" s="2">
        <f>IF(AND(Games[[#This Row],[Type]]="P",Games[[#This Row],[Round]]=3),IF(Games[[#This Row],[Result]]&gt;0.5,1,0),0)</f>
        <v>0</v>
      </c>
      <c r="AJ70" s="2">
        <f>IF(AND(Games[[#This Row],[Type]]="P",Games[[#This Row],[Round]]=3),IF(Games[[#This Row],[Result]]&lt;0.5,1,0),0)</f>
        <v>0</v>
      </c>
      <c r="AK70" s="2">
        <f>IF(AND(Games[[#This Row],[Type]]="P",Games[[#This Row],[Round]]=4),IF(Games[[#This Row],[Result]]&gt;0.5,1,0),0)</f>
        <v>0</v>
      </c>
      <c r="AL70" s="2">
        <f>IF(AND(Games[[#This Row],[Type]]="P",Games[[#This Row],[Round]]=4),IF(Games[[#This Row],[Result]]&lt;0.5,1,0),0)</f>
        <v>0</v>
      </c>
    </row>
    <row r="71" spans="1:38" x14ac:dyDescent="0.35">
      <c r="A71" s="10">
        <v>37779</v>
      </c>
      <c r="B71" s="2">
        <v>2003</v>
      </c>
      <c r="C71" s="2">
        <f>COUNTIFS(Games[Team],Games[[#This Row],[Team]],Games[Season],Games[[#This Row],[Season]],Games[Date],"&lt;=" &amp; Games[[#This Row],[Date]])</f>
        <v>7</v>
      </c>
      <c r="D71" s="2" t="s">
        <v>23</v>
      </c>
      <c r="E71" s="2" t="s">
        <v>29</v>
      </c>
      <c r="F71" s="1" t="s">
        <v>85</v>
      </c>
      <c r="G71" s="1" t="s">
        <v>76</v>
      </c>
      <c r="H71" s="1" t="s">
        <v>15</v>
      </c>
      <c r="I71" s="2" cm="1">
        <f t="array" ref="I71">IFERROR(
    Games[[#This Row],[Date]]
    - LOOKUP(
        2,
        1/((Games[Team]=Games[[#This Row],[Team]]) * (Games[Date] &lt; Games[[#This Row],[Date]])),
        Games[Date]
    )
    - 1,
Games[[#This Row],[Date]]-$A$2)</f>
        <v>1</v>
      </c>
      <c r="J71" s="2" cm="1">
        <f t="array" ref="J7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71" s="2">
        <f>Games[[#This Row],[DaysOff]]-Games[[#This Row],[OppDaysOff]]</f>
        <v>0</v>
      </c>
      <c r="L71" s="2">
        <f>Games[[#This Row],[OppDaysOff]]-Games[[#This Row],[DaysOff]]</f>
        <v>0</v>
      </c>
      <c r="M71" s="1">
        <f>MAX(-16, MIN(16, Games[[#This Row],[RestDiff]]*8))</f>
        <v>0</v>
      </c>
      <c r="N71" s="1">
        <f>MAX(-16, MIN(16, Games[[#This Row],[OppRestDiff]]*8))</f>
        <v>0</v>
      </c>
      <c r="O71" s="4" cm="1">
        <f t="array" ref="O7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1484.4394870727529</v>
      </c>
      <c r="P71" s="4" cm="1">
        <f t="array" ref="P7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1446.1926287810352</v>
      </c>
      <c r="Q71" s="4">
        <f>1/(1+10^(((Games[[#This Row],[OppPreGmRate]]+IF(Games[[#This Row],[HomeAway]]="A",HCA,0)+Games[[#This Row],[OppRestAdj]])-(Games[[#This Row],[PreGmRate]]+IF(Games[[#This Row],[HomeAway]]="H",HCA,0)+Games[[#This Row],[RestAdj]]))/400))</f>
        <v>0.66900969877228011</v>
      </c>
      <c r="R71" s="1">
        <v>55</v>
      </c>
      <c r="S71" s="1">
        <v>74</v>
      </c>
      <c r="T71" s="1">
        <v>0</v>
      </c>
      <c r="U71" s="1">
        <f>Games[[#This Row],[PointsFor]]-Games[[#This Row],[PointsAgainst]]</f>
        <v>-19</v>
      </c>
      <c r="V71" s="1">
        <f>IF(Games[[#This Row],[MOV]]&gt;0,1,IF(Games[[#This Row],[MOV]]=0,0.5,0))</f>
        <v>0</v>
      </c>
      <c r="W71" s="4">
        <f>((ABS(Games[[#This Row],[MOV]])+5)^0.6)/(12+0.01*(ABS(Games[[#This Row],[PreGmRate]]-Games[[#This Row],[OppPreGmRate]])))*IF(Games[[#This Row],[OT]]=1,0.9,1)</f>
        <v>0.54365014759369357</v>
      </c>
      <c r="X71" s="7" cm="1">
        <f t="array" ref="X7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1" s="9">
        <f>MAX(kmin, kmax - 0.15 * MIN(Games[[#This Row],[GamesPlayed]], 82))</f>
        <v>74.95</v>
      </c>
      <c r="Z71" s="4">
        <f>Games[[#This Row],[K]]*Games[[#This Row],[POMult]]</f>
        <v>74.95</v>
      </c>
      <c r="AA71" s="4">
        <f>(Games[[#This Row],[Keff]]*Games[[#This Row],[MOVMult]])*(Games[[#This Row],[Result]]-Games[[#This Row],[ExpectedWin%]])</f>
        <v>-27.259856249863233</v>
      </c>
      <c r="AB71" s="4">
        <f>Games[[#This Row],[PreGmRate]]+Games[[#This Row],[RatingChange]]</f>
        <v>1457.1796308228895</v>
      </c>
      <c r="AC71" s="2">
        <f>IF(Games[[#This Row],[Type]]="R",IF(Games[[#This Row],[Result]]&gt;0.5,1,0),0)</f>
        <v>0</v>
      </c>
      <c r="AD71" s="2">
        <f>IF(Games[[#This Row],[Type]]="R",IF(Games[[#This Row],[Result]]&lt;0.5,1,0),0)</f>
        <v>1</v>
      </c>
      <c r="AE71" s="2">
        <f>IF(AND(Games[[#This Row],[Type]]="P",Games[[#This Row],[Round]]=1),IF(Games[[#This Row],[Result]]&gt;0.5,1,0),0)</f>
        <v>0</v>
      </c>
      <c r="AF71" s="2">
        <f>IF(AND(Games[[#This Row],[Type]]="P",Games[[#This Row],[Round]]=1),IF(Games[[#This Row],[Result]]&lt;0.5,1,0),0)</f>
        <v>0</v>
      </c>
      <c r="AG71" s="2">
        <f>IF(AND(Games[[#This Row],[Type]]="P",Games[[#This Row],[Round]]=2),IF(Games[[#This Row],[Result]]&gt;0.5,1,0),0)</f>
        <v>0</v>
      </c>
      <c r="AH71" s="2">
        <f>IF(AND(Games[[#This Row],[Type]]="P",Games[[#This Row],[Round]]=2),IF(Games[[#This Row],[Result]]&lt;0.5,1,0),0)</f>
        <v>0</v>
      </c>
      <c r="AI71" s="2">
        <f>IF(AND(Games[[#This Row],[Type]]="P",Games[[#This Row],[Round]]=3),IF(Games[[#This Row],[Result]]&gt;0.5,1,0),0)</f>
        <v>0</v>
      </c>
      <c r="AJ71" s="2">
        <f>IF(AND(Games[[#This Row],[Type]]="P",Games[[#This Row],[Round]]=3),IF(Games[[#This Row],[Result]]&lt;0.5,1,0),0)</f>
        <v>0</v>
      </c>
      <c r="AK71" s="2">
        <f>IF(AND(Games[[#This Row],[Type]]="P",Games[[#This Row],[Round]]=4),IF(Games[[#This Row],[Result]]&gt;0.5,1,0),0)</f>
        <v>0</v>
      </c>
      <c r="AL71" s="2">
        <f>IF(AND(Games[[#This Row],[Type]]="P",Games[[#This Row],[Round]]=4),IF(Games[[#This Row],[Result]]&lt;0.5,1,0),0)</f>
        <v>0</v>
      </c>
    </row>
    <row r="72" spans="1:38" x14ac:dyDescent="0.35">
      <c r="A72" s="10">
        <v>37779</v>
      </c>
      <c r="B72" s="2">
        <v>2003</v>
      </c>
      <c r="C72" s="2">
        <f>COUNTIFS(Games[Team],Games[[#This Row],[Team]],Games[Season],Games[[#This Row],[Season]],Games[Date],"&lt;=" &amp; Games[[#This Row],[Date]])</f>
        <v>7</v>
      </c>
      <c r="D72" s="2" t="s">
        <v>23</v>
      </c>
      <c r="E72" s="2" t="s">
        <v>29</v>
      </c>
      <c r="F72" s="1" t="s">
        <v>44</v>
      </c>
      <c r="G72" s="1" t="s">
        <v>82</v>
      </c>
      <c r="H72" s="1" t="s">
        <v>16</v>
      </c>
      <c r="I72" s="2" cm="1">
        <f t="array" ref="I72">IFERROR(
    Games[[#This Row],[Date]]
    - LOOKUP(
        2,
        1/((Games[Team]=Games[[#This Row],[Team]]) * (Games[Date] &lt; Games[[#This Row],[Date]])),
        Games[Date]
    )
    - 1,
Games[[#This Row],[Date]]-$A$2)</f>
        <v>1</v>
      </c>
      <c r="J72" s="2" cm="1">
        <f t="array" ref="J72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72" s="2">
        <f>Games[[#This Row],[DaysOff]]-Games[[#This Row],[OppDaysOff]]</f>
        <v>-2</v>
      </c>
      <c r="L72" s="2">
        <f>Games[[#This Row],[OppDaysOff]]-Games[[#This Row],[DaysOff]]</f>
        <v>2</v>
      </c>
      <c r="M72" s="1">
        <f>MAX(-16, MIN(16, Games[[#This Row],[RestDiff]]*8))</f>
        <v>-16</v>
      </c>
      <c r="N72" s="1">
        <f>MAX(-16, MIN(16, Games[[#This Row],[OppRestDiff]]*8))</f>
        <v>16</v>
      </c>
      <c r="O72" s="4" cm="1">
        <f t="array" ref="O7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1390.2872409969641</v>
      </c>
      <c r="P72" s="4" cm="1">
        <f t="array" ref="P7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1495.978909181686</v>
      </c>
      <c r="Q72" s="4">
        <f>1/(1+10^(((Games[[#This Row],[OppPreGmRate]]+IF(Games[[#This Row],[HomeAway]]="A",HCA,0)+Games[[#This Row],[OppRestAdj]])-(Games[[#This Row],[PreGmRate]]+IF(Games[[#This Row],[HomeAway]]="H",HCA,0)+Games[[#This Row],[RestAdj]]))/400))</f>
        <v>0.21820461513532238</v>
      </c>
      <c r="R72" s="1">
        <v>57</v>
      </c>
      <c r="S72" s="1">
        <v>66</v>
      </c>
      <c r="T72" s="1">
        <v>0</v>
      </c>
      <c r="U72" s="1">
        <f>Games[[#This Row],[PointsFor]]-Games[[#This Row],[PointsAgainst]]</f>
        <v>-9</v>
      </c>
      <c r="V72" s="1">
        <f>IF(Games[[#This Row],[MOV]]&gt;0,1,IF(Games[[#This Row],[MOV]]=0,0.5,0))</f>
        <v>0</v>
      </c>
      <c r="W72" s="4">
        <f>((ABS(Games[[#This Row],[MOV]])+5)^0.6)/(12+0.01*(ABS(Games[[#This Row],[PreGmRate]]-Games[[#This Row],[OppPreGmRate]])))*IF(Games[[#This Row],[OT]]=1,0.9,1)</f>
        <v>0.37310939821955719</v>
      </c>
      <c r="X72" s="7" cm="1">
        <f t="array" ref="X7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2" s="9">
        <f>MAX(kmin, kmax - 0.15 * MIN(Games[[#This Row],[GamesPlayed]], 82))</f>
        <v>74.95</v>
      </c>
      <c r="Z72" s="4">
        <f>Games[[#This Row],[K]]*Games[[#This Row],[POMult]]</f>
        <v>74.95</v>
      </c>
      <c r="AA72" s="4">
        <f>(Games[[#This Row],[Keff]]*Games[[#This Row],[MOVMult]])*(Games[[#This Row],[Result]]-Games[[#This Row],[ExpectedWin%]])</f>
        <v>-6.1019937385081731</v>
      </c>
      <c r="AB72" s="4">
        <f>Games[[#This Row],[PreGmRate]]+Games[[#This Row],[RatingChange]]</f>
        <v>1384.185247258456</v>
      </c>
      <c r="AC72" s="2">
        <f>IF(Games[[#This Row],[Type]]="R",IF(Games[[#This Row],[Result]]&gt;0.5,1,0),0)</f>
        <v>0</v>
      </c>
      <c r="AD72" s="2">
        <f>IF(Games[[#This Row],[Type]]="R",IF(Games[[#This Row],[Result]]&lt;0.5,1,0),0)</f>
        <v>1</v>
      </c>
      <c r="AE72" s="2">
        <f>IF(AND(Games[[#This Row],[Type]]="P",Games[[#This Row],[Round]]=1),IF(Games[[#This Row],[Result]]&gt;0.5,1,0),0)</f>
        <v>0</v>
      </c>
      <c r="AF72" s="2">
        <f>IF(AND(Games[[#This Row],[Type]]="P",Games[[#This Row],[Round]]=1),IF(Games[[#This Row],[Result]]&lt;0.5,1,0),0)</f>
        <v>0</v>
      </c>
      <c r="AG72" s="2">
        <f>IF(AND(Games[[#This Row],[Type]]="P",Games[[#This Row],[Round]]=2),IF(Games[[#This Row],[Result]]&gt;0.5,1,0),0)</f>
        <v>0</v>
      </c>
      <c r="AH72" s="2">
        <f>IF(AND(Games[[#This Row],[Type]]="P",Games[[#This Row],[Round]]=2),IF(Games[[#This Row],[Result]]&lt;0.5,1,0),0)</f>
        <v>0</v>
      </c>
      <c r="AI72" s="2">
        <f>IF(AND(Games[[#This Row],[Type]]="P",Games[[#This Row],[Round]]=3),IF(Games[[#This Row],[Result]]&gt;0.5,1,0),0)</f>
        <v>0</v>
      </c>
      <c r="AJ72" s="2">
        <f>IF(AND(Games[[#This Row],[Type]]="P",Games[[#This Row],[Round]]=3),IF(Games[[#This Row],[Result]]&lt;0.5,1,0),0)</f>
        <v>0</v>
      </c>
      <c r="AK72" s="2">
        <f>IF(AND(Games[[#This Row],[Type]]="P",Games[[#This Row],[Round]]=4),IF(Games[[#This Row],[Result]]&gt;0.5,1,0),0)</f>
        <v>0</v>
      </c>
      <c r="AL72" s="2">
        <f>IF(AND(Games[[#This Row],[Type]]="P",Games[[#This Row],[Round]]=4),IF(Games[[#This Row],[Result]]&lt;0.5,1,0),0)</f>
        <v>0</v>
      </c>
    </row>
    <row r="73" spans="1:38" x14ac:dyDescent="0.35">
      <c r="A73" s="10">
        <v>37779</v>
      </c>
      <c r="B73" s="2">
        <v>2003</v>
      </c>
      <c r="C73" s="2">
        <f>COUNTIFS(Games[Team],Games[[#This Row],[Team]],Games[Season],Games[[#This Row],[Season]],Games[Date],"&lt;=" &amp; Games[[#This Row],[Date]])</f>
        <v>5</v>
      </c>
      <c r="D73" s="2" t="s">
        <v>23</v>
      </c>
      <c r="E73" s="2" t="s">
        <v>29</v>
      </c>
      <c r="F73" s="1" t="s">
        <v>82</v>
      </c>
      <c r="G73" s="1" t="s">
        <v>44</v>
      </c>
      <c r="H73" s="1" t="s">
        <v>15</v>
      </c>
      <c r="I73" s="2" cm="1">
        <f t="array" ref="I73">IFERROR(
    Games[[#This Row],[Date]]
    - LOOKUP(
        2,
        1/((Games[Team]=Games[[#This Row],[Team]]) * (Games[Date] &lt; Games[[#This Row],[Date]])),
        Games[Date]
    )
    - 1,
Games[[#This Row],[Date]]-$A$2)</f>
        <v>3</v>
      </c>
      <c r="J73" s="2" cm="1">
        <f t="array" ref="J7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73" s="2">
        <f>Games[[#This Row],[DaysOff]]-Games[[#This Row],[OppDaysOff]]</f>
        <v>2</v>
      </c>
      <c r="L73" s="2">
        <f>Games[[#This Row],[OppDaysOff]]-Games[[#This Row],[DaysOff]]</f>
        <v>-2</v>
      </c>
      <c r="M73" s="1">
        <f>MAX(-16, MIN(16, Games[[#This Row],[RestDiff]]*8))</f>
        <v>16</v>
      </c>
      <c r="N73" s="1">
        <f>MAX(-16, MIN(16, Games[[#This Row],[OppRestDiff]]*8))</f>
        <v>-16</v>
      </c>
      <c r="O73" s="4" cm="1">
        <f t="array" ref="O7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1495.978909181686</v>
      </c>
      <c r="P73" s="4" cm="1">
        <f t="array" ref="P7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1390.2872409969641</v>
      </c>
      <c r="Q73" s="4">
        <f>1/(1+10^(((Games[[#This Row],[OppPreGmRate]]+IF(Games[[#This Row],[HomeAway]]="A",HCA,0)+Games[[#This Row],[OppRestAdj]])-(Games[[#This Row],[PreGmRate]]+IF(Games[[#This Row],[HomeAway]]="H",HCA,0)+Games[[#This Row],[RestAdj]]))/400))</f>
        <v>0.78179538486467759</v>
      </c>
      <c r="R73" s="1">
        <v>66</v>
      </c>
      <c r="S73" s="1">
        <v>57</v>
      </c>
      <c r="T73" s="1">
        <v>0</v>
      </c>
      <c r="U73" s="1">
        <f>Games[[#This Row],[PointsFor]]-Games[[#This Row],[PointsAgainst]]</f>
        <v>9</v>
      </c>
      <c r="V73" s="1">
        <f>IF(Games[[#This Row],[MOV]]&gt;0,1,IF(Games[[#This Row],[MOV]]=0,0.5,0))</f>
        <v>1</v>
      </c>
      <c r="W73" s="4">
        <f>((ABS(Games[[#This Row],[MOV]])+5)^0.6)/(12+0.01*(ABS(Games[[#This Row],[PreGmRate]]-Games[[#This Row],[OppPreGmRate]])))*IF(Games[[#This Row],[OT]]=1,0.9,1)</f>
        <v>0.37310939821955719</v>
      </c>
      <c r="X73" s="7" cm="1">
        <f t="array" ref="X7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3" s="9">
        <f>MAX(kmin, kmax - 0.15 * MIN(Games[[#This Row],[GamesPlayed]], 82))</f>
        <v>75.25</v>
      </c>
      <c r="Z73" s="4">
        <f>Games[[#This Row],[K]]*Games[[#This Row],[POMult]]</f>
        <v>75.25</v>
      </c>
      <c r="AA73" s="4">
        <f>(Games[[#This Row],[Keff]]*Games[[#This Row],[MOVMult]])*(Games[[#This Row],[Result]]-Games[[#This Row],[ExpectedWin%]])</f>
        <v>6.1264179963007344</v>
      </c>
      <c r="AB73" s="4">
        <f>Games[[#This Row],[PreGmRate]]+Games[[#This Row],[RatingChange]]</f>
        <v>1502.1053271779867</v>
      </c>
      <c r="AC73" s="2">
        <f>IF(Games[[#This Row],[Type]]="R",IF(Games[[#This Row],[Result]]&gt;0.5,1,0),0)</f>
        <v>1</v>
      </c>
      <c r="AD73" s="2">
        <f>IF(Games[[#This Row],[Type]]="R",IF(Games[[#This Row],[Result]]&lt;0.5,1,0),0)</f>
        <v>0</v>
      </c>
      <c r="AE73" s="2">
        <f>IF(AND(Games[[#This Row],[Type]]="P",Games[[#This Row],[Round]]=1),IF(Games[[#This Row],[Result]]&gt;0.5,1,0),0)</f>
        <v>0</v>
      </c>
      <c r="AF73" s="2">
        <f>IF(AND(Games[[#This Row],[Type]]="P",Games[[#This Row],[Round]]=1),IF(Games[[#This Row],[Result]]&lt;0.5,1,0),0)</f>
        <v>0</v>
      </c>
      <c r="AG73" s="2">
        <f>IF(AND(Games[[#This Row],[Type]]="P",Games[[#This Row],[Round]]=2),IF(Games[[#This Row],[Result]]&gt;0.5,1,0),0)</f>
        <v>0</v>
      </c>
      <c r="AH73" s="2">
        <f>IF(AND(Games[[#This Row],[Type]]="P",Games[[#This Row],[Round]]=2),IF(Games[[#This Row],[Result]]&lt;0.5,1,0),0)</f>
        <v>0</v>
      </c>
      <c r="AI73" s="2">
        <f>IF(AND(Games[[#This Row],[Type]]="P",Games[[#This Row],[Round]]=3),IF(Games[[#This Row],[Result]]&gt;0.5,1,0),0)</f>
        <v>0</v>
      </c>
      <c r="AJ73" s="2">
        <f>IF(AND(Games[[#This Row],[Type]]="P",Games[[#This Row],[Round]]=3),IF(Games[[#This Row],[Result]]&lt;0.5,1,0),0)</f>
        <v>0</v>
      </c>
      <c r="AK73" s="2">
        <f>IF(AND(Games[[#This Row],[Type]]="P",Games[[#This Row],[Round]]=4),IF(Games[[#This Row],[Result]]&gt;0.5,1,0),0)</f>
        <v>0</v>
      </c>
      <c r="AL73" s="2">
        <f>IF(AND(Games[[#This Row],[Type]]="P",Games[[#This Row],[Round]]=4),IF(Games[[#This Row],[Result]]&lt;0.5,1,0),0)</f>
        <v>0</v>
      </c>
    </row>
    <row r="74" spans="1:38" x14ac:dyDescent="0.35">
      <c r="A74" s="10">
        <v>37782</v>
      </c>
      <c r="B74" s="2">
        <v>2003</v>
      </c>
      <c r="C74" s="2">
        <f>COUNTIFS(Games[Team],Games[[#This Row],[Team]],Games[Season],Games[[#This Row],[Season]],Games[Date],"&lt;=" &amp; Games[[#This Row],[Date]])</f>
        <v>7</v>
      </c>
      <c r="D74" s="2" t="s">
        <v>23</v>
      </c>
      <c r="E74" s="2" t="s">
        <v>29</v>
      </c>
      <c r="F74" s="1" t="s">
        <v>45</v>
      </c>
      <c r="G74" s="1" t="s">
        <v>2</v>
      </c>
      <c r="H74" s="1" t="s">
        <v>16</v>
      </c>
      <c r="I74" s="2" cm="1">
        <f t="array" ref="I74">IFERROR(
    Games[[#This Row],[Date]]
    - LOOKUP(
        2,
        1/((Games[Team]=Games[[#This Row],[Team]]) * (Games[Date] &lt; Games[[#This Row],[Date]])),
        Games[Date]
    )
    - 1,
Games[[#This Row],[Date]]-$A$2)</f>
        <v>2</v>
      </c>
      <c r="J74" s="2" cm="1">
        <f t="array" ref="J7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74" s="2">
        <f>Games[[#This Row],[DaysOff]]-Games[[#This Row],[OppDaysOff]]</f>
        <v>0</v>
      </c>
      <c r="L74" s="2">
        <f>Games[[#This Row],[OppDaysOff]]-Games[[#This Row],[DaysOff]]</f>
        <v>0</v>
      </c>
      <c r="M74" s="1">
        <f>MAX(-16, MIN(16, Games[[#This Row],[RestDiff]]*8))</f>
        <v>0</v>
      </c>
      <c r="N74" s="1">
        <f>MAX(-16, MIN(16, Games[[#This Row],[OppRestDiff]]*8))</f>
        <v>0</v>
      </c>
      <c r="O74" s="4" cm="1">
        <f t="array" ref="O7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1492.9897677446295</v>
      </c>
      <c r="P74" s="4" cm="1">
        <f t="array" ref="P7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1538.3775476787675</v>
      </c>
      <c r="Q74" s="4">
        <f>1/(1+10^(((Games[[#This Row],[OppPreGmRate]]+IF(Games[[#This Row],[HomeAway]]="A",HCA,0)+Games[[#This Row],[OppRestAdj]])-(Games[[#This Row],[PreGmRate]]+IF(Games[[#This Row],[HomeAway]]="H",HCA,0)+Games[[#This Row],[RestAdj]]))/400))</f>
        <v>0.32195193070213496</v>
      </c>
      <c r="R74" s="1">
        <v>66</v>
      </c>
      <c r="S74" s="1">
        <v>71</v>
      </c>
      <c r="T74" s="1">
        <v>0</v>
      </c>
      <c r="U74" s="1">
        <f>Games[[#This Row],[PointsFor]]-Games[[#This Row],[PointsAgainst]]</f>
        <v>-5</v>
      </c>
      <c r="V74" s="1">
        <f>IF(Games[[#This Row],[MOV]]&gt;0,1,IF(Games[[#This Row],[MOV]]=0,0.5,0))</f>
        <v>0</v>
      </c>
      <c r="W74" s="4">
        <f>((ABS(Games[[#This Row],[MOV]])+5)^0.6)/(12+0.01*(ABS(Games[[#This Row],[PreGmRate]]-Games[[#This Row],[OppPreGmRate]])))*IF(Games[[#This Row],[OT]]=1,0.9,1)</f>
        <v>0.31966522955167509</v>
      </c>
      <c r="X74" s="7" cm="1">
        <f t="array" ref="X7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4" s="9">
        <f>MAX(kmin, kmax - 0.15 * MIN(Games[[#This Row],[GamesPlayed]], 82))</f>
        <v>74.95</v>
      </c>
      <c r="Z74" s="4">
        <f>Games[[#This Row],[K]]*Games[[#This Row],[POMult]]</f>
        <v>74.95</v>
      </c>
      <c r="AA74" s="4">
        <f>(Games[[#This Row],[Keff]]*Games[[#This Row],[MOVMult]])*(Games[[#This Row],[Result]]-Games[[#This Row],[ExpectedWin%]])</f>
        <v>-7.7136169955460971</v>
      </c>
      <c r="AB74" s="4">
        <f>Games[[#This Row],[PreGmRate]]+Games[[#This Row],[RatingChange]]</f>
        <v>1485.2761507490834</v>
      </c>
      <c r="AC74" s="2">
        <f>IF(Games[[#This Row],[Type]]="R",IF(Games[[#This Row],[Result]]&gt;0.5,1,0),0)</f>
        <v>0</v>
      </c>
      <c r="AD74" s="2">
        <f>IF(Games[[#This Row],[Type]]="R",IF(Games[[#This Row],[Result]]&lt;0.5,1,0),0)</f>
        <v>1</v>
      </c>
      <c r="AE74" s="2">
        <f>IF(AND(Games[[#This Row],[Type]]="P",Games[[#This Row],[Round]]=1),IF(Games[[#This Row],[Result]]&gt;0.5,1,0),0)</f>
        <v>0</v>
      </c>
      <c r="AF74" s="2">
        <f>IF(AND(Games[[#This Row],[Type]]="P",Games[[#This Row],[Round]]=1),IF(Games[[#This Row],[Result]]&lt;0.5,1,0),0)</f>
        <v>0</v>
      </c>
      <c r="AG74" s="2">
        <f>IF(AND(Games[[#This Row],[Type]]="P",Games[[#This Row],[Round]]=2),IF(Games[[#This Row],[Result]]&gt;0.5,1,0),0)</f>
        <v>0</v>
      </c>
      <c r="AH74" s="2">
        <f>IF(AND(Games[[#This Row],[Type]]="P",Games[[#This Row],[Round]]=2),IF(Games[[#This Row],[Result]]&lt;0.5,1,0),0)</f>
        <v>0</v>
      </c>
      <c r="AI74" s="2">
        <f>IF(AND(Games[[#This Row],[Type]]="P",Games[[#This Row],[Round]]=3),IF(Games[[#This Row],[Result]]&gt;0.5,1,0),0)</f>
        <v>0</v>
      </c>
      <c r="AJ74" s="2">
        <f>IF(AND(Games[[#This Row],[Type]]="P",Games[[#This Row],[Round]]=3),IF(Games[[#This Row],[Result]]&lt;0.5,1,0),0)</f>
        <v>0</v>
      </c>
      <c r="AK74" s="2">
        <f>IF(AND(Games[[#This Row],[Type]]="P",Games[[#This Row],[Round]]=4),IF(Games[[#This Row],[Result]]&gt;0.5,1,0),0)</f>
        <v>0</v>
      </c>
      <c r="AL74" s="2">
        <f>IF(AND(Games[[#This Row],[Type]]="P",Games[[#This Row],[Round]]=4),IF(Games[[#This Row],[Result]]&lt;0.5,1,0),0)</f>
        <v>0</v>
      </c>
    </row>
    <row r="75" spans="1:38" x14ac:dyDescent="0.35">
      <c r="A75" s="10">
        <v>37782</v>
      </c>
      <c r="B75" s="2">
        <v>2003</v>
      </c>
      <c r="C75" s="2">
        <f>COUNTIFS(Games[Team],Games[[#This Row],[Team]],Games[Season],Games[[#This Row],[Season]],Games[Date],"&lt;=" &amp; Games[[#This Row],[Date]])</f>
        <v>8</v>
      </c>
      <c r="D75" s="2" t="s">
        <v>23</v>
      </c>
      <c r="E75" s="2" t="s">
        <v>29</v>
      </c>
      <c r="F75" s="1" t="s">
        <v>2</v>
      </c>
      <c r="G75" s="1" t="s">
        <v>45</v>
      </c>
      <c r="H75" s="1" t="s">
        <v>15</v>
      </c>
      <c r="I75" s="2" cm="1">
        <f t="array" ref="I75">IFERROR(
    Games[[#This Row],[Date]]
    - LOOKUP(
        2,
        1/((Games[Team]=Games[[#This Row],[Team]]) * (Games[Date] &lt; Games[[#This Row],[Date]])),
        Games[Date]
    )
    - 1,
Games[[#This Row],[Date]]-$A$2)</f>
        <v>2</v>
      </c>
      <c r="J75" s="2" cm="1">
        <f t="array" ref="J7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75" s="2">
        <f>Games[[#This Row],[DaysOff]]-Games[[#This Row],[OppDaysOff]]</f>
        <v>0</v>
      </c>
      <c r="L75" s="2">
        <f>Games[[#This Row],[OppDaysOff]]-Games[[#This Row],[DaysOff]]</f>
        <v>0</v>
      </c>
      <c r="M75" s="1">
        <f>MAX(-16, MIN(16, Games[[#This Row],[RestDiff]]*8))</f>
        <v>0</v>
      </c>
      <c r="N75" s="1">
        <f>MAX(-16, MIN(16, Games[[#This Row],[OppRestDiff]]*8))</f>
        <v>0</v>
      </c>
      <c r="O75" s="4" cm="1">
        <f t="array" ref="O7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1538.3775476787675</v>
      </c>
      <c r="P75" s="4" cm="1">
        <f t="array" ref="P7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1492.9897677446295</v>
      </c>
      <c r="Q75" s="4">
        <f>1/(1+10^(((Games[[#This Row],[OppPreGmRate]]+IF(Games[[#This Row],[HomeAway]]="A",HCA,0)+Games[[#This Row],[OppRestAdj]])-(Games[[#This Row],[PreGmRate]]+IF(Games[[#This Row],[HomeAway]]="H",HCA,0)+Games[[#This Row],[RestAdj]]))/400))</f>
        <v>0.67804806929786499</v>
      </c>
      <c r="R75" s="1">
        <v>71</v>
      </c>
      <c r="S75" s="1">
        <v>66</v>
      </c>
      <c r="T75" s="1">
        <v>0</v>
      </c>
      <c r="U75" s="1">
        <f>Games[[#This Row],[PointsFor]]-Games[[#This Row],[PointsAgainst]]</f>
        <v>5</v>
      </c>
      <c r="V75" s="1">
        <f>IF(Games[[#This Row],[MOV]]&gt;0,1,IF(Games[[#This Row],[MOV]]=0,0.5,0))</f>
        <v>1</v>
      </c>
      <c r="W75" s="4">
        <f>((ABS(Games[[#This Row],[MOV]])+5)^0.6)/(12+0.01*(ABS(Games[[#This Row],[PreGmRate]]-Games[[#This Row],[OppPreGmRate]])))*IF(Games[[#This Row],[OT]]=1,0.9,1)</f>
        <v>0.31966522955167509</v>
      </c>
      <c r="X75" s="7" cm="1">
        <f t="array" ref="X7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5" s="9">
        <f>MAX(kmin, kmax - 0.15 * MIN(Games[[#This Row],[GamesPlayed]], 82))</f>
        <v>74.8</v>
      </c>
      <c r="Z75" s="4">
        <f>Games[[#This Row],[K]]*Games[[#This Row],[POMult]]</f>
        <v>74.8</v>
      </c>
      <c r="AA75" s="4">
        <f>(Games[[#This Row],[Keff]]*Games[[#This Row],[MOVMult]])*(Games[[#This Row],[Result]]-Games[[#This Row],[ExpectedWin%]])</f>
        <v>7.6981794698712234</v>
      </c>
      <c r="AB75" s="4">
        <f>Games[[#This Row],[PreGmRate]]+Games[[#This Row],[RatingChange]]</f>
        <v>1546.0757271486389</v>
      </c>
      <c r="AC75" s="2">
        <f>IF(Games[[#This Row],[Type]]="R",IF(Games[[#This Row],[Result]]&gt;0.5,1,0),0)</f>
        <v>1</v>
      </c>
      <c r="AD75" s="2">
        <f>IF(Games[[#This Row],[Type]]="R",IF(Games[[#This Row],[Result]]&lt;0.5,1,0),0)</f>
        <v>0</v>
      </c>
      <c r="AE75" s="2">
        <f>IF(AND(Games[[#This Row],[Type]]="P",Games[[#This Row],[Round]]=1),IF(Games[[#This Row],[Result]]&gt;0.5,1,0),0)</f>
        <v>0</v>
      </c>
      <c r="AF75" s="2">
        <f>IF(AND(Games[[#This Row],[Type]]="P",Games[[#This Row],[Round]]=1),IF(Games[[#This Row],[Result]]&lt;0.5,1,0),0)</f>
        <v>0</v>
      </c>
      <c r="AG75" s="2">
        <f>IF(AND(Games[[#This Row],[Type]]="P",Games[[#This Row],[Round]]=2),IF(Games[[#This Row],[Result]]&gt;0.5,1,0),0)</f>
        <v>0</v>
      </c>
      <c r="AH75" s="2">
        <f>IF(AND(Games[[#This Row],[Type]]="P",Games[[#This Row],[Round]]=2),IF(Games[[#This Row],[Result]]&lt;0.5,1,0),0)</f>
        <v>0</v>
      </c>
      <c r="AI75" s="2">
        <f>IF(AND(Games[[#This Row],[Type]]="P",Games[[#This Row],[Round]]=3),IF(Games[[#This Row],[Result]]&gt;0.5,1,0),0)</f>
        <v>0</v>
      </c>
      <c r="AJ75" s="2">
        <f>IF(AND(Games[[#This Row],[Type]]="P",Games[[#This Row],[Round]]=3),IF(Games[[#This Row],[Result]]&lt;0.5,1,0),0)</f>
        <v>0</v>
      </c>
      <c r="AK75" s="2">
        <f>IF(AND(Games[[#This Row],[Type]]="P",Games[[#This Row],[Round]]=4),IF(Games[[#This Row],[Result]]&gt;0.5,1,0),0)</f>
        <v>0</v>
      </c>
      <c r="AL75" s="2">
        <f>IF(AND(Games[[#This Row],[Type]]="P",Games[[#This Row],[Round]]=4),IF(Games[[#This Row],[Result]]&lt;0.5,1,0),0)</f>
        <v>0</v>
      </c>
    </row>
    <row r="76" spans="1:38" x14ac:dyDescent="0.35">
      <c r="A76" s="10">
        <v>37782</v>
      </c>
      <c r="B76" s="2">
        <v>2003</v>
      </c>
      <c r="C76" s="2">
        <f>COUNTIFS(Games[Team],Games[[#This Row],[Team]],Games[Season],Games[[#This Row],[Season]],Games[Date],"&lt;=" &amp; Games[[#This Row],[Date]])</f>
        <v>6</v>
      </c>
      <c r="D76" s="2" t="s">
        <v>23</v>
      </c>
      <c r="E76" s="2" t="s">
        <v>29</v>
      </c>
      <c r="F76" s="1" t="s">
        <v>78</v>
      </c>
      <c r="G76" s="1" t="s">
        <v>71</v>
      </c>
      <c r="H76" s="1" t="s">
        <v>16</v>
      </c>
      <c r="I76" s="2" cm="1">
        <f t="array" ref="I76">IFERROR(
    Games[[#This Row],[Date]]
    - LOOKUP(
        2,
        1/((Games[Team]=Games[[#This Row],[Team]]) * (Games[Date] &lt; Games[[#This Row],[Date]])),
        Games[Date]
    )
    - 1,
Games[[#This Row],[Date]]-$A$2)</f>
        <v>3</v>
      </c>
      <c r="J76" s="2" cm="1">
        <f t="array" ref="J7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76" s="2">
        <f>Games[[#This Row],[DaysOff]]-Games[[#This Row],[OppDaysOff]]</f>
        <v>1</v>
      </c>
      <c r="L76" s="2">
        <f>Games[[#This Row],[OppDaysOff]]-Games[[#This Row],[DaysOff]]</f>
        <v>-1</v>
      </c>
      <c r="M76" s="1">
        <f>MAX(-16, MIN(16, Games[[#This Row],[RestDiff]]*8))</f>
        <v>8</v>
      </c>
      <c r="N76" s="1">
        <f>MAX(-16, MIN(16, Games[[#This Row],[OppRestDiff]]*8))</f>
        <v>-8</v>
      </c>
      <c r="O76" s="4" cm="1">
        <f t="array" ref="O7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1463.5289451658543</v>
      </c>
      <c r="P76" s="4" cm="1">
        <f t="array" ref="P7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1678.7964250010825</v>
      </c>
      <c r="Q76" s="4">
        <f>1/(1+10^(((Games[[#This Row],[OppPreGmRate]]+IF(Games[[#This Row],[HomeAway]]="A",HCA,0)+Games[[#This Row],[OppRestAdj]])-(Games[[#This Row],[PreGmRate]]+IF(Games[[#This Row],[HomeAway]]="H",HCA,0)+Games[[#This Row],[RestAdj]]))/400))</f>
        <v>0.16374562438656512</v>
      </c>
      <c r="R76" s="1">
        <v>75</v>
      </c>
      <c r="S76" s="1">
        <v>76</v>
      </c>
      <c r="T76" s="1">
        <v>0</v>
      </c>
      <c r="U76" s="1">
        <f>Games[[#This Row],[PointsFor]]-Games[[#This Row],[PointsAgainst]]</f>
        <v>-1</v>
      </c>
      <c r="V76" s="1">
        <f>IF(Games[[#This Row],[MOV]]&gt;0,1,IF(Games[[#This Row],[MOV]]=0,0.5,0))</f>
        <v>0</v>
      </c>
      <c r="W76" s="4">
        <f>((ABS(Games[[#This Row],[MOV]])+5)^0.6)/(12+0.01*(ABS(Games[[#This Row],[PreGmRate]]-Games[[#This Row],[OppPreGmRate]])))*IF(Games[[#This Row],[OT]]=1,0.9,1)</f>
        <v>0.20703902925294823</v>
      </c>
      <c r="X76" s="7" cm="1">
        <f t="array" ref="X7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6" s="9">
        <f>MAX(kmin, kmax - 0.15 * MIN(Games[[#This Row],[GamesPlayed]], 82))</f>
        <v>75.099999999999994</v>
      </c>
      <c r="Z76" s="4">
        <f>Games[[#This Row],[K]]*Games[[#This Row],[POMult]]</f>
        <v>75.099999999999994</v>
      </c>
      <c r="AA76" s="4">
        <f>(Games[[#This Row],[Keff]]*Games[[#This Row],[MOVMult]])*(Games[[#This Row],[Result]]-Games[[#This Row],[ExpectedWin%]])</f>
        <v>-2.5460203073176659</v>
      </c>
      <c r="AB76" s="4">
        <f>Games[[#This Row],[PreGmRate]]+Games[[#This Row],[RatingChange]]</f>
        <v>1460.9829248585368</v>
      </c>
      <c r="AC76" s="2">
        <f>IF(Games[[#This Row],[Type]]="R",IF(Games[[#This Row],[Result]]&gt;0.5,1,0),0)</f>
        <v>0</v>
      </c>
      <c r="AD76" s="2">
        <f>IF(Games[[#This Row],[Type]]="R",IF(Games[[#This Row],[Result]]&lt;0.5,1,0),0)</f>
        <v>1</v>
      </c>
      <c r="AE76" s="2">
        <f>IF(AND(Games[[#This Row],[Type]]="P",Games[[#This Row],[Round]]=1),IF(Games[[#This Row],[Result]]&gt;0.5,1,0),0)</f>
        <v>0</v>
      </c>
      <c r="AF76" s="2">
        <f>IF(AND(Games[[#This Row],[Type]]="P",Games[[#This Row],[Round]]=1),IF(Games[[#This Row],[Result]]&lt;0.5,1,0),0)</f>
        <v>0</v>
      </c>
      <c r="AG76" s="2">
        <f>IF(AND(Games[[#This Row],[Type]]="P",Games[[#This Row],[Round]]=2),IF(Games[[#This Row],[Result]]&gt;0.5,1,0),0)</f>
        <v>0</v>
      </c>
      <c r="AH76" s="2">
        <f>IF(AND(Games[[#This Row],[Type]]="P",Games[[#This Row],[Round]]=2),IF(Games[[#This Row],[Result]]&lt;0.5,1,0),0)</f>
        <v>0</v>
      </c>
      <c r="AI76" s="2">
        <f>IF(AND(Games[[#This Row],[Type]]="P",Games[[#This Row],[Round]]=3),IF(Games[[#This Row],[Result]]&gt;0.5,1,0),0)</f>
        <v>0</v>
      </c>
      <c r="AJ76" s="2">
        <f>IF(AND(Games[[#This Row],[Type]]="P",Games[[#This Row],[Round]]=3),IF(Games[[#This Row],[Result]]&lt;0.5,1,0),0)</f>
        <v>0</v>
      </c>
      <c r="AK76" s="2">
        <f>IF(AND(Games[[#This Row],[Type]]="P",Games[[#This Row],[Round]]=4),IF(Games[[#This Row],[Result]]&gt;0.5,1,0),0)</f>
        <v>0</v>
      </c>
      <c r="AL76" s="2">
        <f>IF(AND(Games[[#This Row],[Type]]="P",Games[[#This Row],[Round]]=4),IF(Games[[#This Row],[Result]]&lt;0.5,1,0),0)</f>
        <v>0</v>
      </c>
    </row>
    <row r="77" spans="1:38" x14ac:dyDescent="0.35">
      <c r="A77" s="10">
        <v>37782</v>
      </c>
      <c r="B77" s="2">
        <v>2003</v>
      </c>
      <c r="C77" s="2">
        <f>COUNTIFS(Games[Team],Games[[#This Row],[Team]],Games[Season],Games[[#This Row],[Season]],Games[Date],"&lt;=" &amp; Games[[#This Row],[Date]])</f>
        <v>7</v>
      </c>
      <c r="D77" s="2" t="s">
        <v>23</v>
      </c>
      <c r="E77" s="2" t="s">
        <v>29</v>
      </c>
      <c r="F77" s="1" t="s">
        <v>71</v>
      </c>
      <c r="G77" s="1" t="s">
        <v>78</v>
      </c>
      <c r="H77" s="1" t="s">
        <v>15</v>
      </c>
      <c r="I77" s="2" cm="1">
        <f t="array" ref="I77">IFERROR(
    Games[[#This Row],[Date]]
    - LOOKUP(
        2,
        1/((Games[Team]=Games[[#This Row],[Team]]) * (Games[Date] &lt; Games[[#This Row],[Date]])),
        Games[Date]
    )
    - 1,
Games[[#This Row],[Date]]-$A$2)</f>
        <v>2</v>
      </c>
      <c r="J77" s="2" cm="1">
        <f t="array" ref="J77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77" s="2">
        <f>Games[[#This Row],[DaysOff]]-Games[[#This Row],[OppDaysOff]]</f>
        <v>-1</v>
      </c>
      <c r="L77" s="2">
        <f>Games[[#This Row],[OppDaysOff]]-Games[[#This Row],[DaysOff]]</f>
        <v>1</v>
      </c>
      <c r="M77" s="1">
        <f>MAX(-16, MIN(16, Games[[#This Row],[RestDiff]]*8))</f>
        <v>-8</v>
      </c>
      <c r="N77" s="1">
        <f>MAX(-16, MIN(16, Games[[#This Row],[OppRestDiff]]*8))</f>
        <v>8</v>
      </c>
      <c r="O77" s="4" cm="1">
        <f t="array" ref="O7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1678.7964250010825</v>
      </c>
      <c r="P77" s="4" cm="1">
        <f t="array" ref="P7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1463.5289451658543</v>
      </c>
      <c r="Q77" s="4">
        <f>1/(1+10^(((Games[[#This Row],[OppPreGmRate]]+IF(Games[[#This Row],[HomeAway]]="A",HCA,0)+Games[[#This Row],[OppRestAdj]])-(Games[[#This Row],[PreGmRate]]+IF(Games[[#This Row],[HomeAway]]="H",HCA,0)+Games[[#This Row],[RestAdj]]))/400))</f>
        <v>0.83625437561343485</v>
      </c>
      <c r="R77" s="1">
        <v>76</v>
      </c>
      <c r="S77" s="1">
        <v>75</v>
      </c>
      <c r="T77" s="1">
        <v>0</v>
      </c>
      <c r="U77" s="1">
        <f>Games[[#This Row],[PointsFor]]-Games[[#This Row],[PointsAgainst]]</f>
        <v>1</v>
      </c>
      <c r="V77" s="1">
        <f>IF(Games[[#This Row],[MOV]]&gt;0,1,IF(Games[[#This Row],[MOV]]=0,0.5,0))</f>
        <v>1</v>
      </c>
      <c r="W77" s="4">
        <f>((ABS(Games[[#This Row],[MOV]])+5)^0.6)/(12+0.01*(ABS(Games[[#This Row],[PreGmRate]]-Games[[#This Row],[OppPreGmRate]])))*IF(Games[[#This Row],[OT]]=1,0.9,1)</f>
        <v>0.20703902925294823</v>
      </c>
      <c r="X77" s="7" cm="1">
        <f t="array" ref="X7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7" s="9">
        <f>MAX(kmin, kmax - 0.15 * MIN(Games[[#This Row],[GamesPlayed]], 82))</f>
        <v>74.95</v>
      </c>
      <c r="Z77" s="4">
        <f>Games[[#This Row],[K]]*Games[[#This Row],[POMult]]</f>
        <v>74.95</v>
      </c>
      <c r="AA77" s="4">
        <f>(Games[[#This Row],[Keff]]*Games[[#This Row],[MOVMult]])*(Games[[#This Row],[Result]]-Games[[#This Row],[ExpectedWin%]])</f>
        <v>2.5409350470500547</v>
      </c>
      <c r="AB77" s="4">
        <f>Games[[#This Row],[PreGmRate]]+Games[[#This Row],[RatingChange]]</f>
        <v>1681.3373600481325</v>
      </c>
      <c r="AC77" s="2">
        <f>IF(Games[[#This Row],[Type]]="R",IF(Games[[#This Row],[Result]]&gt;0.5,1,0),0)</f>
        <v>1</v>
      </c>
      <c r="AD77" s="2">
        <f>IF(Games[[#This Row],[Type]]="R",IF(Games[[#This Row],[Result]]&lt;0.5,1,0),0)</f>
        <v>0</v>
      </c>
      <c r="AE77" s="2">
        <f>IF(AND(Games[[#This Row],[Type]]="P",Games[[#This Row],[Round]]=1),IF(Games[[#This Row],[Result]]&gt;0.5,1,0),0)</f>
        <v>0</v>
      </c>
      <c r="AF77" s="2">
        <f>IF(AND(Games[[#This Row],[Type]]="P",Games[[#This Row],[Round]]=1),IF(Games[[#This Row],[Result]]&lt;0.5,1,0),0)</f>
        <v>0</v>
      </c>
      <c r="AG77" s="2">
        <f>IF(AND(Games[[#This Row],[Type]]="P",Games[[#This Row],[Round]]=2),IF(Games[[#This Row],[Result]]&gt;0.5,1,0),0)</f>
        <v>0</v>
      </c>
      <c r="AH77" s="2">
        <f>IF(AND(Games[[#This Row],[Type]]="P",Games[[#This Row],[Round]]=2),IF(Games[[#This Row],[Result]]&lt;0.5,1,0),0)</f>
        <v>0</v>
      </c>
      <c r="AI77" s="2">
        <f>IF(AND(Games[[#This Row],[Type]]="P",Games[[#This Row],[Round]]=3),IF(Games[[#This Row],[Result]]&gt;0.5,1,0),0)</f>
        <v>0</v>
      </c>
      <c r="AJ77" s="2">
        <f>IF(AND(Games[[#This Row],[Type]]="P",Games[[#This Row],[Round]]=3),IF(Games[[#This Row],[Result]]&lt;0.5,1,0),0)</f>
        <v>0</v>
      </c>
      <c r="AK77" s="2">
        <f>IF(AND(Games[[#This Row],[Type]]="P",Games[[#This Row],[Round]]=4),IF(Games[[#This Row],[Result]]&gt;0.5,1,0),0)</f>
        <v>0</v>
      </c>
      <c r="AL77" s="2">
        <f>IF(AND(Games[[#This Row],[Type]]="P",Games[[#This Row],[Round]]=4),IF(Games[[#This Row],[Result]]&lt;0.5,1,0),0)</f>
        <v>0</v>
      </c>
    </row>
    <row r="78" spans="1:38" x14ac:dyDescent="0.35">
      <c r="A78" s="10">
        <v>37782</v>
      </c>
      <c r="B78" s="2">
        <v>2003</v>
      </c>
      <c r="C78" s="2">
        <f>COUNTIFS(Games[Team],Games[[#This Row],[Team]],Games[Season],Games[[#This Row],[Season]],Games[Date],"&lt;=" &amp; Games[[#This Row],[Date]])</f>
        <v>5</v>
      </c>
      <c r="D78" s="2" t="s">
        <v>23</v>
      </c>
      <c r="E78" s="2" t="s">
        <v>29</v>
      </c>
      <c r="F78" s="1" t="s">
        <v>1</v>
      </c>
      <c r="G78" s="1" t="s">
        <v>66</v>
      </c>
      <c r="H78" s="1" t="s">
        <v>16</v>
      </c>
      <c r="I78" s="2" cm="1">
        <f t="array" ref="I78">IFERROR(
    Games[[#This Row],[Date]]
    - LOOKUP(
        2,
        1/((Games[Team]=Games[[#This Row],[Team]]) * (Games[Date] &lt; Games[[#This Row],[Date]])),
        Games[Date]
    )
    - 1,
Games[[#This Row],[Date]]-$A$2)</f>
        <v>2</v>
      </c>
      <c r="J78" s="2" cm="1">
        <f t="array" ref="J7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78" s="2">
        <f>Games[[#This Row],[DaysOff]]-Games[[#This Row],[OppDaysOff]]</f>
        <v>0</v>
      </c>
      <c r="L78" s="2">
        <f>Games[[#This Row],[OppDaysOff]]-Games[[#This Row],[DaysOff]]</f>
        <v>0</v>
      </c>
      <c r="M78" s="1">
        <f>MAX(-16, MIN(16, Games[[#This Row],[RestDiff]]*8))</f>
        <v>0</v>
      </c>
      <c r="N78" s="1">
        <f>MAX(-16, MIN(16, Games[[#This Row],[OppRestDiff]]*8))</f>
        <v>0</v>
      </c>
      <c r="O78" s="4" cm="1">
        <f t="array" ref="O7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1498.5946971626549</v>
      </c>
      <c r="P78" s="4" cm="1">
        <f t="array" ref="P7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1510.9300344271205</v>
      </c>
      <c r="Q78" s="4">
        <f>1/(1+10^(((Games[[#This Row],[OppPreGmRate]]+IF(Games[[#This Row],[HomeAway]]="A",HCA,0)+Games[[#This Row],[OppRestAdj]])-(Games[[#This Row],[PreGmRate]]+IF(Games[[#This Row],[HomeAway]]="H",HCA,0)+Games[[#This Row],[RestAdj]]))/400))</f>
        <v>0.36480923944770427</v>
      </c>
      <c r="R78" s="1">
        <v>65</v>
      </c>
      <c r="S78" s="1">
        <v>73</v>
      </c>
      <c r="T78" s="1">
        <v>0</v>
      </c>
      <c r="U78" s="1">
        <f>Games[[#This Row],[PointsFor]]-Games[[#This Row],[PointsAgainst]]</f>
        <v>-8</v>
      </c>
      <c r="V78" s="1">
        <f>IF(Games[[#This Row],[MOV]]&gt;0,1,IF(Games[[#This Row],[MOV]]=0,0.5,0))</f>
        <v>0</v>
      </c>
      <c r="W78" s="4">
        <f>((ABS(Games[[#This Row],[MOV]])+5)^0.6)/(12+0.01*(ABS(Games[[#This Row],[PreGmRate]]-Games[[#This Row],[OppPreGmRate]])))*IF(Games[[#This Row],[OT]]=1,0.9,1)</f>
        <v>0.38436448042094429</v>
      </c>
      <c r="X78" s="7" cm="1">
        <f t="array" ref="X7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8" s="9">
        <f>MAX(kmin, kmax - 0.15 * MIN(Games[[#This Row],[GamesPlayed]], 82))</f>
        <v>75.25</v>
      </c>
      <c r="Z78" s="4">
        <f>Games[[#This Row],[K]]*Games[[#This Row],[POMult]]</f>
        <v>75.25</v>
      </c>
      <c r="AA78" s="4">
        <f>(Games[[#This Row],[Keff]]*Games[[#This Row],[MOVMult]])*(Games[[#This Row],[Result]]-Games[[#This Row],[ExpectedWin%]])</f>
        <v>-10.551533461424022</v>
      </c>
      <c r="AB78" s="4">
        <f>Games[[#This Row],[PreGmRate]]+Games[[#This Row],[RatingChange]]</f>
        <v>1488.0431637012309</v>
      </c>
      <c r="AC78" s="2">
        <f>IF(Games[[#This Row],[Type]]="R",IF(Games[[#This Row],[Result]]&gt;0.5,1,0),0)</f>
        <v>0</v>
      </c>
      <c r="AD78" s="2">
        <f>IF(Games[[#This Row],[Type]]="R",IF(Games[[#This Row],[Result]]&lt;0.5,1,0),0)</f>
        <v>1</v>
      </c>
      <c r="AE78" s="2">
        <f>IF(AND(Games[[#This Row],[Type]]="P",Games[[#This Row],[Round]]=1),IF(Games[[#This Row],[Result]]&gt;0.5,1,0),0)</f>
        <v>0</v>
      </c>
      <c r="AF78" s="2">
        <f>IF(AND(Games[[#This Row],[Type]]="P",Games[[#This Row],[Round]]=1),IF(Games[[#This Row],[Result]]&lt;0.5,1,0),0)</f>
        <v>0</v>
      </c>
      <c r="AG78" s="2">
        <f>IF(AND(Games[[#This Row],[Type]]="P",Games[[#This Row],[Round]]=2),IF(Games[[#This Row],[Result]]&gt;0.5,1,0),0)</f>
        <v>0</v>
      </c>
      <c r="AH78" s="2">
        <f>IF(AND(Games[[#This Row],[Type]]="P",Games[[#This Row],[Round]]=2),IF(Games[[#This Row],[Result]]&lt;0.5,1,0),0)</f>
        <v>0</v>
      </c>
      <c r="AI78" s="2">
        <f>IF(AND(Games[[#This Row],[Type]]="P",Games[[#This Row],[Round]]=3),IF(Games[[#This Row],[Result]]&gt;0.5,1,0),0)</f>
        <v>0</v>
      </c>
      <c r="AJ78" s="2">
        <f>IF(AND(Games[[#This Row],[Type]]="P",Games[[#This Row],[Round]]=3),IF(Games[[#This Row],[Result]]&lt;0.5,1,0),0)</f>
        <v>0</v>
      </c>
      <c r="AK78" s="2">
        <f>IF(AND(Games[[#This Row],[Type]]="P",Games[[#This Row],[Round]]=4),IF(Games[[#This Row],[Result]]&gt;0.5,1,0),0)</f>
        <v>0</v>
      </c>
      <c r="AL78" s="2">
        <f>IF(AND(Games[[#This Row],[Type]]="P",Games[[#This Row],[Round]]=4),IF(Games[[#This Row],[Result]]&lt;0.5,1,0),0)</f>
        <v>0</v>
      </c>
    </row>
    <row r="79" spans="1:38" x14ac:dyDescent="0.35">
      <c r="A79" s="10">
        <v>37782</v>
      </c>
      <c r="B79" s="2">
        <v>2003</v>
      </c>
      <c r="C79" s="2">
        <f>COUNTIFS(Games[Team],Games[[#This Row],[Team]],Games[Season],Games[[#This Row],[Season]],Games[Date],"&lt;=" &amp; Games[[#This Row],[Date]])</f>
        <v>5</v>
      </c>
      <c r="D79" s="2" t="s">
        <v>23</v>
      </c>
      <c r="E79" s="2" t="s">
        <v>29</v>
      </c>
      <c r="F79" s="1" t="s">
        <v>66</v>
      </c>
      <c r="G79" s="1" t="s">
        <v>1</v>
      </c>
      <c r="H79" s="1" t="s">
        <v>15</v>
      </c>
      <c r="I79" s="2" cm="1">
        <f t="array" ref="I79">IFERROR(
    Games[[#This Row],[Date]]
    - LOOKUP(
        2,
        1/((Games[Team]=Games[[#This Row],[Team]]) * (Games[Date] &lt; Games[[#This Row],[Date]])),
        Games[Date]
    )
    - 1,
Games[[#This Row],[Date]]-$A$2)</f>
        <v>2</v>
      </c>
      <c r="J79" s="2" cm="1">
        <f t="array" ref="J7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79" s="2">
        <f>Games[[#This Row],[DaysOff]]-Games[[#This Row],[OppDaysOff]]</f>
        <v>0</v>
      </c>
      <c r="L79" s="2">
        <f>Games[[#This Row],[OppDaysOff]]-Games[[#This Row],[DaysOff]]</f>
        <v>0</v>
      </c>
      <c r="M79" s="1">
        <f>MAX(-16, MIN(16, Games[[#This Row],[RestDiff]]*8))</f>
        <v>0</v>
      </c>
      <c r="N79" s="1">
        <f>MAX(-16, MIN(16, Games[[#This Row],[OppRestDiff]]*8))</f>
        <v>0</v>
      </c>
      <c r="O79" s="4" cm="1">
        <f t="array" ref="O7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1510.9300344271205</v>
      </c>
      <c r="P79" s="4" cm="1">
        <f t="array" ref="P7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1498.5946971626549</v>
      </c>
      <c r="Q79" s="4">
        <f>1/(1+10^(((Games[[#This Row],[OppPreGmRate]]+IF(Games[[#This Row],[HomeAway]]="A",HCA,0)+Games[[#This Row],[OppRestAdj]])-(Games[[#This Row],[PreGmRate]]+IF(Games[[#This Row],[HomeAway]]="H",HCA,0)+Games[[#This Row],[RestAdj]]))/400))</f>
        <v>0.63519076055229573</v>
      </c>
      <c r="R79" s="1">
        <v>73</v>
      </c>
      <c r="S79" s="1">
        <v>65</v>
      </c>
      <c r="T79" s="1">
        <v>0</v>
      </c>
      <c r="U79" s="1">
        <f>Games[[#This Row],[PointsFor]]-Games[[#This Row],[PointsAgainst]]</f>
        <v>8</v>
      </c>
      <c r="V79" s="1">
        <f>IF(Games[[#This Row],[MOV]]&gt;0,1,IF(Games[[#This Row],[MOV]]=0,0.5,0))</f>
        <v>1</v>
      </c>
      <c r="W79" s="4">
        <f>((ABS(Games[[#This Row],[MOV]])+5)^0.6)/(12+0.01*(ABS(Games[[#This Row],[PreGmRate]]-Games[[#This Row],[OppPreGmRate]])))*IF(Games[[#This Row],[OT]]=1,0.9,1)</f>
        <v>0.38436448042094429</v>
      </c>
      <c r="X79" s="7" cm="1">
        <f t="array" ref="X7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9" s="9">
        <f>MAX(kmin, kmax - 0.15 * MIN(Games[[#This Row],[GamesPlayed]], 82))</f>
        <v>75.25</v>
      </c>
      <c r="Z79" s="4">
        <f>Games[[#This Row],[K]]*Games[[#This Row],[POMult]]</f>
        <v>75.25</v>
      </c>
      <c r="AA79" s="4">
        <f>(Games[[#This Row],[Keff]]*Games[[#This Row],[MOVMult]])*(Games[[#This Row],[Result]]-Games[[#This Row],[ExpectedWin%]])</f>
        <v>10.551533461424022</v>
      </c>
      <c r="AB79" s="4">
        <f>Games[[#This Row],[PreGmRate]]+Games[[#This Row],[RatingChange]]</f>
        <v>1521.4815678885445</v>
      </c>
      <c r="AC79" s="2">
        <f>IF(Games[[#This Row],[Type]]="R",IF(Games[[#This Row],[Result]]&gt;0.5,1,0),0)</f>
        <v>1</v>
      </c>
      <c r="AD79" s="2">
        <f>IF(Games[[#This Row],[Type]]="R",IF(Games[[#This Row],[Result]]&lt;0.5,1,0),0)</f>
        <v>0</v>
      </c>
      <c r="AE79" s="2">
        <f>IF(AND(Games[[#This Row],[Type]]="P",Games[[#This Row],[Round]]=1),IF(Games[[#This Row],[Result]]&gt;0.5,1,0),0)</f>
        <v>0</v>
      </c>
      <c r="AF79" s="2">
        <f>IF(AND(Games[[#This Row],[Type]]="P",Games[[#This Row],[Round]]=1),IF(Games[[#This Row],[Result]]&lt;0.5,1,0),0)</f>
        <v>0</v>
      </c>
      <c r="AG79" s="2">
        <f>IF(AND(Games[[#This Row],[Type]]="P",Games[[#This Row],[Round]]=2),IF(Games[[#This Row],[Result]]&gt;0.5,1,0),0)</f>
        <v>0</v>
      </c>
      <c r="AH79" s="2">
        <f>IF(AND(Games[[#This Row],[Type]]="P",Games[[#This Row],[Round]]=2),IF(Games[[#This Row],[Result]]&lt;0.5,1,0),0)</f>
        <v>0</v>
      </c>
      <c r="AI79" s="2">
        <f>IF(AND(Games[[#This Row],[Type]]="P",Games[[#This Row],[Round]]=3),IF(Games[[#This Row],[Result]]&gt;0.5,1,0),0)</f>
        <v>0</v>
      </c>
      <c r="AJ79" s="2">
        <f>IF(AND(Games[[#This Row],[Type]]="P",Games[[#This Row],[Round]]=3),IF(Games[[#This Row],[Result]]&lt;0.5,1,0),0)</f>
        <v>0</v>
      </c>
      <c r="AK79" s="2">
        <f>IF(AND(Games[[#This Row],[Type]]="P",Games[[#This Row],[Round]]=4),IF(Games[[#This Row],[Result]]&gt;0.5,1,0),0)</f>
        <v>0</v>
      </c>
      <c r="AL79" s="2">
        <f>IF(AND(Games[[#This Row],[Type]]="P",Games[[#This Row],[Round]]=4),IF(Games[[#This Row],[Result]]&lt;0.5,1,0),0)</f>
        <v>0</v>
      </c>
    </row>
    <row r="80" spans="1:38" x14ac:dyDescent="0.35">
      <c r="A80" s="10">
        <v>37782</v>
      </c>
      <c r="B80" s="2">
        <v>2003</v>
      </c>
      <c r="C80" s="2">
        <f>COUNTIFS(Games[Team],Games[[#This Row],[Team]],Games[Season],Games[[#This Row],[Season]],Games[Date],"&lt;=" &amp; Games[[#This Row],[Date]])</f>
        <v>4</v>
      </c>
      <c r="D80" s="2" t="s">
        <v>23</v>
      </c>
      <c r="E80" s="2" t="s">
        <v>29</v>
      </c>
      <c r="F80" s="1" t="s">
        <v>80</v>
      </c>
      <c r="G80" s="1" t="s">
        <v>82</v>
      </c>
      <c r="H80" s="1" t="s">
        <v>16</v>
      </c>
      <c r="I80" s="2" cm="1">
        <f t="array" ref="I80">IFERROR(
    Games[[#This Row],[Date]]
    - LOOKUP(
        2,
        1/((Games[Team]=Games[[#This Row],[Team]]) * (Games[Date] &lt; Games[[#This Row],[Date]])),
        Games[Date]
    )
    - 1,
Games[[#This Row],[Date]]-$A$2)</f>
        <v>2</v>
      </c>
      <c r="J80" s="2" cm="1">
        <f t="array" ref="J8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80" s="2">
        <f>Games[[#This Row],[DaysOff]]-Games[[#This Row],[OppDaysOff]]</f>
        <v>0</v>
      </c>
      <c r="L80" s="2">
        <f>Games[[#This Row],[OppDaysOff]]-Games[[#This Row],[DaysOff]]</f>
        <v>0</v>
      </c>
      <c r="M80" s="1">
        <f>MAX(-16, MIN(16, Games[[#This Row],[RestDiff]]*8))</f>
        <v>0</v>
      </c>
      <c r="N80" s="1">
        <f>MAX(-16, MIN(16, Games[[#This Row],[OppRestDiff]]*8))</f>
        <v>0</v>
      </c>
      <c r="O80" s="4" cm="1">
        <f t="array" ref="O8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1508.2313339545512</v>
      </c>
      <c r="P80" s="4" cm="1">
        <f t="array" ref="P8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1502.1053271779867</v>
      </c>
      <c r="Q80" s="4">
        <f>1/(1+10^(((Games[[#This Row],[OppPreGmRate]]+IF(Games[[#This Row],[HomeAway]]="A",HCA,0)+Games[[#This Row],[OppRestAdj]])-(Games[[#This Row],[PreGmRate]]+IF(Games[[#This Row],[HomeAway]]="H",HCA,0)+Games[[#This Row],[RestAdj]]))/400))</f>
        <v>0.38977008893073373</v>
      </c>
      <c r="R80" s="1">
        <v>51</v>
      </c>
      <c r="S80" s="1">
        <v>78</v>
      </c>
      <c r="T80" s="1">
        <v>0</v>
      </c>
      <c r="U80" s="1">
        <f>Games[[#This Row],[PointsFor]]-Games[[#This Row],[PointsAgainst]]</f>
        <v>-27</v>
      </c>
      <c r="V80" s="1">
        <f>IF(Games[[#This Row],[MOV]]&gt;0,1,IF(Games[[#This Row],[MOV]]=0,0.5,0))</f>
        <v>0</v>
      </c>
      <c r="W80" s="4">
        <f>((ABS(Games[[#This Row],[MOV]])+5)^0.6)/(12+0.01*(ABS(Games[[#This Row],[PreGmRate]]-Games[[#This Row],[OppPreGmRate]])))*IF(Games[[#This Row],[OT]]=1,0.9,1)</f>
        <v>0.66328061537951755</v>
      </c>
      <c r="X80" s="7" cm="1">
        <f t="array" ref="X8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0" s="9">
        <f>MAX(kmin, kmax - 0.15 * MIN(Games[[#This Row],[GamesPlayed]], 82))</f>
        <v>75.400000000000006</v>
      </c>
      <c r="Z80" s="4">
        <f>Games[[#This Row],[K]]*Games[[#This Row],[POMult]]</f>
        <v>75.400000000000006</v>
      </c>
      <c r="AA80" s="4">
        <f>(Games[[#This Row],[Keff]]*Games[[#This Row],[MOVMult]])*(Games[[#This Row],[Result]]-Games[[#This Row],[ExpectedWin%]])</f>
        <v>-19.49293161096498</v>
      </c>
      <c r="AB80" s="4">
        <f>Games[[#This Row],[PreGmRate]]+Games[[#This Row],[RatingChange]]</f>
        <v>1488.7384023435864</v>
      </c>
      <c r="AC80" s="2">
        <f>IF(Games[[#This Row],[Type]]="R",IF(Games[[#This Row],[Result]]&gt;0.5,1,0),0)</f>
        <v>0</v>
      </c>
      <c r="AD80" s="2">
        <f>IF(Games[[#This Row],[Type]]="R",IF(Games[[#This Row],[Result]]&lt;0.5,1,0),0)</f>
        <v>1</v>
      </c>
      <c r="AE80" s="2">
        <f>IF(AND(Games[[#This Row],[Type]]="P",Games[[#This Row],[Round]]=1),IF(Games[[#This Row],[Result]]&gt;0.5,1,0),0)</f>
        <v>0</v>
      </c>
      <c r="AF80" s="2">
        <f>IF(AND(Games[[#This Row],[Type]]="P",Games[[#This Row],[Round]]=1),IF(Games[[#This Row],[Result]]&lt;0.5,1,0),0)</f>
        <v>0</v>
      </c>
      <c r="AG80" s="2">
        <f>IF(AND(Games[[#This Row],[Type]]="P",Games[[#This Row],[Round]]=2),IF(Games[[#This Row],[Result]]&gt;0.5,1,0),0)</f>
        <v>0</v>
      </c>
      <c r="AH80" s="2">
        <f>IF(AND(Games[[#This Row],[Type]]="P",Games[[#This Row],[Round]]=2),IF(Games[[#This Row],[Result]]&lt;0.5,1,0),0)</f>
        <v>0</v>
      </c>
      <c r="AI80" s="2">
        <f>IF(AND(Games[[#This Row],[Type]]="P",Games[[#This Row],[Round]]=3),IF(Games[[#This Row],[Result]]&gt;0.5,1,0),0)</f>
        <v>0</v>
      </c>
      <c r="AJ80" s="2">
        <f>IF(AND(Games[[#This Row],[Type]]="P",Games[[#This Row],[Round]]=3),IF(Games[[#This Row],[Result]]&lt;0.5,1,0),0)</f>
        <v>0</v>
      </c>
      <c r="AK80" s="2">
        <f>IF(AND(Games[[#This Row],[Type]]="P",Games[[#This Row],[Round]]=4),IF(Games[[#This Row],[Result]]&gt;0.5,1,0),0)</f>
        <v>0</v>
      </c>
      <c r="AL80" s="2">
        <f>IF(AND(Games[[#This Row],[Type]]="P",Games[[#This Row],[Round]]=4),IF(Games[[#This Row],[Result]]&lt;0.5,1,0),0)</f>
        <v>0</v>
      </c>
    </row>
    <row r="81" spans="1:38" x14ac:dyDescent="0.35">
      <c r="A81" s="10">
        <v>37782</v>
      </c>
      <c r="B81" s="2">
        <v>2003</v>
      </c>
      <c r="C81" s="2">
        <f>COUNTIFS(Games[Team],Games[[#This Row],[Team]],Games[Season],Games[[#This Row],[Season]],Games[Date],"&lt;=" &amp; Games[[#This Row],[Date]])</f>
        <v>6</v>
      </c>
      <c r="D81" s="2" t="s">
        <v>23</v>
      </c>
      <c r="E81" s="2" t="s">
        <v>29</v>
      </c>
      <c r="F81" s="1" t="s">
        <v>82</v>
      </c>
      <c r="G81" s="1" t="s">
        <v>80</v>
      </c>
      <c r="H81" s="1" t="s">
        <v>15</v>
      </c>
      <c r="I81" s="2" cm="1">
        <f t="array" ref="I81">IFERROR(
    Games[[#This Row],[Date]]
    - LOOKUP(
        2,
        1/((Games[Team]=Games[[#This Row],[Team]]) * (Games[Date] &lt; Games[[#This Row],[Date]])),
        Games[Date]
    )
    - 1,
Games[[#This Row],[Date]]-$A$2)</f>
        <v>2</v>
      </c>
      <c r="J81" s="2" cm="1">
        <f t="array" ref="J8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81" s="2">
        <f>Games[[#This Row],[DaysOff]]-Games[[#This Row],[OppDaysOff]]</f>
        <v>0</v>
      </c>
      <c r="L81" s="2">
        <f>Games[[#This Row],[OppDaysOff]]-Games[[#This Row],[DaysOff]]</f>
        <v>0</v>
      </c>
      <c r="M81" s="1">
        <f>MAX(-16, MIN(16, Games[[#This Row],[RestDiff]]*8))</f>
        <v>0</v>
      </c>
      <c r="N81" s="1">
        <f>MAX(-16, MIN(16, Games[[#This Row],[OppRestDiff]]*8))</f>
        <v>0</v>
      </c>
      <c r="O81" s="4" cm="1">
        <f t="array" ref="O8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1502.1053271779867</v>
      </c>
      <c r="P81" s="4" cm="1">
        <f t="array" ref="P8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1508.2313339545512</v>
      </c>
      <c r="Q81" s="4">
        <f>1/(1+10^(((Games[[#This Row],[OppPreGmRate]]+IF(Games[[#This Row],[HomeAway]]="A",HCA,0)+Games[[#This Row],[OppRestAdj]])-(Games[[#This Row],[PreGmRate]]+IF(Games[[#This Row],[HomeAway]]="H",HCA,0)+Games[[#This Row],[RestAdj]]))/400))</f>
        <v>0.61022991106926627</v>
      </c>
      <c r="R81" s="1">
        <v>78</v>
      </c>
      <c r="S81" s="1">
        <v>51</v>
      </c>
      <c r="T81" s="1">
        <v>0</v>
      </c>
      <c r="U81" s="1">
        <f>Games[[#This Row],[PointsFor]]-Games[[#This Row],[PointsAgainst]]</f>
        <v>27</v>
      </c>
      <c r="V81" s="1">
        <f>IF(Games[[#This Row],[MOV]]&gt;0,1,IF(Games[[#This Row],[MOV]]=0,0.5,0))</f>
        <v>1</v>
      </c>
      <c r="W81" s="4">
        <f>((ABS(Games[[#This Row],[MOV]])+5)^0.6)/(12+0.01*(ABS(Games[[#This Row],[PreGmRate]]-Games[[#This Row],[OppPreGmRate]])))*IF(Games[[#This Row],[OT]]=1,0.9,1)</f>
        <v>0.66328061537951755</v>
      </c>
      <c r="X81" s="7" cm="1">
        <f t="array" ref="X8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1" s="9">
        <f>MAX(kmin, kmax - 0.15 * MIN(Games[[#This Row],[GamesPlayed]], 82))</f>
        <v>75.099999999999994</v>
      </c>
      <c r="Z81" s="4">
        <f>Games[[#This Row],[K]]*Games[[#This Row],[POMult]]</f>
        <v>75.099999999999994</v>
      </c>
      <c r="AA81" s="4">
        <f>(Games[[#This Row],[Keff]]*Games[[#This Row],[MOVMult]])*(Games[[#This Row],[Result]]-Games[[#This Row],[ExpectedWin%]])</f>
        <v>19.415373527632223</v>
      </c>
      <c r="AB81" s="4">
        <f>Games[[#This Row],[PreGmRate]]+Games[[#This Row],[RatingChange]]</f>
        <v>1521.520700705619</v>
      </c>
      <c r="AC81" s="2">
        <f>IF(Games[[#This Row],[Type]]="R",IF(Games[[#This Row],[Result]]&gt;0.5,1,0),0)</f>
        <v>1</v>
      </c>
      <c r="AD81" s="2">
        <f>IF(Games[[#This Row],[Type]]="R",IF(Games[[#This Row],[Result]]&lt;0.5,1,0),0)</f>
        <v>0</v>
      </c>
      <c r="AE81" s="2">
        <f>IF(AND(Games[[#This Row],[Type]]="P",Games[[#This Row],[Round]]=1),IF(Games[[#This Row],[Result]]&gt;0.5,1,0),0)</f>
        <v>0</v>
      </c>
      <c r="AF81" s="2">
        <f>IF(AND(Games[[#This Row],[Type]]="P",Games[[#This Row],[Round]]=1),IF(Games[[#This Row],[Result]]&lt;0.5,1,0),0)</f>
        <v>0</v>
      </c>
      <c r="AG81" s="2">
        <f>IF(AND(Games[[#This Row],[Type]]="P",Games[[#This Row],[Round]]=2),IF(Games[[#This Row],[Result]]&gt;0.5,1,0),0)</f>
        <v>0</v>
      </c>
      <c r="AH81" s="2">
        <f>IF(AND(Games[[#This Row],[Type]]="P",Games[[#This Row],[Round]]=2),IF(Games[[#This Row],[Result]]&lt;0.5,1,0),0)</f>
        <v>0</v>
      </c>
      <c r="AI81" s="2">
        <f>IF(AND(Games[[#This Row],[Type]]="P",Games[[#This Row],[Round]]=3),IF(Games[[#This Row],[Result]]&gt;0.5,1,0),0)</f>
        <v>0</v>
      </c>
      <c r="AJ81" s="2">
        <f>IF(AND(Games[[#This Row],[Type]]="P",Games[[#This Row],[Round]]=3),IF(Games[[#This Row],[Result]]&lt;0.5,1,0),0)</f>
        <v>0</v>
      </c>
      <c r="AK81" s="2">
        <f>IF(AND(Games[[#This Row],[Type]]="P",Games[[#This Row],[Round]]=4),IF(Games[[#This Row],[Result]]&gt;0.5,1,0),0)</f>
        <v>0</v>
      </c>
      <c r="AL81" s="2">
        <f>IF(AND(Games[[#This Row],[Type]]="P",Games[[#This Row],[Round]]=4),IF(Games[[#This Row],[Result]]&lt;0.5,1,0),0)</f>
        <v>0</v>
      </c>
    </row>
    <row r="82" spans="1:38" x14ac:dyDescent="0.35">
      <c r="A82" s="10">
        <v>37782</v>
      </c>
      <c r="B82" s="2">
        <v>2003</v>
      </c>
      <c r="C82" s="2">
        <f>COUNTIFS(Games[Team],Games[[#This Row],[Team]],Games[Season],Games[[#This Row],[Season]],Games[Date],"&lt;=" &amp; Games[[#This Row],[Date]])</f>
        <v>8</v>
      </c>
      <c r="D82" s="2" t="s">
        <v>23</v>
      </c>
      <c r="E82" s="2" t="s">
        <v>29</v>
      </c>
      <c r="F82" s="1" t="s">
        <v>85</v>
      </c>
      <c r="G82" s="1" t="s">
        <v>74</v>
      </c>
      <c r="H82" s="1" t="s">
        <v>16</v>
      </c>
      <c r="I82" s="2" cm="1">
        <f t="array" ref="I82">IFERROR(
    Games[[#This Row],[Date]]
    - LOOKUP(
        2,
        1/((Games[Team]=Games[[#This Row],[Team]]) * (Games[Date] &lt; Games[[#This Row],[Date]])),
        Games[Date]
    )
    - 1,
Games[[#This Row],[Date]]-$A$2)</f>
        <v>2</v>
      </c>
      <c r="J82" s="2" cm="1">
        <f t="array" ref="J82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82" s="2">
        <f>Games[[#This Row],[DaysOff]]-Games[[#This Row],[OppDaysOff]]</f>
        <v>-1</v>
      </c>
      <c r="L82" s="2">
        <f>Games[[#This Row],[OppDaysOff]]-Games[[#This Row],[DaysOff]]</f>
        <v>1</v>
      </c>
      <c r="M82" s="1">
        <f>MAX(-16, MIN(16, Games[[#This Row],[RestDiff]]*8))</f>
        <v>-8</v>
      </c>
      <c r="N82" s="1">
        <f>MAX(-16, MIN(16, Games[[#This Row],[OppRestDiff]]*8))</f>
        <v>8</v>
      </c>
      <c r="O82" s="4" cm="1">
        <f t="array" ref="O8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1457.1796308228895</v>
      </c>
      <c r="P82" s="4" cm="1">
        <f t="array" ref="P8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1452.5634493240973</v>
      </c>
      <c r="Q82" s="4">
        <f>1/(1+10^(((Games[[#This Row],[OppPreGmRate]]+IF(Games[[#This Row],[HomeAway]]="A",HCA,0)+Games[[#This Row],[OppRestAdj]])-(Games[[#This Row],[PreGmRate]]+IF(Games[[#This Row],[HomeAway]]="H",HCA,0)+Games[[#This Row],[RestAdj]]))/400))</f>
        <v>0.36607941479487166</v>
      </c>
      <c r="R82" s="1">
        <v>72</v>
      </c>
      <c r="S82" s="1">
        <v>79</v>
      </c>
      <c r="T82" s="1">
        <v>0</v>
      </c>
      <c r="U82" s="1">
        <f>Games[[#This Row],[PointsFor]]-Games[[#This Row],[PointsAgainst]]</f>
        <v>-7</v>
      </c>
      <c r="V82" s="1">
        <f>IF(Games[[#This Row],[MOV]]&gt;0,1,IF(Games[[#This Row],[MOV]]=0,0.5,0))</f>
        <v>0</v>
      </c>
      <c r="W82" s="4">
        <f>((ABS(Games[[#This Row],[MOV]])+5)^0.6)/(12+0.01*(ABS(Games[[#This Row],[PreGmRate]]-Games[[#This Row],[OppPreGmRate]])))*IF(Games[[#This Row],[OT]]=1,0.9,1)</f>
        <v>0.36868889344653827</v>
      </c>
      <c r="X82" s="7" cm="1">
        <f t="array" ref="X8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2" s="9">
        <f>MAX(kmin, kmax - 0.15 * MIN(Games[[#This Row],[GamesPlayed]], 82))</f>
        <v>74.8</v>
      </c>
      <c r="Z82" s="4">
        <f>Games[[#This Row],[K]]*Games[[#This Row],[POMult]]</f>
        <v>74.8</v>
      </c>
      <c r="AA82" s="4">
        <f>(Games[[#This Row],[Keff]]*Games[[#This Row],[MOVMult]])*(Games[[#This Row],[Result]]-Games[[#This Row],[ExpectedWin%]])</f>
        <v>-10.095712193699958</v>
      </c>
      <c r="AB82" s="4">
        <f>Games[[#This Row],[PreGmRate]]+Games[[#This Row],[RatingChange]]</f>
        <v>1447.0839186291896</v>
      </c>
      <c r="AC82" s="2">
        <f>IF(Games[[#This Row],[Type]]="R",IF(Games[[#This Row],[Result]]&gt;0.5,1,0),0)</f>
        <v>0</v>
      </c>
      <c r="AD82" s="2">
        <f>IF(Games[[#This Row],[Type]]="R",IF(Games[[#This Row],[Result]]&lt;0.5,1,0),0)</f>
        <v>1</v>
      </c>
      <c r="AE82" s="2">
        <f>IF(AND(Games[[#This Row],[Type]]="P",Games[[#This Row],[Round]]=1),IF(Games[[#This Row],[Result]]&gt;0.5,1,0),0)</f>
        <v>0</v>
      </c>
      <c r="AF82" s="2">
        <f>IF(AND(Games[[#This Row],[Type]]="P",Games[[#This Row],[Round]]=1),IF(Games[[#This Row],[Result]]&lt;0.5,1,0),0)</f>
        <v>0</v>
      </c>
      <c r="AG82" s="2">
        <f>IF(AND(Games[[#This Row],[Type]]="P",Games[[#This Row],[Round]]=2),IF(Games[[#This Row],[Result]]&gt;0.5,1,0),0)</f>
        <v>0</v>
      </c>
      <c r="AH82" s="2">
        <f>IF(AND(Games[[#This Row],[Type]]="P",Games[[#This Row],[Round]]=2),IF(Games[[#This Row],[Result]]&lt;0.5,1,0),0)</f>
        <v>0</v>
      </c>
      <c r="AI82" s="2">
        <f>IF(AND(Games[[#This Row],[Type]]="P",Games[[#This Row],[Round]]=3),IF(Games[[#This Row],[Result]]&gt;0.5,1,0),0)</f>
        <v>0</v>
      </c>
      <c r="AJ82" s="2">
        <f>IF(AND(Games[[#This Row],[Type]]="P",Games[[#This Row],[Round]]=3),IF(Games[[#This Row],[Result]]&lt;0.5,1,0),0)</f>
        <v>0</v>
      </c>
      <c r="AK82" s="2">
        <f>IF(AND(Games[[#This Row],[Type]]="P",Games[[#This Row],[Round]]=4),IF(Games[[#This Row],[Result]]&gt;0.5,1,0),0)</f>
        <v>0</v>
      </c>
      <c r="AL82" s="2">
        <f>IF(AND(Games[[#This Row],[Type]]="P",Games[[#This Row],[Round]]=4),IF(Games[[#This Row],[Result]]&lt;0.5,1,0),0)</f>
        <v>0</v>
      </c>
    </row>
    <row r="83" spans="1:38" x14ac:dyDescent="0.35">
      <c r="A83" s="10">
        <v>37782</v>
      </c>
      <c r="B83" s="2">
        <v>2003</v>
      </c>
      <c r="C83" s="2">
        <f>COUNTIFS(Games[Team],Games[[#This Row],[Team]],Games[Season],Games[[#This Row],[Season]],Games[Date],"&lt;=" &amp; Games[[#This Row],[Date]])</f>
        <v>5</v>
      </c>
      <c r="D83" s="2" t="s">
        <v>23</v>
      </c>
      <c r="E83" s="2" t="s">
        <v>29</v>
      </c>
      <c r="F83" s="1" t="s">
        <v>74</v>
      </c>
      <c r="G83" s="1" t="s">
        <v>85</v>
      </c>
      <c r="H83" s="1" t="s">
        <v>15</v>
      </c>
      <c r="I83" s="2" cm="1">
        <f t="array" ref="I83">IFERROR(
    Games[[#This Row],[Date]]
    - LOOKUP(
        2,
        1/((Games[Team]=Games[[#This Row],[Team]]) * (Games[Date] &lt; Games[[#This Row],[Date]])),
        Games[Date]
    )
    - 1,
Games[[#This Row],[Date]]-$A$2)</f>
        <v>3</v>
      </c>
      <c r="J83" s="2" cm="1">
        <f t="array" ref="J8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83" s="2">
        <f>Games[[#This Row],[DaysOff]]-Games[[#This Row],[OppDaysOff]]</f>
        <v>1</v>
      </c>
      <c r="L83" s="2">
        <f>Games[[#This Row],[OppDaysOff]]-Games[[#This Row],[DaysOff]]</f>
        <v>-1</v>
      </c>
      <c r="M83" s="1">
        <f>MAX(-16, MIN(16, Games[[#This Row],[RestDiff]]*8))</f>
        <v>8</v>
      </c>
      <c r="N83" s="1">
        <f>MAX(-16, MIN(16, Games[[#This Row],[OppRestDiff]]*8))</f>
        <v>-8</v>
      </c>
      <c r="O83" s="4" cm="1">
        <f t="array" ref="O8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1452.5634493240973</v>
      </c>
      <c r="P83" s="4" cm="1">
        <f t="array" ref="P8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1457.1796308228895</v>
      </c>
      <c r="Q83" s="4">
        <f>1/(1+10^(((Games[[#This Row],[OppPreGmRate]]+IF(Games[[#This Row],[HomeAway]]="A",HCA,0)+Games[[#This Row],[OppRestAdj]])-(Games[[#This Row],[PreGmRate]]+IF(Games[[#This Row],[HomeAway]]="H",HCA,0)+Games[[#This Row],[RestAdj]]))/400))</f>
        <v>0.63392058520512828</v>
      </c>
      <c r="R83" s="1">
        <v>79</v>
      </c>
      <c r="S83" s="1">
        <v>72</v>
      </c>
      <c r="T83" s="1">
        <v>0</v>
      </c>
      <c r="U83" s="1">
        <f>Games[[#This Row],[PointsFor]]-Games[[#This Row],[PointsAgainst]]</f>
        <v>7</v>
      </c>
      <c r="V83" s="1">
        <f>IF(Games[[#This Row],[MOV]]&gt;0,1,IF(Games[[#This Row],[MOV]]=0,0.5,0))</f>
        <v>1</v>
      </c>
      <c r="W83" s="4">
        <f>((ABS(Games[[#This Row],[MOV]])+5)^0.6)/(12+0.01*(ABS(Games[[#This Row],[PreGmRate]]-Games[[#This Row],[OppPreGmRate]])))*IF(Games[[#This Row],[OT]]=1,0.9,1)</f>
        <v>0.36868889344653827</v>
      </c>
      <c r="X83" s="7" cm="1">
        <f t="array" ref="X8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3" s="9">
        <f>MAX(kmin, kmax - 0.15 * MIN(Games[[#This Row],[GamesPlayed]], 82))</f>
        <v>75.25</v>
      </c>
      <c r="Z83" s="4">
        <f>Games[[#This Row],[K]]*Games[[#This Row],[POMult]]</f>
        <v>75.25</v>
      </c>
      <c r="AA83" s="4">
        <f>(Games[[#This Row],[Keff]]*Games[[#This Row],[MOVMult]])*(Games[[#This Row],[Result]]-Games[[#This Row],[ExpectedWin%]])</f>
        <v>10.156448430159385</v>
      </c>
      <c r="AB83" s="4">
        <f>Games[[#This Row],[PreGmRate]]+Games[[#This Row],[RatingChange]]</f>
        <v>1462.7198977542566</v>
      </c>
      <c r="AC83" s="2">
        <f>IF(Games[[#This Row],[Type]]="R",IF(Games[[#This Row],[Result]]&gt;0.5,1,0),0)</f>
        <v>1</v>
      </c>
      <c r="AD83" s="2">
        <f>IF(Games[[#This Row],[Type]]="R",IF(Games[[#This Row],[Result]]&lt;0.5,1,0),0)</f>
        <v>0</v>
      </c>
      <c r="AE83" s="2">
        <f>IF(AND(Games[[#This Row],[Type]]="P",Games[[#This Row],[Round]]=1),IF(Games[[#This Row],[Result]]&gt;0.5,1,0),0)</f>
        <v>0</v>
      </c>
      <c r="AF83" s="2">
        <f>IF(AND(Games[[#This Row],[Type]]="P",Games[[#This Row],[Round]]=1),IF(Games[[#This Row],[Result]]&lt;0.5,1,0),0)</f>
        <v>0</v>
      </c>
      <c r="AG83" s="2">
        <f>IF(AND(Games[[#This Row],[Type]]="P",Games[[#This Row],[Round]]=2),IF(Games[[#This Row],[Result]]&gt;0.5,1,0),0)</f>
        <v>0</v>
      </c>
      <c r="AH83" s="2">
        <f>IF(AND(Games[[#This Row],[Type]]="P",Games[[#This Row],[Round]]=2),IF(Games[[#This Row],[Result]]&lt;0.5,1,0),0)</f>
        <v>0</v>
      </c>
      <c r="AI83" s="2">
        <f>IF(AND(Games[[#This Row],[Type]]="P",Games[[#This Row],[Round]]=3),IF(Games[[#This Row],[Result]]&gt;0.5,1,0),0)</f>
        <v>0</v>
      </c>
      <c r="AJ83" s="2">
        <f>IF(AND(Games[[#This Row],[Type]]="P",Games[[#This Row],[Round]]=3),IF(Games[[#This Row],[Result]]&lt;0.5,1,0),0)</f>
        <v>0</v>
      </c>
      <c r="AK83" s="2">
        <f>IF(AND(Games[[#This Row],[Type]]="P",Games[[#This Row],[Round]]=4),IF(Games[[#This Row],[Result]]&gt;0.5,1,0),0)</f>
        <v>0</v>
      </c>
      <c r="AL83" s="2">
        <f>IF(AND(Games[[#This Row],[Type]]="P",Games[[#This Row],[Round]]=4),IF(Games[[#This Row],[Result]]&lt;0.5,1,0),0)</f>
        <v>0</v>
      </c>
    </row>
    <row r="84" spans="1:38" x14ac:dyDescent="0.35">
      <c r="A84" s="10">
        <v>37784</v>
      </c>
      <c r="B84" s="2">
        <v>2003</v>
      </c>
      <c r="C84" s="2">
        <f>COUNTIFS(Games[Team],Games[[#This Row],[Team]],Games[Season],Games[[#This Row],[Season]],Games[Date],"&lt;=" &amp; Games[[#This Row],[Date]])</f>
        <v>5</v>
      </c>
      <c r="D84" s="2" t="s">
        <v>23</v>
      </c>
      <c r="E84" s="2" t="s">
        <v>29</v>
      </c>
      <c r="F84" s="1" t="s">
        <v>80</v>
      </c>
      <c r="G84" s="1" t="s">
        <v>71</v>
      </c>
      <c r="H84" s="1" t="s">
        <v>16</v>
      </c>
      <c r="I84" s="2" cm="1">
        <f t="array" ref="I84">IFERROR(
    Games[[#This Row],[Date]]
    - LOOKUP(
        2,
        1/((Games[Team]=Games[[#This Row],[Team]]) * (Games[Date] &lt; Games[[#This Row],[Date]])),
        Games[Date]
    )
    - 1,
Games[[#This Row],[Date]]-$A$2)</f>
        <v>1</v>
      </c>
      <c r="J84" s="2" cm="1">
        <f t="array" ref="J8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84" s="2">
        <f>Games[[#This Row],[DaysOff]]-Games[[#This Row],[OppDaysOff]]</f>
        <v>0</v>
      </c>
      <c r="L84" s="2">
        <f>Games[[#This Row],[OppDaysOff]]-Games[[#This Row],[DaysOff]]</f>
        <v>0</v>
      </c>
      <c r="M84" s="1">
        <f>MAX(-16, MIN(16, Games[[#This Row],[RestDiff]]*8))</f>
        <v>0</v>
      </c>
      <c r="N84" s="1">
        <f>MAX(-16, MIN(16, Games[[#This Row],[OppRestDiff]]*8))</f>
        <v>0</v>
      </c>
      <c r="O84" s="4" cm="1">
        <f t="array" ref="O8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1488.7384023435864</v>
      </c>
      <c r="P84" s="4" cm="1">
        <f t="array" ref="P8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1681.3373600481325</v>
      </c>
      <c r="Q84" s="4">
        <f>1/(1+10^(((Games[[#This Row],[OppPreGmRate]]+IF(Games[[#This Row],[HomeAway]]="A",HCA,0)+Games[[#This Row],[OppRestAdj]])-(Games[[#This Row],[PreGmRate]]+IF(Games[[#This Row],[HomeAway]]="H",HCA,0)+Games[[#This Row],[RestAdj]]))/400))</f>
        <v>0.16907015920192983</v>
      </c>
      <c r="R84" s="1">
        <v>66</v>
      </c>
      <c r="S84" s="1">
        <v>74</v>
      </c>
      <c r="T84" s="1">
        <v>0</v>
      </c>
      <c r="U84" s="1">
        <f>Games[[#This Row],[PointsFor]]-Games[[#This Row],[PointsAgainst]]</f>
        <v>-8</v>
      </c>
      <c r="V84" s="1">
        <f>IF(Games[[#This Row],[MOV]]&gt;0,1,IF(Games[[#This Row],[MOV]]=0,0.5,0))</f>
        <v>0</v>
      </c>
      <c r="W84" s="4">
        <f>((ABS(Games[[#This Row],[MOV]])+5)^0.6)/(12+0.01*(ABS(Games[[#This Row],[PreGmRate]]-Games[[#This Row],[OppPreGmRate]])))*IF(Games[[#This Row],[OT]]=1,0.9,1)</f>
        <v>0.33461079331244814</v>
      </c>
      <c r="X84" s="7" cm="1">
        <f t="array" ref="X8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4" s="9">
        <f>MAX(kmin, kmax - 0.15 * MIN(Games[[#This Row],[GamesPlayed]], 82))</f>
        <v>75.25</v>
      </c>
      <c r="Z84" s="4">
        <f>Games[[#This Row],[K]]*Games[[#This Row],[POMult]]</f>
        <v>75.25</v>
      </c>
      <c r="AA84" s="4">
        <f>(Games[[#This Row],[Keff]]*Games[[#This Row],[MOVMult]])*(Games[[#This Row],[Result]]-Games[[#This Row],[ExpectedWin%]])</f>
        <v>-4.2570956822254784</v>
      </c>
      <c r="AB84" s="4">
        <f>Games[[#This Row],[PreGmRate]]+Games[[#This Row],[RatingChange]]</f>
        <v>1484.4813066613608</v>
      </c>
      <c r="AC84" s="2">
        <f>IF(Games[[#This Row],[Type]]="R",IF(Games[[#This Row],[Result]]&gt;0.5,1,0),0)</f>
        <v>0</v>
      </c>
      <c r="AD84" s="2">
        <f>IF(Games[[#This Row],[Type]]="R",IF(Games[[#This Row],[Result]]&lt;0.5,1,0),0)</f>
        <v>1</v>
      </c>
      <c r="AE84" s="2">
        <f>IF(AND(Games[[#This Row],[Type]]="P",Games[[#This Row],[Round]]=1),IF(Games[[#This Row],[Result]]&gt;0.5,1,0),0)</f>
        <v>0</v>
      </c>
      <c r="AF84" s="2">
        <f>IF(AND(Games[[#This Row],[Type]]="P",Games[[#This Row],[Round]]=1),IF(Games[[#This Row],[Result]]&lt;0.5,1,0),0)</f>
        <v>0</v>
      </c>
      <c r="AG84" s="2">
        <f>IF(AND(Games[[#This Row],[Type]]="P",Games[[#This Row],[Round]]=2),IF(Games[[#This Row],[Result]]&gt;0.5,1,0),0)</f>
        <v>0</v>
      </c>
      <c r="AH84" s="2">
        <f>IF(AND(Games[[#This Row],[Type]]="P",Games[[#This Row],[Round]]=2),IF(Games[[#This Row],[Result]]&lt;0.5,1,0),0)</f>
        <v>0</v>
      </c>
      <c r="AI84" s="2">
        <f>IF(AND(Games[[#This Row],[Type]]="P",Games[[#This Row],[Round]]=3),IF(Games[[#This Row],[Result]]&gt;0.5,1,0),0)</f>
        <v>0</v>
      </c>
      <c r="AJ84" s="2">
        <f>IF(AND(Games[[#This Row],[Type]]="P",Games[[#This Row],[Round]]=3),IF(Games[[#This Row],[Result]]&lt;0.5,1,0),0)</f>
        <v>0</v>
      </c>
      <c r="AK84" s="2">
        <f>IF(AND(Games[[#This Row],[Type]]="P",Games[[#This Row],[Round]]=4),IF(Games[[#This Row],[Result]]&gt;0.5,1,0),0)</f>
        <v>0</v>
      </c>
      <c r="AL84" s="2">
        <f>IF(AND(Games[[#This Row],[Type]]="P",Games[[#This Row],[Round]]=4),IF(Games[[#This Row],[Result]]&lt;0.5,1,0),0)</f>
        <v>0</v>
      </c>
    </row>
    <row r="85" spans="1:38" x14ac:dyDescent="0.35">
      <c r="A85" s="10">
        <v>37784</v>
      </c>
      <c r="B85" s="2">
        <v>2003</v>
      </c>
      <c r="C85" s="2">
        <f>COUNTIFS(Games[Team],Games[[#This Row],[Team]],Games[Season],Games[[#This Row],[Season]],Games[Date],"&lt;=" &amp; Games[[#This Row],[Date]])</f>
        <v>8</v>
      </c>
      <c r="D85" s="2" t="s">
        <v>23</v>
      </c>
      <c r="E85" s="2" t="s">
        <v>29</v>
      </c>
      <c r="F85" s="1" t="s">
        <v>71</v>
      </c>
      <c r="G85" s="1" t="s">
        <v>80</v>
      </c>
      <c r="H85" s="1" t="s">
        <v>15</v>
      </c>
      <c r="I85" s="2" cm="1">
        <f t="array" ref="I85">IFERROR(
    Games[[#This Row],[Date]]
    - LOOKUP(
        2,
        1/((Games[Team]=Games[[#This Row],[Team]]) * (Games[Date] &lt; Games[[#This Row],[Date]])),
        Games[Date]
    )
    - 1,
Games[[#This Row],[Date]]-$A$2)</f>
        <v>1</v>
      </c>
      <c r="J85" s="2" cm="1">
        <f t="array" ref="J8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85" s="2">
        <f>Games[[#This Row],[DaysOff]]-Games[[#This Row],[OppDaysOff]]</f>
        <v>0</v>
      </c>
      <c r="L85" s="2">
        <f>Games[[#This Row],[OppDaysOff]]-Games[[#This Row],[DaysOff]]</f>
        <v>0</v>
      </c>
      <c r="M85" s="1">
        <f>MAX(-16, MIN(16, Games[[#This Row],[RestDiff]]*8))</f>
        <v>0</v>
      </c>
      <c r="N85" s="1">
        <f>MAX(-16, MIN(16, Games[[#This Row],[OppRestDiff]]*8))</f>
        <v>0</v>
      </c>
      <c r="O85" s="4" cm="1">
        <f t="array" ref="O8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1681.3373600481325</v>
      </c>
      <c r="P85" s="4" cm="1">
        <f t="array" ref="P8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1488.7384023435864</v>
      </c>
      <c r="Q85" s="4">
        <f>1/(1+10^(((Games[[#This Row],[OppPreGmRate]]+IF(Games[[#This Row],[HomeAway]]="A",HCA,0)+Games[[#This Row],[OppRestAdj]])-(Games[[#This Row],[PreGmRate]]+IF(Games[[#This Row],[HomeAway]]="H",HCA,0)+Games[[#This Row],[RestAdj]]))/400))</f>
        <v>0.8309298407980702</v>
      </c>
      <c r="R85" s="1">
        <v>74</v>
      </c>
      <c r="S85" s="1">
        <v>66</v>
      </c>
      <c r="T85" s="1">
        <v>0</v>
      </c>
      <c r="U85" s="1">
        <f>Games[[#This Row],[PointsFor]]-Games[[#This Row],[PointsAgainst]]</f>
        <v>8</v>
      </c>
      <c r="V85" s="1">
        <f>IF(Games[[#This Row],[MOV]]&gt;0,1,IF(Games[[#This Row],[MOV]]=0,0.5,0))</f>
        <v>1</v>
      </c>
      <c r="W85" s="4">
        <f>((ABS(Games[[#This Row],[MOV]])+5)^0.6)/(12+0.01*(ABS(Games[[#This Row],[PreGmRate]]-Games[[#This Row],[OppPreGmRate]])))*IF(Games[[#This Row],[OT]]=1,0.9,1)</f>
        <v>0.33461079331244814</v>
      </c>
      <c r="X85" s="7" cm="1">
        <f t="array" ref="X8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5" s="9">
        <f>MAX(kmin, kmax - 0.15 * MIN(Games[[#This Row],[GamesPlayed]], 82))</f>
        <v>74.8</v>
      </c>
      <c r="Z85" s="4">
        <f>Games[[#This Row],[K]]*Games[[#This Row],[POMult]]</f>
        <v>74.8</v>
      </c>
      <c r="AA85" s="4">
        <f>(Games[[#This Row],[Keff]]*Games[[#This Row],[MOVMult]])*(Games[[#This Row],[Result]]-Games[[#This Row],[ExpectedWin%]])</f>
        <v>4.2316379671822686</v>
      </c>
      <c r="AB85" s="4">
        <f>Games[[#This Row],[PreGmRate]]+Games[[#This Row],[RatingChange]]</f>
        <v>1685.5689980153147</v>
      </c>
      <c r="AC85" s="2">
        <f>IF(Games[[#This Row],[Type]]="R",IF(Games[[#This Row],[Result]]&gt;0.5,1,0),0)</f>
        <v>1</v>
      </c>
      <c r="AD85" s="2">
        <f>IF(Games[[#This Row],[Type]]="R",IF(Games[[#This Row],[Result]]&lt;0.5,1,0),0)</f>
        <v>0</v>
      </c>
      <c r="AE85" s="2">
        <f>IF(AND(Games[[#This Row],[Type]]="P",Games[[#This Row],[Round]]=1),IF(Games[[#This Row],[Result]]&gt;0.5,1,0),0)</f>
        <v>0</v>
      </c>
      <c r="AF85" s="2">
        <f>IF(AND(Games[[#This Row],[Type]]="P",Games[[#This Row],[Round]]=1),IF(Games[[#This Row],[Result]]&lt;0.5,1,0),0)</f>
        <v>0</v>
      </c>
      <c r="AG85" s="2">
        <f>IF(AND(Games[[#This Row],[Type]]="P",Games[[#This Row],[Round]]=2),IF(Games[[#This Row],[Result]]&gt;0.5,1,0),0)</f>
        <v>0</v>
      </c>
      <c r="AH85" s="2">
        <f>IF(AND(Games[[#This Row],[Type]]="P",Games[[#This Row],[Round]]=2),IF(Games[[#This Row],[Result]]&lt;0.5,1,0),0)</f>
        <v>0</v>
      </c>
      <c r="AI85" s="2">
        <f>IF(AND(Games[[#This Row],[Type]]="P",Games[[#This Row],[Round]]=3),IF(Games[[#This Row],[Result]]&gt;0.5,1,0),0)</f>
        <v>0</v>
      </c>
      <c r="AJ85" s="2">
        <f>IF(AND(Games[[#This Row],[Type]]="P",Games[[#This Row],[Round]]=3),IF(Games[[#This Row],[Result]]&lt;0.5,1,0),0)</f>
        <v>0</v>
      </c>
      <c r="AK85" s="2">
        <f>IF(AND(Games[[#This Row],[Type]]="P",Games[[#This Row],[Round]]=4),IF(Games[[#This Row],[Result]]&gt;0.5,1,0),0)</f>
        <v>0</v>
      </c>
      <c r="AL85" s="2">
        <f>IF(AND(Games[[#This Row],[Type]]="P",Games[[#This Row],[Round]]=4),IF(Games[[#This Row],[Result]]&lt;0.5,1,0),0)</f>
        <v>0</v>
      </c>
    </row>
    <row r="86" spans="1:38" x14ac:dyDescent="0.35">
      <c r="A86" s="10">
        <v>37784</v>
      </c>
      <c r="B86" s="2">
        <v>2003</v>
      </c>
      <c r="C86" s="2">
        <f>COUNTIFS(Games[Team],Games[[#This Row],[Team]],Games[Season],Games[[#This Row],[Season]],Games[Date],"&lt;=" &amp; Games[[#This Row],[Date]])</f>
        <v>7</v>
      </c>
      <c r="D86" s="2" t="s">
        <v>23</v>
      </c>
      <c r="E86" s="2" t="s">
        <v>29</v>
      </c>
      <c r="F86" s="1" t="s">
        <v>64</v>
      </c>
      <c r="G86" s="1" t="s">
        <v>44</v>
      </c>
      <c r="H86" s="1" t="s">
        <v>16</v>
      </c>
      <c r="I86" s="2" cm="1">
        <f t="array" ref="I86">IFERROR(
    Games[[#This Row],[Date]]
    - LOOKUP(
        2,
        1/((Games[Team]=Games[[#This Row],[Team]]) * (Games[Date] &lt; Games[[#This Row],[Date]])),
        Games[Date]
    )
    - 1,
Games[[#This Row],[Date]]-$A$2)</f>
        <v>4</v>
      </c>
      <c r="J86" s="2" cm="1">
        <f t="array" ref="J86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86" s="2">
        <f>Games[[#This Row],[DaysOff]]-Games[[#This Row],[OppDaysOff]]</f>
        <v>0</v>
      </c>
      <c r="L86" s="2">
        <f>Games[[#This Row],[OppDaysOff]]-Games[[#This Row],[DaysOff]]</f>
        <v>0</v>
      </c>
      <c r="M86" s="1">
        <f>MAX(-16, MIN(16, Games[[#This Row],[RestDiff]]*8))</f>
        <v>0</v>
      </c>
      <c r="N86" s="1">
        <f>MAX(-16, MIN(16, Games[[#This Row],[OppRestDiff]]*8))</f>
        <v>0</v>
      </c>
      <c r="O86" s="4" cm="1">
        <f t="array" ref="O8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1530.1529907550935</v>
      </c>
      <c r="P86" s="4" cm="1">
        <f t="array" ref="P8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1384.185247258456</v>
      </c>
      <c r="Q86" s="4">
        <f>1/(1+10^(((Games[[#This Row],[OppPreGmRate]]+IF(Games[[#This Row],[HomeAway]]="A",HCA,0)+Games[[#This Row],[OppRestAdj]])-(Games[[#This Row],[PreGmRate]]+IF(Games[[#This Row],[HomeAway]]="H",HCA,0)+Games[[#This Row],[RestAdj]]))/400))</f>
        <v>0.58824499771002292</v>
      </c>
      <c r="R86" s="1">
        <v>58</v>
      </c>
      <c r="S86" s="1">
        <v>50</v>
      </c>
      <c r="T86" s="1">
        <v>0</v>
      </c>
      <c r="U86" s="1">
        <f>Games[[#This Row],[PointsFor]]-Games[[#This Row],[PointsAgainst]]</f>
        <v>8</v>
      </c>
      <c r="V86" s="1">
        <f>IF(Games[[#This Row],[MOV]]&gt;0,1,IF(Games[[#This Row],[MOV]]=0,0.5,0))</f>
        <v>1</v>
      </c>
      <c r="W86" s="4">
        <f>((ABS(Games[[#This Row],[MOV]])+5)^0.6)/(12+0.01*(ABS(Games[[#This Row],[PreGmRate]]-Games[[#This Row],[OppPreGmRate]])))*IF(Games[[#This Row],[OT]]=1,0.9,1)</f>
        <v>0.34620342445433255</v>
      </c>
      <c r="X86" s="7" cm="1">
        <f t="array" ref="X8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6" s="9">
        <f>MAX(kmin, kmax - 0.15 * MIN(Games[[#This Row],[GamesPlayed]], 82))</f>
        <v>74.95</v>
      </c>
      <c r="Z86" s="4">
        <f>Games[[#This Row],[K]]*Games[[#This Row],[POMult]]</f>
        <v>74.95</v>
      </c>
      <c r="AA86" s="4">
        <f>(Games[[#This Row],[Keff]]*Games[[#This Row],[MOVMult]])*(Games[[#This Row],[Result]]-Games[[#This Row],[ExpectedWin%]])</f>
        <v>10.68419683758292</v>
      </c>
      <c r="AB86" s="4">
        <f>Games[[#This Row],[PreGmRate]]+Games[[#This Row],[RatingChange]]</f>
        <v>1540.8371875926764</v>
      </c>
      <c r="AC86" s="2">
        <f>IF(Games[[#This Row],[Type]]="R",IF(Games[[#This Row],[Result]]&gt;0.5,1,0),0)</f>
        <v>1</v>
      </c>
      <c r="AD86" s="2">
        <f>IF(Games[[#This Row],[Type]]="R",IF(Games[[#This Row],[Result]]&lt;0.5,1,0),0)</f>
        <v>0</v>
      </c>
      <c r="AE86" s="2">
        <f>IF(AND(Games[[#This Row],[Type]]="P",Games[[#This Row],[Round]]=1),IF(Games[[#This Row],[Result]]&gt;0.5,1,0),0)</f>
        <v>0</v>
      </c>
      <c r="AF86" s="2">
        <f>IF(AND(Games[[#This Row],[Type]]="P",Games[[#This Row],[Round]]=1),IF(Games[[#This Row],[Result]]&lt;0.5,1,0),0)</f>
        <v>0</v>
      </c>
      <c r="AG86" s="2">
        <f>IF(AND(Games[[#This Row],[Type]]="P",Games[[#This Row],[Round]]=2),IF(Games[[#This Row],[Result]]&gt;0.5,1,0),0)</f>
        <v>0</v>
      </c>
      <c r="AH86" s="2">
        <f>IF(AND(Games[[#This Row],[Type]]="P",Games[[#This Row],[Round]]=2),IF(Games[[#This Row],[Result]]&lt;0.5,1,0),0)</f>
        <v>0</v>
      </c>
      <c r="AI86" s="2">
        <f>IF(AND(Games[[#This Row],[Type]]="P",Games[[#This Row],[Round]]=3),IF(Games[[#This Row],[Result]]&gt;0.5,1,0),0)</f>
        <v>0</v>
      </c>
      <c r="AJ86" s="2">
        <f>IF(AND(Games[[#This Row],[Type]]="P",Games[[#This Row],[Round]]=3),IF(Games[[#This Row],[Result]]&lt;0.5,1,0),0)</f>
        <v>0</v>
      </c>
      <c r="AK86" s="2">
        <f>IF(AND(Games[[#This Row],[Type]]="P",Games[[#This Row],[Round]]=4),IF(Games[[#This Row],[Result]]&gt;0.5,1,0),0)</f>
        <v>0</v>
      </c>
      <c r="AL86" s="2">
        <f>IF(AND(Games[[#This Row],[Type]]="P",Games[[#This Row],[Round]]=4),IF(Games[[#This Row],[Result]]&lt;0.5,1,0),0)</f>
        <v>0</v>
      </c>
    </row>
    <row r="87" spans="1:38" x14ac:dyDescent="0.35">
      <c r="A87" s="10">
        <v>37784</v>
      </c>
      <c r="B87" s="2">
        <v>2003</v>
      </c>
      <c r="C87" s="2">
        <f>COUNTIFS(Games[Team],Games[[#This Row],[Team]],Games[Season],Games[[#This Row],[Season]],Games[Date],"&lt;=" &amp; Games[[#This Row],[Date]])</f>
        <v>8</v>
      </c>
      <c r="D87" s="2" t="s">
        <v>23</v>
      </c>
      <c r="E87" s="2" t="s">
        <v>29</v>
      </c>
      <c r="F87" s="1" t="s">
        <v>44</v>
      </c>
      <c r="G87" s="1" t="s">
        <v>64</v>
      </c>
      <c r="H87" s="1" t="s">
        <v>15</v>
      </c>
      <c r="I87" s="2" cm="1">
        <f t="array" ref="I87">IFERROR(
    Games[[#This Row],[Date]]
    - LOOKUP(
        2,
        1/((Games[Team]=Games[[#This Row],[Team]]) * (Games[Date] &lt; Games[[#This Row],[Date]])),
        Games[Date]
    )
    - 1,
Games[[#This Row],[Date]]-$A$2)</f>
        <v>4</v>
      </c>
      <c r="J87" s="2" cm="1">
        <f t="array" ref="J87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87" s="2">
        <f>Games[[#This Row],[DaysOff]]-Games[[#This Row],[OppDaysOff]]</f>
        <v>0</v>
      </c>
      <c r="L87" s="2">
        <f>Games[[#This Row],[OppDaysOff]]-Games[[#This Row],[DaysOff]]</f>
        <v>0</v>
      </c>
      <c r="M87" s="1">
        <f>MAX(-16, MIN(16, Games[[#This Row],[RestDiff]]*8))</f>
        <v>0</v>
      </c>
      <c r="N87" s="1">
        <f>MAX(-16, MIN(16, Games[[#This Row],[OppRestDiff]]*8))</f>
        <v>0</v>
      </c>
      <c r="O87" s="4" cm="1">
        <f t="array" ref="O8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1384.185247258456</v>
      </c>
      <c r="P87" s="4" cm="1">
        <f t="array" ref="P8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1530.1529907550935</v>
      </c>
      <c r="Q87" s="4">
        <f>1/(1+10^(((Games[[#This Row],[OppPreGmRate]]+IF(Games[[#This Row],[HomeAway]]="A",HCA,0)+Games[[#This Row],[OppRestAdj]])-(Games[[#This Row],[PreGmRate]]+IF(Games[[#This Row],[HomeAway]]="H",HCA,0)+Games[[#This Row],[RestAdj]]))/400))</f>
        <v>0.41175500228997697</v>
      </c>
      <c r="R87" s="1">
        <v>50</v>
      </c>
      <c r="S87" s="1">
        <v>58</v>
      </c>
      <c r="T87" s="1">
        <v>0</v>
      </c>
      <c r="U87" s="1">
        <f>Games[[#This Row],[PointsFor]]-Games[[#This Row],[PointsAgainst]]</f>
        <v>-8</v>
      </c>
      <c r="V87" s="1">
        <f>IF(Games[[#This Row],[MOV]]&gt;0,1,IF(Games[[#This Row],[MOV]]=0,0.5,0))</f>
        <v>0</v>
      </c>
      <c r="W87" s="4">
        <f>((ABS(Games[[#This Row],[MOV]])+5)^0.6)/(12+0.01*(ABS(Games[[#This Row],[PreGmRate]]-Games[[#This Row],[OppPreGmRate]])))*IF(Games[[#This Row],[OT]]=1,0.9,1)</f>
        <v>0.34620342445433255</v>
      </c>
      <c r="X87" s="7" cm="1">
        <f t="array" ref="X8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7" s="9">
        <f>MAX(kmin, kmax - 0.15 * MIN(Games[[#This Row],[GamesPlayed]], 82))</f>
        <v>74.8</v>
      </c>
      <c r="Z87" s="4">
        <f>Games[[#This Row],[K]]*Games[[#This Row],[POMult]]</f>
        <v>74.8</v>
      </c>
      <c r="AA87" s="4">
        <f>(Games[[#This Row],[Keff]]*Games[[#This Row],[MOVMult]])*(Games[[#This Row],[Result]]-Games[[#This Row],[ExpectedWin%]])</f>
        <v>-10.66281418880857</v>
      </c>
      <c r="AB87" s="4">
        <f>Games[[#This Row],[PreGmRate]]+Games[[#This Row],[RatingChange]]</f>
        <v>1373.5224330696474</v>
      </c>
      <c r="AC87" s="2">
        <f>IF(Games[[#This Row],[Type]]="R",IF(Games[[#This Row],[Result]]&gt;0.5,1,0),0)</f>
        <v>0</v>
      </c>
      <c r="AD87" s="2">
        <f>IF(Games[[#This Row],[Type]]="R",IF(Games[[#This Row],[Result]]&lt;0.5,1,0),0)</f>
        <v>1</v>
      </c>
      <c r="AE87" s="2">
        <f>IF(AND(Games[[#This Row],[Type]]="P",Games[[#This Row],[Round]]=1),IF(Games[[#This Row],[Result]]&gt;0.5,1,0),0)</f>
        <v>0</v>
      </c>
      <c r="AF87" s="2">
        <f>IF(AND(Games[[#This Row],[Type]]="P",Games[[#This Row],[Round]]=1),IF(Games[[#This Row],[Result]]&lt;0.5,1,0),0)</f>
        <v>0</v>
      </c>
      <c r="AG87" s="2">
        <f>IF(AND(Games[[#This Row],[Type]]="P",Games[[#This Row],[Round]]=2),IF(Games[[#This Row],[Result]]&gt;0.5,1,0),0)</f>
        <v>0</v>
      </c>
      <c r="AH87" s="2">
        <f>IF(AND(Games[[#This Row],[Type]]="P",Games[[#This Row],[Round]]=2),IF(Games[[#This Row],[Result]]&lt;0.5,1,0),0)</f>
        <v>0</v>
      </c>
      <c r="AI87" s="2">
        <f>IF(AND(Games[[#This Row],[Type]]="P",Games[[#This Row],[Round]]=3),IF(Games[[#This Row],[Result]]&gt;0.5,1,0),0)</f>
        <v>0</v>
      </c>
      <c r="AJ87" s="2">
        <f>IF(AND(Games[[#This Row],[Type]]="P",Games[[#This Row],[Round]]=3),IF(Games[[#This Row],[Result]]&lt;0.5,1,0),0)</f>
        <v>0</v>
      </c>
      <c r="AK87" s="2">
        <f>IF(AND(Games[[#This Row],[Type]]="P",Games[[#This Row],[Round]]=4),IF(Games[[#This Row],[Result]]&gt;0.5,1,0),0)</f>
        <v>0</v>
      </c>
      <c r="AL87" s="2">
        <f>IF(AND(Games[[#This Row],[Type]]="P",Games[[#This Row],[Round]]=4),IF(Games[[#This Row],[Result]]&lt;0.5,1,0),0)</f>
        <v>0</v>
      </c>
    </row>
    <row r="88" spans="1:38" x14ac:dyDescent="0.35">
      <c r="A88" s="10">
        <v>37784</v>
      </c>
      <c r="B88" s="2">
        <v>2003</v>
      </c>
      <c r="C88" s="2">
        <f>COUNTIFS(Games[Team],Games[[#This Row],[Team]],Games[Season],Games[[#This Row],[Season]],Games[Date],"&lt;=" &amp; Games[[#This Row],[Date]])</f>
        <v>7</v>
      </c>
      <c r="D88" s="2" t="s">
        <v>23</v>
      </c>
      <c r="E88" s="2" t="s">
        <v>29</v>
      </c>
      <c r="F88" s="1" t="s">
        <v>78</v>
      </c>
      <c r="G88" s="1" t="s">
        <v>45</v>
      </c>
      <c r="H88" s="1" t="s">
        <v>16</v>
      </c>
      <c r="I88" s="2" cm="1">
        <f t="array" ref="I88">IFERROR(
    Games[[#This Row],[Date]]
    - LOOKUP(
        2,
        1/((Games[Team]=Games[[#This Row],[Team]]) * (Games[Date] &lt; Games[[#This Row],[Date]])),
        Games[Date]
    )
    - 1,
Games[[#This Row],[Date]]-$A$2)</f>
        <v>1</v>
      </c>
      <c r="J88" s="2" cm="1">
        <f t="array" ref="J8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88" s="2">
        <f>Games[[#This Row],[DaysOff]]-Games[[#This Row],[OppDaysOff]]</f>
        <v>0</v>
      </c>
      <c r="L88" s="2">
        <f>Games[[#This Row],[OppDaysOff]]-Games[[#This Row],[DaysOff]]</f>
        <v>0</v>
      </c>
      <c r="M88" s="1">
        <f>MAX(-16, MIN(16, Games[[#This Row],[RestDiff]]*8))</f>
        <v>0</v>
      </c>
      <c r="N88" s="1">
        <f>MAX(-16, MIN(16, Games[[#This Row],[OppRestDiff]]*8))</f>
        <v>0</v>
      </c>
      <c r="O88" s="4" cm="1">
        <f t="array" ref="O8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1460.9829248585368</v>
      </c>
      <c r="P88" s="4" cm="1">
        <f t="array" ref="P8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1485.2761507490834</v>
      </c>
      <c r="Q88" s="4">
        <f>1/(1+10^(((Games[[#This Row],[OppPreGmRate]]+IF(Games[[#This Row],[HomeAway]]="A",HCA,0)+Games[[#This Row],[OppRestAdj]])-(Games[[#This Row],[PreGmRate]]+IF(Games[[#This Row],[HomeAway]]="H",HCA,0)+Games[[#This Row],[RestAdj]]))/400))</f>
        <v>0.34901176922441435</v>
      </c>
      <c r="R88" s="1">
        <v>55</v>
      </c>
      <c r="S88" s="1">
        <v>68</v>
      </c>
      <c r="T88" s="1">
        <v>0</v>
      </c>
      <c r="U88" s="1">
        <f>Games[[#This Row],[PointsFor]]-Games[[#This Row],[PointsAgainst]]</f>
        <v>-13</v>
      </c>
      <c r="V88" s="1">
        <f>IF(Games[[#This Row],[MOV]]&gt;0,1,IF(Games[[#This Row],[MOV]]=0,0.5,0))</f>
        <v>0</v>
      </c>
      <c r="W88" s="4">
        <f>((ABS(Games[[#This Row],[MOV]])+5)^0.6)/(12+0.01*(ABS(Games[[#This Row],[PreGmRate]]-Games[[#This Row],[OppPreGmRate]])))*IF(Games[[#This Row],[OT]]=1,0.9,1)</f>
        <v>0.46267715511119123</v>
      </c>
      <c r="X88" s="7" cm="1">
        <f t="array" ref="X8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8" s="9">
        <f>MAX(kmin, kmax - 0.15 * MIN(Games[[#This Row],[GamesPlayed]], 82))</f>
        <v>74.95</v>
      </c>
      <c r="Z88" s="4">
        <f>Games[[#This Row],[K]]*Games[[#This Row],[POMult]]</f>
        <v>74.95</v>
      </c>
      <c r="AA88" s="4">
        <f>(Games[[#This Row],[Keff]]*Games[[#This Row],[MOVMult]])*(Games[[#This Row],[Result]]-Games[[#This Row],[ExpectedWin%]])</f>
        <v>-12.102908947756418</v>
      </c>
      <c r="AB88" s="4">
        <f>Games[[#This Row],[PreGmRate]]+Games[[#This Row],[RatingChange]]</f>
        <v>1448.8800159107805</v>
      </c>
      <c r="AC88" s="2">
        <f>IF(Games[[#This Row],[Type]]="R",IF(Games[[#This Row],[Result]]&gt;0.5,1,0),0)</f>
        <v>0</v>
      </c>
      <c r="AD88" s="2">
        <f>IF(Games[[#This Row],[Type]]="R",IF(Games[[#This Row],[Result]]&lt;0.5,1,0),0)</f>
        <v>1</v>
      </c>
      <c r="AE88" s="2">
        <f>IF(AND(Games[[#This Row],[Type]]="P",Games[[#This Row],[Round]]=1),IF(Games[[#This Row],[Result]]&gt;0.5,1,0),0)</f>
        <v>0</v>
      </c>
      <c r="AF88" s="2">
        <f>IF(AND(Games[[#This Row],[Type]]="P",Games[[#This Row],[Round]]=1),IF(Games[[#This Row],[Result]]&lt;0.5,1,0),0)</f>
        <v>0</v>
      </c>
      <c r="AG88" s="2">
        <f>IF(AND(Games[[#This Row],[Type]]="P",Games[[#This Row],[Round]]=2),IF(Games[[#This Row],[Result]]&gt;0.5,1,0),0)</f>
        <v>0</v>
      </c>
      <c r="AH88" s="2">
        <f>IF(AND(Games[[#This Row],[Type]]="P",Games[[#This Row],[Round]]=2),IF(Games[[#This Row],[Result]]&lt;0.5,1,0),0)</f>
        <v>0</v>
      </c>
      <c r="AI88" s="2">
        <f>IF(AND(Games[[#This Row],[Type]]="P",Games[[#This Row],[Round]]=3),IF(Games[[#This Row],[Result]]&gt;0.5,1,0),0)</f>
        <v>0</v>
      </c>
      <c r="AJ88" s="2">
        <f>IF(AND(Games[[#This Row],[Type]]="P",Games[[#This Row],[Round]]=3),IF(Games[[#This Row],[Result]]&lt;0.5,1,0),0)</f>
        <v>0</v>
      </c>
      <c r="AK88" s="2">
        <f>IF(AND(Games[[#This Row],[Type]]="P",Games[[#This Row],[Round]]=4),IF(Games[[#This Row],[Result]]&gt;0.5,1,0),0)</f>
        <v>0</v>
      </c>
      <c r="AL88" s="2">
        <f>IF(AND(Games[[#This Row],[Type]]="P",Games[[#This Row],[Round]]=4),IF(Games[[#This Row],[Result]]&lt;0.5,1,0),0)</f>
        <v>0</v>
      </c>
    </row>
    <row r="89" spans="1:38" x14ac:dyDescent="0.35">
      <c r="A89" s="10">
        <v>37784</v>
      </c>
      <c r="B89" s="2">
        <v>2003</v>
      </c>
      <c r="C89" s="2">
        <f>COUNTIFS(Games[Team],Games[[#This Row],[Team]],Games[Season],Games[[#This Row],[Season]],Games[Date],"&lt;=" &amp; Games[[#This Row],[Date]])</f>
        <v>8</v>
      </c>
      <c r="D89" s="2" t="s">
        <v>23</v>
      </c>
      <c r="E89" s="2" t="s">
        <v>29</v>
      </c>
      <c r="F89" s="1" t="s">
        <v>45</v>
      </c>
      <c r="G89" s="1" t="s">
        <v>78</v>
      </c>
      <c r="H89" s="1" t="s">
        <v>15</v>
      </c>
      <c r="I89" s="2" cm="1">
        <f t="array" ref="I89">IFERROR(
    Games[[#This Row],[Date]]
    - LOOKUP(
        2,
        1/((Games[Team]=Games[[#This Row],[Team]]) * (Games[Date] &lt; Games[[#This Row],[Date]])),
        Games[Date]
    )
    - 1,
Games[[#This Row],[Date]]-$A$2)</f>
        <v>1</v>
      </c>
      <c r="J89" s="2" cm="1">
        <f t="array" ref="J8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89" s="2">
        <f>Games[[#This Row],[DaysOff]]-Games[[#This Row],[OppDaysOff]]</f>
        <v>0</v>
      </c>
      <c r="L89" s="2">
        <f>Games[[#This Row],[OppDaysOff]]-Games[[#This Row],[DaysOff]]</f>
        <v>0</v>
      </c>
      <c r="M89" s="1">
        <f>MAX(-16, MIN(16, Games[[#This Row],[RestDiff]]*8))</f>
        <v>0</v>
      </c>
      <c r="N89" s="1">
        <f>MAX(-16, MIN(16, Games[[#This Row],[OppRestDiff]]*8))</f>
        <v>0</v>
      </c>
      <c r="O89" s="4" cm="1">
        <f t="array" ref="O8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1485.2761507490834</v>
      </c>
      <c r="P89" s="4" cm="1">
        <f t="array" ref="P8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1460.9829248585368</v>
      </c>
      <c r="Q89" s="4">
        <f>1/(1+10^(((Games[[#This Row],[OppPreGmRate]]+IF(Games[[#This Row],[HomeAway]]="A",HCA,0)+Games[[#This Row],[OppRestAdj]])-(Games[[#This Row],[PreGmRate]]+IF(Games[[#This Row],[HomeAway]]="H",HCA,0)+Games[[#This Row],[RestAdj]]))/400))</f>
        <v>0.65098823077558565</v>
      </c>
      <c r="R89" s="1">
        <v>68</v>
      </c>
      <c r="S89" s="1">
        <v>55</v>
      </c>
      <c r="T89" s="1">
        <v>0</v>
      </c>
      <c r="U89" s="1">
        <f>Games[[#This Row],[PointsFor]]-Games[[#This Row],[PointsAgainst]]</f>
        <v>13</v>
      </c>
      <c r="V89" s="1">
        <f>IF(Games[[#This Row],[MOV]]&gt;0,1,IF(Games[[#This Row],[MOV]]=0,0.5,0))</f>
        <v>1</v>
      </c>
      <c r="W89" s="4">
        <f>((ABS(Games[[#This Row],[MOV]])+5)^0.6)/(12+0.01*(ABS(Games[[#This Row],[PreGmRate]]-Games[[#This Row],[OppPreGmRate]])))*IF(Games[[#This Row],[OT]]=1,0.9,1)</f>
        <v>0.46267715511119123</v>
      </c>
      <c r="X89" s="7" cm="1">
        <f t="array" ref="X8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9" s="9">
        <f>MAX(kmin, kmax - 0.15 * MIN(Games[[#This Row],[GamesPlayed]], 82))</f>
        <v>74.8</v>
      </c>
      <c r="Z89" s="4">
        <f>Games[[#This Row],[K]]*Games[[#This Row],[POMult]]</f>
        <v>74.8</v>
      </c>
      <c r="AA89" s="4">
        <f>(Games[[#This Row],[Keff]]*Games[[#This Row],[MOVMult]])*(Games[[#This Row],[Result]]-Games[[#This Row],[ExpectedWin%]])</f>
        <v>12.078686981883656</v>
      </c>
      <c r="AB89" s="4">
        <f>Games[[#This Row],[PreGmRate]]+Games[[#This Row],[RatingChange]]</f>
        <v>1497.3548377309671</v>
      </c>
      <c r="AC89" s="2">
        <f>IF(Games[[#This Row],[Type]]="R",IF(Games[[#This Row],[Result]]&gt;0.5,1,0),0)</f>
        <v>1</v>
      </c>
      <c r="AD89" s="2">
        <f>IF(Games[[#This Row],[Type]]="R",IF(Games[[#This Row],[Result]]&lt;0.5,1,0),0)</f>
        <v>0</v>
      </c>
      <c r="AE89" s="2">
        <f>IF(AND(Games[[#This Row],[Type]]="P",Games[[#This Row],[Round]]=1),IF(Games[[#This Row],[Result]]&gt;0.5,1,0),0)</f>
        <v>0</v>
      </c>
      <c r="AF89" s="2">
        <f>IF(AND(Games[[#This Row],[Type]]="P",Games[[#This Row],[Round]]=1),IF(Games[[#This Row],[Result]]&lt;0.5,1,0),0)</f>
        <v>0</v>
      </c>
      <c r="AG89" s="2">
        <f>IF(AND(Games[[#This Row],[Type]]="P",Games[[#This Row],[Round]]=2),IF(Games[[#This Row],[Result]]&gt;0.5,1,0),0)</f>
        <v>0</v>
      </c>
      <c r="AH89" s="2">
        <f>IF(AND(Games[[#This Row],[Type]]="P",Games[[#This Row],[Round]]=2),IF(Games[[#This Row],[Result]]&lt;0.5,1,0),0)</f>
        <v>0</v>
      </c>
      <c r="AI89" s="2">
        <f>IF(AND(Games[[#This Row],[Type]]="P",Games[[#This Row],[Round]]=3),IF(Games[[#This Row],[Result]]&gt;0.5,1,0),0)</f>
        <v>0</v>
      </c>
      <c r="AJ89" s="2">
        <f>IF(AND(Games[[#This Row],[Type]]="P",Games[[#This Row],[Round]]=3),IF(Games[[#This Row],[Result]]&lt;0.5,1,0),0)</f>
        <v>0</v>
      </c>
      <c r="AK89" s="2">
        <f>IF(AND(Games[[#This Row],[Type]]="P",Games[[#This Row],[Round]]=4),IF(Games[[#This Row],[Result]]&gt;0.5,1,0),0)</f>
        <v>0</v>
      </c>
      <c r="AL89" s="2">
        <f>IF(AND(Games[[#This Row],[Type]]="P",Games[[#This Row],[Round]]=4),IF(Games[[#This Row],[Result]]&lt;0.5,1,0),0)</f>
        <v>0</v>
      </c>
    </row>
    <row r="90" spans="1:38" x14ac:dyDescent="0.35">
      <c r="A90" s="10">
        <v>37785</v>
      </c>
      <c r="B90" s="2">
        <v>2003</v>
      </c>
      <c r="C90" s="2">
        <f>COUNTIFS(Games[Team],Games[[#This Row],[Team]],Games[Season],Games[[#This Row],[Season]],Games[Date],"&lt;=" &amp; Games[[#This Row],[Date]])</f>
        <v>6</v>
      </c>
      <c r="D90" s="2" t="s">
        <v>23</v>
      </c>
      <c r="E90" s="2" t="s">
        <v>29</v>
      </c>
      <c r="F90" s="1" t="s">
        <v>74</v>
      </c>
      <c r="G90" s="1" t="s">
        <v>87</v>
      </c>
      <c r="H90" s="1" t="s">
        <v>16</v>
      </c>
      <c r="I90" s="2" cm="1">
        <f t="array" ref="I90">IFERROR(
    Games[[#This Row],[Date]]
    - LOOKUP(
        2,
        1/((Games[Team]=Games[[#This Row],[Team]]) * (Games[Date] &lt; Games[[#This Row],[Date]])),
        Games[Date]
    )
    - 1,
Games[[#This Row],[Date]]-$A$2)</f>
        <v>2</v>
      </c>
      <c r="J90" s="2" cm="1">
        <f t="array" ref="J90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90" s="2">
        <f>Games[[#This Row],[DaysOff]]-Games[[#This Row],[OppDaysOff]]</f>
        <v>-3</v>
      </c>
      <c r="L90" s="2">
        <f>Games[[#This Row],[OppDaysOff]]-Games[[#This Row],[DaysOff]]</f>
        <v>3</v>
      </c>
      <c r="M90" s="1">
        <f>MAX(-16, MIN(16, Games[[#This Row],[RestDiff]]*8))</f>
        <v>-16</v>
      </c>
      <c r="N90" s="1">
        <f>MAX(-16, MIN(16, Games[[#This Row],[OppRestDiff]]*8))</f>
        <v>16</v>
      </c>
      <c r="O90" s="4" cm="1">
        <f t="array" ref="O9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1462.7198977542566</v>
      </c>
      <c r="P90" s="4" cm="1">
        <f t="array" ref="P9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1522.7516261365329</v>
      </c>
      <c r="Q90" s="4">
        <f>1/(1+10^(((Games[[#This Row],[OppPreGmRate]]+IF(Games[[#This Row],[HomeAway]]="A",HCA,0)+Games[[#This Row],[OppRestAdj]])-(Games[[#This Row],[PreGmRate]]+IF(Games[[#This Row],[HomeAway]]="H",HCA,0)+Games[[#This Row],[RestAdj]]))/400))</f>
        <v>0.26633060782497442</v>
      </c>
      <c r="R90" s="1">
        <v>70</v>
      </c>
      <c r="S90" s="1">
        <v>84</v>
      </c>
      <c r="T90" s="1">
        <v>0</v>
      </c>
      <c r="U90" s="1">
        <f>Games[[#This Row],[PointsFor]]-Games[[#This Row],[PointsAgainst]]</f>
        <v>-14</v>
      </c>
      <c r="V90" s="1">
        <f>IF(Games[[#This Row],[MOV]]&gt;0,1,IF(Games[[#This Row],[MOV]]=0,0.5,0))</f>
        <v>0</v>
      </c>
      <c r="W90" s="4">
        <f>((ABS(Games[[#This Row],[MOV]])+5)^0.6)/(12+0.01*(ABS(Games[[#This Row],[PreGmRate]]-Games[[#This Row],[OppPreGmRate]])))*IF(Games[[#This Row],[OT]]=1,0.9,1)</f>
        <v>0.46437697643705778</v>
      </c>
      <c r="X90" s="7" cm="1">
        <f t="array" ref="X9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0" s="9">
        <f>MAX(kmin, kmax - 0.15 * MIN(Games[[#This Row],[GamesPlayed]], 82))</f>
        <v>75.099999999999994</v>
      </c>
      <c r="Z90" s="4">
        <f>Games[[#This Row],[K]]*Games[[#This Row],[POMult]]</f>
        <v>75.099999999999994</v>
      </c>
      <c r="AA90" s="4">
        <f>(Games[[#This Row],[Keff]]*Games[[#This Row],[MOVMult]])*(Games[[#This Row],[Result]]-Games[[#This Row],[ExpectedWin%]])</f>
        <v>-9.2882029598198468</v>
      </c>
      <c r="AB90" s="4">
        <f>Games[[#This Row],[PreGmRate]]+Games[[#This Row],[RatingChange]]</f>
        <v>1453.4316947944367</v>
      </c>
      <c r="AC90" s="2">
        <f>IF(Games[[#This Row],[Type]]="R",IF(Games[[#This Row],[Result]]&gt;0.5,1,0),0)</f>
        <v>0</v>
      </c>
      <c r="AD90" s="2">
        <f>IF(Games[[#This Row],[Type]]="R",IF(Games[[#This Row],[Result]]&lt;0.5,1,0),0)</f>
        <v>1</v>
      </c>
      <c r="AE90" s="2">
        <f>IF(AND(Games[[#This Row],[Type]]="P",Games[[#This Row],[Round]]=1),IF(Games[[#This Row],[Result]]&gt;0.5,1,0),0)</f>
        <v>0</v>
      </c>
      <c r="AF90" s="2">
        <f>IF(AND(Games[[#This Row],[Type]]="P",Games[[#This Row],[Round]]=1),IF(Games[[#This Row],[Result]]&lt;0.5,1,0),0)</f>
        <v>0</v>
      </c>
      <c r="AG90" s="2">
        <f>IF(AND(Games[[#This Row],[Type]]="P",Games[[#This Row],[Round]]=2),IF(Games[[#This Row],[Result]]&gt;0.5,1,0),0)</f>
        <v>0</v>
      </c>
      <c r="AH90" s="2">
        <f>IF(AND(Games[[#This Row],[Type]]="P",Games[[#This Row],[Round]]=2),IF(Games[[#This Row],[Result]]&lt;0.5,1,0),0)</f>
        <v>0</v>
      </c>
      <c r="AI90" s="2">
        <f>IF(AND(Games[[#This Row],[Type]]="P",Games[[#This Row],[Round]]=3),IF(Games[[#This Row],[Result]]&gt;0.5,1,0),0)</f>
        <v>0</v>
      </c>
      <c r="AJ90" s="2">
        <f>IF(AND(Games[[#This Row],[Type]]="P",Games[[#This Row],[Round]]=3),IF(Games[[#This Row],[Result]]&lt;0.5,1,0),0)</f>
        <v>0</v>
      </c>
      <c r="AK90" s="2">
        <f>IF(AND(Games[[#This Row],[Type]]="P",Games[[#This Row],[Round]]=4),IF(Games[[#This Row],[Result]]&gt;0.5,1,0),0)</f>
        <v>0</v>
      </c>
      <c r="AL90" s="2">
        <f>IF(AND(Games[[#This Row],[Type]]="P",Games[[#This Row],[Round]]=4),IF(Games[[#This Row],[Result]]&lt;0.5,1,0),0)</f>
        <v>0</v>
      </c>
    </row>
    <row r="91" spans="1:38" x14ac:dyDescent="0.35">
      <c r="A91" s="10">
        <v>37785</v>
      </c>
      <c r="B91" s="2">
        <v>2003</v>
      </c>
      <c r="C91" s="2">
        <f>COUNTIFS(Games[Team],Games[[#This Row],[Team]],Games[Season],Games[[#This Row],[Season]],Games[Date],"&lt;=" &amp; Games[[#This Row],[Date]])</f>
        <v>6</v>
      </c>
      <c r="D91" s="2" t="s">
        <v>23</v>
      </c>
      <c r="E91" s="2" t="s">
        <v>29</v>
      </c>
      <c r="F91" s="1" t="s">
        <v>87</v>
      </c>
      <c r="G91" s="1" t="s">
        <v>74</v>
      </c>
      <c r="H91" s="1" t="s">
        <v>15</v>
      </c>
      <c r="I91" s="2" cm="1">
        <f t="array" ref="I91">IFERROR(
    Games[[#This Row],[Date]]
    - LOOKUP(
        2,
        1/((Games[Team]=Games[[#This Row],[Team]]) * (Games[Date] &lt; Games[[#This Row],[Date]])),
        Games[Date]
    )
    - 1,
Games[[#This Row],[Date]]-$A$2)</f>
        <v>5</v>
      </c>
      <c r="J91" s="2" cm="1">
        <f t="array" ref="J9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91" s="2">
        <f>Games[[#This Row],[DaysOff]]-Games[[#This Row],[OppDaysOff]]</f>
        <v>3</v>
      </c>
      <c r="L91" s="2">
        <f>Games[[#This Row],[OppDaysOff]]-Games[[#This Row],[DaysOff]]</f>
        <v>-3</v>
      </c>
      <c r="M91" s="1">
        <f>MAX(-16, MIN(16, Games[[#This Row],[RestDiff]]*8))</f>
        <v>16</v>
      </c>
      <c r="N91" s="1">
        <f>MAX(-16, MIN(16, Games[[#This Row],[OppRestDiff]]*8))</f>
        <v>-16</v>
      </c>
      <c r="O91" s="4" cm="1">
        <f t="array" ref="O9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1522.7516261365329</v>
      </c>
      <c r="P91" s="4" cm="1">
        <f t="array" ref="P9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1462.7198977542566</v>
      </c>
      <c r="Q91" s="4">
        <f>1/(1+10^(((Games[[#This Row],[OppPreGmRate]]+IF(Games[[#This Row],[HomeAway]]="A",HCA,0)+Games[[#This Row],[OppRestAdj]])-(Games[[#This Row],[PreGmRate]]+IF(Games[[#This Row],[HomeAway]]="H",HCA,0)+Games[[#This Row],[RestAdj]]))/400))</f>
        <v>0.73366939217502558</v>
      </c>
      <c r="R91" s="1">
        <v>84</v>
      </c>
      <c r="S91" s="1">
        <v>70</v>
      </c>
      <c r="T91" s="1">
        <v>0</v>
      </c>
      <c r="U91" s="1">
        <f>Games[[#This Row],[PointsFor]]-Games[[#This Row],[PointsAgainst]]</f>
        <v>14</v>
      </c>
      <c r="V91" s="1">
        <f>IF(Games[[#This Row],[MOV]]&gt;0,1,IF(Games[[#This Row],[MOV]]=0,0.5,0))</f>
        <v>1</v>
      </c>
      <c r="W91" s="4">
        <f>((ABS(Games[[#This Row],[MOV]])+5)^0.6)/(12+0.01*(ABS(Games[[#This Row],[PreGmRate]]-Games[[#This Row],[OppPreGmRate]])))*IF(Games[[#This Row],[OT]]=1,0.9,1)</f>
        <v>0.46437697643705778</v>
      </c>
      <c r="X91" s="7" cm="1">
        <f t="array" ref="X9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1" s="9">
        <f>MAX(kmin, kmax - 0.15 * MIN(Games[[#This Row],[GamesPlayed]], 82))</f>
        <v>75.099999999999994</v>
      </c>
      <c r="Z91" s="4">
        <f>Games[[#This Row],[K]]*Games[[#This Row],[POMult]]</f>
        <v>75.099999999999994</v>
      </c>
      <c r="AA91" s="4">
        <f>(Games[[#This Row],[Keff]]*Games[[#This Row],[MOVMult]])*(Games[[#This Row],[Result]]-Games[[#This Row],[ExpectedWin%]])</f>
        <v>9.2882029598198468</v>
      </c>
      <c r="AB91" s="4">
        <f>Games[[#This Row],[PreGmRate]]+Games[[#This Row],[RatingChange]]</f>
        <v>1532.0398290963528</v>
      </c>
      <c r="AC91" s="2">
        <f>IF(Games[[#This Row],[Type]]="R",IF(Games[[#This Row],[Result]]&gt;0.5,1,0),0)</f>
        <v>1</v>
      </c>
      <c r="AD91" s="2">
        <f>IF(Games[[#This Row],[Type]]="R",IF(Games[[#This Row],[Result]]&lt;0.5,1,0),0)</f>
        <v>0</v>
      </c>
      <c r="AE91" s="2">
        <f>IF(AND(Games[[#This Row],[Type]]="P",Games[[#This Row],[Round]]=1),IF(Games[[#This Row],[Result]]&gt;0.5,1,0),0)</f>
        <v>0</v>
      </c>
      <c r="AF91" s="2">
        <f>IF(AND(Games[[#This Row],[Type]]="P",Games[[#This Row],[Round]]=1),IF(Games[[#This Row],[Result]]&lt;0.5,1,0),0)</f>
        <v>0</v>
      </c>
      <c r="AG91" s="2">
        <f>IF(AND(Games[[#This Row],[Type]]="P",Games[[#This Row],[Round]]=2),IF(Games[[#This Row],[Result]]&gt;0.5,1,0),0)</f>
        <v>0</v>
      </c>
      <c r="AH91" s="2">
        <f>IF(AND(Games[[#This Row],[Type]]="P",Games[[#This Row],[Round]]=2),IF(Games[[#This Row],[Result]]&lt;0.5,1,0),0)</f>
        <v>0</v>
      </c>
      <c r="AI91" s="2">
        <f>IF(AND(Games[[#This Row],[Type]]="P",Games[[#This Row],[Round]]=3),IF(Games[[#This Row],[Result]]&gt;0.5,1,0),0)</f>
        <v>0</v>
      </c>
      <c r="AJ91" s="2">
        <f>IF(AND(Games[[#This Row],[Type]]="P",Games[[#This Row],[Round]]=3),IF(Games[[#This Row],[Result]]&lt;0.5,1,0),0)</f>
        <v>0</v>
      </c>
      <c r="AK91" s="2">
        <f>IF(AND(Games[[#This Row],[Type]]="P",Games[[#This Row],[Round]]=4),IF(Games[[#This Row],[Result]]&gt;0.5,1,0),0)</f>
        <v>0</v>
      </c>
      <c r="AL91" s="2">
        <f>IF(AND(Games[[#This Row],[Type]]="P",Games[[#This Row],[Round]]=4),IF(Games[[#This Row],[Result]]&lt;0.5,1,0),0)</f>
        <v>0</v>
      </c>
    </row>
    <row r="92" spans="1:38" x14ac:dyDescent="0.35">
      <c r="A92" s="10">
        <v>37786</v>
      </c>
      <c r="B92" s="2">
        <v>2003</v>
      </c>
      <c r="C92" s="2">
        <f>COUNTIFS(Games[Team],Games[[#This Row],[Team]],Games[Season],Games[[#This Row],[Season]],Games[Date],"&lt;=" &amp; Games[[#This Row],[Date]])</f>
        <v>7</v>
      </c>
      <c r="D92" s="2" t="s">
        <v>23</v>
      </c>
      <c r="E92" s="2" t="s">
        <v>29</v>
      </c>
      <c r="F92" s="1" t="s">
        <v>87</v>
      </c>
      <c r="G92" s="1" t="s">
        <v>1</v>
      </c>
      <c r="H92" s="1" t="s">
        <v>16</v>
      </c>
      <c r="I92" s="2" cm="1">
        <f t="array" ref="I92">IFERROR(
    Games[[#This Row],[Date]]
    - LOOKUP(
        2,
        1/((Games[Team]=Games[[#This Row],[Team]]) * (Games[Date] &lt; Games[[#This Row],[Date]])),
        Games[Date]
    )
    - 1,
Games[[#This Row],[Date]]-$A$2)</f>
        <v>0</v>
      </c>
      <c r="J92" s="2" cm="1">
        <f t="array" ref="J92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92" s="2">
        <f>Games[[#This Row],[DaysOff]]-Games[[#This Row],[OppDaysOff]]</f>
        <v>-3</v>
      </c>
      <c r="L92" s="2">
        <f>Games[[#This Row],[OppDaysOff]]-Games[[#This Row],[DaysOff]]</f>
        <v>3</v>
      </c>
      <c r="M92" s="1">
        <f>MAX(-16, MIN(16, Games[[#This Row],[RestDiff]]*8))</f>
        <v>-16</v>
      </c>
      <c r="N92" s="1">
        <f>MAX(-16, MIN(16, Games[[#This Row],[OppRestDiff]]*8))</f>
        <v>16</v>
      </c>
      <c r="O92" s="4" cm="1">
        <f t="array" ref="O9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1532.0398290963528</v>
      </c>
      <c r="P92" s="4" cm="1">
        <f t="array" ref="P9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1488.0431637012309</v>
      </c>
      <c r="Q92" s="4">
        <f>1/(1+10^(((Games[[#This Row],[OppPreGmRate]]+IF(Games[[#This Row],[HomeAway]]="A",HCA,0)+Games[[#This Row],[OppRestAdj]])-(Games[[#This Row],[PreGmRate]]+IF(Games[[#This Row],[HomeAway]]="H",HCA,0)+Games[[#This Row],[RestAdj]]))/400))</f>
        <v>0.39783730828195929</v>
      </c>
      <c r="R92" s="1">
        <v>56</v>
      </c>
      <c r="S92" s="1">
        <v>84</v>
      </c>
      <c r="T92" s="1">
        <v>0</v>
      </c>
      <c r="U92" s="1">
        <f>Games[[#This Row],[PointsFor]]-Games[[#This Row],[PointsAgainst]]</f>
        <v>-28</v>
      </c>
      <c r="V92" s="1">
        <f>IF(Games[[#This Row],[MOV]]&gt;0,1,IF(Games[[#This Row],[MOV]]=0,0.5,0))</f>
        <v>0</v>
      </c>
      <c r="W92" s="4">
        <f>((ABS(Games[[#This Row],[MOV]])+5)^0.6)/(12+0.01*(ABS(Games[[#This Row],[PreGmRate]]-Games[[#This Row],[OppPreGmRate]])))*IF(Games[[#This Row],[OT]]=1,0.9,1)</f>
        <v>0.65507216759817399</v>
      </c>
      <c r="X92" s="7" cm="1">
        <f t="array" ref="X9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2" s="9">
        <f>MAX(kmin, kmax - 0.15 * MIN(Games[[#This Row],[GamesPlayed]], 82))</f>
        <v>74.95</v>
      </c>
      <c r="Z92" s="4">
        <f>Games[[#This Row],[K]]*Games[[#This Row],[POMult]]</f>
        <v>74.95</v>
      </c>
      <c r="AA92" s="4">
        <f>(Games[[#This Row],[Keff]]*Games[[#This Row],[MOVMult]])*(Games[[#This Row],[Result]]-Games[[#This Row],[ExpectedWin%]])</f>
        <v>-19.532880484182069</v>
      </c>
      <c r="AB92" s="4">
        <f>Games[[#This Row],[PreGmRate]]+Games[[#This Row],[RatingChange]]</f>
        <v>1512.5069486121708</v>
      </c>
      <c r="AC92" s="2">
        <f>IF(Games[[#This Row],[Type]]="R",IF(Games[[#This Row],[Result]]&gt;0.5,1,0),0)</f>
        <v>0</v>
      </c>
      <c r="AD92" s="2">
        <f>IF(Games[[#This Row],[Type]]="R",IF(Games[[#This Row],[Result]]&lt;0.5,1,0),0)</f>
        <v>1</v>
      </c>
      <c r="AE92" s="2">
        <f>IF(AND(Games[[#This Row],[Type]]="P",Games[[#This Row],[Round]]=1),IF(Games[[#This Row],[Result]]&gt;0.5,1,0),0)</f>
        <v>0</v>
      </c>
      <c r="AF92" s="2">
        <f>IF(AND(Games[[#This Row],[Type]]="P",Games[[#This Row],[Round]]=1),IF(Games[[#This Row],[Result]]&lt;0.5,1,0),0)</f>
        <v>0</v>
      </c>
      <c r="AG92" s="2">
        <f>IF(AND(Games[[#This Row],[Type]]="P",Games[[#This Row],[Round]]=2),IF(Games[[#This Row],[Result]]&gt;0.5,1,0),0)</f>
        <v>0</v>
      </c>
      <c r="AH92" s="2">
        <f>IF(AND(Games[[#This Row],[Type]]="P",Games[[#This Row],[Round]]=2),IF(Games[[#This Row],[Result]]&lt;0.5,1,0),0)</f>
        <v>0</v>
      </c>
      <c r="AI92" s="2">
        <f>IF(AND(Games[[#This Row],[Type]]="P",Games[[#This Row],[Round]]=3),IF(Games[[#This Row],[Result]]&gt;0.5,1,0),0)</f>
        <v>0</v>
      </c>
      <c r="AJ92" s="2">
        <f>IF(AND(Games[[#This Row],[Type]]="P",Games[[#This Row],[Round]]=3),IF(Games[[#This Row],[Result]]&lt;0.5,1,0),0)</f>
        <v>0</v>
      </c>
      <c r="AK92" s="2">
        <f>IF(AND(Games[[#This Row],[Type]]="P",Games[[#This Row],[Round]]=4),IF(Games[[#This Row],[Result]]&gt;0.5,1,0),0)</f>
        <v>0</v>
      </c>
      <c r="AL92" s="2">
        <f>IF(AND(Games[[#This Row],[Type]]="P",Games[[#This Row],[Round]]=4),IF(Games[[#This Row],[Result]]&lt;0.5,1,0),0)</f>
        <v>0</v>
      </c>
    </row>
    <row r="93" spans="1:38" x14ac:dyDescent="0.35">
      <c r="A93" s="10">
        <v>37786</v>
      </c>
      <c r="B93" s="2">
        <v>2003</v>
      </c>
      <c r="C93" s="2">
        <f>COUNTIFS(Games[Team],Games[[#This Row],[Team]],Games[Season],Games[[#This Row],[Season]],Games[Date],"&lt;=" &amp; Games[[#This Row],[Date]])</f>
        <v>6</v>
      </c>
      <c r="D93" s="2" t="s">
        <v>23</v>
      </c>
      <c r="E93" s="2" t="s">
        <v>29</v>
      </c>
      <c r="F93" s="1" t="s">
        <v>1</v>
      </c>
      <c r="G93" s="1" t="s">
        <v>87</v>
      </c>
      <c r="H93" s="1" t="s">
        <v>15</v>
      </c>
      <c r="I93" s="2" cm="1">
        <f t="array" ref="I93">IFERROR(
    Games[[#This Row],[Date]]
    - LOOKUP(
        2,
        1/((Games[Team]=Games[[#This Row],[Team]]) * (Games[Date] &lt; Games[[#This Row],[Date]])),
        Games[Date]
    )
    - 1,
Games[[#This Row],[Date]]-$A$2)</f>
        <v>3</v>
      </c>
      <c r="J93" s="2" cm="1">
        <f t="array" ref="J93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93" s="2">
        <f>Games[[#This Row],[DaysOff]]-Games[[#This Row],[OppDaysOff]]</f>
        <v>3</v>
      </c>
      <c r="L93" s="2">
        <f>Games[[#This Row],[OppDaysOff]]-Games[[#This Row],[DaysOff]]</f>
        <v>-3</v>
      </c>
      <c r="M93" s="1">
        <f>MAX(-16, MIN(16, Games[[#This Row],[RestDiff]]*8))</f>
        <v>16</v>
      </c>
      <c r="N93" s="1">
        <f>MAX(-16, MIN(16, Games[[#This Row],[OppRestDiff]]*8))</f>
        <v>-16</v>
      </c>
      <c r="O93" s="4" cm="1">
        <f t="array" ref="O9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1488.0431637012309</v>
      </c>
      <c r="P93" s="4" cm="1">
        <f t="array" ref="P9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1532.0398290963528</v>
      </c>
      <c r="Q93" s="4">
        <f>1/(1+10^(((Games[[#This Row],[OppPreGmRate]]+IF(Games[[#This Row],[HomeAway]]="A",HCA,0)+Games[[#This Row],[OppRestAdj]])-(Games[[#This Row],[PreGmRate]]+IF(Games[[#This Row],[HomeAway]]="H",HCA,0)+Games[[#This Row],[RestAdj]]))/400))</f>
        <v>0.6021626917180406</v>
      </c>
      <c r="R93" s="1">
        <v>84</v>
      </c>
      <c r="S93" s="1">
        <v>56</v>
      </c>
      <c r="T93" s="1">
        <v>0</v>
      </c>
      <c r="U93" s="1">
        <f>Games[[#This Row],[PointsFor]]-Games[[#This Row],[PointsAgainst]]</f>
        <v>28</v>
      </c>
      <c r="V93" s="1">
        <f>IF(Games[[#This Row],[MOV]]&gt;0,1,IF(Games[[#This Row],[MOV]]=0,0.5,0))</f>
        <v>1</v>
      </c>
      <c r="W93" s="4">
        <f>((ABS(Games[[#This Row],[MOV]])+5)^0.6)/(12+0.01*(ABS(Games[[#This Row],[PreGmRate]]-Games[[#This Row],[OppPreGmRate]])))*IF(Games[[#This Row],[OT]]=1,0.9,1)</f>
        <v>0.65507216759817399</v>
      </c>
      <c r="X93" s="7" cm="1">
        <f t="array" ref="X9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3" s="9">
        <f>MAX(kmin, kmax - 0.15 * MIN(Games[[#This Row],[GamesPlayed]], 82))</f>
        <v>75.099999999999994</v>
      </c>
      <c r="Z93" s="4">
        <f>Games[[#This Row],[K]]*Games[[#This Row],[POMult]]</f>
        <v>75.099999999999994</v>
      </c>
      <c r="AA93" s="4">
        <f>(Games[[#This Row],[Keff]]*Games[[#This Row],[MOVMult]])*(Games[[#This Row],[Result]]-Games[[#This Row],[ExpectedWin%]])</f>
        <v>19.571972306365229</v>
      </c>
      <c r="AB93" s="4">
        <f>Games[[#This Row],[PreGmRate]]+Games[[#This Row],[RatingChange]]</f>
        <v>1507.6151360075962</v>
      </c>
      <c r="AC93" s="2">
        <f>IF(Games[[#This Row],[Type]]="R",IF(Games[[#This Row],[Result]]&gt;0.5,1,0),0)</f>
        <v>1</v>
      </c>
      <c r="AD93" s="2">
        <f>IF(Games[[#This Row],[Type]]="R",IF(Games[[#This Row],[Result]]&lt;0.5,1,0),0)</f>
        <v>0</v>
      </c>
      <c r="AE93" s="2">
        <f>IF(AND(Games[[#This Row],[Type]]="P",Games[[#This Row],[Round]]=1),IF(Games[[#This Row],[Result]]&gt;0.5,1,0),0)</f>
        <v>0</v>
      </c>
      <c r="AF93" s="2">
        <f>IF(AND(Games[[#This Row],[Type]]="P",Games[[#This Row],[Round]]=1),IF(Games[[#This Row],[Result]]&lt;0.5,1,0),0)</f>
        <v>0</v>
      </c>
      <c r="AG93" s="2">
        <f>IF(AND(Games[[#This Row],[Type]]="P",Games[[#This Row],[Round]]=2),IF(Games[[#This Row],[Result]]&gt;0.5,1,0),0)</f>
        <v>0</v>
      </c>
      <c r="AH93" s="2">
        <f>IF(AND(Games[[#This Row],[Type]]="P",Games[[#This Row],[Round]]=2),IF(Games[[#This Row],[Result]]&lt;0.5,1,0),0)</f>
        <v>0</v>
      </c>
      <c r="AI93" s="2">
        <f>IF(AND(Games[[#This Row],[Type]]="P",Games[[#This Row],[Round]]=3),IF(Games[[#This Row],[Result]]&gt;0.5,1,0),0)</f>
        <v>0</v>
      </c>
      <c r="AJ93" s="2">
        <f>IF(AND(Games[[#This Row],[Type]]="P",Games[[#This Row],[Round]]=3),IF(Games[[#This Row],[Result]]&lt;0.5,1,0),0)</f>
        <v>0</v>
      </c>
      <c r="AK93" s="2">
        <f>IF(AND(Games[[#This Row],[Type]]="P",Games[[#This Row],[Round]]=4),IF(Games[[#This Row],[Result]]&gt;0.5,1,0),0)</f>
        <v>0</v>
      </c>
      <c r="AL93" s="2">
        <f>IF(AND(Games[[#This Row],[Type]]="P",Games[[#This Row],[Round]]=4),IF(Games[[#This Row],[Result]]&lt;0.5,1,0),0)</f>
        <v>0</v>
      </c>
    </row>
    <row r="94" spans="1:38" x14ac:dyDescent="0.35">
      <c r="A94" s="10">
        <v>37786</v>
      </c>
      <c r="B94" s="2">
        <v>2003</v>
      </c>
      <c r="C94" s="2">
        <f>COUNTIFS(Games[Team],Games[[#This Row],[Team]],Games[Season],Games[[#This Row],[Season]],Games[Date],"&lt;=" &amp; Games[[#This Row],[Date]])</f>
        <v>9</v>
      </c>
      <c r="D94" s="2" t="s">
        <v>23</v>
      </c>
      <c r="E94" s="2" t="s">
        <v>29</v>
      </c>
      <c r="F94" s="1" t="s">
        <v>71</v>
      </c>
      <c r="G94" s="1" t="s">
        <v>66</v>
      </c>
      <c r="H94" s="1" t="s">
        <v>16</v>
      </c>
      <c r="I94" s="2" cm="1">
        <f t="array" ref="I94">IFERROR(
    Games[[#This Row],[Date]]
    - LOOKUP(
        2,
        1/((Games[Team]=Games[[#This Row],[Team]]) * (Games[Date] &lt; Games[[#This Row],[Date]])),
        Games[Date]
    )
    - 1,
Games[[#This Row],[Date]]-$A$2)</f>
        <v>1</v>
      </c>
      <c r="J94" s="2" cm="1">
        <f t="array" ref="J94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94" s="2">
        <f>Games[[#This Row],[DaysOff]]-Games[[#This Row],[OppDaysOff]]</f>
        <v>-2</v>
      </c>
      <c r="L94" s="2">
        <f>Games[[#This Row],[OppDaysOff]]-Games[[#This Row],[DaysOff]]</f>
        <v>2</v>
      </c>
      <c r="M94" s="1">
        <f>MAX(-16, MIN(16, Games[[#This Row],[RestDiff]]*8))</f>
        <v>-16</v>
      </c>
      <c r="N94" s="1">
        <f>MAX(-16, MIN(16, Games[[#This Row],[OppRestDiff]]*8))</f>
        <v>16</v>
      </c>
      <c r="O94" s="4" cm="1">
        <f t="array" ref="O9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1685.5689980153147</v>
      </c>
      <c r="P94" s="4" cm="1">
        <f t="array" ref="P9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1521.4815678885445</v>
      </c>
      <c r="Q94" s="4">
        <f>1/(1+10^(((Games[[#This Row],[OppPreGmRate]]+IF(Games[[#This Row],[HomeAway]]="A",HCA,0)+Games[[#This Row],[OppRestAdj]])-(Games[[#This Row],[PreGmRate]]+IF(Games[[#This Row],[HomeAway]]="H",HCA,0)+Games[[#This Row],[RestAdj]]))/400))</f>
        <v>0.56876483836957181</v>
      </c>
      <c r="R94" s="1">
        <v>67</v>
      </c>
      <c r="S94" s="1">
        <v>60</v>
      </c>
      <c r="T94" s="1">
        <v>0</v>
      </c>
      <c r="U94" s="1">
        <f>Games[[#This Row],[PointsFor]]-Games[[#This Row],[PointsAgainst]]</f>
        <v>7</v>
      </c>
      <c r="V94" s="1">
        <f>IF(Games[[#This Row],[MOV]]&gt;0,1,IF(Games[[#This Row],[MOV]]=0,0.5,0))</f>
        <v>1</v>
      </c>
      <c r="W94" s="4">
        <f>((ABS(Games[[#This Row],[MOV]])+5)^0.6)/(12+0.01*(ABS(Games[[#This Row],[PreGmRate]]-Games[[#This Row],[OppPreGmRate]])))*IF(Games[[#This Row],[OT]]=1,0.9,1)</f>
        <v>0.32558661356721785</v>
      </c>
      <c r="X94" s="7" cm="1">
        <f t="array" ref="X9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4" s="9">
        <f>MAX(kmin, kmax - 0.15 * MIN(Games[[#This Row],[GamesPlayed]], 82))</f>
        <v>74.650000000000006</v>
      </c>
      <c r="Z94" s="4">
        <f>Games[[#This Row],[K]]*Games[[#This Row],[POMult]]</f>
        <v>74.650000000000006</v>
      </c>
      <c r="AA94" s="4">
        <f>(Games[[#This Row],[Keff]]*Games[[#This Row],[MOVMult]])*(Games[[#This Row],[Result]]-Games[[#This Row],[ExpectedWin%]])</f>
        <v>10.481188155902997</v>
      </c>
      <c r="AB94" s="4">
        <f>Games[[#This Row],[PreGmRate]]+Games[[#This Row],[RatingChange]]</f>
        <v>1696.0501861712178</v>
      </c>
      <c r="AC94" s="2">
        <f>IF(Games[[#This Row],[Type]]="R",IF(Games[[#This Row],[Result]]&gt;0.5,1,0),0)</f>
        <v>1</v>
      </c>
      <c r="AD94" s="2">
        <f>IF(Games[[#This Row],[Type]]="R",IF(Games[[#This Row],[Result]]&lt;0.5,1,0),0)</f>
        <v>0</v>
      </c>
      <c r="AE94" s="2">
        <f>IF(AND(Games[[#This Row],[Type]]="P",Games[[#This Row],[Round]]=1),IF(Games[[#This Row],[Result]]&gt;0.5,1,0),0)</f>
        <v>0</v>
      </c>
      <c r="AF94" s="2">
        <f>IF(AND(Games[[#This Row],[Type]]="P",Games[[#This Row],[Round]]=1),IF(Games[[#This Row],[Result]]&lt;0.5,1,0),0)</f>
        <v>0</v>
      </c>
      <c r="AG94" s="2">
        <f>IF(AND(Games[[#This Row],[Type]]="P",Games[[#This Row],[Round]]=2),IF(Games[[#This Row],[Result]]&gt;0.5,1,0),0)</f>
        <v>0</v>
      </c>
      <c r="AH94" s="2">
        <f>IF(AND(Games[[#This Row],[Type]]="P",Games[[#This Row],[Round]]=2),IF(Games[[#This Row],[Result]]&lt;0.5,1,0),0)</f>
        <v>0</v>
      </c>
      <c r="AI94" s="2">
        <f>IF(AND(Games[[#This Row],[Type]]="P",Games[[#This Row],[Round]]=3),IF(Games[[#This Row],[Result]]&gt;0.5,1,0),0)</f>
        <v>0</v>
      </c>
      <c r="AJ94" s="2">
        <f>IF(AND(Games[[#This Row],[Type]]="P",Games[[#This Row],[Round]]=3),IF(Games[[#This Row],[Result]]&lt;0.5,1,0),0)</f>
        <v>0</v>
      </c>
      <c r="AK94" s="2">
        <f>IF(AND(Games[[#This Row],[Type]]="P",Games[[#This Row],[Round]]=4),IF(Games[[#This Row],[Result]]&gt;0.5,1,0),0)</f>
        <v>0</v>
      </c>
      <c r="AL94" s="2">
        <f>IF(AND(Games[[#This Row],[Type]]="P",Games[[#This Row],[Round]]=4),IF(Games[[#This Row],[Result]]&lt;0.5,1,0),0)</f>
        <v>0</v>
      </c>
    </row>
    <row r="95" spans="1:38" x14ac:dyDescent="0.35">
      <c r="A95" s="10">
        <v>37786</v>
      </c>
      <c r="B95" s="2">
        <v>2003</v>
      </c>
      <c r="C95" s="2">
        <f>COUNTIFS(Games[Team],Games[[#This Row],[Team]],Games[Season],Games[[#This Row],[Season]],Games[Date],"&lt;=" &amp; Games[[#This Row],[Date]])</f>
        <v>6</v>
      </c>
      <c r="D95" s="2" t="s">
        <v>23</v>
      </c>
      <c r="E95" s="2" t="s">
        <v>29</v>
      </c>
      <c r="F95" s="1" t="s">
        <v>66</v>
      </c>
      <c r="G95" s="1" t="s">
        <v>71</v>
      </c>
      <c r="H95" s="1" t="s">
        <v>15</v>
      </c>
      <c r="I95" s="2" cm="1">
        <f t="array" ref="I95">IFERROR(
    Games[[#This Row],[Date]]
    - LOOKUP(
        2,
        1/((Games[Team]=Games[[#This Row],[Team]]) * (Games[Date] &lt; Games[[#This Row],[Date]])),
        Games[Date]
    )
    - 1,
Games[[#This Row],[Date]]-$A$2)</f>
        <v>3</v>
      </c>
      <c r="J95" s="2" cm="1">
        <f t="array" ref="J9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95" s="2">
        <f>Games[[#This Row],[DaysOff]]-Games[[#This Row],[OppDaysOff]]</f>
        <v>2</v>
      </c>
      <c r="L95" s="2">
        <f>Games[[#This Row],[OppDaysOff]]-Games[[#This Row],[DaysOff]]</f>
        <v>-2</v>
      </c>
      <c r="M95" s="1">
        <f>MAX(-16, MIN(16, Games[[#This Row],[RestDiff]]*8))</f>
        <v>16</v>
      </c>
      <c r="N95" s="1">
        <f>MAX(-16, MIN(16, Games[[#This Row],[OppRestDiff]]*8))</f>
        <v>-16</v>
      </c>
      <c r="O95" s="4" cm="1">
        <f t="array" ref="O9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1521.4815678885445</v>
      </c>
      <c r="P95" s="4" cm="1">
        <f t="array" ref="P9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1685.5689980153147</v>
      </c>
      <c r="Q95" s="4">
        <f>1/(1+10^(((Games[[#This Row],[OppPreGmRate]]+IF(Games[[#This Row],[HomeAway]]="A",HCA,0)+Games[[#This Row],[OppRestAdj]])-(Games[[#This Row],[PreGmRate]]+IF(Games[[#This Row],[HomeAway]]="H",HCA,0)+Games[[#This Row],[RestAdj]]))/400))</f>
        <v>0.43123516163042824</v>
      </c>
      <c r="R95" s="1">
        <v>60</v>
      </c>
      <c r="S95" s="1">
        <v>67</v>
      </c>
      <c r="T95" s="1">
        <v>0</v>
      </c>
      <c r="U95" s="1">
        <f>Games[[#This Row],[PointsFor]]-Games[[#This Row],[PointsAgainst]]</f>
        <v>-7</v>
      </c>
      <c r="V95" s="1">
        <f>IF(Games[[#This Row],[MOV]]&gt;0,1,IF(Games[[#This Row],[MOV]]=0,0.5,0))</f>
        <v>0</v>
      </c>
      <c r="W95" s="4">
        <f>((ABS(Games[[#This Row],[MOV]])+5)^0.6)/(12+0.01*(ABS(Games[[#This Row],[PreGmRate]]-Games[[#This Row],[OppPreGmRate]])))*IF(Games[[#This Row],[OT]]=1,0.9,1)</f>
        <v>0.32558661356721785</v>
      </c>
      <c r="X95" s="7" cm="1">
        <f t="array" ref="X9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5" s="9">
        <f>MAX(kmin, kmax - 0.15 * MIN(Games[[#This Row],[GamesPlayed]], 82))</f>
        <v>75.099999999999994</v>
      </c>
      <c r="Z95" s="4">
        <f>Games[[#This Row],[K]]*Games[[#This Row],[POMult]]</f>
        <v>75.099999999999994</v>
      </c>
      <c r="AA95" s="4">
        <f>(Games[[#This Row],[Keff]]*Games[[#This Row],[MOVMult]])*(Games[[#This Row],[Result]]-Games[[#This Row],[ExpectedWin%]])</f>
        <v>-10.544370134069858</v>
      </c>
      <c r="AB95" s="4">
        <f>Games[[#This Row],[PreGmRate]]+Games[[#This Row],[RatingChange]]</f>
        <v>1510.9371977544747</v>
      </c>
      <c r="AC95" s="2">
        <f>IF(Games[[#This Row],[Type]]="R",IF(Games[[#This Row],[Result]]&gt;0.5,1,0),0)</f>
        <v>0</v>
      </c>
      <c r="AD95" s="2">
        <f>IF(Games[[#This Row],[Type]]="R",IF(Games[[#This Row],[Result]]&lt;0.5,1,0),0)</f>
        <v>1</v>
      </c>
      <c r="AE95" s="2">
        <f>IF(AND(Games[[#This Row],[Type]]="P",Games[[#This Row],[Round]]=1),IF(Games[[#This Row],[Result]]&gt;0.5,1,0),0)</f>
        <v>0</v>
      </c>
      <c r="AF95" s="2">
        <f>IF(AND(Games[[#This Row],[Type]]="P",Games[[#This Row],[Round]]=1),IF(Games[[#This Row],[Result]]&lt;0.5,1,0),0)</f>
        <v>0</v>
      </c>
      <c r="AG95" s="2">
        <f>IF(AND(Games[[#This Row],[Type]]="P",Games[[#This Row],[Round]]=2),IF(Games[[#This Row],[Result]]&gt;0.5,1,0),0)</f>
        <v>0</v>
      </c>
      <c r="AH95" s="2">
        <f>IF(AND(Games[[#This Row],[Type]]="P",Games[[#This Row],[Round]]=2),IF(Games[[#This Row],[Result]]&lt;0.5,1,0),0)</f>
        <v>0</v>
      </c>
      <c r="AI95" s="2">
        <f>IF(AND(Games[[#This Row],[Type]]="P",Games[[#This Row],[Round]]=3),IF(Games[[#This Row],[Result]]&gt;0.5,1,0),0)</f>
        <v>0</v>
      </c>
      <c r="AJ95" s="2">
        <f>IF(AND(Games[[#This Row],[Type]]="P",Games[[#This Row],[Round]]=3),IF(Games[[#This Row],[Result]]&lt;0.5,1,0),0)</f>
        <v>0</v>
      </c>
      <c r="AK95" s="2">
        <f>IF(AND(Games[[#This Row],[Type]]="P",Games[[#This Row],[Round]]=4),IF(Games[[#This Row],[Result]]&gt;0.5,1,0),0)</f>
        <v>0</v>
      </c>
      <c r="AL95" s="2">
        <f>IF(AND(Games[[#This Row],[Type]]="P",Games[[#This Row],[Round]]=4),IF(Games[[#This Row],[Result]]&lt;0.5,1,0),0)</f>
        <v>0</v>
      </c>
    </row>
    <row r="96" spans="1:38" x14ac:dyDescent="0.35">
      <c r="A96" s="10">
        <v>37786</v>
      </c>
      <c r="B96" s="2">
        <v>2003</v>
      </c>
      <c r="C96" s="2">
        <f>COUNTIFS(Games[Team],Games[[#This Row],[Team]],Games[Season],Games[[#This Row],[Season]],Games[Date],"&lt;=" &amp; Games[[#This Row],[Date]])</f>
        <v>9</v>
      </c>
      <c r="D96" s="2" t="s">
        <v>23</v>
      </c>
      <c r="E96" s="2" t="s">
        <v>29</v>
      </c>
      <c r="F96" s="1" t="s">
        <v>2</v>
      </c>
      <c r="G96" s="1" t="s">
        <v>44</v>
      </c>
      <c r="H96" s="1" t="s">
        <v>16</v>
      </c>
      <c r="I96" s="2" cm="1">
        <f t="array" ref="I96">IFERROR(
    Games[[#This Row],[Date]]
    - LOOKUP(
        2,
        1/((Games[Team]=Games[[#This Row],[Team]]) * (Games[Date] &lt; Games[[#This Row],[Date]])),
        Games[Date]
    )
    - 1,
Games[[#This Row],[Date]]-$A$2)</f>
        <v>3</v>
      </c>
      <c r="J96" s="2" cm="1">
        <f t="array" ref="J9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96" s="2">
        <f>Games[[#This Row],[DaysOff]]-Games[[#This Row],[OppDaysOff]]</f>
        <v>2</v>
      </c>
      <c r="L96" s="2">
        <f>Games[[#This Row],[OppDaysOff]]-Games[[#This Row],[DaysOff]]</f>
        <v>-2</v>
      </c>
      <c r="M96" s="1">
        <f>MAX(-16, MIN(16, Games[[#This Row],[RestDiff]]*8))</f>
        <v>16</v>
      </c>
      <c r="N96" s="1">
        <f>MAX(-16, MIN(16, Games[[#This Row],[OppRestDiff]]*8))</f>
        <v>-16</v>
      </c>
      <c r="O96" s="4" cm="1">
        <f t="array" ref="O9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1546.0757271486389</v>
      </c>
      <c r="P96" s="4" cm="1">
        <f t="array" ref="P9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1373.5224330696474</v>
      </c>
      <c r="Q96" s="4">
        <f>1/(1+10^(((Games[[#This Row],[OppPreGmRate]]+IF(Games[[#This Row],[HomeAway]]="A",HCA,0)+Games[[#This Row],[OppRestAdj]])-(Games[[#This Row],[PreGmRate]]+IF(Games[[#This Row],[HomeAway]]="H",HCA,0)+Games[[#This Row],[RestAdj]]))/400))</f>
        <v>0.66684738973200341</v>
      </c>
      <c r="R96" s="1">
        <v>61</v>
      </c>
      <c r="S96" s="1">
        <v>76</v>
      </c>
      <c r="T96" s="1">
        <v>0</v>
      </c>
      <c r="U96" s="1">
        <f>Games[[#This Row],[PointsFor]]-Games[[#This Row],[PointsAgainst]]</f>
        <v>-15</v>
      </c>
      <c r="V96" s="1">
        <f>IF(Games[[#This Row],[MOV]]&gt;0,1,IF(Games[[#This Row],[MOV]]=0,0.5,0))</f>
        <v>0</v>
      </c>
      <c r="W96" s="4">
        <f>((ABS(Games[[#This Row],[MOV]])+5)^0.6)/(12+0.01*(ABS(Games[[#This Row],[PreGmRate]]-Games[[#This Row],[OppPreGmRate]])))*IF(Games[[#This Row],[OT]]=1,0.9,1)</f>
        <v>0.43963147825121102</v>
      </c>
      <c r="X96" s="7" cm="1">
        <f t="array" ref="X9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6" s="9">
        <f>MAX(kmin, kmax - 0.15 * MIN(Games[[#This Row],[GamesPlayed]], 82))</f>
        <v>74.650000000000006</v>
      </c>
      <c r="Z96" s="4">
        <f>Games[[#This Row],[K]]*Games[[#This Row],[POMult]]</f>
        <v>74.650000000000006</v>
      </c>
      <c r="AA96" s="4">
        <f>(Games[[#This Row],[Keff]]*Games[[#This Row],[MOVMult]])*(Games[[#This Row],[Result]]-Games[[#This Row],[ExpectedWin%]])</f>
        <v>-21.884924292387613</v>
      </c>
      <c r="AB96" s="4">
        <f>Games[[#This Row],[PreGmRate]]+Games[[#This Row],[RatingChange]]</f>
        <v>1524.1908028562511</v>
      </c>
      <c r="AC96" s="2">
        <f>IF(Games[[#This Row],[Type]]="R",IF(Games[[#This Row],[Result]]&gt;0.5,1,0),0)</f>
        <v>0</v>
      </c>
      <c r="AD96" s="2">
        <f>IF(Games[[#This Row],[Type]]="R",IF(Games[[#This Row],[Result]]&lt;0.5,1,0),0)</f>
        <v>1</v>
      </c>
      <c r="AE96" s="2">
        <f>IF(AND(Games[[#This Row],[Type]]="P",Games[[#This Row],[Round]]=1),IF(Games[[#This Row],[Result]]&gt;0.5,1,0),0)</f>
        <v>0</v>
      </c>
      <c r="AF96" s="2">
        <f>IF(AND(Games[[#This Row],[Type]]="P",Games[[#This Row],[Round]]=1),IF(Games[[#This Row],[Result]]&lt;0.5,1,0),0)</f>
        <v>0</v>
      </c>
      <c r="AG96" s="2">
        <f>IF(AND(Games[[#This Row],[Type]]="P",Games[[#This Row],[Round]]=2),IF(Games[[#This Row],[Result]]&gt;0.5,1,0),0)</f>
        <v>0</v>
      </c>
      <c r="AH96" s="2">
        <f>IF(AND(Games[[#This Row],[Type]]="P",Games[[#This Row],[Round]]=2),IF(Games[[#This Row],[Result]]&lt;0.5,1,0),0)</f>
        <v>0</v>
      </c>
      <c r="AI96" s="2">
        <f>IF(AND(Games[[#This Row],[Type]]="P",Games[[#This Row],[Round]]=3),IF(Games[[#This Row],[Result]]&gt;0.5,1,0),0)</f>
        <v>0</v>
      </c>
      <c r="AJ96" s="2">
        <f>IF(AND(Games[[#This Row],[Type]]="P",Games[[#This Row],[Round]]=3),IF(Games[[#This Row],[Result]]&lt;0.5,1,0),0)</f>
        <v>0</v>
      </c>
      <c r="AK96" s="2">
        <f>IF(AND(Games[[#This Row],[Type]]="P",Games[[#This Row],[Round]]=4),IF(Games[[#This Row],[Result]]&gt;0.5,1,0),0)</f>
        <v>0</v>
      </c>
      <c r="AL96" s="2">
        <f>IF(AND(Games[[#This Row],[Type]]="P",Games[[#This Row],[Round]]=4),IF(Games[[#This Row],[Result]]&lt;0.5,1,0),0)</f>
        <v>0</v>
      </c>
    </row>
    <row r="97" spans="1:38" x14ac:dyDescent="0.35">
      <c r="A97" s="10">
        <v>37786</v>
      </c>
      <c r="B97" s="2">
        <v>2003</v>
      </c>
      <c r="C97" s="2">
        <f>COUNTIFS(Games[Team],Games[[#This Row],[Team]],Games[Season],Games[[#This Row],[Season]],Games[Date],"&lt;=" &amp; Games[[#This Row],[Date]])</f>
        <v>9</v>
      </c>
      <c r="D97" s="2" t="s">
        <v>23</v>
      </c>
      <c r="E97" s="2" t="s">
        <v>29</v>
      </c>
      <c r="F97" s="1" t="s">
        <v>44</v>
      </c>
      <c r="G97" s="1" t="s">
        <v>2</v>
      </c>
      <c r="H97" s="1" t="s">
        <v>15</v>
      </c>
      <c r="I97" s="2" cm="1">
        <f t="array" ref="I97">IFERROR(
    Games[[#This Row],[Date]]
    - LOOKUP(
        2,
        1/((Games[Team]=Games[[#This Row],[Team]]) * (Games[Date] &lt; Games[[#This Row],[Date]])),
        Games[Date]
    )
    - 1,
Games[[#This Row],[Date]]-$A$2)</f>
        <v>1</v>
      </c>
      <c r="J97" s="2" cm="1">
        <f t="array" ref="J97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97" s="2">
        <f>Games[[#This Row],[DaysOff]]-Games[[#This Row],[OppDaysOff]]</f>
        <v>-2</v>
      </c>
      <c r="L97" s="2">
        <f>Games[[#This Row],[OppDaysOff]]-Games[[#This Row],[DaysOff]]</f>
        <v>2</v>
      </c>
      <c r="M97" s="1">
        <f>MAX(-16, MIN(16, Games[[#This Row],[RestDiff]]*8))</f>
        <v>-16</v>
      </c>
      <c r="N97" s="1">
        <f>MAX(-16, MIN(16, Games[[#This Row],[OppRestDiff]]*8))</f>
        <v>16</v>
      </c>
      <c r="O97" s="4" cm="1">
        <f t="array" ref="O9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1373.5224330696474</v>
      </c>
      <c r="P97" s="4" cm="1">
        <f t="array" ref="P9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1546.0757271486389</v>
      </c>
      <c r="Q97" s="4">
        <f>1/(1+10^(((Games[[#This Row],[OppPreGmRate]]+IF(Games[[#This Row],[HomeAway]]="A",HCA,0)+Games[[#This Row],[OppRestAdj]])-(Games[[#This Row],[PreGmRate]]+IF(Games[[#This Row],[HomeAway]]="H",HCA,0)+Games[[#This Row],[RestAdj]]))/400))</f>
        <v>0.33315261026799664</v>
      </c>
      <c r="R97" s="1">
        <v>76</v>
      </c>
      <c r="S97" s="1">
        <v>61</v>
      </c>
      <c r="T97" s="1">
        <v>0</v>
      </c>
      <c r="U97" s="1">
        <f>Games[[#This Row],[PointsFor]]-Games[[#This Row],[PointsAgainst]]</f>
        <v>15</v>
      </c>
      <c r="V97" s="1">
        <f>IF(Games[[#This Row],[MOV]]&gt;0,1,IF(Games[[#This Row],[MOV]]=0,0.5,0))</f>
        <v>1</v>
      </c>
      <c r="W97" s="4">
        <f>((ABS(Games[[#This Row],[MOV]])+5)^0.6)/(12+0.01*(ABS(Games[[#This Row],[PreGmRate]]-Games[[#This Row],[OppPreGmRate]])))*IF(Games[[#This Row],[OT]]=1,0.9,1)</f>
        <v>0.43963147825121102</v>
      </c>
      <c r="X97" s="7" cm="1">
        <f t="array" ref="X9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7" s="9">
        <f>MAX(kmin, kmax - 0.15 * MIN(Games[[#This Row],[GamesPlayed]], 82))</f>
        <v>74.650000000000006</v>
      </c>
      <c r="Z97" s="4">
        <f>Games[[#This Row],[K]]*Games[[#This Row],[POMult]]</f>
        <v>74.650000000000006</v>
      </c>
      <c r="AA97" s="4">
        <f>(Games[[#This Row],[Keff]]*Games[[#This Row],[MOVMult]])*(Games[[#This Row],[Result]]-Games[[#This Row],[ExpectedWin%]])</f>
        <v>21.884924292387609</v>
      </c>
      <c r="AB97" s="4">
        <f>Games[[#This Row],[PreGmRate]]+Games[[#This Row],[RatingChange]]</f>
        <v>1395.4073573620349</v>
      </c>
      <c r="AC97" s="2">
        <f>IF(Games[[#This Row],[Type]]="R",IF(Games[[#This Row],[Result]]&gt;0.5,1,0),0)</f>
        <v>1</v>
      </c>
      <c r="AD97" s="2">
        <f>IF(Games[[#This Row],[Type]]="R",IF(Games[[#This Row],[Result]]&lt;0.5,1,0),0)</f>
        <v>0</v>
      </c>
      <c r="AE97" s="2">
        <f>IF(AND(Games[[#This Row],[Type]]="P",Games[[#This Row],[Round]]=1),IF(Games[[#This Row],[Result]]&gt;0.5,1,0),0)</f>
        <v>0</v>
      </c>
      <c r="AF97" s="2">
        <f>IF(AND(Games[[#This Row],[Type]]="P",Games[[#This Row],[Round]]=1),IF(Games[[#This Row],[Result]]&lt;0.5,1,0),0)</f>
        <v>0</v>
      </c>
      <c r="AG97" s="2">
        <f>IF(AND(Games[[#This Row],[Type]]="P",Games[[#This Row],[Round]]=2),IF(Games[[#This Row],[Result]]&gt;0.5,1,0),0)</f>
        <v>0</v>
      </c>
      <c r="AH97" s="2">
        <f>IF(AND(Games[[#This Row],[Type]]="P",Games[[#This Row],[Round]]=2),IF(Games[[#This Row],[Result]]&lt;0.5,1,0),0)</f>
        <v>0</v>
      </c>
      <c r="AI97" s="2">
        <f>IF(AND(Games[[#This Row],[Type]]="P",Games[[#This Row],[Round]]=3),IF(Games[[#This Row],[Result]]&gt;0.5,1,0),0)</f>
        <v>0</v>
      </c>
      <c r="AJ97" s="2">
        <f>IF(AND(Games[[#This Row],[Type]]="P",Games[[#This Row],[Round]]=3),IF(Games[[#This Row],[Result]]&lt;0.5,1,0),0)</f>
        <v>0</v>
      </c>
      <c r="AK97" s="2">
        <f>IF(AND(Games[[#This Row],[Type]]="P",Games[[#This Row],[Round]]=4),IF(Games[[#This Row],[Result]]&gt;0.5,1,0),0)</f>
        <v>0</v>
      </c>
      <c r="AL97" s="2">
        <f>IF(AND(Games[[#This Row],[Type]]="P",Games[[#This Row],[Round]]=4),IF(Games[[#This Row],[Result]]&lt;0.5,1,0),0)</f>
        <v>0</v>
      </c>
    </row>
    <row r="98" spans="1:38" x14ac:dyDescent="0.35">
      <c r="A98" s="10">
        <v>37786</v>
      </c>
      <c r="B98" s="2">
        <v>2003</v>
      </c>
      <c r="C98" s="2">
        <f>COUNTIFS(Games[Team],Games[[#This Row],[Team]],Games[Season],Games[[#This Row],[Season]],Games[Date],"&lt;=" &amp; Games[[#This Row],[Date]])</f>
        <v>6</v>
      </c>
      <c r="D98" s="2" t="s">
        <v>23</v>
      </c>
      <c r="E98" s="2" t="s">
        <v>29</v>
      </c>
      <c r="F98" s="1" t="s">
        <v>80</v>
      </c>
      <c r="G98" s="1" t="s">
        <v>45</v>
      </c>
      <c r="H98" s="1" t="s">
        <v>16</v>
      </c>
      <c r="I98" s="2" cm="1">
        <f t="array" ref="I98">IFERROR(
    Games[[#This Row],[Date]]
    - LOOKUP(
        2,
        1/((Games[Team]=Games[[#This Row],[Team]]) * (Games[Date] &lt; Games[[#This Row],[Date]])),
        Games[Date]
    )
    - 1,
Games[[#This Row],[Date]]-$A$2)</f>
        <v>1</v>
      </c>
      <c r="J98" s="2" cm="1">
        <f t="array" ref="J9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98" s="2">
        <f>Games[[#This Row],[DaysOff]]-Games[[#This Row],[OppDaysOff]]</f>
        <v>0</v>
      </c>
      <c r="L98" s="2">
        <f>Games[[#This Row],[OppDaysOff]]-Games[[#This Row],[DaysOff]]</f>
        <v>0</v>
      </c>
      <c r="M98" s="1">
        <f>MAX(-16, MIN(16, Games[[#This Row],[RestDiff]]*8))</f>
        <v>0</v>
      </c>
      <c r="N98" s="1">
        <f>MAX(-16, MIN(16, Games[[#This Row],[OppRestDiff]]*8))</f>
        <v>0</v>
      </c>
      <c r="O98" s="4" cm="1">
        <f t="array" ref="O9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1484.4813066613608</v>
      </c>
      <c r="P98" s="4" cm="1">
        <f t="array" ref="P9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1497.3548377309671</v>
      </c>
      <c r="Q98" s="4">
        <f>1/(1+10^(((Games[[#This Row],[OppPreGmRate]]+IF(Games[[#This Row],[HomeAway]]="A",HCA,0)+Games[[#This Row],[OppRestAdj]])-(Games[[#This Row],[PreGmRate]]+IF(Games[[#This Row],[HomeAway]]="H",HCA,0)+Games[[#This Row],[RestAdj]]))/400))</f>
        <v>0.36409163984927212</v>
      </c>
      <c r="R98" s="1">
        <v>79</v>
      </c>
      <c r="S98" s="1">
        <v>67</v>
      </c>
      <c r="T98" s="1">
        <v>0</v>
      </c>
      <c r="U98" s="1">
        <f>Games[[#This Row],[PointsFor]]-Games[[#This Row],[PointsAgainst]]</f>
        <v>12</v>
      </c>
      <c r="V98" s="1">
        <f>IF(Games[[#This Row],[MOV]]&gt;0,1,IF(Games[[#This Row],[MOV]]=0,0.5,0))</f>
        <v>1</v>
      </c>
      <c r="W98" s="4">
        <f>((ABS(Games[[#This Row],[MOV]])+5)^0.6)/(12+0.01*(ABS(Games[[#This Row],[PreGmRate]]-Games[[#This Row],[OppPreGmRate]])))*IF(Games[[#This Row],[OT]]=1,0.9,1)</f>
        <v>0.45128805079054557</v>
      </c>
      <c r="X98" s="7" cm="1">
        <f t="array" ref="X9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8" s="9">
        <f>MAX(kmin, kmax - 0.15 * MIN(Games[[#This Row],[GamesPlayed]], 82))</f>
        <v>75.099999999999994</v>
      </c>
      <c r="Z98" s="4">
        <f>Games[[#This Row],[K]]*Games[[#This Row],[POMult]]</f>
        <v>75.099999999999994</v>
      </c>
      <c r="AA98" s="4">
        <f>(Games[[#This Row],[Keff]]*Games[[#This Row],[MOVMult]])*(Games[[#This Row],[Result]]-Games[[#This Row],[ExpectedWin%]])</f>
        <v>21.552036109470947</v>
      </c>
      <c r="AB98" s="4">
        <f>Games[[#This Row],[PreGmRate]]+Games[[#This Row],[RatingChange]]</f>
        <v>1506.0333427708317</v>
      </c>
      <c r="AC98" s="2">
        <f>IF(Games[[#This Row],[Type]]="R",IF(Games[[#This Row],[Result]]&gt;0.5,1,0),0)</f>
        <v>1</v>
      </c>
      <c r="AD98" s="2">
        <f>IF(Games[[#This Row],[Type]]="R",IF(Games[[#This Row],[Result]]&lt;0.5,1,0),0)</f>
        <v>0</v>
      </c>
      <c r="AE98" s="2">
        <f>IF(AND(Games[[#This Row],[Type]]="P",Games[[#This Row],[Round]]=1),IF(Games[[#This Row],[Result]]&gt;0.5,1,0),0)</f>
        <v>0</v>
      </c>
      <c r="AF98" s="2">
        <f>IF(AND(Games[[#This Row],[Type]]="P",Games[[#This Row],[Round]]=1),IF(Games[[#This Row],[Result]]&lt;0.5,1,0),0)</f>
        <v>0</v>
      </c>
      <c r="AG98" s="2">
        <f>IF(AND(Games[[#This Row],[Type]]="P",Games[[#This Row],[Round]]=2),IF(Games[[#This Row],[Result]]&gt;0.5,1,0),0)</f>
        <v>0</v>
      </c>
      <c r="AH98" s="2">
        <f>IF(AND(Games[[#This Row],[Type]]="P",Games[[#This Row],[Round]]=2),IF(Games[[#This Row],[Result]]&lt;0.5,1,0),0)</f>
        <v>0</v>
      </c>
      <c r="AI98" s="2">
        <f>IF(AND(Games[[#This Row],[Type]]="P",Games[[#This Row],[Round]]=3),IF(Games[[#This Row],[Result]]&gt;0.5,1,0),0)</f>
        <v>0</v>
      </c>
      <c r="AJ98" s="2">
        <f>IF(AND(Games[[#This Row],[Type]]="P",Games[[#This Row],[Round]]=3),IF(Games[[#This Row],[Result]]&lt;0.5,1,0),0)</f>
        <v>0</v>
      </c>
      <c r="AK98" s="2">
        <f>IF(AND(Games[[#This Row],[Type]]="P",Games[[#This Row],[Round]]=4),IF(Games[[#This Row],[Result]]&gt;0.5,1,0),0)</f>
        <v>0</v>
      </c>
      <c r="AL98" s="2">
        <f>IF(AND(Games[[#This Row],[Type]]="P",Games[[#This Row],[Round]]=4),IF(Games[[#This Row],[Result]]&lt;0.5,1,0),0)</f>
        <v>0</v>
      </c>
    </row>
    <row r="99" spans="1:38" x14ac:dyDescent="0.35">
      <c r="A99" s="10">
        <v>37786</v>
      </c>
      <c r="B99" s="2">
        <v>2003</v>
      </c>
      <c r="C99" s="2">
        <f>COUNTIFS(Games[Team],Games[[#This Row],[Team]],Games[Season],Games[[#This Row],[Season]],Games[Date],"&lt;=" &amp; Games[[#This Row],[Date]])</f>
        <v>9</v>
      </c>
      <c r="D99" s="2" t="s">
        <v>23</v>
      </c>
      <c r="E99" s="2" t="s">
        <v>29</v>
      </c>
      <c r="F99" s="1" t="s">
        <v>45</v>
      </c>
      <c r="G99" s="1" t="s">
        <v>80</v>
      </c>
      <c r="H99" s="1" t="s">
        <v>15</v>
      </c>
      <c r="I99" s="2" cm="1">
        <f t="array" ref="I99">IFERROR(
    Games[[#This Row],[Date]]
    - LOOKUP(
        2,
        1/((Games[Team]=Games[[#This Row],[Team]]) * (Games[Date] &lt; Games[[#This Row],[Date]])),
        Games[Date]
    )
    - 1,
Games[[#This Row],[Date]]-$A$2)</f>
        <v>1</v>
      </c>
      <c r="J99" s="2" cm="1">
        <f t="array" ref="J9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99" s="2">
        <f>Games[[#This Row],[DaysOff]]-Games[[#This Row],[OppDaysOff]]</f>
        <v>0</v>
      </c>
      <c r="L99" s="2">
        <f>Games[[#This Row],[OppDaysOff]]-Games[[#This Row],[DaysOff]]</f>
        <v>0</v>
      </c>
      <c r="M99" s="1">
        <f>MAX(-16, MIN(16, Games[[#This Row],[RestDiff]]*8))</f>
        <v>0</v>
      </c>
      <c r="N99" s="1">
        <f>MAX(-16, MIN(16, Games[[#This Row],[OppRestDiff]]*8))</f>
        <v>0</v>
      </c>
      <c r="O99" s="4" cm="1">
        <f t="array" ref="O9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1497.3548377309671</v>
      </c>
      <c r="P99" s="4" cm="1">
        <f t="array" ref="P9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1484.4813066613608</v>
      </c>
      <c r="Q99" s="4">
        <f>1/(1+10^(((Games[[#This Row],[OppPreGmRate]]+IF(Games[[#This Row],[HomeAway]]="A",HCA,0)+Games[[#This Row],[OppRestAdj]])-(Games[[#This Row],[PreGmRate]]+IF(Games[[#This Row],[HomeAway]]="H",HCA,0)+Games[[#This Row],[RestAdj]]))/400))</f>
        <v>0.63590836015072794</v>
      </c>
      <c r="R99" s="1">
        <v>67</v>
      </c>
      <c r="S99" s="1">
        <v>79</v>
      </c>
      <c r="T99" s="1">
        <v>0</v>
      </c>
      <c r="U99" s="1">
        <f>Games[[#This Row],[PointsFor]]-Games[[#This Row],[PointsAgainst]]</f>
        <v>-12</v>
      </c>
      <c r="V99" s="1">
        <f>IF(Games[[#This Row],[MOV]]&gt;0,1,IF(Games[[#This Row],[MOV]]=0,0.5,0))</f>
        <v>0</v>
      </c>
      <c r="W99" s="4">
        <f>((ABS(Games[[#This Row],[MOV]])+5)^0.6)/(12+0.01*(ABS(Games[[#This Row],[PreGmRate]]-Games[[#This Row],[OppPreGmRate]])))*IF(Games[[#This Row],[OT]]=1,0.9,1)</f>
        <v>0.45128805079054557</v>
      </c>
      <c r="X99" s="7" cm="1">
        <f t="array" ref="X9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9" s="9">
        <f>MAX(kmin, kmax - 0.15 * MIN(Games[[#This Row],[GamesPlayed]], 82))</f>
        <v>74.650000000000006</v>
      </c>
      <c r="Z99" s="4">
        <f>Games[[#This Row],[K]]*Games[[#This Row],[POMult]]</f>
        <v>74.650000000000006</v>
      </c>
      <c r="AA99" s="4">
        <f>(Games[[#This Row],[Keff]]*Games[[#This Row],[MOVMult]])*(Games[[#This Row],[Result]]-Games[[#This Row],[ExpectedWin%]])</f>
        <v>-21.422896079520729</v>
      </c>
      <c r="AB99" s="4">
        <f>Games[[#This Row],[PreGmRate]]+Games[[#This Row],[RatingChange]]</f>
        <v>1475.9319416514463</v>
      </c>
      <c r="AC99" s="2">
        <f>IF(Games[[#This Row],[Type]]="R",IF(Games[[#This Row],[Result]]&gt;0.5,1,0),0)</f>
        <v>0</v>
      </c>
      <c r="AD99" s="2">
        <f>IF(Games[[#This Row],[Type]]="R",IF(Games[[#This Row],[Result]]&lt;0.5,1,0),0)</f>
        <v>1</v>
      </c>
      <c r="AE99" s="2">
        <f>IF(AND(Games[[#This Row],[Type]]="P",Games[[#This Row],[Round]]=1),IF(Games[[#This Row],[Result]]&gt;0.5,1,0),0)</f>
        <v>0</v>
      </c>
      <c r="AF99" s="2">
        <f>IF(AND(Games[[#This Row],[Type]]="P",Games[[#This Row],[Round]]=1),IF(Games[[#This Row],[Result]]&lt;0.5,1,0),0)</f>
        <v>0</v>
      </c>
      <c r="AG99" s="2">
        <f>IF(AND(Games[[#This Row],[Type]]="P",Games[[#This Row],[Round]]=2),IF(Games[[#This Row],[Result]]&gt;0.5,1,0),0)</f>
        <v>0</v>
      </c>
      <c r="AH99" s="2">
        <f>IF(AND(Games[[#This Row],[Type]]="P",Games[[#This Row],[Round]]=2),IF(Games[[#This Row],[Result]]&lt;0.5,1,0),0)</f>
        <v>0</v>
      </c>
      <c r="AI99" s="2">
        <f>IF(AND(Games[[#This Row],[Type]]="P",Games[[#This Row],[Round]]=3),IF(Games[[#This Row],[Result]]&gt;0.5,1,0),0)</f>
        <v>0</v>
      </c>
      <c r="AJ99" s="2">
        <f>IF(AND(Games[[#This Row],[Type]]="P",Games[[#This Row],[Round]]=3),IF(Games[[#This Row],[Result]]&lt;0.5,1,0),0)</f>
        <v>0</v>
      </c>
      <c r="AK99" s="2">
        <f>IF(AND(Games[[#This Row],[Type]]="P",Games[[#This Row],[Round]]=4),IF(Games[[#This Row],[Result]]&gt;0.5,1,0),0)</f>
        <v>0</v>
      </c>
      <c r="AL99" s="2">
        <f>IF(AND(Games[[#This Row],[Type]]="P",Games[[#This Row],[Round]]=4),IF(Games[[#This Row],[Result]]&lt;0.5,1,0),0)</f>
        <v>0</v>
      </c>
    </row>
    <row r="100" spans="1:38" x14ac:dyDescent="0.35">
      <c r="A100" s="10">
        <v>37786</v>
      </c>
      <c r="B100" s="2">
        <v>2003</v>
      </c>
      <c r="C100" s="2">
        <f>COUNTIFS(Games[Team],Games[[#This Row],[Team]],Games[Season],Games[[#This Row],[Season]],Games[Date],"&lt;=" &amp; Games[[#This Row],[Date]])</f>
        <v>8</v>
      </c>
      <c r="D100" s="2" t="s">
        <v>23</v>
      </c>
      <c r="E100" s="2" t="s">
        <v>29</v>
      </c>
      <c r="F100" s="1" t="s">
        <v>64</v>
      </c>
      <c r="G100" s="1" t="s">
        <v>85</v>
      </c>
      <c r="H100" s="1" t="s">
        <v>16</v>
      </c>
      <c r="I100" s="2" cm="1">
        <f t="array" ref="I100">IFERROR(
    Games[[#This Row],[Date]]
    - LOOKUP(
        2,
        1/((Games[Team]=Games[[#This Row],[Team]]) * (Games[Date] &lt; Games[[#This Row],[Date]])),
        Games[Date]
    )
    - 1,
Games[[#This Row],[Date]]-$A$2)</f>
        <v>1</v>
      </c>
      <c r="J100" s="2" cm="1">
        <f t="array" ref="J100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00" s="2">
        <f>Games[[#This Row],[DaysOff]]-Games[[#This Row],[OppDaysOff]]</f>
        <v>-2</v>
      </c>
      <c r="L100" s="2">
        <f>Games[[#This Row],[OppDaysOff]]-Games[[#This Row],[DaysOff]]</f>
        <v>2</v>
      </c>
      <c r="M100" s="1">
        <f>MAX(-16, MIN(16, Games[[#This Row],[RestDiff]]*8))</f>
        <v>-16</v>
      </c>
      <c r="N100" s="1">
        <f>MAX(-16, MIN(16, Games[[#This Row],[OppRestDiff]]*8))</f>
        <v>16</v>
      </c>
      <c r="O100" s="4" cm="1">
        <f t="array" ref="O10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1540.8371875926764</v>
      </c>
      <c r="P100" s="4" cm="1">
        <f t="array" ref="P10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1447.0839186291896</v>
      </c>
      <c r="Q100" s="4">
        <f>1/(1+10^(((Games[[#This Row],[OppPreGmRate]]+IF(Games[[#This Row],[HomeAway]]="A",HCA,0)+Games[[#This Row],[OppRestAdj]])-(Games[[#This Row],[PreGmRate]]+IF(Games[[#This Row],[HomeAway]]="H",HCA,0)+Games[[#This Row],[RestAdj]]))/400))</f>
        <v>0.46802806350390486</v>
      </c>
      <c r="R100" s="1">
        <v>52</v>
      </c>
      <c r="S100" s="1">
        <v>62</v>
      </c>
      <c r="T100" s="1">
        <v>0</v>
      </c>
      <c r="U100" s="1">
        <f>Games[[#This Row],[PointsFor]]-Games[[#This Row],[PointsAgainst]]</f>
        <v>-10</v>
      </c>
      <c r="V100" s="1">
        <f>IF(Games[[#This Row],[MOV]]&gt;0,1,IF(Games[[#This Row],[MOV]]=0,0.5,0))</f>
        <v>0</v>
      </c>
      <c r="W100" s="4">
        <f>((ABS(Games[[#This Row],[MOV]])+5)^0.6)/(12+0.01*(ABS(Games[[#This Row],[PreGmRate]]-Games[[#This Row],[OppPreGmRate]])))*IF(Games[[#This Row],[OT]]=1,0.9,1)</f>
        <v>0.39246713525642962</v>
      </c>
      <c r="X100" s="7" cm="1">
        <f t="array" ref="X10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0" s="9">
        <f>MAX(kmin, kmax - 0.15 * MIN(Games[[#This Row],[GamesPlayed]], 82))</f>
        <v>74.8</v>
      </c>
      <c r="Z100" s="4">
        <f>Games[[#This Row],[K]]*Games[[#This Row],[POMult]]</f>
        <v>74.8</v>
      </c>
      <c r="AA100" s="4">
        <f>(Games[[#This Row],[Keff]]*Games[[#This Row],[MOVMult]])*(Games[[#This Row],[Result]]-Games[[#This Row],[ExpectedWin%]])</f>
        <v>-13.739685371063791</v>
      </c>
      <c r="AB100" s="4">
        <f>Games[[#This Row],[PreGmRate]]+Games[[#This Row],[RatingChange]]</f>
        <v>1527.0975022216126</v>
      </c>
      <c r="AC100" s="2">
        <f>IF(Games[[#This Row],[Type]]="R",IF(Games[[#This Row],[Result]]&gt;0.5,1,0),0)</f>
        <v>0</v>
      </c>
      <c r="AD100" s="2">
        <f>IF(Games[[#This Row],[Type]]="R",IF(Games[[#This Row],[Result]]&lt;0.5,1,0),0)</f>
        <v>1</v>
      </c>
      <c r="AE100" s="2">
        <f>IF(AND(Games[[#This Row],[Type]]="P",Games[[#This Row],[Round]]=1),IF(Games[[#This Row],[Result]]&gt;0.5,1,0),0)</f>
        <v>0</v>
      </c>
      <c r="AF100" s="2">
        <f>IF(AND(Games[[#This Row],[Type]]="P",Games[[#This Row],[Round]]=1),IF(Games[[#This Row],[Result]]&lt;0.5,1,0),0)</f>
        <v>0</v>
      </c>
      <c r="AG100" s="2">
        <f>IF(AND(Games[[#This Row],[Type]]="P",Games[[#This Row],[Round]]=2),IF(Games[[#This Row],[Result]]&gt;0.5,1,0),0)</f>
        <v>0</v>
      </c>
      <c r="AH100" s="2">
        <f>IF(AND(Games[[#This Row],[Type]]="P",Games[[#This Row],[Round]]=2),IF(Games[[#This Row],[Result]]&lt;0.5,1,0),0)</f>
        <v>0</v>
      </c>
      <c r="AI100" s="2">
        <f>IF(AND(Games[[#This Row],[Type]]="P",Games[[#This Row],[Round]]=3),IF(Games[[#This Row],[Result]]&gt;0.5,1,0),0)</f>
        <v>0</v>
      </c>
      <c r="AJ100" s="2">
        <f>IF(AND(Games[[#This Row],[Type]]="P",Games[[#This Row],[Round]]=3),IF(Games[[#This Row],[Result]]&lt;0.5,1,0),0)</f>
        <v>0</v>
      </c>
      <c r="AK100" s="2">
        <f>IF(AND(Games[[#This Row],[Type]]="P",Games[[#This Row],[Round]]=4),IF(Games[[#This Row],[Result]]&gt;0.5,1,0),0)</f>
        <v>0</v>
      </c>
      <c r="AL100" s="2">
        <f>IF(AND(Games[[#This Row],[Type]]="P",Games[[#This Row],[Round]]=4),IF(Games[[#This Row],[Result]]&lt;0.5,1,0),0)</f>
        <v>0</v>
      </c>
    </row>
    <row r="101" spans="1:38" x14ac:dyDescent="0.35">
      <c r="A101" s="10">
        <v>37786</v>
      </c>
      <c r="B101" s="2">
        <v>2003</v>
      </c>
      <c r="C101" s="2">
        <f>COUNTIFS(Games[Team],Games[[#This Row],[Team]],Games[Season],Games[[#This Row],[Season]],Games[Date],"&lt;=" &amp; Games[[#This Row],[Date]])</f>
        <v>9</v>
      </c>
      <c r="D101" s="2" t="s">
        <v>23</v>
      </c>
      <c r="E101" s="2" t="s">
        <v>29</v>
      </c>
      <c r="F101" s="1" t="s">
        <v>85</v>
      </c>
      <c r="G101" s="1" t="s">
        <v>64</v>
      </c>
      <c r="H101" s="1" t="s">
        <v>15</v>
      </c>
      <c r="I101" s="2" cm="1">
        <f t="array" ref="I101">IFERROR(
    Games[[#This Row],[Date]]
    - LOOKUP(
        2,
        1/((Games[Team]=Games[[#This Row],[Team]]) * (Games[Date] &lt; Games[[#This Row],[Date]])),
        Games[Date]
    )
    - 1,
Games[[#This Row],[Date]]-$A$2)</f>
        <v>3</v>
      </c>
      <c r="J101" s="2" cm="1">
        <f t="array" ref="J10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01" s="2">
        <f>Games[[#This Row],[DaysOff]]-Games[[#This Row],[OppDaysOff]]</f>
        <v>2</v>
      </c>
      <c r="L101" s="2">
        <f>Games[[#This Row],[OppDaysOff]]-Games[[#This Row],[DaysOff]]</f>
        <v>-2</v>
      </c>
      <c r="M101" s="1">
        <f>MAX(-16, MIN(16, Games[[#This Row],[RestDiff]]*8))</f>
        <v>16</v>
      </c>
      <c r="N101" s="1">
        <f>MAX(-16, MIN(16, Games[[#This Row],[OppRestDiff]]*8))</f>
        <v>-16</v>
      </c>
      <c r="O101" s="4" cm="1">
        <f t="array" ref="O10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1447.0839186291896</v>
      </c>
      <c r="P101" s="4" cm="1">
        <f t="array" ref="P10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1540.8371875926764</v>
      </c>
      <c r="Q101" s="4">
        <f>1/(1+10^(((Games[[#This Row],[OppPreGmRate]]+IF(Games[[#This Row],[HomeAway]]="A",HCA,0)+Games[[#This Row],[OppRestAdj]])-(Games[[#This Row],[PreGmRate]]+IF(Games[[#This Row],[HomeAway]]="H",HCA,0)+Games[[#This Row],[RestAdj]]))/400))</f>
        <v>0.53197193649609509</v>
      </c>
      <c r="R101" s="1">
        <v>62</v>
      </c>
      <c r="S101" s="1">
        <v>52</v>
      </c>
      <c r="T101" s="1">
        <v>0</v>
      </c>
      <c r="U101" s="1">
        <f>Games[[#This Row],[PointsFor]]-Games[[#This Row],[PointsAgainst]]</f>
        <v>10</v>
      </c>
      <c r="V101" s="1">
        <f>IF(Games[[#This Row],[MOV]]&gt;0,1,IF(Games[[#This Row],[MOV]]=0,0.5,0))</f>
        <v>1</v>
      </c>
      <c r="W101" s="4">
        <f>((ABS(Games[[#This Row],[MOV]])+5)^0.6)/(12+0.01*(ABS(Games[[#This Row],[PreGmRate]]-Games[[#This Row],[OppPreGmRate]])))*IF(Games[[#This Row],[OT]]=1,0.9,1)</f>
        <v>0.39246713525642962</v>
      </c>
      <c r="X101" s="7" cm="1">
        <f t="array" ref="X10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1" s="9">
        <f>MAX(kmin, kmax - 0.15 * MIN(Games[[#This Row],[GamesPlayed]], 82))</f>
        <v>74.650000000000006</v>
      </c>
      <c r="Z101" s="4">
        <f>Games[[#This Row],[K]]*Games[[#This Row],[POMult]]</f>
        <v>74.650000000000006</v>
      </c>
      <c r="AA101" s="4">
        <f>(Games[[#This Row],[Keff]]*Games[[#This Row],[MOVMult]])*(Games[[#This Row],[Result]]-Games[[#This Row],[ExpectedWin%]])</f>
        <v>13.712132526068345</v>
      </c>
      <c r="AB101" s="4">
        <f>Games[[#This Row],[PreGmRate]]+Games[[#This Row],[RatingChange]]</f>
        <v>1460.7960511552581</v>
      </c>
      <c r="AC101" s="2">
        <f>IF(Games[[#This Row],[Type]]="R",IF(Games[[#This Row],[Result]]&gt;0.5,1,0),0)</f>
        <v>1</v>
      </c>
      <c r="AD101" s="2">
        <f>IF(Games[[#This Row],[Type]]="R",IF(Games[[#This Row],[Result]]&lt;0.5,1,0),0)</f>
        <v>0</v>
      </c>
      <c r="AE101" s="2">
        <f>IF(AND(Games[[#This Row],[Type]]="P",Games[[#This Row],[Round]]=1),IF(Games[[#This Row],[Result]]&gt;0.5,1,0),0)</f>
        <v>0</v>
      </c>
      <c r="AF101" s="2">
        <f>IF(AND(Games[[#This Row],[Type]]="P",Games[[#This Row],[Round]]=1),IF(Games[[#This Row],[Result]]&lt;0.5,1,0),0)</f>
        <v>0</v>
      </c>
      <c r="AG101" s="2">
        <f>IF(AND(Games[[#This Row],[Type]]="P",Games[[#This Row],[Round]]=2),IF(Games[[#This Row],[Result]]&gt;0.5,1,0),0)</f>
        <v>0</v>
      </c>
      <c r="AH101" s="2">
        <f>IF(AND(Games[[#This Row],[Type]]="P",Games[[#This Row],[Round]]=2),IF(Games[[#This Row],[Result]]&lt;0.5,1,0),0)</f>
        <v>0</v>
      </c>
      <c r="AI101" s="2">
        <f>IF(AND(Games[[#This Row],[Type]]="P",Games[[#This Row],[Round]]=3),IF(Games[[#This Row],[Result]]&gt;0.5,1,0),0)</f>
        <v>0</v>
      </c>
      <c r="AJ101" s="2">
        <f>IF(AND(Games[[#This Row],[Type]]="P",Games[[#This Row],[Round]]=3),IF(Games[[#This Row],[Result]]&lt;0.5,1,0),0)</f>
        <v>0</v>
      </c>
      <c r="AK101" s="2">
        <f>IF(AND(Games[[#This Row],[Type]]="P",Games[[#This Row],[Round]]=4),IF(Games[[#This Row],[Result]]&gt;0.5,1,0),0)</f>
        <v>0</v>
      </c>
      <c r="AL101" s="2">
        <f>IF(AND(Games[[#This Row],[Type]]="P",Games[[#This Row],[Round]]=4),IF(Games[[#This Row],[Result]]&lt;0.5,1,0),0)</f>
        <v>0</v>
      </c>
    </row>
    <row r="102" spans="1:38" x14ac:dyDescent="0.35">
      <c r="A102" s="10">
        <v>37786</v>
      </c>
      <c r="B102" s="2">
        <v>2003</v>
      </c>
      <c r="C102" s="2">
        <f>COUNTIFS(Games[Team],Games[[#This Row],[Team]],Games[Season],Games[[#This Row],[Season]],Games[Date],"&lt;=" &amp; Games[[#This Row],[Date]])</f>
        <v>8</v>
      </c>
      <c r="D102" s="2" t="s">
        <v>23</v>
      </c>
      <c r="E102" s="2" t="s">
        <v>29</v>
      </c>
      <c r="F102" s="1" t="s">
        <v>78</v>
      </c>
      <c r="G102" s="1" t="s">
        <v>82</v>
      </c>
      <c r="H102" s="1" t="s">
        <v>16</v>
      </c>
      <c r="I102" s="2" cm="1">
        <f t="array" ref="I102">IFERROR(
    Games[[#This Row],[Date]]
    - LOOKUP(
        2,
        1/((Games[Team]=Games[[#This Row],[Team]]) * (Games[Date] &lt; Games[[#This Row],[Date]])),
        Games[Date]
    )
    - 1,
Games[[#This Row],[Date]]-$A$2)</f>
        <v>1</v>
      </c>
      <c r="J102" s="2" cm="1">
        <f t="array" ref="J102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02" s="2">
        <f>Games[[#This Row],[DaysOff]]-Games[[#This Row],[OppDaysOff]]</f>
        <v>-2</v>
      </c>
      <c r="L102" s="2">
        <f>Games[[#This Row],[OppDaysOff]]-Games[[#This Row],[DaysOff]]</f>
        <v>2</v>
      </c>
      <c r="M102" s="1">
        <f>MAX(-16, MIN(16, Games[[#This Row],[RestDiff]]*8))</f>
        <v>-16</v>
      </c>
      <c r="N102" s="1">
        <f>MAX(-16, MIN(16, Games[[#This Row],[OppRestDiff]]*8))</f>
        <v>16</v>
      </c>
      <c r="O102" s="4" cm="1">
        <f t="array" ref="O10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1448.8800159107805</v>
      </c>
      <c r="P102" s="4" cm="1">
        <f t="array" ref="P10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1521.520700705619</v>
      </c>
      <c r="Q102" s="4">
        <f>1/(1+10^(((Games[[#This Row],[OppPreGmRate]]+IF(Games[[#This Row],[HomeAway]]="A",HCA,0)+Games[[#This Row],[OppRestAdj]])-(Games[[#This Row],[PreGmRate]]+IF(Games[[#This Row],[HomeAway]]="H",HCA,0)+Games[[#This Row],[RestAdj]]))/400))</f>
        <v>0.25239054145300022</v>
      </c>
      <c r="R102" s="1">
        <v>77</v>
      </c>
      <c r="S102" s="1">
        <v>72</v>
      </c>
      <c r="T102" s="1">
        <v>0</v>
      </c>
      <c r="U102" s="1">
        <f>Games[[#This Row],[PointsFor]]-Games[[#This Row],[PointsAgainst]]</f>
        <v>5</v>
      </c>
      <c r="V102" s="1">
        <f>IF(Games[[#This Row],[MOV]]&gt;0,1,IF(Games[[#This Row],[MOV]]=0,0.5,0))</f>
        <v>1</v>
      </c>
      <c r="W102" s="4">
        <f>((ABS(Games[[#This Row],[MOV]])+5)^0.6)/(12+0.01*(ABS(Games[[#This Row],[PreGmRate]]-Games[[#This Row],[OppPreGmRate]])))*IF(Games[[#This Row],[OT]]=1,0.9,1)</f>
        <v>0.31281977333427446</v>
      </c>
      <c r="X102" s="7" cm="1">
        <f t="array" ref="X10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2" s="9">
        <f>MAX(kmin, kmax - 0.15 * MIN(Games[[#This Row],[GamesPlayed]], 82))</f>
        <v>74.8</v>
      </c>
      <c r="Z102" s="4">
        <f>Games[[#This Row],[K]]*Games[[#This Row],[POMult]]</f>
        <v>74.8</v>
      </c>
      <c r="AA102" s="4">
        <f>(Games[[#This Row],[Keff]]*Games[[#This Row],[MOVMult]])*(Games[[#This Row],[Result]]-Games[[#This Row],[ExpectedWin%]])</f>
        <v>17.493253198119362</v>
      </c>
      <c r="AB102" s="4">
        <f>Games[[#This Row],[PreGmRate]]+Games[[#This Row],[RatingChange]]</f>
        <v>1466.3732691088999</v>
      </c>
      <c r="AC102" s="2">
        <f>IF(Games[[#This Row],[Type]]="R",IF(Games[[#This Row],[Result]]&gt;0.5,1,0),0)</f>
        <v>1</v>
      </c>
      <c r="AD102" s="2">
        <f>IF(Games[[#This Row],[Type]]="R",IF(Games[[#This Row],[Result]]&lt;0.5,1,0),0)</f>
        <v>0</v>
      </c>
      <c r="AE102" s="2">
        <f>IF(AND(Games[[#This Row],[Type]]="P",Games[[#This Row],[Round]]=1),IF(Games[[#This Row],[Result]]&gt;0.5,1,0),0)</f>
        <v>0</v>
      </c>
      <c r="AF102" s="2">
        <f>IF(AND(Games[[#This Row],[Type]]="P",Games[[#This Row],[Round]]=1),IF(Games[[#This Row],[Result]]&lt;0.5,1,0),0)</f>
        <v>0</v>
      </c>
      <c r="AG102" s="2">
        <f>IF(AND(Games[[#This Row],[Type]]="P",Games[[#This Row],[Round]]=2),IF(Games[[#This Row],[Result]]&gt;0.5,1,0),0)</f>
        <v>0</v>
      </c>
      <c r="AH102" s="2">
        <f>IF(AND(Games[[#This Row],[Type]]="P",Games[[#This Row],[Round]]=2),IF(Games[[#This Row],[Result]]&lt;0.5,1,0),0)</f>
        <v>0</v>
      </c>
      <c r="AI102" s="2">
        <f>IF(AND(Games[[#This Row],[Type]]="P",Games[[#This Row],[Round]]=3),IF(Games[[#This Row],[Result]]&gt;0.5,1,0),0)</f>
        <v>0</v>
      </c>
      <c r="AJ102" s="2">
        <f>IF(AND(Games[[#This Row],[Type]]="P",Games[[#This Row],[Round]]=3),IF(Games[[#This Row],[Result]]&lt;0.5,1,0),0)</f>
        <v>0</v>
      </c>
      <c r="AK102" s="2">
        <f>IF(AND(Games[[#This Row],[Type]]="P",Games[[#This Row],[Round]]=4),IF(Games[[#This Row],[Result]]&gt;0.5,1,0),0)</f>
        <v>0</v>
      </c>
      <c r="AL102" s="2">
        <f>IF(AND(Games[[#This Row],[Type]]="P",Games[[#This Row],[Round]]=4),IF(Games[[#This Row],[Result]]&lt;0.5,1,0),0)</f>
        <v>0</v>
      </c>
    </row>
    <row r="103" spans="1:38" x14ac:dyDescent="0.35">
      <c r="A103" s="10">
        <v>37786</v>
      </c>
      <c r="B103" s="2">
        <v>2003</v>
      </c>
      <c r="C103" s="2">
        <f>COUNTIFS(Games[Team],Games[[#This Row],[Team]],Games[Season],Games[[#This Row],[Season]],Games[Date],"&lt;=" &amp; Games[[#This Row],[Date]])</f>
        <v>7</v>
      </c>
      <c r="D103" s="2" t="s">
        <v>23</v>
      </c>
      <c r="E103" s="2" t="s">
        <v>29</v>
      </c>
      <c r="F103" s="1" t="s">
        <v>82</v>
      </c>
      <c r="G103" s="1" t="s">
        <v>78</v>
      </c>
      <c r="H103" s="1" t="s">
        <v>15</v>
      </c>
      <c r="I103" s="2" cm="1">
        <f t="array" ref="I103">IFERROR(
    Games[[#This Row],[Date]]
    - LOOKUP(
        2,
        1/((Games[Team]=Games[[#This Row],[Team]]) * (Games[Date] &lt; Games[[#This Row],[Date]])),
        Games[Date]
    )
    - 1,
Games[[#This Row],[Date]]-$A$2)</f>
        <v>3</v>
      </c>
      <c r="J103" s="2" cm="1">
        <f t="array" ref="J10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03" s="2">
        <f>Games[[#This Row],[DaysOff]]-Games[[#This Row],[OppDaysOff]]</f>
        <v>2</v>
      </c>
      <c r="L103" s="2">
        <f>Games[[#This Row],[OppDaysOff]]-Games[[#This Row],[DaysOff]]</f>
        <v>-2</v>
      </c>
      <c r="M103" s="1">
        <f>MAX(-16, MIN(16, Games[[#This Row],[RestDiff]]*8))</f>
        <v>16</v>
      </c>
      <c r="N103" s="1">
        <f>MAX(-16, MIN(16, Games[[#This Row],[OppRestDiff]]*8))</f>
        <v>-16</v>
      </c>
      <c r="O103" s="4" cm="1">
        <f t="array" ref="O10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1521.520700705619</v>
      </c>
      <c r="P103" s="4" cm="1">
        <f t="array" ref="P10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1448.8800159107805</v>
      </c>
      <c r="Q103" s="4">
        <f>1/(1+10^(((Games[[#This Row],[OppPreGmRate]]+IF(Games[[#This Row],[HomeAway]]="A",HCA,0)+Games[[#This Row],[OppRestAdj]])-(Games[[#This Row],[PreGmRate]]+IF(Games[[#This Row],[HomeAway]]="H",HCA,0)+Games[[#This Row],[RestAdj]]))/400))</f>
        <v>0.74760945854699967</v>
      </c>
      <c r="R103" s="1">
        <v>72</v>
      </c>
      <c r="S103" s="1">
        <v>77</v>
      </c>
      <c r="T103" s="1">
        <v>0</v>
      </c>
      <c r="U103" s="1">
        <f>Games[[#This Row],[PointsFor]]-Games[[#This Row],[PointsAgainst]]</f>
        <v>-5</v>
      </c>
      <c r="V103" s="1">
        <f>IF(Games[[#This Row],[MOV]]&gt;0,1,IF(Games[[#This Row],[MOV]]=0,0.5,0))</f>
        <v>0</v>
      </c>
      <c r="W103" s="4">
        <f>((ABS(Games[[#This Row],[MOV]])+5)^0.6)/(12+0.01*(ABS(Games[[#This Row],[PreGmRate]]-Games[[#This Row],[OppPreGmRate]])))*IF(Games[[#This Row],[OT]]=1,0.9,1)</f>
        <v>0.31281977333427446</v>
      </c>
      <c r="X103" s="7" cm="1">
        <f t="array" ref="X10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3" s="9">
        <f>MAX(kmin, kmax - 0.15 * MIN(Games[[#This Row],[GamesPlayed]], 82))</f>
        <v>74.95</v>
      </c>
      <c r="Z103" s="4">
        <f>Games[[#This Row],[K]]*Games[[#This Row],[POMult]]</f>
        <v>74.95</v>
      </c>
      <c r="AA103" s="4">
        <f>(Games[[#This Row],[Keff]]*Games[[#This Row],[MOVMult]])*(Games[[#This Row],[Result]]-Games[[#This Row],[ExpectedWin%]])</f>
        <v>-17.528333251324145</v>
      </c>
      <c r="AB103" s="4">
        <f>Games[[#This Row],[PreGmRate]]+Games[[#This Row],[RatingChange]]</f>
        <v>1503.9923674542949</v>
      </c>
      <c r="AC103" s="2">
        <f>IF(Games[[#This Row],[Type]]="R",IF(Games[[#This Row],[Result]]&gt;0.5,1,0),0)</f>
        <v>0</v>
      </c>
      <c r="AD103" s="2">
        <f>IF(Games[[#This Row],[Type]]="R",IF(Games[[#This Row],[Result]]&lt;0.5,1,0),0)</f>
        <v>1</v>
      </c>
      <c r="AE103" s="2">
        <f>IF(AND(Games[[#This Row],[Type]]="P",Games[[#This Row],[Round]]=1),IF(Games[[#This Row],[Result]]&gt;0.5,1,0),0)</f>
        <v>0</v>
      </c>
      <c r="AF103" s="2">
        <f>IF(AND(Games[[#This Row],[Type]]="P",Games[[#This Row],[Round]]=1),IF(Games[[#This Row],[Result]]&lt;0.5,1,0),0)</f>
        <v>0</v>
      </c>
      <c r="AG103" s="2">
        <f>IF(AND(Games[[#This Row],[Type]]="P",Games[[#This Row],[Round]]=2),IF(Games[[#This Row],[Result]]&gt;0.5,1,0),0)</f>
        <v>0</v>
      </c>
      <c r="AH103" s="2">
        <f>IF(AND(Games[[#This Row],[Type]]="P",Games[[#This Row],[Round]]=2),IF(Games[[#This Row],[Result]]&lt;0.5,1,0),0)</f>
        <v>0</v>
      </c>
      <c r="AI103" s="2">
        <f>IF(AND(Games[[#This Row],[Type]]="P",Games[[#This Row],[Round]]=3),IF(Games[[#This Row],[Result]]&gt;0.5,1,0),0)</f>
        <v>0</v>
      </c>
      <c r="AJ103" s="2">
        <f>IF(AND(Games[[#This Row],[Type]]="P",Games[[#This Row],[Round]]=3),IF(Games[[#This Row],[Result]]&lt;0.5,1,0),0)</f>
        <v>0</v>
      </c>
      <c r="AK103" s="2">
        <f>IF(AND(Games[[#This Row],[Type]]="P",Games[[#This Row],[Round]]=4),IF(Games[[#This Row],[Result]]&gt;0.5,1,0),0)</f>
        <v>0</v>
      </c>
      <c r="AL103" s="2">
        <f>IF(AND(Games[[#This Row],[Type]]="P",Games[[#This Row],[Round]]=4),IF(Games[[#This Row],[Result]]&lt;0.5,1,0),0)</f>
        <v>0</v>
      </c>
    </row>
    <row r="104" spans="1:38" x14ac:dyDescent="0.35">
      <c r="A104" s="10">
        <v>37786</v>
      </c>
      <c r="B104" s="2">
        <v>2003</v>
      </c>
      <c r="C104" s="2">
        <f>COUNTIFS(Games[Team],Games[[#This Row],[Team]],Games[Season],Games[[#This Row],[Season]],Games[Date],"&lt;=" &amp; Games[[#This Row],[Date]])</f>
        <v>4</v>
      </c>
      <c r="D104" s="2" t="s">
        <v>23</v>
      </c>
      <c r="E104" s="2" t="s">
        <v>29</v>
      </c>
      <c r="F104" s="1" t="s">
        <v>76</v>
      </c>
      <c r="G104" s="1" t="s">
        <v>74</v>
      </c>
      <c r="H104" s="1" t="s">
        <v>16</v>
      </c>
      <c r="I104" s="2" cm="1">
        <f t="array" ref="I104">IFERROR(
    Games[[#This Row],[Date]]
    - LOOKUP(
        2,
        1/((Games[Team]=Games[[#This Row],[Team]]) * (Games[Date] &lt; Games[[#This Row],[Date]])),
        Games[Date]
    )
    - 1,
Games[[#This Row],[Date]]-$A$2)</f>
        <v>6</v>
      </c>
      <c r="J104" s="2" cm="1">
        <f t="array" ref="J104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04" s="2">
        <f>Games[[#This Row],[DaysOff]]-Games[[#This Row],[OppDaysOff]]</f>
        <v>6</v>
      </c>
      <c r="L104" s="2">
        <f>Games[[#This Row],[OppDaysOff]]-Games[[#This Row],[DaysOff]]</f>
        <v>-6</v>
      </c>
      <c r="M104" s="1">
        <f>MAX(-16, MIN(16, Games[[#This Row],[RestDiff]]*8))</f>
        <v>16</v>
      </c>
      <c r="N104" s="1">
        <f>MAX(-16, MIN(16, Games[[#This Row],[OppRestDiff]]*8))</f>
        <v>-16</v>
      </c>
      <c r="O104" s="4" cm="1">
        <f t="array" ref="O10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1473.6707093637858</v>
      </c>
      <c r="P104" s="4" cm="1">
        <f t="array" ref="P10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1453.4316947944367</v>
      </c>
      <c r="Q104" s="4">
        <f>1/(1+10^(((Games[[#This Row],[OppPreGmRate]]+IF(Games[[#This Row],[HomeAway]]="A",HCA,0)+Games[[#This Row],[OppRestAdj]])-(Games[[#This Row],[PreGmRate]]+IF(Games[[#This Row],[HomeAway]]="H",HCA,0)+Games[[#This Row],[RestAdj]]))/400))</f>
        <v>0.45441916684788125</v>
      </c>
      <c r="R104" s="1">
        <v>93</v>
      </c>
      <c r="S104" s="1">
        <v>56</v>
      </c>
      <c r="T104" s="1">
        <v>0</v>
      </c>
      <c r="U104" s="1">
        <f>Games[[#This Row],[PointsFor]]-Games[[#This Row],[PointsAgainst]]</f>
        <v>37</v>
      </c>
      <c r="V104" s="1">
        <f>IF(Games[[#This Row],[MOV]]&gt;0,1,IF(Games[[#This Row],[MOV]]=0,0.5,0))</f>
        <v>1</v>
      </c>
      <c r="W104" s="4">
        <f>((ABS(Games[[#This Row],[MOV]])+5)^0.6)/(12+0.01*(ABS(Games[[#This Row],[PreGmRate]]-Games[[#This Row],[OppPreGmRate]])))*IF(Games[[#This Row],[OT]]=1,0.9,1)</f>
        <v>0.77179981069025994</v>
      </c>
      <c r="X104" s="7" cm="1">
        <f t="array" ref="X10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4" s="9">
        <f>MAX(kmin, kmax - 0.15 * MIN(Games[[#This Row],[GamesPlayed]], 82))</f>
        <v>75.400000000000006</v>
      </c>
      <c r="Z104" s="4">
        <f>Games[[#This Row],[K]]*Games[[#This Row],[POMult]]</f>
        <v>75.400000000000006</v>
      </c>
      <c r="AA104" s="4">
        <f>(Games[[#This Row],[Keff]]*Games[[#This Row],[MOVMult]])*(Games[[#This Row],[Result]]-Games[[#This Row],[ExpectedWin%]])</f>
        <v>31.749370454225186</v>
      </c>
      <c r="AB104" s="4">
        <f>Games[[#This Row],[PreGmRate]]+Games[[#This Row],[RatingChange]]</f>
        <v>1505.4200798180109</v>
      </c>
      <c r="AC104" s="2">
        <f>IF(Games[[#This Row],[Type]]="R",IF(Games[[#This Row],[Result]]&gt;0.5,1,0),0)</f>
        <v>1</v>
      </c>
      <c r="AD104" s="2">
        <f>IF(Games[[#This Row],[Type]]="R",IF(Games[[#This Row],[Result]]&lt;0.5,1,0),0)</f>
        <v>0</v>
      </c>
      <c r="AE104" s="2">
        <f>IF(AND(Games[[#This Row],[Type]]="P",Games[[#This Row],[Round]]=1),IF(Games[[#This Row],[Result]]&gt;0.5,1,0),0)</f>
        <v>0</v>
      </c>
      <c r="AF104" s="2">
        <f>IF(AND(Games[[#This Row],[Type]]="P",Games[[#This Row],[Round]]=1),IF(Games[[#This Row],[Result]]&lt;0.5,1,0),0)</f>
        <v>0</v>
      </c>
      <c r="AG104" s="2">
        <f>IF(AND(Games[[#This Row],[Type]]="P",Games[[#This Row],[Round]]=2),IF(Games[[#This Row],[Result]]&gt;0.5,1,0),0)</f>
        <v>0</v>
      </c>
      <c r="AH104" s="2">
        <f>IF(AND(Games[[#This Row],[Type]]="P",Games[[#This Row],[Round]]=2),IF(Games[[#This Row],[Result]]&lt;0.5,1,0),0)</f>
        <v>0</v>
      </c>
      <c r="AI104" s="2">
        <f>IF(AND(Games[[#This Row],[Type]]="P",Games[[#This Row],[Round]]=3),IF(Games[[#This Row],[Result]]&gt;0.5,1,0),0)</f>
        <v>0</v>
      </c>
      <c r="AJ104" s="2">
        <f>IF(AND(Games[[#This Row],[Type]]="P",Games[[#This Row],[Round]]=3),IF(Games[[#This Row],[Result]]&lt;0.5,1,0),0)</f>
        <v>0</v>
      </c>
      <c r="AK104" s="2">
        <f>IF(AND(Games[[#This Row],[Type]]="P",Games[[#This Row],[Round]]=4),IF(Games[[#This Row],[Result]]&gt;0.5,1,0),0)</f>
        <v>0</v>
      </c>
      <c r="AL104" s="2">
        <f>IF(AND(Games[[#This Row],[Type]]="P",Games[[#This Row],[Round]]=4),IF(Games[[#This Row],[Result]]&lt;0.5,1,0),0)</f>
        <v>0</v>
      </c>
    </row>
    <row r="105" spans="1:38" x14ac:dyDescent="0.35">
      <c r="A105" s="10">
        <v>37786</v>
      </c>
      <c r="B105" s="2">
        <v>2003</v>
      </c>
      <c r="C105" s="2">
        <f>COUNTIFS(Games[Team],Games[[#This Row],[Team]],Games[Season],Games[[#This Row],[Season]],Games[Date],"&lt;=" &amp; Games[[#This Row],[Date]])</f>
        <v>7</v>
      </c>
      <c r="D105" s="2" t="s">
        <v>23</v>
      </c>
      <c r="E105" s="2" t="s">
        <v>29</v>
      </c>
      <c r="F105" s="1" t="s">
        <v>74</v>
      </c>
      <c r="G105" s="1" t="s">
        <v>76</v>
      </c>
      <c r="H105" s="1" t="s">
        <v>15</v>
      </c>
      <c r="I105" s="2" cm="1">
        <f t="array" ref="I105">IFERROR(
    Games[[#This Row],[Date]]
    - LOOKUP(
        2,
        1/((Games[Team]=Games[[#This Row],[Team]]) * (Games[Date] &lt; Games[[#This Row],[Date]])),
        Games[Date]
    )
    - 1,
Games[[#This Row],[Date]]-$A$2)</f>
        <v>0</v>
      </c>
      <c r="J105" s="2" cm="1">
        <f t="array" ref="J105">IFERROR(
    Games[[#This Row],[Date]]
    - LOOKUP(
        2,
        1/((Games[Opponent]=Games[[#This Row],[Opponent]]) * (Games[Date] &lt; Games[[#This Row],[Date]])),
        Games[Date]
    )
    - 1,
Games[[#This Row],[Date]]-$A$2)</f>
        <v>6</v>
      </c>
      <c r="K105" s="2">
        <f>Games[[#This Row],[DaysOff]]-Games[[#This Row],[OppDaysOff]]</f>
        <v>-6</v>
      </c>
      <c r="L105" s="2">
        <f>Games[[#This Row],[OppDaysOff]]-Games[[#This Row],[DaysOff]]</f>
        <v>6</v>
      </c>
      <c r="M105" s="1">
        <f>MAX(-16, MIN(16, Games[[#This Row],[RestDiff]]*8))</f>
        <v>-16</v>
      </c>
      <c r="N105" s="1">
        <f>MAX(-16, MIN(16, Games[[#This Row],[OppRestDiff]]*8))</f>
        <v>16</v>
      </c>
      <c r="O105" s="4" cm="1">
        <f t="array" ref="O10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1453.4316947944367</v>
      </c>
      <c r="P105" s="4" cm="1">
        <f t="array" ref="P10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1473.6707093637858</v>
      </c>
      <c r="Q105" s="4">
        <f>1/(1+10^(((Games[[#This Row],[OppPreGmRate]]+IF(Games[[#This Row],[HomeAway]]="A",HCA,0)+Games[[#This Row],[OppRestAdj]])-(Games[[#This Row],[PreGmRate]]+IF(Games[[#This Row],[HomeAway]]="H",HCA,0)+Games[[#This Row],[RestAdj]]))/400))</f>
        <v>0.5455808331521188</v>
      </c>
      <c r="R105" s="1">
        <v>56</v>
      </c>
      <c r="S105" s="1">
        <v>93</v>
      </c>
      <c r="T105" s="1">
        <v>0</v>
      </c>
      <c r="U105" s="1">
        <f>Games[[#This Row],[PointsFor]]-Games[[#This Row],[PointsAgainst]]</f>
        <v>-37</v>
      </c>
      <c r="V105" s="1">
        <f>IF(Games[[#This Row],[MOV]]&gt;0,1,IF(Games[[#This Row],[MOV]]=0,0.5,0))</f>
        <v>0</v>
      </c>
      <c r="W105" s="4">
        <f>((ABS(Games[[#This Row],[MOV]])+5)^0.6)/(12+0.01*(ABS(Games[[#This Row],[PreGmRate]]-Games[[#This Row],[OppPreGmRate]])))*IF(Games[[#This Row],[OT]]=1,0.9,1)</f>
        <v>0.77179981069025994</v>
      </c>
      <c r="X105" s="7" cm="1">
        <f t="array" ref="X10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5" s="9">
        <f>MAX(kmin, kmax - 0.15 * MIN(Games[[#This Row],[GamesPlayed]], 82))</f>
        <v>74.95</v>
      </c>
      <c r="Z105" s="4">
        <f>Games[[#This Row],[K]]*Games[[#This Row],[POMult]]</f>
        <v>74.95</v>
      </c>
      <c r="AA105" s="4">
        <f>(Games[[#This Row],[Keff]]*Games[[#This Row],[MOVMult]])*(Games[[#This Row],[Result]]-Games[[#This Row],[ExpectedWin%]])</f>
        <v>-31.55988482154082</v>
      </c>
      <c r="AB105" s="4">
        <f>Games[[#This Row],[PreGmRate]]+Games[[#This Row],[RatingChange]]</f>
        <v>1421.8718099728958</v>
      </c>
      <c r="AC105" s="2">
        <f>IF(Games[[#This Row],[Type]]="R",IF(Games[[#This Row],[Result]]&gt;0.5,1,0),0)</f>
        <v>0</v>
      </c>
      <c r="AD105" s="2">
        <f>IF(Games[[#This Row],[Type]]="R",IF(Games[[#This Row],[Result]]&lt;0.5,1,0),0)</f>
        <v>1</v>
      </c>
      <c r="AE105" s="2">
        <f>IF(AND(Games[[#This Row],[Type]]="P",Games[[#This Row],[Round]]=1),IF(Games[[#This Row],[Result]]&gt;0.5,1,0),0)</f>
        <v>0</v>
      </c>
      <c r="AF105" s="2">
        <f>IF(AND(Games[[#This Row],[Type]]="P",Games[[#This Row],[Round]]=1),IF(Games[[#This Row],[Result]]&lt;0.5,1,0),0)</f>
        <v>0</v>
      </c>
      <c r="AG105" s="2">
        <f>IF(AND(Games[[#This Row],[Type]]="P",Games[[#This Row],[Round]]=2),IF(Games[[#This Row],[Result]]&gt;0.5,1,0),0)</f>
        <v>0</v>
      </c>
      <c r="AH105" s="2">
        <f>IF(AND(Games[[#This Row],[Type]]="P",Games[[#This Row],[Round]]=2),IF(Games[[#This Row],[Result]]&lt;0.5,1,0),0)</f>
        <v>0</v>
      </c>
      <c r="AI105" s="2">
        <f>IF(AND(Games[[#This Row],[Type]]="P",Games[[#This Row],[Round]]=3),IF(Games[[#This Row],[Result]]&gt;0.5,1,0),0)</f>
        <v>0</v>
      </c>
      <c r="AJ105" s="2">
        <f>IF(AND(Games[[#This Row],[Type]]="P",Games[[#This Row],[Round]]=3),IF(Games[[#This Row],[Result]]&lt;0.5,1,0),0)</f>
        <v>0</v>
      </c>
      <c r="AK105" s="2">
        <f>IF(AND(Games[[#This Row],[Type]]="P",Games[[#This Row],[Round]]=4),IF(Games[[#This Row],[Result]]&gt;0.5,1,0),0)</f>
        <v>0</v>
      </c>
      <c r="AL105" s="2">
        <f>IF(AND(Games[[#This Row],[Type]]="P",Games[[#This Row],[Round]]=4),IF(Games[[#This Row],[Result]]&lt;0.5,1,0),0)</f>
        <v>0</v>
      </c>
    </row>
    <row r="106" spans="1:38" x14ac:dyDescent="0.35">
      <c r="A106" s="10">
        <v>37789</v>
      </c>
      <c r="B106" s="2">
        <v>2003</v>
      </c>
      <c r="C106" s="2">
        <f>COUNTIFS(Games[Team],Games[[#This Row],[Team]],Games[Season],Games[[#This Row],[Season]],Games[Date],"&lt;=" &amp; Games[[#This Row],[Date]])</f>
        <v>10</v>
      </c>
      <c r="D106" s="2" t="s">
        <v>23</v>
      </c>
      <c r="E106" s="2" t="s">
        <v>29</v>
      </c>
      <c r="F106" s="1" t="s">
        <v>71</v>
      </c>
      <c r="G106" s="1" t="s">
        <v>76</v>
      </c>
      <c r="H106" s="1" t="s">
        <v>16</v>
      </c>
      <c r="I106" s="2" cm="1">
        <f t="array" ref="I106">IFERROR(
    Games[[#This Row],[Date]]
    - LOOKUP(
        2,
        1/((Games[Team]=Games[[#This Row],[Team]]) * (Games[Date] &lt; Games[[#This Row],[Date]])),
        Games[Date]
    )
    - 1,
Games[[#This Row],[Date]]-$A$2)</f>
        <v>2</v>
      </c>
      <c r="J106" s="2" cm="1">
        <f t="array" ref="J10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06" s="2">
        <f>Games[[#This Row],[DaysOff]]-Games[[#This Row],[OppDaysOff]]</f>
        <v>0</v>
      </c>
      <c r="L106" s="2">
        <f>Games[[#This Row],[OppDaysOff]]-Games[[#This Row],[DaysOff]]</f>
        <v>0</v>
      </c>
      <c r="M106" s="1">
        <f>MAX(-16, MIN(16, Games[[#This Row],[RestDiff]]*8))</f>
        <v>0</v>
      </c>
      <c r="N106" s="1">
        <f>MAX(-16, MIN(16, Games[[#This Row],[OppRestDiff]]*8))</f>
        <v>0</v>
      </c>
      <c r="O106" s="4" cm="1">
        <f t="array" ref="O10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1696.0501861712178</v>
      </c>
      <c r="P106" s="4" cm="1">
        <f t="array" ref="P10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1505.4200798180109</v>
      </c>
      <c r="Q106" s="4">
        <f>1/(1+10^(((Games[[#This Row],[OppPreGmRate]]+IF(Games[[#This Row],[HomeAway]]="A",HCA,0)+Games[[#This Row],[OppRestAdj]])-(Games[[#This Row],[PreGmRate]]+IF(Games[[#This Row],[HomeAway]]="H",HCA,0)+Games[[#This Row],[RestAdj]]))/400))</f>
        <v>0.64880993282405308</v>
      </c>
      <c r="R106" s="1">
        <v>78</v>
      </c>
      <c r="S106" s="1">
        <v>87</v>
      </c>
      <c r="T106" s="1">
        <v>1</v>
      </c>
      <c r="U106" s="1">
        <f>Games[[#This Row],[PointsFor]]-Games[[#This Row],[PointsAgainst]]</f>
        <v>-9</v>
      </c>
      <c r="V106" s="1">
        <f>IF(Games[[#This Row],[MOV]]&gt;0,1,IF(Games[[#This Row],[MOV]]=0,0.5,0))</f>
        <v>0</v>
      </c>
      <c r="W106" s="4">
        <f>((ABS(Games[[#This Row],[MOV]])+5)^0.6)/(12+0.01*(ABS(Games[[#This Row],[PreGmRate]]-Games[[#This Row],[OppPreGmRate]])))*IF(Games[[#This Row],[OT]]=1,0.9,1)</f>
        <v>0.31528819009162184</v>
      </c>
      <c r="X106" s="7" cm="1">
        <f t="array" ref="X10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6" s="9">
        <f>MAX(kmin, kmax - 0.15 * MIN(Games[[#This Row],[GamesPlayed]], 82))</f>
        <v>74.5</v>
      </c>
      <c r="Z106" s="4">
        <f>Games[[#This Row],[K]]*Games[[#This Row],[POMult]]</f>
        <v>74.5</v>
      </c>
      <c r="AA106" s="4">
        <f>(Games[[#This Row],[Keff]]*Games[[#This Row],[MOVMult]])*(Games[[#This Row],[Result]]-Games[[#This Row],[ExpectedWin%]])</f>
        <v>-15.239877152800402</v>
      </c>
      <c r="AB106" s="4">
        <f>Games[[#This Row],[PreGmRate]]+Games[[#This Row],[RatingChange]]</f>
        <v>1680.8103090184175</v>
      </c>
      <c r="AC106" s="2">
        <f>IF(Games[[#This Row],[Type]]="R",IF(Games[[#This Row],[Result]]&gt;0.5,1,0),0)</f>
        <v>0</v>
      </c>
      <c r="AD106" s="2">
        <f>IF(Games[[#This Row],[Type]]="R",IF(Games[[#This Row],[Result]]&lt;0.5,1,0),0)</f>
        <v>1</v>
      </c>
      <c r="AE106" s="2">
        <f>IF(AND(Games[[#This Row],[Type]]="P",Games[[#This Row],[Round]]=1),IF(Games[[#This Row],[Result]]&gt;0.5,1,0),0)</f>
        <v>0</v>
      </c>
      <c r="AF106" s="2">
        <f>IF(AND(Games[[#This Row],[Type]]="P",Games[[#This Row],[Round]]=1),IF(Games[[#This Row],[Result]]&lt;0.5,1,0),0)</f>
        <v>0</v>
      </c>
      <c r="AG106" s="2">
        <f>IF(AND(Games[[#This Row],[Type]]="P",Games[[#This Row],[Round]]=2),IF(Games[[#This Row],[Result]]&gt;0.5,1,0),0)</f>
        <v>0</v>
      </c>
      <c r="AH106" s="2">
        <f>IF(AND(Games[[#This Row],[Type]]="P",Games[[#This Row],[Round]]=2),IF(Games[[#This Row],[Result]]&lt;0.5,1,0),0)</f>
        <v>0</v>
      </c>
      <c r="AI106" s="2">
        <f>IF(AND(Games[[#This Row],[Type]]="P",Games[[#This Row],[Round]]=3),IF(Games[[#This Row],[Result]]&gt;0.5,1,0),0)</f>
        <v>0</v>
      </c>
      <c r="AJ106" s="2">
        <f>IF(AND(Games[[#This Row],[Type]]="P",Games[[#This Row],[Round]]=3),IF(Games[[#This Row],[Result]]&lt;0.5,1,0),0)</f>
        <v>0</v>
      </c>
      <c r="AK106" s="2">
        <f>IF(AND(Games[[#This Row],[Type]]="P",Games[[#This Row],[Round]]=4),IF(Games[[#This Row],[Result]]&gt;0.5,1,0),0)</f>
        <v>0</v>
      </c>
      <c r="AL106" s="2">
        <f>IF(AND(Games[[#This Row],[Type]]="P",Games[[#This Row],[Round]]=4),IF(Games[[#This Row],[Result]]&lt;0.5,1,0),0)</f>
        <v>0</v>
      </c>
    </row>
    <row r="107" spans="1:38" x14ac:dyDescent="0.35">
      <c r="A107" s="10">
        <v>37789</v>
      </c>
      <c r="B107" s="2">
        <v>2003</v>
      </c>
      <c r="C107" s="2">
        <f>COUNTIFS(Games[Team],Games[[#This Row],[Team]],Games[Season],Games[[#This Row],[Season]],Games[Date],"&lt;=" &amp; Games[[#This Row],[Date]])</f>
        <v>5</v>
      </c>
      <c r="D107" s="2" t="s">
        <v>23</v>
      </c>
      <c r="E107" s="2" t="s">
        <v>29</v>
      </c>
      <c r="F107" s="1" t="s">
        <v>76</v>
      </c>
      <c r="G107" s="1" t="s">
        <v>71</v>
      </c>
      <c r="H107" s="1" t="s">
        <v>15</v>
      </c>
      <c r="I107" s="2" cm="1">
        <f t="array" ref="I107">IFERROR(
    Games[[#This Row],[Date]]
    - LOOKUP(
        2,
        1/((Games[Team]=Games[[#This Row],[Team]]) * (Games[Date] &lt; Games[[#This Row],[Date]])),
        Games[Date]
    )
    - 1,
Games[[#This Row],[Date]]-$A$2)</f>
        <v>2</v>
      </c>
      <c r="J107" s="2" cm="1">
        <f t="array" ref="J10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07" s="2">
        <f>Games[[#This Row],[DaysOff]]-Games[[#This Row],[OppDaysOff]]</f>
        <v>0</v>
      </c>
      <c r="L107" s="2">
        <f>Games[[#This Row],[OppDaysOff]]-Games[[#This Row],[DaysOff]]</f>
        <v>0</v>
      </c>
      <c r="M107" s="1">
        <f>MAX(-16, MIN(16, Games[[#This Row],[RestDiff]]*8))</f>
        <v>0</v>
      </c>
      <c r="N107" s="1">
        <f>MAX(-16, MIN(16, Games[[#This Row],[OppRestDiff]]*8))</f>
        <v>0</v>
      </c>
      <c r="O107" s="4" cm="1">
        <f t="array" ref="O10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1505.4200798180109</v>
      </c>
      <c r="P107" s="4" cm="1">
        <f t="array" ref="P10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1696.0501861712178</v>
      </c>
      <c r="Q107" s="4">
        <f>1/(1+10^(((Games[[#This Row],[OppPreGmRate]]+IF(Games[[#This Row],[HomeAway]]="A",HCA,0)+Games[[#This Row],[OppRestAdj]])-(Games[[#This Row],[PreGmRate]]+IF(Games[[#This Row],[HomeAway]]="H",HCA,0)+Games[[#This Row],[RestAdj]]))/400))</f>
        <v>0.35119006717594692</v>
      </c>
      <c r="R107" s="1">
        <v>87</v>
      </c>
      <c r="S107" s="1">
        <v>78</v>
      </c>
      <c r="T107" s="1">
        <v>1</v>
      </c>
      <c r="U107" s="1">
        <f>Games[[#This Row],[PointsFor]]-Games[[#This Row],[PointsAgainst]]</f>
        <v>9</v>
      </c>
      <c r="V107" s="1">
        <f>IF(Games[[#This Row],[MOV]]&gt;0,1,IF(Games[[#This Row],[MOV]]=0,0.5,0))</f>
        <v>1</v>
      </c>
      <c r="W107" s="4">
        <f>((ABS(Games[[#This Row],[MOV]])+5)^0.6)/(12+0.01*(ABS(Games[[#This Row],[PreGmRate]]-Games[[#This Row],[OppPreGmRate]])))*IF(Games[[#This Row],[OT]]=1,0.9,1)</f>
        <v>0.31528819009162184</v>
      </c>
      <c r="X107" s="7" cm="1">
        <f t="array" ref="X10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7" s="9">
        <f>MAX(kmin, kmax - 0.15 * MIN(Games[[#This Row],[GamesPlayed]], 82))</f>
        <v>75.25</v>
      </c>
      <c r="Z107" s="4">
        <f>Games[[#This Row],[K]]*Games[[#This Row],[POMult]]</f>
        <v>75.25</v>
      </c>
      <c r="AA107" s="4">
        <f>(Games[[#This Row],[Keff]]*Games[[#This Row],[MOVMult]])*(Games[[#This Row],[Result]]-Games[[#This Row],[ExpectedWin%]])</f>
        <v>15.393298734875575</v>
      </c>
      <c r="AB107" s="4">
        <f>Games[[#This Row],[PreGmRate]]+Games[[#This Row],[RatingChange]]</f>
        <v>1520.8133785528864</v>
      </c>
      <c r="AC107" s="2">
        <f>IF(Games[[#This Row],[Type]]="R",IF(Games[[#This Row],[Result]]&gt;0.5,1,0),0)</f>
        <v>1</v>
      </c>
      <c r="AD107" s="2">
        <f>IF(Games[[#This Row],[Type]]="R",IF(Games[[#This Row],[Result]]&lt;0.5,1,0),0)</f>
        <v>0</v>
      </c>
      <c r="AE107" s="2">
        <f>IF(AND(Games[[#This Row],[Type]]="P",Games[[#This Row],[Round]]=1),IF(Games[[#This Row],[Result]]&gt;0.5,1,0),0)</f>
        <v>0</v>
      </c>
      <c r="AF107" s="2">
        <f>IF(AND(Games[[#This Row],[Type]]="P",Games[[#This Row],[Round]]=1),IF(Games[[#This Row],[Result]]&lt;0.5,1,0),0)</f>
        <v>0</v>
      </c>
      <c r="AG107" s="2">
        <f>IF(AND(Games[[#This Row],[Type]]="P",Games[[#This Row],[Round]]=2),IF(Games[[#This Row],[Result]]&gt;0.5,1,0),0)</f>
        <v>0</v>
      </c>
      <c r="AH107" s="2">
        <f>IF(AND(Games[[#This Row],[Type]]="P",Games[[#This Row],[Round]]=2),IF(Games[[#This Row],[Result]]&lt;0.5,1,0),0)</f>
        <v>0</v>
      </c>
      <c r="AI107" s="2">
        <f>IF(AND(Games[[#This Row],[Type]]="P",Games[[#This Row],[Round]]=3),IF(Games[[#This Row],[Result]]&gt;0.5,1,0),0)</f>
        <v>0</v>
      </c>
      <c r="AJ107" s="2">
        <f>IF(AND(Games[[#This Row],[Type]]="P",Games[[#This Row],[Round]]=3),IF(Games[[#This Row],[Result]]&lt;0.5,1,0),0)</f>
        <v>0</v>
      </c>
      <c r="AK107" s="2">
        <f>IF(AND(Games[[#This Row],[Type]]="P",Games[[#This Row],[Round]]=4),IF(Games[[#This Row],[Result]]&gt;0.5,1,0),0)</f>
        <v>0</v>
      </c>
      <c r="AL107" s="2">
        <f>IF(AND(Games[[#This Row],[Type]]="P",Games[[#This Row],[Round]]=4),IF(Games[[#This Row],[Result]]&lt;0.5,1,0),0)</f>
        <v>0</v>
      </c>
    </row>
    <row r="108" spans="1:38" x14ac:dyDescent="0.35">
      <c r="A108" s="10">
        <v>37789</v>
      </c>
      <c r="B108" s="2">
        <v>2003</v>
      </c>
      <c r="C108" s="2">
        <f>COUNTIFS(Games[Team],Games[[#This Row],[Team]],Games[Season],Games[[#This Row],[Season]],Games[Date],"&lt;=" &amp; Games[[#This Row],[Date]])</f>
        <v>9</v>
      </c>
      <c r="D108" s="2" t="s">
        <v>23</v>
      </c>
      <c r="E108" s="2" t="s">
        <v>29</v>
      </c>
      <c r="F108" s="1" t="s">
        <v>64</v>
      </c>
      <c r="G108" s="1" t="s">
        <v>80</v>
      </c>
      <c r="H108" s="1" t="s">
        <v>16</v>
      </c>
      <c r="I108" s="2" cm="1">
        <f t="array" ref="I108">IFERROR(
    Games[[#This Row],[Date]]
    - LOOKUP(
        2,
        1/((Games[Team]=Games[[#This Row],[Team]]) * (Games[Date] &lt; Games[[#This Row],[Date]])),
        Games[Date]
    )
    - 1,
Games[[#This Row],[Date]]-$A$2)</f>
        <v>2</v>
      </c>
      <c r="J108" s="2" cm="1">
        <f t="array" ref="J10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08" s="2">
        <f>Games[[#This Row],[DaysOff]]-Games[[#This Row],[OppDaysOff]]</f>
        <v>0</v>
      </c>
      <c r="L108" s="2">
        <f>Games[[#This Row],[OppDaysOff]]-Games[[#This Row],[DaysOff]]</f>
        <v>0</v>
      </c>
      <c r="M108" s="1">
        <f>MAX(-16, MIN(16, Games[[#This Row],[RestDiff]]*8))</f>
        <v>0</v>
      </c>
      <c r="N108" s="1">
        <f>MAX(-16, MIN(16, Games[[#This Row],[OppRestDiff]]*8))</f>
        <v>0</v>
      </c>
      <c r="O108" s="4" cm="1">
        <f t="array" ref="O10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1527.0975022216126</v>
      </c>
      <c r="P108" s="4" cm="1">
        <f t="array" ref="P10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1506.0333427708317</v>
      </c>
      <c r="Q108" s="4">
        <f>1/(1+10^(((Games[[#This Row],[OppPreGmRate]]+IF(Games[[#This Row],[HomeAway]]="A",HCA,0)+Games[[#This Row],[OppRestAdj]])-(Games[[#This Row],[PreGmRate]]+IF(Games[[#This Row],[HomeAway]]="H",HCA,0)+Games[[#This Row],[RestAdj]]))/400))</f>
        <v>0.41040586210947561</v>
      </c>
      <c r="R108" s="1">
        <v>60</v>
      </c>
      <c r="S108" s="1">
        <v>71</v>
      </c>
      <c r="T108" s="1">
        <v>0</v>
      </c>
      <c r="U108" s="1">
        <f>Games[[#This Row],[PointsFor]]-Games[[#This Row],[PointsAgainst]]</f>
        <v>-11</v>
      </c>
      <c r="V108" s="1">
        <f>IF(Games[[#This Row],[MOV]]&gt;0,1,IF(Games[[#This Row],[MOV]]=0,0.5,0))</f>
        <v>0</v>
      </c>
      <c r="W108" s="4">
        <f>((ABS(Games[[#This Row],[MOV]])+5)^0.6)/(12+0.01*(ABS(Games[[#This Row],[PreGmRate]]-Games[[#This Row],[OppPreGmRate]])))*IF(Games[[#This Row],[OT]]=1,0.9,1)</f>
        <v>0.43224851063236253</v>
      </c>
      <c r="X108" s="7" cm="1">
        <f t="array" ref="X10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8" s="9">
        <f>MAX(kmin, kmax - 0.15 * MIN(Games[[#This Row],[GamesPlayed]], 82))</f>
        <v>74.650000000000006</v>
      </c>
      <c r="Z108" s="4">
        <f>Games[[#This Row],[K]]*Games[[#This Row],[POMult]]</f>
        <v>74.650000000000006</v>
      </c>
      <c r="AA108" s="4">
        <f>(Games[[#This Row],[Keff]]*Games[[#This Row],[MOVMult]])*(Games[[#This Row],[Result]]-Games[[#This Row],[ExpectedWin%]])</f>
        <v>-13.242710135942804</v>
      </c>
      <c r="AB108" s="4">
        <f>Games[[#This Row],[PreGmRate]]+Games[[#This Row],[RatingChange]]</f>
        <v>1513.8547920856697</v>
      </c>
      <c r="AC108" s="2">
        <f>IF(Games[[#This Row],[Type]]="R",IF(Games[[#This Row],[Result]]&gt;0.5,1,0),0)</f>
        <v>0</v>
      </c>
      <c r="AD108" s="2">
        <f>IF(Games[[#This Row],[Type]]="R",IF(Games[[#This Row],[Result]]&lt;0.5,1,0),0)</f>
        <v>1</v>
      </c>
      <c r="AE108" s="2">
        <f>IF(AND(Games[[#This Row],[Type]]="P",Games[[#This Row],[Round]]=1),IF(Games[[#This Row],[Result]]&gt;0.5,1,0),0)</f>
        <v>0</v>
      </c>
      <c r="AF108" s="2">
        <f>IF(AND(Games[[#This Row],[Type]]="P",Games[[#This Row],[Round]]=1),IF(Games[[#This Row],[Result]]&lt;0.5,1,0),0)</f>
        <v>0</v>
      </c>
      <c r="AG108" s="2">
        <f>IF(AND(Games[[#This Row],[Type]]="P",Games[[#This Row],[Round]]=2),IF(Games[[#This Row],[Result]]&gt;0.5,1,0),0)</f>
        <v>0</v>
      </c>
      <c r="AH108" s="2">
        <f>IF(AND(Games[[#This Row],[Type]]="P",Games[[#This Row],[Round]]=2),IF(Games[[#This Row],[Result]]&lt;0.5,1,0),0)</f>
        <v>0</v>
      </c>
      <c r="AI108" s="2">
        <f>IF(AND(Games[[#This Row],[Type]]="P",Games[[#This Row],[Round]]=3),IF(Games[[#This Row],[Result]]&gt;0.5,1,0),0)</f>
        <v>0</v>
      </c>
      <c r="AJ108" s="2">
        <f>IF(AND(Games[[#This Row],[Type]]="P",Games[[#This Row],[Round]]=3),IF(Games[[#This Row],[Result]]&lt;0.5,1,0),0)</f>
        <v>0</v>
      </c>
      <c r="AK108" s="2">
        <f>IF(AND(Games[[#This Row],[Type]]="P",Games[[#This Row],[Round]]=4),IF(Games[[#This Row],[Result]]&gt;0.5,1,0),0)</f>
        <v>0</v>
      </c>
      <c r="AL108" s="2">
        <f>IF(AND(Games[[#This Row],[Type]]="P",Games[[#This Row],[Round]]=4),IF(Games[[#This Row],[Result]]&lt;0.5,1,0),0)</f>
        <v>0</v>
      </c>
    </row>
    <row r="109" spans="1:38" x14ac:dyDescent="0.35">
      <c r="A109" s="10">
        <v>37789</v>
      </c>
      <c r="B109" s="2">
        <v>2003</v>
      </c>
      <c r="C109" s="2">
        <f>COUNTIFS(Games[Team],Games[[#This Row],[Team]],Games[Season],Games[[#This Row],[Season]],Games[Date],"&lt;=" &amp; Games[[#This Row],[Date]])</f>
        <v>7</v>
      </c>
      <c r="D109" s="2" t="s">
        <v>23</v>
      </c>
      <c r="E109" s="2" t="s">
        <v>29</v>
      </c>
      <c r="F109" s="1" t="s">
        <v>80</v>
      </c>
      <c r="G109" s="1" t="s">
        <v>64</v>
      </c>
      <c r="H109" s="1" t="s">
        <v>15</v>
      </c>
      <c r="I109" s="2" cm="1">
        <f t="array" ref="I109">IFERROR(
    Games[[#This Row],[Date]]
    - LOOKUP(
        2,
        1/((Games[Team]=Games[[#This Row],[Team]]) * (Games[Date] &lt; Games[[#This Row],[Date]])),
        Games[Date]
    )
    - 1,
Games[[#This Row],[Date]]-$A$2)</f>
        <v>2</v>
      </c>
      <c r="J109" s="2" cm="1">
        <f t="array" ref="J10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09" s="2">
        <f>Games[[#This Row],[DaysOff]]-Games[[#This Row],[OppDaysOff]]</f>
        <v>0</v>
      </c>
      <c r="L109" s="2">
        <f>Games[[#This Row],[OppDaysOff]]-Games[[#This Row],[DaysOff]]</f>
        <v>0</v>
      </c>
      <c r="M109" s="1">
        <f>MAX(-16, MIN(16, Games[[#This Row],[RestDiff]]*8))</f>
        <v>0</v>
      </c>
      <c r="N109" s="1">
        <f>MAX(-16, MIN(16, Games[[#This Row],[OppRestDiff]]*8))</f>
        <v>0</v>
      </c>
      <c r="O109" s="4" cm="1">
        <f t="array" ref="O10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1506.0333427708317</v>
      </c>
      <c r="P109" s="4" cm="1">
        <f t="array" ref="P10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1527.0975022216126</v>
      </c>
      <c r="Q109" s="4">
        <f>1/(1+10^(((Games[[#This Row],[OppPreGmRate]]+IF(Games[[#This Row],[HomeAway]]="A",HCA,0)+Games[[#This Row],[OppRestAdj]])-(Games[[#This Row],[PreGmRate]]+IF(Games[[#This Row],[HomeAway]]="H",HCA,0)+Games[[#This Row],[RestAdj]]))/400))</f>
        <v>0.58959413789052439</v>
      </c>
      <c r="R109" s="1">
        <v>71</v>
      </c>
      <c r="S109" s="1">
        <v>60</v>
      </c>
      <c r="T109" s="1">
        <v>0</v>
      </c>
      <c r="U109" s="1">
        <f>Games[[#This Row],[PointsFor]]-Games[[#This Row],[PointsAgainst]]</f>
        <v>11</v>
      </c>
      <c r="V109" s="1">
        <f>IF(Games[[#This Row],[MOV]]&gt;0,1,IF(Games[[#This Row],[MOV]]=0,0.5,0))</f>
        <v>1</v>
      </c>
      <c r="W109" s="4">
        <f>((ABS(Games[[#This Row],[MOV]])+5)^0.6)/(12+0.01*(ABS(Games[[#This Row],[PreGmRate]]-Games[[#This Row],[OppPreGmRate]])))*IF(Games[[#This Row],[OT]]=1,0.9,1)</f>
        <v>0.43224851063236253</v>
      </c>
      <c r="X109" s="7" cm="1">
        <f t="array" ref="X10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9" s="9">
        <f>MAX(kmin, kmax - 0.15 * MIN(Games[[#This Row],[GamesPlayed]], 82))</f>
        <v>74.95</v>
      </c>
      <c r="Z109" s="4">
        <f>Games[[#This Row],[K]]*Games[[#This Row],[POMult]]</f>
        <v>74.95</v>
      </c>
      <c r="AA109" s="4">
        <f>(Games[[#This Row],[Keff]]*Games[[#This Row],[MOVMult]])*(Games[[#This Row],[Result]]-Games[[#This Row],[ExpectedWin%]])</f>
        <v>13.295929332738288</v>
      </c>
      <c r="AB109" s="4">
        <f>Games[[#This Row],[PreGmRate]]+Games[[#This Row],[RatingChange]]</f>
        <v>1519.32927210357</v>
      </c>
      <c r="AC109" s="2">
        <f>IF(Games[[#This Row],[Type]]="R",IF(Games[[#This Row],[Result]]&gt;0.5,1,0),0)</f>
        <v>1</v>
      </c>
      <c r="AD109" s="2">
        <f>IF(Games[[#This Row],[Type]]="R",IF(Games[[#This Row],[Result]]&lt;0.5,1,0),0)</f>
        <v>0</v>
      </c>
      <c r="AE109" s="2">
        <f>IF(AND(Games[[#This Row],[Type]]="P",Games[[#This Row],[Round]]=1),IF(Games[[#This Row],[Result]]&gt;0.5,1,0),0)</f>
        <v>0</v>
      </c>
      <c r="AF109" s="2">
        <f>IF(AND(Games[[#This Row],[Type]]="P",Games[[#This Row],[Round]]=1),IF(Games[[#This Row],[Result]]&lt;0.5,1,0),0)</f>
        <v>0</v>
      </c>
      <c r="AG109" s="2">
        <f>IF(AND(Games[[#This Row],[Type]]="P",Games[[#This Row],[Round]]=2),IF(Games[[#This Row],[Result]]&gt;0.5,1,0),0)</f>
        <v>0</v>
      </c>
      <c r="AH109" s="2">
        <f>IF(AND(Games[[#This Row],[Type]]="P",Games[[#This Row],[Round]]=2),IF(Games[[#This Row],[Result]]&lt;0.5,1,0),0)</f>
        <v>0</v>
      </c>
      <c r="AI109" s="2">
        <f>IF(AND(Games[[#This Row],[Type]]="P",Games[[#This Row],[Round]]=3),IF(Games[[#This Row],[Result]]&gt;0.5,1,0),0)</f>
        <v>0</v>
      </c>
      <c r="AJ109" s="2">
        <f>IF(AND(Games[[#This Row],[Type]]="P",Games[[#This Row],[Round]]=3),IF(Games[[#This Row],[Result]]&lt;0.5,1,0),0)</f>
        <v>0</v>
      </c>
      <c r="AK109" s="2">
        <f>IF(AND(Games[[#This Row],[Type]]="P",Games[[#This Row],[Round]]=4),IF(Games[[#This Row],[Result]]&gt;0.5,1,0),0)</f>
        <v>0</v>
      </c>
      <c r="AL109" s="2">
        <f>IF(AND(Games[[#This Row],[Type]]="P",Games[[#This Row],[Round]]=4),IF(Games[[#This Row],[Result]]&lt;0.5,1,0),0)</f>
        <v>0</v>
      </c>
    </row>
    <row r="110" spans="1:38" x14ac:dyDescent="0.35">
      <c r="A110" s="10">
        <v>37789</v>
      </c>
      <c r="B110" s="2">
        <v>2003</v>
      </c>
      <c r="C110" s="2">
        <f>COUNTIFS(Games[Team],Games[[#This Row],[Team]],Games[Season],Games[[#This Row],[Season]],Games[Date],"&lt;=" &amp; Games[[#This Row],[Date]])</f>
        <v>10</v>
      </c>
      <c r="D110" s="2" t="s">
        <v>23</v>
      </c>
      <c r="E110" s="2" t="s">
        <v>29</v>
      </c>
      <c r="F110" s="1" t="s">
        <v>2</v>
      </c>
      <c r="G110" s="1" t="s">
        <v>78</v>
      </c>
      <c r="H110" s="1" t="s">
        <v>16</v>
      </c>
      <c r="I110" s="2" cm="1">
        <f t="array" ref="I110">IFERROR(
    Games[[#This Row],[Date]]
    - LOOKUP(
        2,
        1/((Games[Team]=Games[[#This Row],[Team]]) * (Games[Date] &lt; Games[[#This Row],[Date]])),
        Games[Date]
    )
    - 1,
Games[[#This Row],[Date]]-$A$2)</f>
        <v>2</v>
      </c>
      <c r="J110" s="2" cm="1">
        <f t="array" ref="J11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10" s="2">
        <f>Games[[#This Row],[DaysOff]]-Games[[#This Row],[OppDaysOff]]</f>
        <v>0</v>
      </c>
      <c r="L110" s="2">
        <f>Games[[#This Row],[OppDaysOff]]-Games[[#This Row],[DaysOff]]</f>
        <v>0</v>
      </c>
      <c r="M110" s="1">
        <f>MAX(-16, MIN(16, Games[[#This Row],[RestDiff]]*8))</f>
        <v>0</v>
      </c>
      <c r="N110" s="1">
        <f>MAX(-16, MIN(16, Games[[#This Row],[OppRestDiff]]*8))</f>
        <v>0</v>
      </c>
      <c r="O110" s="4" cm="1">
        <f t="array" ref="O11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1524.1908028562511</v>
      </c>
      <c r="P110" s="4" cm="1">
        <f t="array" ref="P11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1466.3732691088999</v>
      </c>
      <c r="Q110" s="4">
        <f>1/(1+10^(((Games[[#This Row],[OppPreGmRate]]+IF(Games[[#This Row],[HomeAway]]="A",HCA,0)+Games[[#This Row],[OppRestAdj]])-(Games[[#This Row],[PreGmRate]]+IF(Games[[#This Row],[HomeAway]]="H",HCA,0)+Games[[#This Row],[RestAdj]]))/400))</f>
        <v>0.46239156812032572</v>
      </c>
      <c r="R110" s="1">
        <v>77</v>
      </c>
      <c r="S110" s="1">
        <v>68</v>
      </c>
      <c r="T110" s="1">
        <v>0</v>
      </c>
      <c r="U110" s="1">
        <f>Games[[#This Row],[PointsFor]]-Games[[#This Row],[PointsAgainst]]</f>
        <v>9</v>
      </c>
      <c r="V110" s="1">
        <f>IF(Games[[#This Row],[MOV]]&gt;0,1,IF(Games[[#This Row],[MOV]]=0,0.5,0))</f>
        <v>1</v>
      </c>
      <c r="W110" s="4">
        <f>((ABS(Games[[#This Row],[MOV]])+5)^0.6)/(12+0.01*(ABS(Games[[#This Row],[PreGmRate]]-Games[[#This Row],[OppPreGmRate]])))*IF(Games[[#This Row],[OT]]=1,0.9,1)</f>
        <v>0.38731041626149321</v>
      </c>
      <c r="X110" s="7" cm="1">
        <f t="array" ref="X11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0" s="9">
        <f>MAX(kmin, kmax - 0.15 * MIN(Games[[#This Row],[GamesPlayed]], 82))</f>
        <v>74.5</v>
      </c>
      <c r="Z110" s="4">
        <f>Games[[#This Row],[K]]*Games[[#This Row],[POMult]]</f>
        <v>74.5</v>
      </c>
      <c r="AA110" s="4">
        <f>(Games[[#This Row],[Keff]]*Games[[#This Row],[MOVMult]])*(Games[[#This Row],[Result]]-Games[[#This Row],[ExpectedWin%]])</f>
        <v>15.512490242506894</v>
      </c>
      <c r="AB110" s="4">
        <f>Games[[#This Row],[PreGmRate]]+Games[[#This Row],[RatingChange]]</f>
        <v>1539.703293098758</v>
      </c>
      <c r="AC110" s="2">
        <f>IF(Games[[#This Row],[Type]]="R",IF(Games[[#This Row],[Result]]&gt;0.5,1,0),0)</f>
        <v>1</v>
      </c>
      <c r="AD110" s="2">
        <f>IF(Games[[#This Row],[Type]]="R",IF(Games[[#This Row],[Result]]&lt;0.5,1,0),0)</f>
        <v>0</v>
      </c>
      <c r="AE110" s="2">
        <f>IF(AND(Games[[#This Row],[Type]]="P",Games[[#This Row],[Round]]=1),IF(Games[[#This Row],[Result]]&gt;0.5,1,0),0)</f>
        <v>0</v>
      </c>
      <c r="AF110" s="2">
        <f>IF(AND(Games[[#This Row],[Type]]="P",Games[[#This Row],[Round]]=1),IF(Games[[#This Row],[Result]]&lt;0.5,1,0),0)</f>
        <v>0</v>
      </c>
      <c r="AG110" s="2">
        <f>IF(AND(Games[[#This Row],[Type]]="P",Games[[#This Row],[Round]]=2),IF(Games[[#This Row],[Result]]&gt;0.5,1,0),0)</f>
        <v>0</v>
      </c>
      <c r="AH110" s="2">
        <f>IF(AND(Games[[#This Row],[Type]]="P",Games[[#This Row],[Round]]=2),IF(Games[[#This Row],[Result]]&lt;0.5,1,0),0)</f>
        <v>0</v>
      </c>
      <c r="AI110" s="2">
        <f>IF(AND(Games[[#This Row],[Type]]="P",Games[[#This Row],[Round]]=3),IF(Games[[#This Row],[Result]]&gt;0.5,1,0),0)</f>
        <v>0</v>
      </c>
      <c r="AJ110" s="2">
        <f>IF(AND(Games[[#This Row],[Type]]="P",Games[[#This Row],[Round]]=3),IF(Games[[#This Row],[Result]]&lt;0.5,1,0),0)</f>
        <v>0</v>
      </c>
      <c r="AK110" s="2">
        <f>IF(AND(Games[[#This Row],[Type]]="P",Games[[#This Row],[Round]]=4),IF(Games[[#This Row],[Result]]&gt;0.5,1,0),0)</f>
        <v>0</v>
      </c>
      <c r="AL110" s="2">
        <f>IF(AND(Games[[#This Row],[Type]]="P",Games[[#This Row],[Round]]=4),IF(Games[[#This Row],[Result]]&lt;0.5,1,0),0)</f>
        <v>0</v>
      </c>
    </row>
    <row r="111" spans="1:38" x14ac:dyDescent="0.35">
      <c r="A111" s="10">
        <v>37789</v>
      </c>
      <c r="B111" s="2">
        <v>2003</v>
      </c>
      <c r="C111" s="2">
        <f>COUNTIFS(Games[Team],Games[[#This Row],[Team]],Games[Season],Games[[#This Row],[Season]],Games[Date],"&lt;=" &amp; Games[[#This Row],[Date]])</f>
        <v>9</v>
      </c>
      <c r="D111" s="2" t="s">
        <v>23</v>
      </c>
      <c r="E111" s="2" t="s">
        <v>29</v>
      </c>
      <c r="F111" s="1" t="s">
        <v>78</v>
      </c>
      <c r="G111" s="1" t="s">
        <v>2</v>
      </c>
      <c r="H111" s="1" t="s">
        <v>15</v>
      </c>
      <c r="I111" s="2" cm="1">
        <f t="array" ref="I111">IFERROR(
    Games[[#This Row],[Date]]
    - LOOKUP(
        2,
        1/((Games[Team]=Games[[#This Row],[Team]]) * (Games[Date] &lt; Games[[#This Row],[Date]])),
        Games[Date]
    )
    - 1,
Games[[#This Row],[Date]]-$A$2)</f>
        <v>2</v>
      </c>
      <c r="J111" s="2" cm="1">
        <f t="array" ref="J11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11" s="2">
        <f>Games[[#This Row],[DaysOff]]-Games[[#This Row],[OppDaysOff]]</f>
        <v>0</v>
      </c>
      <c r="L111" s="2">
        <f>Games[[#This Row],[OppDaysOff]]-Games[[#This Row],[DaysOff]]</f>
        <v>0</v>
      </c>
      <c r="M111" s="1">
        <f>MAX(-16, MIN(16, Games[[#This Row],[RestDiff]]*8))</f>
        <v>0</v>
      </c>
      <c r="N111" s="1">
        <f>MAX(-16, MIN(16, Games[[#This Row],[OppRestDiff]]*8))</f>
        <v>0</v>
      </c>
      <c r="O111" s="4" cm="1">
        <f t="array" ref="O11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1466.3732691088999</v>
      </c>
      <c r="P111" s="4" cm="1">
        <f t="array" ref="P11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1524.1908028562511</v>
      </c>
      <c r="Q111" s="4">
        <f>1/(1+10^(((Games[[#This Row],[OppPreGmRate]]+IF(Games[[#This Row],[HomeAway]]="A",HCA,0)+Games[[#This Row],[OppRestAdj]])-(Games[[#This Row],[PreGmRate]]+IF(Games[[#This Row],[HomeAway]]="H",HCA,0)+Games[[#This Row],[RestAdj]]))/400))</f>
        <v>0.53760843187967422</v>
      </c>
      <c r="R111" s="1">
        <v>68</v>
      </c>
      <c r="S111" s="1">
        <v>77</v>
      </c>
      <c r="T111" s="1">
        <v>0</v>
      </c>
      <c r="U111" s="1">
        <f>Games[[#This Row],[PointsFor]]-Games[[#This Row],[PointsAgainst]]</f>
        <v>-9</v>
      </c>
      <c r="V111" s="1">
        <f>IF(Games[[#This Row],[MOV]]&gt;0,1,IF(Games[[#This Row],[MOV]]=0,0.5,0))</f>
        <v>0</v>
      </c>
      <c r="W111" s="4">
        <f>((ABS(Games[[#This Row],[MOV]])+5)^0.6)/(12+0.01*(ABS(Games[[#This Row],[PreGmRate]]-Games[[#This Row],[OppPreGmRate]])))*IF(Games[[#This Row],[OT]]=1,0.9,1)</f>
        <v>0.38731041626149321</v>
      </c>
      <c r="X111" s="7" cm="1">
        <f t="array" ref="X11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1" s="9">
        <f>MAX(kmin, kmax - 0.15 * MIN(Games[[#This Row],[GamesPlayed]], 82))</f>
        <v>74.650000000000006</v>
      </c>
      <c r="Z111" s="4">
        <f>Games[[#This Row],[K]]*Games[[#This Row],[POMult]]</f>
        <v>74.650000000000006</v>
      </c>
      <c r="AA111" s="4">
        <f>(Games[[#This Row],[Keff]]*Games[[#This Row],[MOVMult]])*(Games[[#This Row],[Result]]-Games[[#This Row],[ExpectedWin%]])</f>
        <v>-15.543723444337441</v>
      </c>
      <c r="AB111" s="4">
        <f>Games[[#This Row],[PreGmRate]]+Games[[#This Row],[RatingChange]]</f>
        <v>1450.8295456645624</v>
      </c>
      <c r="AC111" s="2">
        <f>IF(Games[[#This Row],[Type]]="R",IF(Games[[#This Row],[Result]]&gt;0.5,1,0),0)</f>
        <v>0</v>
      </c>
      <c r="AD111" s="2">
        <f>IF(Games[[#This Row],[Type]]="R",IF(Games[[#This Row],[Result]]&lt;0.5,1,0),0)</f>
        <v>1</v>
      </c>
      <c r="AE111" s="2">
        <f>IF(AND(Games[[#This Row],[Type]]="P",Games[[#This Row],[Round]]=1),IF(Games[[#This Row],[Result]]&gt;0.5,1,0),0)</f>
        <v>0</v>
      </c>
      <c r="AF111" s="2">
        <f>IF(AND(Games[[#This Row],[Type]]="P",Games[[#This Row],[Round]]=1),IF(Games[[#This Row],[Result]]&lt;0.5,1,0),0)</f>
        <v>0</v>
      </c>
      <c r="AG111" s="2">
        <f>IF(AND(Games[[#This Row],[Type]]="P",Games[[#This Row],[Round]]=2),IF(Games[[#This Row],[Result]]&gt;0.5,1,0),0)</f>
        <v>0</v>
      </c>
      <c r="AH111" s="2">
        <f>IF(AND(Games[[#This Row],[Type]]="P",Games[[#This Row],[Round]]=2),IF(Games[[#This Row],[Result]]&lt;0.5,1,0),0)</f>
        <v>0</v>
      </c>
      <c r="AI111" s="2">
        <f>IF(AND(Games[[#This Row],[Type]]="P",Games[[#This Row],[Round]]=3),IF(Games[[#This Row],[Result]]&gt;0.5,1,0),0)</f>
        <v>0</v>
      </c>
      <c r="AJ111" s="2">
        <f>IF(AND(Games[[#This Row],[Type]]="P",Games[[#This Row],[Round]]=3),IF(Games[[#This Row],[Result]]&lt;0.5,1,0),0)</f>
        <v>0</v>
      </c>
      <c r="AK111" s="2">
        <f>IF(AND(Games[[#This Row],[Type]]="P",Games[[#This Row],[Round]]=4),IF(Games[[#This Row],[Result]]&gt;0.5,1,0),0)</f>
        <v>0</v>
      </c>
      <c r="AL111" s="2">
        <f>IF(AND(Games[[#This Row],[Type]]="P",Games[[#This Row],[Round]]=4),IF(Games[[#This Row],[Result]]&lt;0.5,1,0),0)</f>
        <v>0</v>
      </c>
    </row>
    <row r="112" spans="1:38" x14ac:dyDescent="0.35">
      <c r="A112" s="10">
        <v>37789</v>
      </c>
      <c r="B112" s="2">
        <v>2003</v>
      </c>
      <c r="C112" s="2">
        <f>COUNTIFS(Games[Team],Games[[#This Row],[Team]],Games[Season],Games[[#This Row],[Season]],Games[Date],"&lt;=" &amp; Games[[#This Row],[Date]])</f>
        <v>10</v>
      </c>
      <c r="D112" s="2" t="s">
        <v>23</v>
      </c>
      <c r="E112" s="2" t="s">
        <v>29</v>
      </c>
      <c r="F112" s="1" t="s">
        <v>45</v>
      </c>
      <c r="G112" s="1" t="s">
        <v>66</v>
      </c>
      <c r="H112" s="1" t="s">
        <v>16</v>
      </c>
      <c r="I112" s="2" cm="1">
        <f t="array" ref="I112">IFERROR(
    Games[[#This Row],[Date]]
    - LOOKUP(
        2,
        1/((Games[Team]=Games[[#This Row],[Team]]) * (Games[Date] &lt; Games[[#This Row],[Date]])),
        Games[Date]
    )
    - 1,
Games[[#This Row],[Date]]-$A$2)</f>
        <v>2</v>
      </c>
      <c r="J112" s="2" cm="1">
        <f t="array" ref="J11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12" s="2">
        <f>Games[[#This Row],[DaysOff]]-Games[[#This Row],[OppDaysOff]]</f>
        <v>0</v>
      </c>
      <c r="L112" s="2">
        <f>Games[[#This Row],[OppDaysOff]]-Games[[#This Row],[DaysOff]]</f>
        <v>0</v>
      </c>
      <c r="M112" s="1">
        <f>MAX(-16, MIN(16, Games[[#This Row],[RestDiff]]*8))</f>
        <v>0</v>
      </c>
      <c r="N112" s="1">
        <f>MAX(-16, MIN(16, Games[[#This Row],[OppRestDiff]]*8))</f>
        <v>0</v>
      </c>
      <c r="O112" s="4" cm="1">
        <f t="array" ref="O11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1475.9319416514463</v>
      </c>
      <c r="P112" s="4" cm="1">
        <f t="array" ref="P11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1510.9371977544747</v>
      </c>
      <c r="Q112" s="4">
        <f>1/(1+10^(((Games[[#This Row],[OppPreGmRate]]+IF(Games[[#This Row],[HomeAway]]="A",HCA,0)+Games[[#This Row],[OppRestAdj]])-(Games[[#This Row],[PreGmRate]]+IF(Games[[#This Row],[HomeAway]]="H",HCA,0)+Games[[#This Row],[RestAdj]]))/400))</f>
        <v>0.33513527965601608</v>
      </c>
      <c r="R112" s="1">
        <v>61</v>
      </c>
      <c r="S112" s="1">
        <v>70</v>
      </c>
      <c r="T112" s="1">
        <v>0</v>
      </c>
      <c r="U112" s="1">
        <f>Games[[#This Row],[PointsFor]]-Games[[#This Row],[PointsAgainst]]</f>
        <v>-9</v>
      </c>
      <c r="V112" s="1">
        <f>IF(Games[[#This Row],[MOV]]&gt;0,1,IF(Games[[#This Row],[MOV]]=0,0.5,0))</f>
        <v>0</v>
      </c>
      <c r="W112" s="4">
        <f>((ABS(Games[[#This Row],[MOV]])+5)^0.6)/(12+0.01*(ABS(Games[[#This Row],[PreGmRate]]-Games[[#This Row],[OppPreGmRate]])))*IF(Games[[#This Row],[OT]]=1,0.9,1)</f>
        <v>0.39446458237263599</v>
      </c>
      <c r="X112" s="7" cm="1">
        <f t="array" ref="X11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2" s="9">
        <f>MAX(kmin, kmax - 0.15 * MIN(Games[[#This Row],[GamesPlayed]], 82))</f>
        <v>74.5</v>
      </c>
      <c r="Z112" s="4">
        <f>Games[[#This Row],[K]]*Games[[#This Row],[POMult]]</f>
        <v>74.5</v>
      </c>
      <c r="AA112" s="4">
        <f>(Games[[#This Row],[Keff]]*Games[[#This Row],[MOVMult]])*(Games[[#This Row],[Result]]-Games[[#This Row],[ExpectedWin%]])</f>
        <v>-9.8488253605245983</v>
      </c>
      <c r="AB112" s="4">
        <f>Games[[#This Row],[PreGmRate]]+Games[[#This Row],[RatingChange]]</f>
        <v>1466.0831162909217</v>
      </c>
      <c r="AC112" s="2">
        <f>IF(Games[[#This Row],[Type]]="R",IF(Games[[#This Row],[Result]]&gt;0.5,1,0),0)</f>
        <v>0</v>
      </c>
      <c r="AD112" s="2">
        <f>IF(Games[[#This Row],[Type]]="R",IF(Games[[#This Row],[Result]]&lt;0.5,1,0),0)</f>
        <v>1</v>
      </c>
      <c r="AE112" s="2">
        <f>IF(AND(Games[[#This Row],[Type]]="P",Games[[#This Row],[Round]]=1),IF(Games[[#This Row],[Result]]&gt;0.5,1,0),0)</f>
        <v>0</v>
      </c>
      <c r="AF112" s="2">
        <f>IF(AND(Games[[#This Row],[Type]]="P",Games[[#This Row],[Round]]=1),IF(Games[[#This Row],[Result]]&lt;0.5,1,0),0)</f>
        <v>0</v>
      </c>
      <c r="AG112" s="2">
        <f>IF(AND(Games[[#This Row],[Type]]="P",Games[[#This Row],[Round]]=2),IF(Games[[#This Row],[Result]]&gt;0.5,1,0),0)</f>
        <v>0</v>
      </c>
      <c r="AH112" s="2">
        <f>IF(AND(Games[[#This Row],[Type]]="P",Games[[#This Row],[Round]]=2),IF(Games[[#This Row],[Result]]&lt;0.5,1,0),0)</f>
        <v>0</v>
      </c>
      <c r="AI112" s="2">
        <f>IF(AND(Games[[#This Row],[Type]]="P",Games[[#This Row],[Round]]=3),IF(Games[[#This Row],[Result]]&gt;0.5,1,0),0)</f>
        <v>0</v>
      </c>
      <c r="AJ112" s="2">
        <f>IF(AND(Games[[#This Row],[Type]]="P",Games[[#This Row],[Round]]=3),IF(Games[[#This Row],[Result]]&lt;0.5,1,0),0)</f>
        <v>0</v>
      </c>
      <c r="AK112" s="2">
        <f>IF(AND(Games[[#This Row],[Type]]="P",Games[[#This Row],[Round]]=4),IF(Games[[#This Row],[Result]]&gt;0.5,1,0),0)</f>
        <v>0</v>
      </c>
      <c r="AL112" s="2">
        <f>IF(AND(Games[[#This Row],[Type]]="P",Games[[#This Row],[Round]]=4),IF(Games[[#This Row],[Result]]&lt;0.5,1,0),0)</f>
        <v>0</v>
      </c>
    </row>
    <row r="113" spans="1:38" x14ac:dyDescent="0.35">
      <c r="A113" s="10">
        <v>37789</v>
      </c>
      <c r="B113" s="2">
        <v>2003</v>
      </c>
      <c r="C113" s="2">
        <f>COUNTIFS(Games[Team],Games[[#This Row],[Team]],Games[Season],Games[[#This Row],[Season]],Games[Date],"&lt;=" &amp; Games[[#This Row],[Date]])</f>
        <v>7</v>
      </c>
      <c r="D113" s="2" t="s">
        <v>23</v>
      </c>
      <c r="E113" s="2" t="s">
        <v>29</v>
      </c>
      <c r="F113" s="1" t="s">
        <v>66</v>
      </c>
      <c r="G113" s="1" t="s">
        <v>45</v>
      </c>
      <c r="H113" s="1" t="s">
        <v>15</v>
      </c>
      <c r="I113" s="2" cm="1">
        <f t="array" ref="I113">IFERROR(
    Games[[#This Row],[Date]]
    - LOOKUP(
        2,
        1/((Games[Team]=Games[[#This Row],[Team]]) * (Games[Date] &lt; Games[[#This Row],[Date]])),
        Games[Date]
    )
    - 1,
Games[[#This Row],[Date]]-$A$2)</f>
        <v>2</v>
      </c>
      <c r="J113" s="2" cm="1">
        <f t="array" ref="J11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13" s="2">
        <f>Games[[#This Row],[DaysOff]]-Games[[#This Row],[OppDaysOff]]</f>
        <v>0</v>
      </c>
      <c r="L113" s="2">
        <f>Games[[#This Row],[OppDaysOff]]-Games[[#This Row],[DaysOff]]</f>
        <v>0</v>
      </c>
      <c r="M113" s="1">
        <f>MAX(-16, MIN(16, Games[[#This Row],[RestDiff]]*8))</f>
        <v>0</v>
      </c>
      <c r="N113" s="1">
        <f>MAX(-16, MIN(16, Games[[#This Row],[OppRestDiff]]*8))</f>
        <v>0</v>
      </c>
      <c r="O113" s="4" cm="1">
        <f t="array" ref="O11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1510.9371977544747</v>
      </c>
      <c r="P113" s="4" cm="1">
        <f t="array" ref="P11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1475.9319416514463</v>
      </c>
      <c r="Q113" s="4">
        <f>1/(1+10^(((Games[[#This Row],[OppPreGmRate]]+IF(Games[[#This Row],[HomeAway]]="A",HCA,0)+Games[[#This Row],[OppRestAdj]])-(Games[[#This Row],[PreGmRate]]+IF(Games[[#This Row],[HomeAway]]="H",HCA,0)+Games[[#This Row],[RestAdj]]))/400))</f>
        <v>0.66486472034398392</v>
      </c>
      <c r="R113" s="1">
        <v>70</v>
      </c>
      <c r="S113" s="1">
        <v>61</v>
      </c>
      <c r="T113" s="1">
        <v>0</v>
      </c>
      <c r="U113" s="1">
        <f>Games[[#This Row],[PointsFor]]-Games[[#This Row],[PointsAgainst]]</f>
        <v>9</v>
      </c>
      <c r="V113" s="1">
        <f>IF(Games[[#This Row],[MOV]]&gt;0,1,IF(Games[[#This Row],[MOV]]=0,0.5,0))</f>
        <v>1</v>
      </c>
      <c r="W113" s="4">
        <f>((ABS(Games[[#This Row],[MOV]])+5)^0.6)/(12+0.01*(ABS(Games[[#This Row],[PreGmRate]]-Games[[#This Row],[OppPreGmRate]])))*IF(Games[[#This Row],[OT]]=1,0.9,1)</f>
        <v>0.39446458237263599</v>
      </c>
      <c r="X113" s="7" cm="1">
        <f t="array" ref="X11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3" s="9">
        <f>MAX(kmin, kmax - 0.15 * MIN(Games[[#This Row],[GamesPlayed]], 82))</f>
        <v>74.95</v>
      </c>
      <c r="Z113" s="4">
        <f>Games[[#This Row],[K]]*Games[[#This Row],[POMult]]</f>
        <v>74.95</v>
      </c>
      <c r="AA113" s="4">
        <f>(Games[[#This Row],[Keff]]*Games[[#This Row],[MOVMult]])*(Games[[#This Row],[Result]]-Games[[#This Row],[ExpectedWin%]])</f>
        <v>9.9083149096821295</v>
      </c>
      <c r="AB113" s="4">
        <f>Games[[#This Row],[PreGmRate]]+Games[[#This Row],[RatingChange]]</f>
        <v>1520.8455126641568</v>
      </c>
      <c r="AC113" s="2">
        <f>IF(Games[[#This Row],[Type]]="R",IF(Games[[#This Row],[Result]]&gt;0.5,1,0),0)</f>
        <v>1</v>
      </c>
      <c r="AD113" s="2">
        <f>IF(Games[[#This Row],[Type]]="R",IF(Games[[#This Row],[Result]]&lt;0.5,1,0),0)</f>
        <v>0</v>
      </c>
      <c r="AE113" s="2">
        <f>IF(AND(Games[[#This Row],[Type]]="P",Games[[#This Row],[Round]]=1),IF(Games[[#This Row],[Result]]&gt;0.5,1,0),0)</f>
        <v>0</v>
      </c>
      <c r="AF113" s="2">
        <f>IF(AND(Games[[#This Row],[Type]]="P",Games[[#This Row],[Round]]=1),IF(Games[[#This Row],[Result]]&lt;0.5,1,0),0)</f>
        <v>0</v>
      </c>
      <c r="AG113" s="2">
        <f>IF(AND(Games[[#This Row],[Type]]="P",Games[[#This Row],[Round]]=2),IF(Games[[#This Row],[Result]]&gt;0.5,1,0),0)</f>
        <v>0</v>
      </c>
      <c r="AH113" s="2">
        <f>IF(AND(Games[[#This Row],[Type]]="P",Games[[#This Row],[Round]]=2),IF(Games[[#This Row],[Result]]&lt;0.5,1,0),0)</f>
        <v>0</v>
      </c>
      <c r="AI113" s="2">
        <f>IF(AND(Games[[#This Row],[Type]]="P",Games[[#This Row],[Round]]=3),IF(Games[[#This Row],[Result]]&gt;0.5,1,0),0)</f>
        <v>0</v>
      </c>
      <c r="AJ113" s="2">
        <f>IF(AND(Games[[#This Row],[Type]]="P",Games[[#This Row],[Round]]=3),IF(Games[[#This Row],[Result]]&lt;0.5,1,0),0)</f>
        <v>0</v>
      </c>
      <c r="AK113" s="2">
        <f>IF(AND(Games[[#This Row],[Type]]="P",Games[[#This Row],[Round]]=4),IF(Games[[#This Row],[Result]]&gt;0.5,1,0),0)</f>
        <v>0</v>
      </c>
      <c r="AL113" s="2">
        <f>IF(AND(Games[[#This Row],[Type]]="P",Games[[#This Row],[Round]]=4),IF(Games[[#This Row],[Result]]&lt;0.5,1,0),0)</f>
        <v>0</v>
      </c>
    </row>
    <row r="114" spans="1:38" x14ac:dyDescent="0.35">
      <c r="A114" s="10">
        <v>37789</v>
      </c>
      <c r="B114" s="2">
        <v>2003</v>
      </c>
      <c r="C114" s="2">
        <f>COUNTIFS(Games[Team],Games[[#This Row],[Team]],Games[Season],Games[[#This Row],[Season]],Games[Date],"&lt;=" &amp; Games[[#This Row],[Date]])</f>
        <v>8</v>
      </c>
      <c r="D114" s="2" t="s">
        <v>23</v>
      </c>
      <c r="E114" s="2" t="s">
        <v>29</v>
      </c>
      <c r="F114" s="1" t="s">
        <v>82</v>
      </c>
      <c r="G114" s="1" t="s">
        <v>44</v>
      </c>
      <c r="H114" s="1" t="s">
        <v>16</v>
      </c>
      <c r="I114" s="2" cm="1">
        <f t="array" ref="I114">IFERROR(
    Games[[#This Row],[Date]]
    - LOOKUP(
        2,
        1/((Games[Team]=Games[[#This Row],[Team]]) * (Games[Date] &lt; Games[[#This Row],[Date]])),
        Games[Date]
    )
    - 1,
Games[[#This Row],[Date]]-$A$2)</f>
        <v>2</v>
      </c>
      <c r="J114" s="2" cm="1">
        <f t="array" ref="J11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14" s="2">
        <f>Games[[#This Row],[DaysOff]]-Games[[#This Row],[OppDaysOff]]</f>
        <v>0</v>
      </c>
      <c r="L114" s="2">
        <f>Games[[#This Row],[OppDaysOff]]-Games[[#This Row],[DaysOff]]</f>
        <v>0</v>
      </c>
      <c r="M114" s="1">
        <f>MAX(-16, MIN(16, Games[[#This Row],[RestDiff]]*8))</f>
        <v>0</v>
      </c>
      <c r="N114" s="1">
        <f>MAX(-16, MIN(16, Games[[#This Row],[OppRestDiff]]*8))</f>
        <v>0</v>
      </c>
      <c r="O114" s="4" cm="1">
        <f t="array" ref="O11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1503.9923674542949</v>
      </c>
      <c r="P114" s="4" cm="1">
        <f t="array" ref="P11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1395.4073573620349</v>
      </c>
      <c r="Q114" s="4">
        <f>1/(1+10^(((Games[[#This Row],[OppPreGmRate]]+IF(Games[[#This Row],[HomeAway]]="A",HCA,0)+Games[[#This Row],[OppRestAdj]])-(Games[[#This Row],[PreGmRate]]+IF(Games[[#This Row],[HomeAway]]="H",HCA,0)+Games[[#This Row],[RestAdj]]))/400))</f>
        <v>0.53532173929966165</v>
      </c>
      <c r="R114" s="1">
        <v>61</v>
      </c>
      <c r="S114" s="1">
        <v>60</v>
      </c>
      <c r="T114" s="1">
        <v>0</v>
      </c>
      <c r="U114" s="1">
        <f>Games[[#This Row],[PointsFor]]-Games[[#This Row],[PointsAgainst]]</f>
        <v>1</v>
      </c>
      <c r="V114" s="1">
        <f>IF(Games[[#This Row],[MOV]]&gt;0,1,IF(Games[[#This Row],[MOV]]=0,0.5,0))</f>
        <v>1</v>
      </c>
      <c r="W114" s="4">
        <f>((ABS(Games[[#This Row],[MOV]])+5)^0.6)/(12+0.01*(ABS(Games[[#This Row],[PreGmRate]]-Games[[#This Row],[OppPreGmRate]])))*IF(Games[[#This Row],[OT]]=1,0.9,1)</f>
        <v>0.22391789826302033</v>
      </c>
      <c r="X114" s="7" cm="1">
        <f t="array" ref="X11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4" s="9">
        <f>MAX(kmin, kmax - 0.15 * MIN(Games[[#This Row],[GamesPlayed]], 82))</f>
        <v>74.8</v>
      </c>
      <c r="Z114" s="4">
        <f>Games[[#This Row],[K]]*Games[[#This Row],[POMult]]</f>
        <v>74.8</v>
      </c>
      <c r="AA114" s="4">
        <f>(Games[[#This Row],[Keff]]*Games[[#This Row],[MOVMult]])*(Games[[#This Row],[Result]]-Games[[#This Row],[ExpectedWin%]])</f>
        <v>7.7829235069392633</v>
      </c>
      <c r="AB114" s="4">
        <f>Games[[#This Row],[PreGmRate]]+Games[[#This Row],[RatingChange]]</f>
        <v>1511.7752909612343</v>
      </c>
      <c r="AC114" s="2">
        <f>IF(Games[[#This Row],[Type]]="R",IF(Games[[#This Row],[Result]]&gt;0.5,1,0),0)</f>
        <v>1</v>
      </c>
      <c r="AD114" s="2">
        <f>IF(Games[[#This Row],[Type]]="R",IF(Games[[#This Row],[Result]]&lt;0.5,1,0),0)</f>
        <v>0</v>
      </c>
      <c r="AE114" s="2">
        <f>IF(AND(Games[[#This Row],[Type]]="P",Games[[#This Row],[Round]]=1),IF(Games[[#This Row],[Result]]&gt;0.5,1,0),0)</f>
        <v>0</v>
      </c>
      <c r="AF114" s="2">
        <f>IF(AND(Games[[#This Row],[Type]]="P",Games[[#This Row],[Round]]=1),IF(Games[[#This Row],[Result]]&lt;0.5,1,0),0)</f>
        <v>0</v>
      </c>
      <c r="AG114" s="2">
        <f>IF(AND(Games[[#This Row],[Type]]="P",Games[[#This Row],[Round]]=2),IF(Games[[#This Row],[Result]]&gt;0.5,1,0),0)</f>
        <v>0</v>
      </c>
      <c r="AH114" s="2">
        <f>IF(AND(Games[[#This Row],[Type]]="P",Games[[#This Row],[Round]]=2),IF(Games[[#This Row],[Result]]&lt;0.5,1,0),0)</f>
        <v>0</v>
      </c>
      <c r="AI114" s="2">
        <f>IF(AND(Games[[#This Row],[Type]]="P",Games[[#This Row],[Round]]=3),IF(Games[[#This Row],[Result]]&gt;0.5,1,0),0)</f>
        <v>0</v>
      </c>
      <c r="AJ114" s="2">
        <f>IF(AND(Games[[#This Row],[Type]]="P",Games[[#This Row],[Round]]=3),IF(Games[[#This Row],[Result]]&lt;0.5,1,0),0)</f>
        <v>0</v>
      </c>
      <c r="AK114" s="2">
        <f>IF(AND(Games[[#This Row],[Type]]="P",Games[[#This Row],[Round]]=4),IF(Games[[#This Row],[Result]]&gt;0.5,1,0),0)</f>
        <v>0</v>
      </c>
      <c r="AL114" s="2">
        <f>IF(AND(Games[[#This Row],[Type]]="P",Games[[#This Row],[Round]]=4),IF(Games[[#This Row],[Result]]&lt;0.5,1,0),0)</f>
        <v>0</v>
      </c>
    </row>
    <row r="115" spans="1:38" x14ac:dyDescent="0.35">
      <c r="A115" s="10">
        <v>37789</v>
      </c>
      <c r="B115" s="2">
        <v>2003</v>
      </c>
      <c r="C115" s="2">
        <f>COUNTIFS(Games[Team],Games[[#This Row],[Team]],Games[Season],Games[[#This Row],[Season]],Games[Date],"&lt;=" &amp; Games[[#This Row],[Date]])</f>
        <v>10</v>
      </c>
      <c r="D115" s="2" t="s">
        <v>23</v>
      </c>
      <c r="E115" s="2" t="s">
        <v>29</v>
      </c>
      <c r="F115" s="1" t="s">
        <v>44</v>
      </c>
      <c r="G115" s="1" t="s">
        <v>82</v>
      </c>
      <c r="H115" s="1" t="s">
        <v>15</v>
      </c>
      <c r="I115" s="2" cm="1">
        <f t="array" ref="I115">IFERROR(
    Games[[#This Row],[Date]]
    - LOOKUP(
        2,
        1/((Games[Team]=Games[[#This Row],[Team]]) * (Games[Date] &lt; Games[[#This Row],[Date]])),
        Games[Date]
    )
    - 1,
Games[[#This Row],[Date]]-$A$2)</f>
        <v>2</v>
      </c>
      <c r="J115" s="2" cm="1">
        <f t="array" ref="J11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15" s="2">
        <f>Games[[#This Row],[DaysOff]]-Games[[#This Row],[OppDaysOff]]</f>
        <v>0</v>
      </c>
      <c r="L115" s="2">
        <f>Games[[#This Row],[OppDaysOff]]-Games[[#This Row],[DaysOff]]</f>
        <v>0</v>
      </c>
      <c r="M115" s="1">
        <f>MAX(-16, MIN(16, Games[[#This Row],[RestDiff]]*8))</f>
        <v>0</v>
      </c>
      <c r="N115" s="1">
        <f>MAX(-16, MIN(16, Games[[#This Row],[OppRestDiff]]*8))</f>
        <v>0</v>
      </c>
      <c r="O115" s="4" cm="1">
        <f t="array" ref="O11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1395.4073573620349</v>
      </c>
      <c r="P115" s="4" cm="1">
        <f t="array" ref="P11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1503.9923674542949</v>
      </c>
      <c r="Q115" s="4">
        <f>1/(1+10^(((Games[[#This Row],[OppPreGmRate]]+IF(Games[[#This Row],[HomeAway]]="A",HCA,0)+Games[[#This Row],[OppRestAdj]])-(Games[[#This Row],[PreGmRate]]+IF(Games[[#This Row],[HomeAway]]="H",HCA,0)+Games[[#This Row],[RestAdj]]))/400))</f>
        <v>0.46467826070033835</v>
      </c>
      <c r="R115" s="1">
        <v>60</v>
      </c>
      <c r="S115" s="1">
        <v>61</v>
      </c>
      <c r="T115" s="1">
        <v>0</v>
      </c>
      <c r="U115" s="1">
        <f>Games[[#This Row],[PointsFor]]-Games[[#This Row],[PointsAgainst]]</f>
        <v>-1</v>
      </c>
      <c r="V115" s="1">
        <f>IF(Games[[#This Row],[MOV]]&gt;0,1,IF(Games[[#This Row],[MOV]]=0,0.5,0))</f>
        <v>0</v>
      </c>
      <c r="W115" s="4">
        <f>((ABS(Games[[#This Row],[MOV]])+5)^0.6)/(12+0.01*(ABS(Games[[#This Row],[PreGmRate]]-Games[[#This Row],[OppPreGmRate]])))*IF(Games[[#This Row],[OT]]=1,0.9,1)</f>
        <v>0.22391789826302033</v>
      </c>
      <c r="X115" s="7" cm="1">
        <f t="array" ref="X11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5" s="9">
        <f>MAX(kmin, kmax - 0.15 * MIN(Games[[#This Row],[GamesPlayed]], 82))</f>
        <v>74.5</v>
      </c>
      <c r="Z115" s="4">
        <f>Games[[#This Row],[K]]*Games[[#This Row],[POMult]]</f>
        <v>74.5</v>
      </c>
      <c r="AA115" s="4">
        <f>(Games[[#This Row],[Keff]]*Games[[#This Row],[MOVMult]])*(Games[[#This Row],[Result]]-Games[[#This Row],[ExpectedWin%]])</f>
        <v>-7.7517085730879023</v>
      </c>
      <c r="AB115" s="4">
        <f>Games[[#This Row],[PreGmRate]]+Games[[#This Row],[RatingChange]]</f>
        <v>1387.655648788947</v>
      </c>
      <c r="AC115" s="2">
        <f>IF(Games[[#This Row],[Type]]="R",IF(Games[[#This Row],[Result]]&gt;0.5,1,0),0)</f>
        <v>0</v>
      </c>
      <c r="AD115" s="2">
        <f>IF(Games[[#This Row],[Type]]="R",IF(Games[[#This Row],[Result]]&lt;0.5,1,0),0)</f>
        <v>1</v>
      </c>
      <c r="AE115" s="2">
        <f>IF(AND(Games[[#This Row],[Type]]="P",Games[[#This Row],[Round]]=1),IF(Games[[#This Row],[Result]]&gt;0.5,1,0),0)</f>
        <v>0</v>
      </c>
      <c r="AF115" s="2">
        <f>IF(AND(Games[[#This Row],[Type]]="P",Games[[#This Row],[Round]]=1),IF(Games[[#This Row],[Result]]&lt;0.5,1,0),0)</f>
        <v>0</v>
      </c>
      <c r="AG115" s="2">
        <f>IF(AND(Games[[#This Row],[Type]]="P",Games[[#This Row],[Round]]=2),IF(Games[[#This Row],[Result]]&gt;0.5,1,0),0)</f>
        <v>0</v>
      </c>
      <c r="AH115" s="2">
        <f>IF(AND(Games[[#This Row],[Type]]="P",Games[[#This Row],[Round]]=2),IF(Games[[#This Row],[Result]]&lt;0.5,1,0),0)</f>
        <v>0</v>
      </c>
      <c r="AI115" s="2">
        <f>IF(AND(Games[[#This Row],[Type]]="P",Games[[#This Row],[Round]]=3),IF(Games[[#This Row],[Result]]&gt;0.5,1,0),0)</f>
        <v>0</v>
      </c>
      <c r="AJ115" s="2">
        <f>IF(AND(Games[[#This Row],[Type]]="P",Games[[#This Row],[Round]]=3),IF(Games[[#This Row],[Result]]&lt;0.5,1,0),0)</f>
        <v>0</v>
      </c>
      <c r="AK115" s="2">
        <f>IF(AND(Games[[#This Row],[Type]]="P",Games[[#This Row],[Round]]=4),IF(Games[[#This Row],[Result]]&gt;0.5,1,0),0)</f>
        <v>0</v>
      </c>
      <c r="AL115" s="2">
        <f>IF(AND(Games[[#This Row],[Type]]="P",Games[[#This Row],[Round]]=4),IF(Games[[#This Row],[Result]]&lt;0.5,1,0),0)</f>
        <v>0</v>
      </c>
    </row>
    <row r="116" spans="1:38" x14ac:dyDescent="0.35">
      <c r="A116" s="10">
        <v>37790</v>
      </c>
      <c r="B116" s="2">
        <v>2003</v>
      </c>
      <c r="C116" s="2">
        <f>COUNTIFS(Games[Team],Games[[#This Row],[Team]],Games[Season],Games[[#This Row],[Season]],Games[Date],"&lt;=" &amp; Games[[#This Row],[Date]])</f>
        <v>7</v>
      </c>
      <c r="D116" s="2" t="s">
        <v>23</v>
      </c>
      <c r="E116" s="2" t="s">
        <v>29</v>
      </c>
      <c r="F116" s="1" t="s">
        <v>1</v>
      </c>
      <c r="G116" s="1" t="s">
        <v>87</v>
      </c>
      <c r="H116" s="1" t="s">
        <v>16</v>
      </c>
      <c r="I116" s="2" cm="1">
        <f t="array" ref="I116">IFERROR(
    Games[[#This Row],[Date]]
    - LOOKUP(
        2,
        1/((Games[Team]=Games[[#This Row],[Team]]) * (Games[Date] &lt; Games[[#This Row],[Date]])),
        Games[Date]
    )
    - 1,
Games[[#This Row],[Date]]-$A$2)</f>
        <v>3</v>
      </c>
      <c r="J116" s="2" cm="1">
        <f t="array" ref="J116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16" s="2">
        <f>Games[[#This Row],[DaysOff]]-Games[[#This Row],[OppDaysOff]]</f>
        <v>0</v>
      </c>
      <c r="L116" s="2">
        <f>Games[[#This Row],[OppDaysOff]]-Games[[#This Row],[DaysOff]]</f>
        <v>0</v>
      </c>
      <c r="M116" s="1">
        <f>MAX(-16, MIN(16, Games[[#This Row],[RestDiff]]*8))</f>
        <v>0</v>
      </c>
      <c r="N116" s="1">
        <f>MAX(-16, MIN(16, Games[[#This Row],[OppRestDiff]]*8))</f>
        <v>0</v>
      </c>
      <c r="O116" s="4" cm="1">
        <f t="array" ref="O11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1507.6151360075962</v>
      </c>
      <c r="P116" s="4" cm="1">
        <f t="array" ref="P11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1512.5069486121708</v>
      </c>
      <c r="Q116" s="4">
        <f>1/(1+10^(((Games[[#This Row],[OppPreGmRate]]+IF(Games[[#This Row],[HomeAway]]="A",HCA,0)+Games[[#This Row],[OppRestAdj]])-(Games[[#This Row],[PreGmRate]]+IF(Games[[#This Row],[HomeAway]]="H",HCA,0)+Games[[#This Row],[RestAdj]]))/400))</f>
        <v>0.3747945265837086</v>
      </c>
      <c r="R116" s="1">
        <v>57</v>
      </c>
      <c r="S116" s="1">
        <v>70</v>
      </c>
      <c r="T116" s="1">
        <v>0</v>
      </c>
      <c r="U116" s="1">
        <f>Games[[#This Row],[PointsFor]]-Games[[#This Row],[PointsAgainst]]</f>
        <v>-13</v>
      </c>
      <c r="V116" s="1">
        <f>IF(Games[[#This Row],[MOV]]&gt;0,1,IF(Games[[#This Row],[MOV]]=0,0.5,0))</f>
        <v>0</v>
      </c>
      <c r="W116" s="4">
        <f>((ABS(Games[[#This Row],[MOV]])+5)^0.6)/(12+0.01*(ABS(Games[[#This Row],[PreGmRate]]-Games[[#This Row],[OppPreGmRate]])))*IF(Games[[#This Row],[OT]]=1,0.9,1)</f>
        <v>0.47012727686518135</v>
      </c>
      <c r="X116" s="7" cm="1">
        <f t="array" ref="X11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6" s="9">
        <f>MAX(kmin, kmax - 0.15 * MIN(Games[[#This Row],[GamesPlayed]], 82))</f>
        <v>74.95</v>
      </c>
      <c r="Z116" s="4">
        <f>Games[[#This Row],[K]]*Games[[#This Row],[POMult]]</f>
        <v>74.95</v>
      </c>
      <c r="AA116" s="4">
        <f>(Games[[#This Row],[Keff]]*Games[[#This Row],[MOVMult]])*(Games[[#This Row],[Result]]-Games[[#This Row],[ExpectedWin%]])</f>
        <v>-13.206274705999693</v>
      </c>
      <c r="AB116" s="4">
        <f>Games[[#This Row],[PreGmRate]]+Games[[#This Row],[RatingChange]]</f>
        <v>1494.4088613015965</v>
      </c>
      <c r="AC116" s="2">
        <f>IF(Games[[#This Row],[Type]]="R",IF(Games[[#This Row],[Result]]&gt;0.5,1,0),0)</f>
        <v>0</v>
      </c>
      <c r="AD116" s="2">
        <f>IF(Games[[#This Row],[Type]]="R",IF(Games[[#This Row],[Result]]&lt;0.5,1,0),0)</f>
        <v>1</v>
      </c>
      <c r="AE116" s="2">
        <f>IF(AND(Games[[#This Row],[Type]]="P",Games[[#This Row],[Round]]=1),IF(Games[[#This Row],[Result]]&gt;0.5,1,0),0)</f>
        <v>0</v>
      </c>
      <c r="AF116" s="2">
        <f>IF(AND(Games[[#This Row],[Type]]="P",Games[[#This Row],[Round]]=1),IF(Games[[#This Row],[Result]]&lt;0.5,1,0),0)</f>
        <v>0</v>
      </c>
      <c r="AG116" s="2">
        <f>IF(AND(Games[[#This Row],[Type]]="P",Games[[#This Row],[Round]]=2),IF(Games[[#This Row],[Result]]&gt;0.5,1,0),0)</f>
        <v>0</v>
      </c>
      <c r="AH116" s="2">
        <f>IF(AND(Games[[#This Row],[Type]]="P",Games[[#This Row],[Round]]=2),IF(Games[[#This Row],[Result]]&lt;0.5,1,0),0)</f>
        <v>0</v>
      </c>
      <c r="AI116" s="2">
        <f>IF(AND(Games[[#This Row],[Type]]="P",Games[[#This Row],[Round]]=3),IF(Games[[#This Row],[Result]]&gt;0.5,1,0),0)</f>
        <v>0</v>
      </c>
      <c r="AJ116" s="2">
        <f>IF(AND(Games[[#This Row],[Type]]="P",Games[[#This Row],[Round]]=3),IF(Games[[#This Row],[Result]]&lt;0.5,1,0),0)</f>
        <v>0</v>
      </c>
      <c r="AK116" s="2">
        <f>IF(AND(Games[[#This Row],[Type]]="P",Games[[#This Row],[Round]]=4),IF(Games[[#This Row],[Result]]&gt;0.5,1,0),0)</f>
        <v>0</v>
      </c>
      <c r="AL116" s="2">
        <f>IF(AND(Games[[#This Row],[Type]]="P",Games[[#This Row],[Round]]=4),IF(Games[[#This Row],[Result]]&lt;0.5,1,0),0)</f>
        <v>0</v>
      </c>
    </row>
    <row r="117" spans="1:38" x14ac:dyDescent="0.35">
      <c r="A117" s="10">
        <v>37790</v>
      </c>
      <c r="B117" s="2">
        <v>2003</v>
      </c>
      <c r="C117" s="2">
        <f>COUNTIFS(Games[Team],Games[[#This Row],[Team]],Games[Season],Games[[#This Row],[Season]],Games[Date],"&lt;=" &amp; Games[[#This Row],[Date]])</f>
        <v>8</v>
      </c>
      <c r="D117" s="2" t="s">
        <v>23</v>
      </c>
      <c r="E117" s="2" t="s">
        <v>29</v>
      </c>
      <c r="F117" s="1" t="s">
        <v>87</v>
      </c>
      <c r="G117" s="1" t="s">
        <v>1</v>
      </c>
      <c r="H117" s="1" t="s">
        <v>15</v>
      </c>
      <c r="I117" s="2" cm="1">
        <f t="array" ref="I117">IFERROR(
    Games[[#This Row],[Date]]
    - LOOKUP(
        2,
        1/((Games[Team]=Games[[#This Row],[Team]]) * (Games[Date] &lt; Games[[#This Row],[Date]])),
        Games[Date]
    )
    - 1,
Games[[#This Row],[Date]]-$A$2)</f>
        <v>3</v>
      </c>
      <c r="J117" s="2" cm="1">
        <f t="array" ref="J117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17" s="2">
        <f>Games[[#This Row],[DaysOff]]-Games[[#This Row],[OppDaysOff]]</f>
        <v>0</v>
      </c>
      <c r="L117" s="2">
        <f>Games[[#This Row],[OppDaysOff]]-Games[[#This Row],[DaysOff]]</f>
        <v>0</v>
      </c>
      <c r="M117" s="1">
        <f>MAX(-16, MIN(16, Games[[#This Row],[RestDiff]]*8))</f>
        <v>0</v>
      </c>
      <c r="N117" s="1">
        <f>MAX(-16, MIN(16, Games[[#This Row],[OppRestDiff]]*8))</f>
        <v>0</v>
      </c>
      <c r="O117" s="4" cm="1">
        <f t="array" ref="O11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1512.5069486121708</v>
      </c>
      <c r="P117" s="4" cm="1">
        <f t="array" ref="P11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1507.6151360075962</v>
      </c>
      <c r="Q117" s="4">
        <f>1/(1+10^(((Games[[#This Row],[OppPreGmRate]]+IF(Games[[#This Row],[HomeAway]]="A",HCA,0)+Games[[#This Row],[OppRestAdj]])-(Games[[#This Row],[PreGmRate]]+IF(Games[[#This Row],[HomeAway]]="H",HCA,0)+Games[[#This Row],[RestAdj]]))/400))</f>
        <v>0.6252054734162914</v>
      </c>
      <c r="R117" s="1">
        <v>70</v>
      </c>
      <c r="S117" s="1">
        <v>57</v>
      </c>
      <c r="T117" s="1">
        <v>0</v>
      </c>
      <c r="U117" s="1">
        <f>Games[[#This Row],[PointsFor]]-Games[[#This Row],[PointsAgainst]]</f>
        <v>13</v>
      </c>
      <c r="V117" s="1">
        <f>IF(Games[[#This Row],[MOV]]&gt;0,1,IF(Games[[#This Row],[MOV]]=0,0.5,0))</f>
        <v>1</v>
      </c>
      <c r="W117" s="4">
        <f>((ABS(Games[[#This Row],[MOV]])+5)^0.6)/(12+0.01*(ABS(Games[[#This Row],[PreGmRate]]-Games[[#This Row],[OppPreGmRate]])))*IF(Games[[#This Row],[OT]]=1,0.9,1)</f>
        <v>0.47012727686518135</v>
      </c>
      <c r="X117" s="7" cm="1">
        <f t="array" ref="X11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7" s="9">
        <f>MAX(kmin, kmax - 0.15 * MIN(Games[[#This Row],[GamesPlayed]], 82))</f>
        <v>74.8</v>
      </c>
      <c r="Z117" s="4">
        <f>Games[[#This Row],[K]]*Games[[#This Row],[POMult]]</f>
        <v>74.8</v>
      </c>
      <c r="AA117" s="4">
        <f>(Games[[#This Row],[Keff]]*Games[[#This Row],[MOVMult]])*(Games[[#This Row],[Result]]-Games[[#This Row],[ExpectedWin%]])</f>
        <v>13.179844536474675</v>
      </c>
      <c r="AB117" s="4">
        <f>Games[[#This Row],[PreGmRate]]+Games[[#This Row],[RatingChange]]</f>
        <v>1525.6867931486456</v>
      </c>
      <c r="AC117" s="2">
        <f>IF(Games[[#This Row],[Type]]="R",IF(Games[[#This Row],[Result]]&gt;0.5,1,0),0)</f>
        <v>1</v>
      </c>
      <c r="AD117" s="2">
        <f>IF(Games[[#This Row],[Type]]="R",IF(Games[[#This Row],[Result]]&lt;0.5,1,0),0)</f>
        <v>0</v>
      </c>
      <c r="AE117" s="2">
        <f>IF(AND(Games[[#This Row],[Type]]="P",Games[[#This Row],[Round]]=1),IF(Games[[#This Row],[Result]]&gt;0.5,1,0),0)</f>
        <v>0</v>
      </c>
      <c r="AF117" s="2">
        <f>IF(AND(Games[[#This Row],[Type]]="P",Games[[#This Row],[Round]]=1),IF(Games[[#This Row],[Result]]&lt;0.5,1,0),0)</f>
        <v>0</v>
      </c>
      <c r="AG117" s="2">
        <f>IF(AND(Games[[#This Row],[Type]]="P",Games[[#This Row],[Round]]=2),IF(Games[[#This Row],[Result]]&gt;0.5,1,0),0)</f>
        <v>0</v>
      </c>
      <c r="AH117" s="2">
        <f>IF(AND(Games[[#This Row],[Type]]="P",Games[[#This Row],[Round]]=2),IF(Games[[#This Row],[Result]]&lt;0.5,1,0),0)</f>
        <v>0</v>
      </c>
      <c r="AI117" s="2">
        <f>IF(AND(Games[[#This Row],[Type]]="P",Games[[#This Row],[Round]]=3),IF(Games[[#This Row],[Result]]&gt;0.5,1,0),0)</f>
        <v>0</v>
      </c>
      <c r="AJ117" s="2">
        <f>IF(AND(Games[[#This Row],[Type]]="P",Games[[#This Row],[Round]]=3),IF(Games[[#This Row],[Result]]&lt;0.5,1,0),0)</f>
        <v>0</v>
      </c>
      <c r="AK117" s="2">
        <f>IF(AND(Games[[#This Row],[Type]]="P",Games[[#This Row],[Round]]=4),IF(Games[[#This Row],[Result]]&gt;0.5,1,0),0)</f>
        <v>0</v>
      </c>
      <c r="AL117" s="2">
        <f>IF(AND(Games[[#This Row],[Type]]="P",Games[[#This Row],[Round]]=4),IF(Games[[#This Row],[Result]]&lt;0.5,1,0),0)</f>
        <v>0</v>
      </c>
    </row>
    <row r="118" spans="1:38" x14ac:dyDescent="0.35">
      <c r="A118" s="10">
        <v>37790</v>
      </c>
      <c r="B118" s="2">
        <v>2003</v>
      </c>
      <c r="C118" s="2">
        <f>COUNTIFS(Games[Team],Games[[#This Row],[Team]],Games[Season],Games[[#This Row],[Season]],Games[Date],"&lt;=" &amp; Games[[#This Row],[Date]])</f>
        <v>11</v>
      </c>
      <c r="D118" s="2" t="s">
        <v>23</v>
      </c>
      <c r="E118" s="2" t="s">
        <v>29</v>
      </c>
      <c r="F118" s="1" t="s">
        <v>45</v>
      </c>
      <c r="G118" s="1" t="s">
        <v>74</v>
      </c>
      <c r="H118" s="1" t="s">
        <v>16</v>
      </c>
      <c r="I118" s="2" cm="1">
        <f t="array" ref="I118">IFERROR(
    Games[[#This Row],[Date]]
    - LOOKUP(
        2,
        1/((Games[Team]=Games[[#This Row],[Team]]) * (Games[Date] &lt; Games[[#This Row],[Date]])),
        Games[Date]
    )
    - 1,
Games[[#This Row],[Date]]-$A$2)</f>
        <v>0</v>
      </c>
      <c r="J118" s="2" cm="1">
        <f t="array" ref="J118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18" s="2">
        <f>Games[[#This Row],[DaysOff]]-Games[[#This Row],[OppDaysOff]]</f>
        <v>-3</v>
      </c>
      <c r="L118" s="2">
        <f>Games[[#This Row],[OppDaysOff]]-Games[[#This Row],[DaysOff]]</f>
        <v>3</v>
      </c>
      <c r="M118" s="1">
        <f>MAX(-16, MIN(16, Games[[#This Row],[RestDiff]]*8))</f>
        <v>-16</v>
      </c>
      <c r="N118" s="1">
        <f>MAX(-16, MIN(16, Games[[#This Row],[OppRestDiff]]*8))</f>
        <v>16</v>
      </c>
      <c r="O118" s="4" cm="1">
        <f t="array" ref="O11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1466.0831162909217</v>
      </c>
      <c r="P118" s="4" cm="1">
        <f t="array" ref="P11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1421.8718099728958</v>
      </c>
      <c r="Q118" s="4">
        <f>1/(1+10^(((Games[[#This Row],[OppPreGmRate]]+IF(Games[[#This Row],[HomeAway]]="A",HCA,0)+Games[[#This Row],[OppRestAdj]])-(Games[[#This Row],[PreGmRate]]+IF(Games[[#This Row],[HomeAway]]="H",HCA,0)+Games[[#This Row],[RestAdj]]))/400))</f>
        <v>0.39813334279468021</v>
      </c>
      <c r="R118" s="1">
        <v>69</v>
      </c>
      <c r="S118" s="1">
        <v>61</v>
      </c>
      <c r="T118" s="1">
        <v>0</v>
      </c>
      <c r="U118" s="1">
        <f>Games[[#This Row],[PointsFor]]-Games[[#This Row],[PointsAgainst]]</f>
        <v>8</v>
      </c>
      <c r="V118" s="1">
        <f>IF(Games[[#This Row],[MOV]]&gt;0,1,IF(Games[[#This Row],[MOV]]=0,0.5,0))</f>
        <v>1</v>
      </c>
      <c r="W118" s="4">
        <f>((ABS(Games[[#This Row],[MOV]])+5)^0.6)/(12+0.01*(ABS(Games[[#This Row],[PreGmRate]]-Games[[#This Row],[OppPreGmRate]])))*IF(Games[[#This Row],[OT]]=1,0.9,1)</f>
        <v>0.37451728628199782</v>
      </c>
      <c r="X118" s="7" cm="1">
        <f t="array" ref="X11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8" s="9">
        <f>MAX(kmin, kmax - 0.15 * MIN(Games[[#This Row],[GamesPlayed]], 82))</f>
        <v>74.349999999999994</v>
      </c>
      <c r="Z118" s="4">
        <f>Games[[#This Row],[K]]*Games[[#This Row],[POMult]]</f>
        <v>74.349999999999994</v>
      </c>
      <c r="AA118" s="4">
        <f>(Games[[#This Row],[Keff]]*Games[[#This Row],[MOVMult]])*(Games[[#This Row],[Result]]-Games[[#This Row],[ExpectedWin%]])</f>
        <v>16.759193883357433</v>
      </c>
      <c r="AB118" s="4">
        <f>Games[[#This Row],[PreGmRate]]+Games[[#This Row],[RatingChange]]</f>
        <v>1482.8423101742792</v>
      </c>
      <c r="AC118" s="2">
        <f>IF(Games[[#This Row],[Type]]="R",IF(Games[[#This Row],[Result]]&gt;0.5,1,0),0)</f>
        <v>1</v>
      </c>
      <c r="AD118" s="2">
        <f>IF(Games[[#This Row],[Type]]="R",IF(Games[[#This Row],[Result]]&lt;0.5,1,0),0)</f>
        <v>0</v>
      </c>
      <c r="AE118" s="2">
        <f>IF(AND(Games[[#This Row],[Type]]="P",Games[[#This Row],[Round]]=1),IF(Games[[#This Row],[Result]]&gt;0.5,1,0),0)</f>
        <v>0</v>
      </c>
      <c r="AF118" s="2">
        <f>IF(AND(Games[[#This Row],[Type]]="P",Games[[#This Row],[Round]]=1),IF(Games[[#This Row],[Result]]&lt;0.5,1,0),0)</f>
        <v>0</v>
      </c>
      <c r="AG118" s="2">
        <f>IF(AND(Games[[#This Row],[Type]]="P",Games[[#This Row],[Round]]=2),IF(Games[[#This Row],[Result]]&gt;0.5,1,0),0)</f>
        <v>0</v>
      </c>
      <c r="AH118" s="2">
        <f>IF(AND(Games[[#This Row],[Type]]="P",Games[[#This Row],[Round]]=2),IF(Games[[#This Row],[Result]]&lt;0.5,1,0),0)</f>
        <v>0</v>
      </c>
      <c r="AI118" s="2">
        <f>IF(AND(Games[[#This Row],[Type]]="P",Games[[#This Row],[Round]]=3),IF(Games[[#This Row],[Result]]&gt;0.5,1,0),0)</f>
        <v>0</v>
      </c>
      <c r="AJ118" s="2">
        <f>IF(AND(Games[[#This Row],[Type]]="P",Games[[#This Row],[Round]]=3),IF(Games[[#This Row],[Result]]&lt;0.5,1,0),0)</f>
        <v>0</v>
      </c>
      <c r="AK118" s="2">
        <f>IF(AND(Games[[#This Row],[Type]]="P",Games[[#This Row],[Round]]=4),IF(Games[[#This Row],[Result]]&gt;0.5,1,0),0)</f>
        <v>0</v>
      </c>
      <c r="AL118" s="2">
        <f>IF(AND(Games[[#This Row],[Type]]="P",Games[[#This Row],[Round]]=4),IF(Games[[#This Row],[Result]]&lt;0.5,1,0),0)</f>
        <v>0</v>
      </c>
    </row>
    <row r="119" spans="1:38" x14ac:dyDescent="0.35">
      <c r="A119" s="10">
        <v>37790</v>
      </c>
      <c r="B119" s="2">
        <v>2003</v>
      </c>
      <c r="C119" s="2">
        <f>COUNTIFS(Games[Team],Games[[#This Row],[Team]],Games[Season],Games[[#This Row],[Season]],Games[Date],"&lt;=" &amp; Games[[#This Row],[Date]])</f>
        <v>8</v>
      </c>
      <c r="D119" s="2" t="s">
        <v>23</v>
      </c>
      <c r="E119" s="2" t="s">
        <v>29</v>
      </c>
      <c r="F119" s="1" t="s">
        <v>74</v>
      </c>
      <c r="G119" s="1" t="s">
        <v>45</v>
      </c>
      <c r="H119" s="1" t="s">
        <v>15</v>
      </c>
      <c r="I119" s="2" cm="1">
        <f t="array" ref="I119">IFERROR(
    Games[[#This Row],[Date]]
    - LOOKUP(
        2,
        1/((Games[Team]=Games[[#This Row],[Team]]) * (Games[Date] &lt; Games[[#This Row],[Date]])),
        Games[Date]
    )
    - 1,
Games[[#This Row],[Date]]-$A$2)</f>
        <v>3</v>
      </c>
      <c r="J119" s="2" cm="1">
        <f t="array" ref="J119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19" s="2">
        <f>Games[[#This Row],[DaysOff]]-Games[[#This Row],[OppDaysOff]]</f>
        <v>3</v>
      </c>
      <c r="L119" s="2">
        <f>Games[[#This Row],[OppDaysOff]]-Games[[#This Row],[DaysOff]]</f>
        <v>-3</v>
      </c>
      <c r="M119" s="1">
        <f>MAX(-16, MIN(16, Games[[#This Row],[RestDiff]]*8))</f>
        <v>16</v>
      </c>
      <c r="N119" s="1">
        <f>MAX(-16, MIN(16, Games[[#This Row],[OppRestDiff]]*8))</f>
        <v>-16</v>
      </c>
      <c r="O119" s="4" cm="1">
        <f t="array" ref="O11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1421.8718099728958</v>
      </c>
      <c r="P119" s="4" cm="1">
        <f t="array" ref="P11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1466.0831162909217</v>
      </c>
      <c r="Q119" s="4">
        <f>1/(1+10^(((Games[[#This Row],[OppPreGmRate]]+IF(Games[[#This Row],[HomeAway]]="A",HCA,0)+Games[[#This Row],[OppRestAdj]])-(Games[[#This Row],[PreGmRate]]+IF(Games[[#This Row],[HomeAway]]="H",HCA,0)+Games[[#This Row],[RestAdj]]))/400))</f>
        <v>0.60186665720531984</v>
      </c>
      <c r="R119" s="1">
        <v>61</v>
      </c>
      <c r="S119" s="1">
        <v>69</v>
      </c>
      <c r="T119" s="1">
        <v>0</v>
      </c>
      <c r="U119" s="1">
        <f>Games[[#This Row],[PointsFor]]-Games[[#This Row],[PointsAgainst]]</f>
        <v>-8</v>
      </c>
      <c r="V119" s="1">
        <f>IF(Games[[#This Row],[MOV]]&gt;0,1,IF(Games[[#This Row],[MOV]]=0,0.5,0))</f>
        <v>0</v>
      </c>
      <c r="W119" s="4">
        <f>((ABS(Games[[#This Row],[MOV]])+5)^0.6)/(12+0.01*(ABS(Games[[#This Row],[PreGmRate]]-Games[[#This Row],[OppPreGmRate]])))*IF(Games[[#This Row],[OT]]=1,0.9,1)</f>
        <v>0.37451728628199782</v>
      </c>
      <c r="X119" s="7" cm="1">
        <f t="array" ref="X11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9" s="9">
        <f>MAX(kmin, kmax - 0.15 * MIN(Games[[#This Row],[GamesPlayed]], 82))</f>
        <v>74.8</v>
      </c>
      <c r="Z119" s="4">
        <f>Games[[#This Row],[K]]*Games[[#This Row],[POMult]]</f>
        <v>74.8</v>
      </c>
      <c r="AA119" s="4">
        <f>(Games[[#This Row],[Keff]]*Games[[#This Row],[MOVMult]])*(Games[[#This Row],[Result]]-Games[[#This Row],[ExpectedWin%]])</f>
        <v>-16.860628143579504</v>
      </c>
      <c r="AB119" s="4">
        <f>Games[[#This Row],[PreGmRate]]+Games[[#This Row],[RatingChange]]</f>
        <v>1405.0111818293162</v>
      </c>
      <c r="AC119" s="2">
        <f>IF(Games[[#This Row],[Type]]="R",IF(Games[[#This Row],[Result]]&gt;0.5,1,0),0)</f>
        <v>0</v>
      </c>
      <c r="AD119" s="2">
        <f>IF(Games[[#This Row],[Type]]="R",IF(Games[[#This Row],[Result]]&lt;0.5,1,0),0)</f>
        <v>1</v>
      </c>
      <c r="AE119" s="2">
        <f>IF(AND(Games[[#This Row],[Type]]="P",Games[[#This Row],[Round]]=1),IF(Games[[#This Row],[Result]]&gt;0.5,1,0),0)</f>
        <v>0</v>
      </c>
      <c r="AF119" s="2">
        <f>IF(AND(Games[[#This Row],[Type]]="P",Games[[#This Row],[Round]]=1),IF(Games[[#This Row],[Result]]&lt;0.5,1,0),0)</f>
        <v>0</v>
      </c>
      <c r="AG119" s="2">
        <f>IF(AND(Games[[#This Row],[Type]]="P",Games[[#This Row],[Round]]=2),IF(Games[[#This Row],[Result]]&gt;0.5,1,0),0)</f>
        <v>0</v>
      </c>
      <c r="AH119" s="2">
        <f>IF(AND(Games[[#This Row],[Type]]="P",Games[[#This Row],[Round]]=2),IF(Games[[#This Row],[Result]]&lt;0.5,1,0),0)</f>
        <v>0</v>
      </c>
      <c r="AI119" s="2">
        <f>IF(AND(Games[[#This Row],[Type]]="P",Games[[#This Row],[Round]]=3),IF(Games[[#This Row],[Result]]&gt;0.5,1,0),0)</f>
        <v>0</v>
      </c>
      <c r="AJ119" s="2">
        <f>IF(AND(Games[[#This Row],[Type]]="P",Games[[#This Row],[Round]]=3),IF(Games[[#This Row],[Result]]&lt;0.5,1,0),0)</f>
        <v>0</v>
      </c>
      <c r="AK119" s="2">
        <f>IF(AND(Games[[#This Row],[Type]]="P",Games[[#This Row],[Round]]=4),IF(Games[[#This Row],[Result]]&gt;0.5,1,0),0)</f>
        <v>0</v>
      </c>
      <c r="AL119" s="2">
        <f>IF(AND(Games[[#This Row],[Type]]="P",Games[[#This Row],[Round]]=4),IF(Games[[#This Row],[Result]]&lt;0.5,1,0),0)</f>
        <v>0</v>
      </c>
    </row>
    <row r="120" spans="1:38" x14ac:dyDescent="0.35">
      <c r="A120" s="10">
        <v>37791</v>
      </c>
      <c r="B120" s="2">
        <v>2003</v>
      </c>
      <c r="C120" s="2">
        <f>COUNTIFS(Games[Team],Games[[#This Row],[Team]],Games[Season],Games[[#This Row],[Season]],Games[Date],"&lt;=" &amp; Games[[#This Row],[Date]])</f>
        <v>9</v>
      </c>
      <c r="D120" s="2" t="s">
        <v>23</v>
      </c>
      <c r="E120" s="2" t="s">
        <v>29</v>
      </c>
      <c r="F120" s="1" t="s">
        <v>82</v>
      </c>
      <c r="G120" s="1" t="s">
        <v>71</v>
      </c>
      <c r="H120" s="1" t="s">
        <v>16</v>
      </c>
      <c r="I120" s="2" cm="1">
        <f t="array" ref="I120">IFERROR(
    Games[[#This Row],[Date]]
    - LOOKUP(
        2,
        1/((Games[Team]=Games[[#This Row],[Team]]) * (Games[Date] &lt; Games[[#This Row],[Date]])),
        Games[Date]
    )
    - 1,
Games[[#This Row],[Date]]-$A$2)</f>
        <v>1</v>
      </c>
      <c r="J120" s="2" cm="1">
        <f t="array" ref="J12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20" s="2">
        <f>Games[[#This Row],[DaysOff]]-Games[[#This Row],[OppDaysOff]]</f>
        <v>0</v>
      </c>
      <c r="L120" s="2">
        <f>Games[[#This Row],[OppDaysOff]]-Games[[#This Row],[DaysOff]]</f>
        <v>0</v>
      </c>
      <c r="M120" s="1">
        <f>MAX(-16, MIN(16, Games[[#This Row],[RestDiff]]*8))</f>
        <v>0</v>
      </c>
      <c r="N120" s="1">
        <f>MAX(-16, MIN(16, Games[[#This Row],[OppRestDiff]]*8))</f>
        <v>0</v>
      </c>
      <c r="O120" s="4" cm="1">
        <f t="array" ref="O12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1511.7752909612343</v>
      </c>
      <c r="P120" s="4" cm="1">
        <f t="array" ref="P12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1680.8103090184175</v>
      </c>
      <c r="Q120" s="4">
        <f>1/(1+10^(((Games[[#This Row],[OppPreGmRate]]+IF(Games[[#This Row],[HomeAway]]="A",HCA,0)+Games[[#This Row],[OppRestAdj]])-(Games[[#This Row],[PreGmRate]]+IF(Games[[#This Row],[HomeAway]]="H",HCA,0)+Games[[#This Row],[RestAdj]]))/400))</f>
        <v>0.18898994320152879</v>
      </c>
      <c r="R120" s="1">
        <v>69</v>
      </c>
      <c r="S120" s="1">
        <v>67</v>
      </c>
      <c r="T120" s="1">
        <v>0</v>
      </c>
      <c r="U120" s="1">
        <f>Games[[#This Row],[PointsFor]]-Games[[#This Row],[PointsAgainst]]</f>
        <v>2</v>
      </c>
      <c r="V120" s="1">
        <f>IF(Games[[#This Row],[MOV]]&gt;0,1,IF(Games[[#This Row],[MOV]]=0,0.5,0))</f>
        <v>1</v>
      </c>
      <c r="W120" s="4">
        <f>((ABS(Games[[#This Row],[MOV]])+5)^0.6)/(12+0.01*(ABS(Games[[#This Row],[PreGmRate]]-Games[[#This Row],[OppPreGmRate]])))*IF(Games[[#This Row],[OT]]=1,0.9,1)</f>
        <v>0.23477090120581481</v>
      </c>
      <c r="X120" s="7" cm="1">
        <f t="array" ref="X12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0" s="9">
        <f>MAX(kmin, kmax - 0.15 * MIN(Games[[#This Row],[GamesPlayed]], 82))</f>
        <v>74.650000000000006</v>
      </c>
      <c r="Z120" s="4">
        <f>Games[[#This Row],[K]]*Games[[#This Row],[POMult]]</f>
        <v>74.650000000000006</v>
      </c>
      <c r="AA120" s="4">
        <f>(Games[[#This Row],[Keff]]*Games[[#This Row],[MOVMult]])*(Games[[#This Row],[Result]]-Games[[#This Row],[ExpectedWin%]])</f>
        <v>14.213476597444171</v>
      </c>
      <c r="AB120" s="4">
        <f>Games[[#This Row],[PreGmRate]]+Games[[#This Row],[RatingChange]]</f>
        <v>1525.9887675586785</v>
      </c>
      <c r="AC120" s="2">
        <f>IF(Games[[#This Row],[Type]]="R",IF(Games[[#This Row],[Result]]&gt;0.5,1,0),0)</f>
        <v>1</v>
      </c>
      <c r="AD120" s="2">
        <f>IF(Games[[#This Row],[Type]]="R",IF(Games[[#This Row],[Result]]&lt;0.5,1,0),0)</f>
        <v>0</v>
      </c>
      <c r="AE120" s="2">
        <f>IF(AND(Games[[#This Row],[Type]]="P",Games[[#This Row],[Round]]=1),IF(Games[[#This Row],[Result]]&gt;0.5,1,0),0)</f>
        <v>0</v>
      </c>
      <c r="AF120" s="2">
        <f>IF(AND(Games[[#This Row],[Type]]="P",Games[[#This Row],[Round]]=1),IF(Games[[#This Row],[Result]]&lt;0.5,1,0),0)</f>
        <v>0</v>
      </c>
      <c r="AG120" s="2">
        <f>IF(AND(Games[[#This Row],[Type]]="P",Games[[#This Row],[Round]]=2),IF(Games[[#This Row],[Result]]&gt;0.5,1,0),0)</f>
        <v>0</v>
      </c>
      <c r="AH120" s="2">
        <f>IF(AND(Games[[#This Row],[Type]]="P",Games[[#This Row],[Round]]=2),IF(Games[[#This Row],[Result]]&lt;0.5,1,0),0)</f>
        <v>0</v>
      </c>
      <c r="AI120" s="2">
        <f>IF(AND(Games[[#This Row],[Type]]="P",Games[[#This Row],[Round]]=3),IF(Games[[#This Row],[Result]]&gt;0.5,1,0),0)</f>
        <v>0</v>
      </c>
      <c r="AJ120" s="2">
        <f>IF(AND(Games[[#This Row],[Type]]="P",Games[[#This Row],[Round]]=3),IF(Games[[#This Row],[Result]]&lt;0.5,1,0),0)</f>
        <v>0</v>
      </c>
      <c r="AK120" s="2">
        <f>IF(AND(Games[[#This Row],[Type]]="P",Games[[#This Row],[Round]]=4),IF(Games[[#This Row],[Result]]&gt;0.5,1,0),0)</f>
        <v>0</v>
      </c>
      <c r="AL120" s="2">
        <f>IF(AND(Games[[#This Row],[Type]]="P",Games[[#This Row],[Round]]=4),IF(Games[[#This Row],[Result]]&lt;0.5,1,0),0)</f>
        <v>0</v>
      </c>
    </row>
    <row r="121" spans="1:38" x14ac:dyDescent="0.35">
      <c r="A121" s="10">
        <v>37791</v>
      </c>
      <c r="B121" s="2">
        <v>2003</v>
      </c>
      <c r="C121" s="2">
        <f>COUNTIFS(Games[Team],Games[[#This Row],[Team]],Games[Season],Games[[#This Row],[Season]],Games[Date],"&lt;=" &amp; Games[[#This Row],[Date]])</f>
        <v>11</v>
      </c>
      <c r="D121" s="2" t="s">
        <v>23</v>
      </c>
      <c r="E121" s="2" t="s">
        <v>29</v>
      </c>
      <c r="F121" s="1" t="s">
        <v>71</v>
      </c>
      <c r="G121" s="1" t="s">
        <v>82</v>
      </c>
      <c r="H121" s="1" t="s">
        <v>15</v>
      </c>
      <c r="I121" s="2" cm="1">
        <f t="array" ref="I121">IFERROR(
    Games[[#This Row],[Date]]
    - LOOKUP(
        2,
        1/((Games[Team]=Games[[#This Row],[Team]]) * (Games[Date] &lt; Games[[#This Row],[Date]])),
        Games[Date]
    )
    - 1,
Games[[#This Row],[Date]]-$A$2)</f>
        <v>1</v>
      </c>
      <c r="J121" s="2" cm="1">
        <f t="array" ref="J12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21" s="2">
        <f>Games[[#This Row],[DaysOff]]-Games[[#This Row],[OppDaysOff]]</f>
        <v>0</v>
      </c>
      <c r="L121" s="2">
        <f>Games[[#This Row],[OppDaysOff]]-Games[[#This Row],[DaysOff]]</f>
        <v>0</v>
      </c>
      <c r="M121" s="1">
        <f>MAX(-16, MIN(16, Games[[#This Row],[RestDiff]]*8))</f>
        <v>0</v>
      </c>
      <c r="N121" s="1">
        <f>MAX(-16, MIN(16, Games[[#This Row],[OppRestDiff]]*8))</f>
        <v>0</v>
      </c>
      <c r="O121" s="4" cm="1">
        <f t="array" ref="O12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1680.8103090184175</v>
      </c>
      <c r="P121" s="4" cm="1">
        <f t="array" ref="P12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1511.7752909612343</v>
      </c>
      <c r="Q121" s="4">
        <f>1/(1+10^(((Games[[#This Row],[OppPreGmRate]]+IF(Games[[#This Row],[HomeAway]]="A",HCA,0)+Games[[#This Row],[OppRestAdj]])-(Games[[#This Row],[PreGmRate]]+IF(Games[[#This Row],[HomeAway]]="H",HCA,0)+Games[[#This Row],[RestAdj]]))/400))</f>
        <v>0.81101005679847127</v>
      </c>
      <c r="R121" s="1">
        <v>67</v>
      </c>
      <c r="S121" s="1">
        <v>69</v>
      </c>
      <c r="T121" s="1">
        <v>0</v>
      </c>
      <c r="U121" s="1">
        <f>Games[[#This Row],[PointsFor]]-Games[[#This Row],[PointsAgainst]]</f>
        <v>-2</v>
      </c>
      <c r="V121" s="1">
        <f>IF(Games[[#This Row],[MOV]]&gt;0,1,IF(Games[[#This Row],[MOV]]=0,0.5,0))</f>
        <v>0</v>
      </c>
      <c r="W121" s="4">
        <f>((ABS(Games[[#This Row],[MOV]])+5)^0.6)/(12+0.01*(ABS(Games[[#This Row],[PreGmRate]]-Games[[#This Row],[OppPreGmRate]])))*IF(Games[[#This Row],[OT]]=1,0.9,1)</f>
        <v>0.23477090120581481</v>
      </c>
      <c r="X121" s="7" cm="1">
        <f t="array" ref="X12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1" s="9">
        <f>MAX(kmin, kmax - 0.15 * MIN(Games[[#This Row],[GamesPlayed]], 82))</f>
        <v>74.349999999999994</v>
      </c>
      <c r="Z121" s="4">
        <f>Games[[#This Row],[K]]*Games[[#This Row],[POMult]]</f>
        <v>74.349999999999994</v>
      </c>
      <c r="AA121" s="4">
        <f>(Games[[#This Row],[Keff]]*Games[[#This Row],[MOVMult]])*(Games[[#This Row],[Result]]-Games[[#This Row],[ExpectedWin%]])</f>
        <v>-14.156356128867699</v>
      </c>
      <c r="AB121" s="4">
        <f>Games[[#This Row],[PreGmRate]]+Games[[#This Row],[RatingChange]]</f>
        <v>1666.6539528895498</v>
      </c>
      <c r="AC121" s="2">
        <f>IF(Games[[#This Row],[Type]]="R",IF(Games[[#This Row],[Result]]&gt;0.5,1,0),0)</f>
        <v>0</v>
      </c>
      <c r="AD121" s="2">
        <f>IF(Games[[#This Row],[Type]]="R",IF(Games[[#This Row],[Result]]&lt;0.5,1,0),0)</f>
        <v>1</v>
      </c>
      <c r="AE121" s="2">
        <f>IF(AND(Games[[#This Row],[Type]]="P",Games[[#This Row],[Round]]=1),IF(Games[[#This Row],[Result]]&gt;0.5,1,0),0)</f>
        <v>0</v>
      </c>
      <c r="AF121" s="2">
        <f>IF(AND(Games[[#This Row],[Type]]="P",Games[[#This Row],[Round]]=1),IF(Games[[#This Row],[Result]]&lt;0.5,1,0),0)</f>
        <v>0</v>
      </c>
      <c r="AG121" s="2">
        <f>IF(AND(Games[[#This Row],[Type]]="P",Games[[#This Row],[Round]]=2),IF(Games[[#This Row],[Result]]&gt;0.5,1,0),0)</f>
        <v>0</v>
      </c>
      <c r="AH121" s="2">
        <f>IF(AND(Games[[#This Row],[Type]]="P",Games[[#This Row],[Round]]=2),IF(Games[[#This Row],[Result]]&lt;0.5,1,0),0)</f>
        <v>0</v>
      </c>
      <c r="AI121" s="2">
        <f>IF(AND(Games[[#This Row],[Type]]="P",Games[[#This Row],[Round]]=3),IF(Games[[#This Row],[Result]]&gt;0.5,1,0),0)</f>
        <v>0</v>
      </c>
      <c r="AJ121" s="2">
        <f>IF(AND(Games[[#This Row],[Type]]="P",Games[[#This Row],[Round]]=3),IF(Games[[#This Row],[Result]]&lt;0.5,1,0),0)</f>
        <v>0</v>
      </c>
      <c r="AK121" s="2">
        <f>IF(AND(Games[[#This Row],[Type]]="P",Games[[#This Row],[Round]]=4),IF(Games[[#This Row],[Result]]&gt;0.5,1,0),0)</f>
        <v>0</v>
      </c>
      <c r="AL121" s="2">
        <f>IF(AND(Games[[#This Row],[Type]]="P",Games[[#This Row],[Round]]=4),IF(Games[[#This Row],[Result]]&lt;0.5,1,0),0)</f>
        <v>0</v>
      </c>
    </row>
    <row r="122" spans="1:38" x14ac:dyDescent="0.35">
      <c r="A122" s="10">
        <v>37792</v>
      </c>
      <c r="B122" s="2">
        <v>2003</v>
      </c>
      <c r="C122" s="2">
        <f>COUNTIFS(Games[Team],Games[[#This Row],[Team]],Games[Season],Games[[#This Row],[Season]],Games[Date],"&lt;=" &amp; Games[[#This Row],[Date]])</f>
        <v>10</v>
      </c>
      <c r="D122" s="2" t="s">
        <v>23</v>
      </c>
      <c r="E122" s="2" t="s">
        <v>29</v>
      </c>
      <c r="F122" s="1" t="s">
        <v>78</v>
      </c>
      <c r="G122" s="1" t="s">
        <v>64</v>
      </c>
      <c r="H122" s="1" t="s">
        <v>16</v>
      </c>
      <c r="I122" s="2" cm="1">
        <f t="array" ref="I122">IFERROR(
    Games[[#This Row],[Date]]
    - LOOKUP(
        2,
        1/((Games[Team]=Games[[#This Row],[Team]]) * (Games[Date] &lt; Games[[#This Row],[Date]])),
        Games[Date]
    )
    - 1,
Games[[#This Row],[Date]]-$A$2)</f>
        <v>2</v>
      </c>
      <c r="J122" s="2" cm="1">
        <f t="array" ref="J12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22" s="2">
        <f>Games[[#This Row],[DaysOff]]-Games[[#This Row],[OppDaysOff]]</f>
        <v>0</v>
      </c>
      <c r="L122" s="2">
        <f>Games[[#This Row],[OppDaysOff]]-Games[[#This Row],[DaysOff]]</f>
        <v>0</v>
      </c>
      <c r="M122" s="1">
        <f>MAX(-16, MIN(16, Games[[#This Row],[RestDiff]]*8))</f>
        <v>0</v>
      </c>
      <c r="N122" s="1">
        <f>MAX(-16, MIN(16, Games[[#This Row],[OppRestDiff]]*8))</f>
        <v>0</v>
      </c>
      <c r="O122" s="4" cm="1">
        <f t="array" ref="O12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1450.8295456645624</v>
      </c>
      <c r="P122" s="4" cm="1">
        <f t="array" ref="P12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1513.8547920856697</v>
      </c>
      <c r="Q122" s="4">
        <f>1/(1+10^(((Games[[#This Row],[OppPreGmRate]]+IF(Games[[#This Row],[HomeAway]]="A",HCA,0)+Games[[#This Row],[OppRestAdj]])-(Games[[#This Row],[PreGmRate]]+IF(Games[[#This Row],[HomeAway]]="H",HCA,0)+Games[[#This Row],[RestAdj]]))/400))</f>
        <v>0.30020006490981282</v>
      </c>
      <c r="R122" s="1">
        <v>72</v>
      </c>
      <c r="S122" s="1">
        <v>76</v>
      </c>
      <c r="T122" s="1">
        <v>0</v>
      </c>
      <c r="U122" s="1">
        <f>Games[[#This Row],[PointsFor]]-Games[[#This Row],[PointsAgainst]]</f>
        <v>-4</v>
      </c>
      <c r="V122" s="1">
        <f>IF(Games[[#This Row],[MOV]]&gt;0,1,IF(Games[[#This Row],[MOV]]=0,0.5,0))</f>
        <v>0</v>
      </c>
      <c r="W122" s="4">
        <f>((ABS(Games[[#This Row],[MOV]])+5)^0.6)/(12+0.01*(ABS(Games[[#This Row],[PreGmRate]]-Games[[#This Row],[OppPreGmRate]])))*IF(Games[[#This Row],[OT]]=1,0.9,1)</f>
        <v>0.29589217075717333</v>
      </c>
      <c r="X122" s="7" cm="1">
        <f t="array" ref="X12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2" s="9">
        <f>MAX(kmin, kmax - 0.15 * MIN(Games[[#This Row],[GamesPlayed]], 82))</f>
        <v>74.5</v>
      </c>
      <c r="Z122" s="4">
        <f>Games[[#This Row],[K]]*Games[[#This Row],[POMult]]</f>
        <v>74.5</v>
      </c>
      <c r="AA122" s="4">
        <f>(Games[[#This Row],[Keff]]*Games[[#This Row],[MOVMult]])*(Games[[#This Row],[Result]]-Games[[#This Row],[ExpectedWin%]])</f>
        <v>-6.6176002406368601</v>
      </c>
      <c r="AB122" s="4">
        <f>Games[[#This Row],[PreGmRate]]+Games[[#This Row],[RatingChange]]</f>
        <v>1444.2119454239255</v>
      </c>
      <c r="AC122" s="2">
        <f>IF(Games[[#This Row],[Type]]="R",IF(Games[[#This Row],[Result]]&gt;0.5,1,0),0)</f>
        <v>0</v>
      </c>
      <c r="AD122" s="2">
        <f>IF(Games[[#This Row],[Type]]="R",IF(Games[[#This Row],[Result]]&lt;0.5,1,0),0)</f>
        <v>1</v>
      </c>
      <c r="AE122" s="2">
        <f>IF(AND(Games[[#This Row],[Type]]="P",Games[[#This Row],[Round]]=1),IF(Games[[#This Row],[Result]]&gt;0.5,1,0),0)</f>
        <v>0</v>
      </c>
      <c r="AF122" s="2">
        <f>IF(AND(Games[[#This Row],[Type]]="P",Games[[#This Row],[Round]]=1),IF(Games[[#This Row],[Result]]&lt;0.5,1,0),0)</f>
        <v>0</v>
      </c>
      <c r="AG122" s="2">
        <f>IF(AND(Games[[#This Row],[Type]]="P",Games[[#This Row],[Round]]=2),IF(Games[[#This Row],[Result]]&gt;0.5,1,0),0)</f>
        <v>0</v>
      </c>
      <c r="AH122" s="2">
        <f>IF(AND(Games[[#This Row],[Type]]="P",Games[[#This Row],[Round]]=2),IF(Games[[#This Row],[Result]]&lt;0.5,1,0),0)</f>
        <v>0</v>
      </c>
      <c r="AI122" s="2">
        <f>IF(AND(Games[[#This Row],[Type]]="P",Games[[#This Row],[Round]]=3),IF(Games[[#This Row],[Result]]&gt;0.5,1,0),0)</f>
        <v>0</v>
      </c>
      <c r="AJ122" s="2">
        <f>IF(AND(Games[[#This Row],[Type]]="P",Games[[#This Row],[Round]]=3),IF(Games[[#This Row],[Result]]&lt;0.5,1,0),0)</f>
        <v>0</v>
      </c>
      <c r="AK122" s="2">
        <f>IF(AND(Games[[#This Row],[Type]]="P",Games[[#This Row],[Round]]=4),IF(Games[[#This Row],[Result]]&gt;0.5,1,0),0)</f>
        <v>0</v>
      </c>
      <c r="AL122" s="2">
        <f>IF(AND(Games[[#This Row],[Type]]="P",Games[[#This Row],[Round]]=4),IF(Games[[#This Row],[Result]]&lt;0.5,1,0),0)</f>
        <v>0</v>
      </c>
    </row>
    <row r="123" spans="1:38" x14ac:dyDescent="0.35">
      <c r="A123" s="10">
        <v>37792</v>
      </c>
      <c r="B123" s="2">
        <v>2003</v>
      </c>
      <c r="C123" s="2">
        <f>COUNTIFS(Games[Team],Games[[#This Row],[Team]],Games[Season],Games[[#This Row],[Season]],Games[Date],"&lt;=" &amp; Games[[#This Row],[Date]])</f>
        <v>10</v>
      </c>
      <c r="D123" s="2" t="s">
        <v>23</v>
      </c>
      <c r="E123" s="2" t="s">
        <v>29</v>
      </c>
      <c r="F123" s="1" t="s">
        <v>64</v>
      </c>
      <c r="G123" s="1" t="s">
        <v>78</v>
      </c>
      <c r="H123" s="1" t="s">
        <v>15</v>
      </c>
      <c r="I123" s="2" cm="1">
        <f t="array" ref="I123">IFERROR(
    Games[[#This Row],[Date]]
    - LOOKUP(
        2,
        1/((Games[Team]=Games[[#This Row],[Team]]) * (Games[Date] &lt; Games[[#This Row],[Date]])),
        Games[Date]
    )
    - 1,
Games[[#This Row],[Date]]-$A$2)</f>
        <v>2</v>
      </c>
      <c r="J123" s="2" cm="1">
        <f t="array" ref="J12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23" s="2">
        <f>Games[[#This Row],[DaysOff]]-Games[[#This Row],[OppDaysOff]]</f>
        <v>0</v>
      </c>
      <c r="L123" s="2">
        <f>Games[[#This Row],[OppDaysOff]]-Games[[#This Row],[DaysOff]]</f>
        <v>0</v>
      </c>
      <c r="M123" s="1">
        <f>MAX(-16, MIN(16, Games[[#This Row],[RestDiff]]*8))</f>
        <v>0</v>
      </c>
      <c r="N123" s="1">
        <f>MAX(-16, MIN(16, Games[[#This Row],[OppRestDiff]]*8))</f>
        <v>0</v>
      </c>
      <c r="O123" s="4" cm="1">
        <f t="array" ref="O12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1513.8547920856697</v>
      </c>
      <c r="P123" s="4" cm="1">
        <f t="array" ref="P12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1450.8295456645624</v>
      </c>
      <c r="Q123" s="4">
        <f>1/(1+10^(((Games[[#This Row],[OppPreGmRate]]+IF(Games[[#This Row],[HomeAway]]="A",HCA,0)+Games[[#This Row],[OppRestAdj]])-(Games[[#This Row],[PreGmRate]]+IF(Games[[#This Row],[HomeAway]]="H",HCA,0)+Games[[#This Row],[RestAdj]]))/400))</f>
        <v>0.69979993509018723</v>
      </c>
      <c r="R123" s="1">
        <v>76</v>
      </c>
      <c r="S123" s="1">
        <v>72</v>
      </c>
      <c r="T123" s="1">
        <v>0</v>
      </c>
      <c r="U123" s="1">
        <f>Games[[#This Row],[PointsFor]]-Games[[#This Row],[PointsAgainst]]</f>
        <v>4</v>
      </c>
      <c r="V123" s="1">
        <f>IF(Games[[#This Row],[MOV]]&gt;0,1,IF(Games[[#This Row],[MOV]]=0,0.5,0))</f>
        <v>1</v>
      </c>
      <c r="W123" s="4">
        <f>((ABS(Games[[#This Row],[MOV]])+5)^0.6)/(12+0.01*(ABS(Games[[#This Row],[PreGmRate]]-Games[[#This Row],[OppPreGmRate]])))*IF(Games[[#This Row],[OT]]=1,0.9,1)</f>
        <v>0.29589217075717333</v>
      </c>
      <c r="X123" s="7" cm="1">
        <f t="array" ref="X12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3" s="9">
        <f>MAX(kmin, kmax - 0.15 * MIN(Games[[#This Row],[GamesPlayed]], 82))</f>
        <v>74.5</v>
      </c>
      <c r="Z123" s="4">
        <f>Games[[#This Row],[K]]*Games[[#This Row],[POMult]]</f>
        <v>74.5</v>
      </c>
      <c r="AA123" s="4">
        <f>(Games[[#This Row],[Keff]]*Games[[#This Row],[MOVMult]])*(Games[[#This Row],[Result]]-Games[[#This Row],[ExpectedWin%]])</f>
        <v>6.6176002406368593</v>
      </c>
      <c r="AB123" s="4">
        <f>Games[[#This Row],[PreGmRate]]+Games[[#This Row],[RatingChange]]</f>
        <v>1520.4723923263066</v>
      </c>
      <c r="AC123" s="2">
        <f>IF(Games[[#This Row],[Type]]="R",IF(Games[[#This Row],[Result]]&gt;0.5,1,0),0)</f>
        <v>1</v>
      </c>
      <c r="AD123" s="2">
        <f>IF(Games[[#This Row],[Type]]="R",IF(Games[[#This Row],[Result]]&lt;0.5,1,0),0)</f>
        <v>0</v>
      </c>
      <c r="AE123" s="2">
        <f>IF(AND(Games[[#This Row],[Type]]="P",Games[[#This Row],[Round]]=1),IF(Games[[#This Row],[Result]]&gt;0.5,1,0),0)</f>
        <v>0</v>
      </c>
      <c r="AF123" s="2">
        <f>IF(AND(Games[[#This Row],[Type]]="P",Games[[#This Row],[Round]]=1),IF(Games[[#This Row],[Result]]&lt;0.5,1,0),0)</f>
        <v>0</v>
      </c>
      <c r="AG123" s="2">
        <f>IF(AND(Games[[#This Row],[Type]]="P",Games[[#This Row],[Round]]=2),IF(Games[[#This Row],[Result]]&gt;0.5,1,0),0)</f>
        <v>0</v>
      </c>
      <c r="AH123" s="2">
        <f>IF(AND(Games[[#This Row],[Type]]="P",Games[[#This Row],[Round]]=2),IF(Games[[#This Row],[Result]]&lt;0.5,1,0),0)</f>
        <v>0</v>
      </c>
      <c r="AI123" s="2">
        <f>IF(AND(Games[[#This Row],[Type]]="P",Games[[#This Row],[Round]]=3),IF(Games[[#This Row],[Result]]&gt;0.5,1,0),0)</f>
        <v>0</v>
      </c>
      <c r="AJ123" s="2">
        <f>IF(AND(Games[[#This Row],[Type]]="P",Games[[#This Row],[Round]]=3),IF(Games[[#This Row],[Result]]&lt;0.5,1,0),0)</f>
        <v>0</v>
      </c>
      <c r="AK123" s="2">
        <f>IF(AND(Games[[#This Row],[Type]]="P",Games[[#This Row],[Round]]=4),IF(Games[[#This Row],[Result]]&gt;0.5,1,0),0)</f>
        <v>0</v>
      </c>
      <c r="AL123" s="2">
        <f>IF(AND(Games[[#This Row],[Type]]="P",Games[[#This Row],[Round]]=4),IF(Games[[#This Row],[Result]]&lt;0.5,1,0),0)</f>
        <v>0</v>
      </c>
    </row>
    <row r="124" spans="1:38" x14ac:dyDescent="0.35">
      <c r="A124" s="10">
        <v>37792</v>
      </c>
      <c r="B124" s="2">
        <v>2003</v>
      </c>
      <c r="C124" s="2">
        <f>COUNTIFS(Games[Team],Games[[#This Row],[Team]],Games[Season],Games[[#This Row],[Season]],Games[Date],"&lt;=" &amp; Games[[#This Row],[Date]])</f>
        <v>9</v>
      </c>
      <c r="D124" s="2" t="s">
        <v>23</v>
      </c>
      <c r="E124" s="2" t="s">
        <v>29</v>
      </c>
      <c r="F124" s="1" t="s">
        <v>74</v>
      </c>
      <c r="G124" s="1" t="s">
        <v>1</v>
      </c>
      <c r="H124" s="1" t="s">
        <v>16</v>
      </c>
      <c r="I124" s="2" cm="1">
        <f t="array" ref="I124">IFERROR(
    Games[[#This Row],[Date]]
    - LOOKUP(
        2,
        1/((Games[Team]=Games[[#This Row],[Team]]) * (Games[Date] &lt; Games[[#This Row],[Date]])),
        Games[Date]
    )
    - 1,
Games[[#This Row],[Date]]-$A$2)</f>
        <v>1</v>
      </c>
      <c r="J124" s="2" cm="1">
        <f t="array" ref="J12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24" s="2">
        <f>Games[[#This Row],[DaysOff]]-Games[[#This Row],[OppDaysOff]]</f>
        <v>0</v>
      </c>
      <c r="L124" s="2">
        <f>Games[[#This Row],[OppDaysOff]]-Games[[#This Row],[DaysOff]]</f>
        <v>0</v>
      </c>
      <c r="M124" s="1">
        <f>MAX(-16, MIN(16, Games[[#This Row],[RestDiff]]*8))</f>
        <v>0</v>
      </c>
      <c r="N124" s="1">
        <f>MAX(-16, MIN(16, Games[[#This Row],[OppRestDiff]]*8))</f>
        <v>0</v>
      </c>
      <c r="O124" s="4" cm="1">
        <f t="array" ref="O12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1405.0111818293162</v>
      </c>
      <c r="P124" s="4" cm="1">
        <f t="array" ref="P12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1494.4088613015965</v>
      </c>
      <c r="Q124" s="4">
        <f>1/(1+10^(((Games[[#This Row],[OppPreGmRate]]+IF(Games[[#This Row],[HomeAway]]="A",HCA,0)+Games[[#This Row],[OppRestAdj]])-(Games[[#This Row],[PreGmRate]]+IF(Games[[#This Row],[HomeAway]]="H",HCA,0)+Games[[#This Row],[RestAdj]]))/400))</f>
        <v>0.26930387637675546</v>
      </c>
      <c r="R124" s="1">
        <v>74</v>
      </c>
      <c r="S124" s="1">
        <v>79</v>
      </c>
      <c r="T124" s="1">
        <v>0</v>
      </c>
      <c r="U124" s="1">
        <f>Games[[#This Row],[PointsFor]]-Games[[#This Row],[PointsAgainst]]</f>
        <v>-5</v>
      </c>
      <c r="V124" s="1">
        <f>IF(Games[[#This Row],[MOV]]&gt;0,1,IF(Games[[#This Row],[MOV]]=0,0.5,0))</f>
        <v>0</v>
      </c>
      <c r="W124" s="4">
        <f>((ABS(Games[[#This Row],[MOV]])+5)^0.6)/(12+0.01*(ABS(Games[[#This Row],[PreGmRate]]-Games[[#This Row],[OppPreGmRate]])))*IF(Games[[#This Row],[OT]]=1,0.9,1)</f>
        <v>0.30875437182144844</v>
      </c>
      <c r="X124" s="7" cm="1">
        <f t="array" ref="X12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4" s="9">
        <f>MAX(kmin, kmax - 0.15 * MIN(Games[[#This Row],[GamesPlayed]], 82))</f>
        <v>74.650000000000006</v>
      </c>
      <c r="Z124" s="4">
        <f>Games[[#This Row],[K]]*Games[[#This Row],[POMult]]</f>
        <v>74.650000000000006</v>
      </c>
      <c r="AA124" s="4">
        <f>(Games[[#This Row],[Keff]]*Games[[#This Row],[MOVMult]])*(Games[[#This Row],[Result]]-Games[[#This Row],[ExpectedWin%]])</f>
        <v>-6.2070541262710357</v>
      </c>
      <c r="AB124" s="4">
        <f>Games[[#This Row],[PreGmRate]]+Games[[#This Row],[RatingChange]]</f>
        <v>1398.8041277030452</v>
      </c>
      <c r="AC124" s="2">
        <f>IF(Games[[#This Row],[Type]]="R",IF(Games[[#This Row],[Result]]&gt;0.5,1,0),0)</f>
        <v>0</v>
      </c>
      <c r="AD124" s="2">
        <f>IF(Games[[#This Row],[Type]]="R",IF(Games[[#This Row],[Result]]&lt;0.5,1,0),0)</f>
        <v>1</v>
      </c>
      <c r="AE124" s="2">
        <f>IF(AND(Games[[#This Row],[Type]]="P",Games[[#This Row],[Round]]=1),IF(Games[[#This Row],[Result]]&gt;0.5,1,0),0)</f>
        <v>0</v>
      </c>
      <c r="AF124" s="2">
        <f>IF(AND(Games[[#This Row],[Type]]="P",Games[[#This Row],[Round]]=1),IF(Games[[#This Row],[Result]]&lt;0.5,1,0),0)</f>
        <v>0</v>
      </c>
      <c r="AG124" s="2">
        <f>IF(AND(Games[[#This Row],[Type]]="P",Games[[#This Row],[Round]]=2),IF(Games[[#This Row],[Result]]&gt;0.5,1,0),0)</f>
        <v>0</v>
      </c>
      <c r="AH124" s="2">
        <f>IF(AND(Games[[#This Row],[Type]]="P",Games[[#This Row],[Round]]=2),IF(Games[[#This Row],[Result]]&lt;0.5,1,0),0)</f>
        <v>0</v>
      </c>
      <c r="AI124" s="2">
        <f>IF(AND(Games[[#This Row],[Type]]="P",Games[[#This Row],[Round]]=3),IF(Games[[#This Row],[Result]]&gt;0.5,1,0),0)</f>
        <v>0</v>
      </c>
      <c r="AJ124" s="2">
        <f>IF(AND(Games[[#This Row],[Type]]="P",Games[[#This Row],[Round]]=3),IF(Games[[#This Row],[Result]]&lt;0.5,1,0),0)</f>
        <v>0</v>
      </c>
      <c r="AK124" s="2">
        <f>IF(AND(Games[[#This Row],[Type]]="P",Games[[#This Row],[Round]]=4),IF(Games[[#This Row],[Result]]&gt;0.5,1,0),0)</f>
        <v>0</v>
      </c>
      <c r="AL124" s="2">
        <f>IF(AND(Games[[#This Row],[Type]]="P",Games[[#This Row],[Round]]=4),IF(Games[[#This Row],[Result]]&lt;0.5,1,0),0)</f>
        <v>0</v>
      </c>
    </row>
    <row r="125" spans="1:38" x14ac:dyDescent="0.35">
      <c r="A125" s="10">
        <v>37792</v>
      </c>
      <c r="B125" s="2">
        <v>2003</v>
      </c>
      <c r="C125" s="2">
        <f>COUNTIFS(Games[Team],Games[[#This Row],[Team]],Games[Season],Games[[#This Row],[Season]],Games[Date],"&lt;=" &amp; Games[[#This Row],[Date]])</f>
        <v>8</v>
      </c>
      <c r="D125" s="2" t="s">
        <v>23</v>
      </c>
      <c r="E125" s="2" t="s">
        <v>29</v>
      </c>
      <c r="F125" s="1" t="s">
        <v>1</v>
      </c>
      <c r="G125" s="1" t="s">
        <v>74</v>
      </c>
      <c r="H125" s="1" t="s">
        <v>15</v>
      </c>
      <c r="I125" s="2" cm="1">
        <f t="array" ref="I125">IFERROR(
    Games[[#This Row],[Date]]
    - LOOKUP(
        2,
        1/((Games[Team]=Games[[#This Row],[Team]]) * (Games[Date] &lt; Games[[#This Row],[Date]])),
        Games[Date]
    )
    - 1,
Games[[#This Row],[Date]]-$A$2)</f>
        <v>1</v>
      </c>
      <c r="J125" s="2" cm="1">
        <f t="array" ref="J12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25" s="2">
        <f>Games[[#This Row],[DaysOff]]-Games[[#This Row],[OppDaysOff]]</f>
        <v>0</v>
      </c>
      <c r="L125" s="2">
        <f>Games[[#This Row],[OppDaysOff]]-Games[[#This Row],[DaysOff]]</f>
        <v>0</v>
      </c>
      <c r="M125" s="1">
        <f>MAX(-16, MIN(16, Games[[#This Row],[RestDiff]]*8))</f>
        <v>0</v>
      </c>
      <c r="N125" s="1">
        <f>MAX(-16, MIN(16, Games[[#This Row],[OppRestDiff]]*8))</f>
        <v>0</v>
      </c>
      <c r="O125" s="4" cm="1">
        <f t="array" ref="O12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1494.4088613015965</v>
      </c>
      <c r="P125" s="4" cm="1">
        <f t="array" ref="P12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1405.0111818293162</v>
      </c>
      <c r="Q125" s="4">
        <f>1/(1+10^(((Games[[#This Row],[OppPreGmRate]]+IF(Games[[#This Row],[HomeAway]]="A",HCA,0)+Games[[#This Row],[OppRestAdj]])-(Games[[#This Row],[PreGmRate]]+IF(Games[[#This Row],[HomeAway]]="H",HCA,0)+Games[[#This Row],[RestAdj]]))/400))</f>
        <v>0.73069612362324454</v>
      </c>
      <c r="R125" s="1">
        <v>79</v>
      </c>
      <c r="S125" s="1">
        <v>74</v>
      </c>
      <c r="T125" s="1">
        <v>0</v>
      </c>
      <c r="U125" s="1">
        <f>Games[[#This Row],[PointsFor]]-Games[[#This Row],[PointsAgainst]]</f>
        <v>5</v>
      </c>
      <c r="V125" s="1">
        <f>IF(Games[[#This Row],[MOV]]&gt;0,1,IF(Games[[#This Row],[MOV]]=0,0.5,0))</f>
        <v>1</v>
      </c>
      <c r="W125" s="4">
        <f>((ABS(Games[[#This Row],[MOV]])+5)^0.6)/(12+0.01*(ABS(Games[[#This Row],[PreGmRate]]-Games[[#This Row],[OppPreGmRate]])))*IF(Games[[#This Row],[OT]]=1,0.9,1)</f>
        <v>0.30875437182144844</v>
      </c>
      <c r="X125" s="7" cm="1">
        <f t="array" ref="X12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5" s="9">
        <f>MAX(kmin, kmax - 0.15 * MIN(Games[[#This Row],[GamesPlayed]], 82))</f>
        <v>74.8</v>
      </c>
      <c r="Z125" s="4">
        <f>Games[[#This Row],[K]]*Games[[#This Row],[POMult]]</f>
        <v>74.8</v>
      </c>
      <c r="AA125" s="4">
        <f>(Games[[#This Row],[Keff]]*Games[[#This Row],[MOVMult]])*(Games[[#This Row],[Result]]-Games[[#This Row],[ExpectedWin%]])</f>
        <v>6.2195264386480025</v>
      </c>
      <c r="AB125" s="4">
        <f>Games[[#This Row],[PreGmRate]]+Games[[#This Row],[RatingChange]]</f>
        <v>1500.6283877402445</v>
      </c>
      <c r="AC125" s="2">
        <f>IF(Games[[#This Row],[Type]]="R",IF(Games[[#This Row],[Result]]&gt;0.5,1,0),0)</f>
        <v>1</v>
      </c>
      <c r="AD125" s="2">
        <f>IF(Games[[#This Row],[Type]]="R",IF(Games[[#This Row],[Result]]&lt;0.5,1,0),0)</f>
        <v>0</v>
      </c>
      <c r="AE125" s="2">
        <f>IF(AND(Games[[#This Row],[Type]]="P",Games[[#This Row],[Round]]=1),IF(Games[[#This Row],[Result]]&gt;0.5,1,0),0)</f>
        <v>0</v>
      </c>
      <c r="AF125" s="2">
        <f>IF(AND(Games[[#This Row],[Type]]="P",Games[[#This Row],[Round]]=1),IF(Games[[#This Row],[Result]]&lt;0.5,1,0),0)</f>
        <v>0</v>
      </c>
      <c r="AG125" s="2">
        <f>IF(AND(Games[[#This Row],[Type]]="P",Games[[#This Row],[Round]]=2),IF(Games[[#This Row],[Result]]&gt;0.5,1,0),0)</f>
        <v>0</v>
      </c>
      <c r="AH125" s="2">
        <f>IF(AND(Games[[#This Row],[Type]]="P",Games[[#This Row],[Round]]=2),IF(Games[[#This Row],[Result]]&lt;0.5,1,0),0)</f>
        <v>0</v>
      </c>
      <c r="AI125" s="2">
        <f>IF(AND(Games[[#This Row],[Type]]="P",Games[[#This Row],[Round]]=3),IF(Games[[#This Row],[Result]]&gt;0.5,1,0),0)</f>
        <v>0</v>
      </c>
      <c r="AJ125" s="2">
        <f>IF(AND(Games[[#This Row],[Type]]="P",Games[[#This Row],[Round]]=3),IF(Games[[#This Row],[Result]]&lt;0.5,1,0),0)</f>
        <v>0</v>
      </c>
      <c r="AK125" s="2">
        <f>IF(AND(Games[[#This Row],[Type]]="P",Games[[#This Row],[Round]]=4),IF(Games[[#This Row],[Result]]&gt;0.5,1,0),0)</f>
        <v>0</v>
      </c>
      <c r="AL125" s="2">
        <f>IF(AND(Games[[#This Row],[Type]]="P",Games[[#This Row],[Round]]=4),IF(Games[[#This Row],[Result]]&lt;0.5,1,0),0)</f>
        <v>0</v>
      </c>
    </row>
    <row r="126" spans="1:38" x14ac:dyDescent="0.35">
      <c r="A126" s="10">
        <v>37792</v>
      </c>
      <c r="B126" s="2">
        <v>2003</v>
      </c>
      <c r="C126" s="2">
        <f>COUNTIFS(Games[Team],Games[[#This Row],[Team]],Games[Season],Games[[#This Row],[Season]],Games[Date],"&lt;=" &amp; Games[[#This Row],[Date]])</f>
        <v>8</v>
      </c>
      <c r="D126" s="2" t="s">
        <v>23</v>
      </c>
      <c r="E126" s="2" t="s">
        <v>29</v>
      </c>
      <c r="F126" s="1" t="s">
        <v>66</v>
      </c>
      <c r="G126" s="1" t="s">
        <v>76</v>
      </c>
      <c r="H126" s="1" t="s">
        <v>16</v>
      </c>
      <c r="I126" s="2" cm="1">
        <f t="array" ref="I126">IFERROR(
    Games[[#This Row],[Date]]
    - LOOKUP(
        2,
        1/((Games[Team]=Games[[#This Row],[Team]]) * (Games[Date] &lt; Games[[#This Row],[Date]])),
        Games[Date]
    )
    - 1,
Games[[#This Row],[Date]]-$A$2)</f>
        <v>2</v>
      </c>
      <c r="J126" s="2" cm="1">
        <f t="array" ref="J12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26" s="2">
        <f>Games[[#This Row],[DaysOff]]-Games[[#This Row],[OppDaysOff]]</f>
        <v>0</v>
      </c>
      <c r="L126" s="2">
        <f>Games[[#This Row],[OppDaysOff]]-Games[[#This Row],[DaysOff]]</f>
        <v>0</v>
      </c>
      <c r="M126" s="1">
        <f>MAX(-16, MIN(16, Games[[#This Row],[RestDiff]]*8))</f>
        <v>0</v>
      </c>
      <c r="N126" s="1">
        <f>MAX(-16, MIN(16, Games[[#This Row],[OppRestDiff]]*8))</f>
        <v>0</v>
      </c>
      <c r="O126" s="4" cm="1">
        <f t="array" ref="O12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1520.8455126641568</v>
      </c>
      <c r="P126" s="4" cm="1">
        <f t="array" ref="P12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1520.8133785528864</v>
      </c>
      <c r="Q126" s="4">
        <f>1/(1+10^(((Games[[#This Row],[OppPreGmRate]]+IF(Games[[#This Row],[HomeAway]]="A",HCA,0)+Games[[#This Row],[OppRestAdj]])-(Games[[#This Row],[PreGmRate]]+IF(Games[[#This Row],[HomeAway]]="H",HCA,0)+Games[[#This Row],[RestAdj]]))/400))</f>
        <v>0.3814595223637321</v>
      </c>
      <c r="R126" s="1">
        <v>83</v>
      </c>
      <c r="S126" s="1">
        <v>88</v>
      </c>
      <c r="T126" s="1">
        <v>0</v>
      </c>
      <c r="U126" s="1">
        <f>Games[[#This Row],[PointsFor]]-Games[[#This Row],[PointsAgainst]]</f>
        <v>-5</v>
      </c>
      <c r="V126" s="1">
        <f>IF(Games[[#This Row],[MOV]]&gt;0,1,IF(Games[[#This Row],[MOV]]=0,0.5,0))</f>
        <v>0</v>
      </c>
      <c r="W126" s="4">
        <f>((ABS(Games[[#This Row],[MOV]])+5)^0.6)/(12+0.01*(ABS(Games[[#This Row],[PreGmRate]]-Games[[#This Row],[OppPreGmRate]])))*IF(Games[[#This Row],[OT]]=1,0.9,1)</f>
        <v>0.33174709179627987</v>
      </c>
      <c r="X126" s="7" cm="1">
        <f t="array" ref="X12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6" s="9">
        <f>MAX(kmin, kmax - 0.15 * MIN(Games[[#This Row],[GamesPlayed]], 82))</f>
        <v>74.8</v>
      </c>
      <c r="Z126" s="4">
        <f>Games[[#This Row],[K]]*Games[[#This Row],[POMult]]</f>
        <v>74.8</v>
      </c>
      <c r="AA126" s="4">
        <f>(Games[[#This Row],[Keff]]*Games[[#This Row],[MOVMult]])*(Games[[#This Row],[Result]]-Games[[#This Row],[ExpectedWin%]])</f>
        <v>-9.4657969212260245</v>
      </c>
      <c r="AB126" s="4">
        <f>Games[[#This Row],[PreGmRate]]+Games[[#This Row],[RatingChange]]</f>
        <v>1511.3797157429308</v>
      </c>
      <c r="AC126" s="2">
        <f>IF(Games[[#This Row],[Type]]="R",IF(Games[[#This Row],[Result]]&gt;0.5,1,0),0)</f>
        <v>0</v>
      </c>
      <c r="AD126" s="2">
        <f>IF(Games[[#This Row],[Type]]="R",IF(Games[[#This Row],[Result]]&lt;0.5,1,0),0)</f>
        <v>1</v>
      </c>
      <c r="AE126" s="2">
        <f>IF(AND(Games[[#This Row],[Type]]="P",Games[[#This Row],[Round]]=1),IF(Games[[#This Row],[Result]]&gt;0.5,1,0),0)</f>
        <v>0</v>
      </c>
      <c r="AF126" s="2">
        <f>IF(AND(Games[[#This Row],[Type]]="P",Games[[#This Row],[Round]]=1),IF(Games[[#This Row],[Result]]&lt;0.5,1,0),0)</f>
        <v>0</v>
      </c>
      <c r="AG126" s="2">
        <f>IF(AND(Games[[#This Row],[Type]]="P",Games[[#This Row],[Round]]=2),IF(Games[[#This Row],[Result]]&gt;0.5,1,0),0)</f>
        <v>0</v>
      </c>
      <c r="AH126" s="2">
        <f>IF(AND(Games[[#This Row],[Type]]="P",Games[[#This Row],[Round]]=2),IF(Games[[#This Row],[Result]]&lt;0.5,1,0),0)</f>
        <v>0</v>
      </c>
      <c r="AI126" s="2">
        <f>IF(AND(Games[[#This Row],[Type]]="P",Games[[#This Row],[Round]]=3),IF(Games[[#This Row],[Result]]&gt;0.5,1,0),0)</f>
        <v>0</v>
      </c>
      <c r="AJ126" s="2">
        <f>IF(AND(Games[[#This Row],[Type]]="P",Games[[#This Row],[Round]]=3),IF(Games[[#This Row],[Result]]&lt;0.5,1,0),0)</f>
        <v>0</v>
      </c>
      <c r="AK126" s="2">
        <f>IF(AND(Games[[#This Row],[Type]]="P",Games[[#This Row],[Round]]=4),IF(Games[[#This Row],[Result]]&gt;0.5,1,0),0)</f>
        <v>0</v>
      </c>
      <c r="AL126" s="2">
        <f>IF(AND(Games[[#This Row],[Type]]="P",Games[[#This Row],[Round]]=4),IF(Games[[#This Row],[Result]]&lt;0.5,1,0),0)</f>
        <v>0</v>
      </c>
    </row>
    <row r="127" spans="1:38" x14ac:dyDescent="0.35">
      <c r="A127" s="10">
        <v>37792</v>
      </c>
      <c r="B127" s="2">
        <v>2003</v>
      </c>
      <c r="C127" s="2">
        <f>COUNTIFS(Games[Team],Games[[#This Row],[Team]],Games[Season],Games[[#This Row],[Season]],Games[Date],"&lt;=" &amp; Games[[#This Row],[Date]])</f>
        <v>6</v>
      </c>
      <c r="D127" s="2" t="s">
        <v>23</v>
      </c>
      <c r="E127" s="2" t="s">
        <v>29</v>
      </c>
      <c r="F127" s="1" t="s">
        <v>76</v>
      </c>
      <c r="G127" s="1" t="s">
        <v>66</v>
      </c>
      <c r="H127" s="1" t="s">
        <v>15</v>
      </c>
      <c r="I127" s="2" cm="1">
        <f t="array" ref="I127">IFERROR(
    Games[[#This Row],[Date]]
    - LOOKUP(
        2,
        1/((Games[Team]=Games[[#This Row],[Team]]) * (Games[Date] &lt; Games[[#This Row],[Date]])),
        Games[Date]
    )
    - 1,
Games[[#This Row],[Date]]-$A$2)</f>
        <v>2</v>
      </c>
      <c r="J127" s="2" cm="1">
        <f t="array" ref="J12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27" s="2">
        <f>Games[[#This Row],[DaysOff]]-Games[[#This Row],[OppDaysOff]]</f>
        <v>0</v>
      </c>
      <c r="L127" s="2">
        <f>Games[[#This Row],[OppDaysOff]]-Games[[#This Row],[DaysOff]]</f>
        <v>0</v>
      </c>
      <c r="M127" s="1">
        <f>MAX(-16, MIN(16, Games[[#This Row],[RestDiff]]*8))</f>
        <v>0</v>
      </c>
      <c r="N127" s="1">
        <f>MAX(-16, MIN(16, Games[[#This Row],[OppRestDiff]]*8))</f>
        <v>0</v>
      </c>
      <c r="O127" s="4" cm="1">
        <f t="array" ref="O12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1520.8133785528864</v>
      </c>
      <c r="P127" s="4" cm="1">
        <f t="array" ref="P12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1520.8455126641568</v>
      </c>
      <c r="Q127" s="4">
        <f>1/(1+10^(((Games[[#This Row],[OppPreGmRate]]+IF(Games[[#This Row],[HomeAway]]="A",HCA,0)+Games[[#This Row],[OppRestAdj]])-(Games[[#This Row],[PreGmRate]]+IF(Games[[#This Row],[HomeAway]]="H",HCA,0)+Games[[#This Row],[RestAdj]]))/400))</f>
        <v>0.61854047763626785</v>
      </c>
      <c r="R127" s="1">
        <v>88</v>
      </c>
      <c r="S127" s="1">
        <v>83</v>
      </c>
      <c r="T127" s="1">
        <v>0</v>
      </c>
      <c r="U127" s="1">
        <f>Games[[#This Row],[PointsFor]]-Games[[#This Row],[PointsAgainst]]</f>
        <v>5</v>
      </c>
      <c r="V127" s="1">
        <f>IF(Games[[#This Row],[MOV]]&gt;0,1,IF(Games[[#This Row],[MOV]]=0,0.5,0))</f>
        <v>1</v>
      </c>
      <c r="W127" s="4">
        <f>((ABS(Games[[#This Row],[MOV]])+5)^0.6)/(12+0.01*(ABS(Games[[#This Row],[PreGmRate]]-Games[[#This Row],[OppPreGmRate]])))*IF(Games[[#This Row],[OT]]=1,0.9,1)</f>
        <v>0.33174709179627987</v>
      </c>
      <c r="X127" s="7" cm="1">
        <f t="array" ref="X12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7" s="9">
        <f>MAX(kmin, kmax - 0.15 * MIN(Games[[#This Row],[GamesPlayed]], 82))</f>
        <v>75.099999999999994</v>
      </c>
      <c r="Z127" s="4">
        <f>Games[[#This Row],[K]]*Games[[#This Row],[POMult]]</f>
        <v>75.099999999999994</v>
      </c>
      <c r="AA127" s="4">
        <f>(Games[[#This Row],[Keff]]*Games[[#This Row],[MOVMult]])*(Games[[#This Row],[Result]]-Games[[#This Row],[ExpectedWin%]])</f>
        <v>9.5037613473806744</v>
      </c>
      <c r="AB127" s="4">
        <f>Games[[#This Row],[PreGmRate]]+Games[[#This Row],[RatingChange]]</f>
        <v>1530.3171399002672</v>
      </c>
      <c r="AC127" s="2">
        <f>IF(Games[[#This Row],[Type]]="R",IF(Games[[#This Row],[Result]]&gt;0.5,1,0),0)</f>
        <v>1</v>
      </c>
      <c r="AD127" s="2">
        <f>IF(Games[[#This Row],[Type]]="R",IF(Games[[#This Row],[Result]]&lt;0.5,1,0),0)</f>
        <v>0</v>
      </c>
      <c r="AE127" s="2">
        <f>IF(AND(Games[[#This Row],[Type]]="P",Games[[#This Row],[Round]]=1),IF(Games[[#This Row],[Result]]&gt;0.5,1,0),0)</f>
        <v>0</v>
      </c>
      <c r="AF127" s="2">
        <f>IF(AND(Games[[#This Row],[Type]]="P",Games[[#This Row],[Round]]=1),IF(Games[[#This Row],[Result]]&lt;0.5,1,0),0)</f>
        <v>0</v>
      </c>
      <c r="AG127" s="2">
        <f>IF(AND(Games[[#This Row],[Type]]="P",Games[[#This Row],[Round]]=2),IF(Games[[#This Row],[Result]]&gt;0.5,1,0),0)</f>
        <v>0</v>
      </c>
      <c r="AH127" s="2">
        <f>IF(AND(Games[[#This Row],[Type]]="P",Games[[#This Row],[Round]]=2),IF(Games[[#This Row],[Result]]&lt;0.5,1,0),0)</f>
        <v>0</v>
      </c>
      <c r="AI127" s="2">
        <f>IF(AND(Games[[#This Row],[Type]]="P",Games[[#This Row],[Round]]=3),IF(Games[[#This Row],[Result]]&gt;0.5,1,0),0)</f>
        <v>0</v>
      </c>
      <c r="AJ127" s="2">
        <f>IF(AND(Games[[#This Row],[Type]]="P",Games[[#This Row],[Round]]=3),IF(Games[[#This Row],[Result]]&lt;0.5,1,0),0)</f>
        <v>0</v>
      </c>
      <c r="AK127" s="2">
        <f>IF(AND(Games[[#This Row],[Type]]="P",Games[[#This Row],[Round]]=4),IF(Games[[#This Row],[Result]]&gt;0.5,1,0),0)</f>
        <v>0</v>
      </c>
      <c r="AL127" s="2">
        <f>IF(AND(Games[[#This Row],[Type]]="P",Games[[#This Row],[Round]]=4),IF(Games[[#This Row],[Result]]&lt;0.5,1,0),0)</f>
        <v>0</v>
      </c>
    </row>
    <row r="128" spans="1:38" x14ac:dyDescent="0.35">
      <c r="A128" s="10">
        <v>37792</v>
      </c>
      <c r="B128" s="2">
        <v>2003</v>
      </c>
      <c r="C128" s="2">
        <f>COUNTIFS(Games[Team],Games[[#This Row],[Team]],Games[Season],Games[[#This Row],[Season]],Games[Date],"&lt;=" &amp; Games[[#This Row],[Date]])</f>
        <v>9</v>
      </c>
      <c r="D128" s="2" t="s">
        <v>23</v>
      </c>
      <c r="E128" s="2" t="s">
        <v>29</v>
      </c>
      <c r="F128" s="1" t="s">
        <v>87</v>
      </c>
      <c r="G128" s="1" t="s">
        <v>80</v>
      </c>
      <c r="H128" s="1" t="s">
        <v>16</v>
      </c>
      <c r="I128" s="2" cm="1">
        <f t="array" ref="I128">IFERROR(
    Games[[#This Row],[Date]]
    - LOOKUP(
        2,
        1/((Games[Team]=Games[[#This Row],[Team]]) * (Games[Date] &lt; Games[[#This Row],[Date]])),
        Games[Date]
    )
    - 1,
Games[[#This Row],[Date]]-$A$2)</f>
        <v>1</v>
      </c>
      <c r="J128" s="2" cm="1">
        <f t="array" ref="J12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28" s="2">
        <f>Games[[#This Row],[DaysOff]]-Games[[#This Row],[OppDaysOff]]</f>
        <v>-1</v>
      </c>
      <c r="L128" s="2">
        <f>Games[[#This Row],[OppDaysOff]]-Games[[#This Row],[DaysOff]]</f>
        <v>1</v>
      </c>
      <c r="M128" s="1">
        <f>MAX(-16, MIN(16, Games[[#This Row],[RestDiff]]*8))</f>
        <v>-8</v>
      </c>
      <c r="N128" s="1">
        <f>MAX(-16, MIN(16, Games[[#This Row],[OppRestDiff]]*8))</f>
        <v>8</v>
      </c>
      <c r="O128" s="4" cm="1">
        <f t="array" ref="O12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1525.6867931486456</v>
      </c>
      <c r="P128" s="4" cm="1">
        <f t="array" ref="P12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1519.32927210357</v>
      </c>
      <c r="Q128" s="4">
        <f>1/(1+10^(((Games[[#This Row],[OppPreGmRate]]+IF(Games[[#This Row],[HomeAway]]="A",HCA,0)+Games[[#This Row],[OppRestAdj]])-(Games[[#This Row],[PreGmRate]]+IF(Games[[#This Row],[HomeAway]]="H",HCA,0)+Games[[#This Row],[RestAdj]]))/400))</f>
        <v>0.36840873437360916</v>
      </c>
      <c r="R128" s="1">
        <v>74</v>
      </c>
      <c r="S128" s="1">
        <v>84</v>
      </c>
      <c r="T128" s="1">
        <v>0</v>
      </c>
      <c r="U128" s="1">
        <f>Games[[#This Row],[PointsFor]]-Games[[#This Row],[PointsAgainst]]</f>
        <v>-10</v>
      </c>
      <c r="V128" s="1">
        <f>IF(Games[[#This Row],[MOV]]&gt;0,1,IF(Games[[#This Row],[MOV]]=0,0.5,0))</f>
        <v>0</v>
      </c>
      <c r="W128" s="4">
        <f>((ABS(Games[[#This Row],[MOV]])+5)^0.6)/(12+0.01*(ABS(Games[[#This Row],[PreGmRate]]-Games[[#This Row],[OppPreGmRate]])))*IF(Games[[#This Row],[OT]]=1,0.9,1)</f>
        <v>0.42089979988591497</v>
      </c>
      <c r="X128" s="7" cm="1">
        <f t="array" ref="X12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8" s="9">
        <f>MAX(kmin, kmax - 0.15 * MIN(Games[[#This Row],[GamesPlayed]], 82))</f>
        <v>74.650000000000006</v>
      </c>
      <c r="Z128" s="4">
        <f>Games[[#This Row],[K]]*Games[[#This Row],[POMult]]</f>
        <v>74.650000000000006</v>
      </c>
      <c r="AA128" s="4">
        <f>(Games[[#This Row],[Keff]]*Games[[#This Row],[MOVMult]])*(Games[[#This Row],[Result]]-Games[[#This Row],[ExpectedWin%]])</f>
        <v>-11.575465086154722</v>
      </c>
      <c r="AB128" s="4">
        <f>Games[[#This Row],[PreGmRate]]+Games[[#This Row],[RatingChange]]</f>
        <v>1514.1113280624909</v>
      </c>
      <c r="AC128" s="2">
        <f>IF(Games[[#This Row],[Type]]="R",IF(Games[[#This Row],[Result]]&gt;0.5,1,0),0)</f>
        <v>0</v>
      </c>
      <c r="AD128" s="2">
        <f>IF(Games[[#This Row],[Type]]="R",IF(Games[[#This Row],[Result]]&lt;0.5,1,0),0)</f>
        <v>1</v>
      </c>
      <c r="AE128" s="2">
        <f>IF(AND(Games[[#This Row],[Type]]="P",Games[[#This Row],[Round]]=1),IF(Games[[#This Row],[Result]]&gt;0.5,1,0),0)</f>
        <v>0</v>
      </c>
      <c r="AF128" s="2">
        <f>IF(AND(Games[[#This Row],[Type]]="P",Games[[#This Row],[Round]]=1),IF(Games[[#This Row],[Result]]&lt;0.5,1,0),0)</f>
        <v>0</v>
      </c>
      <c r="AG128" s="2">
        <f>IF(AND(Games[[#This Row],[Type]]="P",Games[[#This Row],[Round]]=2),IF(Games[[#This Row],[Result]]&gt;0.5,1,0),0)</f>
        <v>0</v>
      </c>
      <c r="AH128" s="2">
        <f>IF(AND(Games[[#This Row],[Type]]="P",Games[[#This Row],[Round]]=2),IF(Games[[#This Row],[Result]]&lt;0.5,1,0),0)</f>
        <v>0</v>
      </c>
      <c r="AI128" s="2">
        <f>IF(AND(Games[[#This Row],[Type]]="P",Games[[#This Row],[Round]]=3),IF(Games[[#This Row],[Result]]&gt;0.5,1,0),0)</f>
        <v>0</v>
      </c>
      <c r="AJ128" s="2">
        <f>IF(AND(Games[[#This Row],[Type]]="P",Games[[#This Row],[Round]]=3),IF(Games[[#This Row],[Result]]&lt;0.5,1,0),0)</f>
        <v>0</v>
      </c>
      <c r="AK128" s="2">
        <f>IF(AND(Games[[#This Row],[Type]]="P",Games[[#This Row],[Round]]=4),IF(Games[[#This Row],[Result]]&gt;0.5,1,0),0)</f>
        <v>0</v>
      </c>
      <c r="AL128" s="2">
        <f>IF(AND(Games[[#This Row],[Type]]="P",Games[[#This Row],[Round]]=4),IF(Games[[#This Row],[Result]]&lt;0.5,1,0),0)</f>
        <v>0</v>
      </c>
    </row>
    <row r="129" spans="1:38" x14ac:dyDescent="0.35">
      <c r="A129" s="10">
        <v>37792</v>
      </c>
      <c r="B129" s="2">
        <v>2003</v>
      </c>
      <c r="C129" s="2">
        <f>COUNTIFS(Games[Team],Games[[#This Row],[Team]],Games[Season],Games[[#This Row],[Season]],Games[Date],"&lt;=" &amp; Games[[#This Row],[Date]])</f>
        <v>8</v>
      </c>
      <c r="D129" s="2" t="s">
        <v>23</v>
      </c>
      <c r="E129" s="2" t="s">
        <v>29</v>
      </c>
      <c r="F129" s="1" t="s">
        <v>80</v>
      </c>
      <c r="G129" s="1" t="s">
        <v>87</v>
      </c>
      <c r="H129" s="1" t="s">
        <v>15</v>
      </c>
      <c r="I129" s="2" cm="1">
        <f t="array" ref="I129">IFERROR(
    Games[[#This Row],[Date]]
    - LOOKUP(
        2,
        1/((Games[Team]=Games[[#This Row],[Team]]) * (Games[Date] &lt; Games[[#This Row],[Date]])),
        Games[Date]
    )
    - 1,
Games[[#This Row],[Date]]-$A$2)</f>
        <v>2</v>
      </c>
      <c r="J129" s="2" cm="1">
        <f t="array" ref="J12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29" s="2">
        <f>Games[[#This Row],[DaysOff]]-Games[[#This Row],[OppDaysOff]]</f>
        <v>1</v>
      </c>
      <c r="L129" s="2">
        <f>Games[[#This Row],[OppDaysOff]]-Games[[#This Row],[DaysOff]]</f>
        <v>-1</v>
      </c>
      <c r="M129" s="1">
        <f>MAX(-16, MIN(16, Games[[#This Row],[RestDiff]]*8))</f>
        <v>8</v>
      </c>
      <c r="N129" s="1">
        <f>MAX(-16, MIN(16, Games[[#This Row],[OppRestDiff]]*8))</f>
        <v>-8</v>
      </c>
      <c r="O129" s="4" cm="1">
        <f t="array" ref="O12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1519.32927210357</v>
      </c>
      <c r="P129" s="4" cm="1">
        <f t="array" ref="P12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1525.6867931486456</v>
      </c>
      <c r="Q129" s="4">
        <f>1/(1+10^(((Games[[#This Row],[OppPreGmRate]]+IF(Games[[#This Row],[HomeAway]]="A",HCA,0)+Games[[#This Row],[OppRestAdj]])-(Games[[#This Row],[PreGmRate]]+IF(Games[[#This Row],[HomeAway]]="H",HCA,0)+Games[[#This Row],[RestAdj]]))/400))</f>
        <v>0.6315912656263909</v>
      </c>
      <c r="R129" s="1">
        <v>84</v>
      </c>
      <c r="S129" s="1">
        <v>74</v>
      </c>
      <c r="T129" s="1">
        <v>0</v>
      </c>
      <c r="U129" s="1">
        <f>Games[[#This Row],[PointsFor]]-Games[[#This Row],[PointsAgainst]]</f>
        <v>10</v>
      </c>
      <c r="V129" s="1">
        <f>IF(Games[[#This Row],[MOV]]&gt;0,1,IF(Games[[#This Row],[MOV]]=0,0.5,0))</f>
        <v>1</v>
      </c>
      <c r="W129" s="4">
        <f>((ABS(Games[[#This Row],[MOV]])+5)^0.6)/(12+0.01*(ABS(Games[[#This Row],[PreGmRate]]-Games[[#This Row],[OppPreGmRate]])))*IF(Games[[#This Row],[OT]]=1,0.9,1)</f>
        <v>0.42089979988591497</v>
      </c>
      <c r="X129" s="7" cm="1">
        <f t="array" ref="X12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9" s="9">
        <f>MAX(kmin, kmax - 0.15 * MIN(Games[[#This Row],[GamesPlayed]], 82))</f>
        <v>74.8</v>
      </c>
      <c r="Z129" s="4">
        <f>Games[[#This Row],[K]]*Games[[#This Row],[POMult]]</f>
        <v>74.8</v>
      </c>
      <c r="AA129" s="4">
        <f>(Games[[#This Row],[Keff]]*Games[[#This Row],[MOVMult]])*(Games[[#This Row],[Result]]-Games[[#This Row],[ExpectedWin%]])</f>
        <v>11.59872456054083</v>
      </c>
      <c r="AB129" s="4">
        <f>Games[[#This Row],[PreGmRate]]+Games[[#This Row],[RatingChange]]</f>
        <v>1530.9279966641109</v>
      </c>
      <c r="AC129" s="2">
        <f>IF(Games[[#This Row],[Type]]="R",IF(Games[[#This Row],[Result]]&gt;0.5,1,0),0)</f>
        <v>1</v>
      </c>
      <c r="AD129" s="2">
        <f>IF(Games[[#This Row],[Type]]="R",IF(Games[[#This Row],[Result]]&lt;0.5,1,0),0)</f>
        <v>0</v>
      </c>
      <c r="AE129" s="2">
        <f>IF(AND(Games[[#This Row],[Type]]="P",Games[[#This Row],[Round]]=1),IF(Games[[#This Row],[Result]]&gt;0.5,1,0),0)</f>
        <v>0</v>
      </c>
      <c r="AF129" s="2">
        <f>IF(AND(Games[[#This Row],[Type]]="P",Games[[#This Row],[Round]]=1),IF(Games[[#This Row],[Result]]&lt;0.5,1,0),0)</f>
        <v>0</v>
      </c>
      <c r="AG129" s="2">
        <f>IF(AND(Games[[#This Row],[Type]]="P",Games[[#This Row],[Round]]=2),IF(Games[[#This Row],[Result]]&gt;0.5,1,0),0)</f>
        <v>0</v>
      </c>
      <c r="AH129" s="2">
        <f>IF(AND(Games[[#This Row],[Type]]="P",Games[[#This Row],[Round]]=2),IF(Games[[#This Row],[Result]]&lt;0.5,1,0),0)</f>
        <v>0</v>
      </c>
      <c r="AI129" s="2">
        <f>IF(AND(Games[[#This Row],[Type]]="P",Games[[#This Row],[Round]]=3),IF(Games[[#This Row],[Result]]&gt;0.5,1,0),0)</f>
        <v>0</v>
      </c>
      <c r="AJ129" s="2">
        <f>IF(AND(Games[[#This Row],[Type]]="P",Games[[#This Row],[Round]]=3),IF(Games[[#This Row],[Result]]&lt;0.5,1,0),0)</f>
        <v>0</v>
      </c>
      <c r="AK129" s="2">
        <f>IF(AND(Games[[#This Row],[Type]]="P",Games[[#This Row],[Round]]=4),IF(Games[[#This Row],[Result]]&gt;0.5,1,0),0)</f>
        <v>0</v>
      </c>
      <c r="AL129" s="2">
        <f>IF(AND(Games[[#This Row],[Type]]="P",Games[[#This Row],[Round]]=4),IF(Games[[#This Row],[Result]]&lt;0.5,1,0),0)</f>
        <v>0</v>
      </c>
    </row>
    <row r="130" spans="1:38" x14ac:dyDescent="0.35">
      <c r="A130" s="10">
        <v>37792</v>
      </c>
      <c r="B130" s="2">
        <v>2003</v>
      </c>
      <c r="C130" s="2">
        <f>COUNTIFS(Games[Team],Games[[#This Row],[Team]],Games[Season],Games[[#This Row],[Season]],Games[Date],"&lt;=" &amp; Games[[#This Row],[Date]])</f>
        <v>11</v>
      </c>
      <c r="D130" s="2" t="s">
        <v>23</v>
      </c>
      <c r="E130" s="2" t="s">
        <v>29</v>
      </c>
      <c r="F130" s="1" t="s">
        <v>2</v>
      </c>
      <c r="G130" s="1" t="s">
        <v>85</v>
      </c>
      <c r="H130" s="1" t="s">
        <v>16</v>
      </c>
      <c r="I130" s="2" cm="1">
        <f t="array" ref="I130">IFERROR(
    Games[[#This Row],[Date]]
    - LOOKUP(
        2,
        1/((Games[Team]=Games[[#This Row],[Team]]) * (Games[Date] &lt; Games[[#This Row],[Date]])),
        Games[Date]
    )
    - 1,
Games[[#This Row],[Date]]-$A$2)</f>
        <v>2</v>
      </c>
      <c r="J130" s="2" cm="1">
        <f t="array" ref="J130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130" s="2">
        <f>Games[[#This Row],[DaysOff]]-Games[[#This Row],[OppDaysOff]]</f>
        <v>-3</v>
      </c>
      <c r="L130" s="2">
        <f>Games[[#This Row],[OppDaysOff]]-Games[[#This Row],[DaysOff]]</f>
        <v>3</v>
      </c>
      <c r="M130" s="1">
        <f>MAX(-16, MIN(16, Games[[#This Row],[RestDiff]]*8))</f>
        <v>-16</v>
      </c>
      <c r="N130" s="1">
        <f>MAX(-16, MIN(16, Games[[#This Row],[OppRestDiff]]*8))</f>
        <v>16</v>
      </c>
      <c r="O130" s="4" cm="1">
        <f t="array" ref="O13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1539.703293098758</v>
      </c>
      <c r="P130" s="4" cm="1">
        <f t="array" ref="P13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1460.7960511552581</v>
      </c>
      <c r="Q130" s="4">
        <f>1/(1+10^(((Games[[#This Row],[OppPreGmRate]]+IF(Games[[#This Row],[HomeAway]]="A",HCA,0)+Games[[#This Row],[OppRestAdj]])-(Games[[#This Row],[PreGmRate]]+IF(Games[[#This Row],[HomeAway]]="H",HCA,0)+Games[[#This Row],[RestAdj]]))/400))</f>
        <v>0.4468211215425052</v>
      </c>
      <c r="R130" s="1">
        <v>69</v>
      </c>
      <c r="S130" s="1">
        <v>76</v>
      </c>
      <c r="T130" s="1">
        <v>0</v>
      </c>
      <c r="U130" s="1">
        <f>Games[[#This Row],[PointsFor]]-Games[[#This Row],[PointsAgainst]]</f>
        <v>-7</v>
      </c>
      <c r="V130" s="1">
        <f>IF(Games[[#This Row],[MOV]]&gt;0,1,IF(Games[[#This Row],[MOV]]=0,0.5,0))</f>
        <v>0</v>
      </c>
      <c r="W130" s="4">
        <f>((ABS(Games[[#This Row],[MOV]])+5)^0.6)/(12+0.01*(ABS(Games[[#This Row],[PreGmRate]]-Games[[#This Row],[OppPreGmRate]])))*IF(Games[[#This Row],[OT]]=1,0.9,1)</f>
        <v>0.34727194625128638</v>
      </c>
      <c r="X130" s="7" cm="1">
        <f t="array" ref="X13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0" s="9">
        <f>MAX(kmin, kmax - 0.15 * MIN(Games[[#This Row],[GamesPlayed]], 82))</f>
        <v>74.349999999999994</v>
      </c>
      <c r="Z130" s="4">
        <f>Games[[#This Row],[K]]*Games[[#This Row],[POMult]]</f>
        <v>74.349999999999994</v>
      </c>
      <c r="AA130" s="4">
        <f>(Games[[#This Row],[Keff]]*Games[[#This Row],[MOVMult]])*(Games[[#This Row],[Result]]-Games[[#This Row],[ExpectedWin%]])</f>
        <v>-11.536773551490864</v>
      </c>
      <c r="AB130" s="4">
        <f>Games[[#This Row],[PreGmRate]]+Games[[#This Row],[RatingChange]]</f>
        <v>1528.1665195472672</v>
      </c>
      <c r="AC130" s="2">
        <f>IF(Games[[#This Row],[Type]]="R",IF(Games[[#This Row],[Result]]&gt;0.5,1,0),0)</f>
        <v>0</v>
      </c>
      <c r="AD130" s="2">
        <f>IF(Games[[#This Row],[Type]]="R",IF(Games[[#This Row],[Result]]&lt;0.5,1,0),0)</f>
        <v>1</v>
      </c>
      <c r="AE130" s="2">
        <f>IF(AND(Games[[#This Row],[Type]]="P",Games[[#This Row],[Round]]=1),IF(Games[[#This Row],[Result]]&gt;0.5,1,0),0)</f>
        <v>0</v>
      </c>
      <c r="AF130" s="2">
        <f>IF(AND(Games[[#This Row],[Type]]="P",Games[[#This Row],[Round]]=1),IF(Games[[#This Row],[Result]]&lt;0.5,1,0),0)</f>
        <v>0</v>
      </c>
      <c r="AG130" s="2">
        <f>IF(AND(Games[[#This Row],[Type]]="P",Games[[#This Row],[Round]]=2),IF(Games[[#This Row],[Result]]&gt;0.5,1,0),0)</f>
        <v>0</v>
      </c>
      <c r="AH130" s="2">
        <f>IF(AND(Games[[#This Row],[Type]]="P",Games[[#This Row],[Round]]=2),IF(Games[[#This Row],[Result]]&lt;0.5,1,0),0)</f>
        <v>0</v>
      </c>
      <c r="AI130" s="2">
        <f>IF(AND(Games[[#This Row],[Type]]="P",Games[[#This Row],[Round]]=3),IF(Games[[#This Row],[Result]]&gt;0.5,1,0),0)</f>
        <v>0</v>
      </c>
      <c r="AJ130" s="2">
        <f>IF(AND(Games[[#This Row],[Type]]="P",Games[[#This Row],[Round]]=3),IF(Games[[#This Row],[Result]]&lt;0.5,1,0),0)</f>
        <v>0</v>
      </c>
      <c r="AK130" s="2">
        <f>IF(AND(Games[[#This Row],[Type]]="P",Games[[#This Row],[Round]]=4),IF(Games[[#This Row],[Result]]&gt;0.5,1,0),0)</f>
        <v>0</v>
      </c>
      <c r="AL130" s="2">
        <f>IF(AND(Games[[#This Row],[Type]]="P",Games[[#This Row],[Round]]=4),IF(Games[[#This Row],[Result]]&lt;0.5,1,0),0)</f>
        <v>0</v>
      </c>
    </row>
    <row r="131" spans="1:38" x14ac:dyDescent="0.35">
      <c r="A131" s="10">
        <v>37792</v>
      </c>
      <c r="B131" s="2">
        <v>2003</v>
      </c>
      <c r="C131" s="2">
        <f>COUNTIFS(Games[Team],Games[[#This Row],[Team]],Games[Season],Games[[#This Row],[Season]],Games[Date],"&lt;=" &amp; Games[[#This Row],[Date]])</f>
        <v>10</v>
      </c>
      <c r="D131" s="2" t="s">
        <v>23</v>
      </c>
      <c r="E131" s="2" t="s">
        <v>29</v>
      </c>
      <c r="F131" s="1" t="s">
        <v>85</v>
      </c>
      <c r="G131" s="1" t="s">
        <v>2</v>
      </c>
      <c r="H131" s="1" t="s">
        <v>15</v>
      </c>
      <c r="I131" s="2" cm="1">
        <f t="array" ref="I131">IFERROR(
    Games[[#This Row],[Date]]
    - LOOKUP(
        2,
        1/((Games[Team]=Games[[#This Row],[Team]]) * (Games[Date] &lt; Games[[#This Row],[Date]])),
        Games[Date]
    )
    - 1,
Games[[#This Row],[Date]]-$A$2)</f>
        <v>5</v>
      </c>
      <c r="J131" s="2" cm="1">
        <f t="array" ref="J13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31" s="2">
        <f>Games[[#This Row],[DaysOff]]-Games[[#This Row],[OppDaysOff]]</f>
        <v>3</v>
      </c>
      <c r="L131" s="2">
        <f>Games[[#This Row],[OppDaysOff]]-Games[[#This Row],[DaysOff]]</f>
        <v>-3</v>
      </c>
      <c r="M131" s="1">
        <f>MAX(-16, MIN(16, Games[[#This Row],[RestDiff]]*8))</f>
        <v>16</v>
      </c>
      <c r="N131" s="1">
        <f>MAX(-16, MIN(16, Games[[#This Row],[OppRestDiff]]*8))</f>
        <v>-16</v>
      </c>
      <c r="O131" s="4" cm="1">
        <f t="array" ref="O13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1460.7960511552581</v>
      </c>
      <c r="P131" s="4" cm="1">
        <f t="array" ref="P13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1539.703293098758</v>
      </c>
      <c r="Q131" s="4">
        <f>1/(1+10^(((Games[[#This Row],[OppPreGmRate]]+IF(Games[[#This Row],[HomeAway]]="A",HCA,0)+Games[[#This Row],[OppRestAdj]])-(Games[[#This Row],[PreGmRate]]+IF(Games[[#This Row],[HomeAway]]="H",HCA,0)+Games[[#This Row],[RestAdj]]))/400))</f>
        <v>0.5531788784574948</v>
      </c>
      <c r="R131" s="1">
        <v>76</v>
      </c>
      <c r="S131" s="1">
        <v>69</v>
      </c>
      <c r="T131" s="1">
        <v>0</v>
      </c>
      <c r="U131" s="1">
        <f>Games[[#This Row],[PointsFor]]-Games[[#This Row],[PointsAgainst]]</f>
        <v>7</v>
      </c>
      <c r="V131" s="1">
        <f>IF(Games[[#This Row],[MOV]]&gt;0,1,IF(Games[[#This Row],[MOV]]=0,0.5,0))</f>
        <v>1</v>
      </c>
      <c r="W131" s="4">
        <f>((ABS(Games[[#This Row],[MOV]])+5)^0.6)/(12+0.01*(ABS(Games[[#This Row],[PreGmRate]]-Games[[#This Row],[OppPreGmRate]])))*IF(Games[[#This Row],[OT]]=1,0.9,1)</f>
        <v>0.34727194625128638</v>
      </c>
      <c r="X131" s="7" cm="1">
        <f t="array" ref="X13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1" s="9">
        <f>MAX(kmin, kmax - 0.15 * MIN(Games[[#This Row],[GamesPlayed]], 82))</f>
        <v>74.5</v>
      </c>
      <c r="Z131" s="4">
        <f>Games[[#This Row],[K]]*Games[[#This Row],[POMult]]</f>
        <v>74.5</v>
      </c>
      <c r="AA131" s="4">
        <f>(Games[[#This Row],[Keff]]*Games[[#This Row],[MOVMult]])*(Games[[#This Row],[Result]]-Games[[#This Row],[ExpectedWin%]])</f>
        <v>11.560048817566503</v>
      </c>
      <c r="AB131" s="4">
        <f>Games[[#This Row],[PreGmRate]]+Games[[#This Row],[RatingChange]]</f>
        <v>1472.3560999728245</v>
      </c>
      <c r="AC131" s="2">
        <f>IF(Games[[#This Row],[Type]]="R",IF(Games[[#This Row],[Result]]&gt;0.5,1,0),0)</f>
        <v>1</v>
      </c>
      <c r="AD131" s="2">
        <f>IF(Games[[#This Row],[Type]]="R",IF(Games[[#This Row],[Result]]&lt;0.5,1,0),0)</f>
        <v>0</v>
      </c>
      <c r="AE131" s="2">
        <f>IF(AND(Games[[#This Row],[Type]]="P",Games[[#This Row],[Round]]=1),IF(Games[[#This Row],[Result]]&gt;0.5,1,0),0)</f>
        <v>0</v>
      </c>
      <c r="AF131" s="2">
        <f>IF(AND(Games[[#This Row],[Type]]="P",Games[[#This Row],[Round]]=1),IF(Games[[#This Row],[Result]]&lt;0.5,1,0),0)</f>
        <v>0</v>
      </c>
      <c r="AG131" s="2">
        <f>IF(AND(Games[[#This Row],[Type]]="P",Games[[#This Row],[Round]]=2),IF(Games[[#This Row],[Result]]&gt;0.5,1,0),0)</f>
        <v>0</v>
      </c>
      <c r="AH131" s="2">
        <f>IF(AND(Games[[#This Row],[Type]]="P",Games[[#This Row],[Round]]=2),IF(Games[[#This Row],[Result]]&lt;0.5,1,0),0)</f>
        <v>0</v>
      </c>
      <c r="AI131" s="2">
        <f>IF(AND(Games[[#This Row],[Type]]="P",Games[[#This Row],[Round]]=3),IF(Games[[#This Row],[Result]]&gt;0.5,1,0),0)</f>
        <v>0</v>
      </c>
      <c r="AJ131" s="2">
        <f>IF(AND(Games[[#This Row],[Type]]="P",Games[[#This Row],[Round]]=3),IF(Games[[#This Row],[Result]]&lt;0.5,1,0),0)</f>
        <v>0</v>
      </c>
      <c r="AK131" s="2">
        <f>IF(AND(Games[[#This Row],[Type]]="P",Games[[#This Row],[Round]]=4),IF(Games[[#This Row],[Result]]&gt;0.5,1,0),0)</f>
        <v>0</v>
      </c>
      <c r="AL131" s="2">
        <f>IF(AND(Games[[#This Row],[Type]]="P",Games[[#This Row],[Round]]=4),IF(Games[[#This Row],[Result]]&lt;0.5,1,0),0)</f>
        <v>0</v>
      </c>
    </row>
    <row r="132" spans="1:38" x14ac:dyDescent="0.35">
      <c r="A132" s="10">
        <v>37793</v>
      </c>
      <c r="B132" s="2">
        <v>2003</v>
      </c>
      <c r="C132" s="2">
        <f>COUNTIFS(Games[Team],Games[[#This Row],[Team]],Games[Season],Games[[#This Row],[Season]],Games[Date],"&lt;=" &amp; Games[[#This Row],[Date]])</f>
        <v>9</v>
      </c>
      <c r="D132" s="2" t="s">
        <v>23</v>
      </c>
      <c r="E132" s="2" t="s">
        <v>29</v>
      </c>
      <c r="F132" s="1" t="s">
        <v>1</v>
      </c>
      <c r="G132" s="1" t="s">
        <v>2</v>
      </c>
      <c r="H132" s="1" t="s">
        <v>16</v>
      </c>
      <c r="I132" s="2" cm="1">
        <f t="array" ref="I132">IFERROR(
    Games[[#This Row],[Date]]
    - LOOKUP(
        2,
        1/((Games[Team]=Games[[#This Row],[Team]]) * (Games[Date] &lt; Games[[#This Row],[Date]])),
        Games[Date]
    )
    - 1,
Games[[#This Row],[Date]]-$A$2)</f>
        <v>0</v>
      </c>
      <c r="J132" s="2" cm="1">
        <f t="array" ref="J132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32" s="2">
        <f>Games[[#This Row],[DaysOff]]-Games[[#This Row],[OppDaysOff]]</f>
        <v>0</v>
      </c>
      <c r="L132" s="2">
        <f>Games[[#This Row],[OppDaysOff]]-Games[[#This Row],[DaysOff]]</f>
        <v>0</v>
      </c>
      <c r="M132" s="1">
        <f>MAX(-16, MIN(16, Games[[#This Row],[RestDiff]]*8))</f>
        <v>0</v>
      </c>
      <c r="N132" s="1">
        <f>MAX(-16, MIN(16, Games[[#This Row],[OppRestDiff]]*8))</f>
        <v>0</v>
      </c>
      <c r="O132" s="4" cm="1">
        <f t="array" ref="O13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1500.6283877402445</v>
      </c>
      <c r="P132" s="4" cm="1">
        <f t="array" ref="P13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1528.1665195472672</v>
      </c>
      <c r="Q132" s="4">
        <f>1/(1+10^(((Games[[#This Row],[OppPreGmRate]]+IF(Games[[#This Row],[HomeAway]]="A",HCA,0)+Games[[#This Row],[OppRestAdj]])-(Games[[#This Row],[PreGmRate]]+IF(Games[[#This Row],[HomeAway]]="H",HCA,0)+Games[[#This Row],[RestAdj]]))/400))</f>
        <v>0.34477987024787865</v>
      </c>
      <c r="R132" s="1">
        <v>62</v>
      </c>
      <c r="S132" s="1">
        <v>63</v>
      </c>
      <c r="T132" s="1">
        <v>0</v>
      </c>
      <c r="U132" s="1">
        <f>Games[[#This Row],[PointsFor]]-Games[[#This Row],[PointsAgainst]]</f>
        <v>-1</v>
      </c>
      <c r="V132" s="1">
        <f>IF(Games[[#This Row],[MOV]]&gt;0,1,IF(Games[[#This Row],[MOV]]=0,0.5,0))</f>
        <v>0</v>
      </c>
      <c r="W132" s="4">
        <f>((ABS(Games[[#This Row],[MOV]])+5)^0.6)/(12+0.01*(ABS(Games[[#This Row],[PreGmRate]]-Games[[#This Row],[OppPreGmRate]])))*IF(Games[[#This Row],[OT]]=1,0.9,1)</f>
        <v>0.23870183545908469</v>
      </c>
      <c r="X132" s="7" cm="1">
        <f t="array" ref="X13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2" s="9">
        <f>MAX(kmin, kmax - 0.15 * MIN(Games[[#This Row],[GamesPlayed]], 82))</f>
        <v>74.650000000000006</v>
      </c>
      <c r="Z132" s="4">
        <f>Games[[#This Row],[K]]*Games[[#This Row],[POMult]]</f>
        <v>74.650000000000006</v>
      </c>
      <c r="AA132" s="4">
        <f>(Games[[#This Row],[Keff]]*Games[[#This Row],[MOVMult]])*(Games[[#This Row],[Result]]-Games[[#This Row],[ExpectedWin%]])</f>
        <v>-6.1436642335633973</v>
      </c>
      <c r="AB132" s="4">
        <f>Games[[#This Row],[PreGmRate]]+Games[[#This Row],[RatingChange]]</f>
        <v>1494.4847235066811</v>
      </c>
      <c r="AC132" s="2">
        <f>IF(Games[[#This Row],[Type]]="R",IF(Games[[#This Row],[Result]]&gt;0.5,1,0),0)</f>
        <v>0</v>
      </c>
      <c r="AD132" s="2">
        <f>IF(Games[[#This Row],[Type]]="R",IF(Games[[#This Row],[Result]]&lt;0.5,1,0),0)</f>
        <v>1</v>
      </c>
      <c r="AE132" s="2">
        <f>IF(AND(Games[[#This Row],[Type]]="P",Games[[#This Row],[Round]]=1),IF(Games[[#This Row],[Result]]&gt;0.5,1,0),0)</f>
        <v>0</v>
      </c>
      <c r="AF132" s="2">
        <f>IF(AND(Games[[#This Row],[Type]]="P",Games[[#This Row],[Round]]=1),IF(Games[[#This Row],[Result]]&lt;0.5,1,0),0)</f>
        <v>0</v>
      </c>
      <c r="AG132" s="2">
        <f>IF(AND(Games[[#This Row],[Type]]="P",Games[[#This Row],[Round]]=2),IF(Games[[#This Row],[Result]]&gt;0.5,1,0),0)</f>
        <v>0</v>
      </c>
      <c r="AH132" s="2">
        <f>IF(AND(Games[[#This Row],[Type]]="P",Games[[#This Row],[Round]]=2),IF(Games[[#This Row],[Result]]&lt;0.5,1,0),0)</f>
        <v>0</v>
      </c>
      <c r="AI132" s="2">
        <f>IF(AND(Games[[#This Row],[Type]]="P",Games[[#This Row],[Round]]=3),IF(Games[[#This Row],[Result]]&gt;0.5,1,0),0)</f>
        <v>0</v>
      </c>
      <c r="AJ132" s="2">
        <f>IF(AND(Games[[#This Row],[Type]]="P",Games[[#This Row],[Round]]=3),IF(Games[[#This Row],[Result]]&lt;0.5,1,0),0)</f>
        <v>0</v>
      </c>
      <c r="AK132" s="2">
        <f>IF(AND(Games[[#This Row],[Type]]="P",Games[[#This Row],[Round]]=4),IF(Games[[#This Row],[Result]]&gt;0.5,1,0),0)</f>
        <v>0</v>
      </c>
      <c r="AL132" s="2">
        <f>IF(AND(Games[[#This Row],[Type]]="P",Games[[#This Row],[Round]]=4),IF(Games[[#This Row],[Result]]&lt;0.5,1,0),0)</f>
        <v>0</v>
      </c>
    </row>
    <row r="133" spans="1:38" x14ac:dyDescent="0.35">
      <c r="A133" s="10">
        <v>37793</v>
      </c>
      <c r="B133" s="2">
        <v>2003</v>
      </c>
      <c r="C133" s="2">
        <f>COUNTIFS(Games[Team],Games[[#This Row],[Team]],Games[Season],Games[[#This Row],[Season]],Games[Date],"&lt;=" &amp; Games[[#This Row],[Date]])</f>
        <v>12</v>
      </c>
      <c r="D133" s="2" t="s">
        <v>23</v>
      </c>
      <c r="E133" s="2" t="s">
        <v>29</v>
      </c>
      <c r="F133" s="1" t="s">
        <v>2</v>
      </c>
      <c r="G133" s="1" t="s">
        <v>1</v>
      </c>
      <c r="H133" s="1" t="s">
        <v>15</v>
      </c>
      <c r="I133" s="2" cm="1">
        <f t="array" ref="I133">IFERROR(
    Games[[#This Row],[Date]]
    - LOOKUP(
        2,
        1/((Games[Team]=Games[[#This Row],[Team]]) * (Games[Date] &lt; Games[[#This Row],[Date]])),
        Games[Date]
    )
    - 1,
Games[[#This Row],[Date]]-$A$2)</f>
        <v>0</v>
      </c>
      <c r="J133" s="2" cm="1">
        <f t="array" ref="J133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33" s="2">
        <f>Games[[#This Row],[DaysOff]]-Games[[#This Row],[OppDaysOff]]</f>
        <v>0</v>
      </c>
      <c r="L133" s="2">
        <f>Games[[#This Row],[OppDaysOff]]-Games[[#This Row],[DaysOff]]</f>
        <v>0</v>
      </c>
      <c r="M133" s="1">
        <f>MAX(-16, MIN(16, Games[[#This Row],[RestDiff]]*8))</f>
        <v>0</v>
      </c>
      <c r="N133" s="1">
        <f>MAX(-16, MIN(16, Games[[#This Row],[OppRestDiff]]*8))</f>
        <v>0</v>
      </c>
      <c r="O133" s="4" cm="1">
        <f t="array" ref="O13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1528.1665195472672</v>
      </c>
      <c r="P133" s="4" cm="1">
        <f t="array" ref="P13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1500.6283877402445</v>
      </c>
      <c r="Q133" s="4">
        <f>1/(1+10^(((Games[[#This Row],[OppPreGmRate]]+IF(Games[[#This Row],[HomeAway]]="A",HCA,0)+Games[[#This Row],[OppRestAdj]])-(Games[[#This Row],[PreGmRate]]+IF(Games[[#This Row],[HomeAway]]="H",HCA,0)+Games[[#This Row],[RestAdj]]))/400))</f>
        <v>0.65522012975212141</v>
      </c>
      <c r="R133" s="1">
        <v>63</v>
      </c>
      <c r="S133" s="1">
        <v>62</v>
      </c>
      <c r="T133" s="1">
        <v>0</v>
      </c>
      <c r="U133" s="1">
        <f>Games[[#This Row],[PointsFor]]-Games[[#This Row],[PointsAgainst]]</f>
        <v>1</v>
      </c>
      <c r="V133" s="1">
        <f>IF(Games[[#This Row],[MOV]]&gt;0,1,IF(Games[[#This Row],[MOV]]=0,0.5,0))</f>
        <v>1</v>
      </c>
      <c r="W133" s="4">
        <f>((ABS(Games[[#This Row],[MOV]])+5)^0.6)/(12+0.01*(ABS(Games[[#This Row],[PreGmRate]]-Games[[#This Row],[OppPreGmRate]])))*IF(Games[[#This Row],[OT]]=1,0.9,1)</f>
        <v>0.23870183545908469</v>
      </c>
      <c r="X133" s="7" cm="1">
        <f t="array" ref="X13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3" s="9">
        <f>MAX(kmin, kmax - 0.15 * MIN(Games[[#This Row],[GamesPlayed]], 82))</f>
        <v>74.2</v>
      </c>
      <c r="Z133" s="4">
        <f>Games[[#This Row],[K]]*Games[[#This Row],[POMult]]</f>
        <v>74.2</v>
      </c>
      <c r="AA133" s="4">
        <f>(Games[[#This Row],[Keff]]*Games[[#This Row],[MOVMult]])*(Games[[#This Row],[Result]]-Games[[#This Row],[ExpectedWin%]])</f>
        <v>6.1066294190275165</v>
      </c>
      <c r="AB133" s="4">
        <f>Games[[#This Row],[PreGmRate]]+Games[[#This Row],[RatingChange]]</f>
        <v>1534.2731489662947</v>
      </c>
      <c r="AC133" s="2">
        <f>IF(Games[[#This Row],[Type]]="R",IF(Games[[#This Row],[Result]]&gt;0.5,1,0),0)</f>
        <v>1</v>
      </c>
      <c r="AD133" s="2">
        <f>IF(Games[[#This Row],[Type]]="R",IF(Games[[#This Row],[Result]]&lt;0.5,1,0),0)</f>
        <v>0</v>
      </c>
      <c r="AE133" s="2">
        <f>IF(AND(Games[[#This Row],[Type]]="P",Games[[#This Row],[Round]]=1),IF(Games[[#This Row],[Result]]&gt;0.5,1,0),0)</f>
        <v>0</v>
      </c>
      <c r="AF133" s="2">
        <f>IF(AND(Games[[#This Row],[Type]]="P",Games[[#This Row],[Round]]=1),IF(Games[[#This Row],[Result]]&lt;0.5,1,0),0)</f>
        <v>0</v>
      </c>
      <c r="AG133" s="2">
        <f>IF(AND(Games[[#This Row],[Type]]="P",Games[[#This Row],[Round]]=2),IF(Games[[#This Row],[Result]]&gt;0.5,1,0),0)</f>
        <v>0</v>
      </c>
      <c r="AH133" s="2">
        <f>IF(AND(Games[[#This Row],[Type]]="P",Games[[#This Row],[Round]]=2),IF(Games[[#This Row],[Result]]&lt;0.5,1,0),0)</f>
        <v>0</v>
      </c>
      <c r="AI133" s="2">
        <f>IF(AND(Games[[#This Row],[Type]]="P",Games[[#This Row],[Round]]=3),IF(Games[[#This Row],[Result]]&gt;0.5,1,0),0)</f>
        <v>0</v>
      </c>
      <c r="AJ133" s="2">
        <f>IF(AND(Games[[#This Row],[Type]]="P",Games[[#This Row],[Round]]=3),IF(Games[[#This Row],[Result]]&lt;0.5,1,0),0)</f>
        <v>0</v>
      </c>
      <c r="AK133" s="2">
        <f>IF(AND(Games[[#This Row],[Type]]="P",Games[[#This Row],[Round]]=4),IF(Games[[#This Row],[Result]]&gt;0.5,1,0),0)</f>
        <v>0</v>
      </c>
      <c r="AL133" s="2">
        <f>IF(AND(Games[[#This Row],[Type]]="P",Games[[#This Row],[Round]]=4),IF(Games[[#This Row],[Result]]&lt;0.5,1,0),0)</f>
        <v>0</v>
      </c>
    </row>
    <row r="134" spans="1:38" x14ac:dyDescent="0.35">
      <c r="A134" s="10">
        <v>37793</v>
      </c>
      <c r="B134" s="2">
        <v>2003</v>
      </c>
      <c r="C134" s="2">
        <f>COUNTIFS(Games[Team],Games[[#This Row],[Team]],Games[Season],Games[[#This Row],[Season]],Games[Date],"&lt;=" &amp; Games[[#This Row],[Date]])</f>
        <v>9</v>
      </c>
      <c r="D134" s="2" t="s">
        <v>23</v>
      </c>
      <c r="E134" s="2" t="s">
        <v>29</v>
      </c>
      <c r="F134" s="1" t="s">
        <v>80</v>
      </c>
      <c r="G134" s="1" t="s">
        <v>78</v>
      </c>
      <c r="H134" s="1" t="s">
        <v>16</v>
      </c>
      <c r="I134" s="2" cm="1">
        <f t="array" ref="I134">IFERROR(
    Games[[#This Row],[Date]]
    - LOOKUP(
        2,
        1/((Games[Team]=Games[[#This Row],[Team]]) * (Games[Date] &lt; Games[[#This Row],[Date]])),
        Games[Date]
    )
    - 1,
Games[[#This Row],[Date]]-$A$2)</f>
        <v>0</v>
      </c>
      <c r="J134" s="2" cm="1">
        <f t="array" ref="J134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34" s="2">
        <f>Games[[#This Row],[DaysOff]]-Games[[#This Row],[OppDaysOff]]</f>
        <v>0</v>
      </c>
      <c r="L134" s="2">
        <f>Games[[#This Row],[OppDaysOff]]-Games[[#This Row],[DaysOff]]</f>
        <v>0</v>
      </c>
      <c r="M134" s="1">
        <f>MAX(-16, MIN(16, Games[[#This Row],[RestDiff]]*8))</f>
        <v>0</v>
      </c>
      <c r="N134" s="1">
        <f>MAX(-16, MIN(16, Games[[#This Row],[OppRestDiff]]*8))</f>
        <v>0</v>
      </c>
      <c r="O134" s="4" cm="1">
        <f t="array" ref="O13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1530.9279966641109</v>
      </c>
      <c r="P134" s="4" cm="1">
        <f t="array" ref="P13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1444.2119454239255</v>
      </c>
      <c r="Q134" s="4">
        <f>1/(1+10^(((Games[[#This Row],[OppPreGmRate]]+IF(Games[[#This Row],[HomeAway]]="A",HCA,0)+Games[[#This Row],[OppRestAdj]])-(Games[[#This Row],[PreGmRate]]+IF(Games[[#This Row],[HomeAway]]="H",HCA,0)+Games[[#This Row],[RestAdj]]))/400))</f>
        <v>0.503908632314639</v>
      </c>
      <c r="R134" s="1">
        <v>58</v>
      </c>
      <c r="S134" s="1">
        <v>66</v>
      </c>
      <c r="T134" s="1">
        <v>0</v>
      </c>
      <c r="U134" s="1">
        <f>Games[[#This Row],[PointsFor]]-Games[[#This Row],[PointsAgainst]]</f>
        <v>-8</v>
      </c>
      <c r="V134" s="1">
        <f>IF(Games[[#This Row],[MOV]]&gt;0,1,IF(Games[[#This Row],[MOV]]=0,0.5,0))</f>
        <v>0</v>
      </c>
      <c r="W134" s="4">
        <f>((ABS(Games[[#This Row],[MOV]])+5)^0.6)/(12+0.01*(ABS(Games[[#This Row],[PreGmRate]]-Games[[#This Row],[OppPreGmRate]])))*IF(Games[[#This Row],[OT]]=1,0.9,1)</f>
        <v>0.36214566652407792</v>
      </c>
      <c r="X134" s="7" cm="1">
        <f t="array" ref="X13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4" s="9">
        <f>MAX(kmin, kmax - 0.15 * MIN(Games[[#This Row],[GamesPlayed]], 82))</f>
        <v>74.650000000000006</v>
      </c>
      <c r="Z134" s="4">
        <f>Games[[#This Row],[K]]*Games[[#This Row],[POMult]]</f>
        <v>74.650000000000006</v>
      </c>
      <c r="AA134" s="4">
        <f>(Games[[#This Row],[Keff]]*Games[[#This Row],[MOVMult]])*(Games[[#This Row],[Result]]-Games[[#This Row],[ExpectedWin%]])</f>
        <v>-13.622753649130722</v>
      </c>
      <c r="AB134" s="4">
        <f>Games[[#This Row],[PreGmRate]]+Games[[#This Row],[RatingChange]]</f>
        <v>1517.3052430149801</v>
      </c>
      <c r="AC134" s="2">
        <f>IF(Games[[#This Row],[Type]]="R",IF(Games[[#This Row],[Result]]&gt;0.5,1,0),0)</f>
        <v>0</v>
      </c>
      <c r="AD134" s="2">
        <f>IF(Games[[#This Row],[Type]]="R",IF(Games[[#This Row],[Result]]&lt;0.5,1,0),0)</f>
        <v>1</v>
      </c>
      <c r="AE134" s="2">
        <f>IF(AND(Games[[#This Row],[Type]]="P",Games[[#This Row],[Round]]=1),IF(Games[[#This Row],[Result]]&gt;0.5,1,0),0)</f>
        <v>0</v>
      </c>
      <c r="AF134" s="2">
        <f>IF(AND(Games[[#This Row],[Type]]="P",Games[[#This Row],[Round]]=1),IF(Games[[#This Row],[Result]]&lt;0.5,1,0),0)</f>
        <v>0</v>
      </c>
      <c r="AG134" s="2">
        <f>IF(AND(Games[[#This Row],[Type]]="P",Games[[#This Row],[Round]]=2),IF(Games[[#This Row],[Result]]&gt;0.5,1,0),0)</f>
        <v>0</v>
      </c>
      <c r="AH134" s="2">
        <f>IF(AND(Games[[#This Row],[Type]]="P",Games[[#This Row],[Round]]=2),IF(Games[[#This Row],[Result]]&lt;0.5,1,0),0)</f>
        <v>0</v>
      </c>
      <c r="AI134" s="2">
        <f>IF(AND(Games[[#This Row],[Type]]="P",Games[[#This Row],[Round]]=3),IF(Games[[#This Row],[Result]]&gt;0.5,1,0),0)</f>
        <v>0</v>
      </c>
      <c r="AJ134" s="2">
        <f>IF(AND(Games[[#This Row],[Type]]="P",Games[[#This Row],[Round]]=3),IF(Games[[#This Row],[Result]]&lt;0.5,1,0),0)</f>
        <v>0</v>
      </c>
      <c r="AK134" s="2">
        <f>IF(AND(Games[[#This Row],[Type]]="P",Games[[#This Row],[Round]]=4),IF(Games[[#This Row],[Result]]&gt;0.5,1,0),0)</f>
        <v>0</v>
      </c>
      <c r="AL134" s="2">
        <f>IF(AND(Games[[#This Row],[Type]]="P",Games[[#This Row],[Round]]=4),IF(Games[[#This Row],[Result]]&lt;0.5,1,0),0)</f>
        <v>0</v>
      </c>
    </row>
    <row r="135" spans="1:38" x14ac:dyDescent="0.35">
      <c r="A135" s="10">
        <v>37793</v>
      </c>
      <c r="B135" s="2">
        <v>2003</v>
      </c>
      <c r="C135" s="2">
        <f>COUNTIFS(Games[Team],Games[[#This Row],[Team]],Games[Season],Games[[#This Row],[Season]],Games[Date],"&lt;=" &amp; Games[[#This Row],[Date]])</f>
        <v>11</v>
      </c>
      <c r="D135" s="2" t="s">
        <v>23</v>
      </c>
      <c r="E135" s="2" t="s">
        <v>29</v>
      </c>
      <c r="F135" s="1" t="s">
        <v>78</v>
      </c>
      <c r="G135" s="1" t="s">
        <v>80</v>
      </c>
      <c r="H135" s="1" t="s">
        <v>15</v>
      </c>
      <c r="I135" s="2" cm="1">
        <f t="array" ref="I135">IFERROR(
    Games[[#This Row],[Date]]
    - LOOKUP(
        2,
        1/((Games[Team]=Games[[#This Row],[Team]]) * (Games[Date] &lt; Games[[#This Row],[Date]])),
        Games[Date]
    )
    - 1,
Games[[#This Row],[Date]]-$A$2)</f>
        <v>0</v>
      </c>
      <c r="J135" s="2" cm="1">
        <f t="array" ref="J135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35" s="2">
        <f>Games[[#This Row],[DaysOff]]-Games[[#This Row],[OppDaysOff]]</f>
        <v>0</v>
      </c>
      <c r="L135" s="2">
        <f>Games[[#This Row],[OppDaysOff]]-Games[[#This Row],[DaysOff]]</f>
        <v>0</v>
      </c>
      <c r="M135" s="1">
        <f>MAX(-16, MIN(16, Games[[#This Row],[RestDiff]]*8))</f>
        <v>0</v>
      </c>
      <c r="N135" s="1">
        <f>MAX(-16, MIN(16, Games[[#This Row],[OppRestDiff]]*8))</f>
        <v>0</v>
      </c>
      <c r="O135" s="4" cm="1">
        <f t="array" ref="O13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1444.2119454239255</v>
      </c>
      <c r="P135" s="4" cm="1">
        <f t="array" ref="P13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1530.9279966641109</v>
      </c>
      <c r="Q135" s="4">
        <f>1/(1+10^(((Games[[#This Row],[OppPreGmRate]]+IF(Games[[#This Row],[HomeAway]]="A",HCA,0)+Games[[#This Row],[OppRestAdj]])-(Games[[#This Row],[PreGmRate]]+IF(Games[[#This Row],[HomeAway]]="H",HCA,0)+Games[[#This Row],[RestAdj]]))/400))</f>
        <v>0.49609136768536088</v>
      </c>
      <c r="R135" s="1">
        <v>66</v>
      </c>
      <c r="S135" s="1">
        <v>58</v>
      </c>
      <c r="T135" s="1">
        <v>0</v>
      </c>
      <c r="U135" s="1">
        <f>Games[[#This Row],[PointsFor]]-Games[[#This Row],[PointsAgainst]]</f>
        <v>8</v>
      </c>
      <c r="V135" s="1">
        <f>IF(Games[[#This Row],[MOV]]&gt;0,1,IF(Games[[#This Row],[MOV]]=0,0.5,0))</f>
        <v>1</v>
      </c>
      <c r="W135" s="4">
        <f>((ABS(Games[[#This Row],[MOV]])+5)^0.6)/(12+0.01*(ABS(Games[[#This Row],[PreGmRate]]-Games[[#This Row],[OppPreGmRate]])))*IF(Games[[#This Row],[OT]]=1,0.9,1)</f>
        <v>0.36214566652407792</v>
      </c>
      <c r="X135" s="7" cm="1">
        <f t="array" ref="X13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5" s="9">
        <f>MAX(kmin, kmax - 0.15 * MIN(Games[[#This Row],[GamesPlayed]], 82))</f>
        <v>74.349999999999994</v>
      </c>
      <c r="Z135" s="4">
        <f>Games[[#This Row],[K]]*Games[[#This Row],[POMult]]</f>
        <v>74.349999999999994</v>
      </c>
      <c r="AA135" s="4">
        <f>(Games[[#This Row],[Keff]]*Games[[#This Row],[MOVMult]])*(Games[[#This Row],[Result]]-Games[[#This Row],[ExpectedWin%]])</f>
        <v>13.568007150875676</v>
      </c>
      <c r="AB135" s="4">
        <f>Games[[#This Row],[PreGmRate]]+Games[[#This Row],[RatingChange]]</f>
        <v>1457.7799525748012</v>
      </c>
      <c r="AC135" s="2">
        <f>IF(Games[[#This Row],[Type]]="R",IF(Games[[#This Row],[Result]]&gt;0.5,1,0),0)</f>
        <v>1</v>
      </c>
      <c r="AD135" s="2">
        <f>IF(Games[[#This Row],[Type]]="R",IF(Games[[#This Row],[Result]]&lt;0.5,1,0),0)</f>
        <v>0</v>
      </c>
      <c r="AE135" s="2">
        <f>IF(AND(Games[[#This Row],[Type]]="P",Games[[#This Row],[Round]]=1),IF(Games[[#This Row],[Result]]&gt;0.5,1,0),0)</f>
        <v>0</v>
      </c>
      <c r="AF135" s="2">
        <f>IF(AND(Games[[#This Row],[Type]]="P",Games[[#This Row],[Round]]=1),IF(Games[[#This Row],[Result]]&lt;0.5,1,0),0)</f>
        <v>0</v>
      </c>
      <c r="AG135" s="2">
        <f>IF(AND(Games[[#This Row],[Type]]="P",Games[[#This Row],[Round]]=2),IF(Games[[#This Row],[Result]]&gt;0.5,1,0),0)</f>
        <v>0</v>
      </c>
      <c r="AH135" s="2">
        <f>IF(AND(Games[[#This Row],[Type]]="P",Games[[#This Row],[Round]]=2),IF(Games[[#This Row],[Result]]&lt;0.5,1,0),0)</f>
        <v>0</v>
      </c>
      <c r="AI135" s="2">
        <f>IF(AND(Games[[#This Row],[Type]]="P",Games[[#This Row],[Round]]=3),IF(Games[[#This Row],[Result]]&gt;0.5,1,0),0)</f>
        <v>0</v>
      </c>
      <c r="AJ135" s="2">
        <f>IF(AND(Games[[#This Row],[Type]]="P",Games[[#This Row],[Round]]=3),IF(Games[[#This Row],[Result]]&lt;0.5,1,0),0)</f>
        <v>0</v>
      </c>
      <c r="AK135" s="2">
        <f>IF(AND(Games[[#This Row],[Type]]="P",Games[[#This Row],[Round]]=4),IF(Games[[#This Row],[Result]]&gt;0.5,1,0),0)</f>
        <v>0</v>
      </c>
      <c r="AL135" s="2">
        <f>IF(AND(Games[[#This Row],[Type]]="P",Games[[#This Row],[Round]]=4),IF(Games[[#This Row],[Result]]&lt;0.5,1,0),0)</f>
        <v>0</v>
      </c>
    </row>
    <row r="136" spans="1:38" x14ac:dyDescent="0.35">
      <c r="A136" s="10">
        <v>37793</v>
      </c>
      <c r="B136" s="2">
        <v>2003</v>
      </c>
      <c r="C136" s="2">
        <f>COUNTIFS(Games[Team],Games[[#This Row],[Team]],Games[Season],Games[[#This Row],[Season]],Games[Date],"&lt;=" &amp; Games[[#This Row],[Date]])</f>
        <v>12</v>
      </c>
      <c r="D136" s="2" t="s">
        <v>23</v>
      </c>
      <c r="E136" s="2" t="s">
        <v>29</v>
      </c>
      <c r="F136" s="1" t="s">
        <v>71</v>
      </c>
      <c r="G136" s="1" t="s">
        <v>44</v>
      </c>
      <c r="H136" s="1" t="s">
        <v>16</v>
      </c>
      <c r="I136" s="2" cm="1">
        <f t="array" ref="I136">IFERROR(
    Games[[#This Row],[Date]]
    - LOOKUP(
        2,
        1/((Games[Team]=Games[[#This Row],[Team]]) * (Games[Date] &lt; Games[[#This Row],[Date]])),
        Games[Date]
    )
    - 1,
Games[[#This Row],[Date]]-$A$2)</f>
        <v>1</v>
      </c>
      <c r="J136" s="2" cm="1">
        <f t="array" ref="J136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36" s="2">
        <f>Games[[#This Row],[DaysOff]]-Games[[#This Row],[OppDaysOff]]</f>
        <v>-2</v>
      </c>
      <c r="L136" s="2">
        <f>Games[[#This Row],[OppDaysOff]]-Games[[#This Row],[DaysOff]]</f>
        <v>2</v>
      </c>
      <c r="M136" s="1">
        <f>MAX(-16, MIN(16, Games[[#This Row],[RestDiff]]*8))</f>
        <v>-16</v>
      </c>
      <c r="N136" s="1">
        <f>MAX(-16, MIN(16, Games[[#This Row],[OppRestDiff]]*8))</f>
        <v>16</v>
      </c>
      <c r="O136" s="4" cm="1">
        <f t="array" ref="O13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1666.6539528895498</v>
      </c>
      <c r="P136" s="4" cm="1">
        <f t="array" ref="P13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1387.655648788947</v>
      </c>
      <c r="Q136" s="4">
        <f>1/(1+10^(((Games[[#This Row],[OppPreGmRate]]+IF(Games[[#This Row],[HomeAway]]="A",HCA,0)+Games[[#This Row],[OppRestAdj]])-(Games[[#This Row],[PreGmRate]]+IF(Games[[#This Row],[HomeAway]]="H",HCA,0)+Games[[#This Row],[RestAdj]]))/400))</f>
        <v>0.71875485647353632</v>
      </c>
      <c r="R136" s="1">
        <v>54</v>
      </c>
      <c r="S136" s="1">
        <v>48</v>
      </c>
      <c r="T136" s="1">
        <v>0</v>
      </c>
      <c r="U136" s="1">
        <f>Games[[#This Row],[PointsFor]]-Games[[#This Row],[PointsAgainst]]</f>
        <v>6</v>
      </c>
      <c r="V136" s="1">
        <f>IF(Games[[#This Row],[MOV]]&gt;0,1,IF(Games[[#This Row],[MOV]]=0,0.5,0))</f>
        <v>1</v>
      </c>
      <c r="W136" s="4">
        <f>((ABS(Games[[#This Row],[MOV]])+5)^0.6)/(12+0.01*(ABS(Games[[#This Row],[PreGmRate]]-Games[[#This Row],[OppPreGmRate]])))*IF(Games[[#This Row],[OT]]=1,0.9,1)</f>
        <v>0.28501514311440124</v>
      </c>
      <c r="X136" s="7" cm="1">
        <f t="array" ref="X13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6" s="9">
        <f>MAX(kmin, kmax - 0.15 * MIN(Games[[#This Row],[GamesPlayed]], 82))</f>
        <v>74.2</v>
      </c>
      <c r="Z136" s="4">
        <f>Games[[#This Row],[K]]*Games[[#This Row],[POMult]]</f>
        <v>74.2</v>
      </c>
      <c r="AA136" s="4">
        <f>(Games[[#This Row],[Keff]]*Games[[#This Row],[MOVMult]])*(Games[[#This Row],[Result]]-Games[[#This Row],[ExpectedWin%]])</f>
        <v>5.9478070625659623</v>
      </c>
      <c r="AB136" s="4">
        <f>Games[[#This Row],[PreGmRate]]+Games[[#This Row],[RatingChange]]</f>
        <v>1672.6017599521158</v>
      </c>
      <c r="AC136" s="2">
        <f>IF(Games[[#This Row],[Type]]="R",IF(Games[[#This Row],[Result]]&gt;0.5,1,0),0)</f>
        <v>1</v>
      </c>
      <c r="AD136" s="2">
        <f>IF(Games[[#This Row],[Type]]="R",IF(Games[[#This Row],[Result]]&lt;0.5,1,0),0)</f>
        <v>0</v>
      </c>
      <c r="AE136" s="2">
        <f>IF(AND(Games[[#This Row],[Type]]="P",Games[[#This Row],[Round]]=1),IF(Games[[#This Row],[Result]]&gt;0.5,1,0),0)</f>
        <v>0</v>
      </c>
      <c r="AF136" s="2">
        <f>IF(AND(Games[[#This Row],[Type]]="P",Games[[#This Row],[Round]]=1),IF(Games[[#This Row],[Result]]&lt;0.5,1,0),0)</f>
        <v>0</v>
      </c>
      <c r="AG136" s="2">
        <f>IF(AND(Games[[#This Row],[Type]]="P",Games[[#This Row],[Round]]=2),IF(Games[[#This Row],[Result]]&gt;0.5,1,0),0)</f>
        <v>0</v>
      </c>
      <c r="AH136" s="2">
        <f>IF(AND(Games[[#This Row],[Type]]="P",Games[[#This Row],[Round]]=2),IF(Games[[#This Row],[Result]]&lt;0.5,1,0),0)</f>
        <v>0</v>
      </c>
      <c r="AI136" s="2">
        <f>IF(AND(Games[[#This Row],[Type]]="P",Games[[#This Row],[Round]]=3),IF(Games[[#This Row],[Result]]&gt;0.5,1,0),0)</f>
        <v>0</v>
      </c>
      <c r="AJ136" s="2">
        <f>IF(AND(Games[[#This Row],[Type]]="P",Games[[#This Row],[Round]]=3),IF(Games[[#This Row],[Result]]&lt;0.5,1,0),0)</f>
        <v>0</v>
      </c>
      <c r="AK136" s="2">
        <f>IF(AND(Games[[#This Row],[Type]]="P",Games[[#This Row],[Round]]=4),IF(Games[[#This Row],[Result]]&gt;0.5,1,0),0)</f>
        <v>0</v>
      </c>
      <c r="AL136" s="2">
        <f>IF(AND(Games[[#This Row],[Type]]="P",Games[[#This Row],[Round]]=4),IF(Games[[#This Row],[Result]]&lt;0.5,1,0),0)</f>
        <v>0</v>
      </c>
    </row>
    <row r="137" spans="1:38" x14ac:dyDescent="0.35">
      <c r="A137" s="10">
        <v>37793</v>
      </c>
      <c r="B137" s="2">
        <v>2003</v>
      </c>
      <c r="C137" s="2">
        <f>COUNTIFS(Games[Team],Games[[#This Row],[Team]],Games[Season],Games[[#This Row],[Season]],Games[Date],"&lt;=" &amp; Games[[#This Row],[Date]])</f>
        <v>11</v>
      </c>
      <c r="D137" s="2" t="s">
        <v>23</v>
      </c>
      <c r="E137" s="2" t="s">
        <v>29</v>
      </c>
      <c r="F137" s="1" t="s">
        <v>44</v>
      </c>
      <c r="G137" s="1" t="s">
        <v>71</v>
      </c>
      <c r="H137" s="1" t="s">
        <v>15</v>
      </c>
      <c r="I137" s="2" cm="1">
        <f t="array" ref="I137">IFERROR(
    Games[[#This Row],[Date]]
    - LOOKUP(
        2,
        1/((Games[Team]=Games[[#This Row],[Team]]) * (Games[Date] &lt; Games[[#This Row],[Date]])),
        Games[Date]
    )
    - 1,
Games[[#This Row],[Date]]-$A$2)</f>
        <v>3</v>
      </c>
      <c r="J137" s="2" cm="1">
        <f t="array" ref="J13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37" s="2">
        <f>Games[[#This Row],[DaysOff]]-Games[[#This Row],[OppDaysOff]]</f>
        <v>2</v>
      </c>
      <c r="L137" s="2">
        <f>Games[[#This Row],[OppDaysOff]]-Games[[#This Row],[DaysOff]]</f>
        <v>-2</v>
      </c>
      <c r="M137" s="1">
        <f>MAX(-16, MIN(16, Games[[#This Row],[RestDiff]]*8))</f>
        <v>16</v>
      </c>
      <c r="N137" s="1">
        <f>MAX(-16, MIN(16, Games[[#This Row],[OppRestDiff]]*8))</f>
        <v>-16</v>
      </c>
      <c r="O137" s="4" cm="1">
        <f t="array" ref="O13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1387.655648788947</v>
      </c>
      <c r="P137" s="4" cm="1">
        <f t="array" ref="P13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1666.6539528895498</v>
      </c>
      <c r="Q137" s="4">
        <f>1/(1+10^(((Games[[#This Row],[OppPreGmRate]]+IF(Games[[#This Row],[HomeAway]]="A",HCA,0)+Games[[#This Row],[OppRestAdj]])-(Games[[#This Row],[PreGmRate]]+IF(Games[[#This Row],[HomeAway]]="H",HCA,0)+Games[[#This Row],[RestAdj]]))/400))</f>
        <v>0.28124514352646368</v>
      </c>
      <c r="R137" s="1">
        <v>48</v>
      </c>
      <c r="S137" s="1">
        <v>54</v>
      </c>
      <c r="T137" s="1">
        <v>0</v>
      </c>
      <c r="U137" s="1">
        <f>Games[[#This Row],[PointsFor]]-Games[[#This Row],[PointsAgainst]]</f>
        <v>-6</v>
      </c>
      <c r="V137" s="1">
        <f>IF(Games[[#This Row],[MOV]]&gt;0,1,IF(Games[[#This Row],[MOV]]=0,0.5,0))</f>
        <v>0</v>
      </c>
      <c r="W137" s="4">
        <f>((ABS(Games[[#This Row],[MOV]])+5)^0.6)/(12+0.01*(ABS(Games[[#This Row],[PreGmRate]]-Games[[#This Row],[OppPreGmRate]])))*IF(Games[[#This Row],[OT]]=1,0.9,1)</f>
        <v>0.28501514311440124</v>
      </c>
      <c r="X137" s="7" cm="1">
        <f t="array" ref="X13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7" s="9">
        <f>MAX(kmin, kmax - 0.15 * MIN(Games[[#This Row],[GamesPlayed]], 82))</f>
        <v>74.349999999999994</v>
      </c>
      <c r="Z137" s="4">
        <f>Games[[#This Row],[K]]*Games[[#This Row],[POMult]]</f>
        <v>74.349999999999994</v>
      </c>
      <c r="AA137" s="4">
        <f>(Games[[#This Row],[Keff]]*Games[[#This Row],[MOVMult]])*(Games[[#This Row],[Result]]-Games[[#This Row],[ExpectedWin%]])</f>
        <v>-5.9598309312908251</v>
      </c>
      <c r="AB137" s="4">
        <f>Games[[#This Row],[PreGmRate]]+Games[[#This Row],[RatingChange]]</f>
        <v>1381.6958178576563</v>
      </c>
      <c r="AC137" s="2">
        <f>IF(Games[[#This Row],[Type]]="R",IF(Games[[#This Row],[Result]]&gt;0.5,1,0),0)</f>
        <v>0</v>
      </c>
      <c r="AD137" s="2">
        <f>IF(Games[[#This Row],[Type]]="R",IF(Games[[#This Row],[Result]]&lt;0.5,1,0),0)</f>
        <v>1</v>
      </c>
      <c r="AE137" s="2">
        <f>IF(AND(Games[[#This Row],[Type]]="P",Games[[#This Row],[Round]]=1),IF(Games[[#This Row],[Result]]&gt;0.5,1,0),0)</f>
        <v>0</v>
      </c>
      <c r="AF137" s="2">
        <f>IF(AND(Games[[#This Row],[Type]]="P",Games[[#This Row],[Round]]=1),IF(Games[[#This Row],[Result]]&lt;0.5,1,0),0)</f>
        <v>0</v>
      </c>
      <c r="AG137" s="2">
        <f>IF(AND(Games[[#This Row],[Type]]="P",Games[[#This Row],[Round]]=2),IF(Games[[#This Row],[Result]]&gt;0.5,1,0),0)</f>
        <v>0</v>
      </c>
      <c r="AH137" s="2">
        <f>IF(AND(Games[[#This Row],[Type]]="P",Games[[#This Row],[Round]]=2),IF(Games[[#This Row],[Result]]&lt;0.5,1,0),0)</f>
        <v>0</v>
      </c>
      <c r="AI137" s="2">
        <f>IF(AND(Games[[#This Row],[Type]]="P",Games[[#This Row],[Round]]=3),IF(Games[[#This Row],[Result]]&gt;0.5,1,0),0)</f>
        <v>0</v>
      </c>
      <c r="AJ137" s="2">
        <f>IF(AND(Games[[#This Row],[Type]]="P",Games[[#This Row],[Round]]=3),IF(Games[[#This Row],[Result]]&lt;0.5,1,0),0)</f>
        <v>0</v>
      </c>
      <c r="AK137" s="2">
        <f>IF(AND(Games[[#This Row],[Type]]="P",Games[[#This Row],[Round]]=4),IF(Games[[#This Row],[Result]]&gt;0.5,1,0),0)</f>
        <v>0</v>
      </c>
      <c r="AL137" s="2">
        <f>IF(AND(Games[[#This Row],[Type]]="P",Games[[#This Row],[Round]]=4),IF(Games[[#This Row],[Result]]&lt;0.5,1,0),0)</f>
        <v>0</v>
      </c>
    </row>
    <row r="138" spans="1:38" x14ac:dyDescent="0.35">
      <c r="A138" s="10">
        <v>37793</v>
      </c>
      <c r="B138" s="2">
        <v>2003</v>
      </c>
      <c r="C138" s="2">
        <f>COUNTIFS(Games[Team],Games[[#This Row],[Team]],Games[Season],Games[[#This Row],[Season]],Games[Date],"&lt;=" &amp; Games[[#This Row],[Date]])</f>
        <v>10</v>
      </c>
      <c r="D138" s="2" t="s">
        <v>23</v>
      </c>
      <c r="E138" s="2" t="s">
        <v>29</v>
      </c>
      <c r="F138" s="1" t="s">
        <v>82</v>
      </c>
      <c r="G138" s="1" t="s">
        <v>45</v>
      </c>
      <c r="H138" s="1" t="s">
        <v>16</v>
      </c>
      <c r="I138" s="2" cm="1">
        <f t="array" ref="I138">IFERROR(
    Games[[#This Row],[Date]]
    - LOOKUP(
        2,
        1/((Games[Team]=Games[[#This Row],[Team]]) * (Games[Date] &lt; Games[[#This Row],[Date]])),
        Games[Date]
    )
    - 1,
Games[[#This Row],[Date]]-$A$2)</f>
        <v>1</v>
      </c>
      <c r="J138" s="2" cm="1">
        <f t="array" ref="J13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38" s="2">
        <f>Games[[#This Row],[DaysOff]]-Games[[#This Row],[OppDaysOff]]</f>
        <v>-1</v>
      </c>
      <c r="L138" s="2">
        <f>Games[[#This Row],[OppDaysOff]]-Games[[#This Row],[DaysOff]]</f>
        <v>1</v>
      </c>
      <c r="M138" s="1">
        <f>MAX(-16, MIN(16, Games[[#This Row],[RestDiff]]*8))</f>
        <v>-8</v>
      </c>
      <c r="N138" s="1">
        <f>MAX(-16, MIN(16, Games[[#This Row],[OppRestDiff]]*8))</f>
        <v>8</v>
      </c>
      <c r="O138" s="4" cm="1">
        <f t="array" ref="O13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1525.9887675586785</v>
      </c>
      <c r="P138" s="4" cm="1">
        <f t="array" ref="P13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1482.8423101742792</v>
      </c>
      <c r="Q138" s="4">
        <f>1/(1+10^(((Games[[#This Row],[OppPreGmRate]]+IF(Games[[#This Row],[HomeAway]]="A",HCA,0)+Games[[#This Row],[OppRestAdj]])-(Games[[#This Row],[PreGmRate]]+IF(Games[[#This Row],[HomeAway]]="H",HCA,0)+Games[[#This Row],[RestAdj]]))/400))</f>
        <v>0.41890373212673554</v>
      </c>
      <c r="R138" s="1">
        <v>64</v>
      </c>
      <c r="S138" s="1">
        <v>69</v>
      </c>
      <c r="T138" s="1">
        <v>0</v>
      </c>
      <c r="U138" s="1">
        <f>Games[[#This Row],[PointsFor]]-Games[[#This Row],[PointsAgainst]]</f>
        <v>-5</v>
      </c>
      <c r="V138" s="1">
        <f>IF(Games[[#This Row],[MOV]]&gt;0,1,IF(Games[[#This Row],[MOV]]=0,0.5,0))</f>
        <v>0</v>
      </c>
      <c r="W138" s="4">
        <f>((ABS(Games[[#This Row],[MOV]])+5)^0.6)/(12+0.01*(ABS(Games[[#This Row],[PreGmRate]]-Games[[#This Row],[OppPreGmRate]])))*IF(Games[[#This Row],[OT]]=1,0.9,1)</f>
        <v>0.32024156782871854</v>
      </c>
      <c r="X138" s="7" cm="1">
        <f t="array" ref="X13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8" s="9">
        <f>MAX(kmin, kmax - 0.15 * MIN(Games[[#This Row],[GamesPlayed]], 82))</f>
        <v>74.5</v>
      </c>
      <c r="Z138" s="4">
        <f>Games[[#This Row],[K]]*Games[[#This Row],[POMult]]</f>
        <v>74.5</v>
      </c>
      <c r="AA138" s="4">
        <f>(Games[[#This Row],[Keff]]*Games[[#This Row],[MOVMult]])*(Games[[#This Row],[Result]]-Games[[#This Row],[ExpectedWin%]])</f>
        <v>-9.9942039019447648</v>
      </c>
      <c r="AB138" s="4">
        <f>Games[[#This Row],[PreGmRate]]+Games[[#This Row],[RatingChange]]</f>
        <v>1515.9945636567338</v>
      </c>
      <c r="AC138" s="2">
        <f>IF(Games[[#This Row],[Type]]="R",IF(Games[[#This Row],[Result]]&gt;0.5,1,0),0)</f>
        <v>0</v>
      </c>
      <c r="AD138" s="2">
        <f>IF(Games[[#This Row],[Type]]="R",IF(Games[[#This Row],[Result]]&lt;0.5,1,0),0)</f>
        <v>1</v>
      </c>
      <c r="AE138" s="2">
        <f>IF(AND(Games[[#This Row],[Type]]="P",Games[[#This Row],[Round]]=1),IF(Games[[#This Row],[Result]]&gt;0.5,1,0),0)</f>
        <v>0</v>
      </c>
      <c r="AF138" s="2">
        <f>IF(AND(Games[[#This Row],[Type]]="P",Games[[#This Row],[Round]]=1),IF(Games[[#This Row],[Result]]&lt;0.5,1,0),0)</f>
        <v>0</v>
      </c>
      <c r="AG138" s="2">
        <f>IF(AND(Games[[#This Row],[Type]]="P",Games[[#This Row],[Round]]=2),IF(Games[[#This Row],[Result]]&gt;0.5,1,0),0)</f>
        <v>0</v>
      </c>
      <c r="AH138" s="2">
        <f>IF(AND(Games[[#This Row],[Type]]="P",Games[[#This Row],[Round]]=2),IF(Games[[#This Row],[Result]]&lt;0.5,1,0),0)</f>
        <v>0</v>
      </c>
      <c r="AI138" s="2">
        <f>IF(AND(Games[[#This Row],[Type]]="P",Games[[#This Row],[Round]]=3),IF(Games[[#This Row],[Result]]&gt;0.5,1,0),0)</f>
        <v>0</v>
      </c>
      <c r="AJ138" s="2">
        <f>IF(AND(Games[[#This Row],[Type]]="P",Games[[#This Row],[Round]]=3),IF(Games[[#This Row],[Result]]&lt;0.5,1,0),0)</f>
        <v>0</v>
      </c>
      <c r="AK138" s="2">
        <f>IF(AND(Games[[#This Row],[Type]]="P",Games[[#This Row],[Round]]=4),IF(Games[[#This Row],[Result]]&gt;0.5,1,0),0)</f>
        <v>0</v>
      </c>
      <c r="AL138" s="2">
        <f>IF(AND(Games[[#This Row],[Type]]="P",Games[[#This Row],[Round]]=4),IF(Games[[#This Row],[Result]]&lt;0.5,1,0),0)</f>
        <v>0</v>
      </c>
    </row>
    <row r="139" spans="1:38" x14ac:dyDescent="0.35">
      <c r="A139" s="10">
        <v>37793</v>
      </c>
      <c r="B139" s="2">
        <v>2003</v>
      </c>
      <c r="C139" s="2">
        <f>COUNTIFS(Games[Team],Games[[#This Row],[Team]],Games[Season],Games[[#This Row],[Season]],Games[Date],"&lt;=" &amp; Games[[#This Row],[Date]])</f>
        <v>12</v>
      </c>
      <c r="D139" s="2" t="s">
        <v>23</v>
      </c>
      <c r="E139" s="2" t="s">
        <v>29</v>
      </c>
      <c r="F139" s="1" t="s">
        <v>45</v>
      </c>
      <c r="G139" s="1" t="s">
        <v>82</v>
      </c>
      <c r="H139" s="1" t="s">
        <v>15</v>
      </c>
      <c r="I139" s="2" cm="1">
        <f t="array" ref="I139">IFERROR(
    Games[[#This Row],[Date]]
    - LOOKUP(
        2,
        1/((Games[Team]=Games[[#This Row],[Team]]) * (Games[Date] &lt; Games[[#This Row],[Date]])),
        Games[Date]
    )
    - 1,
Games[[#This Row],[Date]]-$A$2)</f>
        <v>2</v>
      </c>
      <c r="J139" s="2" cm="1">
        <f t="array" ref="J13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39" s="2">
        <f>Games[[#This Row],[DaysOff]]-Games[[#This Row],[OppDaysOff]]</f>
        <v>1</v>
      </c>
      <c r="L139" s="2">
        <f>Games[[#This Row],[OppDaysOff]]-Games[[#This Row],[DaysOff]]</f>
        <v>-1</v>
      </c>
      <c r="M139" s="1">
        <f>MAX(-16, MIN(16, Games[[#This Row],[RestDiff]]*8))</f>
        <v>8</v>
      </c>
      <c r="N139" s="1">
        <f>MAX(-16, MIN(16, Games[[#This Row],[OppRestDiff]]*8))</f>
        <v>-8</v>
      </c>
      <c r="O139" s="4" cm="1">
        <f t="array" ref="O13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1482.8423101742792</v>
      </c>
      <c r="P139" s="4" cm="1">
        <f t="array" ref="P13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1525.9887675586785</v>
      </c>
      <c r="Q139" s="4">
        <f>1/(1+10^(((Games[[#This Row],[OppPreGmRate]]+IF(Games[[#This Row],[HomeAway]]="A",HCA,0)+Games[[#This Row],[OppRestAdj]])-(Games[[#This Row],[PreGmRate]]+IF(Games[[#This Row],[HomeAway]]="H",HCA,0)+Games[[#This Row],[RestAdj]]))/400))</f>
        <v>0.5810962678732644</v>
      </c>
      <c r="R139" s="1">
        <v>69</v>
      </c>
      <c r="S139" s="1">
        <v>64</v>
      </c>
      <c r="T139" s="1">
        <v>0</v>
      </c>
      <c r="U139" s="1">
        <f>Games[[#This Row],[PointsFor]]-Games[[#This Row],[PointsAgainst]]</f>
        <v>5</v>
      </c>
      <c r="V139" s="1">
        <f>IF(Games[[#This Row],[MOV]]&gt;0,1,IF(Games[[#This Row],[MOV]]=0,0.5,0))</f>
        <v>1</v>
      </c>
      <c r="W139" s="4">
        <f>((ABS(Games[[#This Row],[MOV]])+5)^0.6)/(12+0.01*(ABS(Games[[#This Row],[PreGmRate]]-Games[[#This Row],[OppPreGmRate]])))*IF(Games[[#This Row],[OT]]=1,0.9,1)</f>
        <v>0.32024156782871854</v>
      </c>
      <c r="X139" s="7" cm="1">
        <f t="array" ref="X13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9" s="9">
        <f>MAX(kmin, kmax - 0.15 * MIN(Games[[#This Row],[GamesPlayed]], 82))</f>
        <v>74.2</v>
      </c>
      <c r="Z139" s="4">
        <f>Games[[#This Row],[K]]*Games[[#This Row],[POMult]]</f>
        <v>74.2</v>
      </c>
      <c r="AA139" s="4">
        <f>(Games[[#This Row],[Keff]]*Games[[#This Row],[MOVMult]])*(Games[[#This Row],[Result]]-Games[[#This Row],[ExpectedWin%]])</f>
        <v>9.9539587855610971</v>
      </c>
      <c r="AB139" s="4">
        <f>Games[[#This Row],[PreGmRate]]+Games[[#This Row],[RatingChange]]</f>
        <v>1492.7962689598403</v>
      </c>
      <c r="AC139" s="2">
        <f>IF(Games[[#This Row],[Type]]="R",IF(Games[[#This Row],[Result]]&gt;0.5,1,0),0)</f>
        <v>1</v>
      </c>
      <c r="AD139" s="2">
        <f>IF(Games[[#This Row],[Type]]="R",IF(Games[[#This Row],[Result]]&lt;0.5,1,0),0)</f>
        <v>0</v>
      </c>
      <c r="AE139" s="2">
        <f>IF(AND(Games[[#This Row],[Type]]="P",Games[[#This Row],[Round]]=1),IF(Games[[#This Row],[Result]]&gt;0.5,1,0),0)</f>
        <v>0</v>
      </c>
      <c r="AF139" s="2">
        <f>IF(AND(Games[[#This Row],[Type]]="P",Games[[#This Row],[Round]]=1),IF(Games[[#This Row],[Result]]&lt;0.5,1,0),0)</f>
        <v>0</v>
      </c>
      <c r="AG139" s="2">
        <f>IF(AND(Games[[#This Row],[Type]]="P",Games[[#This Row],[Round]]=2),IF(Games[[#This Row],[Result]]&gt;0.5,1,0),0)</f>
        <v>0</v>
      </c>
      <c r="AH139" s="2">
        <f>IF(AND(Games[[#This Row],[Type]]="P",Games[[#This Row],[Round]]=2),IF(Games[[#This Row],[Result]]&lt;0.5,1,0),0)</f>
        <v>0</v>
      </c>
      <c r="AI139" s="2">
        <f>IF(AND(Games[[#This Row],[Type]]="P",Games[[#This Row],[Round]]=3),IF(Games[[#This Row],[Result]]&gt;0.5,1,0),0)</f>
        <v>0</v>
      </c>
      <c r="AJ139" s="2">
        <f>IF(AND(Games[[#This Row],[Type]]="P",Games[[#This Row],[Round]]=3),IF(Games[[#This Row],[Result]]&lt;0.5,1,0),0)</f>
        <v>0</v>
      </c>
      <c r="AK139" s="2">
        <f>IF(AND(Games[[#This Row],[Type]]="P",Games[[#This Row],[Round]]=4),IF(Games[[#This Row],[Result]]&gt;0.5,1,0),0)</f>
        <v>0</v>
      </c>
      <c r="AL139" s="2">
        <f>IF(AND(Games[[#This Row],[Type]]="P",Games[[#This Row],[Round]]=4),IF(Games[[#This Row],[Result]]&lt;0.5,1,0),0)</f>
        <v>0</v>
      </c>
    </row>
    <row r="140" spans="1:38" x14ac:dyDescent="0.35">
      <c r="A140" s="10">
        <v>37794</v>
      </c>
      <c r="B140" s="2">
        <v>2003</v>
      </c>
      <c r="C140" s="2">
        <f>COUNTIFS(Games[Team],Games[[#This Row],[Team]],Games[Season],Games[[#This Row],[Season]],Games[Date],"&lt;=" &amp; Games[[#This Row],[Date]])</f>
        <v>7</v>
      </c>
      <c r="D140" s="2" t="s">
        <v>23</v>
      </c>
      <c r="E140" s="2" t="s">
        <v>29</v>
      </c>
      <c r="F140" s="1" t="s">
        <v>76</v>
      </c>
      <c r="G140" s="1" t="s">
        <v>87</v>
      </c>
      <c r="H140" s="1" t="s">
        <v>16</v>
      </c>
      <c r="I140" s="2" cm="1">
        <f t="array" ref="I140">IFERROR(
    Games[[#This Row],[Date]]
    - LOOKUP(
        2,
        1/((Games[Team]=Games[[#This Row],[Team]]) * (Games[Date] &lt; Games[[#This Row],[Date]])),
        Games[Date]
    )
    - 1,
Games[[#This Row],[Date]]-$A$2)</f>
        <v>1</v>
      </c>
      <c r="J140" s="2" cm="1">
        <f t="array" ref="J14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40" s="2">
        <f>Games[[#This Row],[DaysOff]]-Games[[#This Row],[OppDaysOff]]</f>
        <v>0</v>
      </c>
      <c r="L140" s="2">
        <f>Games[[#This Row],[OppDaysOff]]-Games[[#This Row],[DaysOff]]</f>
        <v>0</v>
      </c>
      <c r="M140" s="1">
        <f>MAX(-16, MIN(16, Games[[#This Row],[RestDiff]]*8))</f>
        <v>0</v>
      </c>
      <c r="N140" s="1">
        <f>MAX(-16, MIN(16, Games[[#This Row],[OppRestDiff]]*8))</f>
        <v>0</v>
      </c>
      <c r="O140" s="4" cm="1">
        <f t="array" ref="O14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1530.3171399002672</v>
      </c>
      <c r="P140" s="4" cm="1">
        <f t="array" ref="P14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1514.1113280624909</v>
      </c>
      <c r="Q140" s="4">
        <f>1/(1+10^(((Games[[#This Row],[OppPreGmRate]]+IF(Games[[#This Row],[HomeAway]]="A",HCA,0)+Games[[#This Row],[OppRestAdj]])-(Games[[#This Row],[PreGmRate]]+IF(Games[[#This Row],[HomeAway]]="H",HCA,0)+Games[[#This Row],[RestAdj]]))/400))</f>
        <v>0.40365598412230724</v>
      </c>
      <c r="R140" s="1">
        <v>82</v>
      </c>
      <c r="S140" s="1">
        <v>73</v>
      </c>
      <c r="T140" s="1">
        <v>1</v>
      </c>
      <c r="U140" s="1">
        <f>Games[[#This Row],[PointsFor]]-Games[[#This Row],[PointsAgainst]]</f>
        <v>9</v>
      </c>
      <c r="V140" s="1">
        <f>IF(Games[[#This Row],[MOV]]&gt;0,1,IF(Games[[#This Row],[MOV]]=0,0.5,0))</f>
        <v>1</v>
      </c>
      <c r="W140" s="4">
        <f>((ABS(Games[[#This Row],[MOV]])+5)^0.6)/(12+0.01*(ABS(Games[[#This Row],[PreGmRate]]-Games[[#This Row],[OppPreGmRate]])))*IF(Games[[#This Row],[OT]]=1,0.9,1)</f>
        <v>0.36050580012974393</v>
      </c>
      <c r="X140" s="7" cm="1">
        <f t="array" ref="X14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0" s="9">
        <f>MAX(kmin, kmax - 0.15 * MIN(Games[[#This Row],[GamesPlayed]], 82))</f>
        <v>74.95</v>
      </c>
      <c r="Z140" s="4">
        <f>Games[[#This Row],[K]]*Games[[#This Row],[POMult]]</f>
        <v>74.95</v>
      </c>
      <c r="AA140" s="4">
        <f>(Games[[#This Row],[Keff]]*Games[[#This Row],[MOVMult]])*(Games[[#This Row],[Result]]-Games[[#This Row],[ExpectedWin%]])</f>
        <v>16.113161470913095</v>
      </c>
      <c r="AB140" s="4">
        <f>Games[[#This Row],[PreGmRate]]+Games[[#This Row],[RatingChange]]</f>
        <v>1546.4303013711803</v>
      </c>
      <c r="AC140" s="2">
        <f>IF(Games[[#This Row],[Type]]="R",IF(Games[[#This Row],[Result]]&gt;0.5,1,0),0)</f>
        <v>1</v>
      </c>
      <c r="AD140" s="2">
        <f>IF(Games[[#This Row],[Type]]="R",IF(Games[[#This Row],[Result]]&lt;0.5,1,0),0)</f>
        <v>0</v>
      </c>
      <c r="AE140" s="2">
        <f>IF(AND(Games[[#This Row],[Type]]="P",Games[[#This Row],[Round]]=1),IF(Games[[#This Row],[Result]]&gt;0.5,1,0),0)</f>
        <v>0</v>
      </c>
      <c r="AF140" s="2">
        <f>IF(AND(Games[[#This Row],[Type]]="P",Games[[#This Row],[Round]]=1),IF(Games[[#This Row],[Result]]&lt;0.5,1,0),0)</f>
        <v>0</v>
      </c>
      <c r="AG140" s="2">
        <f>IF(AND(Games[[#This Row],[Type]]="P",Games[[#This Row],[Round]]=2),IF(Games[[#This Row],[Result]]&gt;0.5,1,0),0)</f>
        <v>0</v>
      </c>
      <c r="AH140" s="2">
        <f>IF(AND(Games[[#This Row],[Type]]="P",Games[[#This Row],[Round]]=2),IF(Games[[#This Row],[Result]]&lt;0.5,1,0),0)</f>
        <v>0</v>
      </c>
      <c r="AI140" s="2">
        <f>IF(AND(Games[[#This Row],[Type]]="P",Games[[#This Row],[Round]]=3),IF(Games[[#This Row],[Result]]&gt;0.5,1,0),0)</f>
        <v>0</v>
      </c>
      <c r="AJ140" s="2">
        <f>IF(AND(Games[[#This Row],[Type]]="P",Games[[#This Row],[Round]]=3),IF(Games[[#This Row],[Result]]&lt;0.5,1,0),0)</f>
        <v>0</v>
      </c>
      <c r="AK140" s="2">
        <f>IF(AND(Games[[#This Row],[Type]]="P",Games[[#This Row],[Round]]=4),IF(Games[[#This Row],[Result]]&gt;0.5,1,0),0)</f>
        <v>0</v>
      </c>
      <c r="AL140" s="2">
        <f>IF(AND(Games[[#This Row],[Type]]="P",Games[[#This Row],[Round]]=4),IF(Games[[#This Row],[Result]]&lt;0.5,1,0),0)</f>
        <v>0</v>
      </c>
    </row>
    <row r="141" spans="1:38" x14ac:dyDescent="0.35">
      <c r="A141" s="10">
        <v>37794</v>
      </c>
      <c r="B141" s="2">
        <v>2003</v>
      </c>
      <c r="C141" s="2">
        <f>COUNTIFS(Games[Team],Games[[#This Row],[Team]],Games[Season],Games[[#This Row],[Season]],Games[Date],"&lt;=" &amp; Games[[#This Row],[Date]])</f>
        <v>10</v>
      </c>
      <c r="D141" s="2" t="s">
        <v>23</v>
      </c>
      <c r="E141" s="2" t="s">
        <v>29</v>
      </c>
      <c r="F141" s="1" t="s">
        <v>87</v>
      </c>
      <c r="G141" s="1" t="s">
        <v>76</v>
      </c>
      <c r="H141" s="1" t="s">
        <v>15</v>
      </c>
      <c r="I141" s="2" cm="1">
        <f t="array" ref="I141">IFERROR(
    Games[[#This Row],[Date]]
    - LOOKUP(
        2,
        1/((Games[Team]=Games[[#This Row],[Team]]) * (Games[Date] &lt; Games[[#This Row],[Date]])),
        Games[Date]
    )
    - 1,
Games[[#This Row],[Date]]-$A$2)</f>
        <v>1</v>
      </c>
      <c r="J141" s="2" cm="1">
        <f t="array" ref="J14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41" s="2">
        <f>Games[[#This Row],[DaysOff]]-Games[[#This Row],[OppDaysOff]]</f>
        <v>0</v>
      </c>
      <c r="L141" s="2">
        <f>Games[[#This Row],[OppDaysOff]]-Games[[#This Row],[DaysOff]]</f>
        <v>0</v>
      </c>
      <c r="M141" s="1">
        <f>MAX(-16, MIN(16, Games[[#This Row],[RestDiff]]*8))</f>
        <v>0</v>
      </c>
      <c r="N141" s="1">
        <f>MAX(-16, MIN(16, Games[[#This Row],[OppRestDiff]]*8))</f>
        <v>0</v>
      </c>
      <c r="O141" s="4" cm="1">
        <f t="array" ref="O14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1514.1113280624909</v>
      </c>
      <c r="P141" s="4" cm="1">
        <f t="array" ref="P14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1530.3171399002672</v>
      </c>
      <c r="Q141" s="4">
        <f>1/(1+10^(((Games[[#This Row],[OppPreGmRate]]+IF(Games[[#This Row],[HomeAway]]="A",HCA,0)+Games[[#This Row],[OppRestAdj]])-(Games[[#This Row],[PreGmRate]]+IF(Games[[#This Row],[HomeAway]]="H",HCA,0)+Games[[#This Row],[RestAdj]]))/400))</f>
        <v>0.5963440158776927</v>
      </c>
      <c r="R141" s="1">
        <v>73</v>
      </c>
      <c r="S141" s="1">
        <v>82</v>
      </c>
      <c r="T141" s="1">
        <v>1</v>
      </c>
      <c r="U141" s="1">
        <f>Games[[#This Row],[PointsFor]]-Games[[#This Row],[PointsAgainst]]</f>
        <v>-9</v>
      </c>
      <c r="V141" s="1">
        <f>IF(Games[[#This Row],[MOV]]&gt;0,1,IF(Games[[#This Row],[MOV]]=0,0.5,0))</f>
        <v>0</v>
      </c>
      <c r="W141" s="4">
        <f>((ABS(Games[[#This Row],[MOV]])+5)^0.6)/(12+0.01*(ABS(Games[[#This Row],[PreGmRate]]-Games[[#This Row],[OppPreGmRate]])))*IF(Games[[#This Row],[OT]]=1,0.9,1)</f>
        <v>0.36050580012974393</v>
      </c>
      <c r="X141" s="7" cm="1">
        <f t="array" ref="X14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1" s="9">
        <f>MAX(kmin, kmax - 0.15 * MIN(Games[[#This Row],[GamesPlayed]], 82))</f>
        <v>74.5</v>
      </c>
      <c r="Z141" s="4">
        <f>Games[[#This Row],[K]]*Games[[#This Row],[POMult]]</f>
        <v>74.5</v>
      </c>
      <c r="AA141" s="4">
        <f>(Games[[#This Row],[Keff]]*Games[[#This Row],[MOVMult]])*(Games[[#This Row],[Result]]-Games[[#This Row],[ExpectedWin%]])</f>
        <v>-16.016418006444638</v>
      </c>
      <c r="AB141" s="4">
        <f>Games[[#This Row],[PreGmRate]]+Games[[#This Row],[RatingChange]]</f>
        <v>1498.0949100560463</v>
      </c>
      <c r="AC141" s="2">
        <f>IF(Games[[#This Row],[Type]]="R",IF(Games[[#This Row],[Result]]&gt;0.5,1,0),0)</f>
        <v>0</v>
      </c>
      <c r="AD141" s="2">
        <f>IF(Games[[#This Row],[Type]]="R",IF(Games[[#This Row],[Result]]&lt;0.5,1,0),0)</f>
        <v>1</v>
      </c>
      <c r="AE141" s="2">
        <f>IF(AND(Games[[#This Row],[Type]]="P",Games[[#This Row],[Round]]=1),IF(Games[[#This Row],[Result]]&gt;0.5,1,0),0)</f>
        <v>0</v>
      </c>
      <c r="AF141" s="2">
        <f>IF(AND(Games[[#This Row],[Type]]="P",Games[[#This Row],[Round]]=1),IF(Games[[#This Row],[Result]]&lt;0.5,1,0),0)</f>
        <v>0</v>
      </c>
      <c r="AG141" s="2">
        <f>IF(AND(Games[[#This Row],[Type]]="P",Games[[#This Row],[Round]]=2),IF(Games[[#This Row],[Result]]&gt;0.5,1,0),0)</f>
        <v>0</v>
      </c>
      <c r="AH141" s="2">
        <f>IF(AND(Games[[#This Row],[Type]]="P",Games[[#This Row],[Round]]=2),IF(Games[[#This Row],[Result]]&lt;0.5,1,0),0)</f>
        <v>0</v>
      </c>
      <c r="AI141" s="2">
        <f>IF(AND(Games[[#This Row],[Type]]="P",Games[[#This Row],[Round]]=3),IF(Games[[#This Row],[Result]]&gt;0.5,1,0),0)</f>
        <v>0</v>
      </c>
      <c r="AJ141" s="2">
        <f>IF(AND(Games[[#This Row],[Type]]="P",Games[[#This Row],[Round]]=3),IF(Games[[#This Row],[Result]]&lt;0.5,1,0),0)</f>
        <v>0</v>
      </c>
      <c r="AK141" s="2">
        <f>IF(AND(Games[[#This Row],[Type]]="P",Games[[#This Row],[Round]]=4),IF(Games[[#This Row],[Result]]&gt;0.5,1,0),0)</f>
        <v>0</v>
      </c>
      <c r="AL141" s="2">
        <f>IF(AND(Games[[#This Row],[Type]]="P",Games[[#This Row],[Round]]=4),IF(Games[[#This Row],[Result]]&lt;0.5,1,0),0)</f>
        <v>0</v>
      </c>
    </row>
    <row r="142" spans="1:38" x14ac:dyDescent="0.35">
      <c r="A142" s="10">
        <v>37794</v>
      </c>
      <c r="B142" s="2">
        <v>2003</v>
      </c>
      <c r="C142" s="2">
        <f>COUNTIFS(Games[Team],Games[[#This Row],[Team]],Games[Season],Games[[#This Row],[Season]],Games[Date],"&lt;=" &amp; Games[[#This Row],[Date]])</f>
        <v>11</v>
      </c>
      <c r="D142" s="2" t="s">
        <v>23</v>
      </c>
      <c r="E142" s="2" t="s">
        <v>29</v>
      </c>
      <c r="F142" s="1" t="s">
        <v>64</v>
      </c>
      <c r="G142" s="1" t="s">
        <v>66</v>
      </c>
      <c r="H142" s="1" t="s">
        <v>16</v>
      </c>
      <c r="I142" s="2" cm="1">
        <f t="array" ref="I142">IFERROR(
    Games[[#This Row],[Date]]
    - LOOKUP(
        2,
        1/((Games[Team]=Games[[#This Row],[Team]]) * (Games[Date] &lt; Games[[#This Row],[Date]])),
        Games[Date]
    )
    - 1,
Games[[#This Row],[Date]]-$A$2)</f>
        <v>1</v>
      </c>
      <c r="J142" s="2" cm="1">
        <f t="array" ref="J14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42" s="2">
        <f>Games[[#This Row],[DaysOff]]-Games[[#This Row],[OppDaysOff]]</f>
        <v>0</v>
      </c>
      <c r="L142" s="2">
        <f>Games[[#This Row],[OppDaysOff]]-Games[[#This Row],[DaysOff]]</f>
        <v>0</v>
      </c>
      <c r="M142" s="1">
        <f>MAX(-16, MIN(16, Games[[#This Row],[RestDiff]]*8))</f>
        <v>0</v>
      </c>
      <c r="N142" s="1">
        <f>MAX(-16, MIN(16, Games[[#This Row],[OppRestDiff]]*8))</f>
        <v>0</v>
      </c>
      <c r="O142" s="4" cm="1">
        <f t="array" ref="O14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1520.4723923263066</v>
      </c>
      <c r="P142" s="4" cm="1">
        <f t="array" ref="P14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1511.3797157429308</v>
      </c>
      <c r="Q142" s="4">
        <f>1/(1+10^(((Games[[#This Row],[OppPreGmRate]]+IF(Games[[#This Row],[HomeAway]]="A",HCA,0)+Games[[#This Row],[OppRestAdj]])-(Games[[#This Row],[PreGmRate]]+IF(Games[[#This Row],[HomeAway]]="H",HCA,0)+Games[[#This Row],[RestAdj]]))/400))</f>
        <v>0.39383952887473156</v>
      </c>
      <c r="R142" s="1">
        <v>57</v>
      </c>
      <c r="S142" s="1">
        <v>69</v>
      </c>
      <c r="T142" s="1">
        <v>0</v>
      </c>
      <c r="U142" s="1">
        <f>Games[[#This Row],[PointsFor]]-Games[[#This Row],[PointsAgainst]]</f>
        <v>-12</v>
      </c>
      <c r="V142" s="1">
        <f>IF(Games[[#This Row],[MOV]]&gt;0,1,IF(Games[[#This Row],[MOV]]=0,0.5,0))</f>
        <v>0</v>
      </c>
      <c r="W142" s="4">
        <f>((ABS(Games[[#This Row],[MOV]])+5)^0.6)/(12+0.01*(ABS(Games[[#This Row],[PreGmRate]]-Games[[#This Row],[OppPreGmRate]])))*IF(Games[[#This Row],[OT]]=1,0.9,1)</f>
        <v>0.45269923661977013</v>
      </c>
      <c r="X142" s="7" cm="1">
        <f t="array" ref="X14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2" s="9">
        <f>MAX(kmin, kmax - 0.15 * MIN(Games[[#This Row],[GamesPlayed]], 82))</f>
        <v>74.349999999999994</v>
      </c>
      <c r="Z142" s="4">
        <f>Games[[#This Row],[K]]*Games[[#This Row],[POMult]]</f>
        <v>74.349999999999994</v>
      </c>
      <c r="AA142" s="4">
        <f>(Games[[#This Row],[Keff]]*Games[[#This Row],[MOVMult]])*(Games[[#This Row],[Result]]-Games[[#This Row],[ExpectedWin%]])</f>
        <v>-13.255925000274082</v>
      </c>
      <c r="AB142" s="4">
        <f>Games[[#This Row],[PreGmRate]]+Games[[#This Row],[RatingChange]]</f>
        <v>1507.2164673260324</v>
      </c>
      <c r="AC142" s="2">
        <f>IF(Games[[#This Row],[Type]]="R",IF(Games[[#This Row],[Result]]&gt;0.5,1,0),0)</f>
        <v>0</v>
      </c>
      <c r="AD142" s="2">
        <f>IF(Games[[#This Row],[Type]]="R",IF(Games[[#This Row],[Result]]&lt;0.5,1,0),0)</f>
        <v>1</v>
      </c>
      <c r="AE142" s="2">
        <f>IF(AND(Games[[#This Row],[Type]]="P",Games[[#This Row],[Round]]=1),IF(Games[[#This Row],[Result]]&gt;0.5,1,0),0)</f>
        <v>0</v>
      </c>
      <c r="AF142" s="2">
        <f>IF(AND(Games[[#This Row],[Type]]="P",Games[[#This Row],[Round]]=1),IF(Games[[#This Row],[Result]]&lt;0.5,1,0),0)</f>
        <v>0</v>
      </c>
      <c r="AG142" s="2">
        <f>IF(AND(Games[[#This Row],[Type]]="P",Games[[#This Row],[Round]]=2),IF(Games[[#This Row],[Result]]&gt;0.5,1,0),0)</f>
        <v>0</v>
      </c>
      <c r="AH142" s="2">
        <f>IF(AND(Games[[#This Row],[Type]]="P",Games[[#This Row],[Round]]=2),IF(Games[[#This Row],[Result]]&lt;0.5,1,0),0)</f>
        <v>0</v>
      </c>
      <c r="AI142" s="2">
        <f>IF(AND(Games[[#This Row],[Type]]="P",Games[[#This Row],[Round]]=3),IF(Games[[#This Row],[Result]]&gt;0.5,1,0),0)</f>
        <v>0</v>
      </c>
      <c r="AJ142" s="2">
        <f>IF(AND(Games[[#This Row],[Type]]="P",Games[[#This Row],[Round]]=3),IF(Games[[#This Row],[Result]]&lt;0.5,1,0),0)</f>
        <v>0</v>
      </c>
      <c r="AK142" s="2">
        <f>IF(AND(Games[[#This Row],[Type]]="P",Games[[#This Row],[Round]]=4),IF(Games[[#This Row],[Result]]&gt;0.5,1,0),0)</f>
        <v>0</v>
      </c>
      <c r="AL142" s="2">
        <f>IF(AND(Games[[#This Row],[Type]]="P",Games[[#This Row],[Round]]=4),IF(Games[[#This Row],[Result]]&lt;0.5,1,0),0)</f>
        <v>0</v>
      </c>
    </row>
    <row r="143" spans="1:38" x14ac:dyDescent="0.35">
      <c r="A143" s="10">
        <v>37794</v>
      </c>
      <c r="B143" s="2">
        <v>2003</v>
      </c>
      <c r="C143" s="2">
        <f>COUNTIFS(Games[Team],Games[[#This Row],[Team]],Games[Season],Games[[#This Row],[Season]],Games[Date],"&lt;=" &amp; Games[[#This Row],[Date]])</f>
        <v>9</v>
      </c>
      <c r="D143" s="2" t="s">
        <v>23</v>
      </c>
      <c r="E143" s="2" t="s">
        <v>29</v>
      </c>
      <c r="F143" s="1" t="s">
        <v>66</v>
      </c>
      <c r="G143" s="1" t="s">
        <v>64</v>
      </c>
      <c r="H143" s="1" t="s">
        <v>15</v>
      </c>
      <c r="I143" s="2" cm="1">
        <f t="array" ref="I143">IFERROR(
    Games[[#This Row],[Date]]
    - LOOKUP(
        2,
        1/((Games[Team]=Games[[#This Row],[Team]]) * (Games[Date] &lt; Games[[#This Row],[Date]])),
        Games[Date]
    )
    - 1,
Games[[#This Row],[Date]]-$A$2)</f>
        <v>1</v>
      </c>
      <c r="J143" s="2" cm="1">
        <f t="array" ref="J14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43" s="2">
        <f>Games[[#This Row],[DaysOff]]-Games[[#This Row],[OppDaysOff]]</f>
        <v>0</v>
      </c>
      <c r="L143" s="2">
        <f>Games[[#This Row],[OppDaysOff]]-Games[[#This Row],[DaysOff]]</f>
        <v>0</v>
      </c>
      <c r="M143" s="1">
        <f>MAX(-16, MIN(16, Games[[#This Row],[RestDiff]]*8))</f>
        <v>0</v>
      </c>
      <c r="N143" s="1">
        <f>MAX(-16, MIN(16, Games[[#This Row],[OppRestDiff]]*8))</f>
        <v>0</v>
      </c>
      <c r="O143" s="4" cm="1">
        <f t="array" ref="O14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1511.3797157429308</v>
      </c>
      <c r="P143" s="4" cm="1">
        <f t="array" ref="P14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1520.4723923263066</v>
      </c>
      <c r="Q143" s="4">
        <f>1/(1+10^(((Games[[#This Row],[OppPreGmRate]]+IF(Games[[#This Row],[HomeAway]]="A",HCA,0)+Games[[#This Row],[OppRestAdj]])-(Games[[#This Row],[PreGmRate]]+IF(Games[[#This Row],[HomeAway]]="H",HCA,0)+Games[[#This Row],[RestAdj]]))/400))</f>
        <v>0.60616047112526839</v>
      </c>
      <c r="R143" s="1">
        <v>69</v>
      </c>
      <c r="S143" s="1">
        <v>57</v>
      </c>
      <c r="T143" s="1">
        <v>0</v>
      </c>
      <c r="U143" s="1">
        <f>Games[[#This Row],[PointsFor]]-Games[[#This Row],[PointsAgainst]]</f>
        <v>12</v>
      </c>
      <c r="V143" s="1">
        <f>IF(Games[[#This Row],[MOV]]&gt;0,1,IF(Games[[#This Row],[MOV]]=0,0.5,0))</f>
        <v>1</v>
      </c>
      <c r="W143" s="4">
        <f>((ABS(Games[[#This Row],[MOV]])+5)^0.6)/(12+0.01*(ABS(Games[[#This Row],[PreGmRate]]-Games[[#This Row],[OppPreGmRate]])))*IF(Games[[#This Row],[OT]]=1,0.9,1)</f>
        <v>0.45269923661977013</v>
      </c>
      <c r="X143" s="7" cm="1">
        <f t="array" ref="X14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3" s="9">
        <f>MAX(kmin, kmax - 0.15 * MIN(Games[[#This Row],[GamesPlayed]], 82))</f>
        <v>74.650000000000006</v>
      </c>
      <c r="Z143" s="4">
        <f>Games[[#This Row],[K]]*Games[[#This Row],[POMult]]</f>
        <v>74.650000000000006</v>
      </c>
      <c r="AA143" s="4">
        <f>(Games[[#This Row],[Keff]]*Games[[#This Row],[MOVMult]])*(Games[[#This Row],[Result]]-Games[[#This Row],[ExpectedWin%]])</f>
        <v>13.30941225649577</v>
      </c>
      <c r="AB143" s="4">
        <f>Games[[#This Row],[PreGmRate]]+Games[[#This Row],[RatingChange]]</f>
        <v>1524.6891279994265</v>
      </c>
      <c r="AC143" s="2">
        <f>IF(Games[[#This Row],[Type]]="R",IF(Games[[#This Row],[Result]]&gt;0.5,1,0),0)</f>
        <v>1</v>
      </c>
      <c r="AD143" s="2">
        <f>IF(Games[[#This Row],[Type]]="R",IF(Games[[#This Row],[Result]]&lt;0.5,1,0),0)</f>
        <v>0</v>
      </c>
      <c r="AE143" s="2">
        <f>IF(AND(Games[[#This Row],[Type]]="P",Games[[#This Row],[Round]]=1),IF(Games[[#This Row],[Result]]&gt;0.5,1,0),0)</f>
        <v>0</v>
      </c>
      <c r="AF143" s="2">
        <f>IF(AND(Games[[#This Row],[Type]]="P",Games[[#This Row],[Round]]=1),IF(Games[[#This Row],[Result]]&lt;0.5,1,0),0)</f>
        <v>0</v>
      </c>
      <c r="AG143" s="2">
        <f>IF(AND(Games[[#This Row],[Type]]="P",Games[[#This Row],[Round]]=2),IF(Games[[#This Row],[Result]]&gt;0.5,1,0),0)</f>
        <v>0</v>
      </c>
      <c r="AH143" s="2">
        <f>IF(AND(Games[[#This Row],[Type]]="P",Games[[#This Row],[Round]]=2),IF(Games[[#This Row],[Result]]&lt;0.5,1,0),0)</f>
        <v>0</v>
      </c>
      <c r="AI143" s="2">
        <f>IF(AND(Games[[#This Row],[Type]]="P",Games[[#This Row],[Round]]=3),IF(Games[[#This Row],[Result]]&gt;0.5,1,0),0)</f>
        <v>0</v>
      </c>
      <c r="AJ143" s="2">
        <f>IF(AND(Games[[#This Row],[Type]]="P",Games[[#This Row],[Round]]=3),IF(Games[[#This Row],[Result]]&lt;0.5,1,0),0)</f>
        <v>0</v>
      </c>
      <c r="AK143" s="2">
        <f>IF(AND(Games[[#This Row],[Type]]="P",Games[[#This Row],[Round]]=4),IF(Games[[#This Row],[Result]]&gt;0.5,1,0),0)</f>
        <v>0</v>
      </c>
      <c r="AL143" s="2">
        <f>IF(AND(Games[[#This Row],[Type]]="P",Games[[#This Row],[Round]]=4),IF(Games[[#This Row],[Result]]&lt;0.5,1,0),0)</f>
        <v>0</v>
      </c>
    </row>
    <row r="144" spans="1:38" x14ac:dyDescent="0.35">
      <c r="A144" s="10">
        <v>37794</v>
      </c>
      <c r="B144" s="2">
        <v>2003</v>
      </c>
      <c r="C144" s="2">
        <f>COUNTIFS(Games[Team],Games[[#This Row],[Team]],Games[Season],Games[[#This Row],[Season]],Games[Date],"&lt;=" &amp; Games[[#This Row],[Date]])</f>
        <v>11</v>
      </c>
      <c r="D144" s="2" t="s">
        <v>23</v>
      </c>
      <c r="E144" s="2" t="s">
        <v>29</v>
      </c>
      <c r="F144" s="1" t="s">
        <v>85</v>
      </c>
      <c r="G144" s="1" t="s">
        <v>82</v>
      </c>
      <c r="H144" s="1" t="s">
        <v>16</v>
      </c>
      <c r="I144" s="2" cm="1">
        <f t="array" ref="I144">IFERROR(
    Games[[#This Row],[Date]]
    - LOOKUP(
        2,
        1/((Games[Team]=Games[[#This Row],[Team]]) * (Games[Date] &lt; Games[[#This Row],[Date]])),
        Games[Date]
    )
    - 1,
Games[[#This Row],[Date]]-$A$2)</f>
        <v>1</v>
      </c>
      <c r="J144" s="2" cm="1">
        <f t="array" ref="J144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44" s="2">
        <f>Games[[#This Row],[DaysOff]]-Games[[#This Row],[OppDaysOff]]</f>
        <v>1</v>
      </c>
      <c r="L144" s="2">
        <f>Games[[#This Row],[OppDaysOff]]-Games[[#This Row],[DaysOff]]</f>
        <v>-1</v>
      </c>
      <c r="M144" s="1">
        <f>MAX(-16, MIN(16, Games[[#This Row],[RestDiff]]*8))</f>
        <v>8</v>
      </c>
      <c r="N144" s="1">
        <f>MAX(-16, MIN(16, Games[[#This Row],[OppRestDiff]]*8))</f>
        <v>-8</v>
      </c>
      <c r="O144" s="4" cm="1">
        <f t="array" ref="O14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1472.3560999728245</v>
      </c>
      <c r="P144" s="4" cm="1">
        <f t="array" ref="P14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1515.9945636567338</v>
      </c>
      <c r="Q144" s="4">
        <f>1/(1+10^(((Games[[#This Row],[OppPreGmRate]]+IF(Games[[#This Row],[HomeAway]]="A",HCA,0)+Games[[#This Row],[OppRestAdj]])-(Games[[#This Row],[PreGmRate]]+IF(Games[[#This Row],[HomeAway]]="H",HCA,0)+Games[[#This Row],[RestAdj]]))/400))</f>
        <v>0.34464940801024257</v>
      </c>
      <c r="R144" s="1">
        <v>53</v>
      </c>
      <c r="S144" s="1">
        <v>93</v>
      </c>
      <c r="T144" s="1">
        <v>0</v>
      </c>
      <c r="U144" s="1">
        <f>Games[[#This Row],[PointsFor]]-Games[[#This Row],[PointsAgainst]]</f>
        <v>-40</v>
      </c>
      <c r="V144" s="1">
        <f>IF(Games[[#This Row],[MOV]]&gt;0,1,IF(Games[[#This Row],[MOV]]=0,0.5,0))</f>
        <v>0</v>
      </c>
      <c r="W144" s="4">
        <f>((ABS(Games[[#This Row],[MOV]])+5)^0.6)/(12+0.01*(ABS(Games[[#This Row],[PreGmRate]]-Games[[#This Row],[OppPreGmRate]])))*IF(Games[[#This Row],[OT]]=1,0.9,1)</f>
        <v>0.78928411558147282</v>
      </c>
      <c r="X144" s="7" cm="1">
        <f t="array" ref="X14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4" s="9">
        <f>MAX(kmin, kmax - 0.15 * MIN(Games[[#This Row],[GamesPlayed]], 82))</f>
        <v>74.349999999999994</v>
      </c>
      <c r="Z144" s="4">
        <f>Games[[#This Row],[K]]*Games[[#This Row],[POMult]]</f>
        <v>74.349999999999994</v>
      </c>
      <c r="AA144" s="4">
        <f>(Games[[#This Row],[Keff]]*Games[[#This Row],[MOVMult]])*(Games[[#This Row],[Result]]-Games[[#This Row],[ExpectedWin%]])</f>
        <v>-20.225155641956608</v>
      </c>
      <c r="AB144" s="4">
        <f>Games[[#This Row],[PreGmRate]]+Games[[#This Row],[RatingChange]]</f>
        <v>1452.1309443308678</v>
      </c>
      <c r="AC144" s="2">
        <f>IF(Games[[#This Row],[Type]]="R",IF(Games[[#This Row],[Result]]&gt;0.5,1,0),0)</f>
        <v>0</v>
      </c>
      <c r="AD144" s="2">
        <f>IF(Games[[#This Row],[Type]]="R",IF(Games[[#This Row],[Result]]&lt;0.5,1,0),0)</f>
        <v>1</v>
      </c>
      <c r="AE144" s="2">
        <f>IF(AND(Games[[#This Row],[Type]]="P",Games[[#This Row],[Round]]=1),IF(Games[[#This Row],[Result]]&gt;0.5,1,0),0)</f>
        <v>0</v>
      </c>
      <c r="AF144" s="2">
        <f>IF(AND(Games[[#This Row],[Type]]="P",Games[[#This Row],[Round]]=1),IF(Games[[#This Row],[Result]]&lt;0.5,1,0),0)</f>
        <v>0</v>
      </c>
      <c r="AG144" s="2">
        <f>IF(AND(Games[[#This Row],[Type]]="P",Games[[#This Row],[Round]]=2),IF(Games[[#This Row],[Result]]&gt;0.5,1,0),0)</f>
        <v>0</v>
      </c>
      <c r="AH144" s="2">
        <f>IF(AND(Games[[#This Row],[Type]]="P",Games[[#This Row],[Round]]=2),IF(Games[[#This Row],[Result]]&lt;0.5,1,0),0)</f>
        <v>0</v>
      </c>
      <c r="AI144" s="2">
        <f>IF(AND(Games[[#This Row],[Type]]="P",Games[[#This Row],[Round]]=3),IF(Games[[#This Row],[Result]]&gt;0.5,1,0),0)</f>
        <v>0</v>
      </c>
      <c r="AJ144" s="2">
        <f>IF(AND(Games[[#This Row],[Type]]="P",Games[[#This Row],[Round]]=3),IF(Games[[#This Row],[Result]]&lt;0.5,1,0),0)</f>
        <v>0</v>
      </c>
      <c r="AK144" s="2">
        <f>IF(AND(Games[[#This Row],[Type]]="P",Games[[#This Row],[Round]]=4),IF(Games[[#This Row],[Result]]&gt;0.5,1,0),0)</f>
        <v>0</v>
      </c>
      <c r="AL144" s="2">
        <f>IF(AND(Games[[#This Row],[Type]]="P",Games[[#This Row],[Round]]=4),IF(Games[[#This Row],[Result]]&lt;0.5,1,0),0)</f>
        <v>0</v>
      </c>
    </row>
    <row r="145" spans="1:38" x14ac:dyDescent="0.35">
      <c r="A145" s="10">
        <v>37794</v>
      </c>
      <c r="B145" s="2">
        <v>2003</v>
      </c>
      <c r="C145" s="2">
        <f>COUNTIFS(Games[Team],Games[[#This Row],[Team]],Games[Season],Games[[#This Row],[Season]],Games[Date],"&lt;=" &amp; Games[[#This Row],[Date]])</f>
        <v>11</v>
      </c>
      <c r="D145" s="2" t="s">
        <v>23</v>
      </c>
      <c r="E145" s="2" t="s">
        <v>29</v>
      </c>
      <c r="F145" s="1" t="s">
        <v>82</v>
      </c>
      <c r="G145" s="1" t="s">
        <v>85</v>
      </c>
      <c r="H145" s="1" t="s">
        <v>15</v>
      </c>
      <c r="I145" s="2" cm="1">
        <f t="array" ref="I145">IFERROR(
    Games[[#This Row],[Date]]
    - LOOKUP(
        2,
        1/((Games[Team]=Games[[#This Row],[Team]]) * (Games[Date] &lt; Games[[#This Row],[Date]])),
        Games[Date]
    )
    - 1,
Games[[#This Row],[Date]]-$A$2)</f>
        <v>0</v>
      </c>
      <c r="J145" s="2" cm="1">
        <f t="array" ref="J14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45" s="2">
        <f>Games[[#This Row],[DaysOff]]-Games[[#This Row],[OppDaysOff]]</f>
        <v>-1</v>
      </c>
      <c r="L145" s="2">
        <f>Games[[#This Row],[OppDaysOff]]-Games[[#This Row],[DaysOff]]</f>
        <v>1</v>
      </c>
      <c r="M145" s="1">
        <f>MAX(-16, MIN(16, Games[[#This Row],[RestDiff]]*8))</f>
        <v>-8</v>
      </c>
      <c r="N145" s="1">
        <f>MAX(-16, MIN(16, Games[[#This Row],[OppRestDiff]]*8))</f>
        <v>8</v>
      </c>
      <c r="O145" s="4" cm="1">
        <f t="array" ref="O14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1515.9945636567338</v>
      </c>
      <c r="P145" s="4" cm="1">
        <f t="array" ref="P14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1472.3560999728245</v>
      </c>
      <c r="Q145" s="4">
        <f>1/(1+10^(((Games[[#This Row],[OppPreGmRate]]+IF(Games[[#This Row],[HomeAway]]="A",HCA,0)+Games[[#This Row],[OppRestAdj]])-(Games[[#This Row],[PreGmRate]]+IF(Games[[#This Row],[HomeAway]]="H",HCA,0)+Games[[#This Row],[RestAdj]]))/400))</f>
        <v>0.65535059198975743</v>
      </c>
      <c r="R145" s="1">
        <v>93</v>
      </c>
      <c r="S145" s="1">
        <v>53</v>
      </c>
      <c r="T145" s="1">
        <v>0</v>
      </c>
      <c r="U145" s="1">
        <f>Games[[#This Row],[PointsFor]]-Games[[#This Row],[PointsAgainst]]</f>
        <v>40</v>
      </c>
      <c r="V145" s="1">
        <f>IF(Games[[#This Row],[MOV]]&gt;0,1,IF(Games[[#This Row],[MOV]]=0,0.5,0))</f>
        <v>1</v>
      </c>
      <c r="W145" s="4">
        <f>((ABS(Games[[#This Row],[MOV]])+5)^0.6)/(12+0.01*(ABS(Games[[#This Row],[PreGmRate]]-Games[[#This Row],[OppPreGmRate]])))*IF(Games[[#This Row],[OT]]=1,0.9,1)</f>
        <v>0.78928411558147282</v>
      </c>
      <c r="X145" s="7" cm="1">
        <f t="array" ref="X14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5" s="9">
        <f>MAX(kmin, kmax - 0.15 * MIN(Games[[#This Row],[GamesPlayed]], 82))</f>
        <v>74.349999999999994</v>
      </c>
      <c r="Z145" s="4">
        <f>Games[[#This Row],[K]]*Games[[#This Row],[POMult]]</f>
        <v>74.349999999999994</v>
      </c>
      <c r="AA145" s="4">
        <f>(Games[[#This Row],[Keff]]*Games[[#This Row],[MOVMult]])*(Games[[#This Row],[Result]]-Games[[#This Row],[ExpectedWin%]])</f>
        <v>20.225155641956608</v>
      </c>
      <c r="AB145" s="4">
        <f>Games[[#This Row],[PreGmRate]]+Games[[#This Row],[RatingChange]]</f>
        <v>1536.2197192986905</v>
      </c>
      <c r="AC145" s="2">
        <f>IF(Games[[#This Row],[Type]]="R",IF(Games[[#This Row],[Result]]&gt;0.5,1,0),0)</f>
        <v>1</v>
      </c>
      <c r="AD145" s="2">
        <f>IF(Games[[#This Row],[Type]]="R",IF(Games[[#This Row],[Result]]&lt;0.5,1,0),0)</f>
        <v>0</v>
      </c>
      <c r="AE145" s="2">
        <f>IF(AND(Games[[#This Row],[Type]]="P",Games[[#This Row],[Round]]=1),IF(Games[[#This Row],[Result]]&gt;0.5,1,0),0)</f>
        <v>0</v>
      </c>
      <c r="AF145" s="2">
        <f>IF(AND(Games[[#This Row],[Type]]="P",Games[[#This Row],[Round]]=1),IF(Games[[#This Row],[Result]]&lt;0.5,1,0),0)</f>
        <v>0</v>
      </c>
      <c r="AG145" s="2">
        <f>IF(AND(Games[[#This Row],[Type]]="P",Games[[#This Row],[Round]]=2),IF(Games[[#This Row],[Result]]&gt;0.5,1,0),0)</f>
        <v>0</v>
      </c>
      <c r="AH145" s="2">
        <f>IF(AND(Games[[#This Row],[Type]]="P",Games[[#This Row],[Round]]=2),IF(Games[[#This Row],[Result]]&lt;0.5,1,0),0)</f>
        <v>0</v>
      </c>
      <c r="AI145" s="2">
        <f>IF(AND(Games[[#This Row],[Type]]="P",Games[[#This Row],[Round]]=3),IF(Games[[#This Row],[Result]]&gt;0.5,1,0),0)</f>
        <v>0</v>
      </c>
      <c r="AJ145" s="2">
        <f>IF(AND(Games[[#This Row],[Type]]="P",Games[[#This Row],[Round]]=3),IF(Games[[#This Row],[Result]]&lt;0.5,1,0),0)</f>
        <v>0</v>
      </c>
      <c r="AK145" s="2">
        <f>IF(AND(Games[[#This Row],[Type]]="P",Games[[#This Row],[Round]]=4),IF(Games[[#This Row],[Result]]&gt;0.5,1,0),0)</f>
        <v>0</v>
      </c>
      <c r="AL145" s="2">
        <f>IF(AND(Games[[#This Row],[Type]]="P",Games[[#This Row],[Round]]=4),IF(Games[[#This Row],[Result]]&lt;0.5,1,0),0)</f>
        <v>0</v>
      </c>
    </row>
    <row r="146" spans="1:38" x14ac:dyDescent="0.35">
      <c r="A146" s="10">
        <v>37796</v>
      </c>
      <c r="B146" s="2">
        <v>2003</v>
      </c>
      <c r="C146" s="2">
        <f>COUNTIFS(Games[Team],Games[[#This Row],[Team]],Games[Season],Games[[#This Row],[Season]],Games[Date],"&lt;=" &amp; Games[[#This Row],[Date]])</f>
        <v>10</v>
      </c>
      <c r="D146" s="2" t="s">
        <v>23</v>
      </c>
      <c r="E146" s="2" t="s">
        <v>29</v>
      </c>
      <c r="F146" s="1" t="s">
        <v>80</v>
      </c>
      <c r="G146" s="1" t="s">
        <v>76</v>
      </c>
      <c r="H146" s="1" t="s">
        <v>16</v>
      </c>
      <c r="I146" s="2" cm="1">
        <f t="array" ref="I146">IFERROR(
    Games[[#This Row],[Date]]
    - LOOKUP(
        2,
        1/((Games[Team]=Games[[#This Row],[Team]]) * (Games[Date] &lt; Games[[#This Row],[Date]])),
        Games[Date]
    )
    - 1,
Games[[#This Row],[Date]]-$A$2)</f>
        <v>2</v>
      </c>
      <c r="J146" s="2" cm="1">
        <f t="array" ref="J14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46" s="2">
        <f>Games[[#This Row],[DaysOff]]-Games[[#This Row],[OppDaysOff]]</f>
        <v>1</v>
      </c>
      <c r="L146" s="2">
        <f>Games[[#This Row],[OppDaysOff]]-Games[[#This Row],[DaysOff]]</f>
        <v>-1</v>
      </c>
      <c r="M146" s="1">
        <f>MAX(-16, MIN(16, Games[[#This Row],[RestDiff]]*8))</f>
        <v>8</v>
      </c>
      <c r="N146" s="1">
        <f>MAX(-16, MIN(16, Games[[#This Row],[OppRestDiff]]*8))</f>
        <v>-8</v>
      </c>
      <c r="O146" s="4" cm="1">
        <f t="array" ref="O14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1517.3052430149801</v>
      </c>
      <c r="P146" s="4" cm="1">
        <f t="array" ref="P14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1546.4303013711803</v>
      </c>
      <c r="Q146" s="4">
        <f>1/(1+10^(((Games[[#This Row],[OppPreGmRate]]+IF(Games[[#This Row],[HomeAway]]="A",HCA,0)+Games[[#This Row],[OppRestAdj]])-(Games[[#This Row],[PreGmRate]]+IF(Games[[#This Row],[HomeAway]]="H",HCA,0)+Games[[#This Row],[RestAdj]]))/400))</f>
        <v>0.36375647341770523</v>
      </c>
      <c r="R146" s="1">
        <v>60</v>
      </c>
      <c r="S146" s="1">
        <v>68</v>
      </c>
      <c r="T146" s="1">
        <v>0</v>
      </c>
      <c r="U146" s="1">
        <f>Games[[#This Row],[PointsFor]]-Games[[#This Row],[PointsAgainst]]</f>
        <v>-8</v>
      </c>
      <c r="V146" s="1">
        <f>IF(Games[[#This Row],[MOV]]&gt;0,1,IF(Games[[#This Row],[MOV]]=0,0.5,0))</f>
        <v>0</v>
      </c>
      <c r="W146" s="4">
        <f>((ABS(Games[[#This Row],[MOV]])+5)^0.6)/(12+0.01*(ABS(Games[[#This Row],[PreGmRate]]-Games[[#This Row],[OppPreGmRate]])))*IF(Games[[#This Row],[OT]]=1,0.9,1)</f>
        <v>0.37911410139729335</v>
      </c>
      <c r="X146" s="7" cm="1">
        <f t="array" ref="X14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6" s="9">
        <f>MAX(kmin, kmax - 0.15 * MIN(Games[[#This Row],[GamesPlayed]], 82))</f>
        <v>74.5</v>
      </c>
      <c r="Z146" s="4">
        <f>Games[[#This Row],[K]]*Games[[#This Row],[POMult]]</f>
        <v>74.5</v>
      </c>
      <c r="AA146" s="4">
        <f>(Games[[#This Row],[Keff]]*Games[[#This Row],[MOVMult]])*(Games[[#This Row],[Result]]-Games[[#This Row],[ExpectedWin%]])</f>
        <v>-10.273938036766529</v>
      </c>
      <c r="AB146" s="4">
        <f>Games[[#This Row],[PreGmRate]]+Games[[#This Row],[RatingChange]]</f>
        <v>1507.0313049782135</v>
      </c>
      <c r="AC146" s="2">
        <f>IF(Games[[#This Row],[Type]]="R",IF(Games[[#This Row],[Result]]&gt;0.5,1,0),0)</f>
        <v>0</v>
      </c>
      <c r="AD146" s="2">
        <f>IF(Games[[#This Row],[Type]]="R",IF(Games[[#This Row],[Result]]&lt;0.5,1,0),0)</f>
        <v>1</v>
      </c>
      <c r="AE146" s="2">
        <f>IF(AND(Games[[#This Row],[Type]]="P",Games[[#This Row],[Round]]=1),IF(Games[[#This Row],[Result]]&gt;0.5,1,0),0)</f>
        <v>0</v>
      </c>
      <c r="AF146" s="2">
        <f>IF(AND(Games[[#This Row],[Type]]="P",Games[[#This Row],[Round]]=1),IF(Games[[#This Row],[Result]]&lt;0.5,1,0),0)</f>
        <v>0</v>
      </c>
      <c r="AG146" s="2">
        <f>IF(AND(Games[[#This Row],[Type]]="P",Games[[#This Row],[Round]]=2),IF(Games[[#This Row],[Result]]&gt;0.5,1,0),0)</f>
        <v>0</v>
      </c>
      <c r="AH146" s="2">
        <f>IF(AND(Games[[#This Row],[Type]]="P",Games[[#This Row],[Round]]=2),IF(Games[[#This Row],[Result]]&lt;0.5,1,0),0)</f>
        <v>0</v>
      </c>
      <c r="AI146" s="2">
        <f>IF(AND(Games[[#This Row],[Type]]="P",Games[[#This Row],[Round]]=3),IF(Games[[#This Row],[Result]]&gt;0.5,1,0),0)</f>
        <v>0</v>
      </c>
      <c r="AJ146" s="2">
        <f>IF(AND(Games[[#This Row],[Type]]="P",Games[[#This Row],[Round]]=3),IF(Games[[#This Row],[Result]]&lt;0.5,1,0),0)</f>
        <v>0</v>
      </c>
      <c r="AK146" s="2">
        <f>IF(AND(Games[[#This Row],[Type]]="P",Games[[#This Row],[Round]]=4),IF(Games[[#This Row],[Result]]&gt;0.5,1,0),0)</f>
        <v>0</v>
      </c>
      <c r="AL146" s="2">
        <f>IF(AND(Games[[#This Row],[Type]]="P",Games[[#This Row],[Round]]=4),IF(Games[[#This Row],[Result]]&lt;0.5,1,0),0)</f>
        <v>0</v>
      </c>
    </row>
    <row r="147" spans="1:38" x14ac:dyDescent="0.35">
      <c r="A147" s="10">
        <v>37796</v>
      </c>
      <c r="B147" s="2">
        <v>2003</v>
      </c>
      <c r="C147" s="2">
        <f>COUNTIFS(Games[Team],Games[[#This Row],[Team]],Games[Season],Games[[#This Row],[Season]],Games[Date],"&lt;=" &amp; Games[[#This Row],[Date]])</f>
        <v>8</v>
      </c>
      <c r="D147" s="2" t="s">
        <v>23</v>
      </c>
      <c r="E147" s="2" t="s">
        <v>29</v>
      </c>
      <c r="F147" s="1" t="s">
        <v>76</v>
      </c>
      <c r="G147" s="1" t="s">
        <v>80</v>
      </c>
      <c r="H147" s="1" t="s">
        <v>15</v>
      </c>
      <c r="I147" s="2" cm="1">
        <f t="array" ref="I147">IFERROR(
    Games[[#This Row],[Date]]
    - LOOKUP(
        2,
        1/((Games[Team]=Games[[#This Row],[Team]]) * (Games[Date] &lt; Games[[#This Row],[Date]])),
        Games[Date]
    )
    - 1,
Games[[#This Row],[Date]]-$A$2)</f>
        <v>1</v>
      </c>
      <c r="J147" s="2" cm="1">
        <f t="array" ref="J14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47" s="2">
        <f>Games[[#This Row],[DaysOff]]-Games[[#This Row],[OppDaysOff]]</f>
        <v>-1</v>
      </c>
      <c r="L147" s="2">
        <f>Games[[#This Row],[OppDaysOff]]-Games[[#This Row],[DaysOff]]</f>
        <v>1</v>
      </c>
      <c r="M147" s="1">
        <f>MAX(-16, MIN(16, Games[[#This Row],[RestDiff]]*8))</f>
        <v>-8</v>
      </c>
      <c r="N147" s="1">
        <f>MAX(-16, MIN(16, Games[[#This Row],[OppRestDiff]]*8))</f>
        <v>8</v>
      </c>
      <c r="O147" s="4" cm="1">
        <f t="array" ref="O14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1546.4303013711803</v>
      </c>
      <c r="P147" s="4" cm="1">
        <f t="array" ref="P14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1517.3052430149801</v>
      </c>
      <c r="Q147" s="4">
        <f>1/(1+10^(((Games[[#This Row],[OppPreGmRate]]+IF(Games[[#This Row],[HomeAway]]="A",HCA,0)+Games[[#This Row],[OppRestAdj]])-(Games[[#This Row],[PreGmRate]]+IF(Games[[#This Row],[HomeAway]]="H",HCA,0)+Games[[#This Row],[RestAdj]]))/400))</f>
        <v>0.63624352658229477</v>
      </c>
      <c r="R147" s="1">
        <v>68</v>
      </c>
      <c r="S147" s="1">
        <v>60</v>
      </c>
      <c r="T147" s="1">
        <v>0</v>
      </c>
      <c r="U147" s="1">
        <f>Games[[#This Row],[PointsFor]]-Games[[#This Row],[PointsAgainst]]</f>
        <v>8</v>
      </c>
      <c r="V147" s="1">
        <f>IF(Games[[#This Row],[MOV]]&gt;0,1,IF(Games[[#This Row],[MOV]]=0,0.5,0))</f>
        <v>1</v>
      </c>
      <c r="W147" s="4">
        <f>((ABS(Games[[#This Row],[MOV]])+5)^0.6)/(12+0.01*(ABS(Games[[#This Row],[PreGmRate]]-Games[[#This Row],[OppPreGmRate]])))*IF(Games[[#This Row],[OT]]=1,0.9,1)</f>
        <v>0.37911410139729335</v>
      </c>
      <c r="X147" s="7" cm="1">
        <f t="array" ref="X14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7" s="9">
        <f>MAX(kmin, kmax - 0.15 * MIN(Games[[#This Row],[GamesPlayed]], 82))</f>
        <v>74.8</v>
      </c>
      <c r="Z147" s="4">
        <f>Games[[#This Row],[K]]*Games[[#This Row],[POMult]]</f>
        <v>74.8</v>
      </c>
      <c r="AA147" s="4">
        <f>(Games[[#This Row],[Keff]]*Games[[#This Row],[MOVMult]])*(Games[[#This Row],[Result]]-Games[[#This Row],[ExpectedWin%]])</f>
        <v>10.315309599330689</v>
      </c>
      <c r="AB147" s="4">
        <f>Games[[#This Row],[PreGmRate]]+Games[[#This Row],[RatingChange]]</f>
        <v>1556.7456109705111</v>
      </c>
      <c r="AC147" s="2">
        <f>IF(Games[[#This Row],[Type]]="R",IF(Games[[#This Row],[Result]]&gt;0.5,1,0),0)</f>
        <v>1</v>
      </c>
      <c r="AD147" s="2">
        <f>IF(Games[[#This Row],[Type]]="R",IF(Games[[#This Row],[Result]]&lt;0.5,1,0),0)</f>
        <v>0</v>
      </c>
      <c r="AE147" s="2">
        <f>IF(AND(Games[[#This Row],[Type]]="P",Games[[#This Row],[Round]]=1),IF(Games[[#This Row],[Result]]&gt;0.5,1,0),0)</f>
        <v>0</v>
      </c>
      <c r="AF147" s="2">
        <f>IF(AND(Games[[#This Row],[Type]]="P",Games[[#This Row],[Round]]=1),IF(Games[[#This Row],[Result]]&lt;0.5,1,0),0)</f>
        <v>0</v>
      </c>
      <c r="AG147" s="2">
        <f>IF(AND(Games[[#This Row],[Type]]="P",Games[[#This Row],[Round]]=2),IF(Games[[#This Row],[Result]]&gt;0.5,1,0),0)</f>
        <v>0</v>
      </c>
      <c r="AH147" s="2">
        <f>IF(AND(Games[[#This Row],[Type]]="P",Games[[#This Row],[Round]]=2),IF(Games[[#This Row],[Result]]&lt;0.5,1,0),0)</f>
        <v>0</v>
      </c>
      <c r="AI147" s="2">
        <f>IF(AND(Games[[#This Row],[Type]]="P",Games[[#This Row],[Round]]=3),IF(Games[[#This Row],[Result]]&gt;0.5,1,0),0)</f>
        <v>0</v>
      </c>
      <c r="AJ147" s="2">
        <f>IF(AND(Games[[#This Row],[Type]]="P",Games[[#This Row],[Round]]=3),IF(Games[[#This Row],[Result]]&lt;0.5,1,0),0)</f>
        <v>0</v>
      </c>
      <c r="AK147" s="2">
        <f>IF(AND(Games[[#This Row],[Type]]="P",Games[[#This Row],[Round]]=4),IF(Games[[#This Row],[Result]]&gt;0.5,1,0),0)</f>
        <v>0</v>
      </c>
      <c r="AL147" s="2">
        <f>IF(AND(Games[[#This Row],[Type]]="P",Games[[#This Row],[Round]]=4),IF(Games[[#This Row],[Result]]&lt;0.5,1,0),0)</f>
        <v>0</v>
      </c>
    </row>
    <row r="148" spans="1:38" x14ac:dyDescent="0.35">
      <c r="A148" s="10">
        <v>37796</v>
      </c>
      <c r="B148" s="2">
        <v>2003</v>
      </c>
      <c r="C148" s="2">
        <f>COUNTIFS(Games[Team],Games[[#This Row],[Team]],Games[Season],Games[[#This Row],[Season]],Games[Date],"&lt;=" &amp; Games[[#This Row],[Date]])</f>
        <v>13</v>
      </c>
      <c r="D148" s="2" t="s">
        <v>23</v>
      </c>
      <c r="E148" s="2" t="s">
        <v>29</v>
      </c>
      <c r="F148" s="1" t="s">
        <v>71</v>
      </c>
      <c r="G148" s="1" t="s">
        <v>2</v>
      </c>
      <c r="H148" s="1" t="s">
        <v>16</v>
      </c>
      <c r="I148" s="2" cm="1">
        <f t="array" ref="I148">IFERROR(
    Games[[#This Row],[Date]]
    - LOOKUP(
        2,
        1/((Games[Team]=Games[[#This Row],[Team]]) * (Games[Date] &lt; Games[[#This Row],[Date]])),
        Games[Date]
    )
    - 1,
Games[[#This Row],[Date]]-$A$2)</f>
        <v>2</v>
      </c>
      <c r="J148" s="2" cm="1">
        <f t="array" ref="J14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48" s="2">
        <f>Games[[#This Row],[DaysOff]]-Games[[#This Row],[OppDaysOff]]</f>
        <v>0</v>
      </c>
      <c r="L148" s="2">
        <f>Games[[#This Row],[OppDaysOff]]-Games[[#This Row],[DaysOff]]</f>
        <v>0</v>
      </c>
      <c r="M148" s="1">
        <f>MAX(-16, MIN(16, Games[[#This Row],[RestDiff]]*8))</f>
        <v>0</v>
      </c>
      <c r="N148" s="1">
        <f>MAX(-16, MIN(16, Games[[#This Row],[OppRestDiff]]*8))</f>
        <v>0</v>
      </c>
      <c r="O148" s="4" cm="1">
        <f t="array" ref="O14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1672.6017599521158</v>
      </c>
      <c r="P148" s="4" cm="1">
        <f t="array" ref="P14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1534.2731489662947</v>
      </c>
      <c r="Q148" s="4">
        <f>1/(1+10^(((Games[[#This Row],[OppPreGmRate]]+IF(Games[[#This Row],[HomeAway]]="A",HCA,0)+Games[[#This Row],[OppRestAdj]])-(Games[[#This Row],[PreGmRate]]+IF(Games[[#This Row],[HomeAway]]="H",HCA,0)+Games[[#This Row],[RestAdj]]))/400))</f>
        <v>0.57755407512490842</v>
      </c>
      <c r="R148" s="1">
        <v>71</v>
      </c>
      <c r="S148" s="1">
        <v>62</v>
      </c>
      <c r="T148" s="1">
        <v>0</v>
      </c>
      <c r="U148" s="1">
        <f>Games[[#This Row],[PointsFor]]-Games[[#This Row],[PointsAgainst]]</f>
        <v>9</v>
      </c>
      <c r="V148" s="1">
        <f>IF(Games[[#This Row],[MOV]]&gt;0,1,IF(Games[[#This Row],[MOV]]=0,0.5,0))</f>
        <v>1</v>
      </c>
      <c r="W148" s="4">
        <f>((ABS(Games[[#This Row],[MOV]])+5)^0.6)/(12+0.01*(ABS(Games[[#This Row],[PreGmRate]]-Games[[#This Row],[OppPreGmRate]])))*IF(Games[[#This Row],[OT]]=1,0.9,1)</f>
        <v>0.36401062383164778</v>
      </c>
      <c r="X148" s="7" cm="1">
        <f t="array" ref="X14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8" s="9">
        <f>MAX(kmin, kmax - 0.15 * MIN(Games[[#This Row],[GamesPlayed]], 82))</f>
        <v>74.05</v>
      </c>
      <c r="Z148" s="4">
        <f>Games[[#This Row],[K]]*Games[[#This Row],[POMult]]</f>
        <v>74.05</v>
      </c>
      <c r="AA148" s="4">
        <f>(Games[[#This Row],[Keff]]*Games[[#This Row],[MOVMult]])*(Games[[#This Row],[Result]]-Games[[#This Row],[ExpectedWin%]])</f>
        <v>11.387024284252488</v>
      </c>
      <c r="AB148" s="4">
        <f>Games[[#This Row],[PreGmRate]]+Games[[#This Row],[RatingChange]]</f>
        <v>1683.9887842363682</v>
      </c>
      <c r="AC148" s="2">
        <f>IF(Games[[#This Row],[Type]]="R",IF(Games[[#This Row],[Result]]&gt;0.5,1,0),0)</f>
        <v>1</v>
      </c>
      <c r="AD148" s="2">
        <f>IF(Games[[#This Row],[Type]]="R",IF(Games[[#This Row],[Result]]&lt;0.5,1,0),0)</f>
        <v>0</v>
      </c>
      <c r="AE148" s="2">
        <f>IF(AND(Games[[#This Row],[Type]]="P",Games[[#This Row],[Round]]=1),IF(Games[[#This Row],[Result]]&gt;0.5,1,0),0)</f>
        <v>0</v>
      </c>
      <c r="AF148" s="2">
        <f>IF(AND(Games[[#This Row],[Type]]="P",Games[[#This Row],[Round]]=1),IF(Games[[#This Row],[Result]]&lt;0.5,1,0),0)</f>
        <v>0</v>
      </c>
      <c r="AG148" s="2">
        <f>IF(AND(Games[[#This Row],[Type]]="P",Games[[#This Row],[Round]]=2),IF(Games[[#This Row],[Result]]&gt;0.5,1,0),0)</f>
        <v>0</v>
      </c>
      <c r="AH148" s="2">
        <f>IF(AND(Games[[#This Row],[Type]]="P",Games[[#This Row],[Round]]=2),IF(Games[[#This Row],[Result]]&lt;0.5,1,0),0)</f>
        <v>0</v>
      </c>
      <c r="AI148" s="2">
        <f>IF(AND(Games[[#This Row],[Type]]="P",Games[[#This Row],[Round]]=3),IF(Games[[#This Row],[Result]]&gt;0.5,1,0),0)</f>
        <v>0</v>
      </c>
      <c r="AJ148" s="2">
        <f>IF(AND(Games[[#This Row],[Type]]="P",Games[[#This Row],[Round]]=3),IF(Games[[#This Row],[Result]]&lt;0.5,1,0),0)</f>
        <v>0</v>
      </c>
      <c r="AK148" s="2">
        <f>IF(AND(Games[[#This Row],[Type]]="P",Games[[#This Row],[Round]]=4),IF(Games[[#This Row],[Result]]&gt;0.5,1,0),0)</f>
        <v>0</v>
      </c>
      <c r="AL148" s="2">
        <f>IF(AND(Games[[#This Row],[Type]]="P",Games[[#This Row],[Round]]=4),IF(Games[[#This Row],[Result]]&lt;0.5,1,0),0)</f>
        <v>0</v>
      </c>
    </row>
    <row r="149" spans="1:38" x14ac:dyDescent="0.35">
      <c r="A149" s="10">
        <v>37796</v>
      </c>
      <c r="B149" s="2">
        <v>2003</v>
      </c>
      <c r="C149" s="2">
        <f>COUNTIFS(Games[Team],Games[[#This Row],[Team]],Games[Season],Games[[#This Row],[Season]],Games[Date],"&lt;=" &amp; Games[[#This Row],[Date]])</f>
        <v>13</v>
      </c>
      <c r="D149" s="2" t="s">
        <v>23</v>
      </c>
      <c r="E149" s="2" t="s">
        <v>29</v>
      </c>
      <c r="F149" s="1" t="s">
        <v>2</v>
      </c>
      <c r="G149" s="1" t="s">
        <v>71</v>
      </c>
      <c r="H149" s="1" t="s">
        <v>15</v>
      </c>
      <c r="I149" s="2" cm="1">
        <f t="array" ref="I149">IFERROR(
    Games[[#This Row],[Date]]
    - LOOKUP(
        2,
        1/((Games[Team]=Games[[#This Row],[Team]]) * (Games[Date] &lt; Games[[#This Row],[Date]])),
        Games[Date]
    )
    - 1,
Games[[#This Row],[Date]]-$A$2)</f>
        <v>2</v>
      </c>
      <c r="J149" s="2" cm="1">
        <f t="array" ref="J14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49" s="2">
        <f>Games[[#This Row],[DaysOff]]-Games[[#This Row],[OppDaysOff]]</f>
        <v>0</v>
      </c>
      <c r="L149" s="2">
        <f>Games[[#This Row],[OppDaysOff]]-Games[[#This Row],[DaysOff]]</f>
        <v>0</v>
      </c>
      <c r="M149" s="1">
        <f>MAX(-16, MIN(16, Games[[#This Row],[RestDiff]]*8))</f>
        <v>0</v>
      </c>
      <c r="N149" s="1">
        <f>MAX(-16, MIN(16, Games[[#This Row],[OppRestDiff]]*8))</f>
        <v>0</v>
      </c>
      <c r="O149" s="4" cm="1">
        <f t="array" ref="O14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1534.2731489662947</v>
      </c>
      <c r="P149" s="4" cm="1">
        <f t="array" ref="P14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1672.6017599521158</v>
      </c>
      <c r="Q149" s="4">
        <f>1/(1+10^(((Games[[#This Row],[OppPreGmRate]]+IF(Games[[#This Row],[HomeAway]]="A",HCA,0)+Games[[#This Row],[OppRestAdj]])-(Games[[#This Row],[PreGmRate]]+IF(Games[[#This Row],[HomeAway]]="H",HCA,0)+Games[[#This Row],[RestAdj]]))/400))</f>
        <v>0.42244592487509164</v>
      </c>
      <c r="R149" s="1">
        <v>62</v>
      </c>
      <c r="S149" s="1">
        <v>71</v>
      </c>
      <c r="T149" s="1">
        <v>0</v>
      </c>
      <c r="U149" s="1">
        <f>Games[[#This Row],[PointsFor]]-Games[[#This Row],[PointsAgainst]]</f>
        <v>-9</v>
      </c>
      <c r="V149" s="1">
        <f>IF(Games[[#This Row],[MOV]]&gt;0,1,IF(Games[[#This Row],[MOV]]=0,0.5,0))</f>
        <v>0</v>
      </c>
      <c r="W149" s="4">
        <f>((ABS(Games[[#This Row],[MOV]])+5)^0.6)/(12+0.01*(ABS(Games[[#This Row],[PreGmRate]]-Games[[#This Row],[OppPreGmRate]])))*IF(Games[[#This Row],[OT]]=1,0.9,1)</f>
        <v>0.36401062383164778</v>
      </c>
      <c r="X149" s="7" cm="1">
        <f t="array" ref="X14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9" s="9">
        <f>MAX(kmin, kmax - 0.15 * MIN(Games[[#This Row],[GamesPlayed]], 82))</f>
        <v>74.05</v>
      </c>
      <c r="Z149" s="4">
        <f>Games[[#This Row],[K]]*Games[[#This Row],[POMult]]</f>
        <v>74.05</v>
      </c>
      <c r="AA149" s="4">
        <f>(Games[[#This Row],[Keff]]*Games[[#This Row],[MOVMult]])*(Games[[#This Row],[Result]]-Games[[#This Row],[ExpectedWin%]])</f>
        <v>-11.38702428425249</v>
      </c>
      <c r="AB149" s="4">
        <f>Games[[#This Row],[PreGmRate]]+Games[[#This Row],[RatingChange]]</f>
        <v>1522.8861246820422</v>
      </c>
      <c r="AC149" s="2">
        <f>IF(Games[[#This Row],[Type]]="R",IF(Games[[#This Row],[Result]]&gt;0.5,1,0),0)</f>
        <v>0</v>
      </c>
      <c r="AD149" s="2">
        <f>IF(Games[[#This Row],[Type]]="R",IF(Games[[#This Row],[Result]]&lt;0.5,1,0),0)</f>
        <v>1</v>
      </c>
      <c r="AE149" s="2">
        <f>IF(AND(Games[[#This Row],[Type]]="P",Games[[#This Row],[Round]]=1),IF(Games[[#This Row],[Result]]&gt;0.5,1,0),0)</f>
        <v>0</v>
      </c>
      <c r="AF149" s="2">
        <f>IF(AND(Games[[#This Row],[Type]]="P",Games[[#This Row],[Round]]=1),IF(Games[[#This Row],[Result]]&lt;0.5,1,0),0)</f>
        <v>0</v>
      </c>
      <c r="AG149" s="2">
        <f>IF(AND(Games[[#This Row],[Type]]="P",Games[[#This Row],[Round]]=2),IF(Games[[#This Row],[Result]]&gt;0.5,1,0),0)</f>
        <v>0</v>
      </c>
      <c r="AH149" s="2">
        <f>IF(AND(Games[[#This Row],[Type]]="P",Games[[#This Row],[Round]]=2),IF(Games[[#This Row],[Result]]&lt;0.5,1,0),0)</f>
        <v>0</v>
      </c>
      <c r="AI149" s="2">
        <f>IF(AND(Games[[#This Row],[Type]]="P",Games[[#This Row],[Round]]=3),IF(Games[[#This Row],[Result]]&gt;0.5,1,0),0)</f>
        <v>0</v>
      </c>
      <c r="AJ149" s="2">
        <f>IF(AND(Games[[#This Row],[Type]]="P",Games[[#This Row],[Round]]=3),IF(Games[[#This Row],[Result]]&lt;0.5,1,0),0)</f>
        <v>0</v>
      </c>
      <c r="AK149" s="2">
        <f>IF(AND(Games[[#This Row],[Type]]="P",Games[[#This Row],[Round]]=4),IF(Games[[#This Row],[Result]]&gt;0.5,1,0),0)</f>
        <v>0</v>
      </c>
      <c r="AL149" s="2">
        <f>IF(AND(Games[[#This Row],[Type]]="P",Games[[#This Row],[Round]]=4),IF(Games[[#This Row],[Result]]&lt;0.5,1,0),0)</f>
        <v>0</v>
      </c>
    </row>
    <row r="150" spans="1:38" x14ac:dyDescent="0.35">
      <c r="A150" s="10">
        <v>37796</v>
      </c>
      <c r="B150" s="2">
        <v>2003</v>
      </c>
      <c r="C150" s="2">
        <f>COUNTIFS(Games[Team],Games[[#This Row],[Team]],Games[Season],Games[[#This Row],[Season]],Games[Date],"&lt;=" &amp; Games[[#This Row],[Date]])</f>
        <v>12</v>
      </c>
      <c r="D150" s="2" t="s">
        <v>23</v>
      </c>
      <c r="E150" s="2" t="s">
        <v>29</v>
      </c>
      <c r="F150" s="1" t="s">
        <v>85</v>
      </c>
      <c r="G150" s="1" t="s">
        <v>45</v>
      </c>
      <c r="H150" s="1" t="s">
        <v>16</v>
      </c>
      <c r="I150" s="2" cm="1">
        <f t="array" ref="I150">IFERROR(
    Games[[#This Row],[Date]]
    - LOOKUP(
        2,
        1/((Games[Team]=Games[[#This Row],[Team]]) * (Games[Date] &lt; Games[[#This Row],[Date]])),
        Games[Date]
    )
    - 1,
Games[[#This Row],[Date]]-$A$2)</f>
        <v>1</v>
      </c>
      <c r="J150" s="2" cm="1">
        <f t="array" ref="J15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50" s="2">
        <f>Games[[#This Row],[DaysOff]]-Games[[#This Row],[OppDaysOff]]</f>
        <v>-1</v>
      </c>
      <c r="L150" s="2">
        <f>Games[[#This Row],[OppDaysOff]]-Games[[#This Row],[DaysOff]]</f>
        <v>1</v>
      </c>
      <c r="M150" s="1">
        <f>MAX(-16, MIN(16, Games[[#This Row],[RestDiff]]*8))</f>
        <v>-8</v>
      </c>
      <c r="N150" s="1">
        <f>MAX(-16, MIN(16, Games[[#This Row],[OppRestDiff]]*8))</f>
        <v>8</v>
      </c>
      <c r="O150" s="4" cm="1">
        <f t="array" ref="O15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1452.1309443308678</v>
      </c>
      <c r="P150" s="4" cm="1">
        <f t="array" ref="P15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1492.7962689598403</v>
      </c>
      <c r="Q150" s="4">
        <f>1/(1+10^(((Games[[#This Row],[OppPreGmRate]]+IF(Games[[#This Row],[HomeAway]]="A",HCA,0)+Games[[#This Row],[OppRestAdj]])-(Games[[#This Row],[PreGmRate]]+IF(Games[[#This Row],[HomeAway]]="H",HCA,0)+Games[[#This Row],[RestAdj]]))/400))</f>
        <v>0.30794703261867584</v>
      </c>
      <c r="R150" s="1">
        <v>60</v>
      </c>
      <c r="S150" s="1">
        <v>57</v>
      </c>
      <c r="T150" s="1">
        <v>0</v>
      </c>
      <c r="U150" s="1">
        <f>Games[[#This Row],[PointsFor]]-Games[[#This Row],[PointsAgainst]]</f>
        <v>3</v>
      </c>
      <c r="V150" s="1">
        <f>IF(Games[[#This Row],[MOV]]&gt;0,1,IF(Games[[#This Row],[MOV]]=0,0.5,0))</f>
        <v>1</v>
      </c>
      <c r="W150" s="4">
        <f>((ABS(Games[[#This Row],[MOV]])+5)^0.6)/(12+0.01*(ABS(Games[[#This Row],[PreGmRate]]-Games[[#This Row],[OppPreGmRate]])))*IF(Games[[#This Row],[OT]]=1,0.9,1)</f>
        <v>0.280672167107263</v>
      </c>
      <c r="X150" s="7" cm="1">
        <f t="array" ref="X15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0" s="9">
        <f>MAX(kmin, kmax - 0.15 * MIN(Games[[#This Row],[GamesPlayed]], 82))</f>
        <v>74.2</v>
      </c>
      <c r="Z150" s="4">
        <f>Games[[#This Row],[K]]*Games[[#This Row],[POMult]]</f>
        <v>74.2</v>
      </c>
      <c r="AA150" s="4">
        <f>(Games[[#This Row],[Keff]]*Games[[#This Row],[MOVMult]])*(Games[[#This Row],[Result]]-Games[[#This Row],[ExpectedWin%]])</f>
        <v>14.412608453208275</v>
      </c>
      <c r="AB150" s="4">
        <f>Games[[#This Row],[PreGmRate]]+Games[[#This Row],[RatingChange]]</f>
        <v>1466.5435527840762</v>
      </c>
      <c r="AC150" s="2">
        <f>IF(Games[[#This Row],[Type]]="R",IF(Games[[#This Row],[Result]]&gt;0.5,1,0),0)</f>
        <v>1</v>
      </c>
      <c r="AD150" s="2">
        <f>IF(Games[[#This Row],[Type]]="R",IF(Games[[#This Row],[Result]]&lt;0.5,1,0),0)</f>
        <v>0</v>
      </c>
      <c r="AE150" s="2">
        <f>IF(AND(Games[[#This Row],[Type]]="P",Games[[#This Row],[Round]]=1),IF(Games[[#This Row],[Result]]&gt;0.5,1,0),0)</f>
        <v>0</v>
      </c>
      <c r="AF150" s="2">
        <f>IF(AND(Games[[#This Row],[Type]]="P",Games[[#This Row],[Round]]=1),IF(Games[[#This Row],[Result]]&lt;0.5,1,0),0)</f>
        <v>0</v>
      </c>
      <c r="AG150" s="2">
        <f>IF(AND(Games[[#This Row],[Type]]="P",Games[[#This Row],[Round]]=2),IF(Games[[#This Row],[Result]]&gt;0.5,1,0),0)</f>
        <v>0</v>
      </c>
      <c r="AH150" s="2">
        <f>IF(AND(Games[[#This Row],[Type]]="P",Games[[#This Row],[Round]]=2),IF(Games[[#This Row],[Result]]&lt;0.5,1,0),0)</f>
        <v>0</v>
      </c>
      <c r="AI150" s="2">
        <f>IF(AND(Games[[#This Row],[Type]]="P",Games[[#This Row],[Round]]=3),IF(Games[[#This Row],[Result]]&gt;0.5,1,0),0)</f>
        <v>0</v>
      </c>
      <c r="AJ150" s="2">
        <f>IF(AND(Games[[#This Row],[Type]]="P",Games[[#This Row],[Round]]=3),IF(Games[[#This Row],[Result]]&lt;0.5,1,0),0)</f>
        <v>0</v>
      </c>
      <c r="AK150" s="2">
        <f>IF(AND(Games[[#This Row],[Type]]="P",Games[[#This Row],[Round]]=4),IF(Games[[#This Row],[Result]]&gt;0.5,1,0),0)</f>
        <v>0</v>
      </c>
      <c r="AL150" s="2">
        <f>IF(AND(Games[[#This Row],[Type]]="P",Games[[#This Row],[Round]]=4),IF(Games[[#This Row],[Result]]&lt;0.5,1,0),0)</f>
        <v>0</v>
      </c>
    </row>
    <row r="151" spans="1:38" x14ac:dyDescent="0.35">
      <c r="A151" s="10">
        <v>37796</v>
      </c>
      <c r="B151" s="2">
        <v>2003</v>
      </c>
      <c r="C151" s="2">
        <f>COUNTIFS(Games[Team],Games[[#This Row],[Team]],Games[Season],Games[[#This Row],[Season]],Games[Date],"&lt;=" &amp; Games[[#This Row],[Date]])</f>
        <v>13</v>
      </c>
      <c r="D151" s="2" t="s">
        <v>23</v>
      </c>
      <c r="E151" s="2" t="s">
        <v>29</v>
      </c>
      <c r="F151" s="1" t="s">
        <v>45</v>
      </c>
      <c r="G151" s="1" t="s">
        <v>85</v>
      </c>
      <c r="H151" s="1" t="s">
        <v>15</v>
      </c>
      <c r="I151" s="2" cm="1">
        <f t="array" ref="I151">IFERROR(
    Games[[#This Row],[Date]]
    - LOOKUP(
        2,
        1/((Games[Team]=Games[[#This Row],[Team]]) * (Games[Date] &lt; Games[[#This Row],[Date]])),
        Games[Date]
    )
    - 1,
Games[[#This Row],[Date]]-$A$2)</f>
        <v>2</v>
      </c>
      <c r="J151" s="2" cm="1">
        <f t="array" ref="J15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51" s="2">
        <f>Games[[#This Row],[DaysOff]]-Games[[#This Row],[OppDaysOff]]</f>
        <v>1</v>
      </c>
      <c r="L151" s="2">
        <f>Games[[#This Row],[OppDaysOff]]-Games[[#This Row],[DaysOff]]</f>
        <v>-1</v>
      </c>
      <c r="M151" s="1">
        <f>MAX(-16, MIN(16, Games[[#This Row],[RestDiff]]*8))</f>
        <v>8</v>
      </c>
      <c r="N151" s="1">
        <f>MAX(-16, MIN(16, Games[[#This Row],[OppRestDiff]]*8))</f>
        <v>-8</v>
      </c>
      <c r="O151" s="4" cm="1">
        <f t="array" ref="O15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1492.7962689598403</v>
      </c>
      <c r="P151" s="4" cm="1">
        <f t="array" ref="P15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1452.1309443308678</v>
      </c>
      <c r="Q151" s="4">
        <f>1/(1+10^(((Games[[#This Row],[OppPreGmRate]]+IF(Games[[#This Row],[HomeAway]]="A",HCA,0)+Games[[#This Row],[OppRestAdj]])-(Games[[#This Row],[PreGmRate]]+IF(Games[[#This Row],[HomeAway]]="H",HCA,0)+Games[[#This Row],[RestAdj]]))/400))</f>
        <v>0.69205296738132416</v>
      </c>
      <c r="R151" s="1">
        <v>57</v>
      </c>
      <c r="S151" s="1">
        <v>60</v>
      </c>
      <c r="T151" s="1">
        <v>0</v>
      </c>
      <c r="U151" s="1">
        <f>Games[[#This Row],[PointsFor]]-Games[[#This Row],[PointsAgainst]]</f>
        <v>-3</v>
      </c>
      <c r="V151" s="1">
        <f>IF(Games[[#This Row],[MOV]]&gt;0,1,IF(Games[[#This Row],[MOV]]=0,0.5,0))</f>
        <v>0</v>
      </c>
      <c r="W151" s="4">
        <f>((ABS(Games[[#This Row],[MOV]])+5)^0.6)/(12+0.01*(ABS(Games[[#This Row],[PreGmRate]]-Games[[#This Row],[OppPreGmRate]])))*IF(Games[[#This Row],[OT]]=1,0.9,1)</f>
        <v>0.280672167107263</v>
      </c>
      <c r="X151" s="7" cm="1">
        <f t="array" ref="X15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1" s="9">
        <f>MAX(kmin, kmax - 0.15 * MIN(Games[[#This Row],[GamesPlayed]], 82))</f>
        <v>74.05</v>
      </c>
      <c r="Z151" s="4">
        <f>Games[[#This Row],[K]]*Games[[#This Row],[POMult]]</f>
        <v>74.05</v>
      </c>
      <c r="AA151" s="4">
        <f>(Games[[#This Row],[Keff]]*Games[[#This Row],[MOVMult]])*(Games[[#This Row],[Result]]-Games[[#This Row],[ExpectedWin%]])</f>
        <v>-14.383472452292086</v>
      </c>
      <c r="AB151" s="4">
        <f>Games[[#This Row],[PreGmRate]]+Games[[#This Row],[RatingChange]]</f>
        <v>1478.4127965075481</v>
      </c>
      <c r="AC151" s="2">
        <f>IF(Games[[#This Row],[Type]]="R",IF(Games[[#This Row],[Result]]&gt;0.5,1,0),0)</f>
        <v>0</v>
      </c>
      <c r="AD151" s="2">
        <f>IF(Games[[#This Row],[Type]]="R",IF(Games[[#This Row],[Result]]&lt;0.5,1,0),0)</f>
        <v>1</v>
      </c>
      <c r="AE151" s="2">
        <f>IF(AND(Games[[#This Row],[Type]]="P",Games[[#This Row],[Round]]=1),IF(Games[[#This Row],[Result]]&gt;0.5,1,0),0)</f>
        <v>0</v>
      </c>
      <c r="AF151" s="2">
        <f>IF(AND(Games[[#This Row],[Type]]="P",Games[[#This Row],[Round]]=1),IF(Games[[#This Row],[Result]]&lt;0.5,1,0),0)</f>
        <v>0</v>
      </c>
      <c r="AG151" s="2">
        <f>IF(AND(Games[[#This Row],[Type]]="P",Games[[#This Row],[Round]]=2),IF(Games[[#This Row],[Result]]&gt;0.5,1,0),0)</f>
        <v>0</v>
      </c>
      <c r="AH151" s="2">
        <f>IF(AND(Games[[#This Row],[Type]]="P",Games[[#This Row],[Round]]=2),IF(Games[[#This Row],[Result]]&lt;0.5,1,0),0)</f>
        <v>0</v>
      </c>
      <c r="AI151" s="2">
        <f>IF(AND(Games[[#This Row],[Type]]="P",Games[[#This Row],[Round]]=3),IF(Games[[#This Row],[Result]]&gt;0.5,1,0),0)</f>
        <v>0</v>
      </c>
      <c r="AJ151" s="2">
        <f>IF(AND(Games[[#This Row],[Type]]="P",Games[[#This Row],[Round]]=3),IF(Games[[#This Row],[Result]]&lt;0.5,1,0),0)</f>
        <v>0</v>
      </c>
      <c r="AK151" s="2">
        <f>IF(AND(Games[[#This Row],[Type]]="P",Games[[#This Row],[Round]]=4),IF(Games[[#This Row],[Result]]&gt;0.5,1,0),0)</f>
        <v>0</v>
      </c>
      <c r="AL151" s="2">
        <f>IF(AND(Games[[#This Row],[Type]]="P",Games[[#This Row],[Round]]=4),IF(Games[[#This Row],[Result]]&lt;0.5,1,0),0)</f>
        <v>0</v>
      </c>
    </row>
    <row r="152" spans="1:38" x14ac:dyDescent="0.35">
      <c r="A152" s="10">
        <v>37796</v>
      </c>
      <c r="B152" s="2">
        <v>2003</v>
      </c>
      <c r="C152" s="2">
        <f>COUNTIFS(Games[Team],Games[[#This Row],[Team]],Games[Season],Games[[#This Row],[Season]],Games[Date],"&lt;=" &amp; Games[[#This Row],[Date]])</f>
        <v>11</v>
      </c>
      <c r="D152" s="2" t="s">
        <v>23</v>
      </c>
      <c r="E152" s="2" t="s">
        <v>29</v>
      </c>
      <c r="F152" s="1" t="s">
        <v>87</v>
      </c>
      <c r="G152" s="1" t="s">
        <v>74</v>
      </c>
      <c r="H152" s="1" t="s">
        <v>16</v>
      </c>
      <c r="I152" s="2" cm="1">
        <f t="array" ref="I152">IFERROR(
    Games[[#This Row],[Date]]
    - LOOKUP(
        2,
        1/((Games[Team]=Games[[#This Row],[Team]]) * (Games[Date] &lt; Games[[#This Row],[Date]])),
        Games[Date]
    )
    - 1,
Games[[#This Row],[Date]]-$A$2)</f>
        <v>1</v>
      </c>
      <c r="J152" s="2" cm="1">
        <f t="array" ref="J152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52" s="2">
        <f>Games[[#This Row],[DaysOff]]-Games[[#This Row],[OppDaysOff]]</f>
        <v>-2</v>
      </c>
      <c r="L152" s="2">
        <f>Games[[#This Row],[OppDaysOff]]-Games[[#This Row],[DaysOff]]</f>
        <v>2</v>
      </c>
      <c r="M152" s="1">
        <f>MAX(-16, MIN(16, Games[[#This Row],[RestDiff]]*8))</f>
        <v>-16</v>
      </c>
      <c r="N152" s="1">
        <f>MAX(-16, MIN(16, Games[[#This Row],[OppRestDiff]]*8))</f>
        <v>16</v>
      </c>
      <c r="O152" s="4" cm="1">
        <f t="array" ref="O15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1498.0949100560463</v>
      </c>
      <c r="P152" s="4" cm="1">
        <f t="array" ref="P15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1398.8041277030452</v>
      </c>
      <c r="Q152" s="4">
        <f>1/(1+10^(((Games[[#This Row],[OppPreGmRate]]+IF(Games[[#This Row],[HomeAway]]="A",HCA,0)+Games[[#This Row],[OppRestAdj]])-(Games[[#This Row],[PreGmRate]]+IF(Games[[#This Row],[HomeAway]]="H",HCA,0)+Games[[#This Row],[RestAdj]]))/400))</f>
        <v>0.47597202503259967</v>
      </c>
      <c r="R152" s="1">
        <v>65</v>
      </c>
      <c r="S152" s="1">
        <v>63</v>
      </c>
      <c r="T152" s="1">
        <v>0</v>
      </c>
      <c r="U152" s="1">
        <f>Games[[#This Row],[PointsFor]]-Games[[#This Row],[PointsAgainst]]</f>
        <v>2</v>
      </c>
      <c r="V152" s="1">
        <f>IF(Games[[#This Row],[MOV]]&gt;0,1,IF(Games[[#This Row],[MOV]]=0,0.5,0))</f>
        <v>1</v>
      </c>
      <c r="W152" s="4">
        <f>((ABS(Games[[#This Row],[MOV]])+5)^0.6)/(12+0.01*(ABS(Games[[#This Row],[PreGmRate]]-Games[[#This Row],[OppPreGmRate]])))*IF(Games[[#This Row],[OT]]=1,0.9,1)</f>
        <v>0.24737309718270661</v>
      </c>
      <c r="X152" s="7" cm="1">
        <f t="array" ref="X15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2" s="9">
        <f>MAX(kmin, kmax - 0.15 * MIN(Games[[#This Row],[GamesPlayed]], 82))</f>
        <v>74.349999999999994</v>
      </c>
      <c r="Z152" s="4">
        <f>Games[[#This Row],[K]]*Games[[#This Row],[POMult]]</f>
        <v>74.349999999999994</v>
      </c>
      <c r="AA152" s="4">
        <f>(Games[[#This Row],[Keff]]*Games[[#This Row],[MOVMult]])*(Games[[#This Row],[Result]]-Games[[#This Row],[ExpectedWin%]])</f>
        <v>9.6380219632893311</v>
      </c>
      <c r="AB152" s="4">
        <f>Games[[#This Row],[PreGmRate]]+Games[[#This Row],[RatingChange]]</f>
        <v>1507.7329320193355</v>
      </c>
      <c r="AC152" s="2">
        <f>IF(Games[[#This Row],[Type]]="R",IF(Games[[#This Row],[Result]]&gt;0.5,1,0),0)</f>
        <v>1</v>
      </c>
      <c r="AD152" s="2">
        <f>IF(Games[[#This Row],[Type]]="R",IF(Games[[#This Row],[Result]]&lt;0.5,1,0),0)</f>
        <v>0</v>
      </c>
      <c r="AE152" s="2">
        <f>IF(AND(Games[[#This Row],[Type]]="P",Games[[#This Row],[Round]]=1),IF(Games[[#This Row],[Result]]&gt;0.5,1,0),0)</f>
        <v>0</v>
      </c>
      <c r="AF152" s="2">
        <f>IF(AND(Games[[#This Row],[Type]]="P",Games[[#This Row],[Round]]=1),IF(Games[[#This Row],[Result]]&lt;0.5,1,0),0)</f>
        <v>0</v>
      </c>
      <c r="AG152" s="2">
        <f>IF(AND(Games[[#This Row],[Type]]="P",Games[[#This Row],[Round]]=2),IF(Games[[#This Row],[Result]]&gt;0.5,1,0),0)</f>
        <v>0</v>
      </c>
      <c r="AH152" s="2">
        <f>IF(AND(Games[[#This Row],[Type]]="P",Games[[#This Row],[Round]]=2),IF(Games[[#This Row],[Result]]&lt;0.5,1,0),0)</f>
        <v>0</v>
      </c>
      <c r="AI152" s="2">
        <f>IF(AND(Games[[#This Row],[Type]]="P",Games[[#This Row],[Round]]=3),IF(Games[[#This Row],[Result]]&gt;0.5,1,0),0)</f>
        <v>0</v>
      </c>
      <c r="AJ152" s="2">
        <f>IF(AND(Games[[#This Row],[Type]]="P",Games[[#This Row],[Round]]=3),IF(Games[[#This Row],[Result]]&lt;0.5,1,0),0)</f>
        <v>0</v>
      </c>
      <c r="AK152" s="2">
        <f>IF(AND(Games[[#This Row],[Type]]="P",Games[[#This Row],[Round]]=4),IF(Games[[#This Row],[Result]]&gt;0.5,1,0),0)</f>
        <v>0</v>
      </c>
      <c r="AL152" s="2">
        <f>IF(AND(Games[[#This Row],[Type]]="P",Games[[#This Row],[Round]]=4),IF(Games[[#This Row],[Result]]&lt;0.5,1,0),0)</f>
        <v>0</v>
      </c>
    </row>
    <row r="153" spans="1:38" x14ac:dyDescent="0.35">
      <c r="A153" s="10">
        <v>37796</v>
      </c>
      <c r="B153" s="2">
        <v>2003</v>
      </c>
      <c r="C153" s="2">
        <f>COUNTIFS(Games[Team],Games[[#This Row],[Team]],Games[Season],Games[[#This Row],[Season]],Games[Date],"&lt;=" &amp; Games[[#This Row],[Date]])</f>
        <v>10</v>
      </c>
      <c r="D153" s="2" t="s">
        <v>23</v>
      </c>
      <c r="E153" s="2" t="s">
        <v>29</v>
      </c>
      <c r="F153" s="1" t="s">
        <v>74</v>
      </c>
      <c r="G153" s="1" t="s">
        <v>87</v>
      </c>
      <c r="H153" s="1" t="s">
        <v>15</v>
      </c>
      <c r="I153" s="2" cm="1">
        <f t="array" ref="I153">IFERROR(
    Games[[#This Row],[Date]]
    - LOOKUP(
        2,
        1/((Games[Team]=Games[[#This Row],[Team]]) * (Games[Date] &lt; Games[[#This Row],[Date]])),
        Games[Date]
    )
    - 1,
Games[[#This Row],[Date]]-$A$2)</f>
        <v>3</v>
      </c>
      <c r="J153" s="2" cm="1">
        <f t="array" ref="J15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53" s="2">
        <f>Games[[#This Row],[DaysOff]]-Games[[#This Row],[OppDaysOff]]</f>
        <v>2</v>
      </c>
      <c r="L153" s="2">
        <f>Games[[#This Row],[OppDaysOff]]-Games[[#This Row],[DaysOff]]</f>
        <v>-2</v>
      </c>
      <c r="M153" s="1">
        <f>MAX(-16, MIN(16, Games[[#This Row],[RestDiff]]*8))</f>
        <v>16</v>
      </c>
      <c r="N153" s="1">
        <f>MAX(-16, MIN(16, Games[[#This Row],[OppRestDiff]]*8))</f>
        <v>-16</v>
      </c>
      <c r="O153" s="4" cm="1">
        <f t="array" ref="O15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1398.8041277030452</v>
      </c>
      <c r="P153" s="4" cm="1">
        <f t="array" ref="P15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1498.0949100560463</v>
      </c>
      <c r="Q153" s="4">
        <f>1/(1+10^(((Games[[#This Row],[OppPreGmRate]]+IF(Games[[#This Row],[HomeAway]]="A",HCA,0)+Games[[#This Row],[OppRestAdj]])-(Games[[#This Row],[PreGmRate]]+IF(Games[[#This Row],[HomeAway]]="H",HCA,0)+Games[[#This Row],[RestAdj]]))/400))</f>
        <v>0.52402797496740039</v>
      </c>
      <c r="R153" s="1">
        <v>63</v>
      </c>
      <c r="S153" s="1">
        <v>65</v>
      </c>
      <c r="T153" s="1">
        <v>0</v>
      </c>
      <c r="U153" s="1">
        <f>Games[[#This Row],[PointsFor]]-Games[[#This Row],[PointsAgainst]]</f>
        <v>-2</v>
      </c>
      <c r="V153" s="1">
        <f>IF(Games[[#This Row],[MOV]]&gt;0,1,IF(Games[[#This Row],[MOV]]=0,0.5,0))</f>
        <v>0</v>
      </c>
      <c r="W153" s="4">
        <f>((ABS(Games[[#This Row],[MOV]])+5)^0.6)/(12+0.01*(ABS(Games[[#This Row],[PreGmRate]]-Games[[#This Row],[OppPreGmRate]])))*IF(Games[[#This Row],[OT]]=1,0.9,1)</f>
        <v>0.24737309718270661</v>
      </c>
      <c r="X153" s="7" cm="1">
        <f t="array" ref="X15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3" s="9">
        <f>MAX(kmin, kmax - 0.15 * MIN(Games[[#This Row],[GamesPlayed]], 82))</f>
        <v>74.5</v>
      </c>
      <c r="Z153" s="4">
        <f>Games[[#This Row],[K]]*Games[[#This Row],[POMult]]</f>
        <v>74.5</v>
      </c>
      <c r="AA153" s="4">
        <f>(Games[[#This Row],[Keff]]*Games[[#This Row],[MOVMult]])*(Games[[#This Row],[Result]]-Games[[#This Row],[ExpectedWin%]])</f>
        <v>-9.6574665267660418</v>
      </c>
      <c r="AB153" s="4">
        <f>Games[[#This Row],[PreGmRate]]+Games[[#This Row],[RatingChange]]</f>
        <v>1389.1466611762792</v>
      </c>
      <c r="AC153" s="2">
        <f>IF(Games[[#This Row],[Type]]="R",IF(Games[[#This Row],[Result]]&gt;0.5,1,0),0)</f>
        <v>0</v>
      </c>
      <c r="AD153" s="2">
        <f>IF(Games[[#This Row],[Type]]="R",IF(Games[[#This Row],[Result]]&lt;0.5,1,0),0)</f>
        <v>1</v>
      </c>
      <c r="AE153" s="2">
        <f>IF(AND(Games[[#This Row],[Type]]="P",Games[[#This Row],[Round]]=1),IF(Games[[#This Row],[Result]]&gt;0.5,1,0),0)</f>
        <v>0</v>
      </c>
      <c r="AF153" s="2">
        <f>IF(AND(Games[[#This Row],[Type]]="P",Games[[#This Row],[Round]]=1),IF(Games[[#This Row],[Result]]&lt;0.5,1,0),0)</f>
        <v>0</v>
      </c>
      <c r="AG153" s="2">
        <f>IF(AND(Games[[#This Row],[Type]]="P",Games[[#This Row],[Round]]=2),IF(Games[[#This Row],[Result]]&gt;0.5,1,0),0)</f>
        <v>0</v>
      </c>
      <c r="AH153" s="2">
        <f>IF(AND(Games[[#This Row],[Type]]="P",Games[[#This Row],[Round]]=2),IF(Games[[#This Row],[Result]]&lt;0.5,1,0),0)</f>
        <v>0</v>
      </c>
      <c r="AI153" s="2">
        <f>IF(AND(Games[[#This Row],[Type]]="P",Games[[#This Row],[Round]]=3),IF(Games[[#This Row],[Result]]&gt;0.5,1,0),0)</f>
        <v>0</v>
      </c>
      <c r="AJ153" s="2">
        <f>IF(AND(Games[[#This Row],[Type]]="P",Games[[#This Row],[Round]]=3),IF(Games[[#This Row],[Result]]&lt;0.5,1,0),0)</f>
        <v>0</v>
      </c>
      <c r="AK153" s="2">
        <f>IF(AND(Games[[#This Row],[Type]]="P",Games[[#This Row],[Round]]=4),IF(Games[[#This Row],[Result]]&gt;0.5,1,0),0)</f>
        <v>0</v>
      </c>
      <c r="AL153" s="2">
        <f>IF(AND(Games[[#This Row],[Type]]="P",Games[[#This Row],[Round]]=4),IF(Games[[#This Row],[Result]]&lt;0.5,1,0),0)</f>
        <v>0</v>
      </c>
    </row>
    <row r="154" spans="1:38" x14ac:dyDescent="0.35">
      <c r="A154" s="10">
        <v>37797</v>
      </c>
      <c r="B154" s="2">
        <v>2003</v>
      </c>
      <c r="C154" s="2">
        <f>COUNTIFS(Games[Team],Games[[#This Row],[Team]],Games[Season],Games[[#This Row],[Season]],Games[Date],"&lt;=" &amp; Games[[#This Row],[Date]])</f>
        <v>10</v>
      </c>
      <c r="D154" s="2" t="s">
        <v>23</v>
      </c>
      <c r="E154" s="2" t="s">
        <v>29</v>
      </c>
      <c r="F154" s="1" t="s">
        <v>1</v>
      </c>
      <c r="G154" s="1" t="s">
        <v>64</v>
      </c>
      <c r="H154" s="1" t="s">
        <v>16</v>
      </c>
      <c r="I154" s="2" cm="1">
        <f t="array" ref="I154">IFERROR(
    Games[[#This Row],[Date]]
    - LOOKUP(
        2,
        1/((Games[Team]=Games[[#This Row],[Team]]) * (Games[Date] &lt; Games[[#This Row],[Date]])),
        Games[Date]
    )
    - 1,
Games[[#This Row],[Date]]-$A$2)</f>
        <v>3</v>
      </c>
      <c r="J154" s="2" cm="1">
        <f t="array" ref="J15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54" s="2">
        <f>Games[[#This Row],[DaysOff]]-Games[[#This Row],[OppDaysOff]]</f>
        <v>1</v>
      </c>
      <c r="L154" s="2">
        <f>Games[[#This Row],[OppDaysOff]]-Games[[#This Row],[DaysOff]]</f>
        <v>-1</v>
      </c>
      <c r="M154" s="1">
        <f>MAX(-16, MIN(16, Games[[#This Row],[RestDiff]]*8))</f>
        <v>8</v>
      </c>
      <c r="N154" s="1">
        <f>MAX(-16, MIN(16, Games[[#This Row],[OppRestDiff]]*8))</f>
        <v>-8</v>
      </c>
      <c r="O154" s="4" cm="1">
        <f t="array" ref="O15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1494.4847235066811</v>
      </c>
      <c r="P154" s="4" cm="1">
        <f t="array" ref="P15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1507.2164673260324</v>
      </c>
      <c r="Q154" s="4">
        <f>1/(1+10^(((Games[[#This Row],[OppPreGmRate]]+IF(Games[[#This Row],[HomeAway]]="A",HCA,0)+Games[[#This Row],[OppRestAdj]])-(Games[[#This Row],[PreGmRate]]+IF(Games[[#This Row],[HomeAway]]="H",HCA,0)+Games[[#This Row],[RestAdj]]))/400))</f>
        <v>0.38586450986914994</v>
      </c>
      <c r="R154" s="1">
        <v>50</v>
      </c>
      <c r="S154" s="1">
        <v>61</v>
      </c>
      <c r="T154" s="1">
        <v>0</v>
      </c>
      <c r="U154" s="1">
        <f>Games[[#This Row],[PointsFor]]-Games[[#This Row],[PointsAgainst]]</f>
        <v>-11</v>
      </c>
      <c r="V154" s="1">
        <f>IF(Games[[#This Row],[MOV]]&gt;0,1,IF(Games[[#This Row],[MOV]]=0,0.5,0))</f>
        <v>0</v>
      </c>
      <c r="W154" s="4">
        <f>((ABS(Games[[#This Row],[MOV]])+5)^0.6)/(12+0.01*(ABS(Games[[#This Row],[PreGmRate]]-Games[[#This Row],[OppPreGmRate]])))*IF(Games[[#This Row],[OT]]=1,0.9,1)</f>
        <v>0.43521839598830464</v>
      </c>
      <c r="X154" s="7" cm="1">
        <f t="array" ref="X15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4" s="9">
        <f>MAX(kmin, kmax - 0.15 * MIN(Games[[#This Row],[GamesPlayed]], 82))</f>
        <v>74.5</v>
      </c>
      <c r="Z154" s="4">
        <f>Games[[#This Row],[K]]*Games[[#This Row],[POMult]]</f>
        <v>74.5</v>
      </c>
      <c r="AA154" s="4">
        <f>(Games[[#This Row],[Keff]]*Games[[#This Row],[MOVMult]])*(Games[[#This Row],[Result]]-Games[[#This Row],[ExpectedWin%]])</f>
        <v>-12.511182312527826</v>
      </c>
      <c r="AB154" s="4">
        <f>Games[[#This Row],[PreGmRate]]+Games[[#This Row],[RatingChange]]</f>
        <v>1481.9735411941533</v>
      </c>
      <c r="AC154" s="2">
        <f>IF(Games[[#This Row],[Type]]="R",IF(Games[[#This Row],[Result]]&gt;0.5,1,0),0)</f>
        <v>0</v>
      </c>
      <c r="AD154" s="2">
        <f>IF(Games[[#This Row],[Type]]="R",IF(Games[[#This Row],[Result]]&lt;0.5,1,0),0)</f>
        <v>1</v>
      </c>
      <c r="AE154" s="2">
        <f>IF(AND(Games[[#This Row],[Type]]="P",Games[[#This Row],[Round]]=1),IF(Games[[#This Row],[Result]]&gt;0.5,1,0),0)</f>
        <v>0</v>
      </c>
      <c r="AF154" s="2">
        <f>IF(AND(Games[[#This Row],[Type]]="P",Games[[#This Row],[Round]]=1),IF(Games[[#This Row],[Result]]&lt;0.5,1,0),0)</f>
        <v>0</v>
      </c>
      <c r="AG154" s="2">
        <f>IF(AND(Games[[#This Row],[Type]]="P",Games[[#This Row],[Round]]=2),IF(Games[[#This Row],[Result]]&gt;0.5,1,0),0)</f>
        <v>0</v>
      </c>
      <c r="AH154" s="2">
        <f>IF(AND(Games[[#This Row],[Type]]="P",Games[[#This Row],[Round]]=2),IF(Games[[#This Row],[Result]]&lt;0.5,1,0),0)</f>
        <v>0</v>
      </c>
      <c r="AI154" s="2">
        <f>IF(AND(Games[[#This Row],[Type]]="P",Games[[#This Row],[Round]]=3),IF(Games[[#This Row],[Result]]&gt;0.5,1,0),0)</f>
        <v>0</v>
      </c>
      <c r="AJ154" s="2">
        <f>IF(AND(Games[[#This Row],[Type]]="P",Games[[#This Row],[Round]]=3),IF(Games[[#This Row],[Result]]&lt;0.5,1,0),0)</f>
        <v>0</v>
      </c>
      <c r="AK154" s="2">
        <f>IF(AND(Games[[#This Row],[Type]]="P",Games[[#This Row],[Round]]=4),IF(Games[[#This Row],[Result]]&gt;0.5,1,0),0)</f>
        <v>0</v>
      </c>
      <c r="AL154" s="2">
        <f>IF(AND(Games[[#This Row],[Type]]="P",Games[[#This Row],[Round]]=4),IF(Games[[#This Row],[Result]]&lt;0.5,1,0),0)</f>
        <v>0</v>
      </c>
    </row>
    <row r="155" spans="1:38" x14ac:dyDescent="0.35">
      <c r="A155" s="10">
        <v>37797</v>
      </c>
      <c r="B155" s="2">
        <v>2003</v>
      </c>
      <c r="C155" s="2">
        <f>COUNTIFS(Games[Team],Games[[#This Row],[Team]],Games[Season],Games[[#This Row],[Season]],Games[Date],"&lt;=" &amp; Games[[#This Row],[Date]])</f>
        <v>12</v>
      </c>
      <c r="D155" s="2" t="s">
        <v>23</v>
      </c>
      <c r="E155" s="2" t="s">
        <v>29</v>
      </c>
      <c r="F155" s="1" t="s">
        <v>64</v>
      </c>
      <c r="G155" s="1" t="s">
        <v>1</v>
      </c>
      <c r="H155" s="1" t="s">
        <v>15</v>
      </c>
      <c r="I155" s="2" cm="1">
        <f t="array" ref="I155">IFERROR(
    Games[[#This Row],[Date]]
    - LOOKUP(
        2,
        1/((Games[Team]=Games[[#This Row],[Team]]) * (Games[Date] &lt; Games[[#This Row],[Date]])),
        Games[Date]
    )
    - 1,
Games[[#This Row],[Date]]-$A$2)</f>
        <v>2</v>
      </c>
      <c r="J155" s="2" cm="1">
        <f t="array" ref="J155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55" s="2">
        <f>Games[[#This Row],[DaysOff]]-Games[[#This Row],[OppDaysOff]]</f>
        <v>-1</v>
      </c>
      <c r="L155" s="2">
        <f>Games[[#This Row],[OppDaysOff]]-Games[[#This Row],[DaysOff]]</f>
        <v>1</v>
      </c>
      <c r="M155" s="1">
        <f>MAX(-16, MIN(16, Games[[#This Row],[RestDiff]]*8))</f>
        <v>-8</v>
      </c>
      <c r="N155" s="1">
        <f>MAX(-16, MIN(16, Games[[#This Row],[OppRestDiff]]*8))</f>
        <v>8</v>
      </c>
      <c r="O155" s="4" cm="1">
        <f t="array" ref="O15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1507.2164673260324</v>
      </c>
      <c r="P155" s="4" cm="1">
        <f t="array" ref="P15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1494.4847235066811</v>
      </c>
      <c r="Q155" s="4">
        <f>1/(1+10^(((Games[[#This Row],[OppPreGmRate]]+IF(Games[[#This Row],[HomeAway]]="A",HCA,0)+Games[[#This Row],[OppRestAdj]])-(Games[[#This Row],[PreGmRate]]+IF(Games[[#This Row],[HomeAway]]="H",HCA,0)+Games[[#This Row],[RestAdj]]))/400))</f>
        <v>0.61413549013085011</v>
      </c>
      <c r="R155" s="1">
        <v>61</v>
      </c>
      <c r="S155" s="1">
        <v>50</v>
      </c>
      <c r="T155" s="1">
        <v>0</v>
      </c>
      <c r="U155" s="1">
        <f>Games[[#This Row],[PointsFor]]-Games[[#This Row],[PointsAgainst]]</f>
        <v>11</v>
      </c>
      <c r="V155" s="1">
        <f>IF(Games[[#This Row],[MOV]]&gt;0,1,IF(Games[[#This Row],[MOV]]=0,0.5,0))</f>
        <v>1</v>
      </c>
      <c r="W155" s="4">
        <f>((ABS(Games[[#This Row],[MOV]])+5)^0.6)/(12+0.01*(ABS(Games[[#This Row],[PreGmRate]]-Games[[#This Row],[OppPreGmRate]])))*IF(Games[[#This Row],[OT]]=1,0.9,1)</f>
        <v>0.43521839598830464</v>
      </c>
      <c r="X155" s="7" cm="1">
        <f t="array" ref="X15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5" s="9">
        <f>MAX(kmin, kmax - 0.15 * MIN(Games[[#This Row],[GamesPlayed]], 82))</f>
        <v>74.2</v>
      </c>
      <c r="Z155" s="4">
        <f>Games[[#This Row],[K]]*Games[[#This Row],[POMult]]</f>
        <v>74.2</v>
      </c>
      <c r="AA155" s="4">
        <f>(Games[[#This Row],[Keff]]*Games[[#This Row],[MOVMult]])*(Games[[#This Row],[Result]]-Games[[#This Row],[ExpectedWin%]])</f>
        <v>12.460801712611605</v>
      </c>
      <c r="AB155" s="4">
        <f>Games[[#This Row],[PreGmRate]]+Games[[#This Row],[RatingChange]]</f>
        <v>1519.677269038644</v>
      </c>
      <c r="AC155" s="2">
        <f>IF(Games[[#This Row],[Type]]="R",IF(Games[[#This Row],[Result]]&gt;0.5,1,0),0)</f>
        <v>1</v>
      </c>
      <c r="AD155" s="2">
        <f>IF(Games[[#This Row],[Type]]="R",IF(Games[[#This Row],[Result]]&lt;0.5,1,0),0)</f>
        <v>0</v>
      </c>
      <c r="AE155" s="2">
        <f>IF(AND(Games[[#This Row],[Type]]="P",Games[[#This Row],[Round]]=1),IF(Games[[#This Row],[Result]]&gt;0.5,1,0),0)</f>
        <v>0</v>
      </c>
      <c r="AF155" s="2">
        <f>IF(AND(Games[[#This Row],[Type]]="P",Games[[#This Row],[Round]]=1),IF(Games[[#This Row],[Result]]&lt;0.5,1,0),0)</f>
        <v>0</v>
      </c>
      <c r="AG155" s="2">
        <f>IF(AND(Games[[#This Row],[Type]]="P",Games[[#This Row],[Round]]=2),IF(Games[[#This Row],[Result]]&gt;0.5,1,0),0)</f>
        <v>0</v>
      </c>
      <c r="AH155" s="2">
        <f>IF(AND(Games[[#This Row],[Type]]="P",Games[[#This Row],[Round]]=2),IF(Games[[#This Row],[Result]]&lt;0.5,1,0),0)</f>
        <v>0</v>
      </c>
      <c r="AI155" s="2">
        <f>IF(AND(Games[[#This Row],[Type]]="P",Games[[#This Row],[Round]]=3),IF(Games[[#This Row],[Result]]&gt;0.5,1,0),0)</f>
        <v>0</v>
      </c>
      <c r="AJ155" s="2">
        <f>IF(AND(Games[[#This Row],[Type]]="P",Games[[#This Row],[Round]]=3),IF(Games[[#This Row],[Result]]&lt;0.5,1,0),0)</f>
        <v>0</v>
      </c>
      <c r="AK155" s="2">
        <f>IF(AND(Games[[#This Row],[Type]]="P",Games[[#This Row],[Round]]=4),IF(Games[[#This Row],[Result]]&gt;0.5,1,0),0)</f>
        <v>0</v>
      </c>
      <c r="AL155" s="2">
        <f>IF(AND(Games[[#This Row],[Type]]="P",Games[[#This Row],[Round]]=4),IF(Games[[#This Row],[Result]]&lt;0.5,1,0),0)</f>
        <v>0</v>
      </c>
    </row>
    <row r="156" spans="1:38" x14ac:dyDescent="0.35">
      <c r="A156" s="10">
        <v>37797</v>
      </c>
      <c r="B156" s="2">
        <v>2003</v>
      </c>
      <c r="C156" s="2">
        <f>COUNTIFS(Games[Team],Games[[#This Row],[Team]],Games[Season],Games[[#This Row],[Season]],Games[Date],"&lt;=" &amp; Games[[#This Row],[Date]])</f>
        <v>12</v>
      </c>
      <c r="D156" s="2" t="s">
        <v>23</v>
      </c>
      <c r="E156" s="2" t="s">
        <v>29</v>
      </c>
      <c r="F156" s="1" t="s">
        <v>44</v>
      </c>
      <c r="G156" s="1" t="s">
        <v>66</v>
      </c>
      <c r="H156" s="1" t="s">
        <v>16</v>
      </c>
      <c r="I156" s="2" cm="1">
        <f t="array" ref="I156">IFERROR(
    Games[[#This Row],[Date]]
    - LOOKUP(
        2,
        1/((Games[Team]=Games[[#This Row],[Team]]) * (Games[Date] &lt; Games[[#This Row],[Date]])),
        Games[Date]
    )
    - 1,
Games[[#This Row],[Date]]-$A$2)</f>
        <v>3</v>
      </c>
      <c r="J156" s="2" cm="1">
        <f t="array" ref="J15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56" s="2">
        <f>Games[[#This Row],[DaysOff]]-Games[[#This Row],[OppDaysOff]]</f>
        <v>1</v>
      </c>
      <c r="L156" s="2">
        <f>Games[[#This Row],[OppDaysOff]]-Games[[#This Row],[DaysOff]]</f>
        <v>-1</v>
      </c>
      <c r="M156" s="1">
        <f>MAX(-16, MIN(16, Games[[#This Row],[RestDiff]]*8))</f>
        <v>8</v>
      </c>
      <c r="N156" s="1">
        <f>MAX(-16, MIN(16, Games[[#This Row],[OppRestDiff]]*8))</f>
        <v>-8</v>
      </c>
      <c r="O156" s="4" cm="1">
        <f t="array" ref="O15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1381.6958178576563</v>
      </c>
      <c r="P156" s="4" cm="1">
        <f t="array" ref="P15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1524.6891279994265</v>
      </c>
      <c r="Q156" s="4">
        <f>1/(1+10^(((Games[[#This Row],[OppPreGmRate]]+IF(Games[[#This Row],[HomeAway]]="A",HCA,0)+Games[[#This Row],[OppRestAdj]])-(Games[[#This Row],[PreGmRate]]+IF(Games[[#This Row],[HomeAway]]="H",HCA,0)+Games[[#This Row],[RestAdj]]))/400))</f>
        <v>0.22889253627086317</v>
      </c>
      <c r="R156" s="1">
        <v>64</v>
      </c>
      <c r="S156" s="1">
        <v>70</v>
      </c>
      <c r="T156" s="1">
        <v>0</v>
      </c>
      <c r="U156" s="1">
        <f>Games[[#This Row],[PointsFor]]-Games[[#This Row],[PointsAgainst]]</f>
        <v>-6</v>
      </c>
      <c r="V156" s="1">
        <f>IF(Games[[#This Row],[MOV]]&gt;0,1,IF(Games[[#This Row],[MOV]]=0,0.5,0))</f>
        <v>0</v>
      </c>
      <c r="W156" s="4">
        <f>((ABS(Games[[#This Row],[MOV]])+5)^0.6)/(12+0.01*(ABS(Games[[#This Row],[PreGmRate]]-Games[[#This Row],[OppPreGmRate]])))*IF(Games[[#This Row],[OT]]=1,0.9,1)</f>
        <v>0.31387863969679147</v>
      </c>
      <c r="X156" s="7" cm="1">
        <f t="array" ref="X15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6" s="9">
        <f>MAX(kmin, kmax - 0.15 * MIN(Games[[#This Row],[GamesPlayed]], 82))</f>
        <v>74.2</v>
      </c>
      <c r="Z156" s="4">
        <f>Games[[#This Row],[K]]*Games[[#This Row],[POMult]]</f>
        <v>74.2</v>
      </c>
      <c r="AA156" s="4">
        <f>(Games[[#This Row],[Keff]]*Games[[#This Row],[MOVMult]])*(Games[[#This Row],[Result]]-Games[[#This Row],[ExpectedWin%]])</f>
        <v>-5.3308602617713703</v>
      </c>
      <c r="AB156" s="4">
        <f>Games[[#This Row],[PreGmRate]]+Games[[#This Row],[RatingChange]]</f>
        <v>1376.3649575958848</v>
      </c>
      <c r="AC156" s="2">
        <f>IF(Games[[#This Row],[Type]]="R",IF(Games[[#This Row],[Result]]&gt;0.5,1,0),0)</f>
        <v>0</v>
      </c>
      <c r="AD156" s="2">
        <f>IF(Games[[#This Row],[Type]]="R",IF(Games[[#This Row],[Result]]&lt;0.5,1,0),0)</f>
        <v>1</v>
      </c>
      <c r="AE156" s="2">
        <f>IF(AND(Games[[#This Row],[Type]]="P",Games[[#This Row],[Round]]=1),IF(Games[[#This Row],[Result]]&gt;0.5,1,0),0)</f>
        <v>0</v>
      </c>
      <c r="AF156" s="2">
        <f>IF(AND(Games[[#This Row],[Type]]="P",Games[[#This Row],[Round]]=1),IF(Games[[#This Row],[Result]]&lt;0.5,1,0),0)</f>
        <v>0</v>
      </c>
      <c r="AG156" s="2">
        <f>IF(AND(Games[[#This Row],[Type]]="P",Games[[#This Row],[Round]]=2),IF(Games[[#This Row],[Result]]&gt;0.5,1,0),0)</f>
        <v>0</v>
      </c>
      <c r="AH156" s="2">
        <f>IF(AND(Games[[#This Row],[Type]]="P",Games[[#This Row],[Round]]=2),IF(Games[[#This Row],[Result]]&lt;0.5,1,0),0)</f>
        <v>0</v>
      </c>
      <c r="AI156" s="2">
        <f>IF(AND(Games[[#This Row],[Type]]="P",Games[[#This Row],[Round]]=3),IF(Games[[#This Row],[Result]]&gt;0.5,1,0),0)</f>
        <v>0</v>
      </c>
      <c r="AJ156" s="2">
        <f>IF(AND(Games[[#This Row],[Type]]="P",Games[[#This Row],[Round]]=3),IF(Games[[#This Row],[Result]]&lt;0.5,1,0),0)</f>
        <v>0</v>
      </c>
      <c r="AK156" s="2">
        <f>IF(AND(Games[[#This Row],[Type]]="P",Games[[#This Row],[Round]]=4),IF(Games[[#This Row],[Result]]&gt;0.5,1,0),0)</f>
        <v>0</v>
      </c>
      <c r="AL156" s="2">
        <f>IF(AND(Games[[#This Row],[Type]]="P",Games[[#This Row],[Round]]=4),IF(Games[[#This Row],[Result]]&lt;0.5,1,0),0)</f>
        <v>0</v>
      </c>
    </row>
    <row r="157" spans="1:38" x14ac:dyDescent="0.35">
      <c r="A157" s="10">
        <v>37797</v>
      </c>
      <c r="B157" s="2">
        <v>2003</v>
      </c>
      <c r="C157" s="2">
        <f>COUNTIFS(Games[Team],Games[[#This Row],[Team]],Games[Season],Games[[#This Row],[Season]],Games[Date],"&lt;=" &amp; Games[[#This Row],[Date]])</f>
        <v>10</v>
      </c>
      <c r="D157" s="2" t="s">
        <v>23</v>
      </c>
      <c r="E157" s="2" t="s">
        <v>29</v>
      </c>
      <c r="F157" s="1" t="s">
        <v>66</v>
      </c>
      <c r="G157" s="1" t="s">
        <v>44</v>
      </c>
      <c r="H157" s="1" t="s">
        <v>15</v>
      </c>
      <c r="I157" s="2" cm="1">
        <f t="array" ref="I157">IFERROR(
    Games[[#This Row],[Date]]
    - LOOKUP(
        2,
        1/((Games[Team]=Games[[#This Row],[Team]]) * (Games[Date] &lt; Games[[#This Row],[Date]])),
        Games[Date]
    )
    - 1,
Games[[#This Row],[Date]]-$A$2)</f>
        <v>2</v>
      </c>
      <c r="J157" s="2" cm="1">
        <f t="array" ref="J157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57" s="2">
        <f>Games[[#This Row],[DaysOff]]-Games[[#This Row],[OppDaysOff]]</f>
        <v>-1</v>
      </c>
      <c r="L157" s="2">
        <f>Games[[#This Row],[OppDaysOff]]-Games[[#This Row],[DaysOff]]</f>
        <v>1</v>
      </c>
      <c r="M157" s="1">
        <f>MAX(-16, MIN(16, Games[[#This Row],[RestDiff]]*8))</f>
        <v>-8</v>
      </c>
      <c r="N157" s="1">
        <f>MAX(-16, MIN(16, Games[[#This Row],[OppRestDiff]]*8))</f>
        <v>8</v>
      </c>
      <c r="O157" s="4" cm="1">
        <f t="array" ref="O15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1524.6891279994265</v>
      </c>
      <c r="P157" s="4" cm="1">
        <f t="array" ref="P15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1381.6958178576563</v>
      </c>
      <c r="Q157" s="4">
        <f>1/(1+10^(((Games[[#This Row],[OppPreGmRate]]+IF(Games[[#This Row],[HomeAway]]="A",HCA,0)+Games[[#This Row],[OppRestAdj]])-(Games[[#This Row],[PreGmRate]]+IF(Games[[#This Row],[HomeAway]]="H",HCA,0)+Games[[#This Row],[RestAdj]]))/400))</f>
        <v>0.77110746372913685</v>
      </c>
      <c r="R157" s="1">
        <v>70</v>
      </c>
      <c r="S157" s="1">
        <v>64</v>
      </c>
      <c r="T157" s="1">
        <v>0</v>
      </c>
      <c r="U157" s="1">
        <f>Games[[#This Row],[PointsFor]]-Games[[#This Row],[PointsAgainst]]</f>
        <v>6</v>
      </c>
      <c r="V157" s="1">
        <f>IF(Games[[#This Row],[MOV]]&gt;0,1,IF(Games[[#This Row],[MOV]]=0,0.5,0))</f>
        <v>1</v>
      </c>
      <c r="W157" s="4">
        <f>((ABS(Games[[#This Row],[MOV]])+5)^0.6)/(12+0.01*(ABS(Games[[#This Row],[PreGmRate]]-Games[[#This Row],[OppPreGmRate]])))*IF(Games[[#This Row],[OT]]=1,0.9,1)</f>
        <v>0.31387863969679147</v>
      </c>
      <c r="X157" s="7" cm="1">
        <f t="array" ref="X15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7" s="9">
        <f>MAX(kmin, kmax - 0.15 * MIN(Games[[#This Row],[GamesPlayed]], 82))</f>
        <v>74.5</v>
      </c>
      <c r="Z157" s="4">
        <f>Games[[#This Row],[K]]*Games[[#This Row],[POMult]]</f>
        <v>74.5</v>
      </c>
      <c r="AA157" s="4">
        <f>(Games[[#This Row],[Keff]]*Games[[#This Row],[MOVMult]])*(Games[[#This Row],[Result]]-Games[[#This Row],[ExpectedWin%]])</f>
        <v>5.3524136051478033</v>
      </c>
      <c r="AB157" s="4">
        <f>Games[[#This Row],[PreGmRate]]+Games[[#This Row],[RatingChange]]</f>
        <v>1530.0415416045744</v>
      </c>
      <c r="AC157" s="2">
        <f>IF(Games[[#This Row],[Type]]="R",IF(Games[[#This Row],[Result]]&gt;0.5,1,0),0)</f>
        <v>1</v>
      </c>
      <c r="AD157" s="2">
        <f>IF(Games[[#This Row],[Type]]="R",IF(Games[[#This Row],[Result]]&lt;0.5,1,0),0)</f>
        <v>0</v>
      </c>
      <c r="AE157" s="2">
        <f>IF(AND(Games[[#This Row],[Type]]="P",Games[[#This Row],[Round]]=1),IF(Games[[#This Row],[Result]]&gt;0.5,1,0),0)</f>
        <v>0</v>
      </c>
      <c r="AF157" s="2">
        <f>IF(AND(Games[[#This Row],[Type]]="P",Games[[#This Row],[Round]]=1),IF(Games[[#This Row],[Result]]&lt;0.5,1,0),0)</f>
        <v>0</v>
      </c>
      <c r="AG157" s="2">
        <f>IF(AND(Games[[#This Row],[Type]]="P",Games[[#This Row],[Round]]=2),IF(Games[[#This Row],[Result]]&gt;0.5,1,0),0)</f>
        <v>0</v>
      </c>
      <c r="AH157" s="2">
        <f>IF(AND(Games[[#This Row],[Type]]="P",Games[[#This Row],[Round]]=2),IF(Games[[#This Row],[Result]]&lt;0.5,1,0),0)</f>
        <v>0</v>
      </c>
      <c r="AI157" s="2">
        <f>IF(AND(Games[[#This Row],[Type]]="P",Games[[#This Row],[Round]]=3),IF(Games[[#This Row],[Result]]&gt;0.5,1,0),0)</f>
        <v>0</v>
      </c>
      <c r="AJ157" s="2">
        <f>IF(AND(Games[[#This Row],[Type]]="P",Games[[#This Row],[Round]]=3),IF(Games[[#This Row],[Result]]&lt;0.5,1,0),0)</f>
        <v>0</v>
      </c>
      <c r="AK157" s="2">
        <f>IF(AND(Games[[#This Row],[Type]]="P",Games[[#This Row],[Round]]=4),IF(Games[[#This Row],[Result]]&gt;0.5,1,0),0)</f>
        <v>0</v>
      </c>
      <c r="AL157" s="2">
        <f>IF(AND(Games[[#This Row],[Type]]="P",Games[[#This Row],[Round]]=4),IF(Games[[#This Row],[Result]]&lt;0.5,1,0),0)</f>
        <v>0</v>
      </c>
    </row>
    <row r="158" spans="1:38" x14ac:dyDescent="0.35">
      <c r="A158" s="10">
        <v>37798</v>
      </c>
      <c r="B158" s="2">
        <v>2003</v>
      </c>
      <c r="C158" s="2">
        <f>COUNTIFS(Games[Team],Games[[#This Row],[Team]],Games[Season],Games[[#This Row],[Season]],Games[Date],"&lt;=" &amp; Games[[#This Row],[Date]])</f>
        <v>11</v>
      </c>
      <c r="D158" s="2" t="s">
        <v>23</v>
      </c>
      <c r="E158" s="2" t="s">
        <v>29</v>
      </c>
      <c r="F158" s="1" t="s">
        <v>80</v>
      </c>
      <c r="G158" s="1" t="s">
        <v>87</v>
      </c>
      <c r="H158" s="1" t="s">
        <v>16</v>
      </c>
      <c r="I158" s="2" cm="1">
        <f t="array" ref="I158">IFERROR(
    Games[[#This Row],[Date]]
    - LOOKUP(
        2,
        1/((Games[Team]=Games[[#This Row],[Team]]) * (Games[Date] &lt; Games[[#This Row],[Date]])),
        Games[Date]
    )
    - 1,
Games[[#This Row],[Date]]-$A$2)</f>
        <v>1</v>
      </c>
      <c r="J158" s="2" cm="1">
        <f t="array" ref="J15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58" s="2">
        <f>Games[[#This Row],[DaysOff]]-Games[[#This Row],[OppDaysOff]]</f>
        <v>0</v>
      </c>
      <c r="L158" s="2">
        <f>Games[[#This Row],[OppDaysOff]]-Games[[#This Row],[DaysOff]]</f>
        <v>0</v>
      </c>
      <c r="M158" s="1">
        <f>MAX(-16, MIN(16, Games[[#This Row],[RestDiff]]*8))</f>
        <v>0</v>
      </c>
      <c r="N158" s="1">
        <f>MAX(-16, MIN(16, Games[[#This Row],[OppRestDiff]]*8))</f>
        <v>0</v>
      </c>
      <c r="O158" s="4" cm="1">
        <f t="array" ref="O15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1507.0313049782135</v>
      </c>
      <c r="P158" s="4" cm="1">
        <f t="array" ref="P15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1507.7329320193355</v>
      </c>
      <c r="Q158" s="4">
        <f>1/(1+10^(((Games[[#This Row],[OppPreGmRate]]+IF(Games[[#This Row],[HomeAway]]="A",HCA,0)+Games[[#This Row],[OppRestAdj]])-(Games[[#This Row],[PreGmRate]]+IF(Games[[#This Row],[HomeAway]]="H",HCA,0)+Games[[#This Row],[RestAdj]]))/400))</f>
        <v>0.38046340856422162</v>
      </c>
      <c r="R158" s="1">
        <v>94</v>
      </c>
      <c r="S158" s="1">
        <v>90</v>
      </c>
      <c r="T158" s="1">
        <v>1</v>
      </c>
      <c r="U158" s="1">
        <f>Games[[#This Row],[PointsFor]]-Games[[#This Row],[PointsAgainst]]</f>
        <v>4</v>
      </c>
      <c r="V158" s="1">
        <f>IF(Games[[#This Row],[MOV]]&gt;0,1,IF(Games[[#This Row],[MOV]]=0,0.5,0))</f>
        <v>1</v>
      </c>
      <c r="W158" s="4">
        <f>((ABS(Games[[#This Row],[MOV]])+5)^0.6)/(12+0.01*(ABS(Games[[#This Row],[PreGmRate]]-Games[[#This Row],[OppPreGmRate]])))*IF(Games[[#This Row],[OT]]=1,0.9,1)</f>
        <v>0.28012567495643975</v>
      </c>
      <c r="X158" s="7" cm="1">
        <f t="array" ref="X15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8" s="9">
        <f>MAX(kmin, kmax - 0.15 * MIN(Games[[#This Row],[GamesPlayed]], 82))</f>
        <v>74.349999999999994</v>
      </c>
      <c r="Z158" s="4">
        <f>Games[[#This Row],[K]]*Games[[#This Row],[POMult]]</f>
        <v>74.349999999999994</v>
      </c>
      <c r="AA158" s="4">
        <f>(Games[[#This Row],[Keff]]*Games[[#This Row],[MOVMult]])*(Games[[#This Row],[Result]]-Games[[#This Row],[ExpectedWin%]])</f>
        <v>12.903301668918457</v>
      </c>
      <c r="AB158" s="4">
        <f>Games[[#This Row],[PreGmRate]]+Games[[#This Row],[RatingChange]]</f>
        <v>1519.9346066471319</v>
      </c>
      <c r="AC158" s="2">
        <f>IF(Games[[#This Row],[Type]]="R",IF(Games[[#This Row],[Result]]&gt;0.5,1,0),0)</f>
        <v>1</v>
      </c>
      <c r="AD158" s="2">
        <f>IF(Games[[#This Row],[Type]]="R",IF(Games[[#This Row],[Result]]&lt;0.5,1,0),0)</f>
        <v>0</v>
      </c>
      <c r="AE158" s="2">
        <f>IF(AND(Games[[#This Row],[Type]]="P",Games[[#This Row],[Round]]=1),IF(Games[[#This Row],[Result]]&gt;0.5,1,0),0)</f>
        <v>0</v>
      </c>
      <c r="AF158" s="2">
        <f>IF(AND(Games[[#This Row],[Type]]="P",Games[[#This Row],[Round]]=1),IF(Games[[#This Row],[Result]]&lt;0.5,1,0),0)</f>
        <v>0</v>
      </c>
      <c r="AG158" s="2">
        <f>IF(AND(Games[[#This Row],[Type]]="P",Games[[#This Row],[Round]]=2),IF(Games[[#This Row],[Result]]&gt;0.5,1,0),0)</f>
        <v>0</v>
      </c>
      <c r="AH158" s="2">
        <f>IF(AND(Games[[#This Row],[Type]]="P",Games[[#This Row],[Round]]=2),IF(Games[[#This Row],[Result]]&lt;0.5,1,0),0)</f>
        <v>0</v>
      </c>
      <c r="AI158" s="2">
        <f>IF(AND(Games[[#This Row],[Type]]="P",Games[[#This Row],[Round]]=3),IF(Games[[#This Row],[Result]]&gt;0.5,1,0),0)</f>
        <v>0</v>
      </c>
      <c r="AJ158" s="2">
        <f>IF(AND(Games[[#This Row],[Type]]="P",Games[[#This Row],[Round]]=3),IF(Games[[#This Row],[Result]]&lt;0.5,1,0),0)</f>
        <v>0</v>
      </c>
      <c r="AK158" s="2">
        <f>IF(AND(Games[[#This Row],[Type]]="P",Games[[#This Row],[Round]]=4),IF(Games[[#This Row],[Result]]&gt;0.5,1,0),0)</f>
        <v>0</v>
      </c>
      <c r="AL158" s="2">
        <f>IF(AND(Games[[#This Row],[Type]]="P",Games[[#This Row],[Round]]=4),IF(Games[[#This Row],[Result]]&lt;0.5,1,0),0)</f>
        <v>0</v>
      </c>
    </row>
    <row r="159" spans="1:38" x14ac:dyDescent="0.35">
      <c r="A159" s="10">
        <v>37798</v>
      </c>
      <c r="B159" s="2">
        <v>2003</v>
      </c>
      <c r="C159" s="2">
        <f>COUNTIFS(Games[Team],Games[[#This Row],[Team]],Games[Season],Games[[#This Row],[Season]],Games[Date],"&lt;=" &amp; Games[[#This Row],[Date]])</f>
        <v>12</v>
      </c>
      <c r="D159" s="2" t="s">
        <v>23</v>
      </c>
      <c r="E159" s="2" t="s">
        <v>29</v>
      </c>
      <c r="F159" s="1" t="s">
        <v>87</v>
      </c>
      <c r="G159" s="1" t="s">
        <v>80</v>
      </c>
      <c r="H159" s="1" t="s">
        <v>15</v>
      </c>
      <c r="I159" s="2" cm="1">
        <f t="array" ref="I159">IFERROR(
    Games[[#This Row],[Date]]
    - LOOKUP(
        2,
        1/((Games[Team]=Games[[#This Row],[Team]]) * (Games[Date] &lt; Games[[#This Row],[Date]])),
        Games[Date]
    )
    - 1,
Games[[#This Row],[Date]]-$A$2)</f>
        <v>1</v>
      </c>
      <c r="J159" s="2" cm="1">
        <f t="array" ref="J15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59" s="2">
        <f>Games[[#This Row],[DaysOff]]-Games[[#This Row],[OppDaysOff]]</f>
        <v>0</v>
      </c>
      <c r="L159" s="2">
        <f>Games[[#This Row],[OppDaysOff]]-Games[[#This Row],[DaysOff]]</f>
        <v>0</v>
      </c>
      <c r="M159" s="1">
        <f>MAX(-16, MIN(16, Games[[#This Row],[RestDiff]]*8))</f>
        <v>0</v>
      </c>
      <c r="N159" s="1">
        <f>MAX(-16, MIN(16, Games[[#This Row],[OppRestDiff]]*8))</f>
        <v>0</v>
      </c>
      <c r="O159" s="4" cm="1">
        <f t="array" ref="O15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1507.7329320193355</v>
      </c>
      <c r="P159" s="4" cm="1">
        <f t="array" ref="P15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1507.0313049782135</v>
      </c>
      <c r="Q159" s="4">
        <f>1/(1+10^(((Games[[#This Row],[OppPreGmRate]]+IF(Games[[#This Row],[HomeAway]]="A",HCA,0)+Games[[#This Row],[OppRestAdj]])-(Games[[#This Row],[PreGmRate]]+IF(Games[[#This Row],[HomeAway]]="H",HCA,0)+Games[[#This Row],[RestAdj]]))/400))</f>
        <v>0.61953659143577844</v>
      </c>
      <c r="R159" s="1">
        <v>90</v>
      </c>
      <c r="S159" s="1">
        <v>94</v>
      </c>
      <c r="T159" s="1">
        <v>1</v>
      </c>
      <c r="U159" s="1">
        <f>Games[[#This Row],[PointsFor]]-Games[[#This Row],[PointsAgainst]]</f>
        <v>-4</v>
      </c>
      <c r="V159" s="1">
        <f>IF(Games[[#This Row],[MOV]]&gt;0,1,IF(Games[[#This Row],[MOV]]=0,0.5,0))</f>
        <v>0</v>
      </c>
      <c r="W159" s="4">
        <f>((ABS(Games[[#This Row],[MOV]])+5)^0.6)/(12+0.01*(ABS(Games[[#This Row],[PreGmRate]]-Games[[#This Row],[OppPreGmRate]])))*IF(Games[[#This Row],[OT]]=1,0.9,1)</f>
        <v>0.28012567495643975</v>
      </c>
      <c r="X159" s="7" cm="1">
        <f t="array" ref="X15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9" s="9">
        <f>MAX(kmin, kmax - 0.15 * MIN(Games[[#This Row],[GamesPlayed]], 82))</f>
        <v>74.2</v>
      </c>
      <c r="Z159" s="4">
        <f>Games[[#This Row],[K]]*Games[[#This Row],[POMult]]</f>
        <v>74.2</v>
      </c>
      <c r="AA159" s="4">
        <f>(Games[[#This Row],[Keff]]*Games[[#This Row],[MOVMult]])*(Games[[#This Row],[Result]]-Games[[#This Row],[ExpectedWin%]])</f>
        <v>-12.877269453043034</v>
      </c>
      <c r="AB159" s="4">
        <f>Games[[#This Row],[PreGmRate]]+Games[[#This Row],[RatingChange]]</f>
        <v>1494.8556625662925</v>
      </c>
      <c r="AC159" s="2">
        <f>IF(Games[[#This Row],[Type]]="R",IF(Games[[#This Row],[Result]]&gt;0.5,1,0),0)</f>
        <v>0</v>
      </c>
      <c r="AD159" s="2">
        <f>IF(Games[[#This Row],[Type]]="R",IF(Games[[#This Row],[Result]]&lt;0.5,1,0),0)</f>
        <v>1</v>
      </c>
      <c r="AE159" s="2">
        <f>IF(AND(Games[[#This Row],[Type]]="P",Games[[#This Row],[Round]]=1),IF(Games[[#This Row],[Result]]&gt;0.5,1,0),0)</f>
        <v>0</v>
      </c>
      <c r="AF159" s="2">
        <f>IF(AND(Games[[#This Row],[Type]]="P",Games[[#This Row],[Round]]=1),IF(Games[[#This Row],[Result]]&lt;0.5,1,0),0)</f>
        <v>0</v>
      </c>
      <c r="AG159" s="2">
        <f>IF(AND(Games[[#This Row],[Type]]="P",Games[[#This Row],[Round]]=2),IF(Games[[#This Row],[Result]]&gt;0.5,1,0),0)</f>
        <v>0</v>
      </c>
      <c r="AH159" s="2">
        <f>IF(AND(Games[[#This Row],[Type]]="P",Games[[#This Row],[Round]]=2),IF(Games[[#This Row],[Result]]&lt;0.5,1,0),0)</f>
        <v>0</v>
      </c>
      <c r="AI159" s="2">
        <f>IF(AND(Games[[#This Row],[Type]]="P",Games[[#This Row],[Round]]=3),IF(Games[[#This Row],[Result]]&gt;0.5,1,0),0)</f>
        <v>0</v>
      </c>
      <c r="AJ159" s="2">
        <f>IF(AND(Games[[#This Row],[Type]]="P",Games[[#This Row],[Round]]=3),IF(Games[[#This Row],[Result]]&lt;0.5,1,0),0)</f>
        <v>0</v>
      </c>
      <c r="AK159" s="2">
        <f>IF(AND(Games[[#This Row],[Type]]="P",Games[[#This Row],[Round]]=4),IF(Games[[#This Row],[Result]]&gt;0.5,1,0),0)</f>
        <v>0</v>
      </c>
      <c r="AL159" s="2">
        <f>IF(AND(Games[[#This Row],[Type]]="P",Games[[#This Row],[Round]]=4),IF(Games[[#This Row],[Result]]&lt;0.5,1,0),0)</f>
        <v>0</v>
      </c>
    </row>
    <row r="160" spans="1:38" x14ac:dyDescent="0.35">
      <c r="A160" s="10">
        <v>37798</v>
      </c>
      <c r="B160" s="2">
        <v>2003</v>
      </c>
      <c r="C160" s="2">
        <f>COUNTIFS(Games[Team],Games[[#This Row],[Team]],Games[Season],Games[[#This Row],[Season]],Games[Date],"&lt;=" &amp; Games[[#This Row],[Date]])</f>
        <v>14</v>
      </c>
      <c r="D160" s="2" t="s">
        <v>23</v>
      </c>
      <c r="E160" s="2" t="s">
        <v>29</v>
      </c>
      <c r="F160" s="1" t="s">
        <v>71</v>
      </c>
      <c r="G160" s="1" t="s">
        <v>85</v>
      </c>
      <c r="H160" s="1" t="s">
        <v>16</v>
      </c>
      <c r="I160" s="2" cm="1">
        <f t="array" ref="I160">IFERROR(
    Games[[#This Row],[Date]]
    - LOOKUP(
        2,
        1/((Games[Team]=Games[[#This Row],[Team]]) * (Games[Date] &lt; Games[[#This Row],[Date]])),
        Games[Date]
    )
    - 1,
Games[[#This Row],[Date]]-$A$2)</f>
        <v>1</v>
      </c>
      <c r="J160" s="2" cm="1">
        <f t="array" ref="J16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60" s="2">
        <f>Games[[#This Row],[DaysOff]]-Games[[#This Row],[OppDaysOff]]</f>
        <v>0</v>
      </c>
      <c r="L160" s="2">
        <f>Games[[#This Row],[OppDaysOff]]-Games[[#This Row],[DaysOff]]</f>
        <v>0</v>
      </c>
      <c r="M160" s="1">
        <f>MAX(-16, MIN(16, Games[[#This Row],[RestDiff]]*8))</f>
        <v>0</v>
      </c>
      <c r="N160" s="1">
        <f>MAX(-16, MIN(16, Games[[#This Row],[OppRestDiff]]*8))</f>
        <v>0</v>
      </c>
      <c r="O160" s="4" cm="1">
        <f t="array" ref="O16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1683.9887842363682</v>
      </c>
      <c r="P160" s="4" cm="1">
        <f t="array" ref="P16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1466.5435527840762</v>
      </c>
      <c r="Q160" s="4">
        <f>1/(1+10^(((Games[[#This Row],[OppPreGmRate]]+IF(Games[[#This Row],[HomeAway]]="A",HCA,0)+Games[[#This Row],[OppRestAdj]])-(Games[[#This Row],[PreGmRate]]+IF(Games[[#This Row],[HomeAway]]="H",HCA,0)+Games[[#This Row],[RestAdj]]))/400))</f>
        <v>0.68312543663134662</v>
      </c>
      <c r="R160" s="1">
        <v>67</v>
      </c>
      <c r="S160" s="1">
        <v>58</v>
      </c>
      <c r="T160" s="1">
        <v>0</v>
      </c>
      <c r="U160" s="1">
        <f>Games[[#This Row],[PointsFor]]-Games[[#This Row],[PointsAgainst]]</f>
        <v>9</v>
      </c>
      <c r="V160" s="1">
        <f>IF(Games[[#This Row],[MOV]]&gt;0,1,IF(Games[[#This Row],[MOV]]=0,0.5,0))</f>
        <v>1</v>
      </c>
      <c r="W160" s="4">
        <f>((ABS(Games[[#This Row],[MOV]])+5)^0.6)/(12+0.01*(ABS(Games[[#This Row],[PreGmRate]]-Games[[#This Row],[OppPreGmRate]])))*IF(Games[[#This Row],[OT]]=1,0.9,1)</f>
        <v>0.34369287910866858</v>
      </c>
      <c r="X160" s="7" cm="1">
        <f t="array" ref="X16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0" s="9">
        <f>MAX(kmin, kmax - 0.15 * MIN(Games[[#This Row],[GamesPlayed]], 82))</f>
        <v>73.900000000000006</v>
      </c>
      <c r="Z160" s="4">
        <f>Games[[#This Row],[K]]*Games[[#This Row],[POMult]]</f>
        <v>73.900000000000006</v>
      </c>
      <c r="AA160" s="4">
        <f>(Games[[#This Row],[Keff]]*Games[[#This Row],[MOVMult]])*(Games[[#This Row],[Result]]-Games[[#This Row],[ExpectedWin%]])</f>
        <v>8.0482665409350833</v>
      </c>
      <c r="AB160" s="4">
        <f>Games[[#This Row],[PreGmRate]]+Games[[#This Row],[RatingChange]]</f>
        <v>1692.0370507773034</v>
      </c>
      <c r="AC160" s="2">
        <f>IF(Games[[#This Row],[Type]]="R",IF(Games[[#This Row],[Result]]&gt;0.5,1,0),0)</f>
        <v>1</v>
      </c>
      <c r="AD160" s="2">
        <f>IF(Games[[#This Row],[Type]]="R",IF(Games[[#This Row],[Result]]&lt;0.5,1,0),0)</f>
        <v>0</v>
      </c>
      <c r="AE160" s="2">
        <f>IF(AND(Games[[#This Row],[Type]]="P",Games[[#This Row],[Round]]=1),IF(Games[[#This Row],[Result]]&gt;0.5,1,0),0)</f>
        <v>0</v>
      </c>
      <c r="AF160" s="2">
        <f>IF(AND(Games[[#This Row],[Type]]="P",Games[[#This Row],[Round]]=1),IF(Games[[#This Row],[Result]]&lt;0.5,1,0),0)</f>
        <v>0</v>
      </c>
      <c r="AG160" s="2">
        <f>IF(AND(Games[[#This Row],[Type]]="P",Games[[#This Row],[Round]]=2),IF(Games[[#This Row],[Result]]&gt;0.5,1,0),0)</f>
        <v>0</v>
      </c>
      <c r="AH160" s="2">
        <f>IF(AND(Games[[#This Row],[Type]]="P",Games[[#This Row],[Round]]=2),IF(Games[[#This Row],[Result]]&lt;0.5,1,0),0)</f>
        <v>0</v>
      </c>
      <c r="AI160" s="2">
        <f>IF(AND(Games[[#This Row],[Type]]="P",Games[[#This Row],[Round]]=3),IF(Games[[#This Row],[Result]]&gt;0.5,1,0),0)</f>
        <v>0</v>
      </c>
      <c r="AJ160" s="2">
        <f>IF(AND(Games[[#This Row],[Type]]="P",Games[[#This Row],[Round]]=3),IF(Games[[#This Row],[Result]]&lt;0.5,1,0),0)</f>
        <v>0</v>
      </c>
      <c r="AK160" s="2">
        <f>IF(AND(Games[[#This Row],[Type]]="P",Games[[#This Row],[Round]]=4),IF(Games[[#This Row],[Result]]&gt;0.5,1,0),0)</f>
        <v>0</v>
      </c>
      <c r="AL160" s="2">
        <f>IF(AND(Games[[#This Row],[Type]]="P",Games[[#This Row],[Round]]=4),IF(Games[[#This Row],[Result]]&lt;0.5,1,0),0)</f>
        <v>0</v>
      </c>
    </row>
    <row r="161" spans="1:38" x14ac:dyDescent="0.35">
      <c r="A161" s="10">
        <v>37798</v>
      </c>
      <c r="B161" s="2">
        <v>2003</v>
      </c>
      <c r="C161" s="2">
        <f>COUNTIFS(Games[Team],Games[[#This Row],[Team]],Games[Season],Games[[#This Row],[Season]],Games[Date],"&lt;=" &amp; Games[[#This Row],[Date]])</f>
        <v>13</v>
      </c>
      <c r="D161" s="2" t="s">
        <v>23</v>
      </c>
      <c r="E161" s="2" t="s">
        <v>29</v>
      </c>
      <c r="F161" s="1" t="s">
        <v>85</v>
      </c>
      <c r="G161" s="1" t="s">
        <v>71</v>
      </c>
      <c r="H161" s="1" t="s">
        <v>15</v>
      </c>
      <c r="I161" s="2" cm="1">
        <f t="array" ref="I161">IFERROR(
    Games[[#This Row],[Date]]
    - LOOKUP(
        2,
        1/((Games[Team]=Games[[#This Row],[Team]]) * (Games[Date] &lt; Games[[#This Row],[Date]])),
        Games[Date]
    )
    - 1,
Games[[#This Row],[Date]]-$A$2)</f>
        <v>1</v>
      </c>
      <c r="J161" s="2" cm="1">
        <f t="array" ref="J16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61" s="2">
        <f>Games[[#This Row],[DaysOff]]-Games[[#This Row],[OppDaysOff]]</f>
        <v>0</v>
      </c>
      <c r="L161" s="2">
        <f>Games[[#This Row],[OppDaysOff]]-Games[[#This Row],[DaysOff]]</f>
        <v>0</v>
      </c>
      <c r="M161" s="1">
        <f>MAX(-16, MIN(16, Games[[#This Row],[RestDiff]]*8))</f>
        <v>0</v>
      </c>
      <c r="N161" s="1">
        <f>MAX(-16, MIN(16, Games[[#This Row],[OppRestDiff]]*8))</f>
        <v>0</v>
      </c>
      <c r="O161" s="4" cm="1">
        <f t="array" ref="O16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1466.5435527840762</v>
      </c>
      <c r="P161" s="4" cm="1">
        <f t="array" ref="P16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1683.9887842363682</v>
      </c>
      <c r="Q161" s="4">
        <f>1/(1+10^(((Games[[#This Row],[OppPreGmRate]]+IF(Games[[#This Row],[HomeAway]]="A",HCA,0)+Games[[#This Row],[OppRestAdj]])-(Games[[#This Row],[PreGmRate]]+IF(Games[[#This Row],[HomeAway]]="H",HCA,0)+Games[[#This Row],[RestAdj]]))/400))</f>
        <v>0.31687456336865338</v>
      </c>
      <c r="R161" s="1">
        <v>58</v>
      </c>
      <c r="S161" s="1">
        <v>67</v>
      </c>
      <c r="T161" s="1">
        <v>0</v>
      </c>
      <c r="U161" s="1">
        <f>Games[[#This Row],[PointsFor]]-Games[[#This Row],[PointsAgainst]]</f>
        <v>-9</v>
      </c>
      <c r="V161" s="1">
        <f>IF(Games[[#This Row],[MOV]]&gt;0,1,IF(Games[[#This Row],[MOV]]=0,0.5,0))</f>
        <v>0</v>
      </c>
      <c r="W161" s="4">
        <f>((ABS(Games[[#This Row],[MOV]])+5)^0.6)/(12+0.01*(ABS(Games[[#This Row],[PreGmRate]]-Games[[#This Row],[OppPreGmRate]])))*IF(Games[[#This Row],[OT]]=1,0.9,1)</f>
        <v>0.34369287910866858</v>
      </c>
      <c r="X161" s="7" cm="1">
        <f t="array" ref="X16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1" s="9">
        <f>MAX(kmin, kmax - 0.15 * MIN(Games[[#This Row],[GamesPlayed]], 82))</f>
        <v>74.05</v>
      </c>
      <c r="Z161" s="4">
        <f>Games[[#This Row],[K]]*Games[[#This Row],[POMult]]</f>
        <v>74.05</v>
      </c>
      <c r="AA161" s="4">
        <f>(Games[[#This Row],[Keff]]*Games[[#This Row],[MOVMult]])*(Games[[#This Row],[Result]]-Games[[#This Row],[ExpectedWin%]])</f>
        <v>-8.0646026705851526</v>
      </c>
      <c r="AB161" s="4">
        <f>Games[[#This Row],[PreGmRate]]+Games[[#This Row],[RatingChange]]</f>
        <v>1458.478950113491</v>
      </c>
      <c r="AC161" s="2">
        <f>IF(Games[[#This Row],[Type]]="R",IF(Games[[#This Row],[Result]]&gt;0.5,1,0),0)</f>
        <v>0</v>
      </c>
      <c r="AD161" s="2">
        <f>IF(Games[[#This Row],[Type]]="R",IF(Games[[#This Row],[Result]]&lt;0.5,1,0),0)</f>
        <v>1</v>
      </c>
      <c r="AE161" s="2">
        <f>IF(AND(Games[[#This Row],[Type]]="P",Games[[#This Row],[Round]]=1),IF(Games[[#This Row],[Result]]&gt;0.5,1,0),0)</f>
        <v>0</v>
      </c>
      <c r="AF161" s="2">
        <f>IF(AND(Games[[#This Row],[Type]]="P",Games[[#This Row],[Round]]=1),IF(Games[[#This Row],[Result]]&lt;0.5,1,0),0)</f>
        <v>0</v>
      </c>
      <c r="AG161" s="2">
        <f>IF(AND(Games[[#This Row],[Type]]="P",Games[[#This Row],[Round]]=2),IF(Games[[#This Row],[Result]]&gt;0.5,1,0),0)</f>
        <v>0</v>
      </c>
      <c r="AH161" s="2">
        <f>IF(AND(Games[[#This Row],[Type]]="P",Games[[#This Row],[Round]]=2),IF(Games[[#This Row],[Result]]&lt;0.5,1,0),0)</f>
        <v>0</v>
      </c>
      <c r="AI161" s="2">
        <f>IF(AND(Games[[#This Row],[Type]]="P",Games[[#This Row],[Round]]=3),IF(Games[[#This Row],[Result]]&gt;0.5,1,0),0)</f>
        <v>0</v>
      </c>
      <c r="AJ161" s="2">
        <f>IF(AND(Games[[#This Row],[Type]]="P",Games[[#This Row],[Round]]=3),IF(Games[[#This Row],[Result]]&lt;0.5,1,0),0)</f>
        <v>0</v>
      </c>
      <c r="AK161" s="2">
        <f>IF(AND(Games[[#This Row],[Type]]="P",Games[[#This Row],[Round]]=4),IF(Games[[#This Row],[Result]]&gt;0.5,1,0),0)</f>
        <v>0</v>
      </c>
      <c r="AL161" s="2">
        <f>IF(AND(Games[[#This Row],[Type]]="P",Games[[#This Row],[Round]]=4),IF(Games[[#This Row],[Result]]&lt;0.5,1,0),0)</f>
        <v>0</v>
      </c>
    </row>
    <row r="162" spans="1:38" x14ac:dyDescent="0.35">
      <c r="A162" s="10">
        <v>37799</v>
      </c>
      <c r="B162" s="2">
        <v>2003</v>
      </c>
      <c r="C162" s="2">
        <f>COUNTIFS(Games[Team],Games[[#This Row],[Team]],Games[Season],Games[[#This Row],[Season]],Games[Date],"&lt;=" &amp; Games[[#This Row],[Date]])</f>
        <v>12</v>
      </c>
      <c r="D162" s="2" t="s">
        <v>23</v>
      </c>
      <c r="E162" s="2" t="s">
        <v>29</v>
      </c>
      <c r="F162" s="1" t="s">
        <v>82</v>
      </c>
      <c r="G162" s="1" t="s">
        <v>1</v>
      </c>
      <c r="H162" s="1" t="s">
        <v>16</v>
      </c>
      <c r="I162" s="2" cm="1">
        <f t="array" ref="I162">IFERROR(
    Games[[#This Row],[Date]]
    - LOOKUP(
        2,
        1/((Games[Team]=Games[[#This Row],[Team]]) * (Games[Date] &lt; Games[[#This Row],[Date]])),
        Games[Date]
    )
    - 1,
Games[[#This Row],[Date]]-$A$2)</f>
        <v>4</v>
      </c>
      <c r="J162" s="2" cm="1">
        <f t="array" ref="J16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62" s="2">
        <f>Games[[#This Row],[DaysOff]]-Games[[#This Row],[OppDaysOff]]</f>
        <v>3</v>
      </c>
      <c r="L162" s="2">
        <f>Games[[#This Row],[OppDaysOff]]-Games[[#This Row],[DaysOff]]</f>
        <v>-3</v>
      </c>
      <c r="M162" s="1">
        <f>MAX(-16, MIN(16, Games[[#This Row],[RestDiff]]*8))</f>
        <v>16</v>
      </c>
      <c r="N162" s="1">
        <f>MAX(-16, MIN(16, Games[[#This Row],[OppRestDiff]]*8))</f>
        <v>-16</v>
      </c>
      <c r="O162" s="4" cm="1">
        <f t="array" ref="O16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1536.2197192986905</v>
      </c>
      <c r="P162" s="4" cm="1">
        <f t="array" ref="P16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1481.9735411941533</v>
      </c>
      <c r="Q162" s="4">
        <f>1/(1+10^(((Games[[#This Row],[OppPreGmRate]]+IF(Games[[#This Row],[HomeAway]]="A",HCA,0)+Games[[#This Row],[OppRestAdj]])-(Games[[#This Row],[PreGmRate]]+IF(Games[[#This Row],[HomeAway]]="H",HCA,0)+Games[[#This Row],[RestAdj]]))/400))</f>
        <v>0.50323246510221986</v>
      </c>
      <c r="R162" s="1">
        <v>71</v>
      </c>
      <c r="S162" s="1">
        <v>59</v>
      </c>
      <c r="T162" s="1">
        <v>0</v>
      </c>
      <c r="U162" s="1">
        <f>Games[[#This Row],[PointsFor]]-Games[[#This Row],[PointsAgainst]]</f>
        <v>12</v>
      </c>
      <c r="V162" s="1">
        <f>IF(Games[[#This Row],[MOV]]&gt;0,1,IF(Games[[#This Row],[MOV]]=0,0.5,0))</f>
        <v>1</v>
      </c>
      <c r="W162" s="4">
        <f>((ABS(Games[[#This Row],[MOV]])+5)^0.6)/(12+0.01*(ABS(Games[[#This Row],[PreGmRate]]-Games[[#This Row],[OppPreGmRate]])))*IF(Games[[#This Row],[OT]]=1,0.9,1)</f>
        <v>0.43640183342558181</v>
      </c>
      <c r="X162" s="7" cm="1">
        <f t="array" ref="X16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2" s="9">
        <f>MAX(kmin, kmax - 0.15 * MIN(Games[[#This Row],[GamesPlayed]], 82))</f>
        <v>74.2</v>
      </c>
      <c r="Z162" s="4">
        <f>Games[[#This Row],[K]]*Games[[#This Row],[POMult]]</f>
        <v>74.2</v>
      </c>
      <c r="AA162" s="4">
        <f>(Games[[#This Row],[Keff]]*Games[[#This Row],[MOVMult]])*(Games[[#This Row],[Result]]-Games[[#This Row],[ExpectedWin%]])</f>
        <v>16.085837515764791</v>
      </c>
      <c r="AB162" s="4">
        <f>Games[[#This Row],[PreGmRate]]+Games[[#This Row],[RatingChange]]</f>
        <v>1552.3055568144553</v>
      </c>
      <c r="AC162" s="2">
        <f>IF(Games[[#This Row],[Type]]="R",IF(Games[[#This Row],[Result]]&gt;0.5,1,0),0)</f>
        <v>1</v>
      </c>
      <c r="AD162" s="2">
        <f>IF(Games[[#This Row],[Type]]="R",IF(Games[[#This Row],[Result]]&lt;0.5,1,0),0)</f>
        <v>0</v>
      </c>
      <c r="AE162" s="2">
        <f>IF(AND(Games[[#This Row],[Type]]="P",Games[[#This Row],[Round]]=1),IF(Games[[#This Row],[Result]]&gt;0.5,1,0),0)</f>
        <v>0</v>
      </c>
      <c r="AF162" s="2">
        <f>IF(AND(Games[[#This Row],[Type]]="P",Games[[#This Row],[Round]]=1),IF(Games[[#This Row],[Result]]&lt;0.5,1,0),0)</f>
        <v>0</v>
      </c>
      <c r="AG162" s="2">
        <f>IF(AND(Games[[#This Row],[Type]]="P",Games[[#This Row],[Round]]=2),IF(Games[[#This Row],[Result]]&gt;0.5,1,0),0)</f>
        <v>0</v>
      </c>
      <c r="AH162" s="2">
        <f>IF(AND(Games[[#This Row],[Type]]="P",Games[[#This Row],[Round]]=2),IF(Games[[#This Row],[Result]]&lt;0.5,1,0),0)</f>
        <v>0</v>
      </c>
      <c r="AI162" s="2">
        <f>IF(AND(Games[[#This Row],[Type]]="P",Games[[#This Row],[Round]]=3),IF(Games[[#This Row],[Result]]&gt;0.5,1,0),0)</f>
        <v>0</v>
      </c>
      <c r="AJ162" s="2">
        <f>IF(AND(Games[[#This Row],[Type]]="P",Games[[#This Row],[Round]]=3),IF(Games[[#This Row],[Result]]&lt;0.5,1,0),0)</f>
        <v>0</v>
      </c>
      <c r="AK162" s="2">
        <f>IF(AND(Games[[#This Row],[Type]]="P",Games[[#This Row],[Round]]=4),IF(Games[[#This Row],[Result]]&gt;0.5,1,0),0)</f>
        <v>0</v>
      </c>
      <c r="AL162" s="2">
        <f>IF(AND(Games[[#This Row],[Type]]="P",Games[[#This Row],[Round]]=4),IF(Games[[#This Row],[Result]]&lt;0.5,1,0),0)</f>
        <v>0</v>
      </c>
    </row>
    <row r="163" spans="1:38" x14ac:dyDescent="0.35">
      <c r="A163" s="10">
        <v>37799</v>
      </c>
      <c r="B163" s="2">
        <v>2003</v>
      </c>
      <c r="C163" s="2">
        <f>COUNTIFS(Games[Team],Games[[#This Row],[Team]],Games[Season],Games[[#This Row],[Season]],Games[Date],"&lt;=" &amp; Games[[#This Row],[Date]])</f>
        <v>11</v>
      </c>
      <c r="D163" s="2" t="s">
        <v>23</v>
      </c>
      <c r="E163" s="2" t="s">
        <v>29</v>
      </c>
      <c r="F163" s="1" t="s">
        <v>1</v>
      </c>
      <c r="G163" s="1" t="s">
        <v>82</v>
      </c>
      <c r="H163" s="1" t="s">
        <v>15</v>
      </c>
      <c r="I163" s="2" cm="1">
        <f t="array" ref="I163">IFERROR(
    Games[[#This Row],[Date]]
    - LOOKUP(
        2,
        1/((Games[Team]=Games[[#This Row],[Team]]) * (Games[Date] &lt; Games[[#This Row],[Date]])),
        Games[Date]
    )
    - 1,
Games[[#This Row],[Date]]-$A$2)</f>
        <v>1</v>
      </c>
      <c r="J163" s="2" cm="1">
        <f t="array" ref="J163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163" s="2">
        <f>Games[[#This Row],[DaysOff]]-Games[[#This Row],[OppDaysOff]]</f>
        <v>-3</v>
      </c>
      <c r="L163" s="2">
        <f>Games[[#This Row],[OppDaysOff]]-Games[[#This Row],[DaysOff]]</f>
        <v>3</v>
      </c>
      <c r="M163" s="1">
        <f>MAX(-16, MIN(16, Games[[#This Row],[RestDiff]]*8))</f>
        <v>-16</v>
      </c>
      <c r="N163" s="1">
        <f>MAX(-16, MIN(16, Games[[#This Row],[OppRestDiff]]*8))</f>
        <v>16</v>
      </c>
      <c r="O163" s="4" cm="1">
        <f t="array" ref="O16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1481.9735411941533</v>
      </c>
      <c r="P163" s="4" cm="1">
        <f t="array" ref="P16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1536.2197192986905</v>
      </c>
      <c r="Q163" s="4">
        <f>1/(1+10^(((Games[[#This Row],[OppPreGmRate]]+IF(Games[[#This Row],[HomeAway]]="A",HCA,0)+Games[[#This Row],[OppRestAdj]])-(Games[[#This Row],[PreGmRate]]+IF(Games[[#This Row],[HomeAway]]="H",HCA,0)+Games[[#This Row],[RestAdj]]))/400))</f>
        <v>0.49676753489778019</v>
      </c>
      <c r="R163" s="1">
        <v>59</v>
      </c>
      <c r="S163" s="1">
        <v>71</v>
      </c>
      <c r="T163" s="1">
        <v>0</v>
      </c>
      <c r="U163" s="1">
        <f>Games[[#This Row],[PointsFor]]-Games[[#This Row],[PointsAgainst]]</f>
        <v>-12</v>
      </c>
      <c r="V163" s="1">
        <f>IF(Games[[#This Row],[MOV]]&gt;0,1,IF(Games[[#This Row],[MOV]]=0,0.5,0))</f>
        <v>0</v>
      </c>
      <c r="W163" s="4">
        <f>((ABS(Games[[#This Row],[MOV]])+5)^0.6)/(12+0.01*(ABS(Games[[#This Row],[PreGmRate]]-Games[[#This Row],[OppPreGmRate]])))*IF(Games[[#This Row],[OT]]=1,0.9,1)</f>
        <v>0.43640183342558181</v>
      </c>
      <c r="X163" s="7" cm="1">
        <f t="array" ref="X16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3" s="9">
        <f>MAX(kmin, kmax - 0.15 * MIN(Games[[#This Row],[GamesPlayed]], 82))</f>
        <v>74.349999999999994</v>
      </c>
      <c r="Z163" s="4">
        <f>Games[[#This Row],[K]]*Games[[#This Row],[POMult]]</f>
        <v>74.349999999999994</v>
      </c>
      <c r="AA163" s="4">
        <f>(Games[[#This Row],[Keff]]*Games[[#This Row],[MOVMult]])*(Games[[#This Row],[Result]]-Games[[#This Row],[ExpectedWin%]])</f>
        <v>-16.118356055217145</v>
      </c>
      <c r="AB163" s="4">
        <f>Games[[#This Row],[PreGmRate]]+Games[[#This Row],[RatingChange]]</f>
        <v>1465.8551851389361</v>
      </c>
      <c r="AC163" s="2">
        <f>IF(Games[[#This Row],[Type]]="R",IF(Games[[#This Row],[Result]]&gt;0.5,1,0),0)</f>
        <v>0</v>
      </c>
      <c r="AD163" s="2">
        <f>IF(Games[[#This Row],[Type]]="R",IF(Games[[#This Row],[Result]]&lt;0.5,1,0),0)</f>
        <v>1</v>
      </c>
      <c r="AE163" s="2">
        <f>IF(AND(Games[[#This Row],[Type]]="P",Games[[#This Row],[Round]]=1),IF(Games[[#This Row],[Result]]&gt;0.5,1,0),0)</f>
        <v>0</v>
      </c>
      <c r="AF163" s="2">
        <f>IF(AND(Games[[#This Row],[Type]]="P",Games[[#This Row],[Round]]=1),IF(Games[[#This Row],[Result]]&lt;0.5,1,0),0)</f>
        <v>0</v>
      </c>
      <c r="AG163" s="2">
        <f>IF(AND(Games[[#This Row],[Type]]="P",Games[[#This Row],[Round]]=2),IF(Games[[#This Row],[Result]]&gt;0.5,1,0),0)</f>
        <v>0</v>
      </c>
      <c r="AH163" s="2">
        <f>IF(AND(Games[[#This Row],[Type]]="P",Games[[#This Row],[Round]]=2),IF(Games[[#This Row],[Result]]&lt;0.5,1,0),0)</f>
        <v>0</v>
      </c>
      <c r="AI163" s="2">
        <f>IF(AND(Games[[#This Row],[Type]]="P",Games[[#This Row],[Round]]=3),IF(Games[[#This Row],[Result]]&gt;0.5,1,0),0)</f>
        <v>0</v>
      </c>
      <c r="AJ163" s="2">
        <f>IF(AND(Games[[#This Row],[Type]]="P",Games[[#This Row],[Round]]=3),IF(Games[[#This Row],[Result]]&lt;0.5,1,0),0)</f>
        <v>0</v>
      </c>
      <c r="AK163" s="2">
        <f>IF(AND(Games[[#This Row],[Type]]="P",Games[[#This Row],[Round]]=4),IF(Games[[#This Row],[Result]]&gt;0.5,1,0),0)</f>
        <v>0</v>
      </c>
      <c r="AL163" s="2">
        <f>IF(AND(Games[[#This Row],[Type]]="P",Games[[#This Row],[Round]]=4),IF(Games[[#This Row],[Result]]&lt;0.5,1,0),0)</f>
        <v>0</v>
      </c>
    </row>
    <row r="164" spans="1:38" x14ac:dyDescent="0.35">
      <c r="A164" s="10">
        <v>37799</v>
      </c>
      <c r="B164" s="2">
        <v>2003</v>
      </c>
      <c r="C164" s="2">
        <f>COUNTIFS(Games[Team],Games[[#This Row],[Team]],Games[Season],Games[[#This Row],[Season]],Games[Date],"&lt;=" &amp; Games[[#This Row],[Date]])</f>
        <v>13</v>
      </c>
      <c r="D164" s="2" t="s">
        <v>23</v>
      </c>
      <c r="E164" s="2" t="s">
        <v>29</v>
      </c>
      <c r="F164" s="1" t="s">
        <v>44</v>
      </c>
      <c r="G164" s="1" t="s">
        <v>78</v>
      </c>
      <c r="H164" s="1" t="s">
        <v>16</v>
      </c>
      <c r="I164" s="2" cm="1">
        <f t="array" ref="I164">IFERROR(
    Games[[#This Row],[Date]]
    - LOOKUP(
        2,
        1/((Games[Team]=Games[[#This Row],[Team]]) * (Games[Date] &lt; Games[[#This Row],[Date]])),
        Games[Date]
    )
    - 1,
Games[[#This Row],[Date]]-$A$2)</f>
        <v>1</v>
      </c>
      <c r="J164" s="2" cm="1">
        <f t="array" ref="J164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164" s="2">
        <f>Games[[#This Row],[DaysOff]]-Games[[#This Row],[OppDaysOff]]</f>
        <v>-4</v>
      </c>
      <c r="L164" s="2">
        <f>Games[[#This Row],[OppDaysOff]]-Games[[#This Row],[DaysOff]]</f>
        <v>4</v>
      </c>
      <c r="M164" s="1">
        <f>MAX(-16, MIN(16, Games[[#This Row],[RestDiff]]*8))</f>
        <v>-16</v>
      </c>
      <c r="N164" s="1">
        <f>MAX(-16, MIN(16, Games[[#This Row],[OppRestDiff]]*8))</f>
        <v>16</v>
      </c>
      <c r="O164" s="4" cm="1">
        <f t="array" ref="O16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1376.3649575958848</v>
      </c>
      <c r="P164" s="4" cm="1">
        <f t="array" ref="P16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1457.7799525748012</v>
      </c>
      <c r="Q164" s="4">
        <f>1/(1+10^(((Games[[#This Row],[OppPreGmRate]]+IF(Games[[#This Row],[HomeAway]]="A",HCA,0)+Games[[#This Row],[OppRestAdj]])-(Games[[#This Row],[PreGmRate]]+IF(Games[[#This Row],[HomeAway]]="H",HCA,0)+Games[[#This Row],[RestAdj]]))/400))</f>
        <v>0.24297971973170288</v>
      </c>
      <c r="R164" s="1">
        <v>59</v>
      </c>
      <c r="S164" s="1">
        <v>67</v>
      </c>
      <c r="T164" s="1">
        <v>0</v>
      </c>
      <c r="U164" s="1">
        <f>Games[[#This Row],[PointsFor]]-Games[[#This Row],[PointsAgainst]]</f>
        <v>-8</v>
      </c>
      <c r="V164" s="1">
        <f>IF(Games[[#This Row],[MOV]]&gt;0,1,IF(Games[[#This Row],[MOV]]=0,0.5,0))</f>
        <v>0</v>
      </c>
      <c r="W164" s="4">
        <f>((ABS(Games[[#This Row],[MOV]])+5)^0.6)/(12+0.01*(ABS(Games[[#This Row],[PreGmRate]]-Games[[#This Row],[OppPreGmRate]])))*IF(Games[[#This Row],[OT]]=1,0.9,1)</f>
        <v>0.36364381861418249</v>
      </c>
      <c r="X164" s="7" cm="1">
        <f t="array" ref="X16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4" s="9">
        <f>MAX(kmin, kmax - 0.15 * MIN(Games[[#This Row],[GamesPlayed]], 82))</f>
        <v>74.05</v>
      </c>
      <c r="Z164" s="4">
        <f>Games[[#This Row],[K]]*Games[[#This Row],[POMult]]</f>
        <v>74.05</v>
      </c>
      <c r="AA164" s="4">
        <f>(Games[[#This Row],[Keff]]*Games[[#This Row],[MOVMult]])*(Games[[#This Row],[Result]]-Games[[#This Row],[ExpectedWin%]])</f>
        <v>-6.5429153152054305</v>
      </c>
      <c r="AB164" s="4">
        <f>Games[[#This Row],[PreGmRate]]+Games[[#This Row],[RatingChange]]</f>
        <v>1369.8220422806794</v>
      </c>
      <c r="AC164" s="2">
        <f>IF(Games[[#This Row],[Type]]="R",IF(Games[[#This Row],[Result]]&gt;0.5,1,0),0)</f>
        <v>0</v>
      </c>
      <c r="AD164" s="2">
        <f>IF(Games[[#This Row],[Type]]="R",IF(Games[[#This Row],[Result]]&lt;0.5,1,0),0)</f>
        <v>1</v>
      </c>
      <c r="AE164" s="2">
        <f>IF(AND(Games[[#This Row],[Type]]="P",Games[[#This Row],[Round]]=1),IF(Games[[#This Row],[Result]]&gt;0.5,1,0),0)</f>
        <v>0</v>
      </c>
      <c r="AF164" s="2">
        <f>IF(AND(Games[[#This Row],[Type]]="P",Games[[#This Row],[Round]]=1),IF(Games[[#This Row],[Result]]&lt;0.5,1,0),0)</f>
        <v>0</v>
      </c>
      <c r="AG164" s="2">
        <f>IF(AND(Games[[#This Row],[Type]]="P",Games[[#This Row],[Round]]=2),IF(Games[[#This Row],[Result]]&gt;0.5,1,0),0)</f>
        <v>0</v>
      </c>
      <c r="AH164" s="2">
        <f>IF(AND(Games[[#This Row],[Type]]="P",Games[[#This Row],[Round]]=2),IF(Games[[#This Row],[Result]]&lt;0.5,1,0),0)</f>
        <v>0</v>
      </c>
      <c r="AI164" s="2">
        <f>IF(AND(Games[[#This Row],[Type]]="P",Games[[#This Row],[Round]]=3),IF(Games[[#This Row],[Result]]&gt;0.5,1,0),0)</f>
        <v>0</v>
      </c>
      <c r="AJ164" s="2">
        <f>IF(AND(Games[[#This Row],[Type]]="P",Games[[#This Row],[Round]]=3),IF(Games[[#This Row],[Result]]&lt;0.5,1,0),0)</f>
        <v>0</v>
      </c>
      <c r="AK164" s="2">
        <f>IF(AND(Games[[#This Row],[Type]]="P",Games[[#This Row],[Round]]=4),IF(Games[[#This Row],[Result]]&gt;0.5,1,0),0)</f>
        <v>0</v>
      </c>
      <c r="AL164" s="2">
        <f>IF(AND(Games[[#This Row],[Type]]="P",Games[[#This Row],[Round]]=4),IF(Games[[#This Row],[Result]]&lt;0.5,1,0),0)</f>
        <v>0</v>
      </c>
    </row>
    <row r="165" spans="1:38" x14ac:dyDescent="0.35">
      <c r="A165" s="10">
        <v>37799</v>
      </c>
      <c r="B165" s="2">
        <v>2003</v>
      </c>
      <c r="C165" s="2">
        <f>COUNTIFS(Games[Team],Games[[#This Row],[Team]],Games[Season],Games[[#This Row],[Season]],Games[Date],"&lt;=" &amp; Games[[#This Row],[Date]])</f>
        <v>12</v>
      </c>
      <c r="D165" s="2" t="s">
        <v>23</v>
      </c>
      <c r="E165" s="2" t="s">
        <v>29</v>
      </c>
      <c r="F165" s="1" t="s">
        <v>78</v>
      </c>
      <c r="G165" s="1" t="s">
        <v>44</v>
      </c>
      <c r="H165" s="1" t="s">
        <v>15</v>
      </c>
      <c r="I165" s="2" cm="1">
        <f t="array" ref="I165">IFERROR(
    Games[[#This Row],[Date]]
    - LOOKUP(
        2,
        1/((Games[Team]=Games[[#This Row],[Team]]) * (Games[Date] &lt; Games[[#This Row],[Date]])),
        Games[Date]
    )
    - 1,
Games[[#This Row],[Date]]-$A$2)</f>
        <v>5</v>
      </c>
      <c r="J165" s="2" cm="1">
        <f t="array" ref="J16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65" s="2">
        <f>Games[[#This Row],[DaysOff]]-Games[[#This Row],[OppDaysOff]]</f>
        <v>4</v>
      </c>
      <c r="L165" s="2">
        <f>Games[[#This Row],[OppDaysOff]]-Games[[#This Row],[DaysOff]]</f>
        <v>-4</v>
      </c>
      <c r="M165" s="1">
        <f>MAX(-16, MIN(16, Games[[#This Row],[RestDiff]]*8))</f>
        <v>16</v>
      </c>
      <c r="N165" s="1">
        <f>MAX(-16, MIN(16, Games[[#This Row],[OppRestDiff]]*8))</f>
        <v>-16</v>
      </c>
      <c r="O165" s="4" cm="1">
        <f t="array" ref="O16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1457.7799525748012</v>
      </c>
      <c r="P165" s="4" cm="1">
        <f t="array" ref="P16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1376.3649575958848</v>
      </c>
      <c r="Q165" s="4">
        <f>1/(1+10^(((Games[[#This Row],[OppPreGmRate]]+IF(Games[[#This Row],[HomeAway]]="A",HCA,0)+Games[[#This Row],[OppRestAdj]])-(Games[[#This Row],[PreGmRate]]+IF(Games[[#This Row],[HomeAway]]="H",HCA,0)+Games[[#This Row],[RestAdj]]))/400))</f>
        <v>0.75702028026829704</v>
      </c>
      <c r="R165" s="1">
        <v>67</v>
      </c>
      <c r="S165" s="1">
        <v>59</v>
      </c>
      <c r="T165" s="1">
        <v>0</v>
      </c>
      <c r="U165" s="1">
        <f>Games[[#This Row],[PointsFor]]-Games[[#This Row],[PointsAgainst]]</f>
        <v>8</v>
      </c>
      <c r="V165" s="1">
        <f>IF(Games[[#This Row],[MOV]]&gt;0,1,IF(Games[[#This Row],[MOV]]=0,0.5,0))</f>
        <v>1</v>
      </c>
      <c r="W165" s="4">
        <f>((ABS(Games[[#This Row],[MOV]])+5)^0.6)/(12+0.01*(ABS(Games[[#This Row],[PreGmRate]]-Games[[#This Row],[OppPreGmRate]])))*IF(Games[[#This Row],[OT]]=1,0.9,1)</f>
        <v>0.36364381861418249</v>
      </c>
      <c r="X165" s="7" cm="1">
        <f t="array" ref="X16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5" s="9">
        <f>MAX(kmin, kmax - 0.15 * MIN(Games[[#This Row],[GamesPlayed]], 82))</f>
        <v>74.2</v>
      </c>
      <c r="Z165" s="4">
        <f>Games[[#This Row],[K]]*Games[[#This Row],[POMult]]</f>
        <v>74.2</v>
      </c>
      <c r="AA165" s="4">
        <f>(Games[[#This Row],[Keff]]*Games[[#This Row],[MOVMult]])*(Games[[#This Row],[Result]]-Games[[#This Row],[ExpectedWin%]])</f>
        <v>6.55616902617479</v>
      </c>
      <c r="AB165" s="4">
        <f>Games[[#This Row],[PreGmRate]]+Games[[#This Row],[RatingChange]]</f>
        <v>1464.336121600976</v>
      </c>
      <c r="AC165" s="2">
        <f>IF(Games[[#This Row],[Type]]="R",IF(Games[[#This Row],[Result]]&gt;0.5,1,0),0)</f>
        <v>1</v>
      </c>
      <c r="AD165" s="2">
        <f>IF(Games[[#This Row],[Type]]="R",IF(Games[[#This Row],[Result]]&lt;0.5,1,0),0)</f>
        <v>0</v>
      </c>
      <c r="AE165" s="2">
        <f>IF(AND(Games[[#This Row],[Type]]="P",Games[[#This Row],[Round]]=1),IF(Games[[#This Row],[Result]]&gt;0.5,1,0),0)</f>
        <v>0</v>
      </c>
      <c r="AF165" s="2">
        <f>IF(AND(Games[[#This Row],[Type]]="P",Games[[#This Row],[Round]]=1),IF(Games[[#This Row],[Result]]&lt;0.5,1,0),0)</f>
        <v>0</v>
      </c>
      <c r="AG165" s="2">
        <f>IF(AND(Games[[#This Row],[Type]]="P",Games[[#This Row],[Round]]=2),IF(Games[[#This Row],[Result]]&gt;0.5,1,0),0)</f>
        <v>0</v>
      </c>
      <c r="AH165" s="2">
        <f>IF(AND(Games[[#This Row],[Type]]="P",Games[[#This Row],[Round]]=2),IF(Games[[#This Row],[Result]]&lt;0.5,1,0),0)</f>
        <v>0</v>
      </c>
      <c r="AI165" s="2">
        <f>IF(AND(Games[[#This Row],[Type]]="P",Games[[#This Row],[Round]]=3),IF(Games[[#This Row],[Result]]&gt;0.5,1,0),0)</f>
        <v>0</v>
      </c>
      <c r="AJ165" s="2">
        <f>IF(AND(Games[[#This Row],[Type]]="P",Games[[#This Row],[Round]]=3),IF(Games[[#This Row],[Result]]&lt;0.5,1,0),0)</f>
        <v>0</v>
      </c>
      <c r="AK165" s="2">
        <f>IF(AND(Games[[#This Row],[Type]]="P",Games[[#This Row],[Round]]=4),IF(Games[[#This Row],[Result]]&gt;0.5,1,0),0)</f>
        <v>0</v>
      </c>
      <c r="AL165" s="2">
        <f>IF(AND(Games[[#This Row],[Type]]="P",Games[[#This Row],[Round]]=4),IF(Games[[#This Row],[Result]]&lt;0.5,1,0),0)</f>
        <v>0</v>
      </c>
    </row>
    <row r="166" spans="1:38" x14ac:dyDescent="0.35">
      <c r="A166" s="10">
        <v>37799</v>
      </c>
      <c r="B166" s="2">
        <v>2003</v>
      </c>
      <c r="C166" s="2">
        <f>COUNTIFS(Games[Team],Games[[#This Row],[Team]],Games[Season],Games[[#This Row],[Season]],Games[Date],"&lt;=" &amp; Games[[#This Row],[Date]])</f>
        <v>9</v>
      </c>
      <c r="D166" s="2" t="s">
        <v>23</v>
      </c>
      <c r="E166" s="2" t="s">
        <v>29</v>
      </c>
      <c r="F166" s="1" t="s">
        <v>76</v>
      </c>
      <c r="G166" s="1" t="s">
        <v>66</v>
      </c>
      <c r="H166" s="1" t="s">
        <v>16</v>
      </c>
      <c r="I166" s="2" cm="1">
        <f t="array" ref="I166">IFERROR(
    Games[[#This Row],[Date]]
    - LOOKUP(
        2,
        1/((Games[Team]=Games[[#This Row],[Team]]) * (Games[Date] &lt; Games[[#This Row],[Date]])),
        Games[Date]
    )
    - 1,
Games[[#This Row],[Date]]-$A$2)</f>
        <v>2</v>
      </c>
      <c r="J166" s="2" cm="1">
        <f t="array" ref="J16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66" s="2">
        <f>Games[[#This Row],[DaysOff]]-Games[[#This Row],[OppDaysOff]]</f>
        <v>1</v>
      </c>
      <c r="L166" s="2">
        <f>Games[[#This Row],[OppDaysOff]]-Games[[#This Row],[DaysOff]]</f>
        <v>-1</v>
      </c>
      <c r="M166" s="1">
        <f>MAX(-16, MIN(16, Games[[#This Row],[RestDiff]]*8))</f>
        <v>8</v>
      </c>
      <c r="N166" s="1">
        <f>MAX(-16, MIN(16, Games[[#This Row],[OppRestDiff]]*8))</f>
        <v>-8</v>
      </c>
      <c r="O166" s="4" cm="1">
        <f t="array" ref="O16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1556.7456109705111</v>
      </c>
      <c r="P166" s="4" cm="1">
        <f t="array" ref="P16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1530.0415416045744</v>
      </c>
      <c r="Q166" s="4">
        <f>1/(1+10^(((Games[[#This Row],[OppPreGmRate]]+IF(Games[[#This Row],[HomeAway]]="A",HCA,0)+Games[[#This Row],[OppRestAdj]])-(Games[[#This Row],[PreGmRate]]+IF(Games[[#This Row],[HomeAway]]="H",HCA,0)+Games[[#This Row],[RestAdj]]))/400))</f>
        <v>0.44084867043240494</v>
      </c>
      <c r="R166" s="1">
        <v>75</v>
      </c>
      <c r="S166" s="1">
        <v>69</v>
      </c>
      <c r="T166" s="1">
        <v>0</v>
      </c>
      <c r="U166" s="1">
        <f>Games[[#This Row],[PointsFor]]-Games[[#This Row],[PointsAgainst]]</f>
        <v>6</v>
      </c>
      <c r="V166" s="1">
        <f>IF(Games[[#This Row],[MOV]]&gt;0,1,IF(Games[[#This Row],[MOV]]=0,0.5,0))</f>
        <v>1</v>
      </c>
      <c r="W166" s="4">
        <f>((ABS(Games[[#This Row],[MOV]])+5)^0.6)/(12+0.01*(ABS(Games[[#This Row],[PreGmRate]]-Games[[#This Row],[OppPreGmRate]])))*IF(Games[[#This Row],[OT]]=1,0.9,1)</f>
        <v>0.34363374495616988</v>
      </c>
      <c r="X166" s="7" cm="1">
        <f t="array" ref="X16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6" s="9">
        <f>MAX(kmin, kmax - 0.15 * MIN(Games[[#This Row],[GamesPlayed]], 82))</f>
        <v>74.650000000000006</v>
      </c>
      <c r="Z166" s="4">
        <f>Games[[#This Row],[K]]*Games[[#This Row],[POMult]]</f>
        <v>74.650000000000006</v>
      </c>
      <c r="AA166" s="4">
        <f>(Games[[#This Row],[Keff]]*Games[[#This Row],[MOVMult]])*(Games[[#This Row],[Result]]-Games[[#This Row],[ExpectedWin%]])</f>
        <v>14.343494760358283</v>
      </c>
      <c r="AB166" s="4">
        <f>Games[[#This Row],[PreGmRate]]+Games[[#This Row],[RatingChange]]</f>
        <v>1571.0891057308693</v>
      </c>
      <c r="AC166" s="2">
        <f>IF(Games[[#This Row],[Type]]="R",IF(Games[[#This Row],[Result]]&gt;0.5,1,0),0)</f>
        <v>1</v>
      </c>
      <c r="AD166" s="2">
        <f>IF(Games[[#This Row],[Type]]="R",IF(Games[[#This Row],[Result]]&lt;0.5,1,0),0)</f>
        <v>0</v>
      </c>
      <c r="AE166" s="2">
        <f>IF(AND(Games[[#This Row],[Type]]="P",Games[[#This Row],[Round]]=1),IF(Games[[#This Row],[Result]]&gt;0.5,1,0),0)</f>
        <v>0</v>
      </c>
      <c r="AF166" s="2">
        <f>IF(AND(Games[[#This Row],[Type]]="P",Games[[#This Row],[Round]]=1),IF(Games[[#This Row],[Result]]&lt;0.5,1,0),0)</f>
        <v>0</v>
      </c>
      <c r="AG166" s="2">
        <f>IF(AND(Games[[#This Row],[Type]]="P",Games[[#This Row],[Round]]=2),IF(Games[[#This Row],[Result]]&gt;0.5,1,0),0)</f>
        <v>0</v>
      </c>
      <c r="AH166" s="2">
        <f>IF(AND(Games[[#This Row],[Type]]="P",Games[[#This Row],[Round]]=2),IF(Games[[#This Row],[Result]]&lt;0.5,1,0),0)</f>
        <v>0</v>
      </c>
      <c r="AI166" s="2">
        <f>IF(AND(Games[[#This Row],[Type]]="P",Games[[#This Row],[Round]]=3),IF(Games[[#This Row],[Result]]&gt;0.5,1,0),0)</f>
        <v>0</v>
      </c>
      <c r="AJ166" s="2">
        <f>IF(AND(Games[[#This Row],[Type]]="P",Games[[#This Row],[Round]]=3),IF(Games[[#This Row],[Result]]&lt;0.5,1,0),0)</f>
        <v>0</v>
      </c>
      <c r="AK166" s="2">
        <f>IF(AND(Games[[#This Row],[Type]]="P",Games[[#This Row],[Round]]=4),IF(Games[[#This Row],[Result]]&gt;0.5,1,0),0)</f>
        <v>0</v>
      </c>
      <c r="AL166" s="2">
        <f>IF(AND(Games[[#This Row],[Type]]="P",Games[[#This Row],[Round]]=4),IF(Games[[#This Row],[Result]]&lt;0.5,1,0),0)</f>
        <v>0</v>
      </c>
    </row>
    <row r="167" spans="1:38" x14ac:dyDescent="0.35">
      <c r="A167" s="10">
        <v>37799</v>
      </c>
      <c r="B167" s="2">
        <v>2003</v>
      </c>
      <c r="C167" s="2">
        <f>COUNTIFS(Games[Team],Games[[#This Row],[Team]],Games[Season],Games[[#This Row],[Season]],Games[Date],"&lt;=" &amp; Games[[#This Row],[Date]])</f>
        <v>11</v>
      </c>
      <c r="D167" s="2" t="s">
        <v>23</v>
      </c>
      <c r="E167" s="2" t="s">
        <v>29</v>
      </c>
      <c r="F167" s="1" t="s">
        <v>66</v>
      </c>
      <c r="G167" s="1" t="s">
        <v>76</v>
      </c>
      <c r="H167" s="1" t="s">
        <v>15</v>
      </c>
      <c r="I167" s="2" cm="1">
        <f t="array" ref="I167">IFERROR(
    Games[[#This Row],[Date]]
    - LOOKUP(
        2,
        1/((Games[Team]=Games[[#This Row],[Team]]) * (Games[Date] &lt; Games[[#This Row],[Date]])),
        Games[Date]
    )
    - 1,
Games[[#This Row],[Date]]-$A$2)</f>
        <v>1</v>
      </c>
      <c r="J167" s="2" cm="1">
        <f t="array" ref="J16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67" s="2">
        <f>Games[[#This Row],[DaysOff]]-Games[[#This Row],[OppDaysOff]]</f>
        <v>-1</v>
      </c>
      <c r="L167" s="2">
        <f>Games[[#This Row],[OppDaysOff]]-Games[[#This Row],[DaysOff]]</f>
        <v>1</v>
      </c>
      <c r="M167" s="1">
        <f>MAX(-16, MIN(16, Games[[#This Row],[RestDiff]]*8))</f>
        <v>-8</v>
      </c>
      <c r="N167" s="1">
        <f>MAX(-16, MIN(16, Games[[#This Row],[OppRestDiff]]*8))</f>
        <v>8</v>
      </c>
      <c r="O167" s="4" cm="1">
        <f t="array" ref="O16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1530.0415416045744</v>
      </c>
      <c r="P167" s="4" cm="1">
        <f t="array" ref="P16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1556.7456109705111</v>
      </c>
      <c r="Q167" s="4">
        <f>1/(1+10^(((Games[[#This Row],[OppPreGmRate]]+IF(Games[[#This Row],[HomeAway]]="A",HCA,0)+Games[[#This Row],[OppRestAdj]])-(Games[[#This Row],[PreGmRate]]+IF(Games[[#This Row],[HomeAway]]="H",HCA,0)+Games[[#This Row],[RestAdj]]))/400))</f>
        <v>0.55915132956759506</v>
      </c>
      <c r="R167" s="1">
        <v>69</v>
      </c>
      <c r="S167" s="1">
        <v>75</v>
      </c>
      <c r="T167" s="1">
        <v>0</v>
      </c>
      <c r="U167" s="1">
        <f>Games[[#This Row],[PointsFor]]-Games[[#This Row],[PointsAgainst]]</f>
        <v>-6</v>
      </c>
      <c r="V167" s="1">
        <f>IF(Games[[#This Row],[MOV]]&gt;0,1,IF(Games[[#This Row],[MOV]]=0,0.5,0))</f>
        <v>0</v>
      </c>
      <c r="W167" s="4">
        <f>((ABS(Games[[#This Row],[MOV]])+5)^0.6)/(12+0.01*(ABS(Games[[#This Row],[PreGmRate]]-Games[[#This Row],[OppPreGmRate]])))*IF(Games[[#This Row],[OT]]=1,0.9,1)</f>
        <v>0.34363374495616988</v>
      </c>
      <c r="X167" s="7" cm="1">
        <f t="array" ref="X16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7" s="9">
        <f>MAX(kmin, kmax - 0.15 * MIN(Games[[#This Row],[GamesPlayed]], 82))</f>
        <v>74.349999999999994</v>
      </c>
      <c r="Z167" s="4">
        <f>Games[[#This Row],[K]]*Games[[#This Row],[POMult]]</f>
        <v>74.349999999999994</v>
      </c>
      <c r="AA167" s="4">
        <f>(Games[[#This Row],[Keff]]*Games[[#This Row],[MOVMult]])*(Games[[#This Row],[Result]]-Games[[#This Row],[ExpectedWin%]])</f>
        <v>-14.28585178074532</v>
      </c>
      <c r="AB167" s="4">
        <f>Games[[#This Row],[PreGmRate]]+Games[[#This Row],[RatingChange]]</f>
        <v>1515.755689823829</v>
      </c>
      <c r="AC167" s="2">
        <f>IF(Games[[#This Row],[Type]]="R",IF(Games[[#This Row],[Result]]&gt;0.5,1,0),0)</f>
        <v>0</v>
      </c>
      <c r="AD167" s="2">
        <f>IF(Games[[#This Row],[Type]]="R",IF(Games[[#This Row],[Result]]&lt;0.5,1,0),0)</f>
        <v>1</v>
      </c>
      <c r="AE167" s="2">
        <f>IF(AND(Games[[#This Row],[Type]]="P",Games[[#This Row],[Round]]=1),IF(Games[[#This Row],[Result]]&gt;0.5,1,0),0)</f>
        <v>0</v>
      </c>
      <c r="AF167" s="2">
        <f>IF(AND(Games[[#This Row],[Type]]="P",Games[[#This Row],[Round]]=1),IF(Games[[#This Row],[Result]]&lt;0.5,1,0),0)</f>
        <v>0</v>
      </c>
      <c r="AG167" s="2">
        <f>IF(AND(Games[[#This Row],[Type]]="P",Games[[#This Row],[Round]]=2),IF(Games[[#This Row],[Result]]&gt;0.5,1,0),0)</f>
        <v>0</v>
      </c>
      <c r="AH167" s="2">
        <f>IF(AND(Games[[#This Row],[Type]]="P",Games[[#This Row],[Round]]=2),IF(Games[[#This Row],[Result]]&lt;0.5,1,0),0)</f>
        <v>0</v>
      </c>
      <c r="AI167" s="2">
        <f>IF(AND(Games[[#This Row],[Type]]="P",Games[[#This Row],[Round]]=3),IF(Games[[#This Row],[Result]]&gt;0.5,1,0),0)</f>
        <v>0</v>
      </c>
      <c r="AJ167" s="2">
        <f>IF(AND(Games[[#This Row],[Type]]="P",Games[[#This Row],[Round]]=3),IF(Games[[#This Row],[Result]]&lt;0.5,1,0),0)</f>
        <v>0</v>
      </c>
      <c r="AK167" s="2">
        <f>IF(AND(Games[[#This Row],[Type]]="P",Games[[#This Row],[Round]]=4),IF(Games[[#This Row],[Result]]&gt;0.5,1,0),0)</f>
        <v>0</v>
      </c>
      <c r="AL167" s="2">
        <f>IF(AND(Games[[#This Row],[Type]]="P",Games[[#This Row],[Round]]=4),IF(Games[[#This Row],[Result]]&lt;0.5,1,0),0)</f>
        <v>0</v>
      </c>
    </row>
    <row r="168" spans="1:38" x14ac:dyDescent="0.35">
      <c r="A168" s="10">
        <v>37800</v>
      </c>
      <c r="B168" s="2">
        <v>2003</v>
      </c>
      <c r="C168" s="2">
        <f>COUNTIFS(Games[Team],Games[[#This Row],[Team]],Games[Season],Games[[#This Row],[Season]],Games[Date],"&lt;=" &amp; Games[[#This Row],[Date]])</f>
        <v>13</v>
      </c>
      <c r="D168" s="2" t="s">
        <v>23</v>
      </c>
      <c r="E168" s="2" t="s">
        <v>29</v>
      </c>
      <c r="F168" s="1" t="s">
        <v>87</v>
      </c>
      <c r="G168" s="1" t="s">
        <v>64</v>
      </c>
      <c r="H168" s="1" t="s">
        <v>16</v>
      </c>
      <c r="I168" s="2" cm="1">
        <f t="array" ref="I168">IFERROR(
    Games[[#This Row],[Date]]
    - LOOKUP(
        2,
        1/((Games[Team]=Games[[#This Row],[Team]]) * (Games[Date] &lt; Games[[#This Row],[Date]])),
        Games[Date]
    )
    - 1,
Games[[#This Row],[Date]]-$A$2)</f>
        <v>1</v>
      </c>
      <c r="J168" s="2" cm="1">
        <f t="array" ref="J16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68" s="2">
        <f>Games[[#This Row],[DaysOff]]-Games[[#This Row],[OppDaysOff]]</f>
        <v>-1</v>
      </c>
      <c r="L168" s="2">
        <f>Games[[#This Row],[OppDaysOff]]-Games[[#This Row],[DaysOff]]</f>
        <v>1</v>
      </c>
      <c r="M168" s="1">
        <f>MAX(-16, MIN(16, Games[[#This Row],[RestDiff]]*8))</f>
        <v>-8</v>
      </c>
      <c r="N168" s="1">
        <f>MAX(-16, MIN(16, Games[[#This Row],[OppRestDiff]]*8))</f>
        <v>8</v>
      </c>
      <c r="O168" s="4" cm="1">
        <f t="array" ref="O16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1494.8556625662925</v>
      </c>
      <c r="P168" s="4" cm="1">
        <f t="array" ref="P16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1519.677269038644</v>
      </c>
      <c r="Q168" s="4">
        <f>1/(1+10^(((Games[[#This Row],[OppPreGmRate]]+IF(Games[[#This Row],[HomeAway]]="A",HCA,0)+Games[[#This Row],[OppRestAdj]])-(Games[[#This Row],[PreGmRate]]+IF(Games[[#This Row],[HomeAway]]="H",HCA,0)+Games[[#This Row],[RestAdj]]))/400))</f>
        <v>0.3277165650653055</v>
      </c>
      <c r="R168" s="1">
        <v>55</v>
      </c>
      <c r="S168" s="1">
        <v>69</v>
      </c>
      <c r="T168" s="1">
        <v>0</v>
      </c>
      <c r="U168" s="1">
        <f>Games[[#This Row],[PointsFor]]-Games[[#This Row],[PointsAgainst]]</f>
        <v>-14</v>
      </c>
      <c r="V168" s="1">
        <f>IF(Games[[#This Row],[MOV]]&gt;0,1,IF(Games[[#This Row],[MOV]]=0,0.5,0))</f>
        <v>0</v>
      </c>
      <c r="W168" s="4">
        <f>((ABS(Games[[#This Row],[MOV]])+5)^0.6)/(12+0.01*(ABS(Games[[#This Row],[PreGmRate]]-Games[[#This Row],[OppPreGmRate]])))*IF(Games[[#This Row],[OT]]=1,0.9,1)</f>
        <v>0.47772648779945404</v>
      </c>
      <c r="X168" s="7" cm="1">
        <f t="array" ref="X16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8" s="9">
        <f>MAX(kmin, kmax - 0.15 * MIN(Games[[#This Row],[GamesPlayed]], 82))</f>
        <v>74.05</v>
      </c>
      <c r="Z168" s="4">
        <f>Games[[#This Row],[K]]*Games[[#This Row],[POMult]]</f>
        <v>74.05</v>
      </c>
      <c r="AA168" s="4">
        <f>(Games[[#This Row],[Keff]]*Games[[#This Row],[MOVMult]])*(Games[[#This Row],[Result]]-Games[[#This Row],[ExpectedWin%]])</f>
        <v>-11.593185332234992</v>
      </c>
      <c r="AB168" s="4">
        <f>Games[[#This Row],[PreGmRate]]+Games[[#This Row],[RatingChange]]</f>
        <v>1483.2624772340575</v>
      </c>
      <c r="AC168" s="2">
        <f>IF(Games[[#This Row],[Type]]="R",IF(Games[[#This Row],[Result]]&gt;0.5,1,0),0)</f>
        <v>0</v>
      </c>
      <c r="AD168" s="2">
        <f>IF(Games[[#This Row],[Type]]="R",IF(Games[[#This Row],[Result]]&lt;0.5,1,0),0)</f>
        <v>1</v>
      </c>
      <c r="AE168" s="2">
        <f>IF(AND(Games[[#This Row],[Type]]="P",Games[[#This Row],[Round]]=1),IF(Games[[#This Row],[Result]]&gt;0.5,1,0),0)</f>
        <v>0</v>
      </c>
      <c r="AF168" s="2">
        <f>IF(AND(Games[[#This Row],[Type]]="P",Games[[#This Row],[Round]]=1),IF(Games[[#This Row],[Result]]&lt;0.5,1,0),0)</f>
        <v>0</v>
      </c>
      <c r="AG168" s="2">
        <f>IF(AND(Games[[#This Row],[Type]]="P",Games[[#This Row],[Round]]=2),IF(Games[[#This Row],[Result]]&gt;0.5,1,0),0)</f>
        <v>0</v>
      </c>
      <c r="AH168" s="2">
        <f>IF(AND(Games[[#This Row],[Type]]="P",Games[[#This Row],[Round]]=2),IF(Games[[#This Row],[Result]]&lt;0.5,1,0),0)</f>
        <v>0</v>
      </c>
      <c r="AI168" s="2">
        <f>IF(AND(Games[[#This Row],[Type]]="P",Games[[#This Row],[Round]]=3),IF(Games[[#This Row],[Result]]&gt;0.5,1,0),0)</f>
        <v>0</v>
      </c>
      <c r="AJ168" s="2">
        <f>IF(AND(Games[[#This Row],[Type]]="P",Games[[#This Row],[Round]]=3),IF(Games[[#This Row],[Result]]&lt;0.5,1,0),0)</f>
        <v>0</v>
      </c>
      <c r="AK168" s="2">
        <f>IF(AND(Games[[#This Row],[Type]]="P",Games[[#This Row],[Round]]=4),IF(Games[[#This Row],[Result]]&gt;0.5,1,0),0)</f>
        <v>0</v>
      </c>
      <c r="AL168" s="2">
        <f>IF(AND(Games[[#This Row],[Type]]="P",Games[[#This Row],[Round]]=4),IF(Games[[#This Row],[Result]]&lt;0.5,1,0),0)</f>
        <v>0</v>
      </c>
    </row>
    <row r="169" spans="1:38" x14ac:dyDescent="0.35">
      <c r="A169" s="10">
        <v>37800</v>
      </c>
      <c r="B169" s="2">
        <v>2003</v>
      </c>
      <c r="C169" s="2">
        <f>COUNTIFS(Games[Team],Games[[#This Row],[Team]],Games[Season],Games[[#This Row],[Season]],Games[Date],"&lt;=" &amp; Games[[#This Row],[Date]])</f>
        <v>13</v>
      </c>
      <c r="D169" s="2" t="s">
        <v>23</v>
      </c>
      <c r="E169" s="2" t="s">
        <v>29</v>
      </c>
      <c r="F169" s="1" t="s">
        <v>64</v>
      </c>
      <c r="G169" s="1" t="s">
        <v>87</v>
      </c>
      <c r="H169" s="1" t="s">
        <v>15</v>
      </c>
      <c r="I169" s="2" cm="1">
        <f t="array" ref="I169">IFERROR(
    Games[[#This Row],[Date]]
    - LOOKUP(
        2,
        1/((Games[Team]=Games[[#This Row],[Team]]) * (Games[Date] &lt; Games[[#This Row],[Date]])),
        Games[Date]
    )
    - 1,
Games[[#This Row],[Date]]-$A$2)</f>
        <v>2</v>
      </c>
      <c r="J169" s="2" cm="1">
        <f t="array" ref="J16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69" s="2">
        <f>Games[[#This Row],[DaysOff]]-Games[[#This Row],[OppDaysOff]]</f>
        <v>1</v>
      </c>
      <c r="L169" s="2">
        <f>Games[[#This Row],[OppDaysOff]]-Games[[#This Row],[DaysOff]]</f>
        <v>-1</v>
      </c>
      <c r="M169" s="1">
        <f>MAX(-16, MIN(16, Games[[#This Row],[RestDiff]]*8))</f>
        <v>8</v>
      </c>
      <c r="N169" s="1">
        <f>MAX(-16, MIN(16, Games[[#This Row],[OppRestDiff]]*8))</f>
        <v>-8</v>
      </c>
      <c r="O169" s="4" cm="1">
        <f t="array" ref="O16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1519.677269038644</v>
      </c>
      <c r="P169" s="4" cm="1">
        <f t="array" ref="P16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1494.8556625662925</v>
      </c>
      <c r="Q169" s="4">
        <f>1/(1+10^(((Games[[#This Row],[OppPreGmRate]]+IF(Games[[#This Row],[HomeAway]]="A",HCA,0)+Games[[#This Row],[OppRestAdj]])-(Games[[#This Row],[PreGmRate]]+IF(Games[[#This Row],[HomeAway]]="H",HCA,0)+Games[[#This Row],[RestAdj]]))/400))</f>
        <v>0.67228343493469445</v>
      </c>
      <c r="R169" s="1">
        <v>69</v>
      </c>
      <c r="S169" s="1">
        <v>55</v>
      </c>
      <c r="T169" s="1">
        <v>0</v>
      </c>
      <c r="U169" s="1">
        <f>Games[[#This Row],[PointsFor]]-Games[[#This Row],[PointsAgainst]]</f>
        <v>14</v>
      </c>
      <c r="V169" s="1">
        <f>IF(Games[[#This Row],[MOV]]&gt;0,1,IF(Games[[#This Row],[MOV]]=0,0.5,0))</f>
        <v>1</v>
      </c>
      <c r="W169" s="4">
        <f>((ABS(Games[[#This Row],[MOV]])+5)^0.6)/(12+0.01*(ABS(Games[[#This Row],[PreGmRate]]-Games[[#This Row],[OppPreGmRate]])))*IF(Games[[#This Row],[OT]]=1,0.9,1)</f>
        <v>0.47772648779945404</v>
      </c>
      <c r="X169" s="7" cm="1">
        <f t="array" ref="X16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9" s="9">
        <f>MAX(kmin, kmax - 0.15 * MIN(Games[[#This Row],[GamesPlayed]], 82))</f>
        <v>74.05</v>
      </c>
      <c r="Z169" s="4">
        <f>Games[[#This Row],[K]]*Games[[#This Row],[POMult]]</f>
        <v>74.05</v>
      </c>
      <c r="AA169" s="4">
        <f>(Games[[#This Row],[Keff]]*Games[[#This Row],[MOVMult]])*(Games[[#This Row],[Result]]-Games[[#This Row],[ExpectedWin%]])</f>
        <v>11.593185332234993</v>
      </c>
      <c r="AB169" s="4">
        <f>Games[[#This Row],[PreGmRate]]+Games[[#This Row],[RatingChange]]</f>
        <v>1531.270454370879</v>
      </c>
      <c r="AC169" s="2">
        <f>IF(Games[[#This Row],[Type]]="R",IF(Games[[#This Row],[Result]]&gt;0.5,1,0),0)</f>
        <v>1</v>
      </c>
      <c r="AD169" s="2">
        <f>IF(Games[[#This Row],[Type]]="R",IF(Games[[#This Row],[Result]]&lt;0.5,1,0),0)</f>
        <v>0</v>
      </c>
      <c r="AE169" s="2">
        <f>IF(AND(Games[[#This Row],[Type]]="P",Games[[#This Row],[Round]]=1),IF(Games[[#This Row],[Result]]&gt;0.5,1,0),0)</f>
        <v>0</v>
      </c>
      <c r="AF169" s="2">
        <f>IF(AND(Games[[#This Row],[Type]]="P",Games[[#This Row],[Round]]=1),IF(Games[[#This Row],[Result]]&lt;0.5,1,0),0)</f>
        <v>0</v>
      </c>
      <c r="AG169" s="2">
        <f>IF(AND(Games[[#This Row],[Type]]="P",Games[[#This Row],[Round]]=2),IF(Games[[#This Row],[Result]]&gt;0.5,1,0),0)</f>
        <v>0</v>
      </c>
      <c r="AH169" s="2">
        <f>IF(AND(Games[[#This Row],[Type]]="P",Games[[#This Row],[Round]]=2),IF(Games[[#This Row],[Result]]&lt;0.5,1,0),0)</f>
        <v>0</v>
      </c>
      <c r="AI169" s="2">
        <f>IF(AND(Games[[#This Row],[Type]]="P",Games[[#This Row],[Round]]=3),IF(Games[[#This Row],[Result]]&gt;0.5,1,0),0)</f>
        <v>0</v>
      </c>
      <c r="AJ169" s="2">
        <f>IF(AND(Games[[#This Row],[Type]]="P",Games[[#This Row],[Round]]=3),IF(Games[[#This Row],[Result]]&lt;0.5,1,0),0)</f>
        <v>0</v>
      </c>
      <c r="AK169" s="2">
        <f>IF(AND(Games[[#This Row],[Type]]="P",Games[[#This Row],[Round]]=4),IF(Games[[#This Row],[Result]]&gt;0.5,1,0),0)</f>
        <v>0</v>
      </c>
      <c r="AL169" s="2">
        <f>IF(AND(Games[[#This Row],[Type]]="P",Games[[#This Row],[Round]]=4),IF(Games[[#This Row],[Result]]&lt;0.5,1,0),0)</f>
        <v>0</v>
      </c>
    </row>
    <row r="170" spans="1:38" x14ac:dyDescent="0.35">
      <c r="A170" s="10">
        <v>37800</v>
      </c>
      <c r="B170" s="2">
        <v>2003</v>
      </c>
      <c r="C170" s="2">
        <f>COUNTIFS(Games[Team],Games[[#This Row],[Team]],Games[Season],Games[[#This Row],[Season]],Games[Date],"&lt;=" &amp; Games[[#This Row],[Date]])</f>
        <v>14</v>
      </c>
      <c r="D170" s="2" t="s">
        <v>23</v>
      </c>
      <c r="E170" s="2" t="s">
        <v>29</v>
      </c>
      <c r="F170" s="1" t="s">
        <v>44</v>
      </c>
      <c r="G170" s="1" t="s">
        <v>76</v>
      </c>
      <c r="H170" s="1" t="s">
        <v>16</v>
      </c>
      <c r="I170" s="2" cm="1">
        <f t="array" ref="I170">IFERROR(
    Games[[#This Row],[Date]]
    - LOOKUP(
        2,
        1/((Games[Team]=Games[[#This Row],[Team]]) * (Games[Date] &lt; Games[[#This Row],[Date]])),
        Games[Date]
    )
    - 1,
Games[[#This Row],[Date]]-$A$2)</f>
        <v>0</v>
      </c>
      <c r="J170" s="2" cm="1">
        <f t="array" ref="J170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70" s="2">
        <f>Games[[#This Row],[DaysOff]]-Games[[#This Row],[OppDaysOff]]</f>
        <v>0</v>
      </c>
      <c r="L170" s="2">
        <f>Games[[#This Row],[OppDaysOff]]-Games[[#This Row],[DaysOff]]</f>
        <v>0</v>
      </c>
      <c r="M170" s="1">
        <f>MAX(-16, MIN(16, Games[[#This Row],[RestDiff]]*8))</f>
        <v>0</v>
      </c>
      <c r="N170" s="1">
        <f>MAX(-16, MIN(16, Games[[#This Row],[OppRestDiff]]*8))</f>
        <v>0</v>
      </c>
      <c r="O170" s="4" cm="1">
        <f t="array" ref="O17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1369.8220422806794</v>
      </c>
      <c r="P170" s="4" cm="1">
        <f t="array" ref="P17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1571.0891057308693</v>
      </c>
      <c r="Q170" s="4">
        <f>1/(1+10^(((Games[[#This Row],[OppPreGmRate]]+IF(Games[[#This Row],[HomeAway]]="A",HCA,0)+Games[[#This Row],[OppRestAdj]])-(Games[[#This Row],[PreGmRate]]+IF(Games[[#This Row],[HomeAway]]="H",HCA,0)+Games[[#This Row],[RestAdj]]))/400))</f>
        <v>0.16217554750195842</v>
      </c>
      <c r="R170" s="1">
        <v>68</v>
      </c>
      <c r="S170" s="1">
        <v>65</v>
      </c>
      <c r="T170" s="1">
        <v>0</v>
      </c>
      <c r="U170" s="1">
        <f>Games[[#This Row],[PointsFor]]-Games[[#This Row],[PointsAgainst]]</f>
        <v>3</v>
      </c>
      <c r="V170" s="1">
        <f>IF(Games[[#This Row],[MOV]]&gt;0,1,IF(Games[[#This Row],[MOV]]=0,0.5,0))</f>
        <v>1</v>
      </c>
      <c r="W170" s="4">
        <f>((ABS(Games[[#This Row],[MOV]])+5)^0.6)/(12+0.01*(ABS(Games[[#This Row],[PreGmRate]]-Games[[#This Row],[OppPreGmRate]])))*IF(Games[[#This Row],[OT]]=1,0.9,1)</f>
        <v>0.24850382514598202</v>
      </c>
      <c r="X170" s="7" cm="1">
        <f t="array" ref="X17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0" s="9">
        <f>MAX(kmin, kmax - 0.15 * MIN(Games[[#This Row],[GamesPlayed]], 82))</f>
        <v>73.900000000000006</v>
      </c>
      <c r="Z170" s="4">
        <f>Games[[#This Row],[K]]*Games[[#This Row],[POMult]]</f>
        <v>73.900000000000006</v>
      </c>
      <c r="AA170" s="4">
        <f>(Games[[#This Row],[Keff]]*Games[[#This Row],[MOVMult]])*(Games[[#This Row],[Result]]-Games[[#This Row],[ExpectedWin%]])</f>
        <v>15.386170754123848</v>
      </c>
      <c r="AB170" s="4">
        <f>Games[[#This Row],[PreGmRate]]+Games[[#This Row],[RatingChange]]</f>
        <v>1385.2082130348033</v>
      </c>
      <c r="AC170" s="2">
        <f>IF(Games[[#This Row],[Type]]="R",IF(Games[[#This Row],[Result]]&gt;0.5,1,0),0)</f>
        <v>1</v>
      </c>
      <c r="AD170" s="2">
        <f>IF(Games[[#This Row],[Type]]="R",IF(Games[[#This Row],[Result]]&lt;0.5,1,0),0)</f>
        <v>0</v>
      </c>
      <c r="AE170" s="2">
        <f>IF(AND(Games[[#This Row],[Type]]="P",Games[[#This Row],[Round]]=1),IF(Games[[#This Row],[Result]]&gt;0.5,1,0),0)</f>
        <v>0</v>
      </c>
      <c r="AF170" s="2">
        <f>IF(AND(Games[[#This Row],[Type]]="P",Games[[#This Row],[Round]]=1),IF(Games[[#This Row],[Result]]&lt;0.5,1,0),0)</f>
        <v>0</v>
      </c>
      <c r="AG170" s="2">
        <f>IF(AND(Games[[#This Row],[Type]]="P",Games[[#This Row],[Round]]=2),IF(Games[[#This Row],[Result]]&gt;0.5,1,0),0)</f>
        <v>0</v>
      </c>
      <c r="AH170" s="2">
        <f>IF(AND(Games[[#This Row],[Type]]="P",Games[[#This Row],[Round]]=2),IF(Games[[#This Row],[Result]]&lt;0.5,1,0),0)</f>
        <v>0</v>
      </c>
      <c r="AI170" s="2">
        <f>IF(AND(Games[[#This Row],[Type]]="P",Games[[#This Row],[Round]]=3),IF(Games[[#This Row],[Result]]&gt;0.5,1,0),0)</f>
        <v>0</v>
      </c>
      <c r="AJ170" s="2">
        <f>IF(AND(Games[[#This Row],[Type]]="P",Games[[#This Row],[Round]]=3),IF(Games[[#This Row],[Result]]&lt;0.5,1,0),0)</f>
        <v>0</v>
      </c>
      <c r="AK170" s="2">
        <f>IF(AND(Games[[#This Row],[Type]]="P",Games[[#This Row],[Round]]=4),IF(Games[[#This Row],[Result]]&gt;0.5,1,0),0)</f>
        <v>0</v>
      </c>
      <c r="AL170" s="2">
        <f>IF(AND(Games[[#This Row],[Type]]="P",Games[[#This Row],[Round]]=4),IF(Games[[#This Row],[Result]]&lt;0.5,1,0),0)</f>
        <v>0</v>
      </c>
    </row>
    <row r="171" spans="1:38" x14ac:dyDescent="0.35">
      <c r="A171" s="10">
        <v>37800</v>
      </c>
      <c r="B171" s="2">
        <v>2003</v>
      </c>
      <c r="C171" s="2">
        <f>COUNTIFS(Games[Team],Games[[#This Row],[Team]],Games[Season],Games[[#This Row],[Season]],Games[Date],"&lt;=" &amp; Games[[#This Row],[Date]])</f>
        <v>10</v>
      </c>
      <c r="D171" s="2" t="s">
        <v>23</v>
      </c>
      <c r="E171" s="2" t="s">
        <v>29</v>
      </c>
      <c r="F171" s="1" t="s">
        <v>76</v>
      </c>
      <c r="G171" s="1" t="s">
        <v>44</v>
      </c>
      <c r="H171" s="1" t="s">
        <v>15</v>
      </c>
      <c r="I171" s="2" cm="1">
        <f t="array" ref="I171">IFERROR(
    Games[[#This Row],[Date]]
    - LOOKUP(
        2,
        1/((Games[Team]=Games[[#This Row],[Team]]) * (Games[Date] &lt; Games[[#This Row],[Date]])),
        Games[Date]
    )
    - 1,
Games[[#This Row],[Date]]-$A$2)</f>
        <v>0</v>
      </c>
      <c r="J171" s="2" cm="1">
        <f t="array" ref="J171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71" s="2">
        <f>Games[[#This Row],[DaysOff]]-Games[[#This Row],[OppDaysOff]]</f>
        <v>0</v>
      </c>
      <c r="L171" s="2">
        <f>Games[[#This Row],[OppDaysOff]]-Games[[#This Row],[DaysOff]]</f>
        <v>0</v>
      </c>
      <c r="M171" s="1">
        <f>MAX(-16, MIN(16, Games[[#This Row],[RestDiff]]*8))</f>
        <v>0</v>
      </c>
      <c r="N171" s="1">
        <f>MAX(-16, MIN(16, Games[[#This Row],[OppRestDiff]]*8))</f>
        <v>0</v>
      </c>
      <c r="O171" s="4" cm="1">
        <f t="array" ref="O17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1571.0891057308693</v>
      </c>
      <c r="P171" s="4" cm="1">
        <f t="array" ref="P17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1369.8220422806794</v>
      </c>
      <c r="Q171" s="4">
        <f>1/(1+10^(((Games[[#This Row],[OppPreGmRate]]+IF(Games[[#This Row],[HomeAway]]="A",HCA,0)+Games[[#This Row],[OppRestAdj]])-(Games[[#This Row],[PreGmRate]]+IF(Games[[#This Row],[HomeAway]]="H",HCA,0)+Games[[#This Row],[RestAdj]]))/400))</f>
        <v>0.83782445249804161</v>
      </c>
      <c r="R171" s="1">
        <v>65</v>
      </c>
      <c r="S171" s="1">
        <v>68</v>
      </c>
      <c r="T171" s="1">
        <v>0</v>
      </c>
      <c r="U171" s="1">
        <f>Games[[#This Row],[PointsFor]]-Games[[#This Row],[PointsAgainst]]</f>
        <v>-3</v>
      </c>
      <c r="V171" s="1">
        <f>IF(Games[[#This Row],[MOV]]&gt;0,1,IF(Games[[#This Row],[MOV]]=0,0.5,0))</f>
        <v>0</v>
      </c>
      <c r="W171" s="4">
        <f>((ABS(Games[[#This Row],[MOV]])+5)^0.6)/(12+0.01*(ABS(Games[[#This Row],[PreGmRate]]-Games[[#This Row],[OppPreGmRate]])))*IF(Games[[#This Row],[OT]]=1,0.9,1)</f>
        <v>0.24850382514598202</v>
      </c>
      <c r="X171" s="7" cm="1">
        <f t="array" ref="X17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1" s="9">
        <f>MAX(kmin, kmax - 0.15 * MIN(Games[[#This Row],[GamesPlayed]], 82))</f>
        <v>74.5</v>
      </c>
      <c r="Z171" s="4">
        <f>Games[[#This Row],[K]]*Games[[#This Row],[POMult]]</f>
        <v>74.5</v>
      </c>
      <c r="AA171" s="4">
        <f>(Games[[#This Row],[Keff]]*Games[[#This Row],[MOVMult]])*(Games[[#This Row],[Result]]-Games[[#This Row],[ExpectedWin%]])</f>
        <v>-15.511092302871807</v>
      </c>
      <c r="AB171" s="4">
        <f>Games[[#This Row],[PreGmRate]]+Games[[#This Row],[RatingChange]]</f>
        <v>1555.5780134279976</v>
      </c>
      <c r="AC171" s="2">
        <f>IF(Games[[#This Row],[Type]]="R",IF(Games[[#This Row],[Result]]&gt;0.5,1,0),0)</f>
        <v>0</v>
      </c>
      <c r="AD171" s="2">
        <f>IF(Games[[#This Row],[Type]]="R",IF(Games[[#This Row],[Result]]&lt;0.5,1,0),0)</f>
        <v>1</v>
      </c>
      <c r="AE171" s="2">
        <f>IF(AND(Games[[#This Row],[Type]]="P",Games[[#This Row],[Round]]=1),IF(Games[[#This Row],[Result]]&gt;0.5,1,0),0)</f>
        <v>0</v>
      </c>
      <c r="AF171" s="2">
        <f>IF(AND(Games[[#This Row],[Type]]="P",Games[[#This Row],[Round]]=1),IF(Games[[#This Row],[Result]]&lt;0.5,1,0),0)</f>
        <v>0</v>
      </c>
      <c r="AG171" s="2">
        <f>IF(AND(Games[[#This Row],[Type]]="P",Games[[#This Row],[Round]]=2),IF(Games[[#This Row],[Result]]&gt;0.5,1,0),0)</f>
        <v>0</v>
      </c>
      <c r="AH171" s="2">
        <f>IF(AND(Games[[#This Row],[Type]]="P",Games[[#This Row],[Round]]=2),IF(Games[[#This Row],[Result]]&lt;0.5,1,0),0)</f>
        <v>0</v>
      </c>
      <c r="AI171" s="2">
        <f>IF(AND(Games[[#This Row],[Type]]="P",Games[[#This Row],[Round]]=3),IF(Games[[#This Row],[Result]]&gt;0.5,1,0),0)</f>
        <v>0</v>
      </c>
      <c r="AJ171" s="2">
        <f>IF(AND(Games[[#This Row],[Type]]="P",Games[[#This Row],[Round]]=3),IF(Games[[#This Row],[Result]]&lt;0.5,1,0),0)</f>
        <v>0</v>
      </c>
      <c r="AK171" s="2">
        <f>IF(AND(Games[[#This Row],[Type]]="P",Games[[#This Row],[Round]]=4),IF(Games[[#This Row],[Result]]&gt;0.5,1,0),0)</f>
        <v>0</v>
      </c>
      <c r="AL171" s="2">
        <f>IF(AND(Games[[#This Row],[Type]]="P",Games[[#This Row],[Round]]=4),IF(Games[[#This Row],[Result]]&lt;0.5,1,0),0)</f>
        <v>0</v>
      </c>
    </row>
    <row r="172" spans="1:38" x14ac:dyDescent="0.35">
      <c r="A172" s="10">
        <v>37800</v>
      </c>
      <c r="B172" s="2">
        <v>2003</v>
      </c>
      <c r="C172" s="2">
        <f>COUNTIFS(Games[Team],Games[[#This Row],[Team]],Games[Season],Games[[#This Row],[Season]],Games[Date],"&lt;=" &amp; Games[[#This Row],[Date]])</f>
        <v>14</v>
      </c>
      <c r="D172" s="2" t="s">
        <v>23</v>
      </c>
      <c r="E172" s="2" t="s">
        <v>29</v>
      </c>
      <c r="F172" s="1" t="s">
        <v>85</v>
      </c>
      <c r="G172" s="1" t="s">
        <v>2</v>
      </c>
      <c r="H172" s="1" t="s">
        <v>16</v>
      </c>
      <c r="I172" s="2" cm="1">
        <f t="array" ref="I172">IFERROR(
    Games[[#This Row],[Date]]
    - LOOKUP(
        2,
        1/((Games[Team]=Games[[#This Row],[Team]]) * (Games[Date] &lt; Games[[#This Row],[Date]])),
        Games[Date]
    )
    - 1,
Games[[#This Row],[Date]]-$A$2)</f>
        <v>1</v>
      </c>
      <c r="J172" s="2" cm="1">
        <f t="array" ref="J172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72" s="2">
        <f>Games[[#This Row],[DaysOff]]-Games[[#This Row],[OppDaysOff]]</f>
        <v>-2</v>
      </c>
      <c r="L172" s="2">
        <f>Games[[#This Row],[OppDaysOff]]-Games[[#This Row],[DaysOff]]</f>
        <v>2</v>
      </c>
      <c r="M172" s="1">
        <f>MAX(-16, MIN(16, Games[[#This Row],[RestDiff]]*8))</f>
        <v>-16</v>
      </c>
      <c r="N172" s="1">
        <f>MAX(-16, MIN(16, Games[[#This Row],[OppRestDiff]]*8))</f>
        <v>16</v>
      </c>
      <c r="O172" s="4" cm="1">
        <f t="array" ref="O17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1458.478950113491</v>
      </c>
      <c r="P172" s="4" cm="1">
        <f t="array" ref="P17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1522.8861246820422</v>
      </c>
      <c r="Q172" s="4">
        <f>1/(1+10^(((Games[[#This Row],[OppPreGmRate]]+IF(Games[[#This Row],[HomeAway]]="A",HCA,0)+Games[[#This Row],[OppRestAdj]])-(Games[[#This Row],[PreGmRate]]+IF(Games[[#This Row],[HomeAway]]="H",HCA,0)+Games[[#This Row],[RestAdj]]))/400))</f>
        <v>0.26143813779312081</v>
      </c>
      <c r="R172" s="1">
        <v>49</v>
      </c>
      <c r="S172" s="1">
        <v>64</v>
      </c>
      <c r="T172" s="1">
        <v>0</v>
      </c>
      <c r="U172" s="1">
        <f>Games[[#This Row],[PointsFor]]-Games[[#This Row],[PointsAgainst]]</f>
        <v>-15</v>
      </c>
      <c r="V172" s="1">
        <f>IF(Games[[#This Row],[MOV]]&gt;0,1,IF(Games[[#This Row],[MOV]]=0,0.5,0))</f>
        <v>0</v>
      </c>
      <c r="W172" s="4">
        <f>((ABS(Games[[#This Row],[MOV]])+5)^0.6)/(12+0.01*(ABS(Games[[#This Row],[PreGmRate]]-Games[[#This Row],[OppPreGmRate]])))*IF(Games[[#This Row],[OT]]=1,0.9,1)</f>
        <v>0.47723363627734722</v>
      </c>
      <c r="X172" s="7" cm="1">
        <f t="array" ref="X17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2" s="9">
        <f>MAX(kmin, kmax - 0.15 * MIN(Games[[#This Row],[GamesPlayed]], 82))</f>
        <v>73.900000000000006</v>
      </c>
      <c r="Z172" s="4">
        <f>Games[[#This Row],[K]]*Games[[#This Row],[POMult]]</f>
        <v>73.900000000000006</v>
      </c>
      <c r="AA172" s="4">
        <f>(Games[[#This Row],[Keff]]*Games[[#This Row],[MOVMult]])*(Games[[#This Row],[Result]]-Games[[#This Row],[ExpectedWin%]])</f>
        <v>-9.220286706567542</v>
      </c>
      <c r="AB172" s="4">
        <f>Games[[#This Row],[PreGmRate]]+Games[[#This Row],[RatingChange]]</f>
        <v>1449.2586634069235</v>
      </c>
      <c r="AC172" s="2">
        <f>IF(Games[[#This Row],[Type]]="R",IF(Games[[#This Row],[Result]]&gt;0.5,1,0),0)</f>
        <v>0</v>
      </c>
      <c r="AD172" s="2">
        <f>IF(Games[[#This Row],[Type]]="R",IF(Games[[#This Row],[Result]]&lt;0.5,1,0),0)</f>
        <v>1</v>
      </c>
      <c r="AE172" s="2">
        <f>IF(AND(Games[[#This Row],[Type]]="P",Games[[#This Row],[Round]]=1),IF(Games[[#This Row],[Result]]&gt;0.5,1,0),0)</f>
        <v>0</v>
      </c>
      <c r="AF172" s="2">
        <f>IF(AND(Games[[#This Row],[Type]]="P",Games[[#This Row],[Round]]=1),IF(Games[[#This Row],[Result]]&lt;0.5,1,0),0)</f>
        <v>0</v>
      </c>
      <c r="AG172" s="2">
        <f>IF(AND(Games[[#This Row],[Type]]="P",Games[[#This Row],[Round]]=2),IF(Games[[#This Row],[Result]]&gt;0.5,1,0),0)</f>
        <v>0</v>
      </c>
      <c r="AH172" s="2">
        <f>IF(AND(Games[[#This Row],[Type]]="P",Games[[#This Row],[Round]]=2),IF(Games[[#This Row],[Result]]&lt;0.5,1,0),0)</f>
        <v>0</v>
      </c>
      <c r="AI172" s="2">
        <f>IF(AND(Games[[#This Row],[Type]]="P",Games[[#This Row],[Round]]=3),IF(Games[[#This Row],[Result]]&gt;0.5,1,0),0)</f>
        <v>0</v>
      </c>
      <c r="AJ172" s="2">
        <f>IF(AND(Games[[#This Row],[Type]]="P",Games[[#This Row],[Round]]=3),IF(Games[[#This Row],[Result]]&lt;0.5,1,0),0)</f>
        <v>0</v>
      </c>
      <c r="AK172" s="2">
        <f>IF(AND(Games[[#This Row],[Type]]="P",Games[[#This Row],[Round]]=4),IF(Games[[#This Row],[Result]]&gt;0.5,1,0),0)</f>
        <v>0</v>
      </c>
      <c r="AL172" s="2">
        <f>IF(AND(Games[[#This Row],[Type]]="P",Games[[#This Row],[Round]]=4),IF(Games[[#This Row],[Result]]&lt;0.5,1,0),0)</f>
        <v>0</v>
      </c>
    </row>
    <row r="173" spans="1:38" x14ac:dyDescent="0.35">
      <c r="A173" s="10">
        <v>37800</v>
      </c>
      <c r="B173" s="2">
        <v>2003</v>
      </c>
      <c r="C173" s="2">
        <f>COUNTIFS(Games[Team],Games[[#This Row],[Team]],Games[Season],Games[[#This Row],[Season]],Games[Date],"&lt;=" &amp; Games[[#This Row],[Date]])</f>
        <v>14</v>
      </c>
      <c r="D173" s="2" t="s">
        <v>23</v>
      </c>
      <c r="E173" s="2" t="s">
        <v>29</v>
      </c>
      <c r="F173" s="1" t="s">
        <v>2</v>
      </c>
      <c r="G173" s="1" t="s">
        <v>85</v>
      </c>
      <c r="H173" s="1" t="s">
        <v>15</v>
      </c>
      <c r="I173" s="2" cm="1">
        <f t="array" ref="I173">IFERROR(
    Games[[#This Row],[Date]]
    - LOOKUP(
        2,
        1/((Games[Team]=Games[[#This Row],[Team]]) * (Games[Date] &lt; Games[[#This Row],[Date]])),
        Games[Date]
    )
    - 1,
Games[[#This Row],[Date]]-$A$2)</f>
        <v>3</v>
      </c>
      <c r="J173" s="2" cm="1">
        <f t="array" ref="J17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73" s="2">
        <f>Games[[#This Row],[DaysOff]]-Games[[#This Row],[OppDaysOff]]</f>
        <v>2</v>
      </c>
      <c r="L173" s="2">
        <f>Games[[#This Row],[OppDaysOff]]-Games[[#This Row],[DaysOff]]</f>
        <v>-2</v>
      </c>
      <c r="M173" s="1">
        <f>MAX(-16, MIN(16, Games[[#This Row],[RestDiff]]*8))</f>
        <v>16</v>
      </c>
      <c r="N173" s="1">
        <f>MAX(-16, MIN(16, Games[[#This Row],[OppRestDiff]]*8))</f>
        <v>-16</v>
      </c>
      <c r="O173" s="4" cm="1">
        <f t="array" ref="O17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1522.8861246820422</v>
      </c>
      <c r="P173" s="4" cm="1">
        <f t="array" ref="P17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1458.478950113491</v>
      </c>
      <c r="Q173" s="4">
        <f>1/(1+10^(((Games[[#This Row],[OppPreGmRate]]+IF(Games[[#This Row],[HomeAway]]="A",HCA,0)+Games[[#This Row],[OppRestAdj]])-(Games[[#This Row],[PreGmRate]]+IF(Games[[#This Row],[HomeAway]]="H",HCA,0)+Games[[#This Row],[RestAdj]]))/400))</f>
        <v>0.73856186220687914</v>
      </c>
      <c r="R173" s="1">
        <v>64</v>
      </c>
      <c r="S173" s="1">
        <v>49</v>
      </c>
      <c r="T173" s="1">
        <v>0</v>
      </c>
      <c r="U173" s="1">
        <f>Games[[#This Row],[PointsFor]]-Games[[#This Row],[PointsAgainst]]</f>
        <v>15</v>
      </c>
      <c r="V173" s="1">
        <f>IF(Games[[#This Row],[MOV]]&gt;0,1,IF(Games[[#This Row],[MOV]]=0,0.5,0))</f>
        <v>1</v>
      </c>
      <c r="W173" s="4">
        <f>((ABS(Games[[#This Row],[MOV]])+5)^0.6)/(12+0.01*(ABS(Games[[#This Row],[PreGmRate]]-Games[[#This Row],[OppPreGmRate]])))*IF(Games[[#This Row],[OT]]=1,0.9,1)</f>
        <v>0.47723363627734722</v>
      </c>
      <c r="X173" s="7" cm="1">
        <f t="array" ref="X17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3" s="9">
        <f>MAX(kmin, kmax - 0.15 * MIN(Games[[#This Row],[GamesPlayed]], 82))</f>
        <v>73.900000000000006</v>
      </c>
      <c r="Z173" s="4">
        <f>Games[[#This Row],[K]]*Games[[#This Row],[POMult]]</f>
        <v>73.900000000000006</v>
      </c>
      <c r="AA173" s="4">
        <f>(Games[[#This Row],[Keff]]*Games[[#This Row],[MOVMult]])*(Games[[#This Row],[Result]]-Games[[#This Row],[ExpectedWin%]])</f>
        <v>9.2202867065675438</v>
      </c>
      <c r="AB173" s="4">
        <f>Games[[#This Row],[PreGmRate]]+Games[[#This Row],[RatingChange]]</f>
        <v>1532.1064113886098</v>
      </c>
      <c r="AC173" s="2">
        <f>IF(Games[[#This Row],[Type]]="R",IF(Games[[#This Row],[Result]]&gt;0.5,1,0),0)</f>
        <v>1</v>
      </c>
      <c r="AD173" s="2">
        <f>IF(Games[[#This Row],[Type]]="R",IF(Games[[#This Row],[Result]]&lt;0.5,1,0),0)</f>
        <v>0</v>
      </c>
      <c r="AE173" s="2">
        <f>IF(AND(Games[[#This Row],[Type]]="P",Games[[#This Row],[Round]]=1),IF(Games[[#This Row],[Result]]&gt;0.5,1,0),0)</f>
        <v>0</v>
      </c>
      <c r="AF173" s="2">
        <f>IF(AND(Games[[#This Row],[Type]]="P",Games[[#This Row],[Round]]=1),IF(Games[[#This Row],[Result]]&lt;0.5,1,0),0)</f>
        <v>0</v>
      </c>
      <c r="AG173" s="2">
        <f>IF(AND(Games[[#This Row],[Type]]="P",Games[[#This Row],[Round]]=2),IF(Games[[#This Row],[Result]]&gt;0.5,1,0),0)</f>
        <v>0</v>
      </c>
      <c r="AH173" s="2">
        <f>IF(AND(Games[[#This Row],[Type]]="P",Games[[#This Row],[Round]]=2),IF(Games[[#This Row],[Result]]&lt;0.5,1,0),0)</f>
        <v>0</v>
      </c>
      <c r="AI173" s="2">
        <f>IF(AND(Games[[#This Row],[Type]]="P",Games[[#This Row],[Round]]=3),IF(Games[[#This Row],[Result]]&gt;0.5,1,0),0)</f>
        <v>0</v>
      </c>
      <c r="AJ173" s="2">
        <f>IF(AND(Games[[#This Row],[Type]]="P",Games[[#This Row],[Round]]=3),IF(Games[[#This Row],[Result]]&lt;0.5,1,0),0)</f>
        <v>0</v>
      </c>
      <c r="AK173" s="2">
        <f>IF(AND(Games[[#This Row],[Type]]="P",Games[[#This Row],[Round]]=4),IF(Games[[#This Row],[Result]]&gt;0.5,1,0),0)</f>
        <v>0</v>
      </c>
      <c r="AL173" s="2">
        <f>IF(AND(Games[[#This Row],[Type]]="P",Games[[#This Row],[Round]]=4),IF(Games[[#This Row],[Result]]&lt;0.5,1,0),0)</f>
        <v>0</v>
      </c>
    </row>
    <row r="174" spans="1:38" x14ac:dyDescent="0.35">
      <c r="A174" s="10">
        <v>37800</v>
      </c>
      <c r="B174" s="2">
        <v>2003</v>
      </c>
      <c r="C174" s="2">
        <f>COUNTIFS(Games[Team],Games[[#This Row],[Team]],Games[Season],Games[[#This Row],[Season]],Games[Date],"&lt;=" &amp; Games[[#This Row],[Date]])</f>
        <v>13</v>
      </c>
      <c r="D174" s="2" t="s">
        <v>23</v>
      </c>
      <c r="E174" s="2" t="s">
        <v>29</v>
      </c>
      <c r="F174" s="1" t="s">
        <v>82</v>
      </c>
      <c r="G174" s="1" t="s">
        <v>80</v>
      </c>
      <c r="H174" s="1" t="s">
        <v>16</v>
      </c>
      <c r="I174" s="2" cm="1">
        <f t="array" ref="I174">IFERROR(
    Games[[#This Row],[Date]]
    - LOOKUP(
        2,
        1/((Games[Team]=Games[[#This Row],[Team]]) * (Games[Date] &lt; Games[[#This Row],[Date]])),
        Games[Date]
    )
    - 1,
Games[[#This Row],[Date]]-$A$2)</f>
        <v>0</v>
      </c>
      <c r="J174" s="2" cm="1">
        <f t="array" ref="J17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74" s="2">
        <f>Games[[#This Row],[DaysOff]]-Games[[#This Row],[OppDaysOff]]</f>
        <v>-1</v>
      </c>
      <c r="L174" s="2">
        <f>Games[[#This Row],[OppDaysOff]]-Games[[#This Row],[DaysOff]]</f>
        <v>1</v>
      </c>
      <c r="M174" s="1">
        <f>MAX(-16, MIN(16, Games[[#This Row],[RestDiff]]*8))</f>
        <v>-8</v>
      </c>
      <c r="N174" s="1">
        <f>MAX(-16, MIN(16, Games[[#This Row],[OppRestDiff]]*8))</f>
        <v>8</v>
      </c>
      <c r="O174" s="4" cm="1">
        <f t="array" ref="O17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1552.3055568144553</v>
      </c>
      <c r="P174" s="4" cm="1">
        <f t="array" ref="P17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1519.9346066471319</v>
      </c>
      <c r="Q174" s="4">
        <f>1/(1+10^(((Games[[#This Row],[OppPreGmRate]]+IF(Games[[#This Row],[HomeAway]]="A",HCA,0)+Games[[#This Row],[OppRestAdj]])-(Games[[#This Row],[PreGmRate]]+IF(Games[[#This Row],[HomeAway]]="H",HCA,0)+Games[[#This Row],[RestAdj]]))/400))</f>
        <v>0.40388483447690943</v>
      </c>
      <c r="R174" s="1">
        <v>70</v>
      </c>
      <c r="S174" s="1">
        <v>79</v>
      </c>
      <c r="T174" s="1">
        <v>0</v>
      </c>
      <c r="U174" s="1">
        <f>Games[[#This Row],[PointsFor]]-Games[[#This Row],[PointsAgainst]]</f>
        <v>-9</v>
      </c>
      <c r="V174" s="1">
        <f>IF(Games[[#This Row],[MOV]]&gt;0,1,IF(Games[[#This Row],[MOV]]=0,0.5,0))</f>
        <v>0</v>
      </c>
      <c r="W174" s="4">
        <f>((ABS(Games[[#This Row],[MOV]])+5)^0.6)/(12+0.01*(ABS(Games[[#This Row],[PreGmRate]]-Games[[#This Row],[OppPreGmRate]])))*IF(Games[[#This Row],[OT]]=1,0.9,1)</f>
        <v>0.39530778659667948</v>
      </c>
      <c r="X174" s="7" cm="1">
        <f t="array" ref="X17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4" s="9">
        <f>MAX(kmin, kmax - 0.15 * MIN(Games[[#This Row],[GamesPlayed]], 82))</f>
        <v>74.05</v>
      </c>
      <c r="Z174" s="4">
        <f>Games[[#This Row],[K]]*Games[[#This Row],[POMult]]</f>
        <v>74.05</v>
      </c>
      <c r="AA174" s="4">
        <f>(Games[[#This Row],[Keff]]*Games[[#This Row],[MOVMult]])*(Games[[#This Row],[Result]]-Games[[#This Row],[ExpectedWin%]])</f>
        <v>-11.822735617818317</v>
      </c>
      <c r="AB174" s="4">
        <f>Games[[#This Row],[PreGmRate]]+Games[[#This Row],[RatingChange]]</f>
        <v>1540.4828211966369</v>
      </c>
      <c r="AC174" s="2">
        <f>IF(Games[[#This Row],[Type]]="R",IF(Games[[#This Row],[Result]]&gt;0.5,1,0),0)</f>
        <v>0</v>
      </c>
      <c r="AD174" s="2">
        <f>IF(Games[[#This Row],[Type]]="R",IF(Games[[#This Row],[Result]]&lt;0.5,1,0),0)</f>
        <v>1</v>
      </c>
      <c r="AE174" s="2">
        <f>IF(AND(Games[[#This Row],[Type]]="P",Games[[#This Row],[Round]]=1),IF(Games[[#This Row],[Result]]&gt;0.5,1,0),0)</f>
        <v>0</v>
      </c>
      <c r="AF174" s="2">
        <f>IF(AND(Games[[#This Row],[Type]]="P",Games[[#This Row],[Round]]=1),IF(Games[[#This Row],[Result]]&lt;0.5,1,0),0)</f>
        <v>0</v>
      </c>
      <c r="AG174" s="2">
        <f>IF(AND(Games[[#This Row],[Type]]="P",Games[[#This Row],[Round]]=2),IF(Games[[#This Row],[Result]]&gt;0.5,1,0),0)</f>
        <v>0</v>
      </c>
      <c r="AH174" s="2">
        <f>IF(AND(Games[[#This Row],[Type]]="P",Games[[#This Row],[Round]]=2),IF(Games[[#This Row],[Result]]&lt;0.5,1,0),0)</f>
        <v>0</v>
      </c>
      <c r="AI174" s="2">
        <f>IF(AND(Games[[#This Row],[Type]]="P",Games[[#This Row],[Round]]=3),IF(Games[[#This Row],[Result]]&gt;0.5,1,0),0)</f>
        <v>0</v>
      </c>
      <c r="AJ174" s="2">
        <f>IF(AND(Games[[#This Row],[Type]]="P",Games[[#This Row],[Round]]=3),IF(Games[[#This Row],[Result]]&lt;0.5,1,0),0)</f>
        <v>0</v>
      </c>
      <c r="AK174" s="2">
        <f>IF(AND(Games[[#This Row],[Type]]="P",Games[[#This Row],[Round]]=4),IF(Games[[#This Row],[Result]]&gt;0.5,1,0),0)</f>
        <v>0</v>
      </c>
      <c r="AL174" s="2">
        <f>IF(AND(Games[[#This Row],[Type]]="P",Games[[#This Row],[Round]]=4),IF(Games[[#This Row],[Result]]&lt;0.5,1,0),0)</f>
        <v>0</v>
      </c>
    </row>
    <row r="175" spans="1:38" x14ac:dyDescent="0.35">
      <c r="A175" s="10">
        <v>37800</v>
      </c>
      <c r="B175" s="2">
        <v>2003</v>
      </c>
      <c r="C175" s="2">
        <f>COUNTIFS(Games[Team],Games[[#This Row],[Team]],Games[Season],Games[[#This Row],[Season]],Games[Date],"&lt;=" &amp; Games[[#This Row],[Date]])</f>
        <v>12</v>
      </c>
      <c r="D175" s="2" t="s">
        <v>23</v>
      </c>
      <c r="E175" s="2" t="s">
        <v>29</v>
      </c>
      <c r="F175" s="1" t="s">
        <v>80</v>
      </c>
      <c r="G175" s="1" t="s">
        <v>82</v>
      </c>
      <c r="H175" s="1" t="s">
        <v>15</v>
      </c>
      <c r="I175" s="2" cm="1">
        <f t="array" ref="I175">IFERROR(
    Games[[#This Row],[Date]]
    - LOOKUP(
        2,
        1/((Games[Team]=Games[[#This Row],[Team]]) * (Games[Date] &lt; Games[[#This Row],[Date]])),
        Games[Date]
    )
    - 1,
Games[[#This Row],[Date]]-$A$2)</f>
        <v>1</v>
      </c>
      <c r="J175" s="2" cm="1">
        <f t="array" ref="J175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75" s="2">
        <f>Games[[#This Row],[DaysOff]]-Games[[#This Row],[OppDaysOff]]</f>
        <v>1</v>
      </c>
      <c r="L175" s="2">
        <f>Games[[#This Row],[OppDaysOff]]-Games[[#This Row],[DaysOff]]</f>
        <v>-1</v>
      </c>
      <c r="M175" s="1">
        <f>MAX(-16, MIN(16, Games[[#This Row],[RestDiff]]*8))</f>
        <v>8</v>
      </c>
      <c r="N175" s="1">
        <f>MAX(-16, MIN(16, Games[[#This Row],[OppRestDiff]]*8))</f>
        <v>-8</v>
      </c>
      <c r="O175" s="4" cm="1">
        <f t="array" ref="O17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1519.9346066471319</v>
      </c>
      <c r="P175" s="4" cm="1">
        <f t="array" ref="P17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1552.3055568144553</v>
      </c>
      <c r="Q175" s="4">
        <f>1/(1+10^(((Games[[#This Row],[OppPreGmRate]]+IF(Games[[#This Row],[HomeAway]]="A",HCA,0)+Games[[#This Row],[OppRestAdj]])-(Games[[#This Row],[PreGmRate]]+IF(Games[[#This Row],[HomeAway]]="H",HCA,0)+Games[[#This Row],[RestAdj]]))/400))</f>
        <v>0.59611516552309052</v>
      </c>
      <c r="R175" s="1">
        <v>79</v>
      </c>
      <c r="S175" s="1">
        <v>70</v>
      </c>
      <c r="T175" s="1">
        <v>0</v>
      </c>
      <c r="U175" s="1">
        <f>Games[[#This Row],[PointsFor]]-Games[[#This Row],[PointsAgainst]]</f>
        <v>9</v>
      </c>
      <c r="V175" s="1">
        <f>IF(Games[[#This Row],[MOV]]&gt;0,1,IF(Games[[#This Row],[MOV]]=0,0.5,0))</f>
        <v>1</v>
      </c>
      <c r="W175" s="4">
        <f>((ABS(Games[[#This Row],[MOV]])+5)^0.6)/(12+0.01*(ABS(Games[[#This Row],[PreGmRate]]-Games[[#This Row],[OppPreGmRate]])))*IF(Games[[#This Row],[OT]]=1,0.9,1)</f>
        <v>0.39530778659667948</v>
      </c>
      <c r="X175" s="7" cm="1">
        <f t="array" ref="X17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5" s="9">
        <f>MAX(kmin, kmax - 0.15 * MIN(Games[[#This Row],[GamesPlayed]], 82))</f>
        <v>74.2</v>
      </c>
      <c r="Z175" s="4">
        <f>Games[[#This Row],[K]]*Games[[#This Row],[POMult]]</f>
        <v>74.2</v>
      </c>
      <c r="AA175" s="4">
        <f>(Games[[#This Row],[Keff]]*Games[[#This Row],[MOVMult]])*(Games[[#This Row],[Result]]-Games[[#This Row],[ExpectedWin%]])</f>
        <v>11.846684440811876</v>
      </c>
      <c r="AB175" s="4">
        <f>Games[[#This Row],[PreGmRate]]+Games[[#This Row],[RatingChange]]</f>
        <v>1531.7812910879438</v>
      </c>
      <c r="AC175" s="2">
        <f>IF(Games[[#This Row],[Type]]="R",IF(Games[[#This Row],[Result]]&gt;0.5,1,0),0)</f>
        <v>1</v>
      </c>
      <c r="AD175" s="2">
        <f>IF(Games[[#This Row],[Type]]="R",IF(Games[[#This Row],[Result]]&lt;0.5,1,0),0)</f>
        <v>0</v>
      </c>
      <c r="AE175" s="2">
        <f>IF(AND(Games[[#This Row],[Type]]="P",Games[[#This Row],[Round]]=1),IF(Games[[#This Row],[Result]]&gt;0.5,1,0),0)</f>
        <v>0</v>
      </c>
      <c r="AF175" s="2">
        <f>IF(AND(Games[[#This Row],[Type]]="P",Games[[#This Row],[Round]]=1),IF(Games[[#This Row],[Result]]&lt;0.5,1,0),0)</f>
        <v>0</v>
      </c>
      <c r="AG175" s="2">
        <f>IF(AND(Games[[#This Row],[Type]]="P",Games[[#This Row],[Round]]=2),IF(Games[[#This Row],[Result]]&gt;0.5,1,0),0)</f>
        <v>0</v>
      </c>
      <c r="AH175" s="2">
        <f>IF(AND(Games[[#This Row],[Type]]="P",Games[[#This Row],[Round]]=2),IF(Games[[#This Row],[Result]]&lt;0.5,1,0),0)</f>
        <v>0</v>
      </c>
      <c r="AI175" s="2">
        <f>IF(AND(Games[[#This Row],[Type]]="P",Games[[#This Row],[Round]]=3),IF(Games[[#This Row],[Result]]&gt;0.5,1,0),0)</f>
        <v>0</v>
      </c>
      <c r="AJ175" s="2">
        <f>IF(AND(Games[[#This Row],[Type]]="P",Games[[#This Row],[Round]]=3),IF(Games[[#This Row],[Result]]&lt;0.5,1,0),0)</f>
        <v>0</v>
      </c>
      <c r="AK175" s="2">
        <f>IF(AND(Games[[#This Row],[Type]]="P",Games[[#This Row],[Round]]=4),IF(Games[[#This Row],[Result]]&gt;0.5,1,0),0)</f>
        <v>0</v>
      </c>
      <c r="AL175" s="2">
        <f>IF(AND(Games[[#This Row],[Type]]="P",Games[[#This Row],[Round]]=4),IF(Games[[#This Row],[Result]]&lt;0.5,1,0),0)</f>
        <v>0</v>
      </c>
    </row>
    <row r="176" spans="1:38" x14ac:dyDescent="0.35">
      <c r="A176" s="10">
        <v>37800</v>
      </c>
      <c r="B176" s="2">
        <v>2003</v>
      </c>
      <c r="C176" s="2">
        <f>COUNTIFS(Games[Team],Games[[#This Row],[Team]],Games[Season],Games[[#This Row],[Season]],Games[Date],"&lt;=" &amp; Games[[#This Row],[Date]])</f>
        <v>14</v>
      </c>
      <c r="D176" s="2" t="s">
        <v>23</v>
      </c>
      <c r="E176" s="2" t="s">
        <v>29</v>
      </c>
      <c r="F176" s="1" t="s">
        <v>45</v>
      </c>
      <c r="G176" s="1" t="s">
        <v>71</v>
      </c>
      <c r="H176" s="1" t="s">
        <v>16</v>
      </c>
      <c r="I176" s="2" cm="1">
        <f t="array" ref="I176">IFERROR(
    Games[[#This Row],[Date]]
    - LOOKUP(
        2,
        1/((Games[Team]=Games[[#This Row],[Team]]) * (Games[Date] &lt; Games[[#This Row],[Date]])),
        Games[Date]
    )
    - 1,
Games[[#This Row],[Date]]-$A$2)</f>
        <v>3</v>
      </c>
      <c r="J176" s="2" cm="1">
        <f t="array" ref="J17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76" s="2">
        <f>Games[[#This Row],[DaysOff]]-Games[[#This Row],[OppDaysOff]]</f>
        <v>2</v>
      </c>
      <c r="L176" s="2">
        <f>Games[[#This Row],[OppDaysOff]]-Games[[#This Row],[DaysOff]]</f>
        <v>-2</v>
      </c>
      <c r="M176" s="1">
        <f>MAX(-16, MIN(16, Games[[#This Row],[RestDiff]]*8))</f>
        <v>16</v>
      </c>
      <c r="N176" s="1">
        <f>MAX(-16, MIN(16, Games[[#This Row],[OppRestDiff]]*8))</f>
        <v>-16</v>
      </c>
      <c r="O176" s="4" cm="1">
        <f t="array" ref="O17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1478.4127965075481</v>
      </c>
      <c r="P176" s="4" cm="1">
        <f t="array" ref="P17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1692.0370507773034</v>
      </c>
      <c r="Q176" s="4">
        <f>1/(1+10^(((Games[[#This Row],[OppPreGmRate]]+IF(Games[[#This Row],[HomeAway]]="A",HCA,0)+Games[[#This Row],[OppRestAdj]])-(Games[[#This Row],[PreGmRate]]+IF(Games[[#This Row],[HomeAway]]="H",HCA,0)+Games[[#This Row],[RestAdj]]))/400))</f>
        <v>0.17813182859015744</v>
      </c>
      <c r="R176" s="1">
        <v>69</v>
      </c>
      <c r="S176" s="1">
        <v>60</v>
      </c>
      <c r="T176" s="1">
        <v>0</v>
      </c>
      <c r="U176" s="1">
        <f>Games[[#This Row],[PointsFor]]-Games[[#This Row],[PointsAgainst]]</f>
        <v>9</v>
      </c>
      <c r="V176" s="1">
        <f>IF(Games[[#This Row],[MOV]]&gt;0,1,IF(Games[[#This Row],[MOV]]=0,0.5,0))</f>
        <v>1</v>
      </c>
      <c r="W176" s="4">
        <f>((ABS(Games[[#This Row],[MOV]])+5)^0.6)/(12+0.01*(ABS(Games[[#This Row],[PreGmRate]]-Games[[#This Row],[OppPreGmRate]])))*IF(Games[[#This Row],[OT]]=1,0.9,1)</f>
        <v>0.34462186900461023</v>
      </c>
      <c r="X176" s="7" cm="1">
        <f t="array" ref="X17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6" s="9">
        <f>MAX(kmin, kmax - 0.15 * MIN(Games[[#This Row],[GamesPlayed]], 82))</f>
        <v>73.900000000000006</v>
      </c>
      <c r="Z176" s="4">
        <f>Games[[#This Row],[K]]*Games[[#This Row],[POMult]]</f>
        <v>73.900000000000006</v>
      </c>
      <c r="AA176" s="4">
        <f>(Games[[#This Row],[Keff]]*Games[[#This Row],[MOVMult]])*(Games[[#This Row],[Result]]-Games[[#This Row],[ExpectedWin%]])</f>
        <v>20.930973778162272</v>
      </c>
      <c r="AB176" s="4">
        <f>Games[[#This Row],[PreGmRate]]+Games[[#This Row],[RatingChange]]</f>
        <v>1499.3437702857104</v>
      </c>
      <c r="AC176" s="2">
        <f>IF(Games[[#This Row],[Type]]="R",IF(Games[[#This Row],[Result]]&gt;0.5,1,0),0)</f>
        <v>1</v>
      </c>
      <c r="AD176" s="2">
        <f>IF(Games[[#This Row],[Type]]="R",IF(Games[[#This Row],[Result]]&lt;0.5,1,0),0)</f>
        <v>0</v>
      </c>
      <c r="AE176" s="2">
        <f>IF(AND(Games[[#This Row],[Type]]="P",Games[[#This Row],[Round]]=1),IF(Games[[#This Row],[Result]]&gt;0.5,1,0),0)</f>
        <v>0</v>
      </c>
      <c r="AF176" s="2">
        <f>IF(AND(Games[[#This Row],[Type]]="P",Games[[#This Row],[Round]]=1),IF(Games[[#This Row],[Result]]&lt;0.5,1,0),0)</f>
        <v>0</v>
      </c>
      <c r="AG176" s="2">
        <f>IF(AND(Games[[#This Row],[Type]]="P",Games[[#This Row],[Round]]=2),IF(Games[[#This Row],[Result]]&gt;0.5,1,0),0)</f>
        <v>0</v>
      </c>
      <c r="AH176" s="2">
        <f>IF(AND(Games[[#This Row],[Type]]="P",Games[[#This Row],[Round]]=2),IF(Games[[#This Row],[Result]]&lt;0.5,1,0),0)</f>
        <v>0</v>
      </c>
      <c r="AI176" s="2">
        <f>IF(AND(Games[[#This Row],[Type]]="P",Games[[#This Row],[Round]]=3),IF(Games[[#This Row],[Result]]&gt;0.5,1,0),0)</f>
        <v>0</v>
      </c>
      <c r="AJ176" s="2">
        <f>IF(AND(Games[[#This Row],[Type]]="P",Games[[#This Row],[Round]]=3),IF(Games[[#This Row],[Result]]&lt;0.5,1,0),0)</f>
        <v>0</v>
      </c>
      <c r="AK176" s="2">
        <f>IF(AND(Games[[#This Row],[Type]]="P",Games[[#This Row],[Round]]=4),IF(Games[[#This Row],[Result]]&gt;0.5,1,0),0)</f>
        <v>0</v>
      </c>
      <c r="AL176" s="2">
        <f>IF(AND(Games[[#This Row],[Type]]="P",Games[[#This Row],[Round]]=4),IF(Games[[#This Row],[Result]]&lt;0.5,1,0),0)</f>
        <v>0</v>
      </c>
    </row>
    <row r="177" spans="1:38" x14ac:dyDescent="0.35">
      <c r="A177" s="10">
        <v>37800</v>
      </c>
      <c r="B177" s="2">
        <v>2003</v>
      </c>
      <c r="C177" s="2">
        <f>COUNTIFS(Games[Team],Games[[#This Row],[Team]],Games[Season],Games[[#This Row],[Season]],Games[Date],"&lt;=" &amp; Games[[#This Row],[Date]])</f>
        <v>15</v>
      </c>
      <c r="D177" s="2" t="s">
        <v>23</v>
      </c>
      <c r="E177" s="2" t="s">
        <v>29</v>
      </c>
      <c r="F177" s="1" t="s">
        <v>71</v>
      </c>
      <c r="G177" s="1" t="s">
        <v>45</v>
      </c>
      <c r="H177" s="1" t="s">
        <v>15</v>
      </c>
      <c r="I177" s="2" cm="1">
        <f t="array" ref="I177">IFERROR(
    Games[[#This Row],[Date]]
    - LOOKUP(
        2,
        1/((Games[Team]=Games[[#This Row],[Team]]) * (Games[Date] &lt; Games[[#This Row],[Date]])),
        Games[Date]
    )
    - 1,
Games[[#This Row],[Date]]-$A$2)</f>
        <v>1</v>
      </c>
      <c r="J177" s="2" cm="1">
        <f t="array" ref="J177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77" s="2">
        <f>Games[[#This Row],[DaysOff]]-Games[[#This Row],[OppDaysOff]]</f>
        <v>-2</v>
      </c>
      <c r="L177" s="2">
        <f>Games[[#This Row],[OppDaysOff]]-Games[[#This Row],[DaysOff]]</f>
        <v>2</v>
      </c>
      <c r="M177" s="1">
        <f>MAX(-16, MIN(16, Games[[#This Row],[RestDiff]]*8))</f>
        <v>-16</v>
      </c>
      <c r="N177" s="1">
        <f>MAX(-16, MIN(16, Games[[#This Row],[OppRestDiff]]*8))</f>
        <v>16</v>
      </c>
      <c r="O177" s="4" cm="1">
        <f t="array" ref="O17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1692.0370507773034</v>
      </c>
      <c r="P177" s="4" cm="1">
        <f t="array" ref="P17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1478.4127965075481</v>
      </c>
      <c r="Q177" s="4">
        <f>1/(1+10^(((Games[[#This Row],[OppPreGmRate]]+IF(Games[[#This Row],[HomeAway]]="A",HCA,0)+Games[[#This Row],[OppRestAdj]])-(Games[[#This Row],[PreGmRate]]+IF(Games[[#This Row],[HomeAway]]="H",HCA,0)+Games[[#This Row],[RestAdj]]))/400))</f>
        <v>0.82186817140984259</v>
      </c>
      <c r="R177" s="1">
        <v>60</v>
      </c>
      <c r="S177" s="1">
        <v>69</v>
      </c>
      <c r="T177" s="1">
        <v>0</v>
      </c>
      <c r="U177" s="1">
        <f>Games[[#This Row],[PointsFor]]-Games[[#This Row],[PointsAgainst]]</f>
        <v>-9</v>
      </c>
      <c r="V177" s="1">
        <f>IF(Games[[#This Row],[MOV]]&gt;0,1,IF(Games[[#This Row],[MOV]]=0,0.5,0))</f>
        <v>0</v>
      </c>
      <c r="W177" s="4">
        <f>((ABS(Games[[#This Row],[MOV]])+5)^0.6)/(12+0.01*(ABS(Games[[#This Row],[PreGmRate]]-Games[[#This Row],[OppPreGmRate]])))*IF(Games[[#This Row],[OT]]=1,0.9,1)</f>
        <v>0.34462186900461023</v>
      </c>
      <c r="X177" s="7" cm="1">
        <f t="array" ref="X17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7" s="9">
        <f>MAX(kmin, kmax - 0.15 * MIN(Games[[#This Row],[GamesPlayed]], 82))</f>
        <v>73.75</v>
      </c>
      <c r="Z177" s="4">
        <f>Games[[#This Row],[K]]*Games[[#This Row],[POMult]]</f>
        <v>73.75</v>
      </c>
      <c r="AA177" s="4">
        <f>(Games[[#This Row],[Keff]]*Games[[#This Row],[MOVMult]])*(Games[[#This Row],[Result]]-Games[[#This Row],[ExpectedWin%]])</f>
        <v>-20.888488716366272</v>
      </c>
      <c r="AB177" s="4">
        <f>Games[[#This Row],[PreGmRate]]+Games[[#This Row],[RatingChange]]</f>
        <v>1671.1485620609371</v>
      </c>
      <c r="AC177" s="2">
        <f>IF(Games[[#This Row],[Type]]="R",IF(Games[[#This Row],[Result]]&gt;0.5,1,0),0)</f>
        <v>0</v>
      </c>
      <c r="AD177" s="2">
        <f>IF(Games[[#This Row],[Type]]="R",IF(Games[[#This Row],[Result]]&lt;0.5,1,0),0)</f>
        <v>1</v>
      </c>
      <c r="AE177" s="2">
        <f>IF(AND(Games[[#This Row],[Type]]="P",Games[[#This Row],[Round]]=1),IF(Games[[#This Row],[Result]]&gt;0.5,1,0),0)</f>
        <v>0</v>
      </c>
      <c r="AF177" s="2">
        <f>IF(AND(Games[[#This Row],[Type]]="P",Games[[#This Row],[Round]]=1),IF(Games[[#This Row],[Result]]&lt;0.5,1,0),0)</f>
        <v>0</v>
      </c>
      <c r="AG177" s="2">
        <f>IF(AND(Games[[#This Row],[Type]]="P",Games[[#This Row],[Round]]=2),IF(Games[[#This Row],[Result]]&gt;0.5,1,0),0)</f>
        <v>0</v>
      </c>
      <c r="AH177" s="2">
        <f>IF(AND(Games[[#This Row],[Type]]="P",Games[[#This Row],[Round]]=2),IF(Games[[#This Row],[Result]]&lt;0.5,1,0),0)</f>
        <v>0</v>
      </c>
      <c r="AI177" s="2">
        <f>IF(AND(Games[[#This Row],[Type]]="P",Games[[#This Row],[Round]]=3),IF(Games[[#This Row],[Result]]&gt;0.5,1,0),0)</f>
        <v>0</v>
      </c>
      <c r="AJ177" s="2">
        <f>IF(AND(Games[[#This Row],[Type]]="P",Games[[#This Row],[Round]]=3),IF(Games[[#This Row],[Result]]&lt;0.5,1,0),0)</f>
        <v>0</v>
      </c>
      <c r="AK177" s="2">
        <f>IF(AND(Games[[#This Row],[Type]]="P",Games[[#This Row],[Round]]=4),IF(Games[[#This Row],[Result]]&gt;0.5,1,0),0)</f>
        <v>0</v>
      </c>
      <c r="AL177" s="2">
        <f>IF(AND(Games[[#This Row],[Type]]="P",Games[[#This Row],[Round]]=4),IF(Games[[#This Row],[Result]]&lt;0.5,1,0),0)</f>
        <v>0</v>
      </c>
    </row>
    <row r="178" spans="1:38" x14ac:dyDescent="0.35">
      <c r="A178" s="10">
        <v>37801</v>
      </c>
      <c r="B178" s="2">
        <v>2003</v>
      </c>
      <c r="C178" s="2">
        <f>COUNTIFS(Games[Team],Games[[#This Row],[Team]],Games[Season],Games[[#This Row],[Season]],Games[Date],"&lt;=" &amp; Games[[#This Row],[Date]])</f>
        <v>13</v>
      </c>
      <c r="D178" s="2" t="s">
        <v>23</v>
      </c>
      <c r="E178" s="2" t="s">
        <v>29</v>
      </c>
      <c r="F178" s="1" t="s">
        <v>80</v>
      </c>
      <c r="G178" s="1" t="s">
        <v>1</v>
      </c>
      <c r="H178" s="1" t="s">
        <v>16</v>
      </c>
      <c r="I178" s="2" cm="1">
        <f t="array" ref="I178">IFERROR(
    Games[[#This Row],[Date]]
    - LOOKUP(
        2,
        1/((Games[Team]=Games[[#This Row],[Team]]) * (Games[Date] &lt; Games[[#This Row],[Date]])),
        Games[Date]
    )
    - 1,
Games[[#This Row],[Date]]-$A$2)</f>
        <v>0</v>
      </c>
      <c r="J178" s="2" cm="1">
        <f t="array" ref="J17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78" s="2">
        <f>Games[[#This Row],[DaysOff]]-Games[[#This Row],[OppDaysOff]]</f>
        <v>-1</v>
      </c>
      <c r="L178" s="2">
        <f>Games[[#This Row],[OppDaysOff]]-Games[[#This Row],[DaysOff]]</f>
        <v>1</v>
      </c>
      <c r="M178" s="1">
        <f>MAX(-16, MIN(16, Games[[#This Row],[RestDiff]]*8))</f>
        <v>-8</v>
      </c>
      <c r="N178" s="1">
        <f>MAX(-16, MIN(16, Games[[#This Row],[OppRestDiff]]*8))</f>
        <v>8</v>
      </c>
      <c r="O178" s="4" cm="1">
        <f t="array" ref="O17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1531.7812910879438</v>
      </c>
      <c r="P178" s="4" cm="1">
        <f t="array" ref="P17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1465.8551851389361</v>
      </c>
      <c r="Q178" s="4">
        <f>1/(1+10^(((Games[[#This Row],[OppPreGmRate]]+IF(Games[[#This Row],[HomeAway]]="A",HCA,0)+Games[[#This Row],[OppRestAdj]])-(Games[[#This Row],[PreGmRate]]+IF(Games[[#This Row],[HomeAway]]="H",HCA,0)+Games[[#This Row],[RestAdj]]))/400))</f>
        <v>0.45112033616343367</v>
      </c>
      <c r="R178" s="1">
        <v>53</v>
      </c>
      <c r="S178" s="1">
        <v>66</v>
      </c>
      <c r="T178" s="1">
        <v>0</v>
      </c>
      <c r="U178" s="1">
        <f>Games[[#This Row],[PointsFor]]-Games[[#This Row],[PointsAgainst]]</f>
        <v>-13</v>
      </c>
      <c r="V178" s="1">
        <f>IF(Games[[#This Row],[MOV]]&gt;0,1,IF(Games[[#This Row],[MOV]]=0,0.5,0))</f>
        <v>0</v>
      </c>
      <c r="W178" s="4">
        <f>((ABS(Games[[#This Row],[MOV]])+5)^0.6)/(12+0.01*(ABS(Games[[#This Row],[PreGmRate]]-Games[[#This Row],[OppPreGmRate]])))*IF(Games[[#This Row],[OT]]=1,0.9,1)</f>
        <v>0.44746095693499988</v>
      </c>
      <c r="X178" s="7" cm="1">
        <f t="array" ref="X17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8" s="9">
        <f>MAX(kmin, kmax - 0.15 * MIN(Games[[#This Row],[GamesPlayed]], 82))</f>
        <v>74.05</v>
      </c>
      <c r="Z178" s="4">
        <f>Games[[#This Row],[K]]*Games[[#This Row],[POMult]]</f>
        <v>74.05</v>
      </c>
      <c r="AA178" s="4">
        <f>(Games[[#This Row],[Keff]]*Games[[#This Row],[MOVMult]])*(Games[[#This Row],[Result]]-Games[[#This Row],[ExpectedWin%]])</f>
        <v>-14.947639497992762</v>
      </c>
      <c r="AB178" s="4">
        <f>Games[[#This Row],[PreGmRate]]+Games[[#This Row],[RatingChange]]</f>
        <v>1516.8336515899512</v>
      </c>
      <c r="AC178" s="2">
        <f>IF(Games[[#This Row],[Type]]="R",IF(Games[[#This Row],[Result]]&gt;0.5,1,0),0)</f>
        <v>0</v>
      </c>
      <c r="AD178" s="2">
        <f>IF(Games[[#This Row],[Type]]="R",IF(Games[[#This Row],[Result]]&lt;0.5,1,0),0)</f>
        <v>1</v>
      </c>
      <c r="AE178" s="2">
        <f>IF(AND(Games[[#This Row],[Type]]="P",Games[[#This Row],[Round]]=1),IF(Games[[#This Row],[Result]]&gt;0.5,1,0),0)</f>
        <v>0</v>
      </c>
      <c r="AF178" s="2">
        <f>IF(AND(Games[[#This Row],[Type]]="P",Games[[#This Row],[Round]]=1),IF(Games[[#This Row],[Result]]&lt;0.5,1,0),0)</f>
        <v>0</v>
      </c>
      <c r="AG178" s="2">
        <f>IF(AND(Games[[#This Row],[Type]]="P",Games[[#This Row],[Round]]=2),IF(Games[[#This Row],[Result]]&gt;0.5,1,0),0)</f>
        <v>0</v>
      </c>
      <c r="AH178" s="2">
        <f>IF(AND(Games[[#This Row],[Type]]="P",Games[[#This Row],[Round]]=2),IF(Games[[#This Row],[Result]]&lt;0.5,1,0),0)</f>
        <v>0</v>
      </c>
      <c r="AI178" s="2">
        <f>IF(AND(Games[[#This Row],[Type]]="P",Games[[#This Row],[Round]]=3),IF(Games[[#This Row],[Result]]&gt;0.5,1,0),0)</f>
        <v>0</v>
      </c>
      <c r="AJ178" s="2">
        <f>IF(AND(Games[[#This Row],[Type]]="P",Games[[#This Row],[Round]]=3),IF(Games[[#This Row],[Result]]&lt;0.5,1,0),0)</f>
        <v>0</v>
      </c>
      <c r="AK178" s="2">
        <f>IF(AND(Games[[#This Row],[Type]]="P",Games[[#This Row],[Round]]=4),IF(Games[[#This Row],[Result]]&gt;0.5,1,0),0)</f>
        <v>0</v>
      </c>
      <c r="AL178" s="2">
        <f>IF(AND(Games[[#This Row],[Type]]="P",Games[[#This Row],[Round]]=4),IF(Games[[#This Row],[Result]]&lt;0.5,1,0),0)</f>
        <v>0</v>
      </c>
    </row>
    <row r="179" spans="1:38" x14ac:dyDescent="0.35">
      <c r="A179" s="10">
        <v>37801</v>
      </c>
      <c r="B179" s="2">
        <v>2003</v>
      </c>
      <c r="C179" s="2">
        <f>COUNTIFS(Games[Team],Games[[#This Row],[Team]],Games[Season],Games[[#This Row],[Season]],Games[Date],"&lt;=" &amp; Games[[#This Row],[Date]])</f>
        <v>12</v>
      </c>
      <c r="D179" s="2" t="s">
        <v>23</v>
      </c>
      <c r="E179" s="2" t="s">
        <v>29</v>
      </c>
      <c r="F179" s="1" t="s">
        <v>1</v>
      </c>
      <c r="G179" s="1" t="s">
        <v>80</v>
      </c>
      <c r="H179" s="1" t="s">
        <v>15</v>
      </c>
      <c r="I179" s="2" cm="1">
        <f t="array" ref="I179">IFERROR(
    Games[[#This Row],[Date]]
    - LOOKUP(
        2,
        1/((Games[Team]=Games[[#This Row],[Team]]) * (Games[Date] &lt; Games[[#This Row],[Date]])),
        Games[Date]
    )
    - 1,
Games[[#This Row],[Date]]-$A$2)</f>
        <v>1</v>
      </c>
      <c r="J179" s="2" cm="1">
        <f t="array" ref="J179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79" s="2">
        <f>Games[[#This Row],[DaysOff]]-Games[[#This Row],[OppDaysOff]]</f>
        <v>1</v>
      </c>
      <c r="L179" s="2">
        <f>Games[[#This Row],[OppDaysOff]]-Games[[#This Row],[DaysOff]]</f>
        <v>-1</v>
      </c>
      <c r="M179" s="1">
        <f>MAX(-16, MIN(16, Games[[#This Row],[RestDiff]]*8))</f>
        <v>8</v>
      </c>
      <c r="N179" s="1">
        <f>MAX(-16, MIN(16, Games[[#This Row],[OppRestDiff]]*8))</f>
        <v>-8</v>
      </c>
      <c r="O179" s="4" cm="1">
        <f t="array" ref="O17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1465.8551851389361</v>
      </c>
      <c r="P179" s="4" cm="1">
        <f t="array" ref="P17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1531.7812910879438</v>
      </c>
      <c r="Q179" s="4">
        <f>1/(1+10^(((Games[[#This Row],[OppPreGmRate]]+IF(Games[[#This Row],[HomeAway]]="A",HCA,0)+Games[[#This Row],[OppRestAdj]])-(Games[[#This Row],[PreGmRate]]+IF(Games[[#This Row],[HomeAway]]="H",HCA,0)+Games[[#This Row],[RestAdj]]))/400))</f>
        <v>0.54887966383656628</v>
      </c>
      <c r="R179" s="1">
        <v>66</v>
      </c>
      <c r="S179" s="1">
        <v>53</v>
      </c>
      <c r="T179" s="1">
        <v>0</v>
      </c>
      <c r="U179" s="1">
        <f>Games[[#This Row],[PointsFor]]-Games[[#This Row],[PointsAgainst]]</f>
        <v>13</v>
      </c>
      <c r="V179" s="1">
        <f>IF(Games[[#This Row],[MOV]]&gt;0,1,IF(Games[[#This Row],[MOV]]=0,0.5,0))</f>
        <v>1</v>
      </c>
      <c r="W179" s="4">
        <f>((ABS(Games[[#This Row],[MOV]])+5)^0.6)/(12+0.01*(ABS(Games[[#This Row],[PreGmRate]]-Games[[#This Row],[OppPreGmRate]])))*IF(Games[[#This Row],[OT]]=1,0.9,1)</f>
        <v>0.44746095693499988</v>
      </c>
      <c r="X179" s="7" cm="1">
        <f t="array" ref="X17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9" s="9">
        <f>MAX(kmin, kmax - 0.15 * MIN(Games[[#This Row],[GamesPlayed]], 82))</f>
        <v>74.2</v>
      </c>
      <c r="Z179" s="4">
        <f>Games[[#This Row],[K]]*Games[[#This Row],[POMult]]</f>
        <v>74.2</v>
      </c>
      <c r="AA179" s="4">
        <f>(Games[[#This Row],[Keff]]*Games[[#This Row],[MOVMult]])*(Games[[#This Row],[Result]]-Games[[#This Row],[ExpectedWin%]])</f>
        <v>14.977918308589645</v>
      </c>
      <c r="AB179" s="4">
        <f>Games[[#This Row],[PreGmRate]]+Games[[#This Row],[RatingChange]]</f>
        <v>1480.8331034475257</v>
      </c>
      <c r="AC179" s="2">
        <f>IF(Games[[#This Row],[Type]]="R",IF(Games[[#This Row],[Result]]&gt;0.5,1,0),0)</f>
        <v>1</v>
      </c>
      <c r="AD179" s="2">
        <f>IF(Games[[#This Row],[Type]]="R",IF(Games[[#This Row],[Result]]&lt;0.5,1,0),0)</f>
        <v>0</v>
      </c>
      <c r="AE179" s="2">
        <f>IF(AND(Games[[#This Row],[Type]]="P",Games[[#This Row],[Round]]=1),IF(Games[[#This Row],[Result]]&gt;0.5,1,0),0)</f>
        <v>0</v>
      </c>
      <c r="AF179" s="2">
        <f>IF(AND(Games[[#This Row],[Type]]="P",Games[[#This Row],[Round]]=1),IF(Games[[#This Row],[Result]]&lt;0.5,1,0),0)</f>
        <v>0</v>
      </c>
      <c r="AG179" s="2">
        <f>IF(AND(Games[[#This Row],[Type]]="P",Games[[#This Row],[Round]]=2),IF(Games[[#This Row],[Result]]&gt;0.5,1,0),0)</f>
        <v>0</v>
      </c>
      <c r="AH179" s="2">
        <f>IF(AND(Games[[#This Row],[Type]]="P",Games[[#This Row],[Round]]=2),IF(Games[[#This Row],[Result]]&lt;0.5,1,0),0)</f>
        <v>0</v>
      </c>
      <c r="AI179" s="2">
        <f>IF(AND(Games[[#This Row],[Type]]="P",Games[[#This Row],[Round]]=3),IF(Games[[#This Row],[Result]]&gt;0.5,1,0),0)</f>
        <v>0</v>
      </c>
      <c r="AJ179" s="2">
        <f>IF(AND(Games[[#This Row],[Type]]="P",Games[[#This Row],[Round]]=3),IF(Games[[#This Row],[Result]]&lt;0.5,1,0),0)</f>
        <v>0</v>
      </c>
      <c r="AK179" s="2">
        <f>IF(AND(Games[[#This Row],[Type]]="P",Games[[#This Row],[Round]]=4),IF(Games[[#This Row],[Result]]&gt;0.5,1,0),0)</f>
        <v>0</v>
      </c>
      <c r="AL179" s="2">
        <f>IF(AND(Games[[#This Row],[Type]]="P",Games[[#This Row],[Round]]=4),IF(Games[[#This Row],[Result]]&lt;0.5,1,0),0)</f>
        <v>0</v>
      </c>
    </row>
    <row r="180" spans="1:38" x14ac:dyDescent="0.35">
      <c r="A180" s="10">
        <v>37801</v>
      </c>
      <c r="B180" s="2">
        <v>2003</v>
      </c>
      <c r="C180" s="2">
        <f>COUNTIFS(Games[Team],Games[[#This Row],[Team]],Games[Season],Games[[#This Row],[Season]],Games[Date],"&lt;=" &amp; Games[[#This Row],[Date]])</f>
        <v>13</v>
      </c>
      <c r="D180" s="2" t="s">
        <v>23</v>
      </c>
      <c r="E180" s="2" t="s">
        <v>29</v>
      </c>
      <c r="F180" s="1" t="s">
        <v>78</v>
      </c>
      <c r="G180" s="1" t="s">
        <v>74</v>
      </c>
      <c r="H180" s="1" t="s">
        <v>16</v>
      </c>
      <c r="I180" s="2" cm="1">
        <f t="array" ref="I180">IFERROR(
    Games[[#This Row],[Date]]
    - LOOKUP(
        2,
        1/((Games[Team]=Games[[#This Row],[Team]]) * (Games[Date] &lt; Games[[#This Row],[Date]])),
        Games[Date]
    )
    - 1,
Games[[#This Row],[Date]]-$A$2)</f>
        <v>1</v>
      </c>
      <c r="J180" s="2" cm="1">
        <f t="array" ref="J180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180" s="2">
        <f>Games[[#This Row],[DaysOff]]-Games[[#This Row],[OppDaysOff]]</f>
        <v>-3</v>
      </c>
      <c r="L180" s="2">
        <f>Games[[#This Row],[OppDaysOff]]-Games[[#This Row],[DaysOff]]</f>
        <v>3</v>
      </c>
      <c r="M180" s="1">
        <f>MAX(-16, MIN(16, Games[[#This Row],[RestDiff]]*8))</f>
        <v>-16</v>
      </c>
      <c r="N180" s="1">
        <f>MAX(-16, MIN(16, Games[[#This Row],[OppRestDiff]]*8))</f>
        <v>16</v>
      </c>
      <c r="O180" s="4" cm="1">
        <f t="array" ref="O18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1464.336121600976</v>
      </c>
      <c r="P180" s="4" cm="1">
        <f t="array" ref="P18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1389.1466611762792</v>
      </c>
      <c r="Q180" s="4">
        <f>1/(1+10^(((Games[[#This Row],[OppPreGmRate]]+IF(Games[[#This Row],[HomeAway]]="A",HCA,0)+Games[[#This Row],[OppRestAdj]])-(Games[[#This Row],[PreGmRate]]+IF(Games[[#This Row],[HomeAway]]="H",HCA,0)+Games[[#This Row],[RestAdj]]))/400))</f>
        <v>0.44153754137937046</v>
      </c>
      <c r="R180" s="1">
        <v>59</v>
      </c>
      <c r="S180" s="1">
        <v>50</v>
      </c>
      <c r="T180" s="1">
        <v>0</v>
      </c>
      <c r="U180" s="1">
        <f>Games[[#This Row],[PointsFor]]-Games[[#This Row],[PointsAgainst]]</f>
        <v>9</v>
      </c>
      <c r="V180" s="1">
        <f>IF(Games[[#This Row],[MOV]]&gt;0,1,IF(Games[[#This Row],[MOV]]=0,0.5,0))</f>
        <v>1</v>
      </c>
      <c r="W180" s="4">
        <f>((ABS(Games[[#This Row],[MOV]])+5)^0.6)/(12+0.01*(ABS(Games[[#This Row],[PreGmRate]]-Games[[#This Row],[OppPreGmRate]])))*IF(Games[[#This Row],[OT]]=1,0.9,1)</f>
        <v>0.38203408018636131</v>
      </c>
      <c r="X180" s="7" cm="1">
        <f t="array" ref="X18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0" s="9">
        <f>MAX(kmin, kmax - 0.15 * MIN(Games[[#This Row],[GamesPlayed]], 82))</f>
        <v>74.05</v>
      </c>
      <c r="Z180" s="4">
        <f>Games[[#This Row],[K]]*Games[[#This Row],[POMult]]</f>
        <v>74.05</v>
      </c>
      <c r="AA180" s="4">
        <f>(Games[[#This Row],[Keff]]*Games[[#This Row],[MOVMult]])*(Games[[#This Row],[Result]]-Games[[#This Row],[ExpectedWin%]])</f>
        <v>15.798692770218095</v>
      </c>
      <c r="AB180" s="4">
        <f>Games[[#This Row],[PreGmRate]]+Games[[#This Row],[RatingChange]]</f>
        <v>1480.1348143711941</v>
      </c>
      <c r="AC180" s="2">
        <f>IF(Games[[#This Row],[Type]]="R",IF(Games[[#This Row],[Result]]&gt;0.5,1,0),0)</f>
        <v>1</v>
      </c>
      <c r="AD180" s="2">
        <f>IF(Games[[#This Row],[Type]]="R",IF(Games[[#This Row],[Result]]&lt;0.5,1,0),0)</f>
        <v>0</v>
      </c>
      <c r="AE180" s="2">
        <f>IF(AND(Games[[#This Row],[Type]]="P",Games[[#This Row],[Round]]=1),IF(Games[[#This Row],[Result]]&gt;0.5,1,0),0)</f>
        <v>0</v>
      </c>
      <c r="AF180" s="2">
        <f>IF(AND(Games[[#This Row],[Type]]="P",Games[[#This Row],[Round]]=1),IF(Games[[#This Row],[Result]]&lt;0.5,1,0),0)</f>
        <v>0</v>
      </c>
      <c r="AG180" s="2">
        <f>IF(AND(Games[[#This Row],[Type]]="P",Games[[#This Row],[Round]]=2),IF(Games[[#This Row],[Result]]&gt;0.5,1,0),0)</f>
        <v>0</v>
      </c>
      <c r="AH180" s="2">
        <f>IF(AND(Games[[#This Row],[Type]]="P",Games[[#This Row],[Round]]=2),IF(Games[[#This Row],[Result]]&lt;0.5,1,0),0)</f>
        <v>0</v>
      </c>
      <c r="AI180" s="2">
        <f>IF(AND(Games[[#This Row],[Type]]="P",Games[[#This Row],[Round]]=3),IF(Games[[#This Row],[Result]]&gt;0.5,1,0),0)</f>
        <v>0</v>
      </c>
      <c r="AJ180" s="2">
        <f>IF(AND(Games[[#This Row],[Type]]="P",Games[[#This Row],[Round]]=3),IF(Games[[#This Row],[Result]]&lt;0.5,1,0),0)</f>
        <v>0</v>
      </c>
      <c r="AK180" s="2">
        <f>IF(AND(Games[[#This Row],[Type]]="P",Games[[#This Row],[Round]]=4),IF(Games[[#This Row],[Result]]&gt;0.5,1,0),0)</f>
        <v>0</v>
      </c>
      <c r="AL180" s="2">
        <f>IF(AND(Games[[#This Row],[Type]]="P",Games[[#This Row],[Round]]=4),IF(Games[[#This Row],[Result]]&lt;0.5,1,0),0)</f>
        <v>0</v>
      </c>
    </row>
    <row r="181" spans="1:38" x14ac:dyDescent="0.35">
      <c r="A181" s="10">
        <v>37801</v>
      </c>
      <c r="B181" s="2">
        <v>2003</v>
      </c>
      <c r="C181" s="2">
        <f>COUNTIFS(Games[Team],Games[[#This Row],[Team]],Games[Season],Games[[#This Row],[Season]],Games[Date],"&lt;=" &amp; Games[[#This Row],[Date]])</f>
        <v>11</v>
      </c>
      <c r="D181" s="2" t="s">
        <v>23</v>
      </c>
      <c r="E181" s="2" t="s">
        <v>29</v>
      </c>
      <c r="F181" s="1" t="s">
        <v>74</v>
      </c>
      <c r="G181" s="1" t="s">
        <v>78</v>
      </c>
      <c r="H181" s="1" t="s">
        <v>15</v>
      </c>
      <c r="I181" s="2" cm="1">
        <f t="array" ref="I181">IFERROR(
    Games[[#This Row],[Date]]
    - LOOKUP(
        2,
        1/((Games[Team]=Games[[#This Row],[Team]]) * (Games[Date] &lt; Games[[#This Row],[Date]])),
        Games[Date]
    )
    - 1,
Games[[#This Row],[Date]]-$A$2)</f>
        <v>4</v>
      </c>
      <c r="J181" s="2" cm="1">
        <f t="array" ref="J18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81" s="2">
        <f>Games[[#This Row],[DaysOff]]-Games[[#This Row],[OppDaysOff]]</f>
        <v>3</v>
      </c>
      <c r="L181" s="2">
        <f>Games[[#This Row],[OppDaysOff]]-Games[[#This Row],[DaysOff]]</f>
        <v>-3</v>
      </c>
      <c r="M181" s="1">
        <f>MAX(-16, MIN(16, Games[[#This Row],[RestDiff]]*8))</f>
        <v>16</v>
      </c>
      <c r="N181" s="1">
        <f>MAX(-16, MIN(16, Games[[#This Row],[OppRestDiff]]*8))</f>
        <v>-16</v>
      </c>
      <c r="O181" s="4" cm="1">
        <f t="array" ref="O18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1389.1466611762792</v>
      </c>
      <c r="P181" s="4" cm="1">
        <f t="array" ref="P18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1464.336121600976</v>
      </c>
      <c r="Q181" s="4">
        <f>1/(1+10^(((Games[[#This Row],[OppPreGmRate]]+IF(Games[[#This Row],[HomeAway]]="A",HCA,0)+Games[[#This Row],[OppRestAdj]])-(Games[[#This Row],[PreGmRate]]+IF(Games[[#This Row],[HomeAway]]="H",HCA,0)+Games[[#This Row],[RestAdj]]))/400))</f>
        <v>0.5584624586206296</v>
      </c>
      <c r="R181" s="1">
        <v>50</v>
      </c>
      <c r="S181" s="1">
        <v>59</v>
      </c>
      <c r="T181" s="1">
        <v>0</v>
      </c>
      <c r="U181" s="1">
        <f>Games[[#This Row],[PointsFor]]-Games[[#This Row],[PointsAgainst]]</f>
        <v>-9</v>
      </c>
      <c r="V181" s="1">
        <f>IF(Games[[#This Row],[MOV]]&gt;0,1,IF(Games[[#This Row],[MOV]]=0,0.5,0))</f>
        <v>0</v>
      </c>
      <c r="W181" s="4">
        <f>((ABS(Games[[#This Row],[MOV]])+5)^0.6)/(12+0.01*(ABS(Games[[#This Row],[PreGmRate]]-Games[[#This Row],[OppPreGmRate]])))*IF(Games[[#This Row],[OT]]=1,0.9,1)</f>
        <v>0.38203408018636131</v>
      </c>
      <c r="X181" s="7" cm="1">
        <f t="array" ref="X18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1" s="9">
        <f>MAX(kmin, kmax - 0.15 * MIN(Games[[#This Row],[GamesPlayed]], 82))</f>
        <v>74.349999999999994</v>
      </c>
      <c r="Z181" s="4">
        <f>Games[[#This Row],[K]]*Games[[#This Row],[POMult]]</f>
        <v>74.349999999999994</v>
      </c>
      <c r="AA181" s="4">
        <f>(Games[[#This Row],[Keff]]*Games[[#This Row],[MOVMult]])*(Games[[#This Row],[Result]]-Games[[#This Row],[ExpectedWin%]])</f>
        <v>-15.86269827772742</v>
      </c>
      <c r="AB181" s="4">
        <f>Games[[#This Row],[PreGmRate]]+Games[[#This Row],[RatingChange]]</f>
        <v>1373.2839628985516</v>
      </c>
      <c r="AC181" s="2">
        <f>IF(Games[[#This Row],[Type]]="R",IF(Games[[#This Row],[Result]]&gt;0.5,1,0),0)</f>
        <v>0</v>
      </c>
      <c r="AD181" s="2">
        <f>IF(Games[[#This Row],[Type]]="R",IF(Games[[#This Row],[Result]]&lt;0.5,1,0),0)</f>
        <v>1</v>
      </c>
      <c r="AE181" s="2">
        <f>IF(AND(Games[[#This Row],[Type]]="P",Games[[#This Row],[Round]]=1),IF(Games[[#This Row],[Result]]&gt;0.5,1,0),0)</f>
        <v>0</v>
      </c>
      <c r="AF181" s="2">
        <f>IF(AND(Games[[#This Row],[Type]]="P",Games[[#This Row],[Round]]=1),IF(Games[[#This Row],[Result]]&lt;0.5,1,0),0)</f>
        <v>0</v>
      </c>
      <c r="AG181" s="2">
        <f>IF(AND(Games[[#This Row],[Type]]="P",Games[[#This Row],[Round]]=2),IF(Games[[#This Row],[Result]]&gt;0.5,1,0),0)</f>
        <v>0</v>
      </c>
      <c r="AH181" s="2">
        <f>IF(AND(Games[[#This Row],[Type]]="P",Games[[#This Row],[Round]]=2),IF(Games[[#This Row],[Result]]&lt;0.5,1,0),0)</f>
        <v>0</v>
      </c>
      <c r="AI181" s="2">
        <f>IF(AND(Games[[#This Row],[Type]]="P",Games[[#This Row],[Round]]=3),IF(Games[[#This Row],[Result]]&gt;0.5,1,0),0)</f>
        <v>0</v>
      </c>
      <c r="AJ181" s="2">
        <f>IF(AND(Games[[#This Row],[Type]]="P",Games[[#This Row],[Round]]=3),IF(Games[[#This Row],[Result]]&lt;0.5,1,0),0)</f>
        <v>0</v>
      </c>
      <c r="AK181" s="2">
        <f>IF(AND(Games[[#This Row],[Type]]="P",Games[[#This Row],[Round]]=4),IF(Games[[#This Row],[Result]]&gt;0.5,1,0),0)</f>
        <v>0</v>
      </c>
      <c r="AL181" s="2">
        <f>IF(AND(Games[[#This Row],[Type]]="P",Games[[#This Row],[Round]]=4),IF(Games[[#This Row],[Result]]&lt;0.5,1,0),0)</f>
        <v>0</v>
      </c>
    </row>
    <row r="182" spans="1:38" x14ac:dyDescent="0.35">
      <c r="A182" s="10">
        <v>37802</v>
      </c>
      <c r="B182" s="2">
        <v>2003</v>
      </c>
      <c r="C182" s="2">
        <f>COUNTIFS(Games[Team],Games[[#This Row],[Team]],Games[Season],Games[[#This Row],[Season]],Games[Date],"&lt;=" &amp; Games[[#This Row],[Date]])</f>
        <v>14</v>
      </c>
      <c r="D182" s="2" t="s">
        <v>23</v>
      </c>
      <c r="E182" s="2" t="s">
        <v>29</v>
      </c>
      <c r="F182" s="1" t="s">
        <v>82</v>
      </c>
      <c r="G182" s="1" t="s">
        <v>64</v>
      </c>
      <c r="H182" s="1" t="s">
        <v>16</v>
      </c>
      <c r="I182" s="2" cm="1">
        <f t="array" ref="I182">IFERROR(
    Games[[#This Row],[Date]]
    - LOOKUP(
        2,
        1/((Games[Team]=Games[[#This Row],[Team]]) * (Games[Date] &lt; Games[[#This Row],[Date]])),
        Games[Date]
    )
    - 1,
Games[[#This Row],[Date]]-$A$2)</f>
        <v>1</v>
      </c>
      <c r="J182" s="2" cm="1">
        <f t="array" ref="J18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82" s="2">
        <f>Games[[#This Row],[DaysOff]]-Games[[#This Row],[OppDaysOff]]</f>
        <v>0</v>
      </c>
      <c r="L182" s="2">
        <f>Games[[#This Row],[OppDaysOff]]-Games[[#This Row],[DaysOff]]</f>
        <v>0</v>
      </c>
      <c r="M182" s="1">
        <f>MAX(-16, MIN(16, Games[[#This Row],[RestDiff]]*8))</f>
        <v>0</v>
      </c>
      <c r="N182" s="1">
        <f>MAX(-16, MIN(16, Games[[#This Row],[OppRestDiff]]*8))</f>
        <v>0</v>
      </c>
      <c r="O182" s="4" cm="1">
        <f t="array" ref="O18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1540.4828211966369</v>
      </c>
      <c r="P182" s="4" cm="1">
        <f t="array" ref="P18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1531.270454370879</v>
      </c>
      <c r="Q182" s="4">
        <f>1/(1+10^(((Games[[#This Row],[OppPreGmRate]]+IF(Games[[#This Row],[HomeAway]]="A",HCA,0)+Games[[#This Row],[OppRestAdj]])-(Games[[#This Row],[PreGmRate]]+IF(Games[[#This Row],[HomeAway]]="H",HCA,0)+Games[[#This Row],[RestAdj]]))/400))</f>
        <v>0.39400402402893847</v>
      </c>
      <c r="R182" s="1">
        <v>83</v>
      </c>
      <c r="S182" s="1">
        <v>71</v>
      </c>
      <c r="T182" s="1">
        <v>0</v>
      </c>
      <c r="U182" s="1">
        <f>Games[[#This Row],[PointsFor]]-Games[[#This Row],[PointsAgainst]]</f>
        <v>12</v>
      </c>
      <c r="V182" s="1">
        <f>IF(Games[[#This Row],[MOV]]&gt;0,1,IF(Games[[#This Row],[MOV]]=0,0.5,0))</f>
        <v>1</v>
      </c>
      <c r="W182" s="4">
        <f>((ABS(Games[[#This Row],[MOV]])+5)^0.6)/(12+0.01*(ABS(Games[[#This Row],[PreGmRate]]-Games[[#This Row],[OppPreGmRate]])))*IF(Games[[#This Row],[OT]]=1,0.9,1)</f>
        <v>0.4526544275499626</v>
      </c>
      <c r="X182" s="7" cm="1">
        <f t="array" ref="X18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2" s="9">
        <f>MAX(kmin, kmax - 0.15 * MIN(Games[[#This Row],[GamesPlayed]], 82))</f>
        <v>73.900000000000006</v>
      </c>
      <c r="Z182" s="4">
        <f>Games[[#This Row],[K]]*Games[[#This Row],[POMult]]</f>
        <v>73.900000000000006</v>
      </c>
      <c r="AA182" s="4">
        <f>(Games[[#This Row],[Keff]]*Games[[#This Row],[MOVMult]])*(Games[[#This Row],[Result]]-Games[[#This Row],[ExpectedWin%]])</f>
        <v>20.271269682296296</v>
      </c>
      <c r="AB182" s="4">
        <f>Games[[#This Row],[PreGmRate]]+Games[[#This Row],[RatingChange]]</f>
        <v>1560.7540908789333</v>
      </c>
      <c r="AC182" s="2">
        <f>IF(Games[[#This Row],[Type]]="R",IF(Games[[#This Row],[Result]]&gt;0.5,1,0),0)</f>
        <v>1</v>
      </c>
      <c r="AD182" s="2">
        <f>IF(Games[[#This Row],[Type]]="R",IF(Games[[#This Row],[Result]]&lt;0.5,1,0),0)</f>
        <v>0</v>
      </c>
      <c r="AE182" s="2">
        <f>IF(AND(Games[[#This Row],[Type]]="P",Games[[#This Row],[Round]]=1),IF(Games[[#This Row],[Result]]&gt;0.5,1,0),0)</f>
        <v>0</v>
      </c>
      <c r="AF182" s="2">
        <f>IF(AND(Games[[#This Row],[Type]]="P",Games[[#This Row],[Round]]=1),IF(Games[[#This Row],[Result]]&lt;0.5,1,0),0)</f>
        <v>0</v>
      </c>
      <c r="AG182" s="2">
        <f>IF(AND(Games[[#This Row],[Type]]="P",Games[[#This Row],[Round]]=2),IF(Games[[#This Row],[Result]]&gt;0.5,1,0),0)</f>
        <v>0</v>
      </c>
      <c r="AH182" s="2">
        <f>IF(AND(Games[[#This Row],[Type]]="P",Games[[#This Row],[Round]]=2),IF(Games[[#This Row],[Result]]&lt;0.5,1,0),0)</f>
        <v>0</v>
      </c>
      <c r="AI182" s="2">
        <f>IF(AND(Games[[#This Row],[Type]]="P",Games[[#This Row],[Round]]=3),IF(Games[[#This Row],[Result]]&gt;0.5,1,0),0)</f>
        <v>0</v>
      </c>
      <c r="AJ182" s="2">
        <f>IF(AND(Games[[#This Row],[Type]]="P",Games[[#This Row],[Round]]=3),IF(Games[[#This Row],[Result]]&lt;0.5,1,0),0)</f>
        <v>0</v>
      </c>
      <c r="AK182" s="2">
        <f>IF(AND(Games[[#This Row],[Type]]="P",Games[[#This Row],[Round]]=4),IF(Games[[#This Row],[Result]]&gt;0.5,1,0),0)</f>
        <v>0</v>
      </c>
      <c r="AL182" s="2">
        <f>IF(AND(Games[[#This Row],[Type]]="P",Games[[#This Row],[Round]]=4),IF(Games[[#This Row],[Result]]&lt;0.5,1,0),0)</f>
        <v>0</v>
      </c>
    </row>
    <row r="183" spans="1:38" x14ac:dyDescent="0.35">
      <c r="A183" s="10">
        <v>37802</v>
      </c>
      <c r="B183" s="2">
        <v>2003</v>
      </c>
      <c r="C183" s="2">
        <f>COUNTIFS(Games[Team],Games[[#This Row],[Team]],Games[Season],Games[[#This Row],[Season]],Games[Date],"&lt;=" &amp; Games[[#This Row],[Date]])</f>
        <v>14</v>
      </c>
      <c r="D183" s="2" t="s">
        <v>23</v>
      </c>
      <c r="E183" s="2" t="s">
        <v>29</v>
      </c>
      <c r="F183" s="1" t="s">
        <v>64</v>
      </c>
      <c r="G183" s="1" t="s">
        <v>82</v>
      </c>
      <c r="H183" s="1" t="s">
        <v>15</v>
      </c>
      <c r="I183" s="2" cm="1">
        <f t="array" ref="I183">IFERROR(
    Games[[#This Row],[Date]]
    - LOOKUP(
        2,
        1/((Games[Team]=Games[[#This Row],[Team]]) * (Games[Date] &lt; Games[[#This Row],[Date]])),
        Games[Date]
    )
    - 1,
Games[[#This Row],[Date]]-$A$2)</f>
        <v>1</v>
      </c>
      <c r="J183" s="2" cm="1">
        <f t="array" ref="J18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83" s="2">
        <f>Games[[#This Row],[DaysOff]]-Games[[#This Row],[OppDaysOff]]</f>
        <v>0</v>
      </c>
      <c r="L183" s="2">
        <f>Games[[#This Row],[OppDaysOff]]-Games[[#This Row],[DaysOff]]</f>
        <v>0</v>
      </c>
      <c r="M183" s="1">
        <f>MAX(-16, MIN(16, Games[[#This Row],[RestDiff]]*8))</f>
        <v>0</v>
      </c>
      <c r="N183" s="1">
        <f>MAX(-16, MIN(16, Games[[#This Row],[OppRestDiff]]*8))</f>
        <v>0</v>
      </c>
      <c r="O183" s="4" cm="1">
        <f t="array" ref="O18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1531.270454370879</v>
      </c>
      <c r="P183" s="4" cm="1">
        <f t="array" ref="P18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1540.4828211966369</v>
      </c>
      <c r="Q183" s="4">
        <f>1/(1+10^(((Games[[#This Row],[OppPreGmRate]]+IF(Games[[#This Row],[HomeAway]]="A",HCA,0)+Games[[#This Row],[OppRestAdj]])-(Games[[#This Row],[PreGmRate]]+IF(Games[[#This Row],[HomeAway]]="H",HCA,0)+Games[[#This Row],[RestAdj]]))/400))</f>
        <v>0.60599597597106158</v>
      </c>
      <c r="R183" s="1">
        <v>71</v>
      </c>
      <c r="S183" s="1">
        <v>83</v>
      </c>
      <c r="T183" s="1">
        <v>0</v>
      </c>
      <c r="U183" s="1">
        <f>Games[[#This Row],[PointsFor]]-Games[[#This Row],[PointsAgainst]]</f>
        <v>-12</v>
      </c>
      <c r="V183" s="1">
        <f>IF(Games[[#This Row],[MOV]]&gt;0,1,IF(Games[[#This Row],[MOV]]=0,0.5,0))</f>
        <v>0</v>
      </c>
      <c r="W183" s="4">
        <f>((ABS(Games[[#This Row],[MOV]])+5)^0.6)/(12+0.01*(ABS(Games[[#This Row],[PreGmRate]]-Games[[#This Row],[OppPreGmRate]])))*IF(Games[[#This Row],[OT]]=1,0.9,1)</f>
        <v>0.4526544275499626</v>
      </c>
      <c r="X183" s="7" cm="1">
        <f t="array" ref="X18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3" s="9">
        <f>MAX(kmin, kmax - 0.15 * MIN(Games[[#This Row],[GamesPlayed]], 82))</f>
        <v>73.900000000000006</v>
      </c>
      <c r="Z183" s="4">
        <f>Games[[#This Row],[K]]*Games[[#This Row],[POMult]]</f>
        <v>73.900000000000006</v>
      </c>
      <c r="AA183" s="4">
        <f>(Games[[#This Row],[Keff]]*Games[[#This Row],[MOVMult]])*(Games[[#This Row],[Result]]-Games[[#This Row],[ExpectedWin%]])</f>
        <v>-20.271269682296296</v>
      </c>
      <c r="AB183" s="4">
        <f>Games[[#This Row],[PreGmRate]]+Games[[#This Row],[RatingChange]]</f>
        <v>1510.9991846885825</v>
      </c>
      <c r="AC183" s="2">
        <f>IF(Games[[#This Row],[Type]]="R",IF(Games[[#This Row],[Result]]&gt;0.5,1,0),0)</f>
        <v>0</v>
      </c>
      <c r="AD183" s="2">
        <f>IF(Games[[#This Row],[Type]]="R",IF(Games[[#This Row],[Result]]&lt;0.5,1,0),0)</f>
        <v>1</v>
      </c>
      <c r="AE183" s="2">
        <f>IF(AND(Games[[#This Row],[Type]]="P",Games[[#This Row],[Round]]=1),IF(Games[[#This Row],[Result]]&gt;0.5,1,0),0)</f>
        <v>0</v>
      </c>
      <c r="AF183" s="2">
        <f>IF(AND(Games[[#This Row],[Type]]="P",Games[[#This Row],[Round]]=1),IF(Games[[#This Row],[Result]]&lt;0.5,1,0),0)</f>
        <v>0</v>
      </c>
      <c r="AG183" s="2">
        <f>IF(AND(Games[[#This Row],[Type]]="P",Games[[#This Row],[Round]]=2),IF(Games[[#This Row],[Result]]&gt;0.5,1,0),0)</f>
        <v>0</v>
      </c>
      <c r="AH183" s="2">
        <f>IF(AND(Games[[#This Row],[Type]]="P",Games[[#This Row],[Round]]=2),IF(Games[[#This Row],[Result]]&lt;0.5,1,0),0)</f>
        <v>0</v>
      </c>
      <c r="AI183" s="2">
        <f>IF(AND(Games[[#This Row],[Type]]="P",Games[[#This Row],[Round]]=3),IF(Games[[#This Row],[Result]]&gt;0.5,1,0),0)</f>
        <v>0</v>
      </c>
      <c r="AJ183" s="2">
        <f>IF(AND(Games[[#This Row],[Type]]="P",Games[[#This Row],[Round]]=3),IF(Games[[#This Row],[Result]]&lt;0.5,1,0),0)</f>
        <v>0</v>
      </c>
      <c r="AK183" s="2">
        <f>IF(AND(Games[[#This Row],[Type]]="P",Games[[#This Row],[Round]]=4),IF(Games[[#This Row],[Result]]&gt;0.5,1,0),0)</f>
        <v>0</v>
      </c>
      <c r="AL183" s="2">
        <f>IF(AND(Games[[#This Row],[Type]]="P",Games[[#This Row],[Round]]=4),IF(Games[[#This Row],[Result]]&lt;0.5,1,0),0)</f>
        <v>0</v>
      </c>
    </row>
    <row r="184" spans="1:38" x14ac:dyDescent="0.35">
      <c r="A184" s="10">
        <v>37803</v>
      </c>
      <c r="B184" s="2">
        <v>2003</v>
      </c>
      <c r="C184" s="2">
        <f>COUNTIFS(Games[Team],Games[[#This Row],[Team]],Games[Season],Games[[#This Row],[Season]],Games[Date],"&lt;=" &amp; Games[[#This Row],[Date]])</f>
        <v>15</v>
      </c>
      <c r="D184" s="2" t="s">
        <v>23</v>
      </c>
      <c r="E184" s="2" t="s">
        <v>29</v>
      </c>
      <c r="F184" s="1" t="s">
        <v>85</v>
      </c>
      <c r="G184" s="1" t="s">
        <v>76</v>
      </c>
      <c r="H184" s="1" t="s">
        <v>16</v>
      </c>
      <c r="I184" s="2" cm="1">
        <f t="array" ref="I184">IFERROR(
    Games[[#This Row],[Date]]
    - LOOKUP(
        2,
        1/((Games[Team]=Games[[#This Row],[Team]]) * (Games[Date] &lt; Games[[#This Row],[Date]])),
        Games[Date]
    )
    - 1,
Games[[#This Row],[Date]]-$A$2)</f>
        <v>2</v>
      </c>
      <c r="J184" s="2" cm="1">
        <f t="array" ref="J18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84" s="2">
        <f>Games[[#This Row],[DaysOff]]-Games[[#This Row],[OppDaysOff]]</f>
        <v>0</v>
      </c>
      <c r="L184" s="2">
        <f>Games[[#This Row],[OppDaysOff]]-Games[[#This Row],[DaysOff]]</f>
        <v>0</v>
      </c>
      <c r="M184" s="1">
        <f>MAX(-16, MIN(16, Games[[#This Row],[RestDiff]]*8))</f>
        <v>0</v>
      </c>
      <c r="N184" s="1">
        <f>MAX(-16, MIN(16, Games[[#This Row],[OppRestDiff]]*8))</f>
        <v>0</v>
      </c>
      <c r="O184" s="4" cm="1">
        <f t="array" ref="O18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1449.2586634069235</v>
      </c>
      <c r="P184" s="4" cm="1">
        <f t="array" ref="P18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1555.5780134279976</v>
      </c>
      <c r="Q184" s="4">
        <f>1/(1+10^(((Games[[#This Row],[OppPreGmRate]]+IF(Games[[#This Row],[HomeAway]]="A",HCA,0)+Games[[#This Row],[OppRestAdj]])-(Games[[#This Row],[PreGmRate]]+IF(Games[[#This Row],[HomeAway]]="H",HCA,0)+Games[[#This Row],[RestAdj]]))/400))</f>
        <v>0.25057156787583545</v>
      </c>
      <c r="R184" s="1">
        <v>88</v>
      </c>
      <c r="S184" s="1">
        <v>99</v>
      </c>
      <c r="T184" s="1">
        <v>0</v>
      </c>
      <c r="U184" s="1">
        <f>Games[[#This Row],[PointsFor]]-Games[[#This Row],[PointsAgainst]]</f>
        <v>-11</v>
      </c>
      <c r="V184" s="1">
        <f>IF(Games[[#This Row],[MOV]]&gt;0,1,IF(Games[[#This Row],[MOV]]=0,0.5,0))</f>
        <v>0</v>
      </c>
      <c r="W184" s="4">
        <f>((ABS(Games[[#This Row],[MOV]])+5)^0.6)/(12+0.01*(ABS(Games[[#This Row],[PreGmRate]]-Games[[#This Row],[OppPreGmRate]])))*IF(Games[[#This Row],[OT]]=1,0.9,1)</f>
        <v>0.40403838793373376</v>
      </c>
      <c r="X184" s="7" cm="1">
        <f t="array" ref="X18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4" s="9">
        <f>MAX(kmin, kmax - 0.15 * MIN(Games[[#This Row],[GamesPlayed]], 82))</f>
        <v>73.75</v>
      </c>
      <c r="Z184" s="4">
        <f>Games[[#This Row],[K]]*Games[[#This Row],[POMult]]</f>
        <v>73.75</v>
      </c>
      <c r="AA184" s="4">
        <f>(Games[[#This Row],[Keff]]*Games[[#This Row],[MOVMult]])*(Games[[#This Row],[Result]]-Games[[#This Row],[ExpectedWin%]])</f>
        <v>-7.4664892605603264</v>
      </c>
      <c r="AB184" s="4">
        <f>Games[[#This Row],[PreGmRate]]+Games[[#This Row],[RatingChange]]</f>
        <v>1441.7921741463631</v>
      </c>
      <c r="AC184" s="2">
        <f>IF(Games[[#This Row],[Type]]="R",IF(Games[[#This Row],[Result]]&gt;0.5,1,0),0)</f>
        <v>0</v>
      </c>
      <c r="AD184" s="2">
        <f>IF(Games[[#This Row],[Type]]="R",IF(Games[[#This Row],[Result]]&lt;0.5,1,0),0)</f>
        <v>1</v>
      </c>
      <c r="AE184" s="2">
        <f>IF(AND(Games[[#This Row],[Type]]="P",Games[[#This Row],[Round]]=1),IF(Games[[#This Row],[Result]]&gt;0.5,1,0),0)</f>
        <v>0</v>
      </c>
      <c r="AF184" s="2">
        <f>IF(AND(Games[[#This Row],[Type]]="P",Games[[#This Row],[Round]]=1),IF(Games[[#This Row],[Result]]&lt;0.5,1,0),0)</f>
        <v>0</v>
      </c>
      <c r="AG184" s="2">
        <f>IF(AND(Games[[#This Row],[Type]]="P",Games[[#This Row],[Round]]=2),IF(Games[[#This Row],[Result]]&gt;0.5,1,0),0)</f>
        <v>0</v>
      </c>
      <c r="AH184" s="2">
        <f>IF(AND(Games[[#This Row],[Type]]="P",Games[[#This Row],[Round]]=2),IF(Games[[#This Row],[Result]]&lt;0.5,1,0),0)</f>
        <v>0</v>
      </c>
      <c r="AI184" s="2">
        <f>IF(AND(Games[[#This Row],[Type]]="P",Games[[#This Row],[Round]]=3),IF(Games[[#This Row],[Result]]&gt;0.5,1,0),0)</f>
        <v>0</v>
      </c>
      <c r="AJ184" s="2">
        <f>IF(AND(Games[[#This Row],[Type]]="P",Games[[#This Row],[Round]]=3),IF(Games[[#This Row],[Result]]&lt;0.5,1,0),0)</f>
        <v>0</v>
      </c>
      <c r="AK184" s="2">
        <f>IF(AND(Games[[#This Row],[Type]]="P",Games[[#This Row],[Round]]=4),IF(Games[[#This Row],[Result]]&gt;0.5,1,0),0)</f>
        <v>0</v>
      </c>
      <c r="AL184" s="2">
        <f>IF(AND(Games[[#This Row],[Type]]="P",Games[[#This Row],[Round]]=4),IF(Games[[#This Row],[Result]]&lt;0.5,1,0),0)</f>
        <v>0</v>
      </c>
    </row>
    <row r="185" spans="1:38" x14ac:dyDescent="0.35">
      <c r="A185" s="10">
        <v>37803</v>
      </c>
      <c r="B185" s="2">
        <v>2003</v>
      </c>
      <c r="C185" s="2">
        <f>COUNTIFS(Games[Team],Games[[#This Row],[Team]],Games[Season],Games[[#This Row],[Season]],Games[Date],"&lt;=" &amp; Games[[#This Row],[Date]])</f>
        <v>11</v>
      </c>
      <c r="D185" s="2" t="s">
        <v>23</v>
      </c>
      <c r="E185" s="2" t="s">
        <v>29</v>
      </c>
      <c r="F185" s="1" t="s">
        <v>76</v>
      </c>
      <c r="G185" s="1" t="s">
        <v>85</v>
      </c>
      <c r="H185" s="1" t="s">
        <v>15</v>
      </c>
      <c r="I185" s="2" cm="1">
        <f t="array" ref="I185">IFERROR(
    Games[[#This Row],[Date]]
    - LOOKUP(
        2,
        1/((Games[Team]=Games[[#This Row],[Team]]) * (Games[Date] &lt; Games[[#This Row],[Date]])),
        Games[Date]
    )
    - 1,
Games[[#This Row],[Date]]-$A$2)</f>
        <v>2</v>
      </c>
      <c r="J185" s="2" cm="1">
        <f t="array" ref="J18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85" s="2">
        <f>Games[[#This Row],[DaysOff]]-Games[[#This Row],[OppDaysOff]]</f>
        <v>0</v>
      </c>
      <c r="L185" s="2">
        <f>Games[[#This Row],[OppDaysOff]]-Games[[#This Row],[DaysOff]]</f>
        <v>0</v>
      </c>
      <c r="M185" s="1">
        <f>MAX(-16, MIN(16, Games[[#This Row],[RestDiff]]*8))</f>
        <v>0</v>
      </c>
      <c r="N185" s="1">
        <f>MAX(-16, MIN(16, Games[[#This Row],[OppRestDiff]]*8))</f>
        <v>0</v>
      </c>
      <c r="O185" s="4" cm="1">
        <f t="array" ref="O18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1555.5780134279976</v>
      </c>
      <c r="P185" s="4" cm="1">
        <f t="array" ref="P18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1449.2586634069235</v>
      </c>
      <c r="Q185" s="4">
        <f>1/(1+10^(((Games[[#This Row],[OppPreGmRate]]+IF(Games[[#This Row],[HomeAway]]="A",HCA,0)+Games[[#This Row],[OppRestAdj]])-(Games[[#This Row],[PreGmRate]]+IF(Games[[#This Row],[HomeAway]]="H",HCA,0)+Games[[#This Row],[RestAdj]]))/400))</f>
        <v>0.74942843212416443</v>
      </c>
      <c r="R185" s="1">
        <v>99</v>
      </c>
      <c r="S185" s="1">
        <v>88</v>
      </c>
      <c r="T185" s="1">
        <v>0</v>
      </c>
      <c r="U185" s="1">
        <f>Games[[#This Row],[PointsFor]]-Games[[#This Row],[PointsAgainst]]</f>
        <v>11</v>
      </c>
      <c r="V185" s="1">
        <f>IF(Games[[#This Row],[MOV]]&gt;0,1,IF(Games[[#This Row],[MOV]]=0,0.5,0))</f>
        <v>1</v>
      </c>
      <c r="W185" s="4">
        <f>((ABS(Games[[#This Row],[MOV]])+5)^0.6)/(12+0.01*(ABS(Games[[#This Row],[PreGmRate]]-Games[[#This Row],[OppPreGmRate]])))*IF(Games[[#This Row],[OT]]=1,0.9,1)</f>
        <v>0.40403838793373376</v>
      </c>
      <c r="X185" s="7" cm="1">
        <f t="array" ref="X18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5" s="9">
        <f>MAX(kmin, kmax - 0.15 * MIN(Games[[#This Row],[GamesPlayed]], 82))</f>
        <v>74.349999999999994</v>
      </c>
      <c r="Z185" s="4">
        <f>Games[[#This Row],[K]]*Games[[#This Row],[POMult]]</f>
        <v>74.349999999999994</v>
      </c>
      <c r="AA185" s="4">
        <f>(Games[[#This Row],[Keff]]*Games[[#This Row],[MOVMult]])*(Games[[#This Row],[Result]]-Games[[#This Row],[ExpectedWin%]])</f>
        <v>7.5272335799682786</v>
      </c>
      <c r="AB185" s="4">
        <f>Games[[#This Row],[PreGmRate]]+Games[[#This Row],[RatingChange]]</f>
        <v>1563.1052470079658</v>
      </c>
      <c r="AC185" s="2">
        <f>IF(Games[[#This Row],[Type]]="R",IF(Games[[#This Row],[Result]]&gt;0.5,1,0),0)</f>
        <v>1</v>
      </c>
      <c r="AD185" s="2">
        <f>IF(Games[[#This Row],[Type]]="R",IF(Games[[#This Row],[Result]]&lt;0.5,1,0),0)</f>
        <v>0</v>
      </c>
      <c r="AE185" s="2">
        <f>IF(AND(Games[[#This Row],[Type]]="P",Games[[#This Row],[Round]]=1),IF(Games[[#This Row],[Result]]&gt;0.5,1,0),0)</f>
        <v>0</v>
      </c>
      <c r="AF185" s="2">
        <f>IF(AND(Games[[#This Row],[Type]]="P",Games[[#This Row],[Round]]=1),IF(Games[[#This Row],[Result]]&lt;0.5,1,0),0)</f>
        <v>0</v>
      </c>
      <c r="AG185" s="2">
        <f>IF(AND(Games[[#This Row],[Type]]="P",Games[[#This Row],[Round]]=2),IF(Games[[#This Row],[Result]]&gt;0.5,1,0),0)</f>
        <v>0</v>
      </c>
      <c r="AH185" s="2">
        <f>IF(AND(Games[[#This Row],[Type]]="P",Games[[#This Row],[Round]]=2),IF(Games[[#This Row],[Result]]&lt;0.5,1,0),0)</f>
        <v>0</v>
      </c>
      <c r="AI185" s="2">
        <f>IF(AND(Games[[#This Row],[Type]]="P",Games[[#This Row],[Round]]=3),IF(Games[[#This Row],[Result]]&gt;0.5,1,0),0)</f>
        <v>0</v>
      </c>
      <c r="AJ185" s="2">
        <f>IF(AND(Games[[#This Row],[Type]]="P",Games[[#This Row],[Round]]=3),IF(Games[[#This Row],[Result]]&lt;0.5,1,0),0)</f>
        <v>0</v>
      </c>
      <c r="AK185" s="2">
        <f>IF(AND(Games[[#This Row],[Type]]="P",Games[[#This Row],[Round]]=4),IF(Games[[#This Row],[Result]]&gt;0.5,1,0),0)</f>
        <v>0</v>
      </c>
      <c r="AL185" s="2">
        <f>IF(AND(Games[[#This Row],[Type]]="P",Games[[#This Row],[Round]]=4),IF(Games[[#This Row],[Result]]&lt;0.5,1,0),0)</f>
        <v>0</v>
      </c>
    </row>
    <row r="186" spans="1:38" x14ac:dyDescent="0.35">
      <c r="A186" s="10">
        <v>37803</v>
      </c>
      <c r="B186" s="2">
        <v>2003</v>
      </c>
      <c r="C186" s="2">
        <f>COUNTIFS(Games[Team],Games[[#This Row],[Team]],Games[Season],Games[[#This Row],[Season]],Games[Date],"&lt;=" &amp; Games[[#This Row],[Date]])</f>
        <v>14</v>
      </c>
      <c r="D186" s="2" t="s">
        <v>23</v>
      </c>
      <c r="E186" s="2" t="s">
        <v>29</v>
      </c>
      <c r="F186" s="1" t="s">
        <v>78</v>
      </c>
      <c r="G186" s="1" t="s">
        <v>2</v>
      </c>
      <c r="H186" s="1" t="s">
        <v>16</v>
      </c>
      <c r="I186" s="2" cm="1">
        <f t="array" ref="I186">IFERROR(
    Games[[#This Row],[Date]]
    - LOOKUP(
        2,
        1/((Games[Team]=Games[[#This Row],[Team]]) * (Games[Date] &lt; Games[[#This Row],[Date]])),
        Games[Date]
    )
    - 1,
Games[[#This Row],[Date]]-$A$2)</f>
        <v>1</v>
      </c>
      <c r="J186" s="2" cm="1">
        <f t="array" ref="J18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86" s="2">
        <f>Games[[#This Row],[DaysOff]]-Games[[#This Row],[OppDaysOff]]</f>
        <v>-1</v>
      </c>
      <c r="L186" s="2">
        <f>Games[[#This Row],[OppDaysOff]]-Games[[#This Row],[DaysOff]]</f>
        <v>1</v>
      </c>
      <c r="M186" s="1">
        <f>MAX(-16, MIN(16, Games[[#This Row],[RestDiff]]*8))</f>
        <v>-8</v>
      </c>
      <c r="N186" s="1">
        <f>MAX(-16, MIN(16, Games[[#This Row],[OppRestDiff]]*8))</f>
        <v>8</v>
      </c>
      <c r="O186" s="4" cm="1">
        <f t="array" ref="O18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1480.1348143711941</v>
      </c>
      <c r="P186" s="4" cm="1">
        <f t="array" ref="P18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1532.1064113886098</v>
      </c>
      <c r="Q186" s="4">
        <f>1/(1+10^(((Games[[#This Row],[OppPreGmRate]]+IF(Games[[#This Row],[HomeAway]]="A",HCA,0)+Games[[#This Row],[OppRestAdj]])-(Games[[#This Row],[PreGmRate]]+IF(Games[[#This Row],[HomeAway]]="H",HCA,0)+Games[[#This Row],[RestAdj]]))/400))</f>
        <v>0.29425259301209361</v>
      </c>
      <c r="R186" s="1">
        <v>69</v>
      </c>
      <c r="S186" s="1">
        <v>71</v>
      </c>
      <c r="T186" s="1">
        <v>0</v>
      </c>
      <c r="U186" s="1">
        <f>Games[[#This Row],[PointsFor]]-Games[[#This Row],[PointsAgainst]]</f>
        <v>-2</v>
      </c>
      <c r="V186" s="1">
        <f>IF(Games[[#This Row],[MOV]]&gt;0,1,IF(Games[[#This Row],[MOV]]=0,0.5,0))</f>
        <v>0</v>
      </c>
      <c r="W186" s="4">
        <f>((ABS(Games[[#This Row],[MOV]])+5)^0.6)/(12+0.01*(ABS(Games[[#This Row],[PreGmRate]]-Games[[#This Row],[OppPreGmRate]])))*IF(Games[[#This Row],[OT]]=1,0.9,1)</f>
        <v>0.25672274493870395</v>
      </c>
      <c r="X186" s="7" cm="1">
        <f t="array" ref="X18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6" s="9">
        <f>MAX(kmin, kmax - 0.15 * MIN(Games[[#This Row],[GamesPlayed]], 82))</f>
        <v>73.900000000000006</v>
      </c>
      <c r="Z186" s="4">
        <f>Games[[#This Row],[K]]*Games[[#This Row],[POMult]]</f>
        <v>73.900000000000006</v>
      </c>
      <c r="AA186" s="4">
        <f>(Games[[#This Row],[Keff]]*Games[[#This Row],[MOVMult]])*(Games[[#This Row],[Result]]-Games[[#This Row],[ExpectedWin%]])</f>
        <v>-5.5825045370329622</v>
      </c>
      <c r="AB186" s="4">
        <f>Games[[#This Row],[PreGmRate]]+Games[[#This Row],[RatingChange]]</f>
        <v>1474.5523098341612</v>
      </c>
      <c r="AC186" s="2">
        <f>IF(Games[[#This Row],[Type]]="R",IF(Games[[#This Row],[Result]]&gt;0.5,1,0),0)</f>
        <v>0</v>
      </c>
      <c r="AD186" s="2">
        <f>IF(Games[[#This Row],[Type]]="R",IF(Games[[#This Row],[Result]]&lt;0.5,1,0),0)</f>
        <v>1</v>
      </c>
      <c r="AE186" s="2">
        <f>IF(AND(Games[[#This Row],[Type]]="P",Games[[#This Row],[Round]]=1),IF(Games[[#This Row],[Result]]&gt;0.5,1,0),0)</f>
        <v>0</v>
      </c>
      <c r="AF186" s="2">
        <f>IF(AND(Games[[#This Row],[Type]]="P",Games[[#This Row],[Round]]=1),IF(Games[[#This Row],[Result]]&lt;0.5,1,0),0)</f>
        <v>0</v>
      </c>
      <c r="AG186" s="2">
        <f>IF(AND(Games[[#This Row],[Type]]="P",Games[[#This Row],[Round]]=2),IF(Games[[#This Row],[Result]]&gt;0.5,1,0),0)</f>
        <v>0</v>
      </c>
      <c r="AH186" s="2">
        <f>IF(AND(Games[[#This Row],[Type]]="P",Games[[#This Row],[Round]]=2),IF(Games[[#This Row],[Result]]&lt;0.5,1,0),0)</f>
        <v>0</v>
      </c>
      <c r="AI186" s="2">
        <f>IF(AND(Games[[#This Row],[Type]]="P",Games[[#This Row],[Round]]=3),IF(Games[[#This Row],[Result]]&gt;0.5,1,0),0)</f>
        <v>0</v>
      </c>
      <c r="AJ186" s="2">
        <f>IF(AND(Games[[#This Row],[Type]]="P",Games[[#This Row],[Round]]=3),IF(Games[[#This Row],[Result]]&lt;0.5,1,0),0)</f>
        <v>0</v>
      </c>
      <c r="AK186" s="2">
        <f>IF(AND(Games[[#This Row],[Type]]="P",Games[[#This Row],[Round]]=4),IF(Games[[#This Row],[Result]]&gt;0.5,1,0),0)</f>
        <v>0</v>
      </c>
      <c r="AL186" s="2">
        <f>IF(AND(Games[[#This Row],[Type]]="P",Games[[#This Row],[Round]]=4),IF(Games[[#This Row],[Result]]&lt;0.5,1,0),0)</f>
        <v>0</v>
      </c>
    </row>
    <row r="187" spans="1:38" x14ac:dyDescent="0.35">
      <c r="A187" s="10">
        <v>37803</v>
      </c>
      <c r="B187" s="2">
        <v>2003</v>
      </c>
      <c r="C187" s="2">
        <f>COUNTIFS(Games[Team],Games[[#This Row],[Team]],Games[Season],Games[[#This Row],[Season]],Games[Date],"&lt;=" &amp; Games[[#This Row],[Date]])</f>
        <v>15</v>
      </c>
      <c r="D187" s="2" t="s">
        <v>23</v>
      </c>
      <c r="E187" s="2" t="s">
        <v>29</v>
      </c>
      <c r="F187" s="1" t="s">
        <v>2</v>
      </c>
      <c r="G187" s="1" t="s">
        <v>78</v>
      </c>
      <c r="H187" s="1" t="s">
        <v>15</v>
      </c>
      <c r="I187" s="2" cm="1">
        <f t="array" ref="I187">IFERROR(
    Games[[#This Row],[Date]]
    - LOOKUP(
        2,
        1/((Games[Team]=Games[[#This Row],[Team]]) * (Games[Date] &lt; Games[[#This Row],[Date]])),
        Games[Date]
    )
    - 1,
Games[[#This Row],[Date]]-$A$2)</f>
        <v>2</v>
      </c>
      <c r="J187" s="2" cm="1">
        <f t="array" ref="J18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87" s="2">
        <f>Games[[#This Row],[DaysOff]]-Games[[#This Row],[OppDaysOff]]</f>
        <v>1</v>
      </c>
      <c r="L187" s="2">
        <f>Games[[#This Row],[OppDaysOff]]-Games[[#This Row],[DaysOff]]</f>
        <v>-1</v>
      </c>
      <c r="M187" s="1">
        <f>MAX(-16, MIN(16, Games[[#This Row],[RestDiff]]*8))</f>
        <v>8</v>
      </c>
      <c r="N187" s="1">
        <f>MAX(-16, MIN(16, Games[[#This Row],[OppRestDiff]]*8))</f>
        <v>-8</v>
      </c>
      <c r="O187" s="4" cm="1">
        <f t="array" ref="O18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1532.1064113886098</v>
      </c>
      <c r="P187" s="4" cm="1">
        <f t="array" ref="P18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1480.1348143711941</v>
      </c>
      <c r="Q187" s="4">
        <f>1/(1+10^(((Games[[#This Row],[OppPreGmRate]]+IF(Games[[#This Row],[HomeAway]]="A",HCA,0)+Games[[#This Row],[OppRestAdj]])-(Games[[#This Row],[PreGmRate]]+IF(Games[[#This Row],[HomeAway]]="H",HCA,0)+Games[[#This Row],[RestAdj]]))/400))</f>
        <v>0.70574740698790639</v>
      </c>
      <c r="R187" s="1">
        <v>71</v>
      </c>
      <c r="S187" s="1">
        <v>69</v>
      </c>
      <c r="T187" s="1">
        <v>0</v>
      </c>
      <c r="U187" s="1">
        <f>Games[[#This Row],[PointsFor]]-Games[[#This Row],[PointsAgainst]]</f>
        <v>2</v>
      </c>
      <c r="V187" s="1">
        <f>IF(Games[[#This Row],[MOV]]&gt;0,1,IF(Games[[#This Row],[MOV]]=0,0.5,0))</f>
        <v>1</v>
      </c>
      <c r="W187" s="4">
        <f>((ABS(Games[[#This Row],[MOV]])+5)^0.6)/(12+0.01*(ABS(Games[[#This Row],[PreGmRate]]-Games[[#This Row],[OppPreGmRate]])))*IF(Games[[#This Row],[OT]]=1,0.9,1)</f>
        <v>0.25672274493870395</v>
      </c>
      <c r="X187" s="7" cm="1">
        <f t="array" ref="X18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7" s="9">
        <f>MAX(kmin, kmax - 0.15 * MIN(Games[[#This Row],[GamesPlayed]], 82))</f>
        <v>73.75</v>
      </c>
      <c r="Z187" s="4">
        <f>Games[[#This Row],[K]]*Games[[#This Row],[POMult]]</f>
        <v>73.75</v>
      </c>
      <c r="AA187" s="4">
        <f>(Games[[#This Row],[Keff]]*Games[[#This Row],[MOVMult]])*(Games[[#This Row],[Result]]-Games[[#This Row],[ExpectedWin%]])</f>
        <v>5.5711733370254519</v>
      </c>
      <c r="AB187" s="4">
        <f>Games[[#This Row],[PreGmRate]]+Games[[#This Row],[RatingChange]]</f>
        <v>1537.6775847256351</v>
      </c>
      <c r="AC187" s="2">
        <f>IF(Games[[#This Row],[Type]]="R",IF(Games[[#This Row],[Result]]&gt;0.5,1,0),0)</f>
        <v>1</v>
      </c>
      <c r="AD187" s="2">
        <f>IF(Games[[#This Row],[Type]]="R",IF(Games[[#This Row],[Result]]&lt;0.5,1,0),0)</f>
        <v>0</v>
      </c>
      <c r="AE187" s="2">
        <f>IF(AND(Games[[#This Row],[Type]]="P",Games[[#This Row],[Round]]=1),IF(Games[[#This Row],[Result]]&gt;0.5,1,0),0)</f>
        <v>0</v>
      </c>
      <c r="AF187" s="2">
        <f>IF(AND(Games[[#This Row],[Type]]="P",Games[[#This Row],[Round]]=1),IF(Games[[#This Row],[Result]]&lt;0.5,1,0),0)</f>
        <v>0</v>
      </c>
      <c r="AG187" s="2">
        <f>IF(AND(Games[[#This Row],[Type]]="P",Games[[#This Row],[Round]]=2),IF(Games[[#This Row],[Result]]&gt;0.5,1,0),0)</f>
        <v>0</v>
      </c>
      <c r="AH187" s="2">
        <f>IF(AND(Games[[#This Row],[Type]]="P",Games[[#This Row],[Round]]=2),IF(Games[[#This Row],[Result]]&lt;0.5,1,0),0)</f>
        <v>0</v>
      </c>
      <c r="AI187" s="2">
        <f>IF(AND(Games[[#This Row],[Type]]="P",Games[[#This Row],[Round]]=3),IF(Games[[#This Row],[Result]]&gt;0.5,1,0),0)</f>
        <v>0</v>
      </c>
      <c r="AJ187" s="2">
        <f>IF(AND(Games[[#This Row],[Type]]="P",Games[[#This Row],[Round]]=3),IF(Games[[#This Row],[Result]]&lt;0.5,1,0),0)</f>
        <v>0</v>
      </c>
      <c r="AK187" s="2">
        <f>IF(AND(Games[[#This Row],[Type]]="P",Games[[#This Row],[Round]]=4),IF(Games[[#This Row],[Result]]&gt;0.5,1,0),0)</f>
        <v>0</v>
      </c>
      <c r="AL187" s="2">
        <f>IF(AND(Games[[#This Row],[Type]]="P",Games[[#This Row],[Round]]=4),IF(Games[[#This Row],[Result]]&lt;0.5,1,0),0)</f>
        <v>0</v>
      </c>
    </row>
    <row r="188" spans="1:38" x14ac:dyDescent="0.35">
      <c r="A188" s="10">
        <v>37803</v>
      </c>
      <c r="B188" s="2">
        <v>2003</v>
      </c>
      <c r="C188" s="2">
        <f>COUNTIFS(Games[Team],Games[[#This Row],[Team]],Games[Season],Games[[#This Row],[Season]],Games[Date],"&lt;=" &amp; Games[[#This Row],[Date]])</f>
        <v>14</v>
      </c>
      <c r="D188" s="2" t="s">
        <v>23</v>
      </c>
      <c r="E188" s="2" t="s">
        <v>29</v>
      </c>
      <c r="F188" s="1" t="s">
        <v>87</v>
      </c>
      <c r="G188" s="1" t="s">
        <v>66</v>
      </c>
      <c r="H188" s="1" t="s">
        <v>16</v>
      </c>
      <c r="I188" s="2" cm="1">
        <f t="array" ref="I188">IFERROR(
    Games[[#This Row],[Date]]
    - LOOKUP(
        2,
        1/((Games[Team]=Games[[#This Row],[Team]]) * (Games[Date] &lt; Games[[#This Row],[Date]])),
        Games[Date]
    )
    - 1,
Games[[#This Row],[Date]]-$A$2)</f>
        <v>2</v>
      </c>
      <c r="J188" s="2" cm="1">
        <f t="array" ref="J188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88" s="2">
        <f>Games[[#This Row],[DaysOff]]-Games[[#This Row],[OppDaysOff]]</f>
        <v>-1</v>
      </c>
      <c r="L188" s="2">
        <f>Games[[#This Row],[OppDaysOff]]-Games[[#This Row],[DaysOff]]</f>
        <v>1</v>
      </c>
      <c r="M188" s="1">
        <f>MAX(-16, MIN(16, Games[[#This Row],[RestDiff]]*8))</f>
        <v>-8</v>
      </c>
      <c r="N188" s="1">
        <f>MAX(-16, MIN(16, Games[[#This Row],[OppRestDiff]]*8))</f>
        <v>8</v>
      </c>
      <c r="O188" s="4" cm="1">
        <f t="array" ref="O18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1483.2624772340575</v>
      </c>
      <c r="P188" s="4" cm="1">
        <f t="array" ref="P18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1515.755689823829</v>
      </c>
      <c r="Q188" s="4">
        <f>1/(1+10^(((Games[[#This Row],[OppPreGmRate]]+IF(Games[[#This Row],[HomeAway]]="A",HCA,0)+Games[[#This Row],[OppRestAdj]])-(Games[[#This Row],[PreGmRate]]+IF(Games[[#This Row],[HomeAway]]="H",HCA,0)+Games[[#This Row],[RestAdj]]))/400))</f>
        <v>0.31806203724367238</v>
      </c>
      <c r="R188" s="1">
        <v>64</v>
      </c>
      <c r="S188" s="1">
        <v>90</v>
      </c>
      <c r="T188" s="1">
        <v>0</v>
      </c>
      <c r="U188" s="1">
        <f>Games[[#This Row],[PointsFor]]-Games[[#This Row],[PointsAgainst]]</f>
        <v>-26</v>
      </c>
      <c r="V188" s="1">
        <f>IF(Games[[#This Row],[MOV]]&gt;0,1,IF(Games[[#This Row],[MOV]]=0,0.5,0))</f>
        <v>0</v>
      </c>
      <c r="W188" s="4">
        <f>((ABS(Games[[#This Row],[MOV]])+5)^0.6)/(12+0.01*(ABS(Games[[#This Row],[PreGmRate]]-Games[[#This Row],[OppPreGmRate]])))*IF(Games[[#This Row],[OT]]=1,0.9,1)</f>
        <v>0.63684314737192371</v>
      </c>
      <c r="X188" s="7" cm="1">
        <f t="array" ref="X18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8" s="9">
        <f>MAX(kmin, kmax - 0.15 * MIN(Games[[#This Row],[GamesPlayed]], 82))</f>
        <v>73.900000000000006</v>
      </c>
      <c r="Z188" s="4">
        <f>Games[[#This Row],[K]]*Games[[#This Row],[POMult]]</f>
        <v>73.900000000000006</v>
      </c>
      <c r="AA188" s="4">
        <f>(Games[[#This Row],[Keff]]*Games[[#This Row],[MOVMult]])*(Games[[#This Row],[Result]]-Games[[#This Row],[ExpectedWin%]])</f>
        <v>-14.968860972590411</v>
      </c>
      <c r="AB188" s="4">
        <f>Games[[#This Row],[PreGmRate]]+Games[[#This Row],[RatingChange]]</f>
        <v>1468.2936162614672</v>
      </c>
      <c r="AC188" s="2">
        <f>IF(Games[[#This Row],[Type]]="R",IF(Games[[#This Row],[Result]]&gt;0.5,1,0),0)</f>
        <v>0</v>
      </c>
      <c r="AD188" s="2">
        <f>IF(Games[[#This Row],[Type]]="R",IF(Games[[#This Row],[Result]]&lt;0.5,1,0),0)</f>
        <v>1</v>
      </c>
      <c r="AE188" s="2">
        <f>IF(AND(Games[[#This Row],[Type]]="P",Games[[#This Row],[Round]]=1),IF(Games[[#This Row],[Result]]&gt;0.5,1,0),0)</f>
        <v>0</v>
      </c>
      <c r="AF188" s="2">
        <f>IF(AND(Games[[#This Row],[Type]]="P",Games[[#This Row],[Round]]=1),IF(Games[[#This Row],[Result]]&lt;0.5,1,0),0)</f>
        <v>0</v>
      </c>
      <c r="AG188" s="2">
        <f>IF(AND(Games[[#This Row],[Type]]="P",Games[[#This Row],[Round]]=2),IF(Games[[#This Row],[Result]]&gt;0.5,1,0),0)</f>
        <v>0</v>
      </c>
      <c r="AH188" s="2">
        <f>IF(AND(Games[[#This Row],[Type]]="P",Games[[#This Row],[Round]]=2),IF(Games[[#This Row],[Result]]&lt;0.5,1,0),0)</f>
        <v>0</v>
      </c>
      <c r="AI188" s="2">
        <f>IF(AND(Games[[#This Row],[Type]]="P",Games[[#This Row],[Round]]=3),IF(Games[[#This Row],[Result]]&gt;0.5,1,0),0)</f>
        <v>0</v>
      </c>
      <c r="AJ188" s="2">
        <f>IF(AND(Games[[#This Row],[Type]]="P",Games[[#This Row],[Round]]=3),IF(Games[[#This Row],[Result]]&lt;0.5,1,0),0)</f>
        <v>0</v>
      </c>
      <c r="AK188" s="2">
        <f>IF(AND(Games[[#This Row],[Type]]="P",Games[[#This Row],[Round]]=4),IF(Games[[#This Row],[Result]]&gt;0.5,1,0),0)</f>
        <v>0</v>
      </c>
      <c r="AL188" s="2">
        <f>IF(AND(Games[[#This Row],[Type]]="P",Games[[#This Row],[Round]]=4),IF(Games[[#This Row],[Result]]&lt;0.5,1,0),0)</f>
        <v>0</v>
      </c>
    </row>
    <row r="189" spans="1:38" x14ac:dyDescent="0.35">
      <c r="A189" s="10">
        <v>37803</v>
      </c>
      <c r="B189" s="2">
        <v>2003</v>
      </c>
      <c r="C189" s="2">
        <f>COUNTIFS(Games[Team],Games[[#This Row],[Team]],Games[Season],Games[[#This Row],[Season]],Games[Date],"&lt;=" &amp; Games[[#This Row],[Date]])</f>
        <v>12</v>
      </c>
      <c r="D189" s="2" t="s">
        <v>23</v>
      </c>
      <c r="E189" s="2" t="s">
        <v>29</v>
      </c>
      <c r="F189" s="1" t="s">
        <v>66</v>
      </c>
      <c r="G189" s="1" t="s">
        <v>87</v>
      </c>
      <c r="H189" s="1" t="s">
        <v>15</v>
      </c>
      <c r="I189" s="2" cm="1">
        <f t="array" ref="I189">IFERROR(
    Games[[#This Row],[Date]]
    - LOOKUP(
        2,
        1/((Games[Team]=Games[[#This Row],[Team]]) * (Games[Date] &lt; Games[[#This Row],[Date]])),
        Games[Date]
    )
    - 1,
Games[[#This Row],[Date]]-$A$2)</f>
        <v>3</v>
      </c>
      <c r="J189" s="2" cm="1">
        <f t="array" ref="J18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89" s="2">
        <f>Games[[#This Row],[DaysOff]]-Games[[#This Row],[OppDaysOff]]</f>
        <v>1</v>
      </c>
      <c r="L189" s="2">
        <f>Games[[#This Row],[OppDaysOff]]-Games[[#This Row],[DaysOff]]</f>
        <v>-1</v>
      </c>
      <c r="M189" s="1">
        <f>MAX(-16, MIN(16, Games[[#This Row],[RestDiff]]*8))</f>
        <v>8</v>
      </c>
      <c r="N189" s="1">
        <f>MAX(-16, MIN(16, Games[[#This Row],[OppRestDiff]]*8))</f>
        <v>-8</v>
      </c>
      <c r="O189" s="4" cm="1">
        <f t="array" ref="O18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1515.755689823829</v>
      </c>
      <c r="P189" s="4" cm="1">
        <f t="array" ref="P18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1483.2624772340575</v>
      </c>
      <c r="Q189" s="4">
        <f>1/(1+10^(((Games[[#This Row],[OppPreGmRate]]+IF(Games[[#This Row],[HomeAway]]="A",HCA,0)+Games[[#This Row],[OppRestAdj]])-(Games[[#This Row],[PreGmRate]]+IF(Games[[#This Row],[HomeAway]]="H",HCA,0)+Games[[#This Row],[RestAdj]]))/400))</f>
        <v>0.68193796275632768</v>
      </c>
      <c r="R189" s="1">
        <v>90</v>
      </c>
      <c r="S189" s="1">
        <v>64</v>
      </c>
      <c r="T189" s="1">
        <v>0</v>
      </c>
      <c r="U189" s="1">
        <f>Games[[#This Row],[PointsFor]]-Games[[#This Row],[PointsAgainst]]</f>
        <v>26</v>
      </c>
      <c r="V189" s="1">
        <f>IF(Games[[#This Row],[MOV]]&gt;0,1,IF(Games[[#This Row],[MOV]]=0,0.5,0))</f>
        <v>1</v>
      </c>
      <c r="W189" s="4">
        <f>((ABS(Games[[#This Row],[MOV]])+5)^0.6)/(12+0.01*(ABS(Games[[#This Row],[PreGmRate]]-Games[[#This Row],[OppPreGmRate]])))*IF(Games[[#This Row],[OT]]=1,0.9,1)</f>
        <v>0.63684314737192371</v>
      </c>
      <c r="X189" s="7" cm="1">
        <f t="array" ref="X18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9" s="9">
        <f>MAX(kmin, kmax - 0.15 * MIN(Games[[#This Row],[GamesPlayed]], 82))</f>
        <v>74.2</v>
      </c>
      <c r="Z189" s="4">
        <f>Games[[#This Row],[K]]*Games[[#This Row],[POMult]]</f>
        <v>74.2</v>
      </c>
      <c r="AA189" s="4">
        <f>(Games[[#This Row],[Keff]]*Games[[#This Row],[MOVMult]])*(Games[[#This Row],[Result]]-Games[[#This Row],[ExpectedWin%]])</f>
        <v>15.029627661247744</v>
      </c>
      <c r="AB189" s="4">
        <f>Games[[#This Row],[PreGmRate]]+Games[[#This Row],[RatingChange]]</f>
        <v>1530.7853174850768</v>
      </c>
      <c r="AC189" s="2">
        <f>IF(Games[[#This Row],[Type]]="R",IF(Games[[#This Row],[Result]]&gt;0.5,1,0),0)</f>
        <v>1</v>
      </c>
      <c r="AD189" s="2">
        <f>IF(Games[[#This Row],[Type]]="R",IF(Games[[#This Row],[Result]]&lt;0.5,1,0),0)</f>
        <v>0</v>
      </c>
      <c r="AE189" s="2">
        <f>IF(AND(Games[[#This Row],[Type]]="P",Games[[#This Row],[Round]]=1),IF(Games[[#This Row],[Result]]&gt;0.5,1,0),0)</f>
        <v>0</v>
      </c>
      <c r="AF189" s="2">
        <f>IF(AND(Games[[#This Row],[Type]]="P",Games[[#This Row],[Round]]=1),IF(Games[[#This Row],[Result]]&lt;0.5,1,0),0)</f>
        <v>0</v>
      </c>
      <c r="AG189" s="2">
        <f>IF(AND(Games[[#This Row],[Type]]="P",Games[[#This Row],[Round]]=2),IF(Games[[#This Row],[Result]]&gt;0.5,1,0),0)</f>
        <v>0</v>
      </c>
      <c r="AH189" s="2">
        <f>IF(AND(Games[[#This Row],[Type]]="P",Games[[#This Row],[Round]]=2),IF(Games[[#This Row],[Result]]&lt;0.5,1,0),0)</f>
        <v>0</v>
      </c>
      <c r="AI189" s="2">
        <f>IF(AND(Games[[#This Row],[Type]]="P",Games[[#This Row],[Round]]=3),IF(Games[[#This Row],[Result]]&gt;0.5,1,0),0)</f>
        <v>0</v>
      </c>
      <c r="AJ189" s="2">
        <f>IF(AND(Games[[#This Row],[Type]]="P",Games[[#This Row],[Round]]=3),IF(Games[[#This Row],[Result]]&lt;0.5,1,0),0)</f>
        <v>0</v>
      </c>
      <c r="AK189" s="2">
        <f>IF(AND(Games[[#This Row],[Type]]="P",Games[[#This Row],[Round]]=4),IF(Games[[#This Row],[Result]]&gt;0.5,1,0),0)</f>
        <v>0</v>
      </c>
      <c r="AL189" s="2">
        <f>IF(AND(Games[[#This Row],[Type]]="P",Games[[#This Row],[Round]]=4),IF(Games[[#This Row],[Result]]&lt;0.5,1,0),0)</f>
        <v>0</v>
      </c>
    </row>
    <row r="190" spans="1:38" x14ac:dyDescent="0.35">
      <c r="A190" s="10">
        <v>37804</v>
      </c>
      <c r="B190" s="2">
        <v>2003</v>
      </c>
      <c r="C190" s="2">
        <f>COUNTIFS(Games[Team],Games[[#This Row],[Team]],Games[Season],Games[[#This Row],[Season]],Games[Date],"&lt;=" &amp; Games[[#This Row],[Date]])</f>
        <v>13</v>
      </c>
      <c r="D190" s="2" t="s">
        <v>23</v>
      </c>
      <c r="E190" s="2" t="s">
        <v>29</v>
      </c>
      <c r="F190" s="1" t="s">
        <v>1</v>
      </c>
      <c r="G190" s="1" t="s">
        <v>87</v>
      </c>
      <c r="H190" s="1" t="s">
        <v>16</v>
      </c>
      <c r="I190" s="2" cm="1">
        <f t="array" ref="I190">IFERROR(
    Games[[#This Row],[Date]]
    - LOOKUP(
        2,
        1/((Games[Team]=Games[[#This Row],[Team]]) * (Games[Date] &lt; Games[[#This Row],[Date]])),
        Games[Date]
    )
    - 1,
Games[[#This Row],[Date]]-$A$2)</f>
        <v>2</v>
      </c>
      <c r="J190" s="2" cm="1">
        <f t="array" ref="J190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90" s="2">
        <f>Games[[#This Row],[DaysOff]]-Games[[#This Row],[OppDaysOff]]</f>
        <v>2</v>
      </c>
      <c r="L190" s="2">
        <f>Games[[#This Row],[OppDaysOff]]-Games[[#This Row],[DaysOff]]</f>
        <v>-2</v>
      </c>
      <c r="M190" s="1">
        <f>MAX(-16, MIN(16, Games[[#This Row],[RestDiff]]*8))</f>
        <v>16</v>
      </c>
      <c r="N190" s="1">
        <f>MAX(-16, MIN(16, Games[[#This Row],[OppRestDiff]]*8))</f>
        <v>-16</v>
      </c>
      <c r="O190" s="4" cm="1">
        <f t="array" ref="O19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1480.8331034475257</v>
      </c>
      <c r="P190" s="4" cm="1">
        <f t="array" ref="P19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1468.2936162614672</v>
      </c>
      <c r="Q190" s="4">
        <f>1/(1+10^(((Games[[#This Row],[OppPreGmRate]]+IF(Games[[#This Row],[HomeAway]]="A",HCA,0)+Games[[#This Row],[OppRestAdj]])-(Games[[#This Row],[PreGmRate]]+IF(Games[[#This Row],[HomeAway]]="H",HCA,0)+Games[[#This Row],[RestAdj]]))/400))</f>
        <v>0.44345468596206233</v>
      </c>
      <c r="R190" s="1">
        <v>57</v>
      </c>
      <c r="S190" s="1">
        <v>64</v>
      </c>
      <c r="T190" s="1">
        <v>0</v>
      </c>
      <c r="U190" s="1">
        <f>Games[[#This Row],[PointsFor]]-Games[[#This Row],[PointsAgainst]]</f>
        <v>-7</v>
      </c>
      <c r="V190" s="1">
        <f>IF(Games[[#This Row],[MOV]]&gt;0,1,IF(Games[[#This Row],[MOV]]=0,0.5,0))</f>
        <v>0</v>
      </c>
      <c r="W190" s="4">
        <f>((ABS(Games[[#This Row],[MOV]])+5)^0.6)/(12+0.01*(ABS(Games[[#This Row],[PreGmRate]]-Games[[#This Row],[OppPreGmRate]])))*IF(Games[[#This Row],[OT]]=1,0.9,1)</f>
        <v>0.36627970608633426</v>
      </c>
      <c r="X190" s="7" cm="1">
        <f t="array" ref="X19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0" s="9">
        <f>MAX(kmin, kmax - 0.15 * MIN(Games[[#This Row],[GamesPlayed]], 82))</f>
        <v>74.05</v>
      </c>
      <c r="Z190" s="4">
        <f>Games[[#This Row],[K]]*Games[[#This Row],[POMult]]</f>
        <v>74.05</v>
      </c>
      <c r="AA190" s="4">
        <f>(Games[[#This Row],[Keff]]*Games[[#This Row],[MOVMult]])*(Games[[#This Row],[Result]]-Games[[#This Row],[ExpectedWin%]])</f>
        <v>-12.027826873324436</v>
      </c>
      <c r="AB190" s="4">
        <f>Games[[#This Row],[PreGmRate]]+Games[[#This Row],[RatingChange]]</f>
        <v>1468.8052765742013</v>
      </c>
      <c r="AC190" s="2">
        <f>IF(Games[[#This Row],[Type]]="R",IF(Games[[#This Row],[Result]]&gt;0.5,1,0),0)</f>
        <v>0</v>
      </c>
      <c r="AD190" s="2">
        <f>IF(Games[[#This Row],[Type]]="R",IF(Games[[#This Row],[Result]]&lt;0.5,1,0),0)</f>
        <v>1</v>
      </c>
      <c r="AE190" s="2">
        <f>IF(AND(Games[[#This Row],[Type]]="P",Games[[#This Row],[Round]]=1),IF(Games[[#This Row],[Result]]&gt;0.5,1,0),0)</f>
        <v>0</v>
      </c>
      <c r="AF190" s="2">
        <f>IF(AND(Games[[#This Row],[Type]]="P",Games[[#This Row],[Round]]=1),IF(Games[[#This Row],[Result]]&lt;0.5,1,0),0)</f>
        <v>0</v>
      </c>
      <c r="AG190" s="2">
        <f>IF(AND(Games[[#This Row],[Type]]="P",Games[[#This Row],[Round]]=2),IF(Games[[#This Row],[Result]]&gt;0.5,1,0),0)</f>
        <v>0</v>
      </c>
      <c r="AH190" s="2">
        <f>IF(AND(Games[[#This Row],[Type]]="P",Games[[#This Row],[Round]]=2),IF(Games[[#This Row],[Result]]&lt;0.5,1,0),0)</f>
        <v>0</v>
      </c>
      <c r="AI190" s="2">
        <f>IF(AND(Games[[#This Row],[Type]]="P",Games[[#This Row],[Round]]=3),IF(Games[[#This Row],[Result]]&gt;0.5,1,0),0)</f>
        <v>0</v>
      </c>
      <c r="AJ190" s="2">
        <f>IF(AND(Games[[#This Row],[Type]]="P",Games[[#This Row],[Round]]=3),IF(Games[[#This Row],[Result]]&lt;0.5,1,0),0)</f>
        <v>0</v>
      </c>
      <c r="AK190" s="2">
        <f>IF(AND(Games[[#This Row],[Type]]="P",Games[[#This Row],[Round]]=4),IF(Games[[#This Row],[Result]]&gt;0.5,1,0),0)</f>
        <v>0</v>
      </c>
      <c r="AL190" s="2">
        <f>IF(AND(Games[[#This Row],[Type]]="P",Games[[#This Row],[Round]]=4),IF(Games[[#This Row],[Result]]&lt;0.5,1,0),0)</f>
        <v>0</v>
      </c>
    </row>
    <row r="191" spans="1:38" x14ac:dyDescent="0.35">
      <c r="A191" s="10">
        <v>37804</v>
      </c>
      <c r="B191" s="2">
        <v>2003</v>
      </c>
      <c r="C191" s="2">
        <f>COUNTIFS(Games[Team],Games[[#This Row],[Team]],Games[Season],Games[[#This Row],[Season]],Games[Date],"&lt;=" &amp; Games[[#This Row],[Date]])</f>
        <v>15</v>
      </c>
      <c r="D191" s="2" t="s">
        <v>23</v>
      </c>
      <c r="E191" s="2" t="s">
        <v>29</v>
      </c>
      <c r="F191" s="1" t="s">
        <v>87</v>
      </c>
      <c r="G191" s="1" t="s">
        <v>1</v>
      </c>
      <c r="H191" s="1" t="s">
        <v>15</v>
      </c>
      <c r="I191" s="2" cm="1">
        <f t="array" ref="I191">IFERROR(
    Games[[#This Row],[Date]]
    - LOOKUP(
        2,
        1/((Games[Team]=Games[[#This Row],[Team]]) * (Games[Date] &lt; Games[[#This Row],[Date]])),
        Games[Date]
    )
    - 1,
Games[[#This Row],[Date]]-$A$2)</f>
        <v>0</v>
      </c>
      <c r="J191" s="2" cm="1">
        <f t="array" ref="J19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91" s="2">
        <f>Games[[#This Row],[DaysOff]]-Games[[#This Row],[OppDaysOff]]</f>
        <v>-2</v>
      </c>
      <c r="L191" s="2">
        <f>Games[[#This Row],[OppDaysOff]]-Games[[#This Row],[DaysOff]]</f>
        <v>2</v>
      </c>
      <c r="M191" s="1">
        <f>MAX(-16, MIN(16, Games[[#This Row],[RestDiff]]*8))</f>
        <v>-16</v>
      </c>
      <c r="N191" s="1">
        <f>MAX(-16, MIN(16, Games[[#This Row],[OppRestDiff]]*8))</f>
        <v>16</v>
      </c>
      <c r="O191" s="4" cm="1">
        <f t="array" ref="O19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1468.2936162614672</v>
      </c>
      <c r="P191" s="4" cm="1">
        <f t="array" ref="P19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1480.8331034475257</v>
      </c>
      <c r="Q191" s="4">
        <f>1/(1+10^(((Games[[#This Row],[OppPreGmRate]]+IF(Games[[#This Row],[HomeAway]]="A",HCA,0)+Games[[#This Row],[OppRestAdj]])-(Games[[#This Row],[PreGmRate]]+IF(Games[[#This Row],[HomeAway]]="H",HCA,0)+Games[[#This Row],[RestAdj]]))/400))</f>
        <v>0.55654531403793772</v>
      </c>
      <c r="R191" s="1">
        <v>64</v>
      </c>
      <c r="S191" s="1">
        <v>57</v>
      </c>
      <c r="T191" s="1">
        <v>0</v>
      </c>
      <c r="U191" s="1">
        <f>Games[[#This Row],[PointsFor]]-Games[[#This Row],[PointsAgainst]]</f>
        <v>7</v>
      </c>
      <c r="V191" s="1">
        <f>IF(Games[[#This Row],[MOV]]&gt;0,1,IF(Games[[#This Row],[MOV]]=0,0.5,0))</f>
        <v>1</v>
      </c>
      <c r="W191" s="4">
        <f>((ABS(Games[[#This Row],[MOV]])+5)^0.6)/(12+0.01*(ABS(Games[[#This Row],[PreGmRate]]-Games[[#This Row],[OppPreGmRate]])))*IF(Games[[#This Row],[OT]]=1,0.9,1)</f>
        <v>0.36627970608633426</v>
      </c>
      <c r="X191" s="7" cm="1">
        <f t="array" ref="X19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1" s="9">
        <f>MAX(kmin, kmax - 0.15 * MIN(Games[[#This Row],[GamesPlayed]], 82))</f>
        <v>73.75</v>
      </c>
      <c r="Z191" s="4">
        <f>Games[[#This Row],[K]]*Games[[#This Row],[POMult]]</f>
        <v>73.75</v>
      </c>
      <c r="AA191" s="4">
        <f>(Games[[#This Row],[Keff]]*Games[[#This Row],[MOVMult]])*(Games[[#This Row],[Result]]-Games[[#This Row],[ExpectedWin%]])</f>
        <v>11.979098337713397</v>
      </c>
      <c r="AB191" s="4">
        <f>Games[[#This Row],[PreGmRate]]+Games[[#This Row],[RatingChange]]</f>
        <v>1480.2727145991805</v>
      </c>
      <c r="AC191" s="2">
        <f>IF(Games[[#This Row],[Type]]="R",IF(Games[[#This Row],[Result]]&gt;0.5,1,0),0)</f>
        <v>1</v>
      </c>
      <c r="AD191" s="2">
        <f>IF(Games[[#This Row],[Type]]="R",IF(Games[[#This Row],[Result]]&lt;0.5,1,0),0)</f>
        <v>0</v>
      </c>
      <c r="AE191" s="2">
        <f>IF(AND(Games[[#This Row],[Type]]="P",Games[[#This Row],[Round]]=1),IF(Games[[#This Row],[Result]]&gt;0.5,1,0),0)</f>
        <v>0</v>
      </c>
      <c r="AF191" s="2">
        <f>IF(AND(Games[[#This Row],[Type]]="P",Games[[#This Row],[Round]]=1),IF(Games[[#This Row],[Result]]&lt;0.5,1,0),0)</f>
        <v>0</v>
      </c>
      <c r="AG191" s="2">
        <f>IF(AND(Games[[#This Row],[Type]]="P",Games[[#This Row],[Round]]=2),IF(Games[[#This Row],[Result]]&gt;0.5,1,0),0)</f>
        <v>0</v>
      </c>
      <c r="AH191" s="2">
        <f>IF(AND(Games[[#This Row],[Type]]="P",Games[[#This Row],[Round]]=2),IF(Games[[#This Row],[Result]]&lt;0.5,1,0),0)</f>
        <v>0</v>
      </c>
      <c r="AI191" s="2">
        <f>IF(AND(Games[[#This Row],[Type]]="P",Games[[#This Row],[Round]]=3),IF(Games[[#This Row],[Result]]&gt;0.5,1,0),0)</f>
        <v>0</v>
      </c>
      <c r="AJ191" s="2">
        <f>IF(AND(Games[[#This Row],[Type]]="P",Games[[#This Row],[Round]]=3),IF(Games[[#This Row],[Result]]&lt;0.5,1,0),0)</f>
        <v>0</v>
      </c>
      <c r="AK191" s="2">
        <f>IF(AND(Games[[#This Row],[Type]]="P",Games[[#This Row],[Round]]=4),IF(Games[[#This Row],[Result]]&gt;0.5,1,0),0)</f>
        <v>0</v>
      </c>
      <c r="AL191" s="2">
        <f>IF(AND(Games[[#This Row],[Type]]="P",Games[[#This Row],[Round]]=4),IF(Games[[#This Row],[Result]]&lt;0.5,1,0),0)</f>
        <v>0</v>
      </c>
    </row>
    <row r="192" spans="1:38" x14ac:dyDescent="0.35">
      <c r="A192" s="10">
        <v>37804</v>
      </c>
      <c r="B192" s="2">
        <v>2003</v>
      </c>
      <c r="C192" s="2">
        <f>COUNTIFS(Games[Team],Games[[#This Row],[Team]],Games[Season],Games[[#This Row],[Season]],Games[Date],"&lt;=" &amp; Games[[#This Row],[Date]])</f>
        <v>15</v>
      </c>
      <c r="D192" s="2" t="s">
        <v>23</v>
      </c>
      <c r="E192" s="2" t="s">
        <v>29</v>
      </c>
      <c r="F192" s="1" t="s">
        <v>44</v>
      </c>
      <c r="G192" s="1" t="s">
        <v>80</v>
      </c>
      <c r="H192" s="1" t="s">
        <v>16</v>
      </c>
      <c r="I192" s="2" cm="1">
        <f t="array" ref="I192">IFERROR(
    Games[[#This Row],[Date]]
    - LOOKUP(
        2,
        1/((Games[Team]=Games[[#This Row],[Team]]) * (Games[Date] &lt; Games[[#This Row],[Date]])),
        Games[Date]
    )
    - 1,
Games[[#This Row],[Date]]-$A$2)</f>
        <v>3</v>
      </c>
      <c r="J192" s="2" cm="1">
        <f t="array" ref="J19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92" s="2">
        <f>Games[[#This Row],[DaysOff]]-Games[[#This Row],[OppDaysOff]]</f>
        <v>1</v>
      </c>
      <c r="L192" s="2">
        <f>Games[[#This Row],[OppDaysOff]]-Games[[#This Row],[DaysOff]]</f>
        <v>-1</v>
      </c>
      <c r="M192" s="1">
        <f>MAX(-16, MIN(16, Games[[#This Row],[RestDiff]]*8))</f>
        <v>8</v>
      </c>
      <c r="N192" s="1">
        <f>MAX(-16, MIN(16, Games[[#This Row],[OppRestDiff]]*8))</f>
        <v>-8</v>
      </c>
      <c r="O192" s="4" cm="1">
        <f t="array" ref="O19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1385.2082130348033</v>
      </c>
      <c r="P192" s="4" cm="1">
        <f t="array" ref="P19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1516.8336515899512</v>
      </c>
      <c r="Q192" s="4">
        <f>1/(1+10^(((Games[[#This Row],[OppPreGmRate]]+IF(Games[[#This Row],[HomeAway]]="A",HCA,0)+Games[[#This Row],[OppRestAdj]])-(Games[[#This Row],[PreGmRate]]+IF(Games[[#This Row],[HomeAway]]="H",HCA,0)+Games[[#This Row],[RestAdj]]))/400))</f>
        <v>0.24064685892470927</v>
      </c>
      <c r="R192" s="1">
        <v>68</v>
      </c>
      <c r="S192" s="1">
        <v>79</v>
      </c>
      <c r="T192" s="1">
        <v>0</v>
      </c>
      <c r="U192" s="1">
        <f>Games[[#This Row],[PointsFor]]-Games[[#This Row],[PointsAgainst]]</f>
        <v>-11</v>
      </c>
      <c r="V192" s="1">
        <f>IF(Games[[#This Row],[MOV]]&gt;0,1,IF(Games[[#This Row],[MOV]]=0,0.5,0))</f>
        <v>0</v>
      </c>
      <c r="W192" s="4">
        <f>((ABS(Games[[#This Row],[MOV]])+5)^0.6)/(12+0.01*(ABS(Games[[#This Row],[PreGmRate]]-Games[[#This Row],[OppPreGmRate]])))*IF(Games[[#This Row],[OT]]=1,0.9,1)</f>
        <v>0.39636007921404637</v>
      </c>
      <c r="X192" s="7" cm="1">
        <f t="array" ref="X19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2" s="9">
        <f>MAX(kmin, kmax - 0.15 * MIN(Games[[#This Row],[GamesPlayed]], 82))</f>
        <v>73.75</v>
      </c>
      <c r="Z192" s="4">
        <f>Games[[#This Row],[K]]*Games[[#This Row],[POMult]]</f>
        <v>73.75</v>
      </c>
      <c r="AA192" s="4">
        <f>(Games[[#This Row],[Keff]]*Games[[#This Row],[MOVMult]])*(Games[[#This Row],[Result]]-Games[[#This Row],[ExpectedWin%]])</f>
        <v>-7.0344820948681797</v>
      </c>
      <c r="AB192" s="4">
        <f>Games[[#This Row],[PreGmRate]]+Games[[#This Row],[RatingChange]]</f>
        <v>1378.173730939935</v>
      </c>
      <c r="AC192" s="2">
        <f>IF(Games[[#This Row],[Type]]="R",IF(Games[[#This Row],[Result]]&gt;0.5,1,0),0)</f>
        <v>0</v>
      </c>
      <c r="AD192" s="2">
        <f>IF(Games[[#This Row],[Type]]="R",IF(Games[[#This Row],[Result]]&lt;0.5,1,0),0)</f>
        <v>1</v>
      </c>
      <c r="AE192" s="2">
        <f>IF(AND(Games[[#This Row],[Type]]="P",Games[[#This Row],[Round]]=1),IF(Games[[#This Row],[Result]]&gt;0.5,1,0),0)</f>
        <v>0</v>
      </c>
      <c r="AF192" s="2">
        <f>IF(AND(Games[[#This Row],[Type]]="P",Games[[#This Row],[Round]]=1),IF(Games[[#This Row],[Result]]&lt;0.5,1,0),0)</f>
        <v>0</v>
      </c>
      <c r="AG192" s="2">
        <f>IF(AND(Games[[#This Row],[Type]]="P",Games[[#This Row],[Round]]=2),IF(Games[[#This Row],[Result]]&gt;0.5,1,0),0)</f>
        <v>0</v>
      </c>
      <c r="AH192" s="2">
        <f>IF(AND(Games[[#This Row],[Type]]="P",Games[[#This Row],[Round]]=2),IF(Games[[#This Row],[Result]]&lt;0.5,1,0),0)</f>
        <v>0</v>
      </c>
      <c r="AI192" s="2">
        <f>IF(AND(Games[[#This Row],[Type]]="P",Games[[#This Row],[Round]]=3),IF(Games[[#This Row],[Result]]&gt;0.5,1,0),0)</f>
        <v>0</v>
      </c>
      <c r="AJ192" s="2">
        <f>IF(AND(Games[[#This Row],[Type]]="P",Games[[#This Row],[Round]]=3),IF(Games[[#This Row],[Result]]&lt;0.5,1,0),0)</f>
        <v>0</v>
      </c>
      <c r="AK192" s="2">
        <f>IF(AND(Games[[#This Row],[Type]]="P",Games[[#This Row],[Round]]=4),IF(Games[[#This Row],[Result]]&gt;0.5,1,0),0)</f>
        <v>0</v>
      </c>
      <c r="AL192" s="2">
        <f>IF(AND(Games[[#This Row],[Type]]="P",Games[[#This Row],[Round]]=4),IF(Games[[#This Row],[Result]]&lt;0.5,1,0),0)</f>
        <v>0</v>
      </c>
    </row>
    <row r="193" spans="1:38" x14ac:dyDescent="0.35">
      <c r="A193" s="10">
        <v>37804</v>
      </c>
      <c r="B193" s="2">
        <v>2003</v>
      </c>
      <c r="C193" s="2">
        <f>COUNTIFS(Games[Team],Games[[#This Row],[Team]],Games[Season],Games[[#This Row],[Season]],Games[Date],"&lt;=" &amp; Games[[#This Row],[Date]])</f>
        <v>14</v>
      </c>
      <c r="D193" s="2" t="s">
        <v>23</v>
      </c>
      <c r="E193" s="2" t="s">
        <v>29</v>
      </c>
      <c r="F193" s="1" t="s">
        <v>80</v>
      </c>
      <c r="G193" s="1" t="s">
        <v>44</v>
      </c>
      <c r="H193" s="1" t="s">
        <v>15</v>
      </c>
      <c r="I193" s="2" cm="1">
        <f t="array" ref="I193">IFERROR(
    Games[[#This Row],[Date]]
    - LOOKUP(
        2,
        1/((Games[Team]=Games[[#This Row],[Team]]) * (Games[Date] &lt; Games[[#This Row],[Date]])),
        Games[Date]
    )
    - 1,
Games[[#This Row],[Date]]-$A$2)</f>
        <v>2</v>
      </c>
      <c r="J193" s="2" cm="1">
        <f t="array" ref="J193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93" s="2">
        <f>Games[[#This Row],[DaysOff]]-Games[[#This Row],[OppDaysOff]]</f>
        <v>-1</v>
      </c>
      <c r="L193" s="2">
        <f>Games[[#This Row],[OppDaysOff]]-Games[[#This Row],[DaysOff]]</f>
        <v>1</v>
      </c>
      <c r="M193" s="1">
        <f>MAX(-16, MIN(16, Games[[#This Row],[RestDiff]]*8))</f>
        <v>-8</v>
      </c>
      <c r="N193" s="1">
        <f>MAX(-16, MIN(16, Games[[#This Row],[OppRestDiff]]*8))</f>
        <v>8</v>
      </c>
      <c r="O193" s="4" cm="1">
        <f t="array" ref="O19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1516.8336515899512</v>
      </c>
      <c r="P193" s="4" cm="1">
        <f t="array" ref="P19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1385.2082130348033</v>
      </c>
      <c r="Q193" s="4">
        <f>1/(1+10^(((Games[[#This Row],[OppPreGmRate]]+IF(Games[[#This Row],[HomeAway]]="A",HCA,0)+Games[[#This Row],[OppRestAdj]])-(Games[[#This Row],[PreGmRate]]+IF(Games[[#This Row],[HomeAway]]="H",HCA,0)+Games[[#This Row],[RestAdj]]))/400))</f>
        <v>0.75935314107529073</v>
      </c>
      <c r="R193" s="1">
        <v>79</v>
      </c>
      <c r="S193" s="1">
        <v>68</v>
      </c>
      <c r="T193" s="1">
        <v>0</v>
      </c>
      <c r="U193" s="1">
        <f>Games[[#This Row],[PointsFor]]-Games[[#This Row],[PointsAgainst]]</f>
        <v>11</v>
      </c>
      <c r="V193" s="1">
        <f>IF(Games[[#This Row],[MOV]]&gt;0,1,IF(Games[[#This Row],[MOV]]=0,0.5,0))</f>
        <v>1</v>
      </c>
      <c r="W193" s="4">
        <f>((ABS(Games[[#This Row],[MOV]])+5)^0.6)/(12+0.01*(ABS(Games[[#This Row],[PreGmRate]]-Games[[#This Row],[OppPreGmRate]])))*IF(Games[[#This Row],[OT]]=1,0.9,1)</f>
        <v>0.39636007921404637</v>
      </c>
      <c r="X193" s="7" cm="1">
        <f t="array" ref="X19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3" s="9">
        <f>MAX(kmin, kmax - 0.15 * MIN(Games[[#This Row],[GamesPlayed]], 82))</f>
        <v>73.900000000000006</v>
      </c>
      <c r="Z193" s="4">
        <f>Games[[#This Row],[K]]*Games[[#This Row],[POMult]]</f>
        <v>73.900000000000006</v>
      </c>
      <c r="AA193" s="4">
        <f>(Games[[#This Row],[Keff]]*Games[[#This Row],[MOVMult]])*(Games[[#This Row],[Result]]-Games[[#This Row],[ExpectedWin%]])</f>
        <v>7.0487895160780818</v>
      </c>
      <c r="AB193" s="4">
        <f>Games[[#This Row],[PreGmRate]]+Games[[#This Row],[RatingChange]]</f>
        <v>1523.8824411060293</v>
      </c>
      <c r="AC193" s="2">
        <f>IF(Games[[#This Row],[Type]]="R",IF(Games[[#This Row],[Result]]&gt;0.5,1,0),0)</f>
        <v>1</v>
      </c>
      <c r="AD193" s="2">
        <f>IF(Games[[#This Row],[Type]]="R",IF(Games[[#This Row],[Result]]&lt;0.5,1,0),0)</f>
        <v>0</v>
      </c>
      <c r="AE193" s="2">
        <f>IF(AND(Games[[#This Row],[Type]]="P",Games[[#This Row],[Round]]=1),IF(Games[[#This Row],[Result]]&gt;0.5,1,0),0)</f>
        <v>0</v>
      </c>
      <c r="AF193" s="2">
        <f>IF(AND(Games[[#This Row],[Type]]="P",Games[[#This Row],[Round]]=1),IF(Games[[#This Row],[Result]]&lt;0.5,1,0),0)</f>
        <v>0</v>
      </c>
      <c r="AG193" s="2">
        <f>IF(AND(Games[[#This Row],[Type]]="P",Games[[#This Row],[Round]]=2),IF(Games[[#This Row],[Result]]&gt;0.5,1,0),0)</f>
        <v>0</v>
      </c>
      <c r="AH193" s="2">
        <f>IF(AND(Games[[#This Row],[Type]]="P",Games[[#This Row],[Round]]=2),IF(Games[[#This Row],[Result]]&lt;0.5,1,0),0)</f>
        <v>0</v>
      </c>
      <c r="AI193" s="2">
        <f>IF(AND(Games[[#This Row],[Type]]="P",Games[[#This Row],[Round]]=3),IF(Games[[#This Row],[Result]]&gt;0.5,1,0),0)</f>
        <v>0</v>
      </c>
      <c r="AJ193" s="2">
        <f>IF(AND(Games[[#This Row],[Type]]="P",Games[[#This Row],[Round]]=3),IF(Games[[#This Row],[Result]]&lt;0.5,1,0),0)</f>
        <v>0</v>
      </c>
      <c r="AK193" s="2">
        <f>IF(AND(Games[[#This Row],[Type]]="P",Games[[#This Row],[Round]]=4),IF(Games[[#This Row],[Result]]&gt;0.5,1,0),0)</f>
        <v>0</v>
      </c>
      <c r="AL193" s="2">
        <f>IF(AND(Games[[#This Row],[Type]]="P",Games[[#This Row],[Round]]=4),IF(Games[[#This Row],[Result]]&lt;0.5,1,0),0)</f>
        <v>0</v>
      </c>
    </row>
    <row r="194" spans="1:38" x14ac:dyDescent="0.35">
      <c r="A194" s="10">
        <v>37804</v>
      </c>
      <c r="B194" s="2">
        <v>2003</v>
      </c>
      <c r="C194" s="2">
        <f>COUNTIFS(Games[Team],Games[[#This Row],[Team]],Games[Season],Games[[#This Row],[Season]],Games[Date],"&lt;=" &amp; Games[[#This Row],[Date]])</f>
        <v>12</v>
      </c>
      <c r="D194" s="2" t="s">
        <v>23</v>
      </c>
      <c r="E194" s="2" t="s">
        <v>29</v>
      </c>
      <c r="F194" s="1" t="s">
        <v>74</v>
      </c>
      <c r="G194" s="1" t="s">
        <v>45</v>
      </c>
      <c r="H194" s="1" t="s">
        <v>16</v>
      </c>
      <c r="I194" s="2" cm="1">
        <f t="array" ref="I194">IFERROR(
    Games[[#This Row],[Date]]
    - LOOKUP(
        2,
        1/((Games[Team]=Games[[#This Row],[Team]]) * (Games[Date] &lt; Games[[#This Row],[Date]])),
        Games[Date]
    )
    - 1,
Games[[#This Row],[Date]]-$A$2)</f>
        <v>2</v>
      </c>
      <c r="J194" s="2" cm="1">
        <f t="array" ref="J194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94" s="2">
        <f>Games[[#This Row],[DaysOff]]-Games[[#This Row],[OppDaysOff]]</f>
        <v>-1</v>
      </c>
      <c r="L194" s="2">
        <f>Games[[#This Row],[OppDaysOff]]-Games[[#This Row],[DaysOff]]</f>
        <v>1</v>
      </c>
      <c r="M194" s="1">
        <f>MAX(-16, MIN(16, Games[[#This Row],[RestDiff]]*8))</f>
        <v>-8</v>
      </c>
      <c r="N194" s="1">
        <f>MAX(-16, MIN(16, Games[[#This Row],[OppRestDiff]]*8))</f>
        <v>8</v>
      </c>
      <c r="O194" s="4" cm="1">
        <f t="array" ref="O19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1373.2839628985516</v>
      </c>
      <c r="P194" s="4" cm="1">
        <f t="array" ref="P19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1499.3437702857104</v>
      </c>
      <c r="Q194" s="4">
        <f>1/(1+10^(((Games[[#This Row],[OppPreGmRate]]+IF(Games[[#This Row],[HomeAway]]="A",HCA,0)+Games[[#This Row],[OppRestAdj]])-(Games[[#This Row],[PreGmRate]]+IF(Games[[#This Row],[HomeAway]]="H",HCA,0)+Games[[#This Row],[RestAdj]]))/400))</f>
        <v>0.21394549364657417</v>
      </c>
      <c r="R194" s="1">
        <v>62</v>
      </c>
      <c r="S194" s="1">
        <v>83</v>
      </c>
      <c r="T194" s="1">
        <v>0</v>
      </c>
      <c r="U194" s="1">
        <f>Games[[#This Row],[PointsFor]]-Games[[#This Row],[PointsAgainst]]</f>
        <v>-21</v>
      </c>
      <c r="V194" s="1">
        <f>IF(Games[[#This Row],[MOV]]&gt;0,1,IF(Games[[#This Row],[MOV]]=0,0.5,0))</f>
        <v>0</v>
      </c>
      <c r="W194" s="4">
        <f>((ABS(Games[[#This Row],[MOV]])+5)^0.6)/(12+0.01*(ABS(Games[[#This Row],[PreGmRate]]-Games[[#This Row],[OppPreGmRate]])))*IF(Games[[#This Row],[OT]]=1,0.9,1)</f>
        <v>0.53262420246078268</v>
      </c>
      <c r="X194" s="7" cm="1">
        <f t="array" ref="X19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4" s="9">
        <f>MAX(kmin, kmax - 0.15 * MIN(Games[[#This Row],[GamesPlayed]], 82))</f>
        <v>74.2</v>
      </c>
      <c r="Z194" s="4">
        <f>Games[[#This Row],[K]]*Games[[#This Row],[POMult]]</f>
        <v>74.2</v>
      </c>
      <c r="AA194" s="4">
        <f>(Games[[#This Row],[Keff]]*Games[[#This Row],[MOVMult]])*(Games[[#This Row],[Result]]-Games[[#This Row],[ExpectedWin%]])</f>
        <v>-8.4552790559300082</v>
      </c>
      <c r="AB194" s="4">
        <f>Games[[#This Row],[PreGmRate]]+Games[[#This Row],[RatingChange]]</f>
        <v>1364.8286838426216</v>
      </c>
      <c r="AC194" s="2">
        <f>IF(Games[[#This Row],[Type]]="R",IF(Games[[#This Row],[Result]]&gt;0.5,1,0),0)</f>
        <v>0</v>
      </c>
      <c r="AD194" s="2">
        <f>IF(Games[[#This Row],[Type]]="R",IF(Games[[#This Row],[Result]]&lt;0.5,1,0),0)</f>
        <v>1</v>
      </c>
      <c r="AE194" s="2">
        <f>IF(AND(Games[[#This Row],[Type]]="P",Games[[#This Row],[Round]]=1),IF(Games[[#This Row],[Result]]&gt;0.5,1,0),0)</f>
        <v>0</v>
      </c>
      <c r="AF194" s="2">
        <f>IF(AND(Games[[#This Row],[Type]]="P",Games[[#This Row],[Round]]=1),IF(Games[[#This Row],[Result]]&lt;0.5,1,0),0)</f>
        <v>0</v>
      </c>
      <c r="AG194" s="2">
        <f>IF(AND(Games[[#This Row],[Type]]="P",Games[[#This Row],[Round]]=2),IF(Games[[#This Row],[Result]]&gt;0.5,1,0),0)</f>
        <v>0</v>
      </c>
      <c r="AH194" s="2">
        <f>IF(AND(Games[[#This Row],[Type]]="P",Games[[#This Row],[Round]]=2),IF(Games[[#This Row],[Result]]&lt;0.5,1,0),0)</f>
        <v>0</v>
      </c>
      <c r="AI194" s="2">
        <f>IF(AND(Games[[#This Row],[Type]]="P",Games[[#This Row],[Round]]=3),IF(Games[[#This Row],[Result]]&gt;0.5,1,0),0)</f>
        <v>0</v>
      </c>
      <c r="AJ194" s="2">
        <f>IF(AND(Games[[#This Row],[Type]]="P",Games[[#This Row],[Round]]=3),IF(Games[[#This Row],[Result]]&lt;0.5,1,0),0)</f>
        <v>0</v>
      </c>
      <c r="AK194" s="2">
        <f>IF(AND(Games[[#This Row],[Type]]="P",Games[[#This Row],[Round]]=4),IF(Games[[#This Row],[Result]]&gt;0.5,1,0),0)</f>
        <v>0</v>
      </c>
      <c r="AL194" s="2">
        <f>IF(AND(Games[[#This Row],[Type]]="P",Games[[#This Row],[Round]]=4),IF(Games[[#This Row],[Result]]&lt;0.5,1,0),0)</f>
        <v>0</v>
      </c>
    </row>
    <row r="195" spans="1:38" x14ac:dyDescent="0.35">
      <c r="A195" s="10">
        <v>37804</v>
      </c>
      <c r="B195" s="2">
        <v>2003</v>
      </c>
      <c r="C195" s="2">
        <f>COUNTIFS(Games[Team],Games[[#This Row],[Team]],Games[Season],Games[[#This Row],[Season]],Games[Date],"&lt;=" &amp; Games[[#This Row],[Date]])</f>
        <v>15</v>
      </c>
      <c r="D195" s="2" t="s">
        <v>23</v>
      </c>
      <c r="E195" s="2" t="s">
        <v>29</v>
      </c>
      <c r="F195" s="1" t="s">
        <v>45</v>
      </c>
      <c r="G195" s="1" t="s">
        <v>74</v>
      </c>
      <c r="H195" s="1" t="s">
        <v>15</v>
      </c>
      <c r="I195" s="2" cm="1">
        <f t="array" ref="I195">IFERROR(
    Games[[#This Row],[Date]]
    - LOOKUP(
        2,
        1/((Games[Team]=Games[[#This Row],[Team]]) * (Games[Date] &lt; Games[[#This Row],[Date]])),
        Games[Date]
    )
    - 1,
Games[[#This Row],[Date]]-$A$2)</f>
        <v>3</v>
      </c>
      <c r="J195" s="2" cm="1">
        <f t="array" ref="J19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95" s="2">
        <f>Games[[#This Row],[DaysOff]]-Games[[#This Row],[OppDaysOff]]</f>
        <v>1</v>
      </c>
      <c r="L195" s="2">
        <f>Games[[#This Row],[OppDaysOff]]-Games[[#This Row],[DaysOff]]</f>
        <v>-1</v>
      </c>
      <c r="M195" s="1">
        <f>MAX(-16, MIN(16, Games[[#This Row],[RestDiff]]*8))</f>
        <v>8</v>
      </c>
      <c r="N195" s="1">
        <f>MAX(-16, MIN(16, Games[[#This Row],[OppRestDiff]]*8))</f>
        <v>-8</v>
      </c>
      <c r="O195" s="4" cm="1">
        <f t="array" ref="O19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1499.3437702857104</v>
      </c>
      <c r="P195" s="4" cm="1">
        <f t="array" ref="P19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1373.2839628985516</v>
      </c>
      <c r="Q195" s="4">
        <f>1/(1+10^(((Games[[#This Row],[OppPreGmRate]]+IF(Games[[#This Row],[HomeAway]]="A",HCA,0)+Games[[#This Row],[OppRestAdj]])-(Games[[#This Row],[PreGmRate]]+IF(Games[[#This Row],[HomeAway]]="H",HCA,0)+Games[[#This Row],[RestAdj]]))/400))</f>
        <v>0.78605450635342577</v>
      </c>
      <c r="R195" s="1">
        <v>83</v>
      </c>
      <c r="S195" s="1">
        <v>62</v>
      </c>
      <c r="T195" s="1">
        <v>0</v>
      </c>
      <c r="U195" s="1">
        <f>Games[[#This Row],[PointsFor]]-Games[[#This Row],[PointsAgainst]]</f>
        <v>21</v>
      </c>
      <c r="V195" s="1">
        <f>IF(Games[[#This Row],[MOV]]&gt;0,1,IF(Games[[#This Row],[MOV]]=0,0.5,0))</f>
        <v>1</v>
      </c>
      <c r="W195" s="4">
        <f>((ABS(Games[[#This Row],[MOV]])+5)^0.6)/(12+0.01*(ABS(Games[[#This Row],[PreGmRate]]-Games[[#This Row],[OppPreGmRate]])))*IF(Games[[#This Row],[OT]]=1,0.9,1)</f>
        <v>0.53262420246078268</v>
      </c>
      <c r="X195" s="7" cm="1">
        <f t="array" ref="X19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5" s="9">
        <f>MAX(kmin, kmax - 0.15 * MIN(Games[[#This Row],[GamesPlayed]], 82))</f>
        <v>73.75</v>
      </c>
      <c r="Z195" s="4">
        <f>Games[[#This Row],[K]]*Games[[#This Row],[POMult]]</f>
        <v>73.75</v>
      </c>
      <c r="AA195" s="4">
        <f>(Games[[#This Row],[Keff]]*Games[[#This Row],[MOVMult]])*(Games[[#This Row],[Result]]-Games[[#This Row],[ExpectedWin%]])</f>
        <v>8.4040004093643965</v>
      </c>
      <c r="AB195" s="4">
        <f>Games[[#This Row],[PreGmRate]]+Games[[#This Row],[RatingChange]]</f>
        <v>1507.7477706950749</v>
      </c>
      <c r="AC195" s="2">
        <f>IF(Games[[#This Row],[Type]]="R",IF(Games[[#This Row],[Result]]&gt;0.5,1,0),0)</f>
        <v>1</v>
      </c>
      <c r="AD195" s="2">
        <f>IF(Games[[#This Row],[Type]]="R",IF(Games[[#This Row],[Result]]&lt;0.5,1,0),0)</f>
        <v>0</v>
      </c>
      <c r="AE195" s="2">
        <f>IF(AND(Games[[#This Row],[Type]]="P",Games[[#This Row],[Round]]=1),IF(Games[[#This Row],[Result]]&gt;0.5,1,0),0)</f>
        <v>0</v>
      </c>
      <c r="AF195" s="2">
        <f>IF(AND(Games[[#This Row],[Type]]="P",Games[[#This Row],[Round]]=1),IF(Games[[#This Row],[Result]]&lt;0.5,1,0),0)</f>
        <v>0</v>
      </c>
      <c r="AG195" s="2">
        <f>IF(AND(Games[[#This Row],[Type]]="P",Games[[#This Row],[Round]]=2),IF(Games[[#This Row],[Result]]&gt;0.5,1,0),0)</f>
        <v>0</v>
      </c>
      <c r="AH195" s="2">
        <f>IF(AND(Games[[#This Row],[Type]]="P",Games[[#This Row],[Round]]=2),IF(Games[[#This Row],[Result]]&lt;0.5,1,0),0)</f>
        <v>0</v>
      </c>
      <c r="AI195" s="2">
        <f>IF(AND(Games[[#This Row],[Type]]="P",Games[[#This Row],[Round]]=3),IF(Games[[#This Row],[Result]]&gt;0.5,1,0),0)</f>
        <v>0</v>
      </c>
      <c r="AJ195" s="2">
        <f>IF(AND(Games[[#This Row],[Type]]="P",Games[[#This Row],[Round]]=3),IF(Games[[#This Row],[Result]]&lt;0.5,1,0),0)</f>
        <v>0</v>
      </c>
      <c r="AK195" s="2">
        <f>IF(AND(Games[[#This Row],[Type]]="P",Games[[#This Row],[Round]]=4),IF(Games[[#This Row],[Result]]&gt;0.5,1,0),0)</f>
        <v>0</v>
      </c>
      <c r="AL195" s="2">
        <f>IF(AND(Games[[#This Row],[Type]]="P",Games[[#This Row],[Round]]=4),IF(Games[[#This Row],[Result]]&lt;0.5,1,0),0)</f>
        <v>0</v>
      </c>
    </row>
    <row r="196" spans="1:38" x14ac:dyDescent="0.35">
      <c r="A196" s="10">
        <v>37805</v>
      </c>
      <c r="B196" s="2">
        <v>2003</v>
      </c>
      <c r="C196" s="2">
        <f>COUNTIFS(Games[Team],Games[[#This Row],[Team]],Games[Season],Games[[#This Row],[Season]],Games[Date],"&lt;=" &amp; Games[[#This Row],[Date]])</f>
        <v>15</v>
      </c>
      <c r="D196" s="2" t="s">
        <v>23</v>
      </c>
      <c r="E196" s="2" t="s">
        <v>29</v>
      </c>
      <c r="F196" s="1" t="s">
        <v>64</v>
      </c>
      <c r="G196" s="1" t="s">
        <v>76</v>
      </c>
      <c r="H196" s="1" t="s">
        <v>16</v>
      </c>
      <c r="I196" s="2" cm="1">
        <f t="array" ref="I196">IFERROR(
    Games[[#This Row],[Date]]
    - LOOKUP(
        2,
        1/((Games[Team]=Games[[#This Row],[Team]]) * (Games[Date] &lt; Games[[#This Row],[Date]])),
        Games[Date]
    )
    - 1,
Games[[#This Row],[Date]]-$A$2)</f>
        <v>2</v>
      </c>
      <c r="J196" s="2" cm="1">
        <f t="array" ref="J19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96" s="2">
        <f>Games[[#This Row],[DaysOff]]-Games[[#This Row],[OppDaysOff]]</f>
        <v>1</v>
      </c>
      <c r="L196" s="2">
        <f>Games[[#This Row],[OppDaysOff]]-Games[[#This Row],[DaysOff]]</f>
        <v>-1</v>
      </c>
      <c r="M196" s="1">
        <f>MAX(-16, MIN(16, Games[[#This Row],[RestDiff]]*8))</f>
        <v>8</v>
      </c>
      <c r="N196" s="1">
        <f>MAX(-16, MIN(16, Games[[#This Row],[OppRestDiff]]*8))</f>
        <v>-8</v>
      </c>
      <c r="O196" s="4" cm="1">
        <f t="array" ref="O19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1510.9991846885825</v>
      </c>
      <c r="P196" s="4" cm="1">
        <f t="array" ref="P19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1563.1052470079658</v>
      </c>
      <c r="Q196" s="4">
        <f>1/(1+10^(((Games[[#This Row],[OppPreGmRate]]+IF(Games[[#This Row],[HomeAway]]="A",HCA,0)+Games[[#This Row],[OppRestAdj]])-(Games[[#This Row],[PreGmRate]]+IF(Games[[#This Row],[HomeAway]]="H",HCA,0)+Games[[#This Row],[RestAdj]]))/400))</f>
        <v>0.33372480566369322</v>
      </c>
      <c r="R196" s="1">
        <v>92</v>
      </c>
      <c r="S196" s="1">
        <v>79</v>
      </c>
      <c r="T196" s="1">
        <v>0</v>
      </c>
      <c r="U196" s="1">
        <f>Games[[#This Row],[PointsFor]]-Games[[#This Row],[PointsAgainst]]</f>
        <v>13</v>
      </c>
      <c r="V196" s="1">
        <f>IF(Games[[#This Row],[MOV]]&gt;0,1,IF(Games[[#This Row],[MOV]]=0,0.5,0))</f>
        <v>1</v>
      </c>
      <c r="W196" s="4">
        <f>((ABS(Games[[#This Row],[MOV]])+5)^0.6)/(12+0.01*(ABS(Games[[#This Row],[PreGmRate]]-Games[[#This Row],[OppPreGmRate]])))*IF(Games[[#This Row],[OT]]=1,0.9,1)</f>
        <v>0.45239977971806367</v>
      </c>
      <c r="X196" s="7" cm="1">
        <f t="array" ref="X19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6" s="9">
        <f>MAX(kmin, kmax - 0.15 * MIN(Games[[#This Row],[GamesPlayed]], 82))</f>
        <v>73.75</v>
      </c>
      <c r="Z196" s="4">
        <f>Games[[#This Row],[K]]*Games[[#This Row],[POMult]]</f>
        <v>73.75</v>
      </c>
      <c r="AA196" s="4">
        <f>(Games[[#This Row],[Keff]]*Games[[#This Row],[MOVMult]])*(Games[[#This Row],[Result]]-Games[[#This Row],[ExpectedWin%]])</f>
        <v>22.229927897264947</v>
      </c>
      <c r="AB196" s="4">
        <f>Games[[#This Row],[PreGmRate]]+Games[[#This Row],[RatingChange]]</f>
        <v>1533.2291125858476</v>
      </c>
      <c r="AC196" s="2">
        <f>IF(Games[[#This Row],[Type]]="R",IF(Games[[#This Row],[Result]]&gt;0.5,1,0),0)</f>
        <v>1</v>
      </c>
      <c r="AD196" s="2">
        <f>IF(Games[[#This Row],[Type]]="R",IF(Games[[#This Row],[Result]]&lt;0.5,1,0),0)</f>
        <v>0</v>
      </c>
      <c r="AE196" s="2">
        <f>IF(AND(Games[[#This Row],[Type]]="P",Games[[#This Row],[Round]]=1),IF(Games[[#This Row],[Result]]&gt;0.5,1,0),0)</f>
        <v>0</v>
      </c>
      <c r="AF196" s="2">
        <f>IF(AND(Games[[#This Row],[Type]]="P",Games[[#This Row],[Round]]=1),IF(Games[[#This Row],[Result]]&lt;0.5,1,0),0)</f>
        <v>0</v>
      </c>
      <c r="AG196" s="2">
        <f>IF(AND(Games[[#This Row],[Type]]="P",Games[[#This Row],[Round]]=2),IF(Games[[#This Row],[Result]]&gt;0.5,1,0),0)</f>
        <v>0</v>
      </c>
      <c r="AH196" s="2">
        <f>IF(AND(Games[[#This Row],[Type]]="P",Games[[#This Row],[Round]]=2),IF(Games[[#This Row],[Result]]&lt;0.5,1,0),0)</f>
        <v>0</v>
      </c>
      <c r="AI196" s="2">
        <f>IF(AND(Games[[#This Row],[Type]]="P",Games[[#This Row],[Round]]=3),IF(Games[[#This Row],[Result]]&gt;0.5,1,0),0)</f>
        <v>0</v>
      </c>
      <c r="AJ196" s="2">
        <f>IF(AND(Games[[#This Row],[Type]]="P",Games[[#This Row],[Round]]=3),IF(Games[[#This Row],[Result]]&lt;0.5,1,0),0)</f>
        <v>0</v>
      </c>
      <c r="AK196" s="2">
        <f>IF(AND(Games[[#This Row],[Type]]="P",Games[[#This Row],[Round]]=4),IF(Games[[#This Row],[Result]]&gt;0.5,1,0),0)</f>
        <v>0</v>
      </c>
      <c r="AL196" s="2">
        <f>IF(AND(Games[[#This Row],[Type]]="P",Games[[#This Row],[Round]]=4),IF(Games[[#This Row],[Result]]&lt;0.5,1,0),0)</f>
        <v>0</v>
      </c>
    </row>
    <row r="197" spans="1:38" x14ac:dyDescent="0.35">
      <c r="A197" s="10">
        <v>37805</v>
      </c>
      <c r="B197" s="2">
        <v>2003</v>
      </c>
      <c r="C197" s="2">
        <f>COUNTIFS(Games[Team],Games[[#This Row],[Team]],Games[Season],Games[[#This Row],[Season]],Games[Date],"&lt;=" &amp; Games[[#This Row],[Date]])</f>
        <v>12</v>
      </c>
      <c r="D197" s="2" t="s">
        <v>23</v>
      </c>
      <c r="E197" s="2" t="s">
        <v>29</v>
      </c>
      <c r="F197" s="1" t="s">
        <v>76</v>
      </c>
      <c r="G197" s="1" t="s">
        <v>64</v>
      </c>
      <c r="H197" s="1" t="s">
        <v>15</v>
      </c>
      <c r="I197" s="2" cm="1">
        <f t="array" ref="I197">IFERROR(
    Games[[#This Row],[Date]]
    - LOOKUP(
        2,
        1/((Games[Team]=Games[[#This Row],[Team]]) * (Games[Date] &lt; Games[[#This Row],[Date]])),
        Games[Date]
    )
    - 1,
Games[[#This Row],[Date]]-$A$2)</f>
        <v>1</v>
      </c>
      <c r="J197" s="2" cm="1">
        <f t="array" ref="J19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97" s="2">
        <f>Games[[#This Row],[DaysOff]]-Games[[#This Row],[OppDaysOff]]</f>
        <v>-1</v>
      </c>
      <c r="L197" s="2">
        <f>Games[[#This Row],[OppDaysOff]]-Games[[#This Row],[DaysOff]]</f>
        <v>1</v>
      </c>
      <c r="M197" s="1">
        <f>MAX(-16, MIN(16, Games[[#This Row],[RestDiff]]*8))</f>
        <v>-8</v>
      </c>
      <c r="N197" s="1">
        <f>MAX(-16, MIN(16, Games[[#This Row],[OppRestDiff]]*8))</f>
        <v>8</v>
      </c>
      <c r="O197" s="4" cm="1">
        <f t="array" ref="O19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1563.1052470079658</v>
      </c>
      <c r="P197" s="4" cm="1">
        <f t="array" ref="P19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1510.9991846885825</v>
      </c>
      <c r="Q197" s="4">
        <f>1/(1+10^(((Games[[#This Row],[OppPreGmRate]]+IF(Games[[#This Row],[HomeAway]]="A",HCA,0)+Games[[#This Row],[OppRestAdj]])-(Games[[#This Row],[PreGmRate]]+IF(Games[[#This Row],[HomeAway]]="H",HCA,0)+Games[[#This Row],[RestAdj]]))/400))</f>
        <v>0.66627519433630678</v>
      </c>
      <c r="R197" s="1">
        <v>79</v>
      </c>
      <c r="S197" s="1">
        <v>92</v>
      </c>
      <c r="T197" s="1">
        <v>0</v>
      </c>
      <c r="U197" s="1">
        <f>Games[[#This Row],[PointsFor]]-Games[[#This Row],[PointsAgainst]]</f>
        <v>-13</v>
      </c>
      <c r="V197" s="1">
        <f>IF(Games[[#This Row],[MOV]]&gt;0,1,IF(Games[[#This Row],[MOV]]=0,0.5,0))</f>
        <v>0</v>
      </c>
      <c r="W197" s="4">
        <f>((ABS(Games[[#This Row],[MOV]])+5)^0.6)/(12+0.01*(ABS(Games[[#This Row],[PreGmRate]]-Games[[#This Row],[OppPreGmRate]])))*IF(Games[[#This Row],[OT]]=1,0.9,1)</f>
        <v>0.45239977971806367</v>
      </c>
      <c r="X197" s="7" cm="1">
        <f t="array" ref="X19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7" s="9">
        <f>MAX(kmin, kmax - 0.15 * MIN(Games[[#This Row],[GamesPlayed]], 82))</f>
        <v>74.2</v>
      </c>
      <c r="Z197" s="4">
        <f>Games[[#This Row],[K]]*Games[[#This Row],[POMult]]</f>
        <v>74.2</v>
      </c>
      <c r="AA197" s="4">
        <f>(Games[[#This Row],[Keff]]*Games[[#This Row],[MOVMult]])*(Games[[#This Row],[Result]]-Games[[#This Row],[ExpectedWin%]])</f>
        <v>-22.365568135282157</v>
      </c>
      <c r="AB197" s="4">
        <f>Games[[#This Row],[PreGmRate]]+Games[[#This Row],[RatingChange]]</f>
        <v>1540.7396788726837</v>
      </c>
      <c r="AC197" s="2">
        <f>IF(Games[[#This Row],[Type]]="R",IF(Games[[#This Row],[Result]]&gt;0.5,1,0),0)</f>
        <v>0</v>
      </c>
      <c r="AD197" s="2">
        <f>IF(Games[[#This Row],[Type]]="R",IF(Games[[#This Row],[Result]]&lt;0.5,1,0),0)</f>
        <v>1</v>
      </c>
      <c r="AE197" s="2">
        <f>IF(AND(Games[[#This Row],[Type]]="P",Games[[#This Row],[Round]]=1),IF(Games[[#This Row],[Result]]&gt;0.5,1,0),0)</f>
        <v>0</v>
      </c>
      <c r="AF197" s="2">
        <f>IF(AND(Games[[#This Row],[Type]]="P",Games[[#This Row],[Round]]=1),IF(Games[[#This Row],[Result]]&lt;0.5,1,0),0)</f>
        <v>0</v>
      </c>
      <c r="AG197" s="2">
        <f>IF(AND(Games[[#This Row],[Type]]="P",Games[[#This Row],[Round]]=2),IF(Games[[#This Row],[Result]]&gt;0.5,1,0),0)</f>
        <v>0</v>
      </c>
      <c r="AH197" s="2">
        <f>IF(AND(Games[[#This Row],[Type]]="P",Games[[#This Row],[Round]]=2),IF(Games[[#This Row],[Result]]&lt;0.5,1,0),0)</f>
        <v>0</v>
      </c>
      <c r="AI197" s="2">
        <f>IF(AND(Games[[#This Row],[Type]]="P",Games[[#This Row],[Round]]=3),IF(Games[[#This Row],[Result]]&gt;0.5,1,0),0)</f>
        <v>0</v>
      </c>
      <c r="AJ197" s="2">
        <f>IF(AND(Games[[#This Row],[Type]]="P",Games[[#This Row],[Round]]=3),IF(Games[[#This Row],[Result]]&lt;0.5,1,0),0)</f>
        <v>0</v>
      </c>
      <c r="AK197" s="2">
        <f>IF(AND(Games[[#This Row],[Type]]="P",Games[[#This Row],[Round]]=4),IF(Games[[#This Row],[Result]]&gt;0.5,1,0),0)</f>
        <v>0</v>
      </c>
      <c r="AL197" s="2">
        <f>IF(AND(Games[[#This Row],[Type]]="P",Games[[#This Row],[Round]]=4),IF(Games[[#This Row],[Result]]&lt;0.5,1,0),0)</f>
        <v>0</v>
      </c>
    </row>
    <row r="198" spans="1:38" x14ac:dyDescent="0.35">
      <c r="A198" s="10">
        <v>37805</v>
      </c>
      <c r="B198" s="2">
        <v>2003</v>
      </c>
      <c r="C198" s="2">
        <f>COUNTIFS(Games[Team],Games[[#This Row],[Team]],Games[Season],Games[[#This Row],[Season]],Games[Date],"&lt;=" &amp; Games[[#This Row],[Date]])</f>
        <v>13</v>
      </c>
      <c r="D198" s="2" t="s">
        <v>23</v>
      </c>
      <c r="E198" s="2" t="s">
        <v>29</v>
      </c>
      <c r="F198" s="1" t="s">
        <v>74</v>
      </c>
      <c r="G198" s="1" t="s">
        <v>82</v>
      </c>
      <c r="H198" s="1" t="s">
        <v>16</v>
      </c>
      <c r="I198" s="2" cm="1">
        <f t="array" ref="I198">IFERROR(
    Games[[#This Row],[Date]]
    - LOOKUP(
        2,
        1/((Games[Team]=Games[[#This Row],[Team]]) * (Games[Date] &lt; Games[[#This Row],[Date]])),
        Games[Date]
    )
    - 1,
Games[[#This Row],[Date]]-$A$2)</f>
        <v>0</v>
      </c>
      <c r="J198" s="2" cm="1">
        <f t="array" ref="J19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98" s="2">
        <f>Games[[#This Row],[DaysOff]]-Games[[#This Row],[OppDaysOff]]</f>
        <v>-2</v>
      </c>
      <c r="L198" s="2">
        <f>Games[[#This Row],[OppDaysOff]]-Games[[#This Row],[DaysOff]]</f>
        <v>2</v>
      </c>
      <c r="M198" s="1">
        <f>MAX(-16, MIN(16, Games[[#This Row],[RestDiff]]*8))</f>
        <v>-16</v>
      </c>
      <c r="N198" s="1">
        <f>MAX(-16, MIN(16, Games[[#This Row],[OppRestDiff]]*8))</f>
        <v>16</v>
      </c>
      <c r="O198" s="4" cm="1">
        <f t="array" ref="O19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1364.8286838426216</v>
      </c>
      <c r="P198" s="4" cm="1">
        <f t="array" ref="P19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1560.7540908789333</v>
      </c>
      <c r="Q198" s="4">
        <f>1/(1+10^(((Games[[#This Row],[OppPreGmRate]]+IF(Games[[#This Row],[HomeAway]]="A",HCA,0)+Games[[#This Row],[OppRestAdj]])-(Games[[#This Row],[PreGmRate]]+IF(Games[[#This Row],[HomeAway]]="H",HCA,0)+Games[[#This Row],[RestAdj]]))/400))</f>
        <v>0.14238910831595808</v>
      </c>
      <c r="R198" s="1">
        <v>72</v>
      </c>
      <c r="S198" s="1">
        <v>76</v>
      </c>
      <c r="T198" s="1">
        <v>0</v>
      </c>
      <c r="U198" s="1">
        <f>Games[[#This Row],[PointsFor]]-Games[[#This Row],[PointsAgainst]]</f>
        <v>-4</v>
      </c>
      <c r="V198" s="1">
        <f>IF(Games[[#This Row],[MOV]]&gt;0,1,IF(Games[[#This Row],[MOV]]=0,0.5,0))</f>
        <v>0</v>
      </c>
      <c r="W198" s="4">
        <f>((ABS(Games[[#This Row],[MOV]])+5)^0.6)/(12+0.01*(ABS(Games[[#This Row],[PreGmRate]]-Games[[#This Row],[OppPreGmRate]])))*IF(Games[[#This Row],[OT]]=1,0.9,1)</f>
        <v>0.26772152723983894</v>
      </c>
      <c r="X198" s="7" cm="1">
        <f t="array" ref="X19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8" s="9">
        <f>MAX(kmin, kmax - 0.15 * MIN(Games[[#This Row],[GamesPlayed]], 82))</f>
        <v>74.05</v>
      </c>
      <c r="Z198" s="4">
        <f>Games[[#This Row],[K]]*Games[[#This Row],[POMult]]</f>
        <v>74.05</v>
      </c>
      <c r="AA198" s="4">
        <f>(Games[[#This Row],[Keff]]*Games[[#This Row],[MOVMult]])*(Games[[#This Row],[Result]]-Games[[#This Row],[ExpectedWin%]])</f>
        <v>-2.8228326174864025</v>
      </c>
      <c r="AB198" s="4">
        <f>Games[[#This Row],[PreGmRate]]+Games[[#This Row],[RatingChange]]</f>
        <v>1362.0058512251351</v>
      </c>
      <c r="AC198" s="2">
        <f>IF(Games[[#This Row],[Type]]="R",IF(Games[[#This Row],[Result]]&gt;0.5,1,0),0)</f>
        <v>0</v>
      </c>
      <c r="AD198" s="2">
        <f>IF(Games[[#This Row],[Type]]="R",IF(Games[[#This Row],[Result]]&lt;0.5,1,0),0)</f>
        <v>1</v>
      </c>
      <c r="AE198" s="2">
        <f>IF(AND(Games[[#This Row],[Type]]="P",Games[[#This Row],[Round]]=1),IF(Games[[#This Row],[Result]]&gt;0.5,1,0),0)</f>
        <v>0</v>
      </c>
      <c r="AF198" s="2">
        <f>IF(AND(Games[[#This Row],[Type]]="P",Games[[#This Row],[Round]]=1),IF(Games[[#This Row],[Result]]&lt;0.5,1,0),0)</f>
        <v>0</v>
      </c>
      <c r="AG198" s="2">
        <f>IF(AND(Games[[#This Row],[Type]]="P",Games[[#This Row],[Round]]=2),IF(Games[[#This Row],[Result]]&gt;0.5,1,0),0)</f>
        <v>0</v>
      </c>
      <c r="AH198" s="2">
        <f>IF(AND(Games[[#This Row],[Type]]="P",Games[[#This Row],[Round]]=2),IF(Games[[#This Row],[Result]]&lt;0.5,1,0),0)</f>
        <v>0</v>
      </c>
      <c r="AI198" s="2">
        <f>IF(AND(Games[[#This Row],[Type]]="P",Games[[#This Row],[Round]]=3),IF(Games[[#This Row],[Result]]&gt;0.5,1,0),0)</f>
        <v>0</v>
      </c>
      <c r="AJ198" s="2">
        <f>IF(AND(Games[[#This Row],[Type]]="P",Games[[#This Row],[Round]]=3),IF(Games[[#This Row],[Result]]&lt;0.5,1,0),0)</f>
        <v>0</v>
      </c>
      <c r="AK198" s="2">
        <f>IF(AND(Games[[#This Row],[Type]]="P",Games[[#This Row],[Round]]=4),IF(Games[[#This Row],[Result]]&gt;0.5,1,0),0)</f>
        <v>0</v>
      </c>
      <c r="AL198" s="2">
        <f>IF(AND(Games[[#This Row],[Type]]="P",Games[[#This Row],[Round]]=4),IF(Games[[#This Row],[Result]]&lt;0.5,1,0),0)</f>
        <v>0</v>
      </c>
    </row>
    <row r="199" spans="1:38" x14ac:dyDescent="0.35">
      <c r="A199" s="10">
        <v>37805</v>
      </c>
      <c r="B199" s="2">
        <v>2003</v>
      </c>
      <c r="C199" s="2">
        <f>COUNTIFS(Games[Team],Games[[#This Row],[Team]],Games[Season],Games[[#This Row],[Season]],Games[Date],"&lt;=" &amp; Games[[#This Row],[Date]])</f>
        <v>15</v>
      </c>
      <c r="D199" s="2" t="s">
        <v>23</v>
      </c>
      <c r="E199" s="2" t="s">
        <v>29</v>
      </c>
      <c r="F199" s="1" t="s">
        <v>82</v>
      </c>
      <c r="G199" s="1" t="s">
        <v>74</v>
      </c>
      <c r="H199" s="1" t="s">
        <v>15</v>
      </c>
      <c r="I199" s="2" cm="1">
        <f t="array" ref="I199">IFERROR(
    Games[[#This Row],[Date]]
    - LOOKUP(
        2,
        1/((Games[Team]=Games[[#This Row],[Team]]) * (Games[Date] &lt; Games[[#This Row],[Date]])),
        Games[Date]
    )
    - 1,
Games[[#This Row],[Date]]-$A$2)</f>
        <v>2</v>
      </c>
      <c r="J199" s="2" cm="1">
        <f t="array" ref="J199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99" s="2">
        <f>Games[[#This Row],[DaysOff]]-Games[[#This Row],[OppDaysOff]]</f>
        <v>2</v>
      </c>
      <c r="L199" s="2">
        <f>Games[[#This Row],[OppDaysOff]]-Games[[#This Row],[DaysOff]]</f>
        <v>-2</v>
      </c>
      <c r="M199" s="1">
        <f>MAX(-16, MIN(16, Games[[#This Row],[RestDiff]]*8))</f>
        <v>16</v>
      </c>
      <c r="N199" s="1">
        <f>MAX(-16, MIN(16, Games[[#This Row],[OppRestDiff]]*8))</f>
        <v>-16</v>
      </c>
      <c r="O199" s="4" cm="1">
        <f t="array" ref="O19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1560.7540908789333</v>
      </c>
      <c r="P199" s="4" cm="1">
        <f t="array" ref="P19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1364.8286838426216</v>
      </c>
      <c r="Q199" s="4">
        <f>1/(1+10^(((Games[[#This Row],[OppPreGmRate]]+IF(Games[[#This Row],[HomeAway]]="A",HCA,0)+Games[[#This Row],[OppRestAdj]])-(Games[[#This Row],[PreGmRate]]+IF(Games[[#This Row],[HomeAway]]="H",HCA,0)+Games[[#This Row],[RestAdj]]))/400))</f>
        <v>0.85761089168404181</v>
      </c>
      <c r="R199" s="1">
        <v>76</v>
      </c>
      <c r="S199" s="1">
        <v>72</v>
      </c>
      <c r="T199" s="1">
        <v>0</v>
      </c>
      <c r="U199" s="1">
        <f>Games[[#This Row],[PointsFor]]-Games[[#This Row],[PointsAgainst]]</f>
        <v>4</v>
      </c>
      <c r="V199" s="1">
        <f>IF(Games[[#This Row],[MOV]]&gt;0,1,IF(Games[[#This Row],[MOV]]=0,0.5,0))</f>
        <v>1</v>
      </c>
      <c r="W199" s="4">
        <f>((ABS(Games[[#This Row],[MOV]])+5)^0.6)/(12+0.01*(ABS(Games[[#This Row],[PreGmRate]]-Games[[#This Row],[OppPreGmRate]])))*IF(Games[[#This Row],[OT]]=1,0.9,1)</f>
        <v>0.26772152723983894</v>
      </c>
      <c r="X199" s="7" cm="1">
        <f t="array" ref="X19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9" s="9">
        <f>MAX(kmin, kmax - 0.15 * MIN(Games[[#This Row],[GamesPlayed]], 82))</f>
        <v>73.75</v>
      </c>
      <c r="Z199" s="4">
        <f>Games[[#This Row],[K]]*Games[[#This Row],[POMult]]</f>
        <v>73.75</v>
      </c>
      <c r="AA199" s="4">
        <f>(Games[[#This Row],[Keff]]*Games[[#This Row],[MOVMult]])*(Games[[#This Row],[Result]]-Games[[#This Row],[ExpectedWin%]])</f>
        <v>2.8113964286242044</v>
      </c>
      <c r="AB199" s="4">
        <f>Games[[#This Row],[PreGmRate]]+Games[[#This Row],[RatingChange]]</f>
        <v>1563.5654873075575</v>
      </c>
      <c r="AC199" s="2">
        <f>IF(Games[[#This Row],[Type]]="R",IF(Games[[#This Row],[Result]]&gt;0.5,1,0),0)</f>
        <v>1</v>
      </c>
      <c r="AD199" s="2">
        <f>IF(Games[[#This Row],[Type]]="R",IF(Games[[#This Row],[Result]]&lt;0.5,1,0),0)</f>
        <v>0</v>
      </c>
      <c r="AE199" s="2">
        <f>IF(AND(Games[[#This Row],[Type]]="P",Games[[#This Row],[Round]]=1),IF(Games[[#This Row],[Result]]&gt;0.5,1,0),0)</f>
        <v>0</v>
      </c>
      <c r="AF199" s="2">
        <f>IF(AND(Games[[#This Row],[Type]]="P",Games[[#This Row],[Round]]=1),IF(Games[[#This Row],[Result]]&lt;0.5,1,0),0)</f>
        <v>0</v>
      </c>
      <c r="AG199" s="2">
        <f>IF(AND(Games[[#This Row],[Type]]="P",Games[[#This Row],[Round]]=2),IF(Games[[#This Row],[Result]]&gt;0.5,1,0),0)</f>
        <v>0</v>
      </c>
      <c r="AH199" s="2">
        <f>IF(AND(Games[[#This Row],[Type]]="P",Games[[#This Row],[Round]]=2),IF(Games[[#This Row],[Result]]&lt;0.5,1,0),0)</f>
        <v>0</v>
      </c>
      <c r="AI199" s="2">
        <f>IF(AND(Games[[#This Row],[Type]]="P",Games[[#This Row],[Round]]=3),IF(Games[[#This Row],[Result]]&gt;0.5,1,0),0)</f>
        <v>0</v>
      </c>
      <c r="AJ199" s="2">
        <f>IF(AND(Games[[#This Row],[Type]]="P",Games[[#This Row],[Round]]=3),IF(Games[[#This Row],[Result]]&lt;0.5,1,0),0)</f>
        <v>0</v>
      </c>
      <c r="AK199" s="2">
        <f>IF(AND(Games[[#This Row],[Type]]="P",Games[[#This Row],[Round]]=4),IF(Games[[#This Row],[Result]]&gt;0.5,1,0),0)</f>
        <v>0</v>
      </c>
      <c r="AL199" s="2">
        <f>IF(AND(Games[[#This Row],[Type]]="P",Games[[#This Row],[Round]]=4),IF(Games[[#This Row],[Result]]&lt;0.5,1,0),0)</f>
        <v>0</v>
      </c>
    </row>
    <row r="200" spans="1:38" x14ac:dyDescent="0.35">
      <c r="A200" s="10">
        <v>37806</v>
      </c>
      <c r="B200" s="2">
        <v>2003</v>
      </c>
      <c r="C200" s="2">
        <f>COUNTIFS(Games[Team],Games[[#This Row],[Team]],Games[Season],Games[[#This Row],[Season]],Games[Date],"&lt;=" &amp; Games[[#This Row],[Date]])</f>
        <v>16</v>
      </c>
      <c r="D200" s="2" t="s">
        <v>23</v>
      </c>
      <c r="E200" s="2" t="s">
        <v>29</v>
      </c>
      <c r="F200" s="1" t="s">
        <v>45</v>
      </c>
      <c r="G200" s="1" t="s">
        <v>87</v>
      </c>
      <c r="H200" s="1" t="s">
        <v>16</v>
      </c>
      <c r="I200" s="2" cm="1">
        <f t="array" ref="I200">IFERROR(
    Games[[#This Row],[Date]]
    - LOOKUP(
        2,
        1/((Games[Team]=Games[[#This Row],[Team]]) * (Games[Date] &lt; Games[[#This Row],[Date]])),
        Games[Date]
    )
    - 1,
Games[[#This Row],[Date]]-$A$2)</f>
        <v>1</v>
      </c>
      <c r="J200" s="2" cm="1">
        <f t="array" ref="J20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00" s="2">
        <f>Games[[#This Row],[DaysOff]]-Games[[#This Row],[OppDaysOff]]</f>
        <v>0</v>
      </c>
      <c r="L200" s="2">
        <f>Games[[#This Row],[OppDaysOff]]-Games[[#This Row],[DaysOff]]</f>
        <v>0</v>
      </c>
      <c r="M200" s="1">
        <f>MAX(-16, MIN(16, Games[[#This Row],[RestDiff]]*8))</f>
        <v>0</v>
      </c>
      <c r="N200" s="1">
        <f>MAX(-16, MIN(16, Games[[#This Row],[OppRestDiff]]*8))</f>
        <v>0</v>
      </c>
      <c r="O200" s="4" cm="1">
        <f t="array" ref="O20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1507.7477706950749</v>
      </c>
      <c r="P200" s="4" cm="1">
        <f t="array" ref="P20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1480.2727145991805</v>
      </c>
      <c r="Q200" s="4">
        <f>1/(1+10^(((Games[[#This Row],[OppPreGmRate]]+IF(Games[[#This Row],[HomeAway]]="A",HCA,0)+Games[[#This Row],[OppRestAdj]])-(Games[[#This Row],[PreGmRate]]+IF(Games[[#This Row],[HomeAway]]="H",HCA,0)+Games[[#This Row],[RestAdj]]))/400))</f>
        <v>0.4193642541088502</v>
      </c>
      <c r="R200" s="1">
        <v>67</v>
      </c>
      <c r="S200" s="1">
        <v>69</v>
      </c>
      <c r="T200" s="1">
        <v>0</v>
      </c>
      <c r="U200" s="1">
        <f>Games[[#This Row],[PointsFor]]-Games[[#This Row],[PointsAgainst]]</f>
        <v>-2</v>
      </c>
      <c r="V200" s="1">
        <f>IF(Games[[#This Row],[MOV]]&gt;0,1,IF(Games[[#This Row],[MOV]]=0,0.5,0))</f>
        <v>0</v>
      </c>
      <c r="W200" s="4">
        <f>((ABS(Games[[#This Row],[MOV]])+5)^0.6)/(12+0.01*(ABS(Games[[#This Row],[PreGmRate]]-Games[[#This Row],[OppPreGmRate]])))*IF(Games[[#This Row],[OT]]=1,0.9,1)</f>
        <v>0.26184612336960944</v>
      </c>
      <c r="X200" s="7" cm="1">
        <f t="array" ref="X20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0" s="9">
        <f>MAX(kmin, kmax - 0.15 * MIN(Games[[#This Row],[GamesPlayed]], 82))</f>
        <v>73.599999999999994</v>
      </c>
      <c r="Z200" s="4">
        <f>Games[[#This Row],[K]]*Games[[#This Row],[POMult]]</f>
        <v>73.599999999999994</v>
      </c>
      <c r="AA200" s="4">
        <f>(Games[[#This Row],[Keff]]*Games[[#This Row],[MOVMult]])*(Games[[#This Row],[Result]]-Games[[#This Row],[ExpectedWin%]])</f>
        <v>-8.0819353504588012</v>
      </c>
      <c r="AB200" s="4">
        <f>Games[[#This Row],[PreGmRate]]+Games[[#This Row],[RatingChange]]</f>
        <v>1499.6658353446162</v>
      </c>
      <c r="AC200" s="2">
        <f>IF(Games[[#This Row],[Type]]="R",IF(Games[[#This Row],[Result]]&gt;0.5,1,0),0)</f>
        <v>0</v>
      </c>
      <c r="AD200" s="2">
        <f>IF(Games[[#This Row],[Type]]="R",IF(Games[[#This Row],[Result]]&lt;0.5,1,0),0)</f>
        <v>1</v>
      </c>
      <c r="AE200" s="2">
        <f>IF(AND(Games[[#This Row],[Type]]="P",Games[[#This Row],[Round]]=1),IF(Games[[#This Row],[Result]]&gt;0.5,1,0),0)</f>
        <v>0</v>
      </c>
      <c r="AF200" s="2">
        <f>IF(AND(Games[[#This Row],[Type]]="P",Games[[#This Row],[Round]]=1),IF(Games[[#This Row],[Result]]&lt;0.5,1,0),0)</f>
        <v>0</v>
      </c>
      <c r="AG200" s="2">
        <f>IF(AND(Games[[#This Row],[Type]]="P",Games[[#This Row],[Round]]=2),IF(Games[[#This Row],[Result]]&gt;0.5,1,0),0)</f>
        <v>0</v>
      </c>
      <c r="AH200" s="2">
        <f>IF(AND(Games[[#This Row],[Type]]="P",Games[[#This Row],[Round]]=2),IF(Games[[#This Row],[Result]]&lt;0.5,1,0),0)</f>
        <v>0</v>
      </c>
      <c r="AI200" s="2">
        <f>IF(AND(Games[[#This Row],[Type]]="P",Games[[#This Row],[Round]]=3),IF(Games[[#This Row],[Result]]&gt;0.5,1,0),0)</f>
        <v>0</v>
      </c>
      <c r="AJ200" s="2">
        <f>IF(AND(Games[[#This Row],[Type]]="P",Games[[#This Row],[Round]]=3),IF(Games[[#This Row],[Result]]&lt;0.5,1,0),0)</f>
        <v>0</v>
      </c>
      <c r="AK200" s="2">
        <f>IF(AND(Games[[#This Row],[Type]]="P",Games[[#This Row],[Round]]=4),IF(Games[[#This Row],[Result]]&gt;0.5,1,0),0)</f>
        <v>0</v>
      </c>
      <c r="AL200" s="2">
        <f>IF(AND(Games[[#This Row],[Type]]="P",Games[[#This Row],[Round]]=4),IF(Games[[#This Row],[Result]]&lt;0.5,1,0),0)</f>
        <v>0</v>
      </c>
    </row>
    <row r="201" spans="1:38" x14ac:dyDescent="0.35">
      <c r="A201" s="10">
        <v>37806</v>
      </c>
      <c r="B201" s="2">
        <v>2003</v>
      </c>
      <c r="C201" s="2">
        <f>COUNTIFS(Games[Team],Games[[#This Row],[Team]],Games[Season],Games[[#This Row],[Season]],Games[Date],"&lt;=" &amp; Games[[#This Row],[Date]])</f>
        <v>16</v>
      </c>
      <c r="D201" s="2" t="s">
        <v>23</v>
      </c>
      <c r="E201" s="2" t="s">
        <v>29</v>
      </c>
      <c r="F201" s="1" t="s">
        <v>87</v>
      </c>
      <c r="G201" s="1" t="s">
        <v>45</v>
      </c>
      <c r="H201" s="1" t="s">
        <v>15</v>
      </c>
      <c r="I201" s="2" cm="1">
        <f t="array" ref="I201">IFERROR(
    Games[[#This Row],[Date]]
    - LOOKUP(
        2,
        1/((Games[Team]=Games[[#This Row],[Team]]) * (Games[Date] &lt; Games[[#This Row],[Date]])),
        Games[Date]
    )
    - 1,
Games[[#This Row],[Date]]-$A$2)</f>
        <v>1</v>
      </c>
      <c r="J201" s="2" cm="1">
        <f t="array" ref="J20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01" s="2">
        <f>Games[[#This Row],[DaysOff]]-Games[[#This Row],[OppDaysOff]]</f>
        <v>0</v>
      </c>
      <c r="L201" s="2">
        <f>Games[[#This Row],[OppDaysOff]]-Games[[#This Row],[DaysOff]]</f>
        <v>0</v>
      </c>
      <c r="M201" s="1">
        <f>MAX(-16, MIN(16, Games[[#This Row],[RestDiff]]*8))</f>
        <v>0</v>
      </c>
      <c r="N201" s="1">
        <f>MAX(-16, MIN(16, Games[[#This Row],[OppRestDiff]]*8))</f>
        <v>0</v>
      </c>
      <c r="O201" s="4" cm="1">
        <f t="array" ref="O20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1480.2727145991805</v>
      </c>
      <c r="P201" s="4" cm="1">
        <f t="array" ref="P20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1507.7477706950749</v>
      </c>
      <c r="Q201" s="4">
        <f>1/(1+10^(((Games[[#This Row],[OppPreGmRate]]+IF(Games[[#This Row],[HomeAway]]="A",HCA,0)+Games[[#This Row],[OppRestAdj]])-(Games[[#This Row],[PreGmRate]]+IF(Games[[#This Row],[HomeAway]]="H",HCA,0)+Games[[#This Row],[RestAdj]]))/400))</f>
        <v>0.58063574589114986</v>
      </c>
      <c r="R201" s="1">
        <v>69</v>
      </c>
      <c r="S201" s="1">
        <v>67</v>
      </c>
      <c r="T201" s="1">
        <v>0</v>
      </c>
      <c r="U201" s="1">
        <f>Games[[#This Row],[PointsFor]]-Games[[#This Row],[PointsAgainst]]</f>
        <v>2</v>
      </c>
      <c r="V201" s="1">
        <f>IF(Games[[#This Row],[MOV]]&gt;0,1,IF(Games[[#This Row],[MOV]]=0,0.5,0))</f>
        <v>1</v>
      </c>
      <c r="W201" s="4">
        <f>((ABS(Games[[#This Row],[MOV]])+5)^0.6)/(12+0.01*(ABS(Games[[#This Row],[PreGmRate]]-Games[[#This Row],[OppPreGmRate]])))*IF(Games[[#This Row],[OT]]=1,0.9,1)</f>
        <v>0.26184612336960944</v>
      </c>
      <c r="X201" s="7" cm="1">
        <f t="array" ref="X20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1" s="9">
        <f>MAX(kmin, kmax - 0.15 * MIN(Games[[#This Row],[GamesPlayed]], 82))</f>
        <v>73.599999999999994</v>
      </c>
      <c r="Z201" s="4">
        <f>Games[[#This Row],[K]]*Games[[#This Row],[POMult]]</f>
        <v>73.599999999999994</v>
      </c>
      <c r="AA201" s="4">
        <f>(Games[[#This Row],[Keff]]*Games[[#This Row],[MOVMult]])*(Games[[#This Row],[Result]]-Games[[#This Row],[ExpectedWin%]])</f>
        <v>8.0819353504587994</v>
      </c>
      <c r="AB201" s="4">
        <f>Games[[#This Row],[PreGmRate]]+Games[[#This Row],[RatingChange]]</f>
        <v>1488.3546499496392</v>
      </c>
      <c r="AC201" s="2">
        <f>IF(Games[[#This Row],[Type]]="R",IF(Games[[#This Row],[Result]]&gt;0.5,1,0),0)</f>
        <v>1</v>
      </c>
      <c r="AD201" s="2">
        <f>IF(Games[[#This Row],[Type]]="R",IF(Games[[#This Row],[Result]]&lt;0.5,1,0),0)</f>
        <v>0</v>
      </c>
      <c r="AE201" s="2">
        <f>IF(AND(Games[[#This Row],[Type]]="P",Games[[#This Row],[Round]]=1),IF(Games[[#This Row],[Result]]&gt;0.5,1,0),0)</f>
        <v>0</v>
      </c>
      <c r="AF201" s="2">
        <f>IF(AND(Games[[#This Row],[Type]]="P",Games[[#This Row],[Round]]=1),IF(Games[[#This Row],[Result]]&lt;0.5,1,0),0)</f>
        <v>0</v>
      </c>
      <c r="AG201" s="2">
        <f>IF(AND(Games[[#This Row],[Type]]="P",Games[[#This Row],[Round]]=2),IF(Games[[#This Row],[Result]]&gt;0.5,1,0),0)</f>
        <v>0</v>
      </c>
      <c r="AH201" s="2">
        <f>IF(AND(Games[[#This Row],[Type]]="P",Games[[#This Row],[Round]]=2),IF(Games[[#This Row],[Result]]&lt;0.5,1,0),0)</f>
        <v>0</v>
      </c>
      <c r="AI201" s="2">
        <f>IF(AND(Games[[#This Row],[Type]]="P",Games[[#This Row],[Round]]=3),IF(Games[[#This Row],[Result]]&gt;0.5,1,0),0)</f>
        <v>0</v>
      </c>
      <c r="AJ201" s="2">
        <f>IF(AND(Games[[#This Row],[Type]]="P",Games[[#This Row],[Round]]=3),IF(Games[[#This Row],[Result]]&lt;0.5,1,0),0)</f>
        <v>0</v>
      </c>
      <c r="AK201" s="2">
        <f>IF(AND(Games[[#This Row],[Type]]="P",Games[[#This Row],[Round]]=4),IF(Games[[#This Row],[Result]]&gt;0.5,1,0),0)</f>
        <v>0</v>
      </c>
      <c r="AL201" s="2">
        <f>IF(AND(Games[[#This Row],[Type]]="P",Games[[#This Row],[Round]]=4),IF(Games[[#This Row],[Result]]&lt;0.5,1,0),0)</f>
        <v>0</v>
      </c>
    </row>
    <row r="202" spans="1:38" x14ac:dyDescent="0.35">
      <c r="A202" s="10">
        <v>37807</v>
      </c>
      <c r="B202" s="2">
        <v>2003</v>
      </c>
      <c r="C202" s="2">
        <f>COUNTIFS(Games[Team],Games[[#This Row],[Team]],Games[Season],Games[[#This Row],[Season]],Games[Date],"&lt;=" &amp; Games[[#This Row],[Date]])</f>
        <v>17</v>
      </c>
      <c r="D202" s="2" t="s">
        <v>23</v>
      </c>
      <c r="E202" s="2" t="s">
        <v>29</v>
      </c>
      <c r="F202" s="1" t="s">
        <v>45</v>
      </c>
      <c r="G202" s="1" t="s">
        <v>64</v>
      </c>
      <c r="H202" s="1" t="s">
        <v>16</v>
      </c>
      <c r="I202" s="2" cm="1">
        <f t="array" ref="I202">IFERROR(
    Games[[#This Row],[Date]]
    - LOOKUP(
        2,
        1/((Games[Team]=Games[[#This Row],[Team]]) * (Games[Date] &lt; Games[[#This Row],[Date]])),
        Games[Date]
    )
    - 1,
Games[[#This Row],[Date]]-$A$2)</f>
        <v>0</v>
      </c>
      <c r="J202" s="2" cm="1">
        <f t="array" ref="J20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02" s="2">
        <f>Games[[#This Row],[DaysOff]]-Games[[#This Row],[OppDaysOff]]</f>
        <v>-1</v>
      </c>
      <c r="L202" s="2">
        <f>Games[[#This Row],[OppDaysOff]]-Games[[#This Row],[DaysOff]]</f>
        <v>1</v>
      </c>
      <c r="M202" s="1">
        <f>MAX(-16, MIN(16, Games[[#This Row],[RestDiff]]*8))</f>
        <v>-8</v>
      </c>
      <c r="N202" s="1">
        <f>MAX(-16, MIN(16, Games[[#This Row],[OppRestDiff]]*8))</f>
        <v>8</v>
      </c>
      <c r="O202" s="4" cm="1">
        <f t="array" ref="O20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1499.6658353446162</v>
      </c>
      <c r="P202" s="4" cm="1">
        <f t="array" ref="P20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1533.2291125858476</v>
      </c>
      <c r="Q202" s="4">
        <f>1/(1+10^(((Games[[#This Row],[OppPreGmRate]]+IF(Games[[#This Row],[HomeAway]]="A",HCA,0)+Games[[#This Row],[OppRestAdj]])-(Games[[#This Row],[PreGmRate]]+IF(Games[[#This Row],[HomeAway]]="H",HCA,0)+Games[[#This Row],[RestAdj]]))/400))</f>
        <v>0.31672748798997685</v>
      </c>
      <c r="R202" s="1">
        <v>65</v>
      </c>
      <c r="S202" s="1">
        <v>67</v>
      </c>
      <c r="T202" s="1">
        <v>0</v>
      </c>
      <c r="U202" s="1">
        <f>Games[[#This Row],[PointsFor]]-Games[[#This Row],[PointsAgainst]]</f>
        <v>-2</v>
      </c>
      <c r="V202" s="1">
        <f>IF(Games[[#This Row],[MOV]]&gt;0,1,IF(Games[[#This Row],[MOV]]=0,0.5,0))</f>
        <v>0</v>
      </c>
      <c r="W202" s="4">
        <f>((ABS(Games[[#This Row],[MOV]])+5)^0.6)/(12+0.01*(ABS(Games[[#This Row],[PreGmRate]]-Games[[#This Row],[OppPreGmRate]])))*IF(Games[[#This Row],[OT]]=1,0.9,1)</f>
        <v>0.26055378828268255</v>
      </c>
      <c r="X202" s="7" cm="1">
        <f t="array" ref="X20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2" s="9">
        <f>MAX(kmin, kmax - 0.15 * MIN(Games[[#This Row],[GamesPlayed]], 82))</f>
        <v>73.45</v>
      </c>
      <c r="Z202" s="4">
        <f>Games[[#This Row],[K]]*Games[[#This Row],[POMult]]</f>
        <v>73.45</v>
      </c>
      <c r="AA202" s="4">
        <f>(Games[[#This Row],[Keff]]*Games[[#This Row],[MOVMult]])*(Games[[#This Row],[Result]]-Games[[#This Row],[ExpectedWin%]])</f>
        <v>-6.0614279660624515</v>
      </c>
      <c r="AB202" s="4">
        <f>Games[[#This Row],[PreGmRate]]+Games[[#This Row],[RatingChange]]</f>
        <v>1493.6044073785538</v>
      </c>
      <c r="AC202" s="2">
        <f>IF(Games[[#This Row],[Type]]="R",IF(Games[[#This Row],[Result]]&gt;0.5,1,0),0)</f>
        <v>0</v>
      </c>
      <c r="AD202" s="2">
        <f>IF(Games[[#This Row],[Type]]="R",IF(Games[[#This Row],[Result]]&lt;0.5,1,0),0)</f>
        <v>1</v>
      </c>
      <c r="AE202" s="2">
        <f>IF(AND(Games[[#This Row],[Type]]="P",Games[[#This Row],[Round]]=1),IF(Games[[#This Row],[Result]]&gt;0.5,1,0),0)</f>
        <v>0</v>
      </c>
      <c r="AF202" s="2">
        <f>IF(AND(Games[[#This Row],[Type]]="P",Games[[#This Row],[Round]]=1),IF(Games[[#This Row],[Result]]&lt;0.5,1,0),0)</f>
        <v>0</v>
      </c>
      <c r="AG202" s="2">
        <f>IF(AND(Games[[#This Row],[Type]]="P",Games[[#This Row],[Round]]=2),IF(Games[[#This Row],[Result]]&gt;0.5,1,0),0)</f>
        <v>0</v>
      </c>
      <c r="AH202" s="2">
        <f>IF(AND(Games[[#This Row],[Type]]="P",Games[[#This Row],[Round]]=2),IF(Games[[#This Row],[Result]]&lt;0.5,1,0),0)</f>
        <v>0</v>
      </c>
      <c r="AI202" s="2">
        <f>IF(AND(Games[[#This Row],[Type]]="P",Games[[#This Row],[Round]]=3),IF(Games[[#This Row],[Result]]&gt;0.5,1,0),0)</f>
        <v>0</v>
      </c>
      <c r="AJ202" s="2">
        <f>IF(AND(Games[[#This Row],[Type]]="P",Games[[#This Row],[Round]]=3),IF(Games[[#This Row],[Result]]&lt;0.5,1,0),0)</f>
        <v>0</v>
      </c>
      <c r="AK202" s="2">
        <f>IF(AND(Games[[#This Row],[Type]]="P",Games[[#This Row],[Round]]=4),IF(Games[[#This Row],[Result]]&gt;0.5,1,0),0)</f>
        <v>0</v>
      </c>
      <c r="AL202" s="2">
        <f>IF(AND(Games[[#This Row],[Type]]="P",Games[[#This Row],[Round]]=4),IF(Games[[#This Row],[Result]]&lt;0.5,1,0),0)</f>
        <v>0</v>
      </c>
    </row>
    <row r="203" spans="1:38" x14ac:dyDescent="0.35">
      <c r="A203" s="10">
        <v>37807</v>
      </c>
      <c r="B203" s="2">
        <v>2003</v>
      </c>
      <c r="C203" s="2">
        <f>COUNTIFS(Games[Team],Games[[#This Row],[Team]],Games[Season],Games[[#This Row],[Season]],Games[Date],"&lt;=" &amp; Games[[#This Row],[Date]])</f>
        <v>16</v>
      </c>
      <c r="D203" s="2" t="s">
        <v>23</v>
      </c>
      <c r="E203" s="2" t="s">
        <v>29</v>
      </c>
      <c r="F203" s="1" t="s">
        <v>64</v>
      </c>
      <c r="G203" s="1" t="s">
        <v>45</v>
      </c>
      <c r="H203" s="1" t="s">
        <v>15</v>
      </c>
      <c r="I203" s="2" cm="1">
        <f t="array" ref="I203">IFERROR(
    Games[[#This Row],[Date]]
    - LOOKUP(
        2,
        1/((Games[Team]=Games[[#This Row],[Team]]) * (Games[Date] &lt; Games[[#This Row],[Date]])),
        Games[Date]
    )
    - 1,
Games[[#This Row],[Date]]-$A$2)</f>
        <v>1</v>
      </c>
      <c r="J203" s="2" cm="1">
        <f t="array" ref="J203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03" s="2">
        <f>Games[[#This Row],[DaysOff]]-Games[[#This Row],[OppDaysOff]]</f>
        <v>1</v>
      </c>
      <c r="L203" s="2">
        <f>Games[[#This Row],[OppDaysOff]]-Games[[#This Row],[DaysOff]]</f>
        <v>-1</v>
      </c>
      <c r="M203" s="1">
        <f>MAX(-16, MIN(16, Games[[#This Row],[RestDiff]]*8))</f>
        <v>8</v>
      </c>
      <c r="N203" s="1">
        <f>MAX(-16, MIN(16, Games[[#This Row],[OppRestDiff]]*8))</f>
        <v>-8</v>
      </c>
      <c r="O203" s="4" cm="1">
        <f t="array" ref="O20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1533.2291125858476</v>
      </c>
      <c r="P203" s="4" cm="1">
        <f t="array" ref="P20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1499.6658353446162</v>
      </c>
      <c r="Q203" s="4">
        <f>1/(1+10^(((Games[[#This Row],[OppPreGmRate]]+IF(Games[[#This Row],[HomeAway]]="A",HCA,0)+Games[[#This Row],[OppRestAdj]])-(Games[[#This Row],[PreGmRate]]+IF(Games[[#This Row],[HomeAway]]="H",HCA,0)+Games[[#This Row],[RestAdj]]))/400))</f>
        <v>0.68327251201002315</v>
      </c>
      <c r="R203" s="1">
        <v>67</v>
      </c>
      <c r="S203" s="1">
        <v>65</v>
      </c>
      <c r="T203" s="1">
        <v>0</v>
      </c>
      <c r="U203" s="1">
        <f>Games[[#This Row],[PointsFor]]-Games[[#This Row],[PointsAgainst]]</f>
        <v>2</v>
      </c>
      <c r="V203" s="1">
        <f>IF(Games[[#This Row],[MOV]]&gt;0,1,IF(Games[[#This Row],[MOV]]=0,0.5,0))</f>
        <v>1</v>
      </c>
      <c r="W203" s="4">
        <f>((ABS(Games[[#This Row],[MOV]])+5)^0.6)/(12+0.01*(ABS(Games[[#This Row],[PreGmRate]]-Games[[#This Row],[OppPreGmRate]])))*IF(Games[[#This Row],[OT]]=1,0.9,1)</f>
        <v>0.26055378828268255</v>
      </c>
      <c r="X203" s="7" cm="1">
        <f t="array" ref="X20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3" s="9">
        <f>MAX(kmin, kmax - 0.15 * MIN(Games[[#This Row],[GamesPlayed]], 82))</f>
        <v>73.599999999999994</v>
      </c>
      <c r="Z203" s="4">
        <f>Games[[#This Row],[K]]*Games[[#This Row],[POMult]]</f>
        <v>73.599999999999994</v>
      </c>
      <c r="AA203" s="4">
        <f>(Games[[#This Row],[Keff]]*Games[[#This Row],[MOVMult]])*(Games[[#This Row],[Result]]-Games[[#This Row],[ExpectedWin%]])</f>
        <v>6.0738066480898079</v>
      </c>
      <c r="AB203" s="4">
        <f>Games[[#This Row],[PreGmRate]]+Games[[#This Row],[RatingChange]]</f>
        <v>1539.3029192339375</v>
      </c>
      <c r="AC203" s="2">
        <f>IF(Games[[#This Row],[Type]]="R",IF(Games[[#This Row],[Result]]&gt;0.5,1,0),0)</f>
        <v>1</v>
      </c>
      <c r="AD203" s="2">
        <f>IF(Games[[#This Row],[Type]]="R",IF(Games[[#This Row],[Result]]&lt;0.5,1,0),0)</f>
        <v>0</v>
      </c>
      <c r="AE203" s="2">
        <f>IF(AND(Games[[#This Row],[Type]]="P",Games[[#This Row],[Round]]=1),IF(Games[[#This Row],[Result]]&gt;0.5,1,0),0)</f>
        <v>0</v>
      </c>
      <c r="AF203" s="2">
        <f>IF(AND(Games[[#This Row],[Type]]="P",Games[[#This Row],[Round]]=1),IF(Games[[#This Row],[Result]]&lt;0.5,1,0),0)</f>
        <v>0</v>
      </c>
      <c r="AG203" s="2">
        <f>IF(AND(Games[[#This Row],[Type]]="P",Games[[#This Row],[Round]]=2),IF(Games[[#This Row],[Result]]&gt;0.5,1,0),0)</f>
        <v>0</v>
      </c>
      <c r="AH203" s="2">
        <f>IF(AND(Games[[#This Row],[Type]]="P",Games[[#This Row],[Round]]=2),IF(Games[[#This Row],[Result]]&lt;0.5,1,0),0)</f>
        <v>0</v>
      </c>
      <c r="AI203" s="2">
        <f>IF(AND(Games[[#This Row],[Type]]="P",Games[[#This Row],[Round]]=3),IF(Games[[#This Row],[Result]]&gt;0.5,1,0),0)</f>
        <v>0</v>
      </c>
      <c r="AJ203" s="2">
        <f>IF(AND(Games[[#This Row],[Type]]="P",Games[[#This Row],[Round]]=3),IF(Games[[#This Row],[Result]]&lt;0.5,1,0),0)</f>
        <v>0</v>
      </c>
      <c r="AK203" s="2">
        <f>IF(AND(Games[[#This Row],[Type]]="P",Games[[#This Row],[Round]]=4),IF(Games[[#This Row],[Result]]&gt;0.5,1,0),0)</f>
        <v>0</v>
      </c>
      <c r="AL203" s="2">
        <f>IF(AND(Games[[#This Row],[Type]]="P",Games[[#This Row],[Round]]=4),IF(Games[[#This Row],[Result]]&lt;0.5,1,0),0)</f>
        <v>0</v>
      </c>
    </row>
    <row r="204" spans="1:38" x14ac:dyDescent="0.35">
      <c r="A204" s="10">
        <v>37807</v>
      </c>
      <c r="B204" s="2">
        <v>2003</v>
      </c>
      <c r="C204" s="2">
        <f>COUNTIFS(Games[Team],Games[[#This Row],[Team]],Games[Season],Games[[#This Row],[Season]],Games[Date],"&lt;=" &amp; Games[[#This Row],[Date]])</f>
        <v>14</v>
      </c>
      <c r="D204" s="2" t="s">
        <v>23</v>
      </c>
      <c r="E204" s="2" t="s">
        <v>29</v>
      </c>
      <c r="F204" s="1" t="s">
        <v>74</v>
      </c>
      <c r="G204" s="1" t="s">
        <v>2</v>
      </c>
      <c r="H204" s="1" t="s">
        <v>16</v>
      </c>
      <c r="I204" s="2" cm="1">
        <f t="array" ref="I204">IFERROR(
    Games[[#This Row],[Date]]
    - LOOKUP(
        2,
        1/((Games[Team]=Games[[#This Row],[Team]]) * (Games[Date] &lt; Games[[#This Row],[Date]])),
        Games[Date]
    )
    - 1,
Games[[#This Row],[Date]]-$A$2)</f>
        <v>1</v>
      </c>
      <c r="J204" s="2" cm="1">
        <f t="array" ref="J204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04" s="2">
        <f>Games[[#This Row],[DaysOff]]-Games[[#This Row],[OppDaysOff]]</f>
        <v>-2</v>
      </c>
      <c r="L204" s="2">
        <f>Games[[#This Row],[OppDaysOff]]-Games[[#This Row],[DaysOff]]</f>
        <v>2</v>
      </c>
      <c r="M204" s="1">
        <f>MAX(-16, MIN(16, Games[[#This Row],[RestDiff]]*8))</f>
        <v>-16</v>
      </c>
      <c r="N204" s="1">
        <f>MAX(-16, MIN(16, Games[[#This Row],[OppRestDiff]]*8))</f>
        <v>16</v>
      </c>
      <c r="O204" s="4" cm="1">
        <f t="array" ref="O20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1362.0058512251351</v>
      </c>
      <c r="P204" s="4" cm="1">
        <f t="array" ref="P20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1537.6775847256351</v>
      </c>
      <c r="Q204" s="4">
        <f>1/(1+10^(((Games[[#This Row],[OppPreGmRate]]+IF(Games[[#This Row],[HomeAway]]="A",HCA,0)+Games[[#This Row],[OppRestAdj]])-(Games[[#This Row],[PreGmRate]]+IF(Games[[#This Row],[HomeAway]]="H",HCA,0)+Games[[#This Row],[RestAdj]]))/400))</f>
        <v>0.15722826681558319</v>
      </c>
      <c r="R204" s="1">
        <v>54</v>
      </c>
      <c r="S204" s="1">
        <v>76</v>
      </c>
      <c r="T204" s="1">
        <v>0</v>
      </c>
      <c r="U204" s="1">
        <f>Games[[#This Row],[PointsFor]]-Games[[#This Row],[PointsAgainst]]</f>
        <v>-22</v>
      </c>
      <c r="V204" s="1">
        <f>IF(Games[[#This Row],[MOV]]&gt;0,1,IF(Games[[#This Row],[MOV]]=0,0.5,0))</f>
        <v>0</v>
      </c>
      <c r="W204" s="4">
        <f>((ABS(Games[[#This Row],[MOV]])+5)^0.6)/(12+0.01*(ABS(Games[[#This Row],[PreGmRate]]-Games[[#This Row],[OppPreGmRate]])))*IF(Games[[#This Row],[OT]]=1,0.9,1)</f>
        <v>0.52517427522177484</v>
      </c>
      <c r="X204" s="7" cm="1">
        <f t="array" ref="X20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4" s="9">
        <f>MAX(kmin, kmax - 0.15 * MIN(Games[[#This Row],[GamesPlayed]], 82))</f>
        <v>73.900000000000006</v>
      </c>
      <c r="Z204" s="4">
        <f>Games[[#This Row],[K]]*Games[[#This Row],[POMult]]</f>
        <v>73.900000000000006</v>
      </c>
      <c r="AA204" s="4">
        <f>(Games[[#This Row],[Keff]]*Games[[#This Row],[MOVMult]])*(Games[[#This Row],[Result]]-Games[[#This Row],[ExpectedWin%]])</f>
        <v>-6.1020886150175562</v>
      </c>
      <c r="AB204" s="4">
        <f>Games[[#This Row],[PreGmRate]]+Games[[#This Row],[RatingChange]]</f>
        <v>1355.9037626101176</v>
      </c>
      <c r="AC204" s="2">
        <f>IF(Games[[#This Row],[Type]]="R",IF(Games[[#This Row],[Result]]&gt;0.5,1,0),0)</f>
        <v>0</v>
      </c>
      <c r="AD204" s="2">
        <f>IF(Games[[#This Row],[Type]]="R",IF(Games[[#This Row],[Result]]&lt;0.5,1,0),0)</f>
        <v>1</v>
      </c>
      <c r="AE204" s="2">
        <f>IF(AND(Games[[#This Row],[Type]]="P",Games[[#This Row],[Round]]=1),IF(Games[[#This Row],[Result]]&gt;0.5,1,0),0)</f>
        <v>0</v>
      </c>
      <c r="AF204" s="2">
        <f>IF(AND(Games[[#This Row],[Type]]="P",Games[[#This Row],[Round]]=1),IF(Games[[#This Row],[Result]]&lt;0.5,1,0),0)</f>
        <v>0</v>
      </c>
      <c r="AG204" s="2">
        <f>IF(AND(Games[[#This Row],[Type]]="P",Games[[#This Row],[Round]]=2),IF(Games[[#This Row],[Result]]&gt;0.5,1,0),0)</f>
        <v>0</v>
      </c>
      <c r="AH204" s="2">
        <f>IF(AND(Games[[#This Row],[Type]]="P",Games[[#This Row],[Round]]=2),IF(Games[[#This Row],[Result]]&lt;0.5,1,0),0)</f>
        <v>0</v>
      </c>
      <c r="AI204" s="2">
        <f>IF(AND(Games[[#This Row],[Type]]="P",Games[[#This Row],[Round]]=3),IF(Games[[#This Row],[Result]]&gt;0.5,1,0),0)</f>
        <v>0</v>
      </c>
      <c r="AJ204" s="2">
        <f>IF(AND(Games[[#This Row],[Type]]="P",Games[[#This Row],[Round]]=3),IF(Games[[#This Row],[Result]]&lt;0.5,1,0),0)</f>
        <v>0</v>
      </c>
      <c r="AK204" s="2">
        <f>IF(AND(Games[[#This Row],[Type]]="P",Games[[#This Row],[Round]]=4),IF(Games[[#This Row],[Result]]&gt;0.5,1,0),0)</f>
        <v>0</v>
      </c>
      <c r="AL204" s="2">
        <f>IF(AND(Games[[#This Row],[Type]]="P",Games[[#This Row],[Round]]=4),IF(Games[[#This Row],[Result]]&lt;0.5,1,0),0)</f>
        <v>0</v>
      </c>
    </row>
    <row r="205" spans="1:38" x14ac:dyDescent="0.35">
      <c r="A205" s="10">
        <v>37807</v>
      </c>
      <c r="B205" s="2">
        <v>2003</v>
      </c>
      <c r="C205" s="2">
        <f>COUNTIFS(Games[Team],Games[[#This Row],[Team]],Games[Season],Games[[#This Row],[Season]],Games[Date],"&lt;=" &amp; Games[[#This Row],[Date]])</f>
        <v>16</v>
      </c>
      <c r="D205" s="2" t="s">
        <v>23</v>
      </c>
      <c r="E205" s="2" t="s">
        <v>29</v>
      </c>
      <c r="F205" s="1" t="s">
        <v>2</v>
      </c>
      <c r="G205" s="1" t="s">
        <v>74</v>
      </c>
      <c r="H205" s="1" t="s">
        <v>15</v>
      </c>
      <c r="I205" s="2" cm="1">
        <f t="array" ref="I205">IFERROR(
    Games[[#This Row],[Date]]
    - LOOKUP(
        2,
        1/((Games[Team]=Games[[#This Row],[Team]]) * (Games[Date] &lt; Games[[#This Row],[Date]])),
        Games[Date]
    )
    - 1,
Games[[#This Row],[Date]]-$A$2)</f>
        <v>3</v>
      </c>
      <c r="J205" s="2" cm="1">
        <f t="array" ref="J20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05" s="2">
        <f>Games[[#This Row],[DaysOff]]-Games[[#This Row],[OppDaysOff]]</f>
        <v>2</v>
      </c>
      <c r="L205" s="2">
        <f>Games[[#This Row],[OppDaysOff]]-Games[[#This Row],[DaysOff]]</f>
        <v>-2</v>
      </c>
      <c r="M205" s="1">
        <f>MAX(-16, MIN(16, Games[[#This Row],[RestDiff]]*8))</f>
        <v>16</v>
      </c>
      <c r="N205" s="1">
        <f>MAX(-16, MIN(16, Games[[#This Row],[OppRestDiff]]*8))</f>
        <v>-16</v>
      </c>
      <c r="O205" s="4" cm="1">
        <f t="array" ref="O20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1537.6775847256351</v>
      </c>
      <c r="P205" s="4" cm="1">
        <f t="array" ref="P20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1362.0058512251351</v>
      </c>
      <c r="Q205" s="4">
        <f>1/(1+10^(((Games[[#This Row],[OppPreGmRate]]+IF(Games[[#This Row],[HomeAway]]="A",HCA,0)+Games[[#This Row],[OppRestAdj]])-(Games[[#This Row],[PreGmRate]]+IF(Games[[#This Row],[HomeAway]]="H",HCA,0)+Games[[#This Row],[RestAdj]]))/400))</f>
        <v>0.84277173318441689</v>
      </c>
      <c r="R205" s="1">
        <v>76</v>
      </c>
      <c r="S205" s="1">
        <v>54</v>
      </c>
      <c r="T205" s="1">
        <v>0</v>
      </c>
      <c r="U205" s="1">
        <f>Games[[#This Row],[PointsFor]]-Games[[#This Row],[PointsAgainst]]</f>
        <v>22</v>
      </c>
      <c r="V205" s="1">
        <f>IF(Games[[#This Row],[MOV]]&gt;0,1,IF(Games[[#This Row],[MOV]]=0,0.5,0))</f>
        <v>1</v>
      </c>
      <c r="W205" s="4">
        <f>((ABS(Games[[#This Row],[MOV]])+5)^0.6)/(12+0.01*(ABS(Games[[#This Row],[PreGmRate]]-Games[[#This Row],[OppPreGmRate]])))*IF(Games[[#This Row],[OT]]=1,0.9,1)</f>
        <v>0.52517427522177484</v>
      </c>
      <c r="X205" s="7" cm="1">
        <f t="array" ref="X20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5" s="9">
        <f>MAX(kmin, kmax - 0.15 * MIN(Games[[#This Row],[GamesPlayed]], 82))</f>
        <v>73.599999999999994</v>
      </c>
      <c r="Z205" s="4">
        <f>Games[[#This Row],[K]]*Games[[#This Row],[POMult]]</f>
        <v>73.599999999999994</v>
      </c>
      <c r="AA205" s="4">
        <f>(Games[[#This Row],[Keff]]*Games[[#This Row],[MOVMult]])*(Games[[#This Row],[Result]]-Games[[#This Row],[ExpectedWin%]])</f>
        <v>6.0773169426967764</v>
      </c>
      <c r="AB205" s="4">
        <f>Games[[#This Row],[PreGmRate]]+Games[[#This Row],[RatingChange]]</f>
        <v>1543.754901668332</v>
      </c>
      <c r="AC205" s="2">
        <f>IF(Games[[#This Row],[Type]]="R",IF(Games[[#This Row],[Result]]&gt;0.5,1,0),0)</f>
        <v>1</v>
      </c>
      <c r="AD205" s="2">
        <f>IF(Games[[#This Row],[Type]]="R",IF(Games[[#This Row],[Result]]&lt;0.5,1,0),0)</f>
        <v>0</v>
      </c>
      <c r="AE205" s="2">
        <f>IF(AND(Games[[#This Row],[Type]]="P",Games[[#This Row],[Round]]=1),IF(Games[[#This Row],[Result]]&gt;0.5,1,0),0)</f>
        <v>0</v>
      </c>
      <c r="AF205" s="2">
        <f>IF(AND(Games[[#This Row],[Type]]="P",Games[[#This Row],[Round]]=1),IF(Games[[#This Row],[Result]]&lt;0.5,1,0),0)</f>
        <v>0</v>
      </c>
      <c r="AG205" s="2">
        <f>IF(AND(Games[[#This Row],[Type]]="P",Games[[#This Row],[Round]]=2),IF(Games[[#This Row],[Result]]&gt;0.5,1,0),0)</f>
        <v>0</v>
      </c>
      <c r="AH205" s="2">
        <f>IF(AND(Games[[#This Row],[Type]]="P",Games[[#This Row],[Round]]=2),IF(Games[[#This Row],[Result]]&lt;0.5,1,0),0)</f>
        <v>0</v>
      </c>
      <c r="AI205" s="2">
        <f>IF(AND(Games[[#This Row],[Type]]="P",Games[[#This Row],[Round]]=3),IF(Games[[#This Row],[Result]]&gt;0.5,1,0),0)</f>
        <v>0</v>
      </c>
      <c r="AJ205" s="2">
        <f>IF(AND(Games[[#This Row],[Type]]="P",Games[[#This Row],[Round]]=3),IF(Games[[#This Row],[Result]]&lt;0.5,1,0),0)</f>
        <v>0</v>
      </c>
      <c r="AK205" s="2">
        <f>IF(AND(Games[[#This Row],[Type]]="P",Games[[#This Row],[Round]]=4),IF(Games[[#This Row],[Result]]&gt;0.5,1,0),0)</f>
        <v>0</v>
      </c>
      <c r="AL205" s="2">
        <f>IF(AND(Games[[#This Row],[Type]]="P",Games[[#This Row],[Round]]=4),IF(Games[[#This Row],[Result]]&lt;0.5,1,0),0)</f>
        <v>0</v>
      </c>
    </row>
    <row r="206" spans="1:38" x14ac:dyDescent="0.35">
      <c r="A206" s="10">
        <v>37807</v>
      </c>
      <c r="B206" s="2">
        <v>2003</v>
      </c>
      <c r="C206" s="2">
        <f>COUNTIFS(Games[Team],Games[[#This Row],[Team]],Games[Season],Games[[#This Row],[Season]],Games[Date],"&lt;=" &amp; Games[[#This Row],[Date]])</f>
        <v>16</v>
      </c>
      <c r="D206" s="2" t="s">
        <v>23</v>
      </c>
      <c r="E206" s="2" t="s">
        <v>29</v>
      </c>
      <c r="F206" s="1" t="s">
        <v>82</v>
      </c>
      <c r="G206" s="1" t="s">
        <v>71</v>
      </c>
      <c r="H206" s="1" t="s">
        <v>16</v>
      </c>
      <c r="I206" s="2" cm="1">
        <f t="array" ref="I206">IFERROR(
    Games[[#This Row],[Date]]
    - LOOKUP(
        2,
        1/((Games[Team]=Games[[#This Row],[Team]]) * (Games[Date] &lt; Games[[#This Row],[Date]])),
        Games[Date]
    )
    - 1,
Games[[#This Row],[Date]]-$A$2)</f>
        <v>1</v>
      </c>
      <c r="J206" s="2" cm="1">
        <f t="array" ref="J206">IFERROR(
    Games[[#This Row],[Date]]
    - LOOKUP(
        2,
        1/((Games[Opponent]=Games[[#This Row],[Opponent]]) * (Games[Date] &lt; Games[[#This Row],[Date]])),
        Games[Date]
    )
    - 1,
Games[[#This Row],[Date]]-$A$2)</f>
        <v>6</v>
      </c>
      <c r="K206" s="2">
        <f>Games[[#This Row],[DaysOff]]-Games[[#This Row],[OppDaysOff]]</f>
        <v>-5</v>
      </c>
      <c r="L206" s="2">
        <f>Games[[#This Row],[OppDaysOff]]-Games[[#This Row],[DaysOff]]</f>
        <v>5</v>
      </c>
      <c r="M206" s="1">
        <f>MAX(-16, MIN(16, Games[[#This Row],[RestDiff]]*8))</f>
        <v>-16</v>
      </c>
      <c r="N206" s="1">
        <f>MAX(-16, MIN(16, Games[[#This Row],[OppRestDiff]]*8))</f>
        <v>16</v>
      </c>
      <c r="O206" s="4" cm="1">
        <f t="array" ref="O20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1563.5654873075575</v>
      </c>
      <c r="P206" s="4" cm="1">
        <f t="array" ref="P20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1671.1485620609371</v>
      </c>
      <c r="Q206" s="4">
        <f>1/(1+10^(((Games[[#This Row],[OppPreGmRate]]+IF(Games[[#This Row],[HomeAway]]="A",HCA,0)+Games[[#This Row],[OppRestAdj]])-(Games[[#This Row],[PreGmRate]]+IF(Games[[#This Row],[HomeAway]]="H",HCA,0)+Games[[#This Row],[RestAdj]]))/400))</f>
        <v>0.21635294802209409</v>
      </c>
      <c r="R206" s="1">
        <v>75</v>
      </c>
      <c r="S206" s="1">
        <v>84</v>
      </c>
      <c r="T206" s="1">
        <v>0</v>
      </c>
      <c r="U206" s="1">
        <f>Games[[#This Row],[PointsFor]]-Games[[#This Row],[PointsAgainst]]</f>
        <v>-9</v>
      </c>
      <c r="V206" s="1">
        <f>IF(Games[[#This Row],[MOV]]&gt;0,1,IF(Games[[#This Row],[MOV]]=0,0.5,0))</f>
        <v>0</v>
      </c>
      <c r="W206" s="4">
        <f>((ABS(Games[[#This Row],[MOV]])+5)^0.6)/(12+0.01*(ABS(Games[[#This Row],[PreGmRate]]-Games[[#This Row],[OppPreGmRate]])))*IF(Games[[#This Row],[OT]]=1,0.9,1)</f>
        <v>0.372569698998723</v>
      </c>
      <c r="X206" s="7" cm="1">
        <f t="array" ref="X20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6" s="9">
        <f>MAX(kmin, kmax - 0.15 * MIN(Games[[#This Row],[GamesPlayed]], 82))</f>
        <v>73.599999999999994</v>
      </c>
      <c r="Z206" s="4">
        <f>Games[[#This Row],[K]]*Games[[#This Row],[POMult]]</f>
        <v>73.599999999999994</v>
      </c>
      <c r="AA206" s="4">
        <f>(Games[[#This Row],[Keff]]*Games[[#This Row],[MOVMult]])*(Games[[#This Row],[Result]]-Games[[#This Row],[ExpectedWin%]])</f>
        <v>-5.932642280344937</v>
      </c>
      <c r="AB206" s="4">
        <f>Games[[#This Row],[PreGmRate]]+Games[[#This Row],[RatingChange]]</f>
        <v>1557.6328450272126</v>
      </c>
      <c r="AC206" s="2">
        <f>IF(Games[[#This Row],[Type]]="R",IF(Games[[#This Row],[Result]]&gt;0.5,1,0),0)</f>
        <v>0</v>
      </c>
      <c r="AD206" s="2">
        <f>IF(Games[[#This Row],[Type]]="R",IF(Games[[#This Row],[Result]]&lt;0.5,1,0),0)</f>
        <v>1</v>
      </c>
      <c r="AE206" s="2">
        <f>IF(AND(Games[[#This Row],[Type]]="P",Games[[#This Row],[Round]]=1),IF(Games[[#This Row],[Result]]&gt;0.5,1,0),0)</f>
        <v>0</v>
      </c>
      <c r="AF206" s="2">
        <f>IF(AND(Games[[#This Row],[Type]]="P",Games[[#This Row],[Round]]=1),IF(Games[[#This Row],[Result]]&lt;0.5,1,0),0)</f>
        <v>0</v>
      </c>
      <c r="AG206" s="2">
        <f>IF(AND(Games[[#This Row],[Type]]="P",Games[[#This Row],[Round]]=2),IF(Games[[#This Row],[Result]]&gt;0.5,1,0),0)</f>
        <v>0</v>
      </c>
      <c r="AH206" s="2">
        <f>IF(AND(Games[[#This Row],[Type]]="P",Games[[#This Row],[Round]]=2),IF(Games[[#This Row],[Result]]&lt;0.5,1,0),0)</f>
        <v>0</v>
      </c>
      <c r="AI206" s="2">
        <f>IF(AND(Games[[#This Row],[Type]]="P",Games[[#This Row],[Round]]=3),IF(Games[[#This Row],[Result]]&gt;0.5,1,0),0)</f>
        <v>0</v>
      </c>
      <c r="AJ206" s="2">
        <f>IF(AND(Games[[#This Row],[Type]]="P",Games[[#This Row],[Round]]=3),IF(Games[[#This Row],[Result]]&lt;0.5,1,0),0)</f>
        <v>0</v>
      </c>
      <c r="AK206" s="2">
        <f>IF(AND(Games[[#This Row],[Type]]="P",Games[[#This Row],[Round]]=4),IF(Games[[#This Row],[Result]]&gt;0.5,1,0),0)</f>
        <v>0</v>
      </c>
      <c r="AL206" s="2">
        <f>IF(AND(Games[[#This Row],[Type]]="P",Games[[#This Row],[Round]]=4),IF(Games[[#This Row],[Result]]&lt;0.5,1,0),0)</f>
        <v>0</v>
      </c>
    </row>
    <row r="207" spans="1:38" x14ac:dyDescent="0.35">
      <c r="A207" s="10">
        <v>37807</v>
      </c>
      <c r="B207" s="2">
        <v>2003</v>
      </c>
      <c r="C207" s="2">
        <f>COUNTIFS(Games[Team],Games[[#This Row],[Team]],Games[Season],Games[[#This Row],[Season]],Games[Date],"&lt;=" &amp; Games[[#This Row],[Date]])</f>
        <v>16</v>
      </c>
      <c r="D207" s="2" t="s">
        <v>23</v>
      </c>
      <c r="E207" s="2" t="s">
        <v>29</v>
      </c>
      <c r="F207" s="1" t="s">
        <v>71</v>
      </c>
      <c r="G207" s="1" t="s">
        <v>82</v>
      </c>
      <c r="H207" s="1" t="s">
        <v>15</v>
      </c>
      <c r="I207" s="2" cm="1">
        <f t="array" ref="I207">IFERROR(
    Games[[#This Row],[Date]]
    - LOOKUP(
        2,
        1/((Games[Team]=Games[[#This Row],[Team]]) * (Games[Date] &lt; Games[[#This Row],[Date]])),
        Games[Date]
    )
    - 1,
Games[[#This Row],[Date]]-$A$2)</f>
        <v>6</v>
      </c>
      <c r="J207" s="2" cm="1">
        <f t="array" ref="J20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07" s="2">
        <f>Games[[#This Row],[DaysOff]]-Games[[#This Row],[OppDaysOff]]</f>
        <v>5</v>
      </c>
      <c r="L207" s="2">
        <f>Games[[#This Row],[OppDaysOff]]-Games[[#This Row],[DaysOff]]</f>
        <v>-5</v>
      </c>
      <c r="M207" s="1">
        <f>MAX(-16, MIN(16, Games[[#This Row],[RestDiff]]*8))</f>
        <v>16</v>
      </c>
      <c r="N207" s="1">
        <f>MAX(-16, MIN(16, Games[[#This Row],[OppRestDiff]]*8))</f>
        <v>-16</v>
      </c>
      <c r="O207" s="4" cm="1">
        <f t="array" ref="O20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1671.1485620609371</v>
      </c>
      <c r="P207" s="4" cm="1">
        <f t="array" ref="P20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1563.5654873075575</v>
      </c>
      <c r="Q207" s="4">
        <f>1/(1+10^(((Games[[#This Row],[OppPreGmRate]]+IF(Games[[#This Row],[HomeAway]]="A",HCA,0)+Games[[#This Row],[OppRestAdj]])-(Games[[#This Row],[PreGmRate]]+IF(Games[[#This Row],[HomeAway]]="H",HCA,0)+Games[[#This Row],[RestAdj]]))/400))</f>
        <v>0.78364705197790596</v>
      </c>
      <c r="R207" s="1">
        <v>84</v>
      </c>
      <c r="S207" s="1">
        <v>75</v>
      </c>
      <c r="T207" s="1">
        <v>0</v>
      </c>
      <c r="U207" s="1">
        <f>Games[[#This Row],[PointsFor]]-Games[[#This Row],[PointsAgainst]]</f>
        <v>9</v>
      </c>
      <c r="V207" s="1">
        <f>IF(Games[[#This Row],[MOV]]&gt;0,1,IF(Games[[#This Row],[MOV]]=0,0.5,0))</f>
        <v>1</v>
      </c>
      <c r="W207" s="4">
        <f>((ABS(Games[[#This Row],[MOV]])+5)^0.6)/(12+0.01*(ABS(Games[[#This Row],[PreGmRate]]-Games[[#This Row],[OppPreGmRate]])))*IF(Games[[#This Row],[OT]]=1,0.9,1)</f>
        <v>0.372569698998723</v>
      </c>
      <c r="X207" s="7" cm="1">
        <f t="array" ref="X20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7" s="9">
        <f>MAX(kmin, kmax - 0.15 * MIN(Games[[#This Row],[GamesPlayed]], 82))</f>
        <v>73.599999999999994</v>
      </c>
      <c r="Z207" s="4">
        <f>Games[[#This Row],[K]]*Games[[#This Row],[POMult]]</f>
        <v>73.599999999999994</v>
      </c>
      <c r="AA207" s="4">
        <f>(Games[[#This Row],[Keff]]*Games[[#This Row],[MOVMult]])*(Games[[#This Row],[Result]]-Games[[#This Row],[ExpectedWin%]])</f>
        <v>5.9326422803449352</v>
      </c>
      <c r="AB207" s="4">
        <f>Games[[#This Row],[PreGmRate]]+Games[[#This Row],[RatingChange]]</f>
        <v>1677.081204341282</v>
      </c>
      <c r="AC207" s="2">
        <f>IF(Games[[#This Row],[Type]]="R",IF(Games[[#This Row],[Result]]&gt;0.5,1,0),0)</f>
        <v>1</v>
      </c>
      <c r="AD207" s="2">
        <f>IF(Games[[#This Row],[Type]]="R",IF(Games[[#This Row],[Result]]&lt;0.5,1,0),0)</f>
        <v>0</v>
      </c>
      <c r="AE207" s="2">
        <f>IF(AND(Games[[#This Row],[Type]]="P",Games[[#This Row],[Round]]=1),IF(Games[[#This Row],[Result]]&gt;0.5,1,0),0)</f>
        <v>0</v>
      </c>
      <c r="AF207" s="2">
        <f>IF(AND(Games[[#This Row],[Type]]="P",Games[[#This Row],[Round]]=1),IF(Games[[#This Row],[Result]]&lt;0.5,1,0),0)</f>
        <v>0</v>
      </c>
      <c r="AG207" s="2">
        <f>IF(AND(Games[[#This Row],[Type]]="P",Games[[#This Row],[Round]]=2),IF(Games[[#This Row],[Result]]&gt;0.5,1,0),0)</f>
        <v>0</v>
      </c>
      <c r="AH207" s="2">
        <f>IF(AND(Games[[#This Row],[Type]]="P",Games[[#This Row],[Round]]=2),IF(Games[[#This Row],[Result]]&lt;0.5,1,0),0)</f>
        <v>0</v>
      </c>
      <c r="AI207" s="2">
        <f>IF(AND(Games[[#This Row],[Type]]="P",Games[[#This Row],[Round]]=3),IF(Games[[#This Row],[Result]]&gt;0.5,1,0),0)</f>
        <v>0</v>
      </c>
      <c r="AJ207" s="2">
        <f>IF(AND(Games[[#This Row],[Type]]="P",Games[[#This Row],[Round]]=3),IF(Games[[#This Row],[Result]]&lt;0.5,1,0),0)</f>
        <v>0</v>
      </c>
      <c r="AK207" s="2">
        <f>IF(AND(Games[[#This Row],[Type]]="P",Games[[#This Row],[Round]]=4),IF(Games[[#This Row],[Result]]&gt;0.5,1,0),0)</f>
        <v>0</v>
      </c>
      <c r="AL207" s="2">
        <f>IF(AND(Games[[#This Row],[Type]]="P",Games[[#This Row],[Round]]=4),IF(Games[[#This Row],[Result]]&lt;0.5,1,0),0)</f>
        <v>0</v>
      </c>
    </row>
    <row r="208" spans="1:38" x14ac:dyDescent="0.35">
      <c r="A208" s="10">
        <v>37807</v>
      </c>
      <c r="B208" s="2">
        <v>2003</v>
      </c>
      <c r="C208" s="2">
        <f>COUNTIFS(Games[Team],Games[[#This Row],[Team]],Games[Season],Games[[#This Row],[Season]],Games[Date],"&lt;=" &amp; Games[[#This Row],[Date]])</f>
        <v>14</v>
      </c>
      <c r="D208" s="2" t="s">
        <v>23</v>
      </c>
      <c r="E208" s="2" t="s">
        <v>29</v>
      </c>
      <c r="F208" s="1" t="s">
        <v>1</v>
      </c>
      <c r="G208" s="1" t="s">
        <v>78</v>
      </c>
      <c r="H208" s="1" t="s">
        <v>16</v>
      </c>
      <c r="I208" s="2" cm="1">
        <f t="array" ref="I208">IFERROR(
    Games[[#This Row],[Date]]
    - LOOKUP(
        2,
        1/((Games[Team]=Games[[#This Row],[Team]]) * (Games[Date] &lt; Games[[#This Row],[Date]])),
        Games[Date]
    )
    - 1,
Games[[#This Row],[Date]]-$A$2)</f>
        <v>2</v>
      </c>
      <c r="J208" s="2" cm="1">
        <f t="array" ref="J208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08" s="2">
        <f>Games[[#This Row],[DaysOff]]-Games[[#This Row],[OppDaysOff]]</f>
        <v>-1</v>
      </c>
      <c r="L208" s="2">
        <f>Games[[#This Row],[OppDaysOff]]-Games[[#This Row],[DaysOff]]</f>
        <v>1</v>
      </c>
      <c r="M208" s="1">
        <f>MAX(-16, MIN(16, Games[[#This Row],[RestDiff]]*8))</f>
        <v>-8</v>
      </c>
      <c r="N208" s="1">
        <f>MAX(-16, MIN(16, Games[[#This Row],[OppRestDiff]]*8))</f>
        <v>8</v>
      </c>
      <c r="O208" s="4" cm="1">
        <f t="array" ref="O20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1468.8052765742013</v>
      </c>
      <c r="P208" s="4" cm="1">
        <f t="array" ref="P20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1474.5523098341612</v>
      </c>
      <c r="Q208" s="4">
        <f>1/(1+10^(((Games[[#This Row],[OppPreGmRate]]+IF(Games[[#This Row],[HomeAway]]="A",HCA,0)+Games[[#This Row],[OppRestAdj]])-(Games[[#This Row],[PreGmRate]]+IF(Games[[#This Row],[HomeAway]]="H",HCA,0)+Games[[#This Row],[RestAdj]]))/400))</f>
        <v>0.35234921754350362</v>
      </c>
      <c r="R208" s="1">
        <v>79</v>
      </c>
      <c r="S208" s="1">
        <v>71</v>
      </c>
      <c r="T208" s="1">
        <v>0</v>
      </c>
      <c r="U208" s="1">
        <f>Games[[#This Row],[PointsFor]]-Games[[#This Row],[PointsAgainst]]</f>
        <v>8</v>
      </c>
      <c r="V208" s="1">
        <f>IF(Games[[#This Row],[MOV]]&gt;0,1,IF(Games[[#This Row],[MOV]]=0,0.5,0))</f>
        <v>1</v>
      </c>
      <c r="W208" s="4">
        <f>((ABS(Games[[#This Row],[MOV]])+5)^0.6)/(12+0.01*(ABS(Games[[#This Row],[PreGmRate]]-Games[[#This Row],[OppPreGmRate]])))*IF(Games[[#This Row],[OT]]=1,0.9,1)</f>
        <v>0.38646468052568811</v>
      </c>
      <c r="X208" s="7" cm="1">
        <f t="array" ref="X20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8" s="9">
        <f>MAX(kmin, kmax - 0.15 * MIN(Games[[#This Row],[GamesPlayed]], 82))</f>
        <v>73.900000000000006</v>
      </c>
      <c r="Z208" s="4">
        <f>Games[[#This Row],[K]]*Games[[#This Row],[POMult]]</f>
        <v>73.900000000000006</v>
      </c>
      <c r="AA208" s="4">
        <f>(Games[[#This Row],[Keff]]*Games[[#This Row],[MOVMult]])*(Games[[#This Row],[Result]]-Games[[#This Row],[ExpectedWin%]])</f>
        <v>18.496737887061947</v>
      </c>
      <c r="AB208" s="4">
        <f>Games[[#This Row],[PreGmRate]]+Games[[#This Row],[RatingChange]]</f>
        <v>1487.3020144612633</v>
      </c>
      <c r="AC208" s="2">
        <f>IF(Games[[#This Row],[Type]]="R",IF(Games[[#This Row],[Result]]&gt;0.5,1,0),0)</f>
        <v>1</v>
      </c>
      <c r="AD208" s="2">
        <f>IF(Games[[#This Row],[Type]]="R",IF(Games[[#This Row],[Result]]&lt;0.5,1,0),0)</f>
        <v>0</v>
      </c>
      <c r="AE208" s="2">
        <f>IF(AND(Games[[#This Row],[Type]]="P",Games[[#This Row],[Round]]=1),IF(Games[[#This Row],[Result]]&gt;0.5,1,0),0)</f>
        <v>0</v>
      </c>
      <c r="AF208" s="2">
        <f>IF(AND(Games[[#This Row],[Type]]="P",Games[[#This Row],[Round]]=1),IF(Games[[#This Row],[Result]]&lt;0.5,1,0),0)</f>
        <v>0</v>
      </c>
      <c r="AG208" s="2">
        <f>IF(AND(Games[[#This Row],[Type]]="P",Games[[#This Row],[Round]]=2),IF(Games[[#This Row],[Result]]&gt;0.5,1,0),0)</f>
        <v>0</v>
      </c>
      <c r="AH208" s="2">
        <f>IF(AND(Games[[#This Row],[Type]]="P",Games[[#This Row],[Round]]=2),IF(Games[[#This Row],[Result]]&lt;0.5,1,0),0)</f>
        <v>0</v>
      </c>
      <c r="AI208" s="2">
        <f>IF(AND(Games[[#This Row],[Type]]="P",Games[[#This Row],[Round]]=3),IF(Games[[#This Row],[Result]]&gt;0.5,1,0),0)</f>
        <v>0</v>
      </c>
      <c r="AJ208" s="2">
        <f>IF(AND(Games[[#This Row],[Type]]="P",Games[[#This Row],[Round]]=3),IF(Games[[#This Row],[Result]]&lt;0.5,1,0),0)</f>
        <v>0</v>
      </c>
      <c r="AK208" s="2">
        <f>IF(AND(Games[[#This Row],[Type]]="P",Games[[#This Row],[Round]]=4),IF(Games[[#This Row],[Result]]&gt;0.5,1,0),0)</f>
        <v>0</v>
      </c>
      <c r="AL208" s="2">
        <f>IF(AND(Games[[#This Row],[Type]]="P",Games[[#This Row],[Round]]=4),IF(Games[[#This Row],[Result]]&lt;0.5,1,0),0)</f>
        <v>0</v>
      </c>
    </row>
    <row r="209" spans="1:38" x14ac:dyDescent="0.35">
      <c r="A209" s="10">
        <v>37807</v>
      </c>
      <c r="B209" s="2">
        <v>2003</v>
      </c>
      <c r="C209" s="2">
        <f>COUNTIFS(Games[Team],Games[[#This Row],[Team]],Games[Season],Games[[#This Row],[Season]],Games[Date],"&lt;=" &amp; Games[[#This Row],[Date]])</f>
        <v>15</v>
      </c>
      <c r="D209" s="2" t="s">
        <v>23</v>
      </c>
      <c r="E209" s="2" t="s">
        <v>29</v>
      </c>
      <c r="F209" s="1" t="s">
        <v>78</v>
      </c>
      <c r="G209" s="1" t="s">
        <v>1</v>
      </c>
      <c r="H209" s="1" t="s">
        <v>15</v>
      </c>
      <c r="I209" s="2" cm="1">
        <f t="array" ref="I209">IFERROR(
    Games[[#This Row],[Date]]
    - LOOKUP(
        2,
        1/((Games[Team]=Games[[#This Row],[Team]]) * (Games[Date] &lt; Games[[#This Row],[Date]])),
        Games[Date]
    )
    - 1,
Games[[#This Row],[Date]]-$A$2)</f>
        <v>3</v>
      </c>
      <c r="J209" s="2" cm="1">
        <f t="array" ref="J20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09" s="2">
        <f>Games[[#This Row],[DaysOff]]-Games[[#This Row],[OppDaysOff]]</f>
        <v>1</v>
      </c>
      <c r="L209" s="2">
        <f>Games[[#This Row],[OppDaysOff]]-Games[[#This Row],[DaysOff]]</f>
        <v>-1</v>
      </c>
      <c r="M209" s="1">
        <f>MAX(-16, MIN(16, Games[[#This Row],[RestDiff]]*8))</f>
        <v>8</v>
      </c>
      <c r="N209" s="1">
        <f>MAX(-16, MIN(16, Games[[#This Row],[OppRestDiff]]*8))</f>
        <v>-8</v>
      </c>
      <c r="O209" s="4" cm="1">
        <f t="array" ref="O20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1474.5523098341612</v>
      </c>
      <c r="P209" s="4" cm="1">
        <f t="array" ref="P20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1468.8052765742013</v>
      </c>
      <c r="Q209" s="4">
        <f>1/(1+10^(((Games[[#This Row],[OppPreGmRate]]+IF(Games[[#This Row],[HomeAway]]="A",HCA,0)+Games[[#This Row],[OppRestAdj]])-(Games[[#This Row],[PreGmRate]]+IF(Games[[#This Row],[HomeAway]]="H",HCA,0)+Games[[#This Row],[RestAdj]]))/400))</f>
        <v>0.64765078245649643</v>
      </c>
      <c r="R209" s="1">
        <v>71</v>
      </c>
      <c r="S209" s="1">
        <v>79</v>
      </c>
      <c r="T209" s="1">
        <v>0</v>
      </c>
      <c r="U209" s="1">
        <f>Games[[#This Row],[PointsFor]]-Games[[#This Row],[PointsAgainst]]</f>
        <v>-8</v>
      </c>
      <c r="V209" s="1">
        <f>IF(Games[[#This Row],[MOV]]&gt;0,1,IF(Games[[#This Row],[MOV]]=0,0.5,0))</f>
        <v>0</v>
      </c>
      <c r="W209" s="4">
        <f>((ABS(Games[[#This Row],[MOV]])+5)^0.6)/(12+0.01*(ABS(Games[[#This Row],[PreGmRate]]-Games[[#This Row],[OppPreGmRate]])))*IF(Games[[#This Row],[OT]]=1,0.9,1)</f>
        <v>0.38646468052568811</v>
      </c>
      <c r="X209" s="7" cm="1">
        <f t="array" ref="X20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9" s="9">
        <f>MAX(kmin, kmax - 0.15 * MIN(Games[[#This Row],[GamesPlayed]], 82))</f>
        <v>73.75</v>
      </c>
      <c r="Z209" s="4">
        <f>Games[[#This Row],[K]]*Games[[#This Row],[POMult]]</f>
        <v>73.75</v>
      </c>
      <c r="AA209" s="4">
        <f>(Games[[#This Row],[Keff]]*Games[[#This Row],[MOVMult]])*(Games[[#This Row],[Result]]-Games[[#This Row],[ExpectedWin%]])</f>
        <v>-18.459193764151809</v>
      </c>
      <c r="AB209" s="4">
        <f>Games[[#This Row],[PreGmRate]]+Games[[#This Row],[RatingChange]]</f>
        <v>1456.0931160700093</v>
      </c>
      <c r="AC209" s="2">
        <f>IF(Games[[#This Row],[Type]]="R",IF(Games[[#This Row],[Result]]&gt;0.5,1,0),0)</f>
        <v>0</v>
      </c>
      <c r="AD209" s="2">
        <f>IF(Games[[#This Row],[Type]]="R",IF(Games[[#This Row],[Result]]&lt;0.5,1,0),0)</f>
        <v>1</v>
      </c>
      <c r="AE209" s="2">
        <f>IF(AND(Games[[#This Row],[Type]]="P",Games[[#This Row],[Round]]=1),IF(Games[[#This Row],[Result]]&gt;0.5,1,0),0)</f>
        <v>0</v>
      </c>
      <c r="AF209" s="2">
        <f>IF(AND(Games[[#This Row],[Type]]="P",Games[[#This Row],[Round]]=1),IF(Games[[#This Row],[Result]]&lt;0.5,1,0),0)</f>
        <v>0</v>
      </c>
      <c r="AG209" s="2">
        <f>IF(AND(Games[[#This Row],[Type]]="P",Games[[#This Row],[Round]]=2),IF(Games[[#This Row],[Result]]&gt;0.5,1,0),0)</f>
        <v>0</v>
      </c>
      <c r="AH209" s="2">
        <f>IF(AND(Games[[#This Row],[Type]]="P",Games[[#This Row],[Round]]=2),IF(Games[[#This Row],[Result]]&lt;0.5,1,0),0)</f>
        <v>0</v>
      </c>
      <c r="AI209" s="2">
        <f>IF(AND(Games[[#This Row],[Type]]="P",Games[[#This Row],[Round]]=3),IF(Games[[#This Row],[Result]]&gt;0.5,1,0),0)</f>
        <v>0</v>
      </c>
      <c r="AJ209" s="2">
        <f>IF(AND(Games[[#This Row],[Type]]="P",Games[[#This Row],[Round]]=3),IF(Games[[#This Row],[Result]]&lt;0.5,1,0),0)</f>
        <v>0</v>
      </c>
      <c r="AK209" s="2">
        <f>IF(AND(Games[[#This Row],[Type]]="P",Games[[#This Row],[Round]]=4),IF(Games[[#This Row],[Result]]&gt;0.5,1,0),0)</f>
        <v>0</v>
      </c>
      <c r="AL209" s="2">
        <f>IF(AND(Games[[#This Row],[Type]]="P",Games[[#This Row],[Round]]=4),IF(Games[[#This Row],[Result]]&lt;0.5,1,0),0)</f>
        <v>0</v>
      </c>
    </row>
    <row r="210" spans="1:38" x14ac:dyDescent="0.35">
      <c r="A210" s="10">
        <v>37807</v>
      </c>
      <c r="B210" s="2">
        <v>2003</v>
      </c>
      <c r="C210" s="2">
        <f>COUNTIFS(Games[Team],Games[[#This Row],[Team]],Games[Season],Games[[#This Row],[Season]],Games[Date],"&lt;=" &amp; Games[[#This Row],[Date]])</f>
        <v>16</v>
      </c>
      <c r="D210" s="2" t="s">
        <v>23</v>
      </c>
      <c r="E210" s="2" t="s">
        <v>29</v>
      </c>
      <c r="F210" s="1" t="s">
        <v>44</v>
      </c>
      <c r="G210" s="1" t="s">
        <v>85</v>
      </c>
      <c r="H210" s="1" t="s">
        <v>16</v>
      </c>
      <c r="I210" s="2" cm="1">
        <f t="array" ref="I210">IFERROR(
    Games[[#This Row],[Date]]
    - LOOKUP(
        2,
        1/((Games[Team]=Games[[#This Row],[Team]]) * (Games[Date] &lt; Games[[#This Row],[Date]])),
        Games[Date]
    )
    - 1,
Games[[#This Row],[Date]]-$A$2)</f>
        <v>2</v>
      </c>
      <c r="J210" s="2" cm="1">
        <f t="array" ref="J210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10" s="2">
        <f>Games[[#This Row],[DaysOff]]-Games[[#This Row],[OppDaysOff]]</f>
        <v>-1</v>
      </c>
      <c r="L210" s="2">
        <f>Games[[#This Row],[OppDaysOff]]-Games[[#This Row],[DaysOff]]</f>
        <v>1</v>
      </c>
      <c r="M210" s="1">
        <f>MAX(-16, MIN(16, Games[[#This Row],[RestDiff]]*8))</f>
        <v>-8</v>
      </c>
      <c r="N210" s="1">
        <f>MAX(-16, MIN(16, Games[[#This Row],[OppRestDiff]]*8))</f>
        <v>8</v>
      </c>
      <c r="O210" s="4" cm="1">
        <f t="array" ref="O21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1378.173730939935</v>
      </c>
      <c r="P210" s="4" cm="1">
        <f t="array" ref="P21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1441.7921741463631</v>
      </c>
      <c r="Q210" s="4">
        <f>1/(1+10^(((Games[[#This Row],[OppPreGmRate]]+IF(Games[[#This Row],[HomeAway]]="A",HCA,0)+Games[[#This Row],[OppRestAdj]])-(Games[[#This Row],[PreGmRate]]+IF(Games[[#This Row],[HomeAway]]="H",HCA,0)+Games[[#This Row],[RestAdj]]))/400))</f>
        <v>0.28052408392277156</v>
      </c>
      <c r="R210" s="1">
        <v>70</v>
      </c>
      <c r="S210" s="1">
        <v>81</v>
      </c>
      <c r="T210" s="1">
        <v>0</v>
      </c>
      <c r="U210" s="1">
        <f>Games[[#This Row],[PointsFor]]-Games[[#This Row],[PointsAgainst]]</f>
        <v>-11</v>
      </c>
      <c r="V210" s="1">
        <f>IF(Games[[#This Row],[MOV]]&gt;0,1,IF(Games[[#This Row],[MOV]]=0,0.5,0))</f>
        <v>0</v>
      </c>
      <c r="W210" s="4">
        <f>((ABS(Games[[#This Row],[MOV]])+5)^0.6)/(12+0.01*(ABS(Games[[#This Row],[PreGmRate]]-Games[[#This Row],[OppPreGmRate]])))*IF(Games[[#This Row],[OT]]=1,0.9,1)</f>
        <v>0.41769188092084086</v>
      </c>
      <c r="X210" s="7" cm="1">
        <f t="array" ref="X21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0" s="9">
        <f>MAX(kmin, kmax - 0.15 * MIN(Games[[#This Row],[GamesPlayed]], 82))</f>
        <v>73.599999999999994</v>
      </c>
      <c r="Z210" s="4">
        <f>Games[[#This Row],[K]]*Games[[#This Row],[POMult]]</f>
        <v>73.599999999999994</v>
      </c>
      <c r="AA210" s="4">
        <f>(Games[[#This Row],[Keff]]*Games[[#This Row],[MOVMult]])*(Games[[#This Row],[Result]]-Games[[#This Row],[ExpectedWin%]])</f>
        <v>-8.6239057341371517</v>
      </c>
      <c r="AB210" s="4">
        <f>Games[[#This Row],[PreGmRate]]+Games[[#This Row],[RatingChange]]</f>
        <v>1369.5498252057978</v>
      </c>
      <c r="AC210" s="2">
        <f>IF(Games[[#This Row],[Type]]="R",IF(Games[[#This Row],[Result]]&gt;0.5,1,0),0)</f>
        <v>0</v>
      </c>
      <c r="AD210" s="2">
        <f>IF(Games[[#This Row],[Type]]="R",IF(Games[[#This Row],[Result]]&lt;0.5,1,0),0)</f>
        <v>1</v>
      </c>
      <c r="AE210" s="2">
        <f>IF(AND(Games[[#This Row],[Type]]="P",Games[[#This Row],[Round]]=1),IF(Games[[#This Row],[Result]]&gt;0.5,1,0),0)</f>
        <v>0</v>
      </c>
      <c r="AF210" s="2">
        <f>IF(AND(Games[[#This Row],[Type]]="P",Games[[#This Row],[Round]]=1),IF(Games[[#This Row],[Result]]&lt;0.5,1,0),0)</f>
        <v>0</v>
      </c>
      <c r="AG210" s="2">
        <f>IF(AND(Games[[#This Row],[Type]]="P",Games[[#This Row],[Round]]=2),IF(Games[[#This Row],[Result]]&gt;0.5,1,0),0)</f>
        <v>0</v>
      </c>
      <c r="AH210" s="2">
        <f>IF(AND(Games[[#This Row],[Type]]="P",Games[[#This Row],[Round]]=2),IF(Games[[#This Row],[Result]]&lt;0.5,1,0),0)</f>
        <v>0</v>
      </c>
      <c r="AI210" s="2">
        <f>IF(AND(Games[[#This Row],[Type]]="P",Games[[#This Row],[Round]]=3),IF(Games[[#This Row],[Result]]&gt;0.5,1,0),0)</f>
        <v>0</v>
      </c>
      <c r="AJ210" s="2">
        <f>IF(AND(Games[[#This Row],[Type]]="P",Games[[#This Row],[Round]]=3),IF(Games[[#This Row],[Result]]&lt;0.5,1,0),0)</f>
        <v>0</v>
      </c>
      <c r="AK210" s="2">
        <f>IF(AND(Games[[#This Row],[Type]]="P",Games[[#This Row],[Round]]=4),IF(Games[[#This Row],[Result]]&gt;0.5,1,0),0)</f>
        <v>0</v>
      </c>
      <c r="AL210" s="2">
        <f>IF(AND(Games[[#This Row],[Type]]="P",Games[[#This Row],[Round]]=4),IF(Games[[#This Row],[Result]]&lt;0.5,1,0),0)</f>
        <v>0</v>
      </c>
    </row>
    <row r="211" spans="1:38" x14ac:dyDescent="0.35">
      <c r="A211" s="10">
        <v>37807</v>
      </c>
      <c r="B211" s="2">
        <v>2003</v>
      </c>
      <c r="C211" s="2">
        <f>COUNTIFS(Games[Team],Games[[#This Row],[Team]],Games[Season],Games[[#This Row],[Season]],Games[Date],"&lt;=" &amp; Games[[#This Row],[Date]])</f>
        <v>16</v>
      </c>
      <c r="D211" s="2" t="s">
        <v>23</v>
      </c>
      <c r="E211" s="2" t="s">
        <v>29</v>
      </c>
      <c r="F211" s="1" t="s">
        <v>85</v>
      </c>
      <c r="G211" s="1" t="s">
        <v>44</v>
      </c>
      <c r="H211" s="1" t="s">
        <v>15</v>
      </c>
      <c r="I211" s="2" cm="1">
        <f t="array" ref="I211">IFERROR(
    Games[[#This Row],[Date]]
    - LOOKUP(
        2,
        1/((Games[Team]=Games[[#This Row],[Team]]) * (Games[Date] &lt; Games[[#This Row],[Date]])),
        Games[Date]
    )
    - 1,
Games[[#This Row],[Date]]-$A$2)</f>
        <v>3</v>
      </c>
      <c r="J211" s="2" cm="1">
        <f t="array" ref="J21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11" s="2">
        <f>Games[[#This Row],[DaysOff]]-Games[[#This Row],[OppDaysOff]]</f>
        <v>1</v>
      </c>
      <c r="L211" s="2">
        <f>Games[[#This Row],[OppDaysOff]]-Games[[#This Row],[DaysOff]]</f>
        <v>-1</v>
      </c>
      <c r="M211" s="1">
        <f>MAX(-16, MIN(16, Games[[#This Row],[RestDiff]]*8))</f>
        <v>8</v>
      </c>
      <c r="N211" s="1">
        <f>MAX(-16, MIN(16, Games[[#This Row],[OppRestDiff]]*8))</f>
        <v>-8</v>
      </c>
      <c r="O211" s="4" cm="1">
        <f t="array" ref="O21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1441.7921741463631</v>
      </c>
      <c r="P211" s="4" cm="1">
        <f t="array" ref="P21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1378.173730939935</v>
      </c>
      <c r="Q211" s="4">
        <f>1/(1+10^(((Games[[#This Row],[OppPreGmRate]]+IF(Games[[#This Row],[HomeAway]]="A",HCA,0)+Games[[#This Row],[OppRestAdj]])-(Games[[#This Row],[PreGmRate]]+IF(Games[[#This Row],[HomeAway]]="H",HCA,0)+Games[[#This Row],[RestAdj]]))/400))</f>
        <v>0.71947591607722849</v>
      </c>
      <c r="R211" s="1">
        <v>81</v>
      </c>
      <c r="S211" s="1">
        <v>70</v>
      </c>
      <c r="T211" s="1">
        <v>0</v>
      </c>
      <c r="U211" s="1">
        <f>Games[[#This Row],[PointsFor]]-Games[[#This Row],[PointsAgainst]]</f>
        <v>11</v>
      </c>
      <c r="V211" s="1">
        <f>IF(Games[[#This Row],[MOV]]&gt;0,1,IF(Games[[#This Row],[MOV]]=0,0.5,0))</f>
        <v>1</v>
      </c>
      <c r="W211" s="4">
        <f>((ABS(Games[[#This Row],[MOV]])+5)^0.6)/(12+0.01*(ABS(Games[[#This Row],[PreGmRate]]-Games[[#This Row],[OppPreGmRate]])))*IF(Games[[#This Row],[OT]]=1,0.9,1)</f>
        <v>0.41769188092084086</v>
      </c>
      <c r="X211" s="7" cm="1">
        <f t="array" ref="X21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1" s="9">
        <f>MAX(kmin, kmax - 0.15 * MIN(Games[[#This Row],[GamesPlayed]], 82))</f>
        <v>73.599999999999994</v>
      </c>
      <c r="Z211" s="4">
        <f>Games[[#This Row],[K]]*Games[[#This Row],[POMult]]</f>
        <v>73.599999999999994</v>
      </c>
      <c r="AA211" s="4">
        <f>(Games[[#This Row],[Keff]]*Games[[#This Row],[MOVMult]])*(Games[[#This Row],[Result]]-Games[[#This Row],[ExpectedWin%]])</f>
        <v>8.6239057341371499</v>
      </c>
      <c r="AB211" s="4">
        <f>Games[[#This Row],[PreGmRate]]+Games[[#This Row],[RatingChange]]</f>
        <v>1450.4160798805003</v>
      </c>
      <c r="AC211" s="2">
        <f>IF(Games[[#This Row],[Type]]="R",IF(Games[[#This Row],[Result]]&gt;0.5,1,0),0)</f>
        <v>1</v>
      </c>
      <c r="AD211" s="2">
        <f>IF(Games[[#This Row],[Type]]="R",IF(Games[[#This Row],[Result]]&lt;0.5,1,0),0)</f>
        <v>0</v>
      </c>
      <c r="AE211" s="2">
        <f>IF(AND(Games[[#This Row],[Type]]="P",Games[[#This Row],[Round]]=1),IF(Games[[#This Row],[Result]]&gt;0.5,1,0),0)</f>
        <v>0</v>
      </c>
      <c r="AF211" s="2">
        <f>IF(AND(Games[[#This Row],[Type]]="P",Games[[#This Row],[Round]]=1),IF(Games[[#This Row],[Result]]&lt;0.5,1,0),0)</f>
        <v>0</v>
      </c>
      <c r="AG211" s="2">
        <f>IF(AND(Games[[#This Row],[Type]]="P",Games[[#This Row],[Round]]=2),IF(Games[[#This Row],[Result]]&gt;0.5,1,0),0)</f>
        <v>0</v>
      </c>
      <c r="AH211" s="2">
        <f>IF(AND(Games[[#This Row],[Type]]="P",Games[[#This Row],[Round]]=2),IF(Games[[#This Row],[Result]]&lt;0.5,1,0),0)</f>
        <v>0</v>
      </c>
      <c r="AI211" s="2">
        <f>IF(AND(Games[[#This Row],[Type]]="P",Games[[#This Row],[Round]]=3),IF(Games[[#This Row],[Result]]&gt;0.5,1,0),0)</f>
        <v>0</v>
      </c>
      <c r="AJ211" s="2">
        <f>IF(AND(Games[[#This Row],[Type]]="P",Games[[#This Row],[Round]]=3),IF(Games[[#This Row],[Result]]&lt;0.5,1,0),0)</f>
        <v>0</v>
      </c>
      <c r="AK211" s="2">
        <f>IF(AND(Games[[#This Row],[Type]]="P",Games[[#This Row],[Round]]=4),IF(Games[[#This Row],[Result]]&gt;0.5,1,0),0)</f>
        <v>0</v>
      </c>
      <c r="AL211" s="2">
        <f>IF(AND(Games[[#This Row],[Type]]="P",Games[[#This Row],[Round]]=4),IF(Games[[#This Row],[Result]]&lt;0.5,1,0),0)</f>
        <v>0</v>
      </c>
    </row>
    <row r="212" spans="1:38" x14ac:dyDescent="0.35">
      <c r="A212" s="10">
        <v>37808</v>
      </c>
      <c r="B212" s="2">
        <v>2003</v>
      </c>
      <c r="C212" s="2">
        <f>COUNTIFS(Games[Team],Games[[#This Row],[Team]],Games[Season],Games[[#This Row],[Season]],Games[Date],"&lt;=" &amp; Games[[#This Row],[Date]])</f>
        <v>13</v>
      </c>
      <c r="D212" s="2" t="s">
        <v>23</v>
      </c>
      <c r="E212" s="2" t="s">
        <v>29</v>
      </c>
      <c r="F212" s="1" t="s">
        <v>66</v>
      </c>
      <c r="G212" s="1" t="s">
        <v>87</v>
      </c>
      <c r="H212" s="1" t="s">
        <v>16</v>
      </c>
      <c r="I212" s="2" cm="1">
        <f t="array" ref="I212">IFERROR(
    Games[[#This Row],[Date]]
    - LOOKUP(
        2,
        1/((Games[Team]=Games[[#This Row],[Team]]) * (Games[Date] &lt; Games[[#This Row],[Date]])),
        Games[Date]
    )
    - 1,
Games[[#This Row],[Date]]-$A$2)</f>
        <v>4</v>
      </c>
      <c r="J212" s="2" cm="1">
        <f t="array" ref="J21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12" s="2">
        <f>Games[[#This Row],[DaysOff]]-Games[[#This Row],[OppDaysOff]]</f>
        <v>3</v>
      </c>
      <c r="L212" s="2">
        <f>Games[[#This Row],[OppDaysOff]]-Games[[#This Row],[DaysOff]]</f>
        <v>-3</v>
      </c>
      <c r="M212" s="1">
        <f>MAX(-16, MIN(16, Games[[#This Row],[RestDiff]]*8))</f>
        <v>16</v>
      </c>
      <c r="N212" s="1">
        <f>MAX(-16, MIN(16, Games[[#This Row],[OppRestDiff]]*8))</f>
        <v>-16</v>
      </c>
      <c r="O212" s="4" cm="1">
        <f t="array" ref="O21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1530.7853174850768</v>
      </c>
      <c r="P212" s="4" cm="1">
        <f t="array" ref="P21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1488.3546499496392</v>
      </c>
      <c r="Q212" s="4">
        <f>1/(1+10^(((Games[[#This Row],[OppPreGmRate]]+IF(Games[[#This Row],[HomeAway]]="A",HCA,0)+Games[[#This Row],[OppRestAdj]])-(Games[[#This Row],[PreGmRate]]+IF(Games[[#This Row],[HomeAway]]="H",HCA,0)+Games[[#This Row],[RestAdj]]))/400))</f>
        <v>0.48623210485378765</v>
      </c>
      <c r="R212" s="1">
        <v>58</v>
      </c>
      <c r="S212" s="1">
        <v>62</v>
      </c>
      <c r="T212" s="1">
        <v>0</v>
      </c>
      <c r="U212" s="1">
        <f>Games[[#This Row],[PointsFor]]-Games[[#This Row],[PointsAgainst]]</f>
        <v>-4</v>
      </c>
      <c r="V212" s="1">
        <f>IF(Games[[#This Row],[MOV]]&gt;0,1,IF(Games[[#This Row],[MOV]]=0,0.5,0))</f>
        <v>0</v>
      </c>
      <c r="W212" s="4">
        <f>((ABS(Games[[#This Row],[MOV]])+5)^0.6)/(12+0.01*(ABS(Games[[#This Row],[PreGmRate]]-Games[[#This Row],[OppPreGmRate]])))*IF(Games[[#This Row],[OT]]=1,0.9,1)</f>
        <v>0.30079689084461181</v>
      </c>
      <c r="X212" s="7" cm="1">
        <f t="array" ref="X21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2" s="9">
        <f>MAX(kmin, kmax - 0.15 * MIN(Games[[#This Row],[GamesPlayed]], 82))</f>
        <v>74.05</v>
      </c>
      <c r="Z212" s="4">
        <f>Games[[#This Row],[K]]*Games[[#This Row],[POMult]]</f>
        <v>74.05</v>
      </c>
      <c r="AA212" s="4">
        <f>(Games[[#This Row],[Keff]]*Games[[#This Row],[MOVMult]])*(Games[[#This Row],[Result]]-Games[[#This Row],[ExpectedWin%]])</f>
        <v>-10.830338652563386</v>
      </c>
      <c r="AB212" s="4">
        <f>Games[[#This Row],[PreGmRate]]+Games[[#This Row],[RatingChange]]</f>
        <v>1519.9549788325135</v>
      </c>
      <c r="AC212" s="2">
        <f>IF(Games[[#This Row],[Type]]="R",IF(Games[[#This Row],[Result]]&gt;0.5,1,0),0)</f>
        <v>0</v>
      </c>
      <c r="AD212" s="2">
        <f>IF(Games[[#This Row],[Type]]="R",IF(Games[[#This Row],[Result]]&lt;0.5,1,0),0)</f>
        <v>1</v>
      </c>
      <c r="AE212" s="2">
        <f>IF(AND(Games[[#This Row],[Type]]="P",Games[[#This Row],[Round]]=1),IF(Games[[#This Row],[Result]]&gt;0.5,1,0),0)</f>
        <v>0</v>
      </c>
      <c r="AF212" s="2">
        <f>IF(AND(Games[[#This Row],[Type]]="P",Games[[#This Row],[Round]]=1),IF(Games[[#This Row],[Result]]&lt;0.5,1,0),0)</f>
        <v>0</v>
      </c>
      <c r="AG212" s="2">
        <f>IF(AND(Games[[#This Row],[Type]]="P",Games[[#This Row],[Round]]=2),IF(Games[[#This Row],[Result]]&gt;0.5,1,0),0)</f>
        <v>0</v>
      </c>
      <c r="AH212" s="2">
        <f>IF(AND(Games[[#This Row],[Type]]="P",Games[[#This Row],[Round]]=2),IF(Games[[#This Row],[Result]]&lt;0.5,1,0),0)</f>
        <v>0</v>
      </c>
      <c r="AI212" s="2">
        <f>IF(AND(Games[[#This Row],[Type]]="P",Games[[#This Row],[Round]]=3),IF(Games[[#This Row],[Result]]&gt;0.5,1,0),0)</f>
        <v>0</v>
      </c>
      <c r="AJ212" s="2">
        <f>IF(AND(Games[[#This Row],[Type]]="P",Games[[#This Row],[Round]]=3),IF(Games[[#This Row],[Result]]&lt;0.5,1,0),0)</f>
        <v>0</v>
      </c>
      <c r="AK212" s="2">
        <f>IF(AND(Games[[#This Row],[Type]]="P",Games[[#This Row],[Round]]=4),IF(Games[[#This Row],[Result]]&gt;0.5,1,0),0)</f>
        <v>0</v>
      </c>
      <c r="AL212" s="2">
        <f>IF(AND(Games[[#This Row],[Type]]="P",Games[[#This Row],[Round]]=4),IF(Games[[#This Row],[Result]]&lt;0.5,1,0),0)</f>
        <v>0</v>
      </c>
    </row>
    <row r="213" spans="1:38" x14ac:dyDescent="0.35">
      <c r="A213" s="10">
        <v>37808</v>
      </c>
      <c r="B213" s="2">
        <v>2003</v>
      </c>
      <c r="C213" s="2">
        <f>COUNTIFS(Games[Team],Games[[#This Row],[Team]],Games[Season],Games[[#This Row],[Season]],Games[Date],"&lt;=" &amp; Games[[#This Row],[Date]])</f>
        <v>17</v>
      </c>
      <c r="D213" s="2" t="s">
        <v>23</v>
      </c>
      <c r="E213" s="2" t="s">
        <v>29</v>
      </c>
      <c r="F213" s="1" t="s">
        <v>87</v>
      </c>
      <c r="G213" s="1" t="s">
        <v>66</v>
      </c>
      <c r="H213" s="1" t="s">
        <v>15</v>
      </c>
      <c r="I213" s="2" cm="1">
        <f t="array" ref="I213">IFERROR(
    Games[[#This Row],[Date]]
    - LOOKUP(
        2,
        1/((Games[Team]=Games[[#This Row],[Team]]) * (Games[Date] &lt; Games[[#This Row],[Date]])),
        Games[Date]
    )
    - 1,
Games[[#This Row],[Date]]-$A$2)</f>
        <v>1</v>
      </c>
      <c r="J213" s="2" cm="1">
        <f t="array" ref="J213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213" s="2">
        <f>Games[[#This Row],[DaysOff]]-Games[[#This Row],[OppDaysOff]]</f>
        <v>-3</v>
      </c>
      <c r="L213" s="2">
        <f>Games[[#This Row],[OppDaysOff]]-Games[[#This Row],[DaysOff]]</f>
        <v>3</v>
      </c>
      <c r="M213" s="1">
        <f>MAX(-16, MIN(16, Games[[#This Row],[RestDiff]]*8))</f>
        <v>-16</v>
      </c>
      <c r="N213" s="1">
        <f>MAX(-16, MIN(16, Games[[#This Row],[OppRestDiff]]*8))</f>
        <v>16</v>
      </c>
      <c r="O213" s="4" cm="1">
        <f t="array" ref="O21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1488.3546499496392</v>
      </c>
      <c r="P213" s="4" cm="1">
        <f t="array" ref="P21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1530.7853174850768</v>
      </c>
      <c r="Q213" s="4">
        <f>1/(1+10^(((Games[[#This Row],[OppPreGmRate]]+IF(Games[[#This Row],[HomeAway]]="A",HCA,0)+Games[[#This Row],[OppRestAdj]])-(Games[[#This Row],[PreGmRate]]+IF(Games[[#This Row],[HomeAway]]="H",HCA,0)+Games[[#This Row],[RestAdj]]))/400))</f>
        <v>0.51376789514621246</v>
      </c>
      <c r="R213" s="1">
        <v>62</v>
      </c>
      <c r="S213" s="1">
        <v>58</v>
      </c>
      <c r="T213" s="1">
        <v>0</v>
      </c>
      <c r="U213" s="1">
        <f>Games[[#This Row],[PointsFor]]-Games[[#This Row],[PointsAgainst]]</f>
        <v>4</v>
      </c>
      <c r="V213" s="1">
        <f>IF(Games[[#This Row],[MOV]]&gt;0,1,IF(Games[[#This Row],[MOV]]=0,0.5,0))</f>
        <v>1</v>
      </c>
      <c r="W213" s="4">
        <f>((ABS(Games[[#This Row],[MOV]])+5)^0.6)/(12+0.01*(ABS(Games[[#This Row],[PreGmRate]]-Games[[#This Row],[OppPreGmRate]])))*IF(Games[[#This Row],[OT]]=1,0.9,1)</f>
        <v>0.30079689084461181</v>
      </c>
      <c r="X213" s="7" cm="1">
        <f t="array" ref="X21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3" s="9">
        <f>MAX(kmin, kmax - 0.15 * MIN(Games[[#This Row],[GamesPlayed]], 82))</f>
        <v>73.45</v>
      </c>
      <c r="Z213" s="4">
        <f>Games[[#This Row],[K]]*Games[[#This Row],[POMult]]</f>
        <v>73.45</v>
      </c>
      <c r="AA213" s="4">
        <f>(Games[[#This Row],[Keff]]*Games[[#This Row],[MOVMult]])*(Games[[#This Row],[Result]]-Games[[#This Row],[ExpectedWin%]])</f>
        <v>10.742584389342076</v>
      </c>
      <c r="AB213" s="4">
        <f>Games[[#This Row],[PreGmRate]]+Games[[#This Row],[RatingChange]]</f>
        <v>1499.0972343389813</v>
      </c>
      <c r="AC213" s="2">
        <f>IF(Games[[#This Row],[Type]]="R",IF(Games[[#This Row],[Result]]&gt;0.5,1,0),0)</f>
        <v>1</v>
      </c>
      <c r="AD213" s="2">
        <f>IF(Games[[#This Row],[Type]]="R",IF(Games[[#This Row],[Result]]&lt;0.5,1,0),0)</f>
        <v>0</v>
      </c>
      <c r="AE213" s="2">
        <f>IF(AND(Games[[#This Row],[Type]]="P",Games[[#This Row],[Round]]=1),IF(Games[[#This Row],[Result]]&gt;0.5,1,0),0)</f>
        <v>0</v>
      </c>
      <c r="AF213" s="2">
        <f>IF(AND(Games[[#This Row],[Type]]="P",Games[[#This Row],[Round]]=1),IF(Games[[#This Row],[Result]]&lt;0.5,1,0),0)</f>
        <v>0</v>
      </c>
      <c r="AG213" s="2">
        <f>IF(AND(Games[[#This Row],[Type]]="P",Games[[#This Row],[Round]]=2),IF(Games[[#This Row],[Result]]&gt;0.5,1,0),0)</f>
        <v>0</v>
      </c>
      <c r="AH213" s="2">
        <f>IF(AND(Games[[#This Row],[Type]]="P",Games[[#This Row],[Round]]=2),IF(Games[[#This Row],[Result]]&lt;0.5,1,0),0)</f>
        <v>0</v>
      </c>
      <c r="AI213" s="2">
        <f>IF(AND(Games[[#This Row],[Type]]="P",Games[[#This Row],[Round]]=3),IF(Games[[#This Row],[Result]]&gt;0.5,1,0),0)</f>
        <v>0</v>
      </c>
      <c r="AJ213" s="2">
        <f>IF(AND(Games[[#This Row],[Type]]="P",Games[[#This Row],[Round]]=3),IF(Games[[#This Row],[Result]]&lt;0.5,1,0),0)</f>
        <v>0</v>
      </c>
      <c r="AK213" s="2">
        <f>IF(AND(Games[[#This Row],[Type]]="P",Games[[#This Row],[Round]]=4),IF(Games[[#This Row],[Result]]&gt;0.5,1,0),0)</f>
        <v>0</v>
      </c>
      <c r="AL213" s="2">
        <f>IF(AND(Games[[#This Row],[Type]]="P",Games[[#This Row],[Round]]=4),IF(Games[[#This Row],[Result]]&lt;0.5,1,0),0)</f>
        <v>0</v>
      </c>
    </row>
    <row r="214" spans="1:38" x14ac:dyDescent="0.35">
      <c r="A214" s="10">
        <v>37808</v>
      </c>
      <c r="B214" s="2">
        <v>2003</v>
      </c>
      <c r="C214" s="2">
        <f>COUNTIFS(Games[Team],Games[[#This Row],[Team]],Games[Season],Games[[#This Row],[Season]],Games[Date],"&lt;=" &amp; Games[[#This Row],[Date]])</f>
        <v>13</v>
      </c>
      <c r="D214" s="2" t="s">
        <v>23</v>
      </c>
      <c r="E214" s="2" t="s">
        <v>29</v>
      </c>
      <c r="F214" s="1" t="s">
        <v>76</v>
      </c>
      <c r="G214" s="1" t="s">
        <v>80</v>
      </c>
      <c r="H214" s="1" t="s">
        <v>16</v>
      </c>
      <c r="I214" s="2" cm="1">
        <f t="array" ref="I214">IFERROR(
    Games[[#This Row],[Date]]
    - LOOKUP(
        2,
        1/((Games[Team]=Games[[#This Row],[Team]]) * (Games[Date] &lt; Games[[#This Row],[Date]])),
        Games[Date]
    )
    - 1,
Games[[#This Row],[Date]]-$A$2)</f>
        <v>2</v>
      </c>
      <c r="J214" s="2" cm="1">
        <f t="array" ref="J214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14" s="2">
        <f>Games[[#This Row],[DaysOff]]-Games[[#This Row],[OppDaysOff]]</f>
        <v>-1</v>
      </c>
      <c r="L214" s="2">
        <f>Games[[#This Row],[OppDaysOff]]-Games[[#This Row],[DaysOff]]</f>
        <v>1</v>
      </c>
      <c r="M214" s="1">
        <f>MAX(-16, MIN(16, Games[[#This Row],[RestDiff]]*8))</f>
        <v>-8</v>
      </c>
      <c r="N214" s="1">
        <f>MAX(-16, MIN(16, Games[[#This Row],[OppRestDiff]]*8))</f>
        <v>8</v>
      </c>
      <c r="O214" s="4" cm="1">
        <f t="array" ref="O21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1540.7396788726837</v>
      </c>
      <c r="P214" s="4" cm="1">
        <f t="array" ref="P21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1523.8824411060293</v>
      </c>
      <c r="Q214" s="4">
        <f>1/(1+10^(((Games[[#This Row],[OppPreGmRate]]+IF(Games[[#This Row],[HomeAway]]="A",HCA,0)+Games[[#This Row],[OppRestAdj]])-(Games[[#This Row],[PreGmRate]]+IF(Games[[#This Row],[HomeAway]]="H",HCA,0)+Games[[#This Row],[RestAdj]]))/400))</f>
        <v>0.38258082945046096</v>
      </c>
      <c r="R214" s="1">
        <v>54</v>
      </c>
      <c r="S214" s="1">
        <v>85</v>
      </c>
      <c r="T214" s="1">
        <v>0</v>
      </c>
      <c r="U214" s="1">
        <f>Games[[#This Row],[PointsFor]]-Games[[#This Row],[PointsAgainst]]</f>
        <v>-31</v>
      </c>
      <c r="V214" s="1">
        <f>IF(Games[[#This Row],[MOV]]&gt;0,1,IF(Games[[#This Row],[MOV]]=0,0.5,0))</f>
        <v>0</v>
      </c>
      <c r="W214" s="4">
        <f>((ABS(Games[[#This Row],[MOV]])+5)^0.6)/(12+0.01*(ABS(Games[[#This Row],[PreGmRate]]-Games[[#This Row],[OppPreGmRate]])))*IF(Games[[#This Row],[OT]]=1,0.9,1)</f>
        <v>0.70557286591723867</v>
      </c>
      <c r="X214" s="7" cm="1">
        <f t="array" ref="X21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4" s="9">
        <f>MAX(kmin, kmax - 0.15 * MIN(Games[[#This Row],[GamesPlayed]], 82))</f>
        <v>74.05</v>
      </c>
      <c r="Z214" s="4">
        <f>Games[[#This Row],[K]]*Games[[#This Row],[POMult]]</f>
        <v>74.05</v>
      </c>
      <c r="AA214" s="4">
        <f>(Games[[#This Row],[Keff]]*Games[[#This Row],[MOVMult]])*(Games[[#This Row],[Result]]-Games[[#This Row],[ExpectedWin%]])</f>
        <v>-19.988957201360364</v>
      </c>
      <c r="AB214" s="4">
        <f>Games[[#This Row],[PreGmRate]]+Games[[#This Row],[RatingChange]]</f>
        <v>1520.7507216713234</v>
      </c>
      <c r="AC214" s="2">
        <f>IF(Games[[#This Row],[Type]]="R",IF(Games[[#This Row],[Result]]&gt;0.5,1,0),0)</f>
        <v>0</v>
      </c>
      <c r="AD214" s="2">
        <f>IF(Games[[#This Row],[Type]]="R",IF(Games[[#This Row],[Result]]&lt;0.5,1,0),0)</f>
        <v>1</v>
      </c>
      <c r="AE214" s="2">
        <f>IF(AND(Games[[#This Row],[Type]]="P",Games[[#This Row],[Round]]=1),IF(Games[[#This Row],[Result]]&gt;0.5,1,0),0)</f>
        <v>0</v>
      </c>
      <c r="AF214" s="2">
        <f>IF(AND(Games[[#This Row],[Type]]="P",Games[[#This Row],[Round]]=1),IF(Games[[#This Row],[Result]]&lt;0.5,1,0),0)</f>
        <v>0</v>
      </c>
      <c r="AG214" s="2">
        <f>IF(AND(Games[[#This Row],[Type]]="P",Games[[#This Row],[Round]]=2),IF(Games[[#This Row],[Result]]&gt;0.5,1,0),0)</f>
        <v>0</v>
      </c>
      <c r="AH214" s="2">
        <f>IF(AND(Games[[#This Row],[Type]]="P",Games[[#This Row],[Round]]=2),IF(Games[[#This Row],[Result]]&lt;0.5,1,0),0)</f>
        <v>0</v>
      </c>
      <c r="AI214" s="2">
        <f>IF(AND(Games[[#This Row],[Type]]="P",Games[[#This Row],[Round]]=3),IF(Games[[#This Row],[Result]]&gt;0.5,1,0),0)</f>
        <v>0</v>
      </c>
      <c r="AJ214" s="2">
        <f>IF(AND(Games[[#This Row],[Type]]="P",Games[[#This Row],[Round]]=3),IF(Games[[#This Row],[Result]]&lt;0.5,1,0),0)</f>
        <v>0</v>
      </c>
      <c r="AK214" s="2">
        <f>IF(AND(Games[[#This Row],[Type]]="P",Games[[#This Row],[Round]]=4),IF(Games[[#This Row],[Result]]&gt;0.5,1,0),0)</f>
        <v>0</v>
      </c>
      <c r="AL214" s="2">
        <f>IF(AND(Games[[#This Row],[Type]]="P",Games[[#This Row],[Round]]=4),IF(Games[[#This Row],[Result]]&lt;0.5,1,0),0)</f>
        <v>0</v>
      </c>
    </row>
    <row r="215" spans="1:38" x14ac:dyDescent="0.35">
      <c r="A215" s="10">
        <v>37808</v>
      </c>
      <c r="B215" s="2">
        <v>2003</v>
      </c>
      <c r="C215" s="2">
        <f>COUNTIFS(Games[Team],Games[[#This Row],[Team]],Games[Season],Games[[#This Row],[Season]],Games[Date],"&lt;=" &amp; Games[[#This Row],[Date]])</f>
        <v>15</v>
      </c>
      <c r="D215" s="2" t="s">
        <v>23</v>
      </c>
      <c r="E215" s="2" t="s">
        <v>29</v>
      </c>
      <c r="F215" s="1" t="s">
        <v>80</v>
      </c>
      <c r="G215" s="1" t="s">
        <v>76</v>
      </c>
      <c r="H215" s="1" t="s">
        <v>15</v>
      </c>
      <c r="I215" s="2" cm="1">
        <f t="array" ref="I215">IFERROR(
    Games[[#This Row],[Date]]
    - LOOKUP(
        2,
        1/((Games[Team]=Games[[#This Row],[Team]]) * (Games[Date] &lt; Games[[#This Row],[Date]])),
        Games[Date]
    )
    - 1,
Games[[#This Row],[Date]]-$A$2)</f>
        <v>3</v>
      </c>
      <c r="J215" s="2" cm="1">
        <f t="array" ref="J21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15" s="2">
        <f>Games[[#This Row],[DaysOff]]-Games[[#This Row],[OppDaysOff]]</f>
        <v>1</v>
      </c>
      <c r="L215" s="2">
        <f>Games[[#This Row],[OppDaysOff]]-Games[[#This Row],[DaysOff]]</f>
        <v>-1</v>
      </c>
      <c r="M215" s="1">
        <f>MAX(-16, MIN(16, Games[[#This Row],[RestDiff]]*8))</f>
        <v>8</v>
      </c>
      <c r="N215" s="1">
        <f>MAX(-16, MIN(16, Games[[#This Row],[OppRestDiff]]*8))</f>
        <v>-8</v>
      </c>
      <c r="O215" s="4" cm="1">
        <f t="array" ref="O21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1523.8824411060293</v>
      </c>
      <c r="P215" s="4" cm="1">
        <f t="array" ref="P21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1540.7396788726837</v>
      </c>
      <c r="Q215" s="4">
        <f>1/(1+10^(((Games[[#This Row],[OppPreGmRate]]+IF(Games[[#This Row],[HomeAway]]="A",HCA,0)+Games[[#This Row],[OppRestAdj]])-(Games[[#This Row],[PreGmRate]]+IF(Games[[#This Row],[HomeAway]]="H",HCA,0)+Games[[#This Row],[RestAdj]]))/400))</f>
        <v>0.6174191705495391</v>
      </c>
      <c r="R215" s="1">
        <v>85</v>
      </c>
      <c r="S215" s="1">
        <v>54</v>
      </c>
      <c r="T215" s="1">
        <v>0</v>
      </c>
      <c r="U215" s="1">
        <f>Games[[#This Row],[PointsFor]]-Games[[#This Row],[PointsAgainst]]</f>
        <v>31</v>
      </c>
      <c r="V215" s="1">
        <f>IF(Games[[#This Row],[MOV]]&gt;0,1,IF(Games[[#This Row],[MOV]]=0,0.5,0))</f>
        <v>1</v>
      </c>
      <c r="W215" s="4">
        <f>((ABS(Games[[#This Row],[MOV]])+5)^0.6)/(12+0.01*(ABS(Games[[#This Row],[PreGmRate]]-Games[[#This Row],[OppPreGmRate]])))*IF(Games[[#This Row],[OT]]=1,0.9,1)</f>
        <v>0.70557286591723867</v>
      </c>
      <c r="X215" s="7" cm="1">
        <f t="array" ref="X21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5" s="9">
        <f>MAX(kmin, kmax - 0.15 * MIN(Games[[#This Row],[GamesPlayed]], 82))</f>
        <v>73.75</v>
      </c>
      <c r="Z215" s="4">
        <f>Games[[#This Row],[K]]*Games[[#This Row],[POMult]]</f>
        <v>73.75</v>
      </c>
      <c r="AA215" s="4">
        <f>(Games[[#This Row],[Keff]]*Games[[#This Row],[MOVMult]])*(Games[[#This Row],[Result]]-Games[[#This Row],[ExpectedWin%]])</f>
        <v>19.907975605676256</v>
      </c>
      <c r="AB215" s="4">
        <f>Games[[#This Row],[PreGmRate]]+Games[[#This Row],[RatingChange]]</f>
        <v>1543.7904167117056</v>
      </c>
      <c r="AC215" s="2">
        <f>IF(Games[[#This Row],[Type]]="R",IF(Games[[#This Row],[Result]]&gt;0.5,1,0),0)</f>
        <v>1</v>
      </c>
      <c r="AD215" s="2">
        <f>IF(Games[[#This Row],[Type]]="R",IF(Games[[#This Row],[Result]]&lt;0.5,1,0),0)</f>
        <v>0</v>
      </c>
      <c r="AE215" s="2">
        <f>IF(AND(Games[[#This Row],[Type]]="P",Games[[#This Row],[Round]]=1),IF(Games[[#This Row],[Result]]&gt;0.5,1,0),0)</f>
        <v>0</v>
      </c>
      <c r="AF215" s="2">
        <f>IF(AND(Games[[#This Row],[Type]]="P",Games[[#This Row],[Round]]=1),IF(Games[[#This Row],[Result]]&lt;0.5,1,0),0)</f>
        <v>0</v>
      </c>
      <c r="AG215" s="2">
        <f>IF(AND(Games[[#This Row],[Type]]="P",Games[[#This Row],[Round]]=2),IF(Games[[#This Row],[Result]]&gt;0.5,1,0),0)</f>
        <v>0</v>
      </c>
      <c r="AH215" s="2">
        <f>IF(AND(Games[[#This Row],[Type]]="P",Games[[#This Row],[Round]]=2),IF(Games[[#This Row],[Result]]&lt;0.5,1,0),0)</f>
        <v>0</v>
      </c>
      <c r="AI215" s="2">
        <f>IF(AND(Games[[#This Row],[Type]]="P",Games[[#This Row],[Round]]=3),IF(Games[[#This Row],[Result]]&gt;0.5,1,0),0)</f>
        <v>0</v>
      </c>
      <c r="AJ215" s="2">
        <f>IF(AND(Games[[#This Row],[Type]]="P",Games[[#This Row],[Round]]=3),IF(Games[[#This Row],[Result]]&lt;0.5,1,0),0)</f>
        <v>0</v>
      </c>
      <c r="AK215" s="2">
        <f>IF(AND(Games[[#This Row],[Type]]="P",Games[[#This Row],[Round]]=4),IF(Games[[#This Row],[Result]]&gt;0.5,1,0),0)</f>
        <v>0</v>
      </c>
      <c r="AL215" s="2">
        <f>IF(AND(Games[[#This Row],[Type]]="P",Games[[#This Row],[Round]]=4),IF(Games[[#This Row],[Result]]&lt;0.5,1,0),0)</f>
        <v>0</v>
      </c>
    </row>
    <row r="216" spans="1:38" x14ac:dyDescent="0.35">
      <c r="A216" s="10">
        <v>37809</v>
      </c>
      <c r="B216" s="2">
        <v>2003</v>
      </c>
      <c r="C216" s="2">
        <f>COUNTIFS(Games[Team],Games[[#This Row],[Team]],Games[Season],Games[[#This Row],[Season]],Games[Date],"&lt;=" &amp; Games[[#This Row],[Date]])</f>
        <v>15</v>
      </c>
      <c r="D216" s="2" t="s">
        <v>23</v>
      </c>
      <c r="E216" s="2" t="s">
        <v>29</v>
      </c>
      <c r="F216" s="1" t="s">
        <v>1</v>
      </c>
      <c r="G216" s="1" t="s">
        <v>71</v>
      </c>
      <c r="H216" s="1" t="s">
        <v>16</v>
      </c>
      <c r="I216" s="2" cm="1">
        <f t="array" ref="I216">IFERROR(
    Games[[#This Row],[Date]]
    - LOOKUP(
        2,
        1/((Games[Team]=Games[[#This Row],[Team]]) * (Games[Date] &lt; Games[[#This Row],[Date]])),
        Games[Date]
    )
    - 1,
Games[[#This Row],[Date]]-$A$2)</f>
        <v>1</v>
      </c>
      <c r="J216" s="2" cm="1">
        <f t="array" ref="J21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16" s="2">
        <f>Games[[#This Row],[DaysOff]]-Games[[#This Row],[OppDaysOff]]</f>
        <v>0</v>
      </c>
      <c r="L216" s="2">
        <f>Games[[#This Row],[OppDaysOff]]-Games[[#This Row],[DaysOff]]</f>
        <v>0</v>
      </c>
      <c r="M216" s="1">
        <f>MAX(-16, MIN(16, Games[[#This Row],[RestDiff]]*8))</f>
        <v>0</v>
      </c>
      <c r="N216" s="1">
        <f>MAX(-16, MIN(16, Games[[#This Row],[OppRestDiff]]*8))</f>
        <v>0</v>
      </c>
      <c r="O216" s="4" cm="1">
        <f t="array" ref="O21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1487.3020144612633</v>
      </c>
      <c r="P216" s="4" cm="1">
        <f t="array" ref="P21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1677.081204341282</v>
      </c>
      <c r="Q216" s="4">
        <f>1/(1+10^(((Games[[#This Row],[OppPreGmRate]]+IF(Games[[#This Row],[HomeAway]]="A",HCA,0)+Games[[#This Row],[OppRestAdj]])-(Games[[#This Row],[PreGmRate]]+IF(Games[[#This Row],[HomeAway]]="H",HCA,0)+Games[[#This Row],[RestAdj]]))/400))</f>
        <v>0.17136276787015811</v>
      </c>
      <c r="R216" s="1">
        <v>75</v>
      </c>
      <c r="S216" s="1">
        <v>81</v>
      </c>
      <c r="T216" s="1">
        <v>0</v>
      </c>
      <c r="U216" s="1">
        <f>Games[[#This Row],[PointsFor]]-Games[[#This Row],[PointsAgainst]]</f>
        <v>-6</v>
      </c>
      <c r="V216" s="1">
        <f>IF(Games[[#This Row],[MOV]]&gt;0,1,IF(Games[[#This Row],[MOV]]=0,0.5,0))</f>
        <v>0</v>
      </c>
      <c r="W216" s="4">
        <f>((ABS(Games[[#This Row],[MOV]])+5)^0.6)/(12+0.01*(ABS(Games[[#This Row],[PreGmRate]]-Games[[#This Row],[OppPreGmRate]])))*IF(Games[[#This Row],[OT]]=1,0.9,1)</f>
        <v>0.30331214942539308</v>
      </c>
      <c r="X216" s="7" cm="1">
        <f t="array" ref="X21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6" s="9">
        <f>MAX(kmin, kmax - 0.15 * MIN(Games[[#This Row],[GamesPlayed]], 82))</f>
        <v>73.75</v>
      </c>
      <c r="Z216" s="4">
        <f>Games[[#This Row],[K]]*Games[[#This Row],[POMult]]</f>
        <v>73.75</v>
      </c>
      <c r="AA216" s="4">
        <f>(Games[[#This Row],[Keff]]*Games[[#This Row],[MOVMult]])*(Games[[#This Row],[Result]]-Games[[#This Row],[ExpectedWin%]])</f>
        <v>-3.8332601972459477</v>
      </c>
      <c r="AB216" s="4">
        <f>Games[[#This Row],[PreGmRate]]+Games[[#This Row],[RatingChange]]</f>
        <v>1483.4687542640174</v>
      </c>
      <c r="AC216" s="2">
        <f>IF(Games[[#This Row],[Type]]="R",IF(Games[[#This Row],[Result]]&gt;0.5,1,0),0)</f>
        <v>0</v>
      </c>
      <c r="AD216" s="2">
        <f>IF(Games[[#This Row],[Type]]="R",IF(Games[[#This Row],[Result]]&lt;0.5,1,0),0)</f>
        <v>1</v>
      </c>
      <c r="AE216" s="2">
        <f>IF(AND(Games[[#This Row],[Type]]="P",Games[[#This Row],[Round]]=1),IF(Games[[#This Row],[Result]]&gt;0.5,1,0),0)</f>
        <v>0</v>
      </c>
      <c r="AF216" s="2">
        <f>IF(AND(Games[[#This Row],[Type]]="P",Games[[#This Row],[Round]]=1),IF(Games[[#This Row],[Result]]&lt;0.5,1,0),0)</f>
        <v>0</v>
      </c>
      <c r="AG216" s="2">
        <f>IF(AND(Games[[#This Row],[Type]]="P",Games[[#This Row],[Round]]=2),IF(Games[[#This Row],[Result]]&gt;0.5,1,0),0)</f>
        <v>0</v>
      </c>
      <c r="AH216" s="2">
        <f>IF(AND(Games[[#This Row],[Type]]="P",Games[[#This Row],[Round]]=2),IF(Games[[#This Row],[Result]]&lt;0.5,1,0),0)</f>
        <v>0</v>
      </c>
      <c r="AI216" s="2">
        <f>IF(AND(Games[[#This Row],[Type]]="P",Games[[#This Row],[Round]]=3),IF(Games[[#This Row],[Result]]&gt;0.5,1,0),0)</f>
        <v>0</v>
      </c>
      <c r="AJ216" s="2">
        <f>IF(AND(Games[[#This Row],[Type]]="P",Games[[#This Row],[Round]]=3),IF(Games[[#This Row],[Result]]&lt;0.5,1,0),0)</f>
        <v>0</v>
      </c>
      <c r="AK216" s="2">
        <f>IF(AND(Games[[#This Row],[Type]]="P",Games[[#This Row],[Round]]=4),IF(Games[[#This Row],[Result]]&gt;0.5,1,0),0)</f>
        <v>0</v>
      </c>
      <c r="AL216" s="2">
        <f>IF(AND(Games[[#This Row],[Type]]="P",Games[[#This Row],[Round]]=4),IF(Games[[#This Row],[Result]]&lt;0.5,1,0),0)</f>
        <v>0</v>
      </c>
    </row>
    <row r="217" spans="1:38" x14ac:dyDescent="0.35">
      <c r="A217" s="10">
        <v>37809</v>
      </c>
      <c r="B217" s="2">
        <v>2003</v>
      </c>
      <c r="C217" s="2">
        <f>COUNTIFS(Games[Team],Games[[#This Row],[Team]],Games[Season],Games[[#This Row],[Season]],Games[Date],"&lt;=" &amp; Games[[#This Row],[Date]])</f>
        <v>17</v>
      </c>
      <c r="D217" s="2" t="s">
        <v>23</v>
      </c>
      <c r="E217" s="2" t="s">
        <v>29</v>
      </c>
      <c r="F217" s="1" t="s">
        <v>71</v>
      </c>
      <c r="G217" s="1" t="s">
        <v>1</v>
      </c>
      <c r="H217" s="1" t="s">
        <v>15</v>
      </c>
      <c r="I217" s="2" cm="1">
        <f t="array" ref="I217">IFERROR(
    Games[[#This Row],[Date]]
    - LOOKUP(
        2,
        1/((Games[Team]=Games[[#This Row],[Team]]) * (Games[Date] &lt; Games[[#This Row],[Date]])),
        Games[Date]
    )
    - 1,
Games[[#This Row],[Date]]-$A$2)</f>
        <v>1</v>
      </c>
      <c r="J217" s="2" cm="1">
        <f t="array" ref="J21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17" s="2">
        <f>Games[[#This Row],[DaysOff]]-Games[[#This Row],[OppDaysOff]]</f>
        <v>0</v>
      </c>
      <c r="L217" s="2">
        <f>Games[[#This Row],[OppDaysOff]]-Games[[#This Row],[DaysOff]]</f>
        <v>0</v>
      </c>
      <c r="M217" s="1">
        <f>MAX(-16, MIN(16, Games[[#This Row],[RestDiff]]*8))</f>
        <v>0</v>
      </c>
      <c r="N217" s="1">
        <f>MAX(-16, MIN(16, Games[[#This Row],[OppRestDiff]]*8))</f>
        <v>0</v>
      </c>
      <c r="O217" s="4" cm="1">
        <f t="array" ref="O21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1677.081204341282</v>
      </c>
      <c r="P217" s="4" cm="1">
        <f t="array" ref="P21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1487.3020144612633</v>
      </c>
      <c r="Q217" s="4">
        <f>1/(1+10^(((Games[[#This Row],[OppPreGmRate]]+IF(Games[[#This Row],[HomeAway]]="A",HCA,0)+Games[[#This Row],[OppRestAdj]])-(Games[[#This Row],[PreGmRate]]+IF(Games[[#This Row],[HomeAway]]="H",HCA,0)+Games[[#This Row],[RestAdj]]))/400))</f>
        <v>0.82863723212984186</v>
      </c>
      <c r="R217" s="1">
        <v>81</v>
      </c>
      <c r="S217" s="1">
        <v>75</v>
      </c>
      <c r="T217" s="1">
        <v>0</v>
      </c>
      <c r="U217" s="1">
        <f>Games[[#This Row],[PointsFor]]-Games[[#This Row],[PointsAgainst]]</f>
        <v>6</v>
      </c>
      <c r="V217" s="1">
        <f>IF(Games[[#This Row],[MOV]]&gt;0,1,IF(Games[[#This Row],[MOV]]=0,0.5,0))</f>
        <v>1</v>
      </c>
      <c r="W217" s="4">
        <f>((ABS(Games[[#This Row],[MOV]])+5)^0.6)/(12+0.01*(ABS(Games[[#This Row],[PreGmRate]]-Games[[#This Row],[OppPreGmRate]])))*IF(Games[[#This Row],[OT]]=1,0.9,1)</f>
        <v>0.30331214942539308</v>
      </c>
      <c r="X217" s="7" cm="1">
        <f t="array" ref="X21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7" s="9">
        <f>MAX(kmin, kmax - 0.15 * MIN(Games[[#This Row],[GamesPlayed]], 82))</f>
        <v>73.45</v>
      </c>
      <c r="Z217" s="4">
        <f>Games[[#This Row],[K]]*Games[[#This Row],[POMult]]</f>
        <v>73.45</v>
      </c>
      <c r="AA217" s="4">
        <f>(Games[[#This Row],[Keff]]*Games[[#This Row],[MOVMult]])*(Games[[#This Row],[Result]]-Games[[#This Row],[ExpectedWin%]])</f>
        <v>3.8176672744096938</v>
      </c>
      <c r="AB217" s="4">
        <f>Games[[#This Row],[PreGmRate]]+Games[[#This Row],[RatingChange]]</f>
        <v>1680.8988716156916</v>
      </c>
      <c r="AC217" s="2">
        <f>IF(Games[[#This Row],[Type]]="R",IF(Games[[#This Row],[Result]]&gt;0.5,1,0),0)</f>
        <v>1</v>
      </c>
      <c r="AD217" s="2">
        <f>IF(Games[[#This Row],[Type]]="R",IF(Games[[#This Row],[Result]]&lt;0.5,1,0),0)</f>
        <v>0</v>
      </c>
      <c r="AE217" s="2">
        <f>IF(AND(Games[[#This Row],[Type]]="P",Games[[#This Row],[Round]]=1),IF(Games[[#This Row],[Result]]&gt;0.5,1,0),0)</f>
        <v>0</v>
      </c>
      <c r="AF217" s="2">
        <f>IF(AND(Games[[#This Row],[Type]]="P",Games[[#This Row],[Round]]=1),IF(Games[[#This Row],[Result]]&lt;0.5,1,0),0)</f>
        <v>0</v>
      </c>
      <c r="AG217" s="2">
        <f>IF(AND(Games[[#This Row],[Type]]="P",Games[[#This Row],[Round]]=2),IF(Games[[#This Row],[Result]]&gt;0.5,1,0),0)</f>
        <v>0</v>
      </c>
      <c r="AH217" s="2">
        <f>IF(AND(Games[[#This Row],[Type]]="P",Games[[#This Row],[Round]]=2),IF(Games[[#This Row],[Result]]&lt;0.5,1,0),0)</f>
        <v>0</v>
      </c>
      <c r="AI217" s="2">
        <f>IF(AND(Games[[#This Row],[Type]]="P",Games[[#This Row],[Round]]=3),IF(Games[[#This Row],[Result]]&gt;0.5,1,0),0)</f>
        <v>0</v>
      </c>
      <c r="AJ217" s="2">
        <f>IF(AND(Games[[#This Row],[Type]]="P",Games[[#This Row],[Round]]=3),IF(Games[[#This Row],[Result]]&lt;0.5,1,0),0)</f>
        <v>0</v>
      </c>
      <c r="AK217" s="2">
        <f>IF(AND(Games[[#This Row],[Type]]="P",Games[[#This Row],[Round]]=4),IF(Games[[#This Row],[Result]]&gt;0.5,1,0),0)</f>
        <v>0</v>
      </c>
      <c r="AL217" s="2">
        <f>IF(AND(Games[[#This Row],[Type]]="P",Games[[#This Row],[Round]]=4),IF(Games[[#This Row],[Result]]&lt;0.5,1,0),0)</f>
        <v>0</v>
      </c>
    </row>
    <row r="218" spans="1:38" x14ac:dyDescent="0.35">
      <c r="A218" s="10">
        <v>37809</v>
      </c>
      <c r="B218" s="2">
        <v>2003</v>
      </c>
      <c r="C218" s="2">
        <f>COUNTIFS(Games[Team],Games[[#This Row],[Team]],Games[Season],Games[[#This Row],[Season]],Games[Date],"&lt;=" &amp; Games[[#This Row],[Date]])</f>
        <v>17</v>
      </c>
      <c r="D218" s="2" t="s">
        <v>23</v>
      </c>
      <c r="E218" s="2" t="s">
        <v>29</v>
      </c>
      <c r="F218" s="1" t="s">
        <v>64</v>
      </c>
      <c r="G218" s="1" t="s">
        <v>74</v>
      </c>
      <c r="H218" s="1" t="s">
        <v>16</v>
      </c>
      <c r="I218" s="2" cm="1">
        <f t="array" ref="I218">IFERROR(
    Games[[#This Row],[Date]]
    - LOOKUP(
        2,
        1/((Games[Team]=Games[[#This Row],[Team]]) * (Games[Date] &lt; Games[[#This Row],[Date]])),
        Games[Date]
    )
    - 1,
Games[[#This Row],[Date]]-$A$2)</f>
        <v>1</v>
      </c>
      <c r="J218" s="2" cm="1">
        <f t="array" ref="J21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18" s="2">
        <f>Games[[#This Row],[DaysOff]]-Games[[#This Row],[OppDaysOff]]</f>
        <v>0</v>
      </c>
      <c r="L218" s="2">
        <f>Games[[#This Row],[OppDaysOff]]-Games[[#This Row],[DaysOff]]</f>
        <v>0</v>
      </c>
      <c r="M218" s="1">
        <f>MAX(-16, MIN(16, Games[[#This Row],[RestDiff]]*8))</f>
        <v>0</v>
      </c>
      <c r="N218" s="1">
        <f>MAX(-16, MIN(16, Games[[#This Row],[OppRestDiff]]*8))</f>
        <v>0</v>
      </c>
      <c r="O218" s="4" cm="1">
        <f t="array" ref="O21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1539.3029192339375</v>
      </c>
      <c r="P218" s="4" cm="1">
        <f t="array" ref="P21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1355.9037626101176</v>
      </c>
      <c r="Q218" s="4">
        <f>1/(1+10^(((Games[[#This Row],[OppPreGmRate]]+IF(Games[[#This Row],[HomeAway]]="A",HCA,0)+Games[[#This Row],[OppRestAdj]])-(Games[[#This Row],[PreGmRate]]+IF(Games[[#This Row],[HomeAway]]="H",HCA,0)+Games[[#This Row],[RestAdj]]))/400))</f>
        <v>0.63926778538385642</v>
      </c>
      <c r="R218" s="1">
        <v>62</v>
      </c>
      <c r="S218" s="1">
        <v>56</v>
      </c>
      <c r="T218" s="1">
        <v>0</v>
      </c>
      <c r="U218" s="1">
        <f>Games[[#This Row],[PointsFor]]-Games[[#This Row],[PointsAgainst]]</f>
        <v>6</v>
      </c>
      <c r="V218" s="1">
        <f>IF(Games[[#This Row],[MOV]]&gt;0,1,IF(Games[[#This Row],[MOV]]=0,0.5,0))</f>
        <v>1</v>
      </c>
      <c r="W218" s="4">
        <f>((ABS(Games[[#This Row],[MOV]])+5)^0.6)/(12+0.01*(ABS(Games[[#This Row],[PreGmRate]]-Games[[#This Row],[OppPreGmRate]])))*IF(Games[[#This Row],[OT]]=1,0.9,1)</f>
        <v>0.30471098040709316</v>
      </c>
      <c r="X218" s="7" cm="1">
        <f t="array" ref="X21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8" s="9">
        <f>MAX(kmin, kmax - 0.15 * MIN(Games[[#This Row],[GamesPlayed]], 82))</f>
        <v>73.45</v>
      </c>
      <c r="Z218" s="4">
        <f>Games[[#This Row],[K]]*Games[[#This Row],[POMult]]</f>
        <v>73.45</v>
      </c>
      <c r="AA218" s="4">
        <f>(Games[[#This Row],[Keff]]*Games[[#This Row],[MOVMult]])*(Games[[#This Row],[Result]]-Games[[#This Row],[ExpectedWin%]])</f>
        <v>8.0735554549988624</v>
      </c>
      <c r="AB218" s="4">
        <f>Games[[#This Row],[PreGmRate]]+Games[[#This Row],[RatingChange]]</f>
        <v>1547.3764746889362</v>
      </c>
      <c r="AC218" s="2">
        <f>IF(Games[[#This Row],[Type]]="R",IF(Games[[#This Row],[Result]]&gt;0.5,1,0),0)</f>
        <v>1</v>
      </c>
      <c r="AD218" s="2">
        <f>IF(Games[[#This Row],[Type]]="R",IF(Games[[#This Row],[Result]]&lt;0.5,1,0),0)</f>
        <v>0</v>
      </c>
      <c r="AE218" s="2">
        <f>IF(AND(Games[[#This Row],[Type]]="P",Games[[#This Row],[Round]]=1),IF(Games[[#This Row],[Result]]&gt;0.5,1,0),0)</f>
        <v>0</v>
      </c>
      <c r="AF218" s="2">
        <f>IF(AND(Games[[#This Row],[Type]]="P",Games[[#This Row],[Round]]=1),IF(Games[[#This Row],[Result]]&lt;0.5,1,0),0)</f>
        <v>0</v>
      </c>
      <c r="AG218" s="2">
        <f>IF(AND(Games[[#This Row],[Type]]="P",Games[[#This Row],[Round]]=2),IF(Games[[#This Row],[Result]]&gt;0.5,1,0),0)</f>
        <v>0</v>
      </c>
      <c r="AH218" s="2">
        <f>IF(AND(Games[[#This Row],[Type]]="P",Games[[#This Row],[Round]]=2),IF(Games[[#This Row],[Result]]&lt;0.5,1,0),0)</f>
        <v>0</v>
      </c>
      <c r="AI218" s="2">
        <f>IF(AND(Games[[#This Row],[Type]]="P",Games[[#This Row],[Round]]=3),IF(Games[[#This Row],[Result]]&gt;0.5,1,0),0)</f>
        <v>0</v>
      </c>
      <c r="AJ218" s="2">
        <f>IF(AND(Games[[#This Row],[Type]]="P",Games[[#This Row],[Round]]=3),IF(Games[[#This Row],[Result]]&lt;0.5,1,0),0)</f>
        <v>0</v>
      </c>
      <c r="AK218" s="2">
        <f>IF(AND(Games[[#This Row],[Type]]="P",Games[[#This Row],[Round]]=4),IF(Games[[#This Row],[Result]]&gt;0.5,1,0),0)</f>
        <v>0</v>
      </c>
      <c r="AL218" s="2">
        <f>IF(AND(Games[[#This Row],[Type]]="P",Games[[#This Row],[Round]]=4),IF(Games[[#This Row],[Result]]&lt;0.5,1,0),0)</f>
        <v>0</v>
      </c>
    </row>
    <row r="219" spans="1:38" x14ac:dyDescent="0.35">
      <c r="A219" s="10">
        <v>37809</v>
      </c>
      <c r="B219" s="2">
        <v>2003</v>
      </c>
      <c r="C219" s="2">
        <f>COUNTIFS(Games[Team],Games[[#This Row],[Team]],Games[Season],Games[[#This Row],[Season]],Games[Date],"&lt;=" &amp; Games[[#This Row],[Date]])</f>
        <v>15</v>
      </c>
      <c r="D219" s="2" t="s">
        <v>23</v>
      </c>
      <c r="E219" s="2" t="s">
        <v>29</v>
      </c>
      <c r="F219" s="1" t="s">
        <v>74</v>
      </c>
      <c r="G219" s="1" t="s">
        <v>64</v>
      </c>
      <c r="H219" s="1" t="s">
        <v>15</v>
      </c>
      <c r="I219" s="2" cm="1">
        <f t="array" ref="I219">IFERROR(
    Games[[#This Row],[Date]]
    - LOOKUP(
        2,
        1/((Games[Team]=Games[[#This Row],[Team]]) * (Games[Date] &lt; Games[[#This Row],[Date]])),
        Games[Date]
    )
    - 1,
Games[[#This Row],[Date]]-$A$2)</f>
        <v>1</v>
      </c>
      <c r="J219" s="2" cm="1">
        <f t="array" ref="J21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19" s="2">
        <f>Games[[#This Row],[DaysOff]]-Games[[#This Row],[OppDaysOff]]</f>
        <v>0</v>
      </c>
      <c r="L219" s="2">
        <f>Games[[#This Row],[OppDaysOff]]-Games[[#This Row],[DaysOff]]</f>
        <v>0</v>
      </c>
      <c r="M219" s="1">
        <f>MAX(-16, MIN(16, Games[[#This Row],[RestDiff]]*8))</f>
        <v>0</v>
      </c>
      <c r="N219" s="1">
        <f>MAX(-16, MIN(16, Games[[#This Row],[OppRestDiff]]*8))</f>
        <v>0</v>
      </c>
      <c r="O219" s="4" cm="1">
        <f t="array" ref="O21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1355.9037626101176</v>
      </c>
      <c r="P219" s="4" cm="1">
        <f t="array" ref="P21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1539.3029192339375</v>
      </c>
      <c r="Q219" s="4">
        <f>1/(1+10^(((Games[[#This Row],[OppPreGmRate]]+IF(Games[[#This Row],[HomeAway]]="A",HCA,0)+Games[[#This Row],[OppRestAdj]])-(Games[[#This Row],[PreGmRate]]+IF(Games[[#This Row],[HomeAway]]="H",HCA,0)+Games[[#This Row],[RestAdj]]))/400))</f>
        <v>0.36073221461614352</v>
      </c>
      <c r="R219" s="1">
        <v>56</v>
      </c>
      <c r="S219" s="1">
        <v>62</v>
      </c>
      <c r="T219" s="1">
        <v>0</v>
      </c>
      <c r="U219" s="1">
        <f>Games[[#This Row],[PointsFor]]-Games[[#This Row],[PointsAgainst]]</f>
        <v>-6</v>
      </c>
      <c r="V219" s="1">
        <f>IF(Games[[#This Row],[MOV]]&gt;0,1,IF(Games[[#This Row],[MOV]]=0,0.5,0))</f>
        <v>0</v>
      </c>
      <c r="W219" s="4">
        <f>((ABS(Games[[#This Row],[MOV]])+5)^0.6)/(12+0.01*(ABS(Games[[#This Row],[PreGmRate]]-Games[[#This Row],[OppPreGmRate]])))*IF(Games[[#This Row],[OT]]=1,0.9,1)</f>
        <v>0.30471098040709316</v>
      </c>
      <c r="X219" s="7" cm="1">
        <f t="array" ref="X21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9" s="9">
        <f>MAX(kmin, kmax - 0.15 * MIN(Games[[#This Row],[GamesPlayed]], 82))</f>
        <v>73.75</v>
      </c>
      <c r="Z219" s="4">
        <f>Games[[#This Row],[K]]*Games[[#This Row],[POMult]]</f>
        <v>73.75</v>
      </c>
      <c r="AA219" s="4">
        <f>(Games[[#This Row],[Keff]]*Games[[#This Row],[MOVMult]])*(Games[[#This Row],[Result]]-Games[[#This Row],[ExpectedWin%]])</f>
        <v>-8.1065311750328934</v>
      </c>
      <c r="AB219" s="4">
        <f>Games[[#This Row],[PreGmRate]]+Games[[#This Row],[RatingChange]]</f>
        <v>1347.7972314350848</v>
      </c>
      <c r="AC219" s="2">
        <f>IF(Games[[#This Row],[Type]]="R",IF(Games[[#This Row],[Result]]&gt;0.5,1,0),0)</f>
        <v>0</v>
      </c>
      <c r="AD219" s="2">
        <f>IF(Games[[#This Row],[Type]]="R",IF(Games[[#This Row],[Result]]&lt;0.5,1,0),0)</f>
        <v>1</v>
      </c>
      <c r="AE219" s="2">
        <f>IF(AND(Games[[#This Row],[Type]]="P",Games[[#This Row],[Round]]=1),IF(Games[[#This Row],[Result]]&gt;0.5,1,0),0)</f>
        <v>0</v>
      </c>
      <c r="AF219" s="2">
        <f>IF(AND(Games[[#This Row],[Type]]="P",Games[[#This Row],[Round]]=1),IF(Games[[#This Row],[Result]]&lt;0.5,1,0),0)</f>
        <v>0</v>
      </c>
      <c r="AG219" s="2">
        <f>IF(AND(Games[[#This Row],[Type]]="P",Games[[#This Row],[Round]]=2),IF(Games[[#This Row],[Result]]&gt;0.5,1,0),0)</f>
        <v>0</v>
      </c>
      <c r="AH219" s="2">
        <f>IF(AND(Games[[#This Row],[Type]]="P",Games[[#This Row],[Round]]=2),IF(Games[[#This Row],[Result]]&lt;0.5,1,0),0)</f>
        <v>0</v>
      </c>
      <c r="AI219" s="2">
        <f>IF(AND(Games[[#This Row],[Type]]="P",Games[[#This Row],[Round]]=3),IF(Games[[#This Row],[Result]]&gt;0.5,1,0),0)</f>
        <v>0</v>
      </c>
      <c r="AJ219" s="2">
        <f>IF(AND(Games[[#This Row],[Type]]="P",Games[[#This Row],[Round]]=3),IF(Games[[#This Row],[Result]]&lt;0.5,1,0),0)</f>
        <v>0</v>
      </c>
      <c r="AK219" s="2">
        <f>IF(AND(Games[[#This Row],[Type]]="P",Games[[#This Row],[Round]]=4),IF(Games[[#This Row],[Result]]&gt;0.5,1,0),0)</f>
        <v>0</v>
      </c>
      <c r="AL219" s="2">
        <f>IF(AND(Games[[#This Row],[Type]]="P",Games[[#This Row],[Round]]=4),IF(Games[[#This Row],[Result]]&lt;0.5,1,0),0)</f>
        <v>0</v>
      </c>
    </row>
    <row r="220" spans="1:38" x14ac:dyDescent="0.35">
      <c r="A220" s="10">
        <v>37810</v>
      </c>
      <c r="B220" s="2">
        <v>2003</v>
      </c>
      <c r="C220" s="2">
        <f>COUNTIFS(Games[Team],Games[[#This Row],[Team]],Games[Season],Games[[#This Row],[Season]],Games[Date],"&lt;=" &amp; Games[[#This Row],[Date]])</f>
        <v>18</v>
      </c>
      <c r="D220" s="2" t="s">
        <v>23</v>
      </c>
      <c r="E220" s="2" t="s">
        <v>29</v>
      </c>
      <c r="F220" s="1" t="s">
        <v>87</v>
      </c>
      <c r="G220" s="1" t="s">
        <v>76</v>
      </c>
      <c r="H220" s="1" t="s">
        <v>16</v>
      </c>
      <c r="I220" s="2" cm="1">
        <f t="array" ref="I220">IFERROR(
    Games[[#This Row],[Date]]
    - LOOKUP(
        2,
        1/((Games[Team]=Games[[#This Row],[Team]]) * (Games[Date] &lt; Games[[#This Row],[Date]])),
        Games[Date]
    )
    - 1,
Games[[#This Row],[Date]]-$A$2)</f>
        <v>1</v>
      </c>
      <c r="J220" s="2" cm="1">
        <f t="array" ref="J22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20" s="2">
        <f>Games[[#This Row],[DaysOff]]-Games[[#This Row],[OppDaysOff]]</f>
        <v>0</v>
      </c>
      <c r="L220" s="2">
        <f>Games[[#This Row],[OppDaysOff]]-Games[[#This Row],[DaysOff]]</f>
        <v>0</v>
      </c>
      <c r="M220" s="1">
        <f>MAX(-16, MIN(16, Games[[#This Row],[RestDiff]]*8))</f>
        <v>0</v>
      </c>
      <c r="N220" s="1">
        <f>MAX(-16, MIN(16, Games[[#This Row],[OppRestDiff]]*8))</f>
        <v>0</v>
      </c>
      <c r="O220" s="4" cm="1">
        <f t="array" ref="O22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1499.0972343389813</v>
      </c>
      <c r="P220" s="4" cm="1">
        <f t="array" ref="P22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1520.7507216713234</v>
      </c>
      <c r="Q220" s="4">
        <f>1/(1+10^(((Games[[#This Row],[OppPreGmRate]]+IF(Games[[#This Row],[HomeAway]]="A",HCA,0)+Games[[#This Row],[OppRestAdj]])-(Games[[#This Row],[PreGmRate]]+IF(Games[[#This Row],[HomeAway]]="H",HCA,0)+Games[[#This Row],[RestAdj]]))/400))</f>
        <v>0.35247211115593752</v>
      </c>
      <c r="R220" s="1">
        <v>50</v>
      </c>
      <c r="S220" s="1">
        <v>66</v>
      </c>
      <c r="T220" s="1">
        <v>0</v>
      </c>
      <c r="U220" s="1">
        <f>Games[[#This Row],[PointsFor]]-Games[[#This Row],[PointsAgainst]]</f>
        <v>-16</v>
      </c>
      <c r="V220" s="1">
        <f>IF(Games[[#This Row],[MOV]]&gt;0,1,IF(Games[[#This Row],[MOV]]=0,0.5,0))</f>
        <v>0</v>
      </c>
      <c r="W220" s="4">
        <f>((ABS(Games[[#This Row],[MOV]])+5)^0.6)/(12+0.01*(ABS(Games[[#This Row],[PreGmRate]]-Games[[#This Row],[OppPreGmRate]])))*IF(Games[[#This Row],[OT]]=1,0.9,1)</f>
        <v>0.50860841079647512</v>
      </c>
      <c r="X220" s="7" cm="1">
        <f t="array" ref="X22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0" s="9">
        <f>MAX(kmin, kmax - 0.15 * MIN(Games[[#This Row],[GamesPlayed]], 82))</f>
        <v>73.3</v>
      </c>
      <c r="Z220" s="4">
        <f>Games[[#This Row],[K]]*Games[[#This Row],[POMult]]</f>
        <v>73.3</v>
      </c>
      <c r="AA220" s="4">
        <f>(Games[[#This Row],[Keff]]*Games[[#This Row],[MOVMult]])*(Games[[#This Row],[Result]]-Games[[#This Row],[ExpectedWin%]])</f>
        <v>-13.140511546363822</v>
      </c>
      <c r="AB220" s="4">
        <f>Games[[#This Row],[PreGmRate]]+Games[[#This Row],[RatingChange]]</f>
        <v>1485.9567227926175</v>
      </c>
      <c r="AC220" s="2">
        <f>IF(Games[[#This Row],[Type]]="R",IF(Games[[#This Row],[Result]]&gt;0.5,1,0),0)</f>
        <v>0</v>
      </c>
      <c r="AD220" s="2">
        <f>IF(Games[[#This Row],[Type]]="R",IF(Games[[#This Row],[Result]]&lt;0.5,1,0),0)</f>
        <v>1</v>
      </c>
      <c r="AE220" s="2">
        <f>IF(AND(Games[[#This Row],[Type]]="P",Games[[#This Row],[Round]]=1),IF(Games[[#This Row],[Result]]&gt;0.5,1,0),0)</f>
        <v>0</v>
      </c>
      <c r="AF220" s="2">
        <f>IF(AND(Games[[#This Row],[Type]]="P",Games[[#This Row],[Round]]=1),IF(Games[[#This Row],[Result]]&lt;0.5,1,0),0)</f>
        <v>0</v>
      </c>
      <c r="AG220" s="2">
        <f>IF(AND(Games[[#This Row],[Type]]="P",Games[[#This Row],[Round]]=2),IF(Games[[#This Row],[Result]]&gt;0.5,1,0),0)</f>
        <v>0</v>
      </c>
      <c r="AH220" s="2">
        <f>IF(AND(Games[[#This Row],[Type]]="P",Games[[#This Row],[Round]]=2),IF(Games[[#This Row],[Result]]&lt;0.5,1,0),0)</f>
        <v>0</v>
      </c>
      <c r="AI220" s="2">
        <f>IF(AND(Games[[#This Row],[Type]]="P",Games[[#This Row],[Round]]=3),IF(Games[[#This Row],[Result]]&gt;0.5,1,0),0)</f>
        <v>0</v>
      </c>
      <c r="AJ220" s="2">
        <f>IF(AND(Games[[#This Row],[Type]]="P",Games[[#This Row],[Round]]=3),IF(Games[[#This Row],[Result]]&lt;0.5,1,0),0)</f>
        <v>0</v>
      </c>
      <c r="AK220" s="2">
        <f>IF(AND(Games[[#This Row],[Type]]="P",Games[[#This Row],[Round]]=4),IF(Games[[#This Row],[Result]]&gt;0.5,1,0),0)</f>
        <v>0</v>
      </c>
      <c r="AL220" s="2">
        <f>IF(AND(Games[[#This Row],[Type]]="P",Games[[#This Row],[Round]]=4),IF(Games[[#This Row],[Result]]&lt;0.5,1,0),0)</f>
        <v>0</v>
      </c>
    </row>
    <row r="221" spans="1:38" x14ac:dyDescent="0.35">
      <c r="A221" s="10">
        <v>37810</v>
      </c>
      <c r="B221" s="2">
        <v>2003</v>
      </c>
      <c r="C221" s="2">
        <f>COUNTIFS(Games[Team],Games[[#This Row],[Team]],Games[Season],Games[[#This Row],[Season]],Games[Date],"&lt;=" &amp; Games[[#This Row],[Date]])</f>
        <v>14</v>
      </c>
      <c r="D221" s="2" t="s">
        <v>23</v>
      </c>
      <c r="E221" s="2" t="s">
        <v>29</v>
      </c>
      <c r="F221" s="1" t="s">
        <v>76</v>
      </c>
      <c r="G221" s="1" t="s">
        <v>87</v>
      </c>
      <c r="H221" s="1" t="s">
        <v>15</v>
      </c>
      <c r="I221" s="2" cm="1">
        <f t="array" ref="I221">IFERROR(
    Games[[#This Row],[Date]]
    - LOOKUP(
        2,
        1/((Games[Team]=Games[[#This Row],[Team]]) * (Games[Date] &lt; Games[[#This Row],[Date]])),
        Games[Date]
    )
    - 1,
Games[[#This Row],[Date]]-$A$2)</f>
        <v>1</v>
      </c>
      <c r="J221" s="2" cm="1">
        <f t="array" ref="J22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21" s="2">
        <f>Games[[#This Row],[DaysOff]]-Games[[#This Row],[OppDaysOff]]</f>
        <v>0</v>
      </c>
      <c r="L221" s="2">
        <f>Games[[#This Row],[OppDaysOff]]-Games[[#This Row],[DaysOff]]</f>
        <v>0</v>
      </c>
      <c r="M221" s="1">
        <f>MAX(-16, MIN(16, Games[[#This Row],[RestDiff]]*8))</f>
        <v>0</v>
      </c>
      <c r="N221" s="1">
        <f>MAX(-16, MIN(16, Games[[#This Row],[OppRestDiff]]*8))</f>
        <v>0</v>
      </c>
      <c r="O221" s="4" cm="1">
        <f t="array" ref="O22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1520.7507216713234</v>
      </c>
      <c r="P221" s="4" cm="1">
        <f t="array" ref="P22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1499.0972343389813</v>
      </c>
      <c r="Q221" s="4">
        <f>1/(1+10^(((Games[[#This Row],[OppPreGmRate]]+IF(Games[[#This Row],[HomeAway]]="A",HCA,0)+Games[[#This Row],[OppRestAdj]])-(Games[[#This Row],[PreGmRate]]+IF(Games[[#This Row],[HomeAway]]="H",HCA,0)+Games[[#This Row],[RestAdj]]))/400))</f>
        <v>0.64752788884406243</v>
      </c>
      <c r="R221" s="1">
        <v>66</v>
      </c>
      <c r="S221" s="1">
        <v>50</v>
      </c>
      <c r="T221" s="1">
        <v>0</v>
      </c>
      <c r="U221" s="1">
        <f>Games[[#This Row],[PointsFor]]-Games[[#This Row],[PointsAgainst]]</f>
        <v>16</v>
      </c>
      <c r="V221" s="1">
        <f>IF(Games[[#This Row],[MOV]]&gt;0,1,IF(Games[[#This Row],[MOV]]=0,0.5,0))</f>
        <v>1</v>
      </c>
      <c r="W221" s="4">
        <f>((ABS(Games[[#This Row],[MOV]])+5)^0.6)/(12+0.01*(ABS(Games[[#This Row],[PreGmRate]]-Games[[#This Row],[OppPreGmRate]])))*IF(Games[[#This Row],[OT]]=1,0.9,1)</f>
        <v>0.50860841079647512</v>
      </c>
      <c r="X221" s="7" cm="1">
        <f t="array" ref="X22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1" s="9">
        <f>MAX(kmin, kmax - 0.15 * MIN(Games[[#This Row],[GamesPlayed]], 82))</f>
        <v>73.900000000000006</v>
      </c>
      <c r="Z221" s="4">
        <f>Games[[#This Row],[K]]*Games[[#This Row],[POMult]]</f>
        <v>73.900000000000006</v>
      </c>
      <c r="AA221" s="4">
        <f>(Games[[#This Row],[Keff]]*Games[[#This Row],[MOVMult]])*(Games[[#This Row],[Result]]-Games[[#This Row],[ExpectedWin%]])</f>
        <v>13.248073714546885</v>
      </c>
      <c r="AB221" s="4">
        <f>Games[[#This Row],[PreGmRate]]+Games[[#This Row],[RatingChange]]</f>
        <v>1533.9987953858704</v>
      </c>
      <c r="AC221" s="2">
        <f>IF(Games[[#This Row],[Type]]="R",IF(Games[[#This Row],[Result]]&gt;0.5,1,0),0)</f>
        <v>1</v>
      </c>
      <c r="AD221" s="2">
        <f>IF(Games[[#This Row],[Type]]="R",IF(Games[[#This Row],[Result]]&lt;0.5,1,0),0)</f>
        <v>0</v>
      </c>
      <c r="AE221" s="2">
        <f>IF(AND(Games[[#This Row],[Type]]="P",Games[[#This Row],[Round]]=1),IF(Games[[#This Row],[Result]]&gt;0.5,1,0),0)</f>
        <v>0</v>
      </c>
      <c r="AF221" s="2">
        <f>IF(AND(Games[[#This Row],[Type]]="P",Games[[#This Row],[Round]]=1),IF(Games[[#This Row],[Result]]&lt;0.5,1,0),0)</f>
        <v>0</v>
      </c>
      <c r="AG221" s="2">
        <f>IF(AND(Games[[#This Row],[Type]]="P",Games[[#This Row],[Round]]=2),IF(Games[[#This Row],[Result]]&gt;0.5,1,0),0)</f>
        <v>0</v>
      </c>
      <c r="AH221" s="2">
        <f>IF(AND(Games[[#This Row],[Type]]="P",Games[[#This Row],[Round]]=2),IF(Games[[#This Row],[Result]]&lt;0.5,1,0),0)</f>
        <v>0</v>
      </c>
      <c r="AI221" s="2">
        <f>IF(AND(Games[[#This Row],[Type]]="P",Games[[#This Row],[Round]]=3),IF(Games[[#This Row],[Result]]&gt;0.5,1,0),0)</f>
        <v>0</v>
      </c>
      <c r="AJ221" s="2">
        <f>IF(AND(Games[[#This Row],[Type]]="P",Games[[#This Row],[Round]]=3),IF(Games[[#This Row],[Result]]&lt;0.5,1,0),0)</f>
        <v>0</v>
      </c>
      <c r="AK221" s="2">
        <f>IF(AND(Games[[#This Row],[Type]]="P",Games[[#This Row],[Round]]=4),IF(Games[[#This Row],[Result]]&gt;0.5,1,0),0)</f>
        <v>0</v>
      </c>
      <c r="AL221" s="2">
        <f>IF(AND(Games[[#This Row],[Type]]="P",Games[[#This Row],[Round]]=4),IF(Games[[#This Row],[Result]]&lt;0.5,1,0),0)</f>
        <v>0</v>
      </c>
    </row>
    <row r="222" spans="1:38" x14ac:dyDescent="0.35">
      <c r="A222" s="10">
        <v>37810</v>
      </c>
      <c r="B222" s="2">
        <v>2003</v>
      </c>
      <c r="C222" s="2">
        <f>COUNTIFS(Games[Team],Games[[#This Row],[Team]],Games[Season],Games[[#This Row],[Season]],Games[Date],"&lt;=" &amp; Games[[#This Row],[Date]])</f>
        <v>16</v>
      </c>
      <c r="D222" s="2" t="s">
        <v>23</v>
      </c>
      <c r="E222" s="2" t="s">
        <v>29</v>
      </c>
      <c r="F222" s="1" t="s">
        <v>80</v>
      </c>
      <c r="G222" s="1" t="s">
        <v>2</v>
      </c>
      <c r="H222" s="1" t="s">
        <v>16</v>
      </c>
      <c r="I222" s="2" cm="1">
        <f t="array" ref="I222">IFERROR(
    Games[[#This Row],[Date]]
    - LOOKUP(
        2,
        1/((Games[Team]=Games[[#This Row],[Team]]) * (Games[Date] &lt; Games[[#This Row],[Date]])),
        Games[Date]
    )
    - 1,
Games[[#This Row],[Date]]-$A$2)</f>
        <v>1</v>
      </c>
      <c r="J222" s="2" cm="1">
        <f t="array" ref="J22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22" s="2">
        <f>Games[[#This Row],[DaysOff]]-Games[[#This Row],[OppDaysOff]]</f>
        <v>-1</v>
      </c>
      <c r="L222" s="2">
        <f>Games[[#This Row],[OppDaysOff]]-Games[[#This Row],[DaysOff]]</f>
        <v>1</v>
      </c>
      <c r="M222" s="1">
        <f>MAX(-16, MIN(16, Games[[#This Row],[RestDiff]]*8))</f>
        <v>-8</v>
      </c>
      <c r="N222" s="1">
        <f>MAX(-16, MIN(16, Games[[#This Row],[OppRestDiff]]*8))</f>
        <v>8</v>
      </c>
      <c r="O222" s="4" cm="1">
        <f t="array" ref="O22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1543.7904167117056</v>
      </c>
      <c r="P222" s="4" cm="1">
        <f t="array" ref="P22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1543.754901668332</v>
      </c>
      <c r="Q222" s="4">
        <f>1/(1+10^(((Games[[#This Row],[OppPreGmRate]]+IF(Games[[#This Row],[HomeAway]]="A",HCA,0)+Games[[#This Row],[OppRestAdj]])-(Games[[#This Row],[PreGmRate]]+IF(Games[[#This Row],[HomeAway]]="H",HCA,0)+Games[[#This Row],[RestAdj]]))/400))</f>
        <v>0.35998210103584843</v>
      </c>
      <c r="R222" s="1">
        <v>56</v>
      </c>
      <c r="S222" s="1">
        <v>60</v>
      </c>
      <c r="T222" s="1">
        <v>0</v>
      </c>
      <c r="U222" s="1">
        <f>Games[[#This Row],[PointsFor]]-Games[[#This Row],[PointsAgainst]]</f>
        <v>-4</v>
      </c>
      <c r="V222" s="1">
        <f>IF(Games[[#This Row],[MOV]]&gt;0,1,IF(Games[[#This Row],[MOV]]=0,0.5,0))</f>
        <v>0</v>
      </c>
      <c r="W222" s="4">
        <f>((ABS(Games[[#This Row],[MOV]])+5)^0.6)/(12+0.01*(ABS(Games[[#This Row],[PreGmRate]]-Games[[#This Row],[OppPreGmRate]])))*IF(Games[[#This Row],[OT]]=1,0.9,1)</f>
        <v>0.31142351805408663</v>
      </c>
      <c r="X222" s="7" cm="1">
        <f t="array" ref="X22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2" s="9">
        <f>MAX(kmin, kmax - 0.15 * MIN(Games[[#This Row],[GamesPlayed]], 82))</f>
        <v>73.599999999999994</v>
      </c>
      <c r="Z222" s="4">
        <f>Games[[#This Row],[K]]*Games[[#This Row],[POMult]]</f>
        <v>73.599999999999994</v>
      </c>
      <c r="AA222" s="4">
        <f>(Games[[#This Row],[Keff]]*Games[[#This Row],[MOVMult]])*(Games[[#This Row],[Result]]-Games[[#This Row],[ExpectedWin%]])</f>
        <v>-8.2510672763038997</v>
      </c>
      <c r="AB222" s="4">
        <f>Games[[#This Row],[PreGmRate]]+Games[[#This Row],[RatingChange]]</f>
        <v>1535.5393494354016</v>
      </c>
      <c r="AC222" s="2">
        <f>IF(Games[[#This Row],[Type]]="R",IF(Games[[#This Row],[Result]]&gt;0.5,1,0),0)</f>
        <v>0</v>
      </c>
      <c r="AD222" s="2">
        <f>IF(Games[[#This Row],[Type]]="R",IF(Games[[#This Row],[Result]]&lt;0.5,1,0),0)</f>
        <v>1</v>
      </c>
      <c r="AE222" s="2">
        <f>IF(AND(Games[[#This Row],[Type]]="P",Games[[#This Row],[Round]]=1),IF(Games[[#This Row],[Result]]&gt;0.5,1,0),0)</f>
        <v>0</v>
      </c>
      <c r="AF222" s="2">
        <f>IF(AND(Games[[#This Row],[Type]]="P",Games[[#This Row],[Round]]=1),IF(Games[[#This Row],[Result]]&lt;0.5,1,0),0)</f>
        <v>0</v>
      </c>
      <c r="AG222" s="2">
        <f>IF(AND(Games[[#This Row],[Type]]="P",Games[[#This Row],[Round]]=2),IF(Games[[#This Row],[Result]]&gt;0.5,1,0),0)</f>
        <v>0</v>
      </c>
      <c r="AH222" s="2">
        <f>IF(AND(Games[[#This Row],[Type]]="P",Games[[#This Row],[Round]]=2),IF(Games[[#This Row],[Result]]&lt;0.5,1,0),0)</f>
        <v>0</v>
      </c>
      <c r="AI222" s="2">
        <f>IF(AND(Games[[#This Row],[Type]]="P",Games[[#This Row],[Round]]=3),IF(Games[[#This Row],[Result]]&gt;0.5,1,0),0)</f>
        <v>0</v>
      </c>
      <c r="AJ222" s="2">
        <f>IF(AND(Games[[#This Row],[Type]]="P",Games[[#This Row],[Round]]=3),IF(Games[[#This Row],[Result]]&lt;0.5,1,0),0)</f>
        <v>0</v>
      </c>
      <c r="AK222" s="2">
        <f>IF(AND(Games[[#This Row],[Type]]="P",Games[[#This Row],[Round]]=4),IF(Games[[#This Row],[Result]]&gt;0.5,1,0),0)</f>
        <v>0</v>
      </c>
      <c r="AL222" s="2">
        <f>IF(AND(Games[[#This Row],[Type]]="P",Games[[#This Row],[Round]]=4),IF(Games[[#This Row],[Result]]&lt;0.5,1,0),0)</f>
        <v>0</v>
      </c>
    </row>
    <row r="223" spans="1:38" x14ac:dyDescent="0.35">
      <c r="A223" s="10">
        <v>37810</v>
      </c>
      <c r="B223" s="2">
        <v>2003</v>
      </c>
      <c r="C223" s="2">
        <f>COUNTIFS(Games[Team],Games[[#This Row],[Team]],Games[Season],Games[[#This Row],[Season]],Games[Date],"&lt;=" &amp; Games[[#This Row],[Date]])</f>
        <v>17</v>
      </c>
      <c r="D223" s="2" t="s">
        <v>23</v>
      </c>
      <c r="E223" s="2" t="s">
        <v>29</v>
      </c>
      <c r="F223" s="1" t="s">
        <v>2</v>
      </c>
      <c r="G223" s="1" t="s">
        <v>80</v>
      </c>
      <c r="H223" s="1" t="s">
        <v>15</v>
      </c>
      <c r="I223" s="2" cm="1">
        <f t="array" ref="I223">IFERROR(
    Games[[#This Row],[Date]]
    - LOOKUP(
        2,
        1/((Games[Team]=Games[[#This Row],[Team]]) * (Games[Date] &lt; Games[[#This Row],[Date]])),
        Games[Date]
    )
    - 1,
Games[[#This Row],[Date]]-$A$2)</f>
        <v>2</v>
      </c>
      <c r="J223" s="2" cm="1">
        <f t="array" ref="J22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23" s="2">
        <f>Games[[#This Row],[DaysOff]]-Games[[#This Row],[OppDaysOff]]</f>
        <v>1</v>
      </c>
      <c r="L223" s="2">
        <f>Games[[#This Row],[OppDaysOff]]-Games[[#This Row],[DaysOff]]</f>
        <v>-1</v>
      </c>
      <c r="M223" s="1">
        <f>MAX(-16, MIN(16, Games[[#This Row],[RestDiff]]*8))</f>
        <v>8</v>
      </c>
      <c r="N223" s="1">
        <f>MAX(-16, MIN(16, Games[[#This Row],[OppRestDiff]]*8))</f>
        <v>-8</v>
      </c>
      <c r="O223" s="4" cm="1">
        <f t="array" ref="O22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1543.754901668332</v>
      </c>
      <c r="P223" s="4" cm="1">
        <f t="array" ref="P22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1543.7904167117056</v>
      </c>
      <c r="Q223" s="4">
        <f>1/(1+10^(((Games[[#This Row],[OppPreGmRate]]+IF(Games[[#This Row],[HomeAway]]="A",HCA,0)+Games[[#This Row],[OppRestAdj]])-(Games[[#This Row],[PreGmRate]]+IF(Games[[#This Row],[HomeAway]]="H",HCA,0)+Games[[#This Row],[RestAdj]]))/400))</f>
        <v>0.64001789896415151</v>
      </c>
      <c r="R223" s="1">
        <v>60</v>
      </c>
      <c r="S223" s="1">
        <v>56</v>
      </c>
      <c r="T223" s="1">
        <v>0</v>
      </c>
      <c r="U223" s="1">
        <f>Games[[#This Row],[PointsFor]]-Games[[#This Row],[PointsAgainst]]</f>
        <v>4</v>
      </c>
      <c r="V223" s="1">
        <f>IF(Games[[#This Row],[MOV]]&gt;0,1,IF(Games[[#This Row],[MOV]]=0,0.5,0))</f>
        <v>1</v>
      </c>
      <c r="W223" s="4">
        <f>((ABS(Games[[#This Row],[MOV]])+5)^0.6)/(12+0.01*(ABS(Games[[#This Row],[PreGmRate]]-Games[[#This Row],[OppPreGmRate]])))*IF(Games[[#This Row],[OT]]=1,0.9,1)</f>
        <v>0.31142351805408663</v>
      </c>
      <c r="X223" s="7" cm="1">
        <f t="array" ref="X22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3" s="9">
        <f>MAX(kmin, kmax - 0.15 * MIN(Games[[#This Row],[GamesPlayed]], 82))</f>
        <v>73.45</v>
      </c>
      <c r="Z223" s="4">
        <f>Games[[#This Row],[K]]*Games[[#This Row],[POMult]]</f>
        <v>73.45</v>
      </c>
      <c r="AA223" s="4">
        <f>(Games[[#This Row],[Keff]]*Games[[#This Row],[MOVMult]])*(Games[[#This Row],[Result]]-Games[[#This Row],[ExpectedWin%]])</f>
        <v>8.2342512424527374</v>
      </c>
      <c r="AB223" s="4">
        <f>Games[[#This Row],[PreGmRate]]+Games[[#This Row],[RatingChange]]</f>
        <v>1551.9891529107847</v>
      </c>
      <c r="AC223" s="2">
        <f>IF(Games[[#This Row],[Type]]="R",IF(Games[[#This Row],[Result]]&gt;0.5,1,0),0)</f>
        <v>1</v>
      </c>
      <c r="AD223" s="2">
        <f>IF(Games[[#This Row],[Type]]="R",IF(Games[[#This Row],[Result]]&lt;0.5,1,0),0)</f>
        <v>0</v>
      </c>
      <c r="AE223" s="2">
        <f>IF(AND(Games[[#This Row],[Type]]="P",Games[[#This Row],[Round]]=1),IF(Games[[#This Row],[Result]]&gt;0.5,1,0),0)</f>
        <v>0</v>
      </c>
      <c r="AF223" s="2">
        <f>IF(AND(Games[[#This Row],[Type]]="P",Games[[#This Row],[Round]]=1),IF(Games[[#This Row],[Result]]&lt;0.5,1,0),0)</f>
        <v>0</v>
      </c>
      <c r="AG223" s="2">
        <f>IF(AND(Games[[#This Row],[Type]]="P",Games[[#This Row],[Round]]=2),IF(Games[[#This Row],[Result]]&gt;0.5,1,0),0)</f>
        <v>0</v>
      </c>
      <c r="AH223" s="2">
        <f>IF(AND(Games[[#This Row],[Type]]="P",Games[[#This Row],[Round]]=2),IF(Games[[#This Row],[Result]]&lt;0.5,1,0),0)</f>
        <v>0</v>
      </c>
      <c r="AI223" s="2">
        <f>IF(AND(Games[[#This Row],[Type]]="P",Games[[#This Row],[Round]]=3),IF(Games[[#This Row],[Result]]&gt;0.5,1,0),0)</f>
        <v>0</v>
      </c>
      <c r="AJ223" s="2">
        <f>IF(AND(Games[[#This Row],[Type]]="P",Games[[#This Row],[Round]]=3),IF(Games[[#This Row],[Result]]&lt;0.5,1,0),0)</f>
        <v>0</v>
      </c>
      <c r="AK223" s="2">
        <f>IF(AND(Games[[#This Row],[Type]]="P",Games[[#This Row],[Round]]=4),IF(Games[[#This Row],[Result]]&gt;0.5,1,0),0)</f>
        <v>0</v>
      </c>
      <c r="AL223" s="2">
        <f>IF(AND(Games[[#This Row],[Type]]="P",Games[[#This Row],[Round]]=4),IF(Games[[#This Row],[Result]]&lt;0.5,1,0),0)</f>
        <v>0</v>
      </c>
    </row>
    <row r="224" spans="1:38" x14ac:dyDescent="0.35">
      <c r="A224" s="10">
        <v>37810</v>
      </c>
      <c r="B224" s="2">
        <v>2003</v>
      </c>
      <c r="C224" s="2">
        <f>COUNTIFS(Games[Team],Games[[#This Row],[Team]],Games[Season],Games[[#This Row],[Season]],Games[Date],"&lt;=" &amp; Games[[#This Row],[Date]])</f>
        <v>18</v>
      </c>
      <c r="D224" s="2" t="s">
        <v>23</v>
      </c>
      <c r="E224" s="2" t="s">
        <v>29</v>
      </c>
      <c r="F224" s="1" t="s">
        <v>45</v>
      </c>
      <c r="G224" s="1" t="s">
        <v>78</v>
      </c>
      <c r="H224" s="1" t="s">
        <v>16</v>
      </c>
      <c r="I224" s="2" cm="1">
        <f t="array" ref="I224">IFERROR(
    Games[[#This Row],[Date]]
    - LOOKUP(
        2,
        1/((Games[Team]=Games[[#This Row],[Team]]) * (Games[Date] &lt; Games[[#This Row],[Date]])),
        Games[Date]
    )
    - 1,
Games[[#This Row],[Date]]-$A$2)</f>
        <v>2</v>
      </c>
      <c r="J224" s="2" cm="1">
        <f t="array" ref="J22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24" s="2">
        <f>Games[[#This Row],[DaysOff]]-Games[[#This Row],[OppDaysOff]]</f>
        <v>0</v>
      </c>
      <c r="L224" s="2">
        <f>Games[[#This Row],[OppDaysOff]]-Games[[#This Row],[DaysOff]]</f>
        <v>0</v>
      </c>
      <c r="M224" s="1">
        <f>MAX(-16, MIN(16, Games[[#This Row],[RestDiff]]*8))</f>
        <v>0</v>
      </c>
      <c r="N224" s="1">
        <f>MAX(-16, MIN(16, Games[[#This Row],[OppRestDiff]]*8))</f>
        <v>0</v>
      </c>
      <c r="O224" s="4" cm="1">
        <f t="array" ref="O22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1493.6044073785538</v>
      </c>
      <c r="P224" s="4" cm="1">
        <f t="array" ref="P22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1456.0931160700093</v>
      </c>
      <c r="Q224" s="4">
        <f>1/(1+10^(((Games[[#This Row],[OppPreGmRate]]+IF(Games[[#This Row],[HomeAway]]="A",HCA,0)+Games[[#This Row],[OppRestAdj]])-(Games[[#This Row],[PreGmRate]]+IF(Games[[#This Row],[HomeAway]]="H",HCA,0)+Games[[#This Row],[RestAdj]]))/400))</f>
        <v>0.43349380290100198</v>
      </c>
      <c r="R224" s="1">
        <v>59</v>
      </c>
      <c r="S224" s="1">
        <v>77</v>
      </c>
      <c r="T224" s="1">
        <v>0</v>
      </c>
      <c r="U224" s="1">
        <f>Games[[#This Row],[PointsFor]]-Games[[#This Row],[PointsAgainst]]</f>
        <v>-18</v>
      </c>
      <c r="V224" s="1">
        <f>IF(Games[[#This Row],[MOV]]&gt;0,1,IF(Games[[#This Row],[MOV]]=0,0.5,0))</f>
        <v>0</v>
      </c>
      <c r="W224" s="4">
        <f>((ABS(Games[[#This Row],[MOV]])+5)^0.6)/(12+0.01*(ABS(Games[[#This Row],[PreGmRate]]-Games[[#This Row],[OppPreGmRate]])))*IF(Games[[#This Row],[OT]]=1,0.9,1)</f>
        <v>0.53025836867938292</v>
      </c>
      <c r="X224" s="7" cm="1">
        <f t="array" ref="X22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4" s="9">
        <f>MAX(kmin, kmax - 0.15 * MIN(Games[[#This Row],[GamesPlayed]], 82))</f>
        <v>73.3</v>
      </c>
      <c r="Z224" s="4">
        <f>Games[[#This Row],[K]]*Games[[#This Row],[POMult]]</f>
        <v>73.3</v>
      </c>
      <c r="AA224" s="4">
        <f>(Games[[#This Row],[Keff]]*Games[[#This Row],[MOVMult]])*(Games[[#This Row],[Result]]-Games[[#This Row],[ExpectedWin%]])</f>
        <v>-16.849010438427904</v>
      </c>
      <c r="AB224" s="4">
        <f>Games[[#This Row],[PreGmRate]]+Games[[#This Row],[RatingChange]]</f>
        <v>1476.7553969401258</v>
      </c>
      <c r="AC224" s="2">
        <f>IF(Games[[#This Row],[Type]]="R",IF(Games[[#This Row],[Result]]&gt;0.5,1,0),0)</f>
        <v>0</v>
      </c>
      <c r="AD224" s="2">
        <f>IF(Games[[#This Row],[Type]]="R",IF(Games[[#This Row],[Result]]&lt;0.5,1,0),0)</f>
        <v>1</v>
      </c>
      <c r="AE224" s="2">
        <f>IF(AND(Games[[#This Row],[Type]]="P",Games[[#This Row],[Round]]=1),IF(Games[[#This Row],[Result]]&gt;0.5,1,0),0)</f>
        <v>0</v>
      </c>
      <c r="AF224" s="2">
        <f>IF(AND(Games[[#This Row],[Type]]="P",Games[[#This Row],[Round]]=1),IF(Games[[#This Row],[Result]]&lt;0.5,1,0),0)</f>
        <v>0</v>
      </c>
      <c r="AG224" s="2">
        <f>IF(AND(Games[[#This Row],[Type]]="P",Games[[#This Row],[Round]]=2),IF(Games[[#This Row],[Result]]&gt;0.5,1,0),0)</f>
        <v>0</v>
      </c>
      <c r="AH224" s="2">
        <f>IF(AND(Games[[#This Row],[Type]]="P",Games[[#This Row],[Round]]=2),IF(Games[[#This Row],[Result]]&lt;0.5,1,0),0)</f>
        <v>0</v>
      </c>
      <c r="AI224" s="2">
        <f>IF(AND(Games[[#This Row],[Type]]="P",Games[[#This Row],[Round]]=3),IF(Games[[#This Row],[Result]]&gt;0.5,1,0),0)</f>
        <v>0</v>
      </c>
      <c r="AJ224" s="2">
        <f>IF(AND(Games[[#This Row],[Type]]="P",Games[[#This Row],[Round]]=3),IF(Games[[#This Row],[Result]]&lt;0.5,1,0),0)</f>
        <v>0</v>
      </c>
      <c r="AK224" s="2">
        <f>IF(AND(Games[[#This Row],[Type]]="P",Games[[#This Row],[Round]]=4),IF(Games[[#This Row],[Result]]&gt;0.5,1,0),0)</f>
        <v>0</v>
      </c>
      <c r="AL224" s="2">
        <f>IF(AND(Games[[#This Row],[Type]]="P",Games[[#This Row],[Round]]=4),IF(Games[[#This Row],[Result]]&lt;0.5,1,0),0)</f>
        <v>0</v>
      </c>
    </row>
    <row r="225" spans="1:38" x14ac:dyDescent="0.35">
      <c r="A225" s="10">
        <v>37810</v>
      </c>
      <c r="B225" s="2">
        <v>2003</v>
      </c>
      <c r="C225" s="2">
        <f>COUNTIFS(Games[Team],Games[[#This Row],[Team]],Games[Season],Games[[#This Row],[Season]],Games[Date],"&lt;=" &amp; Games[[#This Row],[Date]])</f>
        <v>16</v>
      </c>
      <c r="D225" s="2" t="s">
        <v>23</v>
      </c>
      <c r="E225" s="2" t="s">
        <v>29</v>
      </c>
      <c r="F225" s="1" t="s">
        <v>78</v>
      </c>
      <c r="G225" s="1" t="s">
        <v>45</v>
      </c>
      <c r="H225" s="1" t="s">
        <v>15</v>
      </c>
      <c r="I225" s="2" cm="1">
        <f t="array" ref="I225">IFERROR(
    Games[[#This Row],[Date]]
    - LOOKUP(
        2,
        1/((Games[Team]=Games[[#This Row],[Team]]) * (Games[Date] &lt; Games[[#This Row],[Date]])),
        Games[Date]
    )
    - 1,
Games[[#This Row],[Date]]-$A$2)</f>
        <v>2</v>
      </c>
      <c r="J225" s="2" cm="1">
        <f t="array" ref="J22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25" s="2">
        <f>Games[[#This Row],[DaysOff]]-Games[[#This Row],[OppDaysOff]]</f>
        <v>0</v>
      </c>
      <c r="L225" s="2">
        <f>Games[[#This Row],[OppDaysOff]]-Games[[#This Row],[DaysOff]]</f>
        <v>0</v>
      </c>
      <c r="M225" s="1">
        <f>MAX(-16, MIN(16, Games[[#This Row],[RestDiff]]*8))</f>
        <v>0</v>
      </c>
      <c r="N225" s="1">
        <f>MAX(-16, MIN(16, Games[[#This Row],[OppRestDiff]]*8))</f>
        <v>0</v>
      </c>
      <c r="O225" s="4" cm="1">
        <f t="array" ref="O22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1456.0931160700093</v>
      </c>
      <c r="P225" s="4" cm="1">
        <f t="array" ref="P22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1493.6044073785538</v>
      </c>
      <c r="Q225" s="4">
        <f>1/(1+10^(((Games[[#This Row],[OppPreGmRate]]+IF(Games[[#This Row],[HomeAway]]="A",HCA,0)+Games[[#This Row],[OppRestAdj]])-(Games[[#This Row],[PreGmRate]]+IF(Games[[#This Row],[HomeAway]]="H",HCA,0)+Games[[#This Row],[RestAdj]]))/400))</f>
        <v>0.56650619709899797</v>
      </c>
      <c r="R225" s="1">
        <v>77</v>
      </c>
      <c r="S225" s="1">
        <v>59</v>
      </c>
      <c r="T225" s="1">
        <v>0</v>
      </c>
      <c r="U225" s="1">
        <f>Games[[#This Row],[PointsFor]]-Games[[#This Row],[PointsAgainst]]</f>
        <v>18</v>
      </c>
      <c r="V225" s="1">
        <f>IF(Games[[#This Row],[MOV]]&gt;0,1,IF(Games[[#This Row],[MOV]]=0,0.5,0))</f>
        <v>1</v>
      </c>
      <c r="W225" s="4">
        <f>((ABS(Games[[#This Row],[MOV]])+5)^0.6)/(12+0.01*(ABS(Games[[#This Row],[PreGmRate]]-Games[[#This Row],[OppPreGmRate]])))*IF(Games[[#This Row],[OT]]=1,0.9,1)</f>
        <v>0.53025836867938292</v>
      </c>
      <c r="X225" s="7" cm="1">
        <f t="array" ref="X22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5" s="9">
        <f>MAX(kmin, kmax - 0.15 * MIN(Games[[#This Row],[GamesPlayed]], 82))</f>
        <v>73.599999999999994</v>
      </c>
      <c r="Z225" s="4">
        <f>Games[[#This Row],[K]]*Games[[#This Row],[POMult]]</f>
        <v>73.599999999999994</v>
      </c>
      <c r="AA225" s="4">
        <f>(Games[[#This Row],[Keff]]*Games[[#This Row],[MOVMult]])*(Games[[#This Row],[Result]]-Games[[#This Row],[ExpectedWin%]])</f>
        <v>16.917969553455574</v>
      </c>
      <c r="AB225" s="4">
        <f>Games[[#This Row],[PreGmRate]]+Games[[#This Row],[RatingChange]]</f>
        <v>1473.0110856234649</v>
      </c>
      <c r="AC225" s="2">
        <f>IF(Games[[#This Row],[Type]]="R",IF(Games[[#This Row],[Result]]&gt;0.5,1,0),0)</f>
        <v>1</v>
      </c>
      <c r="AD225" s="2">
        <f>IF(Games[[#This Row],[Type]]="R",IF(Games[[#This Row],[Result]]&lt;0.5,1,0),0)</f>
        <v>0</v>
      </c>
      <c r="AE225" s="2">
        <f>IF(AND(Games[[#This Row],[Type]]="P",Games[[#This Row],[Round]]=1),IF(Games[[#This Row],[Result]]&gt;0.5,1,0),0)</f>
        <v>0</v>
      </c>
      <c r="AF225" s="2">
        <f>IF(AND(Games[[#This Row],[Type]]="P",Games[[#This Row],[Round]]=1),IF(Games[[#This Row],[Result]]&lt;0.5,1,0),0)</f>
        <v>0</v>
      </c>
      <c r="AG225" s="2">
        <f>IF(AND(Games[[#This Row],[Type]]="P",Games[[#This Row],[Round]]=2),IF(Games[[#This Row],[Result]]&gt;0.5,1,0),0)</f>
        <v>0</v>
      </c>
      <c r="AH225" s="2">
        <f>IF(AND(Games[[#This Row],[Type]]="P",Games[[#This Row],[Round]]=2),IF(Games[[#This Row],[Result]]&lt;0.5,1,0),0)</f>
        <v>0</v>
      </c>
      <c r="AI225" s="2">
        <f>IF(AND(Games[[#This Row],[Type]]="P",Games[[#This Row],[Round]]=3),IF(Games[[#This Row],[Result]]&gt;0.5,1,0),0)</f>
        <v>0</v>
      </c>
      <c r="AJ225" s="2">
        <f>IF(AND(Games[[#This Row],[Type]]="P",Games[[#This Row],[Round]]=3),IF(Games[[#This Row],[Result]]&lt;0.5,1,0),0)</f>
        <v>0</v>
      </c>
      <c r="AK225" s="2">
        <f>IF(AND(Games[[#This Row],[Type]]="P",Games[[#This Row],[Round]]=4),IF(Games[[#This Row],[Result]]&gt;0.5,1,0),0)</f>
        <v>0</v>
      </c>
      <c r="AL225" s="2">
        <f>IF(AND(Games[[#This Row],[Type]]="P",Games[[#This Row],[Round]]=4),IF(Games[[#This Row],[Result]]&lt;0.5,1,0),0)</f>
        <v>0</v>
      </c>
    </row>
    <row r="226" spans="1:38" x14ac:dyDescent="0.35">
      <c r="A226" s="10">
        <v>37811</v>
      </c>
      <c r="B226" s="2">
        <v>2003</v>
      </c>
      <c r="C226" s="2">
        <f>COUNTIFS(Games[Team],Games[[#This Row],[Team]],Games[Season],Games[[#This Row],[Season]],Games[Date],"&lt;=" &amp; Games[[#This Row],[Date]])</f>
        <v>18</v>
      </c>
      <c r="D226" s="2" t="s">
        <v>23</v>
      </c>
      <c r="E226" s="2" t="s">
        <v>29</v>
      </c>
      <c r="F226" s="1" t="s">
        <v>71</v>
      </c>
      <c r="G226" s="1" t="s">
        <v>74</v>
      </c>
      <c r="H226" s="1" t="s">
        <v>16</v>
      </c>
      <c r="I226" s="2" cm="1">
        <f t="array" ref="I226">IFERROR(
    Games[[#This Row],[Date]]
    - LOOKUP(
        2,
        1/((Games[Team]=Games[[#This Row],[Team]]) * (Games[Date] &lt; Games[[#This Row],[Date]])),
        Games[Date]
    )
    - 1,
Games[[#This Row],[Date]]-$A$2)</f>
        <v>1</v>
      </c>
      <c r="J226" s="2" cm="1">
        <f t="array" ref="J22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26" s="2">
        <f>Games[[#This Row],[DaysOff]]-Games[[#This Row],[OppDaysOff]]</f>
        <v>0</v>
      </c>
      <c r="L226" s="2">
        <f>Games[[#This Row],[OppDaysOff]]-Games[[#This Row],[DaysOff]]</f>
        <v>0</v>
      </c>
      <c r="M226" s="1">
        <f>MAX(-16, MIN(16, Games[[#This Row],[RestDiff]]*8))</f>
        <v>0</v>
      </c>
      <c r="N226" s="1">
        <f>MAX(-16, MIN(16, Games[[#This Row],[OppRestDiff]]*8))</f>
        <v>0</v>
      </c>
      <c r="O226" s="4" cm="1">
        <f t="array" ref="O22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1680.8988716156916</v>
      </c>
      <c r="P226" s="4" cm="1">
        <f t="array" ref="P22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1347.7972314350848</v>
      </c>
      <c r="Q226" s="4">
        <f>1/(1+10^(((Games[[#This Row],[OppPreGmRate]]+IF(Games[[#This Row],[HomeAway]]="A",HCA,0)+Games[[#This Row],[OppRestAdj]])-(Games[[#This Row],[PreGmRate]]+IF(Games[[#This Row],[HomeAway]]="H",HCA,0)+Games[[#This Row],[RestAdj]]))/400))</f>
        <v>0.80751514084520482</v>
      </c>
      <c r="R226" s="1">
        <v>97</v>
      </c>
      <c r="S226" s="1">
        <v>91</v>
      </c>
      <c r="T226" s="1">
        <v>0</v>
      </c>
      <c r="U226" s="1">
        <f>Games[[#This Row],[PointsFor]]-Games[[#This Row],[PointsAgainst]]</f>
        <v>6</v>
      </c>
      <c r="V226" s="1">
        <f>IF(Games[[#This Row],[MOV]]&gt;0,1,IF(Games[[#This Row],[MOV]]=0,0.5,0))</f>
        <v>1</v>
      </c>
      <c r="W226" s="4">
        <f>((ABS(Games[[#This Row],[MOV]])+5)^0.6)/(12+0.01*(ABS(Games[[#This Row],[PreGmRate]]-Games[[#This Row],[OppPreGmRate]])))*IF(Games[[#This Row],[OT]]=1,0.9,1)</f>
        <v>0.27495692539963029</v>
      </c>
      <c r="X226" s="7" cm="1">
        <f t="array" ref="X22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6" s="9">
        <f>MAX(kmin, kmax - 0.15 * MIN(Games[[#This Row],[GamesPlayed]], 82))</f>
        <v>73.3</v>
      </c>
      <c r="Z226" s="4">
        <f>Games[[#This Row],[K]]*Games[[#This Row],[POMult]]</f>
        <v>73.3</v>
      </c>
      <c r="AA226" s="4">
        <f>(Games[[#This Row],[Keff]]*Games[[#This Row],[MOVMult]])*(Games[[#This Row],[Result]]-Games[[#This Row],[ExpectedWin%]])</f>
        <v>3.8794058028381406</v>
      </c>
      <c r="AB226" s="4">
        <f>Games[[#This Row],[PreGmRate]]+Games[[#This Row],[RatingChange]]</f>
        <v>1684.7782774185298</v>
      </c>
      <c r="AC226" s="2">
        <f>IF(Games[[#This Row],[Type]]="R",IF(Games[[#This Row],[Result]]&gt;0.5,1,0),0)</f>
        <v>1</v>
      </c>
      <c r="AD226" s="2">
        <f>IF(Games[[#This Row],[Type]]="R",IF(Games[[#This Row],[Result]]&lt;0.5,1,0),0)</f>
        <v>0</v>
      </c>
      <c r="AE226" s="2">
        <f>IF(AND(Games[[#This Row],[Type]]="P",Games[[#This Row],[Round]]=1),IF(Games[[#This Row],[Result]]&gt;0.5,1,0),0)</f>
        <v>0</v>
      </c>
      <c r="AF226" s="2">
        <f>IF(AND(Games[[#This Row],[Type]]="P",Games[[#This Row],[Round]]=1),IF(Games[[#This Row],[Result]]&lt;0.5,1,0),0)</f>
        <v>0</v>
      </c>
      <c r="AG226" s="2">
        <f>IF(AND(Games[[#This Row],[Type]]="P",Games[[#This Row],[Round]]=2),IF(Games[[#This Row],[Result]]&gt;0.5,1,0),0)</f>
        <v>0</v>
      </c>
      <c r="AH226" s="2">
        <f>IF(AND(Games[[#This Row],[Type]]="P",Games[[#This Row],[Round]]=2),IF(Games[[#This Row],[Result]]&lt;0.5,1,0),0)</f>
        <v>0</v>
      </c>
      <c r="AI226" s="2">
        <f>IF(AND(Games[[#This Row],[Type]]="P",Games[[#This Row],[Round]]=3),IF(Games[[#This Row],[Result]]&gt;0.5,1,0),0)</f>
        <v>0</v>
      </c>
      <c r="AJ226" s="2">
        <f>IF(AND(Games[[#This Row],[Type]]="P",Games[[#This Row],[Round]]=3),IF(Games[[#This Row],[Result]]&lt;0.5,1,0),0)</f>
        <v>0</v>
      </c>
      <c r="AK226" s="2">
        <f>IF(AND(Games[[#This Row],[Type]]="P",Games[[#This Row],[Round]]=4),IF(Games[[#This Row],[Result]]&gt;0.5,1,0),0)</f>
        <v>0</v>
      </c>
      <c r="AL226" s="2">
        <f>IF(AND(Games[[#This Row],[Type]]="P",Games[[#This Row],[Round]]=4),IF(Games[[#This Row],[Result]]&lt;0.5,1,0),0)</f>
        <v>0</v>
      </c>
    </row>
    <row r="227" spans="1:38" x14ac:dyDescent="0.35">
      <c r="A227" s="10">
        <v>37811</v>
      </c>
      <c r="B227" s="2">
        <v>2003</v>
      </c>
      <c r="C227" s="2">
        <f>COUNTIFS(Games[Team],Games[[#This Row],[Team]],Games[Season],Games[[#This Row],[Season]],Games[Date],"&lt;=" &amp; Games[[#This Row],[Date]])</f>
        <v>16</v>
      </c>
      <c r="D227" s="2" t="s">
        <v>23</v>
      </c>
      <c r="E227" s="2" t="s">
        <v>29</v>
      </c>
      <c r="F227" s="1" t="s">
        <v>74</v>
      </c>
      <c r="G227" s="1" t="s">
        <v>71</v>
      </c>
      <c r="H227" s="1" t="s">
        <v>15</v>
      </c>
      <c r="I227" s="2" cm="1">
        <f t="array" ref="I227">IFERROR(
    Games[[#This Row],[Date]]
    - LOOKUP(
        2,
        1/((Games[Team]=Games[[#This Row],[Team]]) * (Games[Date] &lt; Games[[#This Row],[Date]])),
        Games[Date]
    )
    - 1,
Games[[#This Row],[Date]]-$A$2)</f>
        <v>1</v>
      </c>
      <c r="J227" s="2" cm="1">
        <f t="array" ref="J22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27" s="2">
        <f>Games[[#This Row],[DaysOff]]-Games[[#This Row],[OppDaysOff]]</f>
        <v>0</v>
      </c>
      <c r="L227" s="2">
        <f>Games[[#This Row],[OppDaysOff]]-Games[[#This Row],[DaysOff]]</f>
        <v>0</v>
      </c>
      <c r="M227" s="1">
        <f>MAX(-16, MIN(16, Games[[#This Row],[RestDiff]]*8))</f>
        <v>0</v>
      </c>
      <c r="N227" s="1">
        <f>MAX(-16, MIN(16, Games[[#This Row],[OppRestDiff]]*8))</f>
        <v>0</v>
      </c>
      <c r="O227" s="4" cm="1">
        <f t="array" ref="O22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1347.7972314350848</v>
      </c>
      <c r="P227" s="4" cm="1">
        <f t="array" ref="P22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1680.8988716156916</v>
      </c>
      <c r="Q227" s="4">
        <f>1/(1+10^(((Games[[#This Row],[OppPreGmRate]]+IF(Games[[#This Row],[HomeAway]]="A",HCA,0)+Games[[#This Row],[OppRestAdj]])-(Games[[#This Row],[PreGmRate]]+IF(Games[[#This Row],[HomeAway]]="H",HCA,0)+Games[[#This Row],[RestAdj]]))/400))</f>
        <v>0.19248485915479507</v>
      </c>
      <c r="R227" s="1">
        <v>91</v>
      </c>
      <c r="S227" s="1">
        <v>97</v>
      </c>
      <c r="T227" s="1">
        <v>0</v>
      </c>
      <c r="U227" s="1">
        <f>Games[[#This Row],[PointsFor]]-Games[[#This Row],[PointsAgainst]]</f>
        <v>-6</v>
      </c>
      <c r="V227" s="1">
        <f>IF(Games[[#This Row],[MOV]]&gt;0,1,IF(Games[[#This Row],[MOV]]=0,0.5,0))</f>
        <v>0</v>
      </c>
      <c r="W227" s="4">
        <f>((ABS(Games[[#This Row],[MOV]])+5)^0.6)/(12+0.01*(ABS(Games[[#This Row],[PreGmRate]]-Games[[#This Row],[OppPreGmRate]])))*IF(Games[[#This Row],[OT]]=1,0.9,1)</f>
        <v>0.27495692539963029</v>
      </c>
      <c r="X227" s="7" cm="1">
        <f t="array" ref="X22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7" s="9">
        <f>MAX(kmin, kmax - 0.15 * MIN(Games[[#This Row],[GamesPlayed]], 82))</f>
        <v>73.599999999999994</v>
      </c>
      <c r="Z227" s="4">
        <f>Games[[#This Row],[K]]*Games[[#This Row],[POMult]]</f>
        <v>73.599999999999994</v>
      </c>
      <c r="AA227" s="4">
        <f>(Games[[#This Row],[Keff]]*Games[[#This Row],[MOVMult]])*(Games[[#This Row],[Result]]-Games[[#This Row],[ExpectedWin%]])</f>
        <v>-3.8952833163558931</v>
      </c>
      <c r="AB227" s="4">
        <f>Games[[#This Row],[PreGmRate]]+Games[[#This Row],[RatingChange]]</f>
        <v>1343.9019481187288</v>
      </c>
      <c r="AC227" s="2">
        <f>IF(Games[[#This Row],[Type]]="R",IF(Games[[#This Row],[Result]]&gt;0.5,1,0),0)</f>
        <v>0</v>
      </c>
      <c r="AD227" s="2">
        <f>IF(Games[[#This Row],[Type]]="R",IF(Games[[#This Row],[Result]]&lt;0.5,1,0),0)</f>
        <v>1</v>
      </c>
      <c r="AE227" s="2">
        <f>IF(AND(Games[[#This Row],[Type]]="P",Games[[#This Row],[Round]]=1),IF(Games[[#This Row],[Result]]&gt;0.5,1,0),0)</f>
        <v>0</v>
      </c>
      <c r="AF227" s="2">
        <f>IF(AND(Games[[#This Row],[Type]]="P",Games[[#This Row],[Round]]=1),IF(Games[[#This Row],[Result]]&lt;0.5,1,0),0)</f>
        <v>0</v>
      </c>
      <c r="AG227" s="2">
        <f>IF(AND(Games[[#This Row],[Type]]="P",Games[[#This Row],[Round]]=2),IF(Games[[#This Row],[Result]]&gt;0.5,1,0),0)</f>
        <v>0</v>
      </c>
      <c r="AH227" s="2">
        <f>IF(AND(Games[[#This Row],[Type]]="P",Games[[#This Row],[Round]]=2),IF(Games[[#This Row],[Result]]&lt;0.5,1,0),0)</f>
        <v>0</v>
      </c>
      <c r="AI227" s="2">
        <f>IF(AND(Games[[#This Row],[Type]]="P",Games[[#This Row],[Round]]=3),IF(Games[[#This Row],[Result]]&gt;0.5,1,0),0)</f>
        <v>0</v>
      </c>
      <c r="AJ227" s="2">
        <f>IF(AND(Games[[#This Row],[Type]]="P",Games[[#This Row],[Round]]=3),IF(Games[[#This Row],[Result]]&lt;0.5,1,0),0)</f>
        <v>0</v>
      </c>
      <c r="AK227" s="2">
        <f>IF(AND(Games[[#This Row],[Type]]="P",Games[[#This Row],[Round]]=4),IF(Games[[#This Row],[Result]]&gt;0.5,1,0),0)</f>
        <v>0</v>
      </c>
      <c r="AL227" s="2">
        <f>IF(AND(Games[[#This Row],[Type]]="P",Games[[#This Row],[Round]]=4),IF(Games[[#This Row],[Result]]&lt;0.5,1,0),0)</f>
        <v>0</v>
      </c>
    </row>
    <row r="228" spans="1:38" x14ac:dyDescent="0.35">
      <c r="A228" s="10">
        <v>37812</v>
      </c>
      <c r="B228" s="2">
        <v>2003</v>
      </c>
      <c r="C228" s="2">
        <f>COUNTIFS(Games[Team],Games[[#This Row],[Team]],Games[Season],Games[[#This Row],[Season]],Games[Date],"&lt;=" &amp; Games[[#This Row],[Date]])</f>
        <v>15</v>
      </c>
      <c r="D228" s="2" t="s">
        <v>23</v>
      </c>
      <c r="E228" s="2" t="s">
        <v>29</v>
      </c>
      <c r="F228" s="1" t="s">
        <v>76</v>
      </c>
      <c r="G228" s="1" t="s">
        <v>64</v>
      </c>
      <c r="H228" s="1" t="s">
        <v>16</v>
      </c>
      <c r="I228" s="2" cm="1">
        <f t="array" ref="I228">IFERROR(
    Games[[#This Row],[Date]]
    - LOOKUP(
        2,
        1/((Games[Team]=Games[[#This Row],[Team]]) * (Games[Date] &lt; Games[[#This Row],[Date]])),
        Games[Date]
    )
    - 1,
Games[[#This Row],[Date]]-$A$2)</f>
        <v>1</v>
      </c>
      <c r="J228" s="2" cm="1">
        <f t="array" ref="J22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28" s="2">
        <f>Games[[#This Row],[DaysOff]]-Games[[#This Row],[OppDaysOff]]</f>
        <v>-1</v>
      </c>
      <c r="L228" s="2">
        <f>Games[[#This Row],[OppDaysOff]]-Games[[#This Row],[DaysOff]]</f>
        <v>1</v>
      </c>
      <c r="M228" s="1">
        <f>MAX(-16, MIN(16, Games[[#This Row],[RestDiff]]*8))</f>
        <v>-8</v>
      </c>
      <c r="N228" s="1">
        <f>MAX(-16, MIN(16, Games[[#This Row],[OppRestDiff]]*8))</f>
        <v>8</v>
      </c>
      <c r="O228" s="4" cm="1">
        <f t="array" ref="O22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1533.9987953858704</v>
      </c>
      <c r="P228" s="4" cm="1">
        <f t="array" ref="P22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1547.3764746889362</v>
      </c>
      <c r="Q228" s="4">
        <f>1/(1+10^(((Games[[#This Row],[OppPreGmRate]]+IF(Games[[#This Row],[HomeAway]]="A",HCA,0)+Games[[#This Row],[OppRestAdj]])-(Games[[#This Row],[PreGmRate]]+IF(Games[[#This Row],[HomeAway]]="H",HCA,0)+Games[[#This Row],[RestAdj]]))/400))</f>
        <v>0.34239162713688581</v>
      </c>
      <c r="R228" s="1">
        <v>58</v>
      </c>
      <c r="S228" s="1">
        <v>65</v>
      </c>
      <c r="T228" s="1">
        <v>0</v>
      </c>
      <c r="U228" s="1">
        <f>Games[[#This Row],[PointsFor]]-Games[[#This Row],[PointsAgainst]]</f>
        <v>-7</v>
      </c>
      <c r="V228" s="1">
        <f>IF(Games[[#This Row],[MOV]]&gt;0,1,IF(Games[[#This Row],[MOV]]=0,0.5,0))</f>
        <v>0</v>
      </c>
      <c r="W228" s="4">
        <f>((ABS(Games[[#This Row],[MOV]])+5)^0.6)/(12+0.01*(ABS(Games[[#This Row],[PreGmRate]]-Games[[#This Row],[OppPreGmRate]])))*IF(Games[[#This Row],[OT]]=1,0.9,1)</f>
        <v>0.36602668283768042</v>
      </c>
      <c r="X228" s="7" cm="1">
        <f t="array" ref="X22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8" s="9">
        <f>MAX(kmin, kmax - 0.15 * MIN(Games[[#This Row],[GamesPlayed]], 82))</f>
        <v>73.75</v>
      </c>
      <c r="Z228" s="4">
        <f>Games[[#This Row],[K]]*Games[[#This Row],[POMult]]</f>
        <v>73.75</v>
      </c>
      <c r="AA228" s="4">
        <f>(Games[[#This Row],[Keff]]*Games[[#This Row],[MOVMult]])*(Games[[#This Row],[Result]]-Games[[#This Row],[ExpectedWin%]])</f>
        <v>-9.2426797740328794</v>
      </c>
      <c r="AB228" s="4">
        <f>Games[[#This Row],[PreGmRate]]+Games[[#This Row],[RatingChange]]</f>
        <v>1524.7561156118375</v>
      </c>
      <c r="AC228" s="2">
        <f>IF(Games[[#This Row],[Type]]="R",IF(Games[[#This Row],[Result]]&gt;0.5,1,0),0)</f>
        <v>0</v>
      </c>
      <c r="AD228" s="2">
        <f>IF(Games[[#This Row],[Type]]="R",IF(Games[[#This Row],[Result]]&lt;0.5,1,0),0)</f>
        <v>1</v>
      </c>
      <c r="AE228" s="2">
        <f>IF(AND(Games[[#This Row],[Type]]="P",Games[[#This Row],[Round]]=1),IF(Games[[#This Row],[Result]]&gt;0.5,1,0),0)</f>
        <v>0</v>
      </c>
      <c r="AF228" s="2">
        <f>IF(AND(Games[[#This Row],[Type]]="P",Games[[#This Row],[Round]]=1),IF(Games[[#This Row],[Result]]&lt;0.5,1,0),0)</f>
        <v>0</v>
      </c>
      <c r="AG228" s="2">
        <f>IF(AND(Games[[#This Row],[Type]]="P",Games[[#This Row],[Round]]=2),IF(Games[[#This Row],[Result]]&gt;0.5,1,0),0)</f>
        <v>0</v>
      </c>
      <c r="AH228" s="2">
        <f>IF(AND(Games[[#This Row],[Type]]="P",Games[[#This Row],[Round]]=2),IF(Games[[#This Row],[Result]]&lt;0.5,1,0),0)</f>
        <v>0</v>
      </c>
      <c r="AI228" s="2">
        <f>IF(AND(Games[[#This Row],[Type]]="P",Games[[#This Row],[Round]]=3),IF(Games[[#This Row],[Result]]&gt;0.5,1,0),0)</f>
        <v>0</v>
      </c>
      <c r="AJ228" s="2">
        <f>IF(AND(Games[[#This Row],[Type]]="P",Games[[#This Row],[Round]]=3),IF(Games[[#This Row],[Result]]&lt;0.5,1,0),0)</f>
        <v>0</v>
      </c>
      <c r="AK228" s="2">
        <f>IF(AND(Games[[#This Row],[Type]]="P",Games[[#This Row],[Round]]=4),IF(Games[[#This Row],[Result]]&gt;0.5,1,0),0)</f>
        <v>0</v>
      </c>
      <c r="AL228" s="2">
        <f>IF(AND(Games[[#This Row],[Type]]="P",Games[[#This Row],[Round]]=4),IF(Games[[#This Row],[Result]]&lt;0.5,1,0),0)</f>
        <v>0</v>
      </c>
    </row>
    <row r="229" spans="1:38" x14ac:dyDescent="0.35">
      <c r="A229" s="10">
        <v>37812</v>
      </c>
      <c r="B229" s="2">
        <v>2003</v>
      </c>
      <c r="C229" s="2">
        <f>COUNTIFS(Games[Team],Games[[#This Row],[Team]],Games[Season],Games[[#This Row],[Season]],Games[Date],"&lt;=" &amp; Games[[#This Row],[Date]])</f>
        <v>18</v>
      </c>
      <c r="D229" s="2" t="s">
        <v>23</v>
      </c>
      <c r="E229" s="2" t="s">
        <v>29</v>
      </c>
      <c r="F229" s="1" t="s">
        <v>64</v>
      </c>
      <c r="G229" s="1" t="s">
        <v>76</v>
      </c>
      <c r="H229" s="1" t="s">
        <v>15</v>
      </c>
      <c r="I229" s="2" cm="1">
        <f t="array" ref="I229">IFERROR(
    Games[[#This Row],[Date]]
    - LOOKUP(
        2,
        1/((Games[Team]=Games[[#This Row],[Team]]) * (Games[Date] &lt; Games[[#This Row],[Date]])),
        Games[Date]
    )
    - 1,
Games[[#This Row],[Date]]-$A$2)</f>
        <v>2</v>
      </c>
      <c r="J229" s="2" cm="1">
        <f t="array" ref="J22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29" s="2">
        <f>Games[[#This Row],[DaysOff]]-Games[[#This Row],[OppDaysOff]]</f>
        <v>1</v>
      </c>
      <c r="L229" s="2">
        <f>Games[[#This Row],[OppDaysOff]]-Games[[#This Row],[DaysOff]]</f>
        <v>-1</v>
      </c>
      <c r="M229" s="1">
        <f>MAX(-16, MIN(16, Games[[#This Row],[RestDiff]]*8))</f>
        <v>8</v>
      </c>
      <c r="N229" s="1">
        <f>MAX(-16, MIN(16, Games[[#This Row],[OppRestDiff]]*8))</f>
        <v>-8</v>
      </c>
      <c r="O229" s="4" cm="1">
        <f t="array" ref="O22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1547.3764746889362</v>
      </c>
      <c r="P229" s="4" cm="1">
        <f t="array" ref="P22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1533.9987953858704</v>
      </c>
      <c r="Q229" s="4">
        <f>1/(1+10^(((Games[[#This Row],[OppPreGmRate]]+IF(Games[[#This Row],[HomeAway]]="A",HCA,0)+Games[[#This Row],[OppRestAdj]])-(Games[[#This Row],[PreGmRate]]+IF(Games[[#This Row],[HomeAway]]="H",HCA,0)+Games[[#This Row],[RestAdj]]))/400))</f>
        <v>0.65760837286311413</v>
      </c>
      <c r="R229" s="1">
        <v>65</v>
      </c>
      <c r="S229" s="1">
        <v>58</v>
      </c>
      <c r="T229" s="1">
        <v>0</v>
      </c>
      <c r="U229" s="1">
        <f>Games[[#This Row],[PointsFor]]-Games[[#This Row],[PointsAgainst]]</f>
        <v>7</v>
      </c>
      <c r="V229" s="1">
        <f>IF(Games[[#This Row],[MOV]]&gt;0,1,IF(Games[[#This Row],[MOV]]=0,0.5,0))</f>
        <v>1</v>
      </c>
      <c r="W229" s="4">
        <f>((ABS(Games[[#This Row],[MOV]])+5)^0.6)/(12+0.01*(ABS(Games[[#This Row],[PreGmRate]]-Games[[#This Row],[OppPreGmRate]])))*IF(Games[[#This Row],[OT]]=1,0.9,1)</f>
        <v>0.36602668283768042</v>
      </c>
      <c r="X229" s="7" cm="1">
        <f t="array" ref="X22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9" s="9">
        <f>MAX(kmin, kmax - 0.15 * MIN(Games[[#This Row],[GamesPlayed]], 82))</f>
        <v>73.3</v>
      </c>
      <c r="Z229" s="4">
        <f>Games[[#This Row],[K]]*Games[[#This Row],[POMult]]</f>
        <v>73.3</v>
      </c>
      <c r="AA229" s="4">
        <f>(Games[[#This Row],[Keff]]*Games[[#This Row],[MOVMult]])*(Games[[#This Row],[Result]]-Games[[#This Row],[ExpectedWin%]])</f>
        <v>9.1862837618523407</v>
      </c>
      <c r="AB229" s="4">
        <f>Games[[#This Row],[PreGmRate]]+Games[[#This Row],[RatingChange]]</f>
        <v>1556.5627584507886</v>
      </c>
      <c r="AC229" s="2">
        <f>IF(Games[[#This Row],[Type]]="R",IF(Games[[#This Row],[Result]]&gt;0.5,1,0),0)</f>
        <v>1</v>
      </c>
      <c r="AD229" s="2">
        <f>IF(Games[[#This Row],[Type]]="R",IF(Games[[#This Row],[Result]]&lt;0.5,1,0),0)</f>
        <v>0</v>
      </c>
      <c r="AE229" s="2">
        <f>IF(AND(Games[[#This Row],[Type]]="P",Games[[#This Row],[Round]]=1),IF(Games[[#This Row],[Result]]&gt;0.5,1,0),0)</f>
        <v>0</v>
      </c>
      <c r="AF229" s="2">
        <f>IF(AND(Games[[#This Row],[Type]]="P",Games[[#This Row],[Round]]=1),IF(Games[[#This Row],[Result]]&lt;0.5,1,0),0)</f>
        <v>0</v>
      </c>
      <c r="AG229" s="2">
        <f>IF(AND(Games[[#This Row],[Type]]="P",Games[[#This Row],[Round]]=2),IF(Games[[#This Row],[Result]]&gt;0.5,1,0),0)</f>
        <v>0</v>
      </c>
      <c r="AH229" s="2">
        <f>IF(AND(Games[[#This Row],[Type]]="P",Games[[#This Row],[Round]]=2),IF(Games[[#This Row],[Result]]&lt;0.5,1,0),0)</f>
        <v>0</v>
      </c>
      <c r="AI229" s="2">
        <f>IF(AND(Games[[#This Row],[Type]]="P",Games[[#This Row],[Round]]=3),IF(Games[[#This Row],[Result]]&gt;0.5,1,0),0)</f>
        <v>0</v>
      </c>
      <c r="AJ229" s="2">
        <f>IF(AND(Games[[#This Row],[Type]]="P",Games[[#This Row],[Round]]=3),IF(Games[[#This Row],[Result]]&lt;0.5,1,0),0)</f>
        <v>0</v>
      </c>
      <c r="AK229" s="2">
        <f>IF(AND(Games[[#This Row],[Type]]="P",Games[[#This Row],[Round]]=4),IF(Games[[#This Row],[Result]]&gt;0.5,1,0),0)</f>
        <v>0</v>
      </c>
      <c r="AL229" s="2">
        <f>IF(AND(Games[[#This Row],[Type]]="P",Games[[#This Row],[Round]]=4),IF(Games[[#This Row],[Result]]&lt;0.5,1,0),0)</f>
        <v>0</v>
      </c>
    </row>
    <row r="230" spans="1:38" x14ac:dyDescent="0.35">
      <c r="A230" s="10">
        <v>37812</v>
      </c>
      <c r="B230" s="2">
        <v>2003</v>
      </c>
      <c r="C230" s="2">
        <f>COUNTIFS(Games[Team],Games[[#This Row],[Team]],Games[Season],Games[[#This Row],[Season]],Games[Date],"&lt;=" &amp; Games[[#This Row],[Date]])</f>
        <v>14</v>
      </c>
      <c r="D230" s="2" t="s">
        <v>23</v>
      </c>
      <c r="E230" s="2" t="s">
        <v>29</v>
      </c>
      <c r="F230" s="1" t="s">
        <v>66</v>
      </c>
      <c r="G230" s="1" t="s">
        <v>80</v>
      </c>
      <c r="H230" s="1" t="s">
        <v>16</v>
      </c>
      <c r="I230" s="2" cm="1">
        <f t="array" ref="I230">IFERROR(
    Games[[#This Row],[Date]]
    - LOOKUP(
        2,
        1/((Games[Team]=Games[[#This Row],[Team]]) * (Games[Date] &lt; Games[[#This Row],[Date]])),
        Games[Date]
    )
    - 1,
Games[[#This Row],[Date]]-$A$2)</f>
        <v>3</v>
      </c>
      <c r="J230" s="2" cm="1">
        <f t="array" ref="J23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30" s="2">
        <f>Games[[#This Row],[DaysOff]]-Games[[#This Row],[OppDaysOff]]</f>
        <v>2</v>
      </c>
      <c r="L230" s="2">
        <f>Games[[#This Row],[OppDaysOff]]-Games[[#This Row],[DaysOff]]</f>
        <v>-2</v>
      </c>
      <c r="M230" s="1">
        <f>MAX(-16, MIN(16, Games[[#This Row],[RestDiff]]*8))</f>
        <v>16</v>
      </c>
      <c r="N230" s="1">
        <f>MAX(-16, MIN(16, Games[[#This Row],[OppRestDiff]]*8))</f>
        <v>-16</v>
      </c>
      <c r="O230" s="4" cm="1">
        <f t="array" ref="O23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1519.9549788325135</v>
      </c>
      <c r="P230" s="4" cm="1">
        <f t="array" ref="P23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1535.5393494354016</v>
      </c>
      <c r="Q230" s="4">
        <f>1/(1+10^(((Games[[#This Row],[OppPreGmRate]]+IF(Games[[#This Row],[HomeAway]]="A",HCA,0)+Games[[#This Row],[OppRestAdj]])-(Games[[#This Row],[PreGmRate]]+IF(Games[[#This Row],[HomeAway]]="H",HCA,0)+Games[[#This Row],[RestAdj]]))/400))</f>
        <v>0.40394675859434798</v>
      </c>
      <c r="R230" s="1">
        <v>69</v>
      </c>
      <c r="S230" s="1">
        <v>76</v>
      </c>
      <c r="T230" s="1">
        <v>0</v>
      </c>
      <c r="U230" s="1">
        <f>Games[[#This Row],[PointsFor]]-Games[[#This Row],[PointsAgainst]]</f>
        <v>-7</v>
      </c>
      <c r="V230" s="1">
        <f>IF(Games[[#This Row],[MOV]]&gt;0,1,IF(Games[[#This Row],[MOV]]=0,0.5,0))</f>
        <v>0</v>
      </c>
      <c r="W230" s="4">
        <f>((ABS(Games[[#This Row],[MOV]])+5)^0.6)/(12+0.01*(ABS(Games[[#This Row],[PreGmRate]]-Games[[#This Row],[OppPreGmRate]])))*IF(Games[[#This Row],[OT]]=1,0.9,1)</f>
        <v>0.36536222225719422</v>
      </c>
      <c r="X230" s="7" cm="1">
        <f t="array" ref="X23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0" s="9">
        <f>MAX(kmin, kmax - 0.15 * MIN(Games[[#This Row],[GamesPlayed]], 82))</f>
        <v>73.900000000000006</v>
      </c>
      <c r="Z230" s="4">
        <f>Games[[#This Row],[K]]*Games[[#This Row],[POMult]]</f>
        <v>73.900000000000006</v>
      </c>
      <c r="AA230" s="4">
        <f>(Games[[#This Row],[Keff]]*Games[[#This Row],[MOVMult]])*(Games[[#This Row],[Result]]-Games[[#This Row],[ExpectedWin%]])</f>
        <v>-10.906670830588618</v>
      </c>
      <c r="AB230" s="4">
        <f>Games[[#This Row],[PreGmRate]]+Games[[#This Row],[RatingChange]]</f>
        <v>1509.0483080019249</v>
      </c>
      <c r="AC230" s="2">
        <f>IF(Games[[#This Row],[Type]]="R",IF(Games[[#This Row],[Result]]&gt;0.5,1,0),0)</f>
        <v>0</v>
      </c>
      <c r="AD230" s="2">
        <f>IF(Games[[#This Row],[Type]]="R",IF(Games[[#This Row],[Result]]&lt;0.5,1,0),0)</f>
        <v>1</v>
      </c>
      <c r="AE230" s="2">
        <f>IF(AND(Games[[#This Row],[Type]]="P",Games[[#This Row],[Round]]=1),IF(Games[[#This Row],[Result]]&gt;0.5,1,0),0)</f>
        <v>0</v>
      </c>
      <c r="AF230" s="2">
        <f>IF(AND(Games[[#This Row],[Type]]="P",Games[[#This Row],[Round]]=1),IF(Games[[#This Row],[Result]]&lt;0.5,1,0),0)</f>
        <v>0</v>
      </c>
      <c r="AG230" s="2">
        <f>IF(AND(Games[[#This Row],[Type]]="P",Games[[#This Row],[Round]]=2),IF(Games[[#This Row],[Result]]&gt;0.5,1,0),0)</f>
        <v>0</v>
      </c>
      <c r="AH230" s="2">
        <f>IF(AND(Games[[#This Row],[Type]]="P",Games[[#This Row],[Round]]=2),IF(Games[[#This Row],[Result]]&lt;0.5,1,0),0)</f>
        <v>0</v>
      </c>
      <c r="AI230" s="2">
        <f>IF(AND(Games[[#This Row],[Type]]="P",Games[[#This Row],[Round]]=3),IF(Games[[#This Row],[Result]]&gt;0.5,1,0),0)</f>
        <v>0</v>
      </c>
      <c r="AJ230" s="2">
        <f>IF(AND(Games[[#This Row],[Type]]="P",Games[[#This Row],[Round]]=3),IF(Games[[#This Row],[Result]]&lt;0.5,1,0),0)</f>
        <v>0</v>
      </c>
      <c r="AK230" s="2">
        <f>IF(AND(Games[[#This Row],[Type]]="P",Games[[#This Row],[Round]]=4),IF(Games[[#This Row],[Result]]&gt;0.5,1,0),0)</f>
        <v>0</v>
      </c>
      <c r="AL230" s="2">
        <f>IF(AND(Games[[#This Row],[Type]]="P",Games[[#This Row],[Round]]=4),IF(Games[[#This Row],[Result]]&lt;0.5,1,0),0)</f>
        <v>0</v>
      </c>
    </row>
    <row r="231" spans="1:38" x14ac:dyDescent="0.35">
      <c r="A231" s="10">
        <v>37812</v>
      </c>
      <c r="B231" s="2">
        <v>2003</v>
      </c>
      <c r="C231" s="2">
        <f>COUNTIFS(Games[Team],Games[[#This Row],[Team]],Games[Season],Games[[#This Row],[Season]],Games[Date],"&lt;=" &amp; Games[[#This Row],[Date]])</f>
        <v>17</v>
      </c>
      <c r="D231" s="2" t="s">
        <v>23</v>
      </c>
      <c r="E231" s="2" t="s">
        <v>29</v>
      </c>
      <c r="F231" s="1" t="s">
        <v>80</v>
      </c>
      <c r="G231" s="1" t="s">
        <v>66</v>
      </c>
      <c r="H231" s="1" t="s">
        <v>15</v>
      </c>
      <c r="I231" s="2" cm="1">
        <f t="array" ref="I231">IFERROR(
    Games[[#This Row],[Date]]
    - LOOKUP(
        2,
        1/((Games[Team]=Games[[#This Row],[Team]]) * (Games[Date] &lt; Games[[#This Row],[Date]])),
        Games[Date]
    )
    - 1,
Games[[#This Row],[Date]]-$A$2)</f>
        <v>1</v>
      </c>
      <c r="J231" s="2" cm="1">
        <f t="array" ref="J231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31" s="2">
        <f>Games[[#This Row],[DaysOff]]-Games[[#This Row],[OppDaysOff]]</f>
        <v>-2</v>
      </c>
      <c r="L231" s="2">
        <f>Games[[#This Row],[OppDaysOff]]-Games[[#This Row],[DaysOff]]</f>
        <v>2</v>
      </c>
      <c r="M231" s="1">
        <f>MAX(-16, MIN(16, Games[[#This Row],[RestDiff]]*8))</f>
        <v>-16</v>
      </c>
      <c r="N231" s="1">
        <f>MAX(-16, MIN(16, Games[[#This Row],[OppRestDiff]]*8))</f>
        <v>16</v>
      </c>
      <c r="O231" s="4" cm="1">
        <f t="array" ref="O23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1535.5393494354016</v>
      </c>
      <c r="P231" s="4" cm="1">
        <f t="array" ref="P23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1519.9549788325135</v>
      </c>
      <c r="Q231" s="4">
        <f>1/(1+10^(((Games[[#This Row],[OppPreGmRate]]+IF(Games[[#This Row],[HomeAway]]="A",HCA,0)+Games[[#This Row],[OppRestAdj]])-(Games[[#This Row],[PreGmRate]]+IF(Games[[#This Row],[HomeAway]]="H",HCA,0)+Games[[#This Row],[RestAdj]]))/400))</f>
        <v>0.59605324140565197</v>
      </c>
      <c r="R231" s="1">
        <v>76</v>
      </c>
      <c r="S231" s="1">
        <v>69</v>
      </c>
      <c r="T231" s="1">
        <v>0</v>
      </c>
      <c r="U231" s="1">
        <f>Games[[#This Row],[PointsFor]]-Games[[#This Row],[PointsAgainst]]</f>
        <v>7</v>
      </c>
      <c r="V231" s="1">
        <f>IF(Games[[#This Row],[MOV]]&gt;0,1,IF(Games[[#This Row],[MOV]]=0,0.5,0))</f>
        <v>1</v>
      </c>
      <c r="W231" s="4">
        <f>((ABS(Games[[#This Row],[MOV]])+5)^0.6)/(12+0.01*(ABS(Games[[#This Row],[PreGmRate]]-Games[[#This Row],[OppPreGmRate]])))*IF(Games[[#This Row],[OT]]=1,0.9,1)</f>
        <v>0.36536222225719422</v>
      </c>
      <c r="X231" s="7" cm="1">
        <f t="array" ref="X23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1" s="9">
        <f>MAX(kmin, kmax - 0.15 * MIN(Games[[#This Row],[GamesPlayed]], 82))</f>
        <v>73.45</v>
      </c>
      <c r="Z231" s="4">
        <f>Games[[#This Row],[K]]*Games[[#This Row],[POMult]]</f>
        <v>73.45</v>
      </c>
      <c r="AA231" s="4">
        <f>(Games[[#This Row],[Keff]]*Games[[#This Row],[MOVMult]])*(Games[[#This Row],[Result]]-Games[[#This Row],[ExpectedWin%]])</f>
        <v>10.840256732161489</v>
      </c>
      <c r="AB231" s="4">
        <f>Games[[#This Row],[PreGmRate]]+Games[[#This Row],[RatingChange]]</f>
        <v>1546.379606167563</v>
      </c>
      <c r="AC231" s="2">
        <f>IF(Games[[#This Row],[Type]]="R",IF(Games[[#This Row],[Result]]&gt;0.5,1,0),0)</f>
        <v>1</v>
      </c>
      <c r="AD231" s="2">
        <f>IF(Games[[#This Row],[Type]]="R",IF(Games[[#This Row],[Result]]&lt;0.5,1,0),0)</f>
        <v>0</v>
      </c>
      <c r="AE231" s="2">
        <f>IF(AND(Games[[#This Row],[Type]]="P",Games[[#This Row],[Round]]=1),IF(Games[[#This Row],[Result]]&gt;0.5,1,0),0)</f>
        <v>0</v>
      </c>
      <c r="AF231" s="2">
        <f>IF(AND(Games[[#This Row],[Type]]="P",Games[[#This Row],[Round]]=1),IF(Games[[#This Row],[Result]]&lt;0.5,1,0),0)</f>
        <v>0</v>
      </c>
      <c r="AG231" s="2">
        <f>IF(AND(Games[[#This Row],[Type]]="P",Games[[#This Row],[Round]]=2),IF(Games[[#This Row],[Result]]&gt;0.5,1,0),0)</f>
        <v>0</v>
      </c>
      <c r="AH231" s="2">
        <f>IF(AND(Games[[#This Row],[Type]]="P",Games[[#This Row],[Round]]=2),IF(Games[[#This Row],[Result]]&lt;0.5,1,0),0)</f>
        <v>0</v>
      </c>
      <c r="AI231" s="2">
        <f>IF(AND(Games[[#This Row],[Type]]="P",Games[[#This Row],[Round]]=3),IF(Games[[#This Row],[Result]]&gt;0.5,1,0),0)</f>
        <v>0</v>
      </c>
      <c r="AJ231" s="2">
        <f>IF(AND(Games[[#This Row],[Type]]="P",Games[[#This Row],[Round]]=3),IF(Games[[#This Row],[Result]]&lt;0.5,1,0),0)</f>
        <v>0</v>
      </c>
      <c r="AK231" s="2">
        <f>IF(AND(Games[[#This Row],[Type]]="P",Games[[#This Row],[Round]]=4),IF(Games[[#This Row],[Result]]&gt;0.5,1,0),0)</f>
        <v>0</v>
      </c>
      <c r="AL231" s="2">
        <f>IF(AND(Games[[#This Row],[Type]]="P",Games[[#This Row],[Round]]=4),IF(Games[[#This Row],[Result]]&lt;0.5,1,0),0)</f>
        <v>0</v>
      </c>
    </row>
    <row r="232" spans="1:38" x14ac:dyDescent="0.35">
      <c r="A232" s="10">
        <v>37812</v>
      </c>
      <c r="B232" s="2">
        <v>2003</v>
      </c>
      <c r="C232" s="2">
        <f>COUNTIFS(Games[Team],Games[[#This Row],[Team]],Games[Season],Games[[#This Row],[Season]],Games[Date],"&lt;=" &amp; Games[[#This Row],[Date]])</f>
        <v>19</v>
      </c>
      <c r="D232" s="2" t="s">
        <v>23</v>
      </c>
      <c r="E232" s="2" t="s">
        <v>29</v>
      </c>
      <c r="F232" s="1" t="s">
        <v>87</v>
      </c>
      <c r="G232" s="1" t="s">
        <v>78</v>
      </c>
      <c r="H232" s="1" t="s">
        <v>16</v>
      </c>
      <c r="I232" s="2" cm="1">
        <f t="array" ref="I232">IFERROR(
    Games[[#This Row],[Date]]
    - LOOKUP(
        2,
        1/((Games[Team]=Games[[#This Row],[Team]]) * (Games[Date] &lt; Games[[#This Row],[Date]])),
        Games[Date]
    )
    - 1,
Games[[#This Row],[Date]]-$A$2)</f>
        <v>1</v>
      </c>
      <c r="J232" s="2" cm="1">
        <f t="array" ref="J23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32" s="2">
        <f>Games[[#This Row],[DaysOff]]-Games[[#This Row],[OppDaysOff]]</f>
        <v>0</v>
      </c>
      <c r="L232" s="2">
        <f>Games[[#This Row],[OppDaysOff]]-Games[[#This Row],[DaysOff]]</f>
        <v>0</v>
      </c>
      <c r="M232" s="1">
        <f>MAX(-16, MIN(16, Games[[#This Row],[RestDiff]]*8))</f>
        <v>0</v>
      </c>
      <c r="N232" s="1">
        <f>MAX(-16, MIN(16, Games[[#This Row],[OppRestDiff]]*8))</f>
        <v>0</v>
      </c>
      <c r="O232" s="4" cm="1">
        <f t="array" ref="O23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1485.9567227926175</v>
      </c>
      <c r="P232" s="4" cm="1">
        <f t="array" ref="P23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1473.0110856234649</v>
      </c>
      <c r="Q232" s="4">
        <f>1/(1+10^(((Games[[#This Row],[OppPreGmRate]]+IF(Games[[#This Row],[HomeAway]]="A",HCA,0)+Games[[#This Row],[OppRestAdj]])-(Games[[#This Row],[PreGmRate]]+IF(Games[[#This Row],[HomeAway]]="H",HCA,0)+Games[[#This Row],[RestAdj]]))/400))</f>
        <v>0.39914670034925903</v>
      </c>
      <c r="R232" s="1">
        <v>75</v>
      </c>
      <c r="S232" s="1">
        <v>83</v>
      </c>
      <c r="T232" s="1">
        <v>0</v>
      </c>
      <c r="U232" s="1">
        <f>Games[[#This Row],[PointsFor]]-Games[[#This Row],[PointsAgainst]]</f>
        <v>-8</v>
      </c>
      <c r="V232" s="1">
        <f>IF(Games[[#This Row],[MOV]]&gt;0,1,IF(Games[[#This Row],[MOV]]=0,0.5,0))</f>
        <v>0</v>
      </c>
      <c r="W232" s="4">
        <f>((ABS(Games[[#This Row],[MOV]])+5)^0.6)/(12+0.01*(ABS(Games[[#This Row],[PreGmRate]]-Games[[#This Row],[OppPreGmRate]])))*IF(Games[[#This Row],[OT]]=1,0.9,1)</f>
        <v>0.38417108543391632</v>
      </c>
      <c r="X232" s="7" cm="1">
        <f t="array" ref="X23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2" s="9">
        <f>MAX(kmin, kmax - 0.15 * MIN(Games[[#This Row],[GamesPlayed]], 82))</f>
        <v>73.150000000000006</v>
      </c>
      <c r="Z232" s="4">
        <f>Games[[#This Row],[K]]*Games[[#This Row],[POMult]]</f>
        <v>73.150000000000006</v>
      </c>
      <c r="AA232" s="4">
        <f>(Games[[#This Row],[Keff]]*Games[[#This Row],[MOVMult]])*(Games[[#This Row],[Result]]-Games[[#This Row],[ExpectedWin%]])</f>
        <v>-11.216866434967574</v>
      </c>
      <c r="AB232" s="4">
        <f>Games[[#This Row],[PreGmRate]]+Games[[#This Row],[RatingChange]]</f>
        <v>1474.7398563576498</v>
      </c>
      <c r="AC232" s="2">
        <f>IF(Games[[#This Row],[Type]]="R",IF(Games[[#This Row],[Result]]&gt;0.5,1,0),0)</f>
        <v>0</v>
      </c>
      <c r="AD232" s="2">
        <f>IF(Games[[#This Row],[Type]]="R",IF(Games[[#This Row],[Result]]&lt;0.5,1,0),0)</f>
        <v>1</v>
      </c>
      <c r="AE232" s="2">
        <f>IF(AND(Games[[#This Row],[Type]]="P",Games[[#This Row],[Round]]=1),IF(Games[[#This Row],[Result]]&gt;0.5,1,0),0)</f>
        <v>0</v>
      </c>
      <c r="AF232" s="2">
        <f>IF(AND(Games[[#This Row],[Type]]="P",Games[[#This Row],[Round]]=1),IF(Games[[#This Row],[Result]]&lt;0.5,1,0),0)</f>
        <v>0</v>
      </c>
      <c r="AG232" s="2">
        <f>IF(AND(Games[[#This Row],[Type]]="P",Games[[#This Row],[Round]]=2),IF(Games[[#This Row],[Result]]&gt;0.5,1,0),0)</f>
        <v>0</v>
      </c>
      <c r="AH232" s="2">
        <f>IF(AND(Games[[#This Row],[Type]]="P",Games[[#This Row],[Round]]=2),IF(Games[[#This Row],[Result]]&lt;0.5,1,0),0)</f>
        <v>0</v>
      </c>
      <c r="AI232" s="2">
        <f>IF(AND(Games[[#This Row],[Type]]="P",Games[[#This Row],[Round]]=3),IF(Games[[#This Row],[Result]]&gt;0.5,1,0),0)</f>
        <v>0</v>
      </c>
      <c r="AJ232" s="2">
        <f>IF(AND(Games[[#This Row],[Type]]="P",Games[[#This Row],[Round]]=3),IF(Games[[#This Row],[Result]]&lt;0.5,1,0),0)</f>
        <v>0</v>
      </c>
      <c r="AK232" s="2">
        <f>IF(AND(Games[[#This Row],[Type]]="P",Games[[#This Row],[Round]]=4),IF(Games[[#This Row],[Result]]&gt;0.5,1,0),0)</f>
        <v>0</v>
      </c>
      <c r="AL232" s="2">
        <f>IF(AND(Games[[#This Row],[Type]]="P",Games[[#This Row],[Round]]=4),IF(Games[[#This Row],[Result]]&lt;0.5,1,0),0)</f>
        <v>0</v>
      </c>
    </row>
    <row r="233" spans="1:38" x14ac:dyDescent="0.35">
      <c r="A233" s="10">
        <v>37812</v>
      </c>
      <c r="B233" s="2">
        <v>2003</v>
      </c>
      <c r="C233" s="2">
        <f>COUNTIFS(Games[Team],Games[[#This Row],[Team]],Games[Season],Games[[#This Row],[Season]],Games[Date],"&lt;=" &amp; Games[[#This Row],[Date]])</f>
        <v>17</v>
      </c>
      <c r="D233" s="2" t="s">
        <v>23</v>
      </c>
      <c r="E233" s="2" t="s">
        <v>29</v>
      </c>
      <c r="F233" s="1" t="s">
        <v>78</v>
      </c>
      <c r="G233" s="1" t="s">
        <v>87</v>
      </c>
      <c r="H233" s="1" t="s">
        <v>15</v>
      </c>
      <c r="I233" s="2" cm="1">
        <f t="array" ref="I233">IFERROR(
    Games[[#This Row],[Date]]
    - LOOKUP(
        2,
        1/((Games[Team]=Games[[#This Row],[Team]]) * (Games[Date] &lt; Games[[#This Row],[Date]])),
        Games[Date]
    )
    - 1,
Games[[#This Row],[Date]]-$A$2)</f>
        <v>1</v>
      </c>
      <c r="J233" s="2" cm="1">
        <f t="array" ref="J23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33" s="2">
        <f>Games[[#This Row],[DaysOff]]-Games[[#This Row],[OppDaysOff]]</f>
        <v>0</v>
      </c>
      <c r="L233" s="2">
        <f>Games[[#This Row],[OppDaysOff]]-Games[[#This Row],[DaysOff]]</f>
        <v>0</v>
      </c>
      <c r="M233" s="1">
        <f>MAX(-16, MIN(16, Games[[#This Row],[RestDiff]]*8))</f>
        <v>0</v>
      </c>
      <c r="N233" s="1">
        <f>MAX(-16, MIN(16, Games[[#This Row],[OppRestDiff]]*8))</f>
        <v>0</v>
      </c>
      <c r="O233" s="4" cm="1">
        <f t="array" ref="O23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1473.0110856234649</v>
      </c>
      <c r="P233" s="4" cm="1">
        <f t="array" ref="P23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1485.9567227926175</v>
      </c>
      <c r="Q233" s="4">
        <f>1/(1+10^(((Games[[#This Row],[OppPreGmRate]]+IF(Games[[#This Row],[HomeAway]]="A",HCA,0)+Games[[#This Row],[OppRestAdj]])-(Games[[#This Row],[PreGmRate]]+IF(Games[[#This Row],[HomeAway]]="H",HCA,0)+Games[[#This Row],[RestAdj]]))/400))</f>
        <v>0.60085329965074097</v>
      </c>
      <c r="R233" s="1">
        <v>83</v>
      </c>
      <c r="S233" s="1">
        <v>75</v>
      </c>
      <c r="T233" s="1">
        <v>0</v>
      </c>
      <c r="U233" s="1">
        <f>Games[[#This Row],[PointsFor]]-Games[[#This Row],[PointsAgainst]]</f>
        <v>8</v>
      </c>
      <c r="V233" s="1">
        <f>IF(Games[[#This Row],[MOV]]&gt;0,1,IF(Games[[#This Row],[MOV]]=0,0.5,0))</f>
        <v>1</v>
      </c>
      <c r="W233" s="4">
        <f>((ABS(Games[[#This Row],[MOV]])+5)^0.6)/(12+0.01*(ABS(Games[[#This Row],[PreGmRate]]-Games[[#This Row],[OppPreGmRate]])))*IF(Games[[#This Row],[OT]]=1,0.9,1)</f>
        <v>0.38417108543391632</v>
      </c>
      <c r="X233" s="7" cm="1">
        <f t="array" ref="X23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3" s="9">
        <f>MAX(kmin, kmax - 0.15 * MIN(Games[[#This Row],[GamesPlayed]], 82))</f>
        <v>73.45</v>
      </c>
      <c r="Z233" s="4">
        <f>Games[[#This Row],[K]]*Games[[#This Row],[POMult]]</f>
        <v>73.45</v>
      </c>
      <c r="AA233" s="4">
        <f>(Games[[#This Row],[Keff]]*Games[[#This Row],[MOVMult]])*(Games[[#This Row],[Result]]-Games[[#This Row],[ExpectedWin%]])</f>
        <v>11.262868621303737</v>
      </c>
      <c r="AB233" s="4">
        <f>Games[[#This Row],[PreGmRate]]+Games[[#This Row],[RatingChange]]</f>
        <v>1484.2739542447687</v>
      </c>
      <c r="AC233" s="2">
        <f>IF(Games[[#This Row],[Type]]="R",IF(Games[[#This Row],[Result]]&gt;0.5,1,0),0)</f>
        <v>1</v>
      </c>
      <c r="AD233" s="2">
        <f>IF(Games[[#This Row],[Type]]="R",IF(Games[[#This Row],[Result]]&lt;0.5,1,0),0)</f>
        <v>0</v>
      </c>
      <c r="AE233" s="2">
        <f>IF(AND(Games[[#This Row],[Type]]="P",Games[[#This Row],[Round]]=1),IF(Games[[#This Row],[Result]]&gt;0.5,1,0),0)</f>
        <v>0</v>
      </c>
      <c r="AF233" s="2">
        <f>IF(AND(Games[[#This Row],[Type]]="P",Games[[#This Row],[Round]]=1),IF(Games[[#This Row],[Result]]&lt;0.5,1,0),0)</f>
        <v>0</v>
      </c>
      <c r="AG233" s="2">
        <f>IF(AND(Games[[#This Row],[Type]]="P",Games[[#This Row],[Round]]=2),IF(Games[[#This Row],[Result]]&gt;0.5,1,0),0)</f>
        <v>0</v>
      </c>
      <c r="AH233" s="2">
        <f>IF(AND(Games[[#This Row],[Type]]="P",Games[[#This Row],[Round]]=2),IF(Games[[#This Row],[Result]]&lt;0.5,1,0),0)</f>
        <v>0</v>
      </c>
      <c r="AI233" s="2">
        <f>IF(AND(Games[[#This Row],[Type]]="P",Games[[#This Row],[Round]]=3),IF(Games[[#This Row],[Result]]&gt;0.5,1,0),0)</f>
        <v>0</v>
      </c>
      <c r="AJ233" s="2">
        <f>IF(AND(Games[[#This Row],[Type]]="P",Games[[#This Row],[Round]]=3),IF(Games[[#This Row],[Result]]&lt;0.5,1,0),0)</f>
        <v>0</v>
      </c>
      <c r="AK233" s="2">
        <f>IF(AND(Games[[#This Row],[Type]]="P",Games[[#This Row],[Round]]=4),IF(Games[[#This Row],[Result]]&gt;0.5,1,0),0)</f>
        <v>0</v>
      </c>
      <c r="AL233" s="2">
        <f>IF(AND(Games[[#This Row],[Type]]="P",Games[[#This Row],[Round]]=4),IF(Games[[#This Row],[Result]]&lt;0.5,1,0),0)</f>
        <v>0</v>
      </c>
    </row>
    <row r="234" spans="1:38" x14ac:dyDescent="0.35">
      <c r="A234" s="10">
        <v>37812</v>
      </c>
      <c r="B234" s="2">
        <v>2003</v>
      </c>
      <c r="C234" s="2">
        <f>COUNTIFS(Games[Team],Games[[#This Row],[Team]],Games[Season],Games[[#This Row],[Season]],Games[Date],"&lt;=" &amp; Games[[#This Row],[Date]])</f>
        <v>16</v>
      </c>
      <c r="D234" s="2" t="s">
        <v>23</v>
      </c>
      <c r="E234" s="2" t="s">
        <v>29</v>
      </c>
      <c r="F234" s="1" t="s">
        <v>1</v>
      </c>
      <c r="G234" s="1" t="s">
        <v>44</v>
      </c>
      <c r="H234" s="1" t="s">
        <v>16</v>
      </c>
      <c r="I234" s="2" cm="1">
        <f t="array" ref="I234">IFERROR(
    Games[[#This Row],[Date]]
    - LOOKUP(
        2,
        1/((Games[Team]=Games[[#This Row],[Team]]) * (Games[Date] &lt; Games[[#This Row],[Date]])),
        Games[Date]
    )
    - 1,
Games[[#This Row],[Date]]-$A$2)</f>
        <v>2</v>
      </c>
      <c r="J234" s="2" cm="1">
        <f t="array" ref="J234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234" s="2">
        <f>Games[[#This Row],[DaysOff]]-Games[[#This Row],[OppDaysOff]]</f>
        <v>-2</v>
      </c>
      <c r="L234" s="2">
        <f>Games[[#This Row],[OppDaysOff]]-Games[[#This Row],[DaysOff]]</f>
        <v>2</v>
      </c>
      <c r="M234" s="1">
        <f>MAX(-16, MIN(16, Games[[#This Row],[RestDiff]]*8))</f>
        <v>-16</v>
      </c>
      <c r="N234" s="1">
        <f>MAX(-16, MIN(16, Games[[#This Row],[OppRestDiff]]*8))</f>
        <v>16</v>
      </c>
      <c r="O234" s="4" cm="1">
        <f t="array" ref="O23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1483.4687542640174</v>
      </c>
      <c r="P234" s="4" cm="1">
        <f t="array" ref="P23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1369.5498252057978</v>
      </c>
      <c r="Q234" s="4">
        <f>1/(1+10^(((Games[[#This Row],[OppPreGmRate]]+IF(Games[[#This Row],[HomeAway]]="A",HCA,0)+Games[[#This Row],[OppRestAdj]])-(Games[[#This Row],[PreGmRate]]+IF(Games[[#This Row],[HomeAway]]="H",HCA,0)+Games[[#This Row],[RestAdj]]))/400))</f>
        <v>0.49700513398625962</v>
      </c>
      <c r="R234" s="1">
        <v>68</v>
      </c>
      <c r="S234" s="1">
        <v>67</v>
      </c>
      <c r="T234" s="1">
        <v>0</v>
      </c>
      <c r="U234" s="1">
        <f>Games[[#This Row],[PointsFor]]-Games[[#This Row],[PointsAgainst]]</f>
        <v>1</v>
      </c>
      <c r="V234" s="1">
        <f>IF(Games[[#This Row],[MOV]]&gt;0,1,IF(Games[[#This Row],[MOV]]=0,0.5,0))</f>
        <v>1</v>
      </c>
      <c r="W234" s="4">
        <f>((ABS(Games[[#This Row],[MOV]])+5)^0.6)/(12+0.01*(ABS(Games[[#This Row],[PreGmRate]]-Games[[#This Row],[OppPreGmRate]])))*IF(Games[[#This Row],[OT]]=1,0.9,1)</f>
        <v>0.22300889246521283</v>
      </c>
      <c r="X234" s="7" cm="1">
        <f t="array" ref="X23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4" s="9">
        <f>MAX(kmin, kmax - 0.15 * MIN(Games[[#This Row],[GamesPlayed]], 82))</f>
        <v>73.599999999999994</v>
      </c>
      <c r="Z234" s="4">
        <f>Games[[#This Row],[K]]*Games[[#This Row],[POMult]]</f>
        <v>73.599999999999994</v>
      </c>
      <c r="AA234" s="4">
        <f>(Games[[#This Row],[Keff]]*Games[[#This Row],[MOVMult]])*(Games[[#This Row],[Result]]-Games[[#This Row],[ExpectedWin%]])</f>
        <v>8.2558833397263491</v>
      </c>
      <c r="AB234" s="4">
        <f>Games[[#This Row],[PreGmRate]]+Games[[#This Row],[RatingChange]]</f>
        <v>1491.7246376037438</v>
      </c>
      <c r="AC234" s="2">
        <f>IF(Games[[#This Row],[Type]]="R",IF(Games[[#This Row],[Result]]&gt;0.5,1,0),0)</f>
        <v>1</v>
      </c>
      <c r="AD234" s="2">
        <f>IF(Games[[#This Row],[Type]]="R",IF(Games[[#This Row],[Result]]&lt;0.5,1,0),0)</f>
        <v>0</v>
      </c>
      <c r="AE234" s="2">
        <f>IF(AND(Games[[#This Row],[Type]]="P",Games[[#This Row],[Round]]=1),IF(Games[[#This Row],[Result]]&gt;0.5,1,0),0)</f>
        <v>0</v>
      </c>
      <c r="AF234" s="2">
        <f>IF(AND(Games[[#This Row],[Type]]="P",Games[[#This Row],[Round]]=1),IF(Games[[#This Row],[Result]]&lt;0.5,1,0),0)</f>
        <v>0</v>
      </c>
      <c r="AG234" s="2">
        <f>IF(AND(Games[[#This Row],[Type]]="P",Games[[#This Row],[Round]]=2),IF(Games[[#This Row],[Result]]&gt;0.5,1,0),0)</f>
        <v>0</v>
      </c>
      <c r="AH234" s="2">
        <f>IF(AND(Games[[#This Row],[Type]]="P",Games[[#This Row],[Round]]=2),IF(Games[[#This Row],[Result]]&lt;0.5,1,0),0)</f>
        <v>0</v>
      </c>
      <c r="AI234" s="2">
        <f>IF(AND(Games[[#This Row],[Type]]="P",Games[[#This Row],[Round]]=3),IF(Games[[#This Row],[Result]]&gt;0.5,1,0),0)</f>
        <v>0</v>
      </c>
      <c r="AJ234" s="2">
        <f>IF(AND(Games[[#This Row],[Type]]="P",Games[[#This Row],[Round]]=3),IF(Games[[#This Row],[Result]]&lt;0.5,1,0),0)</f>
        <v>0</v>
      </c>
      <c r="AK234" s="2">
        <f>IF(AND(Games[[#This Row],[Type]]="P",Games[[#This Row],[Round]]=4),IF(Games[[#This Row],[Result]]&gt;0.5,1,0),0)</f>
        <v>0</v>
      </c>
      <c r="AL234" s="2">
        <f>IF(AND(Games[[#This Row],[Type]]="P",Games[[#This Row],[Round]]=4),IF(Games[[#This Row],[Result]]&lt;0.5,1,0),0)</f>
        <v>0</v>
      </c>
    </row>
    <row r="235" spans="1:38" x14ac:dyDescent="0.35">
      <c r="A235" s="10">
        <v>37812</v>
      </c>
      <c r="B235" s="2">
        <v>2003</v>
      </c>
      <c r="C235" s="2">
        <f>COUNTIFS(Games[Team],Games[[#This Row],[Team]],Games[Season],Games[[#This Row],[Season]],Games[Date],"&lt;=" &amp; Games[[#This Row],[Date]])</f>
        <v>17</v>
      </c>
      <c r="D235" s="2" t="s">
        <v>23</v>
      </c>
      <c r="E235" s="2" t="s">
        <v>29</v>
      </c>
      <c r="F235" s="1" t="s">
        <v>44</v>
      </c>
      <c r="G235" s="1" t="s">
        <v>1</v>
      </c>
      <c r="H235" s="1" t="s">
        <v>15</v>
      </c>
      <c r="I235" s="2" cm="1">
        <f t="array" ref="I235">IFERROR(
    Games[[#This Row],[Date]]
    - LOOKUP(
        2,
        1/((Games[Team]=Games[[#This Row],[Team]]) * (Games[Date] &lt; Games[[#This Row],[Date]])),
        Games[Date]
    )
    - 1,
Games[[#This Row],[Date]]-$A$2)</f>
        <v>4</v>
      </c>
      <c r="J235" s="2" cm="1">
        <f t="array" ref="J23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35" s="2">
        <f>Games[[#This Row],[DaysOff]]-Games[[#This Row],[OppDaysOff]]</f>
        <v>2</v>
      </c>
      <c r="L235" s="2">
        <f>Games[[#This Row],[OppDaysOff]]-Games[[#This Row],[DaysOff]]</f>
        <v>-2</v>
      </c>
      <c r="M235" s="1">
        <f>MAX(-16, MIN(16, Games[[#This Row],[RestDiff]]*8))</f>
        <v>16</v>
      </c>
      <c r="N235" s="1">
        <f>MAX(-16, MIN(16, Games[[#This Row],[OppRestDiff]]*8))</f>
        <v>-16</v>
      </c>
      <c r="O235" s="4" cm="1">
        <f t="array" ref="O23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1369.5498252057978</v>
      </c>
      <c r="P235" s="4" cm="1">
        <f t="array" ref="P23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1483.4687542640174</v>
      </c>
      <c r="Q235" s="4">
        <f>1/(1+10^(((Games[[#This Row],[OppPreGmRate]]+IF(Games[[#This Row],[HomeAway]]="A",HCA,0)+Games[[#This Row],[OppRestAdj]])-(Games[[#This Row],[PreGmRate]]+IF(Games[[#This Row],[HomeAway]]="H",HCA,0)+Games[[#This Row],[RestAdj]]))/400))</f>
        <v>0.50299486601374044</v>
      </c>
      <c r="R235" s="1">
        <v>67</v>
      </c>
      <c r="S235" s="1">
        <v>68</v>
      </c>
      <c r="T235" s="1">
        <v>0</v>
      </c>
      <c r="U235" s="1">
        <f>Games[[#This Row],[PointsFor]]-Games[[#This Row],[PointsAgainst]]</f>
        <v>-1</v>
      </c>
      <c r="V235" s="1">
        <f>IF(Games[[#This Row],[MOV]]&gt;0,1,IF(Games[[#This Row],[MOV]]=0,0.5,0))</f>
        <v>0</v>
      </c>
      <c r="W235" s="4">
        <f>((ABS(Games[[#This Row],[MOV]])+5)^0.6)/(12+0.01*(ABS(Games[[#This Row],[PreGmRate]]-Games[[#This Row],[OppPreGmRate]])))*IF(Games[[#This Row],[OT]]=1,0.9,1)</f>
        <v>0.22300889246521283</v>
      </c>
      <c r="X235" s="7" cm="1">
        <f t="array" ref="X23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5" s="9">
        <f>MAX(kmin, kmax - 0.15 * MIN(Games[[#This Row],[GamesPlayed]], 82))</f>
        <v>73.45</v>
      </c>
      <c r="Z235" s="4">
        <f>Games[[#This Row],[K]]*Games[[#This Row],[POMult]]</f>
        <v>73.45</v>
      </c>
      <c r="AA235" s="4">
        <f>(Games[[#This Row],[Keff]]*Games[[#This Row],[MOVMult]])*(Games[[#This Row],[Result]]-Games[[#This Row],[ExpectedWin%]])</f>
        <v>-8.2390574905285394</v>
      </c>
      <c r="AB235" s="4">
        <f>Games[[#This Row],[PreGmRate]]+Games[[#This Row],[RatingChange]]</f>
        <v>1361.3107677152693</v>
      </c>
      <c r="AC235" s="2">
        <f>IF(Games[[#This Row],[Type]]="R",IF(Games[[#This Row],[Result]]&gt;0.5,1,0),0)</f>
        <v>0</v>
      </c>
      <c r="AD235" s="2">
        <f>IF(Games[[#This Row],[Type]]="R",IF(Games[[#This Row],[Result]]&lt;0.5,1,0),0)</f>
        <v>1</v>
      </c>
      <c r="AE235" s="2">
        <f>IF(AND(Games[[#This Row],[Type]]="P",Games[[#This Row],[Round]]=1),IF(Games[[#This Row],[Result]]&gt;0.5,1,0),0)</f>
        <v>0</v>
      </c>
      <c r="AF235" s="2">
        <f>IF(AND(Games[[#This Row],[Type]]="P",Games[[#This Row],[Round]]=1),IF(Games[[#This Row],[Result]]&lt;0.5,1,0),0)</f>
        <v>0</v>
      </c>
      <c r="AG235" s="2">
        <f>IF(AND(Games[[#This Row],[Type]]="P",Games[[#This Row],[Round]]=2),IF(Games[[#This Row],[Result]]&gt;0.5,1,0),0)</f>
        <v>0</v>
      </c>
      <c r="AH235" s="2">
        <f>IF(AND(Games[[#This Row],[Type]]="P",Games[[#This Row],[Round]]=2),IF(Games[[#This Row],[Result]]&lt;0.5,1,0),0)</f>
        <v>0</v>
      </c>
      <c r="AI235" s="2">
        <f>IF(AND(Games[[#This Row],[Type]]="P",Games[[#This Row],[Round]]=3),IF(Games[[#This Row],[Result]]&gt;0.5,1,0),0)</f>
        <v>0</v>
      </c>
      <c r="AJ235" s="2">
        <f>IF(AND(Games[[#This Row],[Type]]="P",Games[[#This Row],[Round]]=3),IF(Games[[#This Row],[Result]]&lt;0.5,1,0),0)</f>
        <v>0</v>
      </c>
      <c r="AK235" s="2">
        <f>IF(AND(Games[[#This Row],[Type]]="P",Games[[#This Row],[Round]]=4),IF(Games[[#This Row],[Result]]&gt;0.5,1,0),0)</f>
        <v>0</v>
      </c>
      <c r="AL235" s="2">
        <f>IF(AND(Games[[#This Row],[Type]]="P",Games[[#This Row],[Round]]=4),IF(Games[[#This Row],[Result]]&lt;0.5,1,0),0)</f>
        <v>0</v>
      </c>
    </row>
    <row r="236" spans="1:38" x14ac:dyDescent="0.35">
      <c r="A236" s="10">
        <v>37812</v>
      </c>
      <c r="B236" s="2">
        <v>2003</v>
      </c>
      <c r="C236" s="2">
        <f>COUNTIFS(Games[Team],Games[[#This Row],[Team]],Games[Season],Games[[#This Row],[Season]],Games[Date],"&lt;=" &amp; Games[[#This Row],[Date]])</f>
        <v>17</v>
      </c>
      <c r="D236" s="2" t="s">
        <v>23</v>
      </c>
      <c r="E236" s="2" t="s">
        <v>29</v>
      </c>
      <c r="F236" s="1" t="s">
        <v>85</v>
      </c>
      <c r="G236" s="1" t="s">
        <v>45</v>
      </c>
      <c r="H236" s="1" t="s">
        <v>16</v>
      </c>
      <c r="I236" s="2" cm="1">
        <f t="array" ref="I236">IFERROR(
    Games[[#This Row],[Date]]
    - LOOKUP(
        2,
        1/((Games[Team]=Games[[#This Row],[Team]]) * (Games[Date] &lt; Games[[#This Row],[Date]])),
        Games[Date]
    )
    - 1,
Games[[#This Row],[Date]]-$A$2)</f>
        <v>4</v>
      </c>
      <c r="J236" s="2" cm="1">
        <f t="array" ref="J23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36" s="2">
        <f>Games[[#This Row],[DaysOff]]-Games[[#This Row],[OppDaysOff]]</f>
        <v>3</v>
      </c>
      <c r="L236" s="2">
        <f>Games[[#This Row],[OppDaysOff]]-Games[[#This Row],[DaysOff]]</f>
        <v>-3</v>
      </c>
      <c r="M236" s="1">
        <f>MAX(-16, MIN(16, Games[[#This Row],[RestDiff]]*8))</f>
        <v>16</v>
      </c>
      <c r="N236" s="1">
        <f>MAX(-16, MIN(16, Games[[#This Row],[OppRestDiff]]*8))</f>
        <v>-16</v>
      </c>
      <c r="O236" s="4" cm="1">
        <f t="array" ref="O23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1450.4160798805003</v>
      </c>
      <c r="P236" s="4" cm="1">
        <f t="array" ref="P23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1476.7553969401258</v>
      </c>
      <c r="Q236" s="4">
        <f>1/(1+10^(((Games[[#This Row],[OppPreGmRate]]+IF(Games[[#This Row],[HomeAway]]="A",HCA,0)+Games[[#This Row],[OppRestAdj]])-(Games[[#This Row],[PreGmRate]]+IF(Games[[#This Row],[HomeAway]]="H",HCA,0)+Games[[#This Row],[RestAdj]]))/400))</f>
        <v>0.38913316946164961</v>
      </c>
      <c r="R236" s="1">
        <v>76</v>
      </c>
      <c r="S236" s="1">
        <v>89</v>
      </c>
      <c r="T236" s="1">
        <v>0</v>
      </c>
      <c r="U236" s="1">
        <f>Games[[#This Row],[PointsFor]]-Games[[#This Row],[PointsAgainst]]</f>
        <v>-13</v>
      </c>
      <c r="V236" s="1">
        <f>IF(Games[[#This Row],[MOV]]&gt;0,1,IF(Games[[#This Row],[MOV]]=0,0.5,0))</f>
        <v>0</v>
      </c>
      <c r="W236" s="4">
        <f>((ABS(Games[[#This Row],[MOV]])+5)^0.6)/(12+0.01*(ABS(Games[[#This Row],[PreGmRate]]-Games[[#This Row],[OppPreGmRate]])))*IF(Games[[#This Row],[OT]]=1,0.9,1)</f>
        <v>0.46190519939874014</v>
      </c>
      <c r="X236" s="7" cm="1">
        <f t="array" ref="X23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6" s="9">
        <f>MAX(kmin, kmax - 0.15 * MIN(Games[[#This Row],[GamesPlayed]], 82))</f>
        <v>73.45</v>
      </c>
      <c r="Z236" s="4">
        <f>Games[[#This Row],[K]]*Games[[#This Row],[POMult]]</f>
        <v>73.45</v>
      </c>
      <c r="AA236" s="4">
        <f>(Games[[#This Row],[Keff]]*Games[[#This Row],[MOVMult]])*(Games[[#This Row],[Result]]-Games[[#This Row],[ExpectedWin%]])</f>
        <v>-13.202096484402613</v>
      </c>
      <c r="AB236" s="4">
        <f>Games[[#This Row],[PreGmRate]]+Games[[#This Row],[RatingChange]]</f>
        <v>1437.2139833960978</v>
      </c>
      <c r="AC236" s="2">
        <f>IF(Games[[#This Row],[Type]]="R",IF(Games[[#This Row],[Result]]&gt;0.5,1,0),0)</f>
        <v>0</v>
      </c>
      <c r="AD236" s="2">
        <f>IF(Games[[#This Row],[Type]]="R",IF(Games[[#This Row],[Result]]&lt;0.5,1,0),0)</f>
        <v>1</v>
      </c>
      <c r="AE236" s="2">
        <f>IF(AND(Games[[#This Row],[Type]]="P",Games[[#This Row],[Round]]=1),IF(Games[[#This Row],[Result]]&gt;0.5,1,0),0)</f>
        <v>0</v>
      </c>
      <c r="AF236" s="2">
        <f>IF(AND(Games[[#This Row],[Type]]="P",Games[[#This Row],[Round]]=1),IF(Games[[#This Row],[Result]]&lt;0.5,1,0),0)</f>
        <v>0</v>
      </c>
      <c r="AG236" s="2">
        <f>IF(AND(Games[[#This Row],[Type]]="P",Games[[#This Row],[Round]]=2),IF(Games[[#This Row],[Result]]&gt;0.5,1,0),0)</f>
        <v>0</v>
      </c>
      <c r="AH236" s="2">
        <f>IF(AND(Games[[#This Row],[Type]]="P",Games[[#This Row],[Round]]=2),IF(Games[[#This Row],[Result]]&lt;0.5,1,0),0)</f>
        <v>0</v>
      </c>
      <c r="AI236" s="2">
        <f>IF(AND(Games[[#This Row],[Type]]="P",Games[[#This Row],[Round]]=3),IF(Games[[#This Row],[Result]]&gt;0.5,1,0),0)</f>
        <v>0</v>
      </c>
      <c r="AJ236" s="2">
        <f>IF(AND(Games[[#This Row],[Type]]="P",Games[[#This Row],[Round]]=3),IF(Games[[#This Row],[Result]]&lt;0.5,1,0),0)</f>
        <v>0</v>
      </c>
      <c r="AK236" s="2">
        <f>IF(AND(Games[[#This Row],[Type]]="P",Games[[#This Row],[Round]]=4),IF(Games[[#This Row],[Result]]&gt;0.5,1,0),0)</f>
        <v>0</v>
      </c>
      <c r="AL236" s="2">
        <f>IF(AND(Games[[#This Row],[Type]]="P",Games[[#This Row],[Round]]=4),IF(Games[[#This Row],[Result]]&lt;0.5,1,0),0)</f>
        <v>0</v>
      </c>
    </row>
    <row r="237" spans="1:38" x14ac:dyDescent="0.35">
      <c r="A237" s="10">
        <v>37812</v>
      </c>
      <c r="B237" s="2">
        <v>2003</v>
      </c>
      <c r="C237" s="2">
        <f>COUNTIFS(Games[Team],Games[[#This Row],[Team]],Games[Season],Games[[#This Row],[Season]],Games[Date],"&lt;=" &amp; Games[[#This Row],[Date]])</f>
        <v>19</v>
      </c>
      <c r="D237" s="2" t="s">
        <v>23</v>
      </c>
      <c r="E237" s="2" t="s">
        <v>29</v>
      </c>
      <c r="F237" s="1" t="s">
        <v>45</v>
      </c>
      <c r="G237" s="1" t="s">
        <v>85</v>
      </c>
      <c r="H237" s="1" t="s">
        <v>15</v>
      </c>
      <c r="I237" s="2" cm="1">
        <f t="array" ref="I237">IFERROR(
    Games[[#This Row],[Date]]
    - LOOKUP(
        2,
        1/((Games[Team]=Games[[#This Row],[Team]]) * (Games[Date] &lt; Games[[#This Row],[Date]])),
        Games[Date]
    )
    - 1,
Games[[#This Row],[Date]]-$A$2)</f>
        <v>1</v>
      </c>
      <c r="J237" s="2" cm="1">
        <f t="array" ref="J237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237" s="2">
        <f>Games[[#This Row],[DaysOff]]-Games[[#This Row],[OppDaysOff]]</f>
        <v>-3</v>
      </c>
      <c r="L237" s="2">
        <f>Games[[#This Row],[OppDaysOff]]-Games[[#This Row],[DaysOff]]</f>
        <v>3</v>
      </c>
      <c r="M237" s="1">
        <f>MAX(-16, MIN(16, Games[[#This Row],[RestDiff]]*8))</f>
        <v>-16</v>
      </c>
      <c r="N237" s="1">
        <f>MAX(-16, MIN(16, Games[[#This Row],[OppRestDiff]]*8))</f>
        <v>16</v>
      </c>
      <c r="O237" s="4" cm="1">
        <f t="array" ref="O23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1476.7553969401258</v>
      </c>
      <c r="P237" s="4" cm="1">
        <f t="array" ref="P23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1450.4160798805003</v>
      </c>
      <c r="Q237" s="4">
        <f>1/(1+10^(((Games[[#This Row],[OppPreGmRate]]+IF(Games[[#This Row],[HomeAway]]="A",HCA,0)+Games[[#This Row],[OppRestAdj]])-(Games[[#This Row],[PreGmRate]]+IF(Games[[#This Row],[HomeAway]]="H",HCA,0)+Games[[#This Row],[RestAdj]]))/400))</f>
        <v>0.61086683053835045</v>
      </c>
      <c r="R237" s="1">
        <v>89</v>
      </c>
      <c r="S237" s="1">
        <v>76</v>
      </c>
      <c r="T237" s="1">
        <v>0</v>
      </c>
      <c r="U237" s="1">
        <f>Games[[#This Row],[PointsFor]]-Games[[#This Row],[PointsAgainst]]</f>
        <v>13</v>
      </c>
      <c r="V237" s="1">
        <f>IF(Games[[#This Row],[MOV]]&gt;0,1,IF(Games[[#This Row],[MOV]]=0,0.5,0))</f>
        <v>1</v>
      </c>
      <c r="W237" s="4">
        <f>((ABS(Games[[#This Row],[MOV]])+5)^0.6)/(12+0.01*(ABS(Games[[#This Row],[PreGmRate]]-Games[[#This Row],[OppPreGmRate]])))*IF(Games[[#This Row],[OT]]=1,0.9,1)</f>
        <v>0.46190519939874014</v>
      </c>
      <c r="X237" s="7" cm="1">
        <f t="array" ref="X23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7" s="9">
        <f>MAX(kmin, kmax - 0.15 * MIN(Games[[#This Row],[GamesPlayed]], 82))</f>
        <v>73.150000000000006</v>
      </c>
      <c r="Z237" s="4">
        <f>Games[[#This Row],[K]]*Games[[#This Row],[POMult]]</f>
        <v>73.150000000000006</v>
      </c>
      <c r="AA237" s="4">
        <f>(Games[[#This Row],[Keff]]*Games[[#This Row],[MOVMult]])*(Games[[#This Row],[Result]]-Games[[#This Row],[ExpectedWin%]])</f>
        <v>13.148173694132758</v>
      </c>
      <c r="AB237" s="4">
        <f>Games[[#This Row],[PreGmRate]]+Games[[#This Row],[RatingChange]]</f>
        <v>1489.9035706342586</v>
      </c>
      <c r="AC237" s="2">
        <f>IF(Games[[#This Row],[Type]]="R",IF(Games[[#This Row],[Result]]&gt;0.5,1,0),0)</f>
        <v>1</v>
      </c>
      <c r="AD237" s="2">
        <f>IF(Games[[#This Row],[Type]]="R",IF(Games[[#This Row],[Result]]&lt;0.5,1,0),0)</f>
        <v>0</v>
      </c>
      <c r="AE237" s="2">
        <f>IF(AND(Games[[#This Row],[Type]]="P",Games[[#This Row],[Round]]=1),IF(Games[[#This Row],[Result]]&gt;0.5,1,0),0)</f>
        <v>0</v>
      </c>
      <c r="AF237" s="2">
        <f>IF(AND(Games[[#This Row],[Type]]="P",Games[[#This Row],[Round]]=1),IF(Games[[#This Row],[Result]]&lt;0.5,1,0),0)</f>
        <v>0</v>
      </c>
      <c r="AG237" s="2">
        <f>IF(AND(Games[[#This Row],[Type]]="P",Games[[#This Row],[Round]]=2),IF(Games[[#This Row],[Result]]&gt;0.5,1,0),0)</f>
        <v>0</v>
      </c>
      <c r="AH237" s="2">
        <f>IF(AND(Games[[#This Row],[Type]]="P",Games[[#This Row],[Round]]=2),IF(Games[[#This Row],[Result]]&lt;0.5,1,0),0)</f>
        <v>0</v>
      </c>
      <c r="AI237" s="2">
        <f>IF(AND(Games[[#This Row],[Type]]="P",Games[[#This Row],[Round]]=3),IF(Games[[#This Row],[Result]]&gt;0.5,1,0),0)</f>
        <v>0</v>
      </c>
      <c r="AJ237" s="2">
        <f>IF(AND(Games[[#This Row],[Type]]="P",Games[[#This Row],[Round]]=3),IF(Games[[#This Row],[Result]]&lt;0.5,1,0),0)</f>
        <v>0</v>
      </c>
      <c r="AK237" s="2">
        <f>IF(AND(Games[[#This Row],[Type]]="P",Games[[#This Row],[Round]]=4),IF(Games[[#This Row],[Result]]&gt;0.5,1,0),0)</f>
        <v>0</v>
      </c>
      <c r="AL237" s="2">
        <f>IF(AND(Games[[#This Row],[Type]]="P",Games[[#This Row],[Round]]=4),IF(Games[[#This Row],[Result]]&lt;0.5,1,0),0)</f>
        <v>0</v>
      </c>
    </row>
    <row r="238" spans="1:38" x14ac:dyDescent="0.35">
      <c r="A238" s="10">
        <v>37817</v>
      </c>
      <c r="B238" s="2">
        <v>2003</v>
      </c>
      <c r="C238" s="2">
        <f>COUNTIFS(Games[Team],Games[[#This Row],[Team]],Games[Season],Games[[#This Row],[Season]],Games[Date],"&lt;=" &amp; Games[[#This Row],[Date]])</f>
        <v>20</v>
      </c>
      <c r="D238" s="2" t="s">
        <v>23</v>
      </c>
      <c r="E238" s="2" t="s">
        <v>29</v>
      </c>
      <c r="F238" s="1" t="s">
        <v>45</v>
      </c>
      <c r="G238" s="1" t="s">
        <v>1</v>
      </c>
      <c r="H238" s="1" t="s">
        <v>16</v>
      </c>
      <c r="I238" s="2" cm="1">
        <f t="array" ref="I238">IFERROR(
    Games[[#This Row],[Date]]
    - LOOKUP(
        2,
        1/((Games[Team]=Games[[#This Row],[Team]]) * (Games[Date] &lt; Games[[#This Row],[Date]])),
        Games[Date]
    )
    - 1,
Games[[#This Row],[Date]]-$A$2)</f>
        <v>4</v>
      </c>
      <c r="J238" s="2" cm="1">
        <f t="array" ref="J238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238" s="2">
        <f>Games[[#This Row],[DaysOff]]-Games[[#This Row],[OppDaysOff]]</f>
        <v>0</v>
      </c>
      <c r="L238" s="2">
        <f>Games[[#This Row],[OppDaysOff]]-Games[[#This Row],[DaysOff]]</f>
        <v>0</v>
      </c>
      <c r="M238" s="1">
        <f>MAX(-16, MIN(16, Games[[#This Row],[RestDiff]]*8))</f>
        <v>0</v>
      </c>
      <c r="N238" s="1">
        <f>MAX(-16, MIN(16, Games[[#This Row],[OppRestDiff]]*8))</f>
        <v>0</v>
      </c>
      <c r="O238" s="4" cm="1">
        <f t="array" ref="O23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1489.9035706342586</v>
      </c>
      <c r="P238" s="4" cm="1">
        <f t="array" ref="P23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1491.7246376037438</v>
      </c>
      <c r="Q238" s="4">
        <f>1/(1+10^(((Games[[#This Row],[OppPreGmRate]]+IF(Games[[#This Row],[HomeAway]]="A",HCA,0)+Games[[#This Row],[OppRestAdj]])-(Games[[#This Row],[PreGmRate]]+IF(Games[[#This Row],[HomeAway]]="H",HCA,0)+Games[[#This Row],[RestAdj]]))/400))</f>
        <v>0.37894565787360995</v>
      </c>
      <c r="R238" s="1">
        <v>66</v>
      </c>
      <c r="S238" s="1">
        <v>57</v>
      </c>
      <c r="T238" s="1">
        <v>0</v>
      </c>
      <c r="U238" s="1">
        <f>Games[[#This Row],[PointsFor]]-Games[[#This Row],[PointsAgainst]]</f>
        <v>9</v>
      </c>
      <c r="V238" s="1">
        <f>IF(Games[[#This Row],[MOV]]&gt;0,1,IF(Games[[#This Row],[MOV]]=0,0.5,0))</f>
        <v>1</v>
      </c>
      <c r="W238" s="4">
        <f>((ABS(Games[[#This Row],[MOV]])+5)^0.6)/(12+0.01*(ABS(Games[[#This Row],[PreGmRate]]-Games[[#This Row],[OppPreGmRate]])))*IF(Games[[#This Row],[OT]]=1,0.9,1)</f>
        <v>0.40535637622423271</v>
      </c>
      <c r="X238" s="7" cm="1">
        <f t="array" ref="X23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8" s="9">
        <f>MAX(kmin, kmax - 0.15 * MIN(Games[[#This Row],[GamesPlayed]], 82))</f>
        <v>73</v>
      </c>
      <c r="Z238" s="4">
        <f>Games[[#This Row],[K]]*Games[[#This Row],[POMult]]</f>
        <v>73</v>
      </c>
      <c r="AA238" s="4">
        <f>(Games[[#This Row],[Keff]]*Games[[#This Row],[MOVMult]])*(Games[[#This Row],[Result]]-Games[[#This Row],[ExpectedWin%]])</f>
        <v>18.377628642075518</v>
      </c>
      <c r="AB238" s="4">
        <f>Games[[#This Row],[PreGmRate]]+Games[[#This Row],[RatingChange]]</f>
        <v>1508.2811992763341</v>
      </c>
      <c r="AC238" s="2">
        <f>IF(Games[[#This Row],[Type]]="R",IF(Games[[#This Row],[Result]]&gt;0.5,1,0),0)</f>
        <v>1</v>
      </c>
      <c r="AD238" s="2">
        <f>IF(Games[[#This Row],[Type]]="R",IF(Games[[#This Row],[Result]]&lt;0.5,1,0),0)</f>
        <v>0</v>
      </c>
      <c r="AE238" s="2">
        <f>IF(AND(Games[[#This Row],[Type]]="P",Games[[#This Row],[Round]]=1),IF(Games[[#This Row],[Result]]&gt;0.5,1,0),0)</f>
        <v>0</v>
      </c>
      <c r="AF238" s="2">
        <f>IF(AND(Games[[#This Row],[Type]]="P",Games[[#This Row],[Round]]=1),IF(Games[[#This Row],[Result]]&lt;0.5,1,0),0)</f>
        <v>0</v>
      </c>
      <c r="AG238" s="2">
        <f>IF(AND(Games[[#This Row],[Type]]="P",Games[[#This Row],[Round]]=2),IF(Games[[#This Row],[Result]]&gt;0.5,1,0),0)</f>
        <v>0</v>
      </c>
      <c r="AH238" s="2">
        <f>IF(AND(Games[[#This Row],[Type]]="P",Games[[#This Row],[Round]]=2),IF(Games[[#This Row],[Result]]&lt;0.5,1,0),0)</f>
        <v>0</v>
      </c>
      <c r="AI238" s="2">
        <f>IF(AND(Games[[#This Row],[Type]]="P",Games[[#This Row],[Round]]=3),IF(Games[[#This Row],[Result]]&gt;0.5,1,0),0)</f>
        <v>0</v>
      </c>
      <c r="AJ238" s="2">
        <f>IF(AND(Games[[#This Row],[Type]]="P",Games[[#This Row],[Round]]=3),IF(Games[[#This Row],[Result]]&lt;0.5,1,0),0)</f>
        <v>0</v>
      </c>
      <c r="AK238" s="2">
        <f>IF(AND(Games[[#This Row],[Type]]="P",Games[[#This Row],[Round]]=4),IF(Games[[#This Row],[Result]]&gt;0.5,1,0),0)</f>
        <v>0</v>
      </c>
      <c r="AL238" s="2">
        <f>IF(AND(Games[[#This Row],[Type]]="P",Games[[#This Row],[Round]]=4),IF(Games[[#This Row],[Result]]&lt;0.5,1,0),0)</f>
        <v>0</v>
      </c>
    </row>
    <row r="239" spans="1:38" x14ac:dyDescent="0.35">
      <c r="A239" s="10">
        <v>37817</v>
      </c>
      <c r="B239" s="2">
        <v>2003</v>
      </c>
      <c r="C239" s="2">
        <f>COUNTIFS(Games[Team],Games[[#This Row],[Team]],Games[Season],Games[[#This Row],[Season]],Games[Date],"&lt;=" &amp; Games[[#This Row],[Date]])</f>
        <v>17</v>
      </c>
      <c r="D239" s="2" t="s">
        <v>23</v>
      </c>
      <c r="E239" s="2" t="s">
        <v>29</v>
      </c>
      <c r="F239" s="1" t="s">
        <v>1</v>
      </c>
      <c r="G239" s="1" t="s">
        <v>45</v>
      </c>
      <c r="H239" s="1" t="s">
        <v>15</v>
      </c>
      <c r="I239" s="2" cm="1">
        <f t="array" ref="I239">IFERROR(
    Games[[#This Row],[Date]]
    - LOOKUP(
        2,
        1/((Games[Team]=Games[[#This Row],[Team]]) * (Games[Date] &lt; Games[[#This Row],[Date]])),
        Games[Date]
    )
    - 1,
Games[[#This Row],[Date]]-$A$2)</f>
        <v>4</v>
      </c>
      <c r="J239" s="2" cm="1">
        <f t="array" ref="J239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239" s="2">
        <f>Games[[#This Row],[DaysOff]]-Games[[#This Row],[OppDaysOff]]</f>
        <v>0</v>
      </c>
      <c r="L239" s="2">
        <f>Games[[#This Row],[OppDaysOff]]-Games[[#This Row],[DaysOff]]</f>
        <v>0</v>
      </c>
      <c r="M239" s="1">
        <f>MAX(-16, MIN(16, Games[[#This Row],[RestDiff]]*8))</f>
        <v>0</v>
      </c>
      <c r="N239" s="1">
        <f>MAX(-16, MIN(16, Games[[#This Row],[OppRestDiff]]*8))</f>
        <v>0</v>
      </c>
      <c r="O239" s="4" cm="1">
        <f t="array" ref="O23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1491.7246376037438</v>
      </c>
      <c r="P239" s="4" cm="1">
        <f t="array" ref="P23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1489.9035706342586</v>
      </c>
      <c r="Q239" s="4">
        <f>1/(1+10^(((Games[[#This Row],[OppPreGmRate]]+IF(Games[[#This Row],[HomeAway]]="A",HCA,0)+Games[[#This Row],[OppRestAdj]])-(Games[[#This Row],[PreGmRate]]+IF(Games[[#This Row],[HomeAway]]="H",HCA,0)+Games[[#This Row],[RestAdj]]))/400))</f>
        <v>0.62105434212638999</v>
      </c>
      <c r="R239" s="1">
        <v>57</v>
      </c>
      <c r="S239" s="1">
        <v>66</v>
      </c>
      <c r="T239" s="1">
        <v>0</v>
      </c>
      <c r="U239" s="1">
        <f>Games[[#This Row],[PointsFor]]-Games[[#This Row],[PointsAgainst]]</f>
        <v>-9</v>
      </c>
      <c r="V239" s="1">
        <f>IF(Games[[#This Row],[MOV]]&gt;0,1,IF(Games[[#This Row],[MOV]]=0,0.5,0))</f>
        <v>0</v>
      </c>
      <c r="W239" s="4">
        <f>((ABS(Games[[#This Row],[MOV]])+5)^0.6)/(12+0.01*(ABS(Games[[#This Row],[PreGmRate]]-Games[[#This Row],[OppPreGmRate]])))*IF(Games[[#This Row],[OT]]=1,0.9,1)</f>
        <v>0.40535637622423271</v>
      </c>
      <c r="X239" s="7" cm="1">
        <f t="array" ref="X23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9" s="9">
        <f>MAX(kmin, kmax - 0.15 * MIN(Games[[#This Row],[GamesPlayed]], 82))</f>
        <v>73.45</v>
      </c>
      <c r="Z239" s="4">
        <f>Games[[#This Row],[K]]*Games[[#This Row],[POMult]]</f>
        <v>73.45</v>
      </c>
      <c r="AA239" s="4">
        <f>(Games[[#This Row],[Keff]]*Games[[#This Row],[MOVMult]])*(Games[[#This Row],[Result]]-Games[[#This Row],[ExpectedWin%]])</f>
        <v>-18.490915393978721</v>
      </c>
      <c r="AB239" s="4">
        <f>Games[[#This Row],[PreGmRate]]+Games[[#This Row],[RatingChange]]</f>
        <v>1473.2337222097651</v>
      </c>
      <c r="AC239" s="2">
        <f>IF(Games[[#This Row],[Type]]="R",IF(Games[[#This Row],[Result]]&gt;0.5,1,0),0)</f>
        <v>0</v>
      </c>
      <c r="AD239" s="2">
        <f>IF(Games[[#This Row],[Type]]="R",IF(Games[[#This Row],[Result]]&lt;0.5,1,0),0)</f>
        <v>1</v>
      </c>
      <c r="AE239" s="2">
        <f>IF(AND(Games[[#This Row],[Type]]="P",Games[[#This Row],[Round]]=1),IF(Games[[#This Row],[Result]]&gt;0.5,1,0),0)</f>
        <v>0</v>
      </c>
      <c r="AF239" s="2">
        <f>IF(AND(Games[[#This Row],[Type]]="P",Games[[#This Row],[Round]]=1),IF(Games[[#This Row],[Result]]&lt;0.5,1,0),0)</f>
        <v>0</v>
      </c>
      <c r="AG239" s="2">
        <f>IF(AND(Games[[#This Row],[Type]]="P",Games[[#This Row],[Round]]=2),IF(Games[[#This Row],[Result]]&gt;0.5,1,0),0)</f>
        <v>0</v>
      </c>
      <c r="AH239" s="2">
        <f>IF(AND(Games[[#This Row],[Type]]="P",Games[[#This Row],[Round]]=2),IF(Games[[#This Row],[Result]]&lt;0.5,1,0),0)</f>
        <v>0</v>
      </c>
      <c r="AI239" s="2">
        <f>IF(AND(Games[[#This Row],[Type]]="P",Games[[#This Row],[Round]]=3),IF(Games[[#This Row],[Result]]&gt;0.5,1,0),0)</f>
        <v>0</v>
      </c>
      <c r="AJ239" s="2">
        <f>IF(AND(Games[[#This Row],[Type]]="P",Games[[#This Row],[Round]]=3),IF(Games[[#This Row],[Result]]&lt;0.5,1,0),0)</f>
        <v>0</v>
      </c>
      <c r="AK239" s="2">
        <f>IF(AND(Games[[#This Row],[Type]]="P",Games[[#This Row],[Round]]=4),IF(Games[[#This Row],[Result]]&gt;0.5,1,0),0)</f>
        <v>0</v>
      </c>
      <c r="AL239" s="2">
        <f>IF(AND(Games[[#This Row],[Type]]="P",Games[[#This Row],[Round]]=4),IF(Games[[#This Row],[Result]]&lt;0.5,1,0),0)</f>
        <v>0</v>
      </c>
    </row>
    <row r="240" spans="1:38" x14ac:dyDescent="0.35">
      <c r="A240" s="10">
        <v>37817</v>
      </c>
      <c r="B240" s="2">
        <v>2003</v>
      </c>
      <c r="C240" s="2">
        <f>COUNTIFS(Games[Team],Games[[#This Row],[Team]],Games[Season],Games[[#This Row],[Season]],Games[Date],"&lt;=" &amp; Games[[#This Row],[Date]])</f>
        <v>18</v>
      </c>
      <c r="D240" s="2" t="s">
        <v>23</v>
      </c>
      <c r="E240" s="2" t="s">
        <v>29</v>
      </c>
      <c r="F240" s="1" t="s">
        <v>44</v>
      </c>
      <c r="G240" s="1" t="s">
        <v>71</v>
      </c>
      <c r="H240" s="1" t="s">
        <v>16</v>
      </c>
      <c r="I240" s="2" cm="1">
        <f t="array" ref="I240">IFERROR(
    Games[[#This Row],[Date]]
    - LOOKUP(
        2,
        1/((Games[Team]=Games[[#This Row],[Team]]) * (Games[Date] &lt; Games[[#This Row],[Date]])),
        Games[Date]
    )
    - 1,
Games[[#This Row],[Date]]-$A$2)</f>
        <v>4</v>
      </c>
      <c r="J240" s="2" cm="1">
        <f t="array" ref="J240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240" s="2">
        <f>Games[[#This Row],[DaysOff]]-Games[[#This Row],[OppDaysOff]]</f>
        <v>-1</v>
      </c>
      <c r="L240" s="2">
        <f>Games[[#This Row],[OppDaysOff]]-Games[[#This Row],[DaysOff]]</f>
        <v>1</v>
      </c>
      <c r="M240" s="1">
        <f>MAX(-16, MIN(16, Games[[#This Row],[RestDiff]]*8))</f>
        <v>-8</v>
      </c>
      <c r="N240" s="1">
        <f>MAX(-16, MIN(16, Games[[#This Row],[OppRestDiff]]*8))</f>
        <v>8</v>
      </c>
      <c r="O240" s="4" cm="1">
        <f t="array" ref="O24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1361.3107677152693</v>
      </c>
      <c r="P240" s="4" cm="1">
        <f t="array" ref="P24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1684.7782774185298</v>
      </c>
      <c r="Q240" s="4">
        <f>1/(1+10^(((Games[[#This Row],[OppPreGmRate]]+IF(Games[[#This Row],[HomeAway]]="A",HCA,0)+Games[[#This Row],[OppRestAdj]])-(Games[[#This Row],[PreGmRate]]+IF(Games[[#This Row],[HomeAway]]="H",HCA,0)+Games[[#This Row],[RestAdj]]))/400))</f>
        <v>8.0344541825629084E-2</v>
      </c>
      <c r="R240" s="1">
        <v>77</v>
      </c>
      <c r="S240" s="1">
        <v>80</v>
      </c>
      <c r="T240" s="1">
        <v>1</v>
      </c>
      <c r="U240" s="1">
        <f>Games[[#This Row],[PointsFor]]-Games[[#This Row],[PointsAgainst]]</f>
        <v>-3</v>
      </c>
      <c r="V240" s="1">
        <f>IF(Games[[#This Row],[MOV]]&gt;0,1,IF(Games[[#This Row],[MOV]]=0,0.5,0))</f>
        <v>0</v>
      </c>
      <c r="W240" s="4">
        <f>((ABS(Games[[#This Row],[MOV]])+5)^0.6)/(12+0.01*(ABS(Games[[#This Row],[PreGmRate]]-Games[[#This Row],[OppPreGmRate]])))*IF(Games[[#This Row],[OT]]=1,0.9,1)</f>
        <v>0.20571374236110102</v>
      </c>
      <c r="X240" s="7" cm="1">
        <f t="array" ref="X24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0" s="9">
        <f>MAX(kmin, kmax - 0.15 * MIN(Games[[#This Row],[GamesPlayed]], 82))</f>
        <v>73.3</v>
      </c>
      <c r="Z240" s="4">
        <f>Games[[#This Row],[K]]*Games[[#This Row],[POMult]]</f>
        <v>73.3</v>
      </c>
      <c r="AA240" s="4">
        <f>(Games[[#This Row],[Keff]]*Games[[#This Row],[MOVMult]])*(Games[[#This Row],[Result]]-Games[[#This Row],[ExpectedWin%]])</f>
        <v>-1.2115006684515575</v>
      </c>
      <c r="AB240" s="4">
        <f>Games[[#This Row],[PreGmRate]]+Games[[#This Row],[RatingChange]]</f>
        <v>1360.0992670468177</v>
      </c>
      <c r="AC240" s="2">
        <f>IF(Games[[#This Row],[Type]]="R",IF(Games[[#This Row],[Result]]&gt;0.5,1,0),0)</f>
        <v>0</v>
      </c>
      <c r="AD240" s="2">
        <f>IF(Games[[#This Row],[Type]]="R",IF(Games[[#This Row],[Result]]&lt;0.5,1,0),0)</f>
        <v>1</v>
      </c>
      <c r="AE240" s="2">
        <f>IF(AND(Games[[#This Row],[Type]]="P",Games[[#This Row],[Round]]=1),IF(Games[[#This Row],[Result]]&gt;0.5,1,0),0)</f>
        <v>0</v>
      </c>
      <c r="AF240" s="2">
        <f>IF(AND(Games[[#This Row],[Type]]="P",Games[[#This Row],[Round]]=1),IF(Games[[#This Row],[Result]]&lt;0.5,1,0),0)</f>
        <v>0</v>
      </c>
      <c r="AG240" s="2">
        <f>IF(AND(Games[[#This Row],[Type]]="P",Games[[#This Row],[Round]]=2),IF(Games[[#This Row],[Result]]&gt;0.5,1,0),0)</f>
        <v>0</v>
      </c>
      <c r="AH240" s="2">
        <f>IF(AND(Games[[#This Row],[Type]]="P",Games[[#This Row],[Round]]=2),IF(Games[[#This Row],[Result]]&lt;0.5,1,0),0)</f>
        <v>0</v>
      </c>
      <c r="AI240" s="2">
        <f>IF(AND(Games[[#This Row],[Type]]="P",Games[[#This Row],[Round]]=3),IF(Games[[#This Row],[Result]]&gt;0.5,1,0),0)</f>
        <v>0</v>
      </c>
      <c r="AJ240" s="2">
        <f>IF(AND(Games[[#This Row],[Type]]="P",Games[[#This Row],[Round]]=3),IF(Games[[#This Row],[Result]]&lt;0.5,1,0),0)</f>
        <v>0</v>
      </c>
      <c r="AK240" s="2">
        <f>IF(AND(Games[[#This Row],[Type]]="P",Games[[#This Row],[Round]]=4),IF(Games[[#This Row],[Result]]&gt;0.5,1,0),0)</f>
        <v>0</v>
      </c>
      <c r="AL240" s="2">
        <f>IF(AND(Games[[#This Row],[Type]]="P",Games[[#This Row],[Round]]=4),IF(Games[[#This Row],[Result]]&lt;0.5,1,0),0)</f>
        <v>0</v>
      </c>
    </row>
    <row r="241" spans="1:38" x14ac:dyDescent="0.35">
      <c r="A241" s="10">
        <v>37817</v>
      </c>
      <c r="B241" s="2">
        <v>2003</v>
      </c>
      <c r="C241" s="2">
        <f>COUNTIFS(Games[Team],Games[[#This Row],[Team]],Games[Season],Games[[#This Row],[Season]],Games[Date],"&lt;=" &amp; Games[[#This Row],[Date]])</f>
        <v>19</v>
      </c>
      <c r="D241" s="2" t="s">
        <v>23</v>
      </c>
      <c r="E241" s="2" t="s">
        <v>29</v>
      </c>
      <c r="F241" s="1" t="s">
        <v>71</v>
      </c>
      <c r="G241" s="1" t="s">
        <v>44</v>
      </c>
      <c r="H241" s="1" t="s">
        <v>15</v>
      </c>
      <c r="I241" s="2" cm="1">
        <f t="array" ref="I241">IFERROR(
    Games[[#This Row],[Date]]
    - LOOKUP(
        2,
        1/((Games[Team]=Games[[#This Row],[Team]]) * (Games[Date] &lt; Games[[#This Row],[Date]])),
        Games[Date]
    )
    - 1,
Games[[#This Row],[Date]]-$A$2)</f>
        <v>5</v>
      </c>
      <c r="J241" s="2" cm="1">
        <f t="array" ref="J241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241" s="2">
        <f>Games[[#This Row],[DaysOff]]-Games[[#This Row],[OppDaysOff]]</f>
        <v>1</v>
      </c>
      <c r="L241" s="2">
        <f>Games[[#This Row],[OppDaysOff]]-Games[[#This Row],[DaysOff]]</f>
        <v>-1</v>
      </c>
      <c r="M241" s="1">
        <f>MAX(-16, MIN(16, Games[[#This Row],[RestDiff]]*8))</f>
        <v>8</v>
      </c>
      <c r="N241" s="1">
        <f>MAX(-16, MIN(16, Games[[#This Row],[OppRestDiff]]*8))</f>
        <v>-8</v>
      </c>
      <c r="O241" s="4" cm="1">
        <f t="array" ref="O24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1684.7782774185298</v>
      </c>
      <c r="P241" s="4" cm="1">
        <f t="array" ref="P24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1361.3107677152693</v>
      </c>
      <c r="Q241" s="4">
        <f>1/(1+10^(((Games[[#This Row],[OppPreGmRate]]+IF(Games[[#This Row],[HomeAway]]="A",HCA,0)+Games[[#This Row],[OppRestAdj]])-(Games[[#This Row],[PreGmRate]]+IF(Games[[#This Row],[HomeAway]]="H",HCA,0)+Games[[#This Row],[RestAdj]]))/400))</f>
        <v>0.919655458174371</v>
      </c>
      <c r="R241" s="1">
        <v>80</v>
      </c>
      <c r="S241" s="1">
        <v>77</v>
      </c>
      <c r="T241" s="1">
        <v>1</v>
      </c>
      <c r="U241" s="1">
        <f>Games[[#This Row],[PointsFor]]-Games[[#This Row],[PointsAgainst]]</f>
        <v>3</v>
      </c>
      <c r="V241" s="1">
        <f>IF(Games[[#This Row],[MOV]]&gt;0,1,IF(Games[[#This Row],[MOV]]=0,0.5,0))</f>
        <v>1</v>
      </c>
      <c r="W241" s="4">
        <f>((ABS(Games[[#This Row],[MOV]])+5)^0.6)/(12+0.01*(ABS(Games[[#This Row],[PreGmRate]]-Games[[#This Row],[OppPreGmRate]])))*IF(Games[[#This Row],[OT]]=1,0.9,1)</f>
        <v>0.20571374236110102</v>
      </c>
      <c r="X241" s="7" cm="1">
        <f t="array" ref="X24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1" s="9">
        <f>MAX(kmin, kmax - 0.15 * MIN(Games[[#This Row],[GamesPlayed]], 82))</f>
        <v>73.150000000000006</v>
      </c>
      <c r="Z241" s="4">
        <f>Games[[#This Row],[K]]*Games[[#This Row],[POMult]]</f>
        <v>73.150000000000006</v>
      </c>
      <c r="AA241" s="4">
        <f>(Games[[#This Row],[Keff]]*Games[[#This Row],[MOVMult]])*(Games[[#This Row],[Result]]-Games[[#This Row],[ExpectedWin%]])</f>
        <v>1.2090214719949708</v>
      </c>
      <c r="AB241" s="4">
        <f>Games[[#This Row],[PreGmRate]]+Games[[#This Row],[RatingChange]]</f>
        <v>1685.9872988905247</v>
      </c>
      <c r="AC241" s="2">
        <f>IF(Games[[#This Row],[Type]]="R",IF(Games[[#This Row],[Result]]&gt;0.5,1,0),0)</f>
        <v>1</v>
      </c>
      <c r="AD241" s="2">
        <f>IF(Games[[#This Row],[Type]]="R",IF(Games[[#This Row],[Result]]&lt;0.5,1,0),0)</f>
        <v>0</v>
      </c>
      <c r="AE241" s="2">
        <f>IF(AND(Games[[#This Row],[Type]]="P",Games[[#This Row],[Round]]=1),IF(Games[[#This Row],[Result]]&gt;0.5,1,0),0)</f>
        <v>0</v>
      </c>
      <c r="AF241" s="2">
        <f>IF(AND(Games[[#This Row],[Type]]="P",Games[[#This Row],[Round]]=1),IF(Games[[#This Row],[Result]]&lt;0.5,1,0),0)</f>
        <v>0</v>
      </c>
      <c r="AG241" s="2">
        <f>IF(AND(Games[[#This Row],[Type]]="P",Games[[#This Row],[Round]]=2),IF(Games[[#This Row],[Result]]&gt;0.5,1,0),0)</f>
        <v>0</v>
      </c>
      <c r="AH241" s="2">
        <f>IF(AND(Games[[#This Row],[Type]]="P",Games[[#This Row],[Round]]=2),IF(Games[[#This Row],[Result]]&lt;0.5,1,0),0)</f>
        <v>0</v>
      </c>
      <c r="AI241" s="2">
        <f>IF(AND(Games[[#This Row],[Type]]="P",Games[[#This Row],[Round]]=3),IF(Games[[#This Row],[Result]]&gt;0.5,1,0),0)</f>
        <v>0</v>
      </c>
      <c r="AJ241" s="2">
        <f>IF(AND(Games[[#This Row],[Type]]="P",Games[[#This Row],[Round]]=3),IF(Games[[#This Row],[Result]]&lt;0.5,1,0),0)</f>
        <v>0</v>
      </c>
      <c r="AK241" s="2">
        <f>IF(AND(Games[[#This Row],[Type]]="P",Games[[#This Row],[Round]]=4),IF(Games[[#This Row],[Result]]&gt;0.5,1,0),0)</f>
        <v>0</v>
      </c>
      <c r="AL241" s="2">
        <f>IF(AND(Games[[#This Row],[Type]]="P",Games[[#This Row],[Round]]=4),IF(Games[[#This Row],[Result]]&lt;0.5,1,0),0)</f>
        <v>0</v>
      </c>
    </row>
    <row r="242" spans="1:38" x14ac:dyDescent="0.35">
      <c r="A242" s="10">
        <v>37817</v>
      </c>
      <c r="B242" s="2">
        <v>2003</v>
      </c>
      <c r="C242" s="2">
        <f>COUNTIFS(Games[Team],Games[[#This Row],[Team]],Games[Season],Games[[#This Row],[Season]],Games[Date],"&lt;=" &amp; Games[[#This Row],[Date]])</f>
        <v>17</v>
      </c>
      <c r="D242" s="2" t="s">
        <v>23</v>
      </c>
      <c r="E242" s="2" t="s">
        <v>29</v>
      </c>
      <c r="F242" s="1" t="s">
        <v>74</v>
      </c>
      <c r="G242" s="1" t="s">
        <v>66</v>
      </c>
      <c r="H242" s="1" t="s">
        <v>16</v>
      </c>
      <c r="I242" s="2" cm="1">
        <f t="array" ref="I242">IFERROR(
    Games[[#This Row],[Date]]
    - LOOKUP(
        2,
        1/((Games[Team]=Games[[#This Row],[Team]]) * (Games[Date] &lt; Games[[#This Row],[Date]])),
        Games[Date]
    )
    - 1,
Games[[#This Row],[Date]]-$A$2)</f>
        <v>5</v>
      </c>
      <c r="J242" s="2" cm="1">
        <f t="array" ref="J242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242" s="2">
        <f>Games[[#This Row],[DaysOff]]-Games[[#This Row],[OppDaysOff]]</f>
        <v>1</v>
      </c>
      <c r="L242" s="2">
        <f>Games[[#This Row],[OppDaysOff]]-Games[[#This Row],[DaysOff]]</f>
        <v>-1</v>
      </c>
      <c r="M242" s="1">
        <f>MAX(-16, MIN(16, Games[[#This Row],[RestDiff]]*8))</f>
        <v>8</v>
      </c>
      <c r="N242" s="1">
        <f>MAX(-16, MIN(16, Games[[#This Row],[OppRestDiff]]*8))</f>
        <v>-8</v>
      </c>
      <c r="O242" s="4" cm="1">
        <f t="array" ref="O24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1343.9019481187288</v>
      </c>
      <c r="P242" s="4" cm="1">
        <f t="array" ref="P24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1509.0483080019249</v>
      </c>
      <c r="Q242" s="4">
        <f>1/(1+10^(((Games[[#This Row],[OppPreGmRate]]+IF(Games[[#This Row],[HomeAway]]="A",HCA,0)+Games[[#This Row],[OppRestAdj]])-(Games[[#This Row],[PreGmRate]]+IF(Games[[#This Row],[HomeAway]]="H",HCA,0)+Games[[#This Row],[RestAdj]]))/400))</f>
        <v>0.20716520042936989</v>
      </c>
      <c r="R242" s="1">
        <v>77</v>
      </c>
      <c r="S242" s="1">
        <v>64</v>
      </c>
      <c r="T242" s="1">
        <v>0</v>
      </c>
      <c r="U242" s="1">
        <f>Games[[#This Row],[PointsFor]]-Games[[#This Row],[PointsAgainst]]</f>
        <v>13</v>
      </c>
      <c r="V242" s="1">
        <f>IF(Games[[#This Row],[MOV]]&gt;0,1,IF(Games[[#This Row],[MOV]]=0,0.5,0))</f>
        <v>1</v>
      </c>
      <c r="W242" s="4">
        <f>((ABS(Games[[#This Row],[MOV]])+5)^0.6)/(12+0.01*(ABS(Games[[#This Row],[PreGmRate]]-Games[[#This Row],[OppPreGmRate]])))*IF(Games[[#This Row],[OT]]=1,0.9,1)</f>
        <v>0.41493903029225937</v>
      </c>
      <c r="X242" s="7" cm="1">
        <f t="array" ref="X24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2" s="9">
        <f>MAX(kmin, kmax - 0.15 * MIN(Games[[#This Row],[GamesPlayed]], 82))</f>
        <v>73.45</v>
      </c>
      <c r="Z242" s="4">
        <f>Games[[#This Row],[K]]*Games[[#This Row],[POMult]]</f>
        <v>73.45</v>
      </c>
      <c r="AA242" s="4">
        <f>(Games[[#This Row],[Keff]]*Games[[#This Row],[MOVMult]])*(Games[[#This Row],[Result]]-Games[[#This Row],[ExpectedWin%]])</f>
        <v>24.163441659165148</v>
      </c>
      <c r="AB242" s="4">
        <f>Games[[#This Row],[PreGmRate]]+Games[[#This Row],[RatingChange]]</f>
        <v>1368.0653897778939</v>
      </c>
      <c r="AC242" s="2">
        <f>IF(Games[[#This Row],[Type]]="R",IF(Games[[#This Row],[Result]]&gt;0.5,1,0),0)</f>
        <v>1</v>
      </c>
      <c r="AD242" s="2">
        <f>IF(Games[[#This Row],[Type]]="R",IF(Games[[#This Row],[Result]]&lt;0.5,1,0),0)</f>
        <v>0</v>
      </c>
      <c r="AE242" s="2">
        <f>IF(AND(Games[[#This Row],[Type]]="P",Games[[#This Row],[Round]]=1),IF(Games[[#This Row],[Result]]&gt;0.5,1,0),0)</f>
        <v>0</v>
      </c>
      <c r="AF242" s="2">
        <f>IF(AND(Games[[#This Row],[Type]]="P",Games[[#This Row],[Round]]=1),IF(Games[[#This Row],[Result]]&lt;0.5,1,0),0)</f>
        <v>0</v>
      </c>
      <c r="AG242" s="2">
        <f>IF(AND(Games[[#This Row],[Type]]="P",Games[[#This Row],[Round]]=2),IF(Games[[#This Row],[Result]]&gt;0.5,1,0),0)</f>
        <v>0</v>
      </c>
      <c r="AH242" s="2">
        <f>IF(AND(Games[[#This Row],[Type]]="P",Games[[#This Row],[Round]]=2),IF(Games[[#This Row],[Result]]&lt;0.5,1,0),0)</f>
        <v>0</v>
      </c>
      <c r="AI242" s="2">
        <f>IF(AND(Games[[#This Row],[Type]]="P",Games[[#This Row],[Round]]=3),IF(Games[[#This Row],[Result]]&gt;0.5,1,0),0)</f>
        <v>0</v>
      </c>
      <c r="AJ242" s="2">
        <f>IF(AND(Games[[#This Row],[Type]]="P",Games[[#This Row],[Round]]=3),IF(Games[[#This Row],[Result]]&lt;0.5,1,0),0)</f>
        <v>0</v>
      </c>
      <c r="AK242" s="2">
        <f>IF(AND(Games[[#This Row],[Type]]="P",Games[[#This Row],[Round]]=4),IF(Games[[#This Row],[Result]]&gt;0.5,1,0),0)</f>
        <v>0</v>
      </c>
      <c r="AL242" s="2">
        <f>IF(AND(Games[[#This Row],[Type]]="P",Games[[#This Row],[Round]]=4),IF(Games[[#This Row],[Result]]&lt;0.5,1,0),0)</f>
        <v>0</v>
      </c>
    </row>
    <row r="243" spans="1:38" x14ac:dyDescent="0.35">
      <c r="A243" s="10">
        <v>37817</v>
      </c>
      <c r="B243" s="2">
        <v>2003</v>
      </c>
      <c r="C243" s="2">
        <f>COUNTIFS(Games[Team],Games[[#This Row],[Team]],Games[Season],Games[[#This Row],[Season]],Games[Date],"&lt;=" &amp; Games[[#This Row],[Date]])</f>
        <v>15</v>
      </c>
      <c r="D243" s="2" t="s">
        <v>23</v>
      </c>
      <c r="E243" s="2" t="s">
        <v>29</v>
      </c>
      <c r="F243" s="1" t="s">
        <v>66</v>
      </c>
      <c r="G243" s="1" t="s">
        <v>74</v>
      </c>
      <c r="H243" s="1" t="s">
        <v>15</v>
      </c>
      <c r="I243" s="2" cm="1">
        <f t="array" ref="I243">IFERROR(
    Games[[#This Row],[Date]]
    - LOOKUP(
        2,
        1/((Games[Team]=Games[[#This Row],[Team]]) * (Games[Date] &lt; Games[[#This Row],[Date]])),
        Games[Date]
    )
    - 1,
Games[[#This Row],[Date]]-$A$2)</f>
        <v>4</v>
      </c>
      <c r="J243" s="2" cm="1">
        <f t="array" ref="J243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243" s="2">
        <f>Games[[#This Row],[DaysOff]]-Games[[#This Row],[OppDaysOff]]</f>
        <v>-1</v>
      </c>
      <c r="L243" s="2">
        <f>Games[[#This Row],[OppDaysOff]]-Games[[#This Row],[DaysOff]]</f>
        <v>1</v>
      </c>
      <c r="M243" s="1">
        <f>MAX(-16, MIN(16, Games[[#This Row],[RestDiff]]*8))</f>
        <v>-8</v>
      </c>
      <c r="N243" s="1">
        <f>MAX(-16, MIN(16, Games[[#This Row],[OppRestDiff]]*8))</f>
        <v>8</v>
      </c>
      <c r="O243" s="4" cm="1">
        <f t="array" ref="O24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1509.0483080019249</v>
      </c>
      <c r="P243" s="4" cm="1">
        <f t="array" ref="P24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1343.9019481187288</v>
      </c>
      <c r="Q243" s="4">
        <f>1/(1+10^(((Games[[#This Row],[OppPreGmRate]]+IF(Games[[#This Row],[HomeAway]]="A",HCA,0)+Games[[#This Row],[OppRestAdj]])-(Games[[#This Row],[PreGmRate]]+IF(Games[[#This Row],[HomeAway]]="H",HCA,0)+Games[[#This Row],[RestAdj]]))/400))</f>
        <v>0.79283479957063019</v>
      </c>
      <c r="R243" s="1">
        <v>64</v>
      </c>
      <c r="S243" s="1">
        <v>77</v>
      </c>
      <c r="T243" s="1">
        <v>0</v>
      </c>
      <c r="U243" s="1">
        <f>Games[[#This Row],[PointsFor]]-Games[[#This Row],[PointsAgainst]]</f>
        <v>-13</v>
      </c>
      <c r="V243" s="1">
        <f>IF(Games[[#This Row],[MOV]]&gt;0,1,IF(Games[[#This Row],[MOV]]=0,0.5,0))</f>
        <v>0</v>
      </c>
      <c r="W243" s="4">
        <f>((ABS(Games[[#This Row],[MOV]])+5)^0.6)/(12+0.01*(ABS(Games[[#This Row],[PreGmRate]]-Games[[#This Row],[OppPreGmRate]])))*IF(Games[[#This Row],[OT]]=1,0.9,1)</f>
        <v>0.41493903029225937</v>
      </c>
      <c r="X243" s="7" cm="1">
        <f t="array" ref="X24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3" s="9">
        <f>MAX(kmin, kmax - 0.15 * MIN(Games[[#This Row],[GamesPlayed]], 82))</f>
        <v>73.75</v>
      </c>
      <c r="Z243" s="4">
        <f>Games[[#This Row],[K]]*Games[[#This Row],[POMult]]</f>
        <v>73.75</v>
      </c>
      <c r="AA243" s="4">
        <f>(Games[[#This Row],[Keff]]*Games[[#This Row],[MOVMult]])*(Games[[#This Row],[Result]]-Games[[#This Row],[ExpectedWin%]])</f>
        <v>-24.262135090039891</v>
      </c>
      <c r="AB243" s="4">
        <f>Games[[#This Row],[PreGmRate]]+Games[[#This Row],[RatingChange]]</f>
        <v>1484.7861729118849</v>
      </c>
      <c r="AC243" s="2">
        <f>IF(Games[[#This Row],[Type]]="R",IF(Games[[#This Row],[Result]]&gt;0.5,1,0),0)</f>
        <v>0</v>
      </c>
      <c r="AD243" s="2">
        <f>IF(Games[[#This Row],[Type]]="R",IF(Games[[#This Row],[Result]]&lt;0.5,1,0),0)</f>
        <v>1</v>
      </c>
      <c r="AE243" s="2">
        <f>IF(AND(Games[[#This Row],[Type]]="P",Games[[#This Row],[Round]]=1),IF(Games[[#This Row],[Result]]&gt;0.5,1,0),0)</f>
        <v>0</v>
      </c>
      <c r="AF243" s="2">
        <f>IF(AND(Games[[#This Row],[Type]]="P",Games[[#This Row],[Round]]=1),IF(Games[[#This Row],[Result]]&lt;0.5,1,0),0)</f>
        <v>0</v>
      </c>
      <c r="AG243" s="2">
        <f>IF(AND(Games[[#This Row],[Type]]="P",Games[[#This Row],[Round]]=2),IF(Games[[#This Row],[Result]]&gt;0.5,1,0),0)</f>
        <v>0</v>
      </c>
      <c r="AH243" s="2">
        <f>IF(AND(Games[[#This Row],[Type]]="P",Games[[#This Row],[Round]]=2),IF(Games[[#This Row],[Result]]&lt;0.5,1,0),0)</f>
        <v>0</v>
      </c>
      <c r="AI243" s="2">
        <f>IF(AND(Games[[#This Row],[Type]]="P",Games[[#This Row],[Round]]=3),IF(Games[[#This Row],[Result]]&gt;0.5,1,0),0)</f>
        <v>0</v>
      </c>
      <c r="AJ243" s="2">
        <f>IF(AND(Games[[#This Row],[Type]]="P",Games[[#This Row],[Round]]=3),IF(Games[[#This Row],[Result]]&lt;0.5,1,0),0)</f>
        <v>0</v>
      </c>
      <c r="AK243" s="2">
        <f>IF(AND(Games[[#This Row],[Type]]="P",Games[[#This Row],[Round]]=4),IF(Games[[#This Row],[Result]]&gt;0.5,1,0),0)</f>
        <v>0</v>
      </c>
      <c r="AL243" s="2">
        <f>IF(AND(Games[[#This Row],[Type]]="P",Games[[#This Row],[Round]]=4),IF(Games[[#This Row],[Result]]&lt;0.5,1,0),0)</f>
        <v>0</v>
      </c>
    </row>
    <row r="244" spans="1:38" x14ac:dyDescent="0.35">
      <c r="A244" s="10">
        <v>37817</v>
      </c>
      <c r="B244" s="2">
        <v>2003</v>
      </c>
      <c r="C244" s="2">
        <f>COUNTIFS(Games[Team],Games[[#This Row],[Team]],Games[Season],Games[[#This Row],[Season]],Games[Date],"&lt;=" &amp; Games[[#This Row],[Date]])</f>
        <v>18</v>
      </c>
      <c r="D244" s="2" t="s">
        <v>23</v>
      </c>
      <c r="E244" s="2" t="s">
        <v>29</v>
      </c>
      <c r="F244" s="1" t="s">
        <v>2</v>
      </c>
      <c r="G244" s="1" t="s">
        <v>82</v>
      </c>
      <c r="H244" s="1" t="s">
        <v>16</v>
      </c>
      <c r="I244" s="2" cm="1">
        <f t="array" ref="I244">IFERROR(
    Games[[#This Row],[Date]]
    - LOOKUP(
        2,
        1/((Games[Team]=Games[[#This Row],[Team]]) * (Games[Date] &lt; Games[[#This Row],[Date]])),
        Games[Date]
    )
    - 1,
Games[[#This Row],[Date]]-$A$2)</f>
        <v>6</v>
      </c>
      <c r="J244" s="2" cm="1">
        <f t="array" ref="J244">IFERROR(
    Games[[#This Row],[Date]]
    - LOOKUP(
        2,
        1/((Games[Opponent]=Games[[#This Row],[Opponent]]) * (Games[Date] &lt; Games[[#This Row],[Date]])),
        Games[Date]
    )
    - 1,
Games[[#This Row],[Date]]-$A$2)</f>
        <v>9</v>
      </c>
      <c r="K244" s="2">
        <f>Games[[#This Row],[DaysOff]]-Games[[#This Row],[OppDaysOff]]</f>
        <v>-3</v>
      </c>
      <c r="L244" s="2">
        <f>Games[[#This Row],[OppDaysOff]]-Games[[#This Row],[DaysOff]]</f>
        <v>3</v>
      </c>
      <c r="M244" s="1">
        <f>MAX(-16, MIN(16, Games[[#This Row],[RestDiff]]*8))</f>
        <v>-16</v>
      </c>
      <c r="N244" s="1">
        <f>MAX(-16, MIN(16, Games[[#This Row],[OppRestDiff]]*8))</f>
        <v>16</v>
      </c>
      <c r="O244" s="4" cm="1">
        <f t="array" ref="O24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1551.9891529107847</v>
      </c>
      <c r="P244" s="4" cm="1">
        <f t="array" ref="P24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1557.6328450272126</v>
      </c>
      <c r="Q244" s="4">
        <f>1/(1+10^(((Games[[#This Row],[OppPreGmRate]]+IF(Games[[#This Row],[HomeAway]]="A",HCA,0)+Games[[#This Row],[OppRestAdj]])-(Games[[#This Row],[PreGmRate]]+IF(Games[[#This Row],[HomeAway]]="H",HCA,0)+Games[[#This Row],[RestAdj]]))/400))</f>
        <v>0.3317595996626147</v>
      </c>
      <c r="R244" s="1">
        <v>55</v>
      </c>
      <c r="S244" s="1">
        <v>69</v>
      </c>
      <c r="T244" s="1">
        <v>0</v>
      </c>
      <c r="U244" s="1">
        <f>Games[[#This Row],[PointsFor]]-Games[[#This Row],[PointsAgainst]]</f>
        <v>-14</v>
      </c>
      <c r="V244" s="1">
        <f>IF(Games[[#This Row],[MOV]]&gt;0,1,IF(Games[[#This Row],[MOV]]=0,0.5,0))</f>
        <v>0</v>
      </c>
      <c r="W244" s="4">
        <f>((ABS(Games[[#This Row],[MOV]])+5)^0.6)/(12+0.01*(ABS(Games[[#This Row],[PreGmRate]]-Games[[#This Row],[OppPreGmRate]])))*IF(Games[[#This Row],[OT]]=1,0.9,1)</f>
        <v>0.48532558007562326</v>
      </c>
      <c r="X244" s="7" cm="1">
        <f t="array" ref="X24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4" s="9">
        <f>MAX(kmin, kmax - 0.15 * MIN(Games[[#This Row],[GamesPlayed]], 82))</f>
        <v>73.3</v>
      </c>
      <c r="Z244" s="4">
        <f>Games[[#This Row],[K]]*Games[[#This Row],[POMult]]</f>
        <v>73.3</v>
      </c>
      <c r="AA244" s="4">
        <f>(Games[[#This Row],[Keff]]*Games[[#This Row],[MOVMult]])*(Games[[#This Row],[Result]]-Games[[#This Row],[ExpectedWin%]])</f>
        <v>-11.802137097135372</v>
      </c>
      <c r="AB244" s="4">
        <f>Games[[#This Row],[PreGmRate]]+Games[[#This Row],[RatingChange]]</f>
        <v>1540.1870158136494</v>
      </c>
      <c r="AC244" s="2">
        <f>IF(Games[[#This Row],[Type]]="R",IF(Games[[#This Row],[Result]]&gt;0.5,1,0),0)</f>
        <v>0</v>
      </c>
      <c r="AD244" s="2">
        <f>IF(Games[[#This Row],[Type]]="R",IF(Games[[#This Row],[Result]]&lt;0.5,1,0),0)</f>
        <v>1</v>
      </c>
      <c r="AE244" s="2">
        <f>IF(AND(Games[[#This Row],[Type]]="P",Games[[#This Row],[Round]]=1),IF(Games[[#This Row],[Result]]&gt;0.5,1,0),0)</f>
        <v>0</v>
      </c>
      <c r="AF244" s="2">
        <f>IF(AND(Games[[#This Row],[Type]]="P",Games[[#This Row],[Round]]=1),IF(Games[[#This Row],[Result]]&lt;0.5,1,0),0)</f>
        <v>0</v>
      </c>
      <c r="AG244" s="2">
        <f>IF(AND(Games[[#This Row],[Type]]="P",Games[[#This Row],[Round]]=2),IF(Games[[#This Row],[Result]]&gt;0.5,1,0),0)</f>
        <v>0</v>
      </c>
      <c r="AH244" s="2">
        <f>IF(AND(Games[[#This Row],[Type]]="P",Games[[#This Row],[Round]]=2),IF(Games[[#This Row],[Result]]&lt;0.5,1,0),0)</f>
        <v>0</v>
      </c>
      <c r="AI244" s="2">
        <f>IF(AND(Games[[#This Row],[Type]]="P",Games[[#This Row],[Round]]=3),IF(Games[[#This Row],[Result]]&gt;0.5,1,0),0)</f>
        <v>0</v>
      </c>
      <c r="AJ244" s="2">
        <f>IF(AND(Games[[#This Row],[Type]]="P",Games[[#This Row],[Round]]=3),IF(Games[[#This Row],[Result]]&lt;0.5,1,0),0)</f>
        <v>0</v>
      </c>
      <c r="AK244" s="2">
        <f>IF(AND(Games[[#This Row],[Type]]="P",Games[[#This Row],[Round]]=4),IF(Games[[#This Row],[Result]]&gt;0.5,1,0),0)</f>
        <v>0</v>
      </c>
      <c r="AL244" s="2">
        <f>IF(AND(Games[[#This Row],[Type]]="P",Games[[#This Row],[Round]]=4),IF(Games[[#This Row],[Result]]&lt;0.5,1,0),0)</f>
        <v>0</v>
      </c>
    </row>
    <row r="245" spans="1:38" x14ac:dyDescent="0.35">
      <c r="A245" s="10">
        <v>37817</v>
      </c>
      <c r="B245" s="2">
        <v>2003</v>
      </c>
      <c r="C245" s="2">
        <f>COUNTIFS(Games[Team],Games[[#This Row],[Team]],Games[Season],Games[[#This Row],[Season]],Games[Date],"&lt;=" &amp; Games[[#This Row],[Date]])</f>
        <v>17</v>
      </c>
      <c r="D245" s="2" t="s">
        <v>23</v>
      </c>
      <c r="E245" s="2" t="s">
        <v>29</v>
      </c>
      <c r="F245" s="1" t="s">
        <v>82</v>
      </c>
      <c r="G245" s="1" t="s">
        <v>2</v>
      </c>
      <c r="H245" s="1" t="s">
        <v>15</v>
      </c>
      <c r="I245" s="2" cm="1">
        <f t="array" ref="I245">IFERROR(
    Games[[#This Row],[Date]]
    - LOOKUP(
        2,
        1/((Games[Team]=Games[[#This Row],[Team]]) * (Games[Date] &lt; Games[[#This Row],[Date]])),
        Games[Date]
    )
    - 1,
Games[[#This Row],[Date]]-$A$2)</f>
        <v>9</v>
      </c>
      <c r="J245" s="2" cm="1">
        <f t="array" ref="J245">IFERROR(
    Games[[#This Row],[Date]]
    - LOOKUP(
        2,
        1/((Games[Opponent]=Games[[#This Row],[Opponent]]) * (Games[Date] &lt; Games[[#This Row],[Date]])),
        Games[Date]
    )
    - 1,
Games[[#This Row],[Date]]-$A$2)</f>
        <v>6</v>
      </c>
      <c r="K245" s="2">
        <f>Games[[#This Row],[DaysOff]]-Games[[#This Row],[OppDaysOff]]</f>
        <v>3</v>
      </c>
      <c r="L245" s="2">
        <f>Games[[#This Row],[OppDaysOff]]-Games[[#This Row],[DaysOff]]</f>
        <v>-3</v>
      </c>
      <c r="M245" s="1">
        <f>MAX(-16, MIN(16, Games[[#This Row],[RestDiff]]*8))</f>
        <v>16</v>
      </c>
      <c r="N245" s="1">
        <f>MAX(-16, MIN(16, Games[[#This Row],[OppRestDiff]]*8))</f>
        <v>-16</v>
      </c>
      <c r="O245" s="4" cm="1">
        <f t="array" ref="O24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1557.6328450272126</v>
      </c>
      <c r="P245" s="4" cm="1">
        <f t="array" ref="P24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1551.9891529107847</v>
      </c>
      <c r="Q245" s="4">
        <f>1/(1+10^(((Games[[#This Row],[OppPreGmRate]]+IF(Games[[#This Row],[HomeAway]]="A",HCA,0)+Games[[#This Row],[OppRestAdj]])-(Games[[#This Row],[PreGmRate]]+IF(Games[[#This Row],[HomeAway]]="H",HCA,0)+Games[[#This Row],[RestAdj]]))/400))</f>
        <v>0.6682404003373853</v>
      </c>
      <c r="R245" s="1">
        <v>69</v>
      </c>
      <c r="S245" s="1">
        <v>55</v>
      </c>
      <c r="T245" s="1">
        <v>0</v>
      </c>
      <c r="U245" s="1">
        <f>Games[[#This Row],[PointsFor]]-Games[[#This Row],[PointsAgainst]]</f>
        <v>14</v>
      </c>
      <c r="V245" s="1">
        <f>IF(Games[[#This Row],[MOV]]&gt;0,1,IF(Games[[#This Row],[MOV]]=0,0.5,0))</f>
        <v>1</v>
      </c>
      <c r="W245" s="4">
        <f>((ABS(Games[[#This Row],[MOV]])+5)^0.6)/(12+0.01*(ABS(Games[[#This Row],[PreGmRate]]-Games[[#This Row],[OppPreGmRate]])))*IF(Games[[#This Row],[OT]]=1,0.9,1)</f>
        <v>0.48532558007562326</v>
      </c>
      <c r="X245" s="7" cm="1">
        <f t="array" ref="X24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5" s="9">
        <f>MAX(kmin, kmax - 0.15 * MIN(Games[[#This Row],[GamesPlayed]], 82))</f>
        <v>73.45</v>
      </c>
      <c r="Z245" s="4">
        <f>Games[[#This Row],[K]]*Games[[#This Row],[POMult]]</f>
        <v>73.45</v>
      </c>
      <c r="AA245" s="4">
        <f>(Games[[#This Row],[Keff]]*Games[[#This Row],[MOVMult]])*(Games[[#This Row],[Result]]-Games[[#This Row],[ExpectedWin%]])</f>
        <v>11.826288810158159</v>
      </c>
      <c r="AB245" s="4">
        <f>Games[[#This Row],[PreGmRate]]+Games[[#This Row],[RatingChange]]</f>
        <v>1569.4591338373707</v>
      </c>
      <c r="AC245" s="2">
        <f>IF(Games[[#This Row],[Type]]="R",IF(Games[[#This Row],[Result]]&gt;0.5,1,0),0)</f>
        <v>1</v>
      </c>
      <c r="AD245" s="2">
        <f>IF(Games[[#This Row],[Type]]="R",IF(Games[[#This Row],[Result]]&lt;0.5,1,0),0)</f>
        <v>0</v>
      </c>
      <c r="AE245" s="2">
        <f>IF(AND(Games[[#This Row],[Type]]="P",Games[[#This Row],[Round]]=1),IF(Games[[#This Row],[Result]]&gt;0.5,1,0),0)</f>
        <v>0</v>
      </c>
      <c r="AF245" s="2">
        <f>IF(AND(Games[[#This Row],[Type]]="P",Games[[#This Row],[Round]]=1),IF(Games[[#This Row],[Result]]&lt;0.5,1,0),0)</f>
        <v>0</v>
      </c>
      <c r="AG245" s="2">
        <f>IF(AND(Games[[#This Row],[Type]]="P",Games[[#This Row],[Round]]=2),IF(Games[[#This Row],[Result]]&gt;0.5,1,0),0)</f>
        <v>0</v>
      </c>
      <c r="AH245" s="2">
        <f>IF(AND(Games[[#This Row],[Type]]="P",Games[[#This Row],[Round]]=2),IF(Games[[#This Row],[Result]]&lt;0.5,1,0),0)</f>
        <v>0</v>
      </c>
      <c r="AI245" s="2">
        <f>IF(AND(Games[[#This Row],[Type]]="P",Games[[#This Row],[Round]]=3),IF(Games[[#This Row],[Result]]&gt;0.5,1,0),0)</f>
        <v>0</v>
      </c>
      <c r="AJ245" s="2">
        <f>IF(AND(Games[[#This Row],[Type]]="P",Games[[#This Row],[Round]]=3),IF(Games[[#This Row],[Result]]&lt;0.5,1,0),0)</f>
        <v>0</v>
      </c>
      <c r="AK245" s="2">
        <f>IF(AND(Games[[#This Row],[Type]]="P",Games[[#This Row],[Round]]=4),IF(Games[[#This Row],[Result]]&gt;0.5,1,0),0)</f>
        <v>0</v>
      </c>
      <c r="AL245" s="2">
        <f>IF(AND(Games[[#This Row],[Type]]="P",Games[[#This Row],[Round]]=4),IF(Games[[#This Row],[Result]]&lt;0.5,1,0),0)</f>
        <v>0</v>
      </c>
    </row>
    <row r="246" spans="1:38" x14ac:dyDescent="0.35">
      <c r="A246" s="10">
        <v>37818</v>
      </c>
      <c r="B246" s="2">
        <v>2003</v>
      </c>
      <c r="C246" s="2">
        <f>COUNTIFS(Games[Team],Games[[#This Row],[Team]],Games[Season],Games[[#This Row],[Season]],Games[Date],"&lt;=" &amp; Games[[#This Row],[Date]])</f>
        <v>16</v>
      </c>
      <c r="D246" s="2" t="s">
        <v>23</v>
      </c>
      <c r="E246" s="2" t="s">
        <v>29</v>
      </c>
      <c r="F246" s="1" t="s">
        <v>76</v>
      </c>
      <c r="G246" s="1" t="s">
        <v>80</v>
      </c>
      <c r="H246" s="1" t="s">
        <v>16</v>
      </c>
      <c r="I246" s="2" cm="1">
        <f t="array" ref="I246">IFERROR(
    Games[[#This Row],[Date]]
    - LOOKUP(
        2,
        1/((Games[Team]=Games[[#This Row],[Team]]) * (Games[Date] &lt; Games[[#This Row],[Date]])),
        Games[Date]
    )
    - 1,
Games[[#This Row],[Date]]-$A$2)</f>
        <v>5</v>
      </c>
      <c r="J246" s="2" cm="1">
        <f t="array" ref="J246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246" s="2">
        <f>Games[[#This Row],[DaysOff]]-Games[[#This Row],[OppDaysOff]]</f>
        <v>0</v>
      </c>
      <c r="L246" s="2">
        <f>Games[[#This Row],[OppDaysOff]]-Games[[#This Row],[DaysOff]]</f>
        <v>0</v>
      </c>
      <c r="M246" s="1">
        <f>MAX(-16, MIN(16, Games[[#This Row],[RestDiff]]*8))</f>
        <v>0</v>
      </c>
      <c r="N246" s="1">
        <f>MAX(-16, MIN(16, Games[[#This Row],[OppRestDiff]]*8))</f>
        <v>0</v>
      </c>
      <c r="O246" s="4" cm="1">
        <f t="array" ref="O24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1524.7561156118375</v>
      </c>
      <c r="P246" s="4" cm="1">
        <f t="array" ref="P24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1546.379606167563</v>
      </c>
      <c r="Q246" s="4">
        <f>1/(1+10^(((Games[[#This Row],[OppPreGmRate]]+IF(Games[[#This Row],[HomeAway]]="A",HCA,0)+Games[[#This Row],[OppRestAdj]])-(Games[[#This Row],[PreGmRate]]+IF(Games[[#This Row],[HomeAway]]="H",HCA,0)+Games[[#This Row],[RestAdj]]))/400))</f>
        <v>0.35251152280315423</v>
      </c>
      <c r="R246" s="1">
        <v>70</v>
      </c>
      <c r="S246" s="1">
        <v>68</v>
      </c>
      <c r="T246" s="1">
        <v>0</v>
      </c>
      <c r="U246" s="1">
        <f>Games[[#This Row],[PointsFor]]-Games[[#This Row],[PointsAgainst]]</f>
        <v>2</v>
      </c>
      <c r="V246" s="1">
        <f>IF(Games[[#This Row],[MOV]]&gt;0,1,IF(Games[[#This Row],[MOV]]=0,0.5,0))</f>
        <v>1</v>
      </c>
      <c r="W246" s="4">
        <f>((ABS(Games[[#This Row],[MOV]])+5)^0.6)/(12+0.01*(ABS(Games[[#This Row],[PreGmRate]]-Games[[#This Row],[OppPreGmRate]])))*IF(Games[[#This Row],[OT]]=1,0.9,1)</f>
        <v>0.2631003639471538</v>
      </c>
      <c r="X246" s="7" cm="1">
        <f t="array" ref="X24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6" s="9">
        <f>MAX(kmin, kmax - 0.15 * MIN(Games[[#This Row],[GamesPlayed]], 82))</f>
        <v>73.599999999999994</v>
      </c>
      <c r="Z246" s="4">
        <f>Games[[#This Row],[K]]*Games[[#This Row],[POMult]]</f>
        <v>73.599999999999994</v>
      </c>
      <c r="AA246" s="4">
        <f>(Games[[#This Row],[Keff]]*Games[[#This Row],[MOVMult]])*(Games[[#This Row],[Result]]-Games[[#This Row],[ExpectedWin%]])</f>
        <v>12.538087814552979</v>
      </c>
      <c r="AB246" s="4">
        <f>Games[[#This Row],[PreGmRate]]+Games[[#This Row],[RatingChange]]</f>
        <v>1537.2942034263904</v>
      </c>
      <c r="AC246" s="2">
        <f>IF(Games[[#This Row],[Type]]="R",IF(Games[[#This Row],[Result]]&gt;0.5,1,0),0)</f>
        <v>1</v>
      </c>
      <c r="AD246" s="2">
        <f>IF(Games[[#This Row],[Type]]="R",IF(Games[[#This Row],[Result]]&lt;0.5,1,0),0)</f>
        <v>0</v>
      </c>
      <c r="AE246" s="2">
        <f>IF(AND(Games[[#This Row],[Type]]="P",Games[[#This Row],[Round]]=1),IF(Games[[#This Row],[Result]]&gt;0.5,1,0),0)</f>
        <v>0</v>
      </c>
      <c r="AF246" s="2">
        <f>IF(AND(Games[[#This Row],[Type]]="P",Games[[#This Row],[Round]]=1),IF(Games[[#This Row],[Result]]&lt;0.5,1,0),0)</f>
        <v>0</v>
      </c>
      <c r="AG246" s="2">
        <f>IF(AND(Games[[#This Row],[Type]]="P",Games[[#This Row],[Round]]=2),IF(Games[[#This Row],[Result]]&gt;0.5,1,0),0)</f>
        <v>0</v>
      </c>
      <c r="AH246" s="2">
        <f>IF(AND(Games[[#This Row],[Type]]="P",Games[[#This Row],[Round]]=2),IF(Games[[#This Row],[Result]]&lt;0.5,1,0),0)</f>
        <v>0</v>
      </c>
      <c r="AI246" s="2">
        <f>IF(AND(Games[[#This Row],[Type]]="P",Games[[#This Row],[Round]]=3),IF(Games[[#This Row],[Result]]&gt;0.5,1,0),0)</f>
        <v>0</v>
      </c>
      <c r="AJ246" s="2">
        <f>IF(AND(Games[[#This Row],[Type]]="P",Games[[#This Row],[Round]]=3),IF(Games[[#This Row],[Result]]&lt;0.5,1,0),0)</f>
        <v>0</v>
      </c>
      <c r="AK246" s="2">
        <f>IF(AND(Games[[#This Row],[Type]]="P",Games[[#This Row],[Round]]=4),IF(Games[[#This Row],[Result]]&gt;0.5,1,0),0)</f>
        <v>0</v>
      </c>
      <c r="AL246" s="2">
        <f>IF(AND(Games[[#This Row],[Type]]="P",Games[[#This Row],[Round]]=4),IF(Games[[#This Row],[Result]]&lt;0.5,1,0),0)</f>
        <v>0</v>
      </c>
    </row>
    <row r="247" spans="1:38" x14ac:dyDescent="0.35">
      <c r="A247" s="10">
        <v>37818</v>
      </c>
      <c r="B247" s="2">
        <v>2003</v>
      </c>
      <c r="C247" s="2">
        <f>COUNTIFS(Games[Team],Games[[#This Row],[Team]],Games[Season],Games[[#This Row],[Season]],Games[Date],"&lt;=" &amp; Games[[#This Row],[Date]])</f>
        <v>18</v>
      </c>
      <c r="D247" s="2" t="s">
        <v>23</v>
      </c>
      <c r="E247" s="2" t="s">
        <v>29</v>
      </c>
      <c r="F247" s="1" t="s">
        <v>80</v>
      </c>
      <c r="G247" s="1" t="s">
        <v>76</v>
      </c>
      <c r="H247" s="1" t="s">
        <v>15</v>
      </c>
      <c r="I247" s="2" cm="1">
        <f t="array" ref="I247">IFERROR(
    Games[[#This Row],[Date]]
    - LOOKUP(
        2,
        1/((Games[Team]=Games[[#This Row],[Team]]) * (Games[Date] &lt; Games[[#This Row],[Date]])),
        Games[Date]
    )
    - 1,
Games[[#This Row],[Date]]-$A$2)</f>
        <v>5</v>
      </c>
      <c r="J247" s="2" cm="1">
        <f t="array" ref="J247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247" s="2">
        <f>Games[[#This Row],[DaysOff]]-Games[[#This Row],[OppDaysOff]]</f>
        <v>0</v>
      </c>
      <c r="L247" s="2">
        <f>Games[[#This Row],[OppDaysOff]]-Games[[#This Row],[DaysOff]]</f>
        <v>0</v>
      </c>
      <c r="M247" s="1">
        <f>MAX(-16, MIN(16, Games[[#This Row],[RestDiff]]*8))</f>
        <v>0</v>
      </c>
      <c r="N247" s="1">
        <f>MAX(-16, MIN(16, Games[[#This Row],[OppRestDiff]]*8))</f>
        <v>0</v>
      </c>
      <c r="O247" s="4" cm="1">
        <f t="array" ref="O24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1546.379606167563</v>
      </c>
      <c r="P247" s="4" cm="1">
        <f t="array" ref="P24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1524.7561156118375</v>
      </c>
      <c r="Q247" s="4">
        <f>1/(1+10^(((Games[[#This Row],[OppPreGmRate]]+IF(Games[[#This Row],[HomeAway]]="A",HCA,0)+Games[[#This Row],[OppRestAdj]])-(Games[[#This Row],[PreGmRate]]+IF(Games[[#This Row],[HomeAway]]="H",HCA,0)+Games[[#This Row],[RestAdj]]))/400))</f>
        <v>0.64748847719684588</v>
      </c>
      <c r="R247" s="1">
        <v>68</v>
      </c>
      <c r="S247" s="1">
        <v>70</v>
      </c>
      <c r="T247" s="1">
        <v>0</v>
      </c>
      <c r="U247" s="1">
        <f>Games[[#This Row],[PointsFor]]-Games[[#This Row],[PointsAgainst]]</f>
        <v>-2</v>
      </c>
      <c r="V247" s="1">
        <f>IF(Games[[#This Row],[MOV]]&gt;0,1,IF(Games[[#This Row],[MOV]]=0,0.5,0))</f>
        <v>0</v>
      </c>
      <c r="W247" s="4">
        <f>((ABS(Games[[#This Row],[MOV]])+5)^0.6)/(12+0.01*(ABS(Games[[#This Row],[PreGmRate]]-Games[[#This Row],[OppPreGmRate]])))*IF(Games[[#This Row],[OT]]=1,0.9,1)</f>
        <v>0.2631003639471538</v>
      </c>
      <c r="X247" s="7" cm="1">
        <f t="array" ref="X24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7" s="9">
        <f>MAX(kmin, kmax - 0.15 * MIN(Games[[#This Row],[GamesPlayed]], 82))</f>
        <v>73.3</v>
      </c>
      <c r="Z247" s="4">
        <f>Games[[#This Row],[K]]*Games[[#This Row],[POMult]]</f>
        <v>73.3</v>
      </c>
      <c r="AA247" s="4">
        <f>(Games[[#This Row],[Keff]]*Games[[#This Row],[MOVMult]])*(Games[[#This Row],[Result]]-Games[[#This Row],[ExpectedWin%]])</f>
        <v>-12.486981478352357</v>
      </c>
      <c r="AB247" s="4">
        <f>Games[[#This Row],[PreGmRate]]+Games[[#This Row],[RatingChange]]</f>
        <v>1533.8926246892106</v>
      </c>
      <c r="AC247" s="2">
        <f>IF(Games[[#This Row],[Type]]="R",IF(Games[[#This Row],[Result]]&gt;0.5,1,0),0)</f>
        <v>0</v>
      </c>
      <c r="AD247" s="2">
        <f>IF(Games[[#This Row],[Type]]="R",IF(Games[[#This Row],[Result]]&lt;0.5,1,0),0)</f>
        <v>1</v>
      </c>
      <c r="AE247" s="2">
        <f>IF(AND(Games[[#This Row],[Type]]="P",Games[[#This Row],[Round]]=1),IF(Games[[#This Row],[Result]]&gt;0.5,1,0),0)</f>
        <v>0</v>
      </c>
      <c r="AF247" s="2">
        <f>IF(AND(Games[[#This Row],[Type]]="P",Games[[#This Row],[Round]]=1),IF(Games[[#This Row],[Result]]&lt;0.5,1,0),0)</f>
        <v>0</v>
      </c>
      <c r="AG247" s="2">
        <f>IF(AND(Games[[#This Row],[Type]]="P",Games[[#This Row],[Round]]=2),IF(Games[[#This Row],[Result]]&gt;0.5,1,0),0)</f>
        <v>0</v>
      </c>
      <c r="AH247" s="2">
        <f>IF(AND(Games[[#This Row],[Type]]="P",Games[[#This Row],[Round]]=2),IF(Games[[#This Row],[Result]]&lt;0.5,1,0),0)</f>
        <v>0</v>
      </c>
      <c r="AI247" s="2">
        <f>IF(AND(Games[[#This Row],[Type]]="P",Games[[#This Row],[Round]]=3),IF(Games[[#This Row],[Result]]&gt;0.5,1,0),0)</f>
        <v>0</v>
      </c>
      <c r="AJ247" s="2">
        <f>IF(AND(Games[[#This Row],[Type]]="P",Games[[#This Row],[Round]]=3),IF(Games[[#This Row],[Result]]&lt;0.5,1,0),0)</f>
        <v>0</v>
      </c>
      <c r="AK247" s="2">
        <f>IF(AND(Games[[#This Row],[Type]]="P",Games[[#This Row],[Round]]=4),IF(Games[[#This Row],[Result]]&gt;0.5,1,0),0)</f>
        <v>0</v>
      </c>
      <c r="AL247" s="2">
        <f>IF(AND(Games[[#This Row],[Type]]="P",Games[[#This Row],[Round]]=4),IF(Games[[#This Row],[Result]]&lt;0.5,1,0),0)</f>
        <v>0</v>
      </c>
    </row>
    <row r="248" spans="1:38" x14ac:dyDescent="0.35">
      <c r="A248" s="10">
        <v>37818</v>
      </c>
      <c r="B248" s="2">
        <v>2003</v>
      </c>
      <c r="C248" s="2">
        <f>COUNTIFS(Games[Team],Games[[#This Row],[Team]],Games[Season],Games[[#This Row],[Season]],Games[Date],"&lt;=" &amp; Games[[#This Row],[Date]])</f>
        <v>18</v>
      </c>
      <c r="D248" s="2" t="s">
        <v>23</v>
      </c>
      <c r="E248" s="2" t="s">
        <v>29</v>
      </c>
      <c r="F248" s="1" t="s">
        <v>85</v>
      </c>
      <c r="G248" s="1" t="s">
        <v>78</v>
      </c>
      <c r="H248" s="1" t="s">
        <v>16</v>
      </c>
      <c r="I248" s="2" cm="1">
        <f t="array" ref="I248">IFERROR(
    Games[[#This Row],[Date]]
    - LOOKUP(
        2,
        1/((Games[Team]=Games[[#This Row],[Team]]) * (Games[Date] &lt; Games[[#This Row],[Date]])),
        Games[Date]
    )
    - 1,
Games[[#This Row],[Date]]-$A$2)</f>
        <v>5</v>
      </c>
      <c r="J248" s="2" cm="1">
        <f t="array" ref="J248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248" s="2">
        <f>Games[[#This Row],[DaysOff]]-Games[[#This Row],[OppDaysOff]]</f>
        <v>0</v>
      </c>
      <c r="L248" s="2">
        <f>Games[[#This Row],[OppDaysOff]]-Games[[#This Row],[DaysOff]]</f>
        <v>0</v>
      </c>
      <c r="M248" s="1">
        <f>MAX(-16, MIN(16, Games[[#This Row],[RestDiff]]*8))</f>
        <v>0</v>
      </c>
      <c r="N248" s="1">
        <f>MAX(-16, MIN(16, Games[[#This Row],[OppRestDiff]]*8))</f>
        <v>0</v>
      </c>
      <c r="O248" s="4" cm="1">
        <f t="array" ref="O24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1437.2139833960978</v>
      </c>
      <c r="P248" s="4" cm="1">
        <f t="array" ref="P24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1484.2739542447687</v>
      </c>
      <c r="Q248" s="4">
        <f>1/(1+10^(((Games[[#This Row],[OppPreGmRate]]+IF(Games[[#This Row],[HomeAway]]="A",HCA,0)+Games[[#This Row],[OppRestAdj]])-(Games[[#This Row],[PreGmRate]]+IF(Games[[#This Row],[HomeAway]]="H",HCA,0)+Games[[#This Row],[RestAdj]]))/400))</f>
        <v>0.31985421785538865</v>
      </c>
      <c r="R248" s="1">
        <v>78</v>
      </c>
      <c r="S248" s="1">
        <v>85</v>
      </c>
      <c r="T248" s="1">
        <v>0</v>
      </c>
      <c r="U248" s="1">
        <f>Games[[#This Row],[PointsFor]]-Games[[#This Row],[PointsAgainst]]</f>
        <v>-7</v>
      </c>
      <c r="V248" s="1">
        <f>IF(Games[[#This Row],[MOV]]&gt;0,1,IF(Games[[#This Row],[MOV]]=0,0.5,0))</f>
        <v>0</v>
      </c>
      <c r="W248" s="4">
        <f>((ABS(Games[[#This Row],[MOV]])+5)^0.6)/(12+0.01*(ABS(Games[[#This Row],[PreGmRate]]-Games[[#This Row],[OppPreGmRate]])))*IF(Games[[#This Row],[OT]]=1,0.9,1)</f>
        <v>0.35614053643493815</v>
      </c>
      <c r="X248" s="7" cm="1">
        <f t="array" ref="X24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8" s="9">
        <f>MAX(kmin, kmax - 0.15 * MIN(Games[[#This Row],[GamesPlayed]], 82))</f>
        <v>73.3</v>
      </c>
      <c r="Z248" s="4">
        <f>Games[[#This Row],[K]]*Games[[#This Row],[POMult]]</f>
        <v>73.3</v>
      </c>
      <c r="AA248" s="4">
        <f>(Games[[#This Row],[Keff]]*Games[[#This Row],[MOVMult]])*(Games[[#This Row],[Result]]-Games[[#This Row],[ExpectedWin%]])</f>
        <v>-8.3498267649620832</v>
      </c>
      <c r="AB248" s="4">
        <f>Games[[#This Row],[PreGmRate]]+Games[[#This Row],[RatingChange]]</f>
        <v>1428.8641566311358</v>
      </c>
      <c r="AC248" s="2">
        <f>IF(Games[[#This Row],[Type]]="R",IF(Games[[#This Row],[Result]]&gt;0.5,1,0),0)</f>
        <v>0</v>
      </c>
      <c r="AD248" s="2">
        <f>IF(Games[[#This Row],[Type]]="R",IF(Games[[#This Row],[Result]]&lt;0.5,1,0),0)</f>
        <v>1</v>
      </c>
      <c r="AE248" s="2">
        <f>IF(AND(Games[[#This Row],[Type]]="P",Games[[#This Row],[Round]]=1),IF(Games[[#This Row],[Result]]&gt;0.5,1,0),0)</f>
        <v>0</v>
      </c>
      <c r="AF248" s="2">
        <f>IF(AND(Games[[#This Row],[Type]]="P",Games[[#This Row],[Round]]=1),IF(Games[[#This Row],[Result]]&lt;0.5,1,0),0)</f>
        <v>0</v>
      </c>
      <c r="AG248" s="2">
        <f>IF(AND(Games[[#This Row],[Type]]="P",Games[[#This Row],[Round]]=2),IF(Games[[#This Row],[Result]]&gt;0.5,1,0),0)</f>
        <v>0</v>
      </c>
      <c r="AH248" s="2">
        <f>IF(AND(Games[[#This Row],[Type]]="P",Games[[#This Row],[Round]]=2),IF(Games[[#This Row],[Result]]&lt;0.5,1,0),0)</f>
        <v>0</v>
      </c>
      <c r="AI248" s="2">
        <f>IF(AND(Games[[#This Row],[Type]]="P",Games[[#This Row],[Round]]=3),IF(Games[[#This Row],[Result]]&gt;0.5,1,0),0)</f>
        <v>0</v>
      </c>
      <c r="AJ248" s="2">
        <f>IF(AND(Games[[#This Row],[Type]]="P",Games[[#This Row],[Round]]=3),IF(Games[[#This Row],[Result]]&lt;0.5,1,0),0)</f>
        <v>0</v>
      </c>
      <c r="AK248" s="2">
        <f>IF(AND(Games[[#This Row],[Type]]="P",Games[[#This Row],[Round]]=4),IF(Games[[#This Row],[Result]]&gt;0.5,1,0),0)</f>
        <v>0</v>
      </c>
      <c r="AL248" s="2">
        <f>IF(AND(Games[[#This Row],[Type]]="P",Games[[#This Row],[Round]]=4),IF(Games[[#This Row],[Result]]&lt;0.5,1,0),0)</f>
        <v>0</v>
      </c>
    </row>
    <row r="249" spans="1:38" x14ac:dyDescent="0.35">
      <c r="A249" s="10">
        <v>37818</v>
      </c>
      <c r="B249" s="2">
        <v>2003</v>
      </c>
      <c r="C249" s="2">
        <f>COUNTIFS(Games[Team],Games[[#This Row],[Team]],Games[Season],Games[[#This Row],[Season]],Games[Date],"&lt;=" &amp; Games[[#This Row],[Date]])</f>
        <v>18</v>
      </c>
      <c r="D249" s="2" t="s">
        <v>23</v>
      </c>
      <c r="E249" s="2" t="s">
        <v>29</v>
      </c>
      <c r="F249" s="1" t="s">
        <v>78</v>
      </c>
      <c r="G249" s="1" t="s">
        <v>85</v>
      </c>
      <c r="H249" s="1" t="s">
        <v>15</v>
      </c>
      <c r="I249" s="2" cm="1">
        <f t="array" ref="I249">IFERROR(
    Games[[#This Row],[Date]]
    - LOOKUP(
        2,
        1/((Games[Team]=Games[[#This Row],[Team]]) * (Games[Date] &lt; Games[[#This Row],[Date]])),
        Games[Date]
    )
    - 1,
Games[[#This Row],[Date]]-$A$2)</f>
        <v>5</v>
      </c>
      <c r="J249" s="2" cm="1">
        <f t="array" ref="J249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249" s="2">
        <f>Games[[#This Row],[DaysOff]]-Games[[#This Row],[OppDaysOff]]</f>
        <v>0</v>
      </c>
      <c r="L249" s="2">
        <f>Games[[#This Row],[OppDaysOff]]-Games[[#This Row],[DaysOff]]</f>
        <v>0</v>
      </c>
      <c r="M249" s="1">
        <f>MAX(-16, MIN(16, Games[[#This Row],[RestDiff]]*8))</f>
        <v>0</v>
      </c>
      <c r="N249" s="1">
        <f>MAX(-16, MIN(16, Games[[#This Row],[OppRestDiff]]*8))</f>
        <v>0</v>
      </c>
      <c r="O249" s="4" cm="1">
        <f t="array" ref="O24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1484.2739542447687</v>
      </c>
      <c r="P249" s="4" cm="1">
        <f t="array" ref="P24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1437.2139833960978</v>
      </c>
      <c r="Q249" s="4">
        <f>1/(1+10^(((Games[[#This Row],[OppPreGmRate]]+IF(Games[[#This Row],[HomeAway]]="A",HCA,0)+Games[[#This Row],[OppRestAdj]])-(Games[[#This Row],[PreGmRate]]+IF(Games[[#This Row],[HomeAway]]="H",HCA,0)+Games[[#This Row],[RestAdj]]))/400))</f>
        <v>0.6801457821446113</v>
      </c>
      <c r="R249" s="1">
        <v>85</v>
      </c>
      <c r="S249" s="1">
        <v>78</v>
      </c>
      <c r="T249" s="1">
        <v>0</v>
      </c>
      <c r="U249" s="1">
        <f>Games[[#This Row],[PointsFor]]-Games[[#This Row],[PointsAgainst]]</f>
        <v>7</v>
      </c>
      <c r="V249" s="1">
        <f>IF(Games[[#This Row],[MOV]]&gt;0,1,IF(Games[[#This Row],[MOV]]=0,0.5,0))</f>
        <v>1</v>
      </c>
      <c r="W249" s="4">
        <f>((ABS(Games[[#This Row],[MOV]])+5)^0.6)/(12+0.01*(ABS(Games[[#This Row],[PreGmRate]]-Games[[#This Row],[OppPreGmRate]])))*IF(Games[[#This Row],[OT]]=1,0.9,1)</f>
        <v>0.35614053643493815</v>
      </c>
      <c r="X249" s="7" cm="1">
        <f t="array" ref="X24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9" s="9">
        <f>MAX(kmin, kmax - 0.15 * MIN(Games[[#This Row],[GamesPlayed]], 82))</f>
        <v>73.3</v>
      </c>
      <c r="Z249" s="4">
        <f>Games[[#This Row],[K]]*Games[[#This Row],[POMult]]</f>
        <v>73.3</v>
      </c>
      <c r="AA249" s="4">
        <f>(Games[[#This Row],[Keff]]*Games[[#This Row],[MOVMult]])*(Games[[#This Row],[Result]]-Games[[#This Row],[ExpectedWin%]])</f>
        <v>8.349826764962085</v>
      </c>
      <c r="AB249" s="4">
        <f>Games[[#This Row],[PreGmRate]]+Games[[#This Row],[RatingChange]]</f>
        <v>1492.6237810097307</v>
      </c>
      <c r="AC249" s="2">
        <f>IF(Games[[#This Row],[Type]]="R",IF(Games[[#This Row],[Result]]&gt;0.5,1,0),0)</f>
        <v>1</v>
      </c>
      <c r="AD249" s="2">
        <f>IF(Games[[#This Row],[Type]]="R",IF(Games[[#This Row],[Result]]&lt;0.5,1,0),0)</f>
        <v>0</v>
      </c>
      <c r="AE249" s="2">
        <f>IF(AND(Games[[#This Row],[Type]]="P",Games[[#This Row],[Round]]=1),IF(Games[[#This Row],[Result]]&gt;0.5,1,0),0)</f>
        <v>0</v>
      </c>
      <c r="AF249" s="2">
        <f>IF(AND(Games[[#This Row],[Type]]="P",Games[[#This Row],[Round]]=1),IF(Games[[#This Row],[Result]]&lt;0.5,1,0),0)</f>
        <v>0</v>
      </c>
      <c r="AG249" s="2">
        <f>IF(AND(Games[[#This Row],[Type]]="P",Games[[#This Row],[Round]]=2),IF(Games[[#This Row],[Result]]&gt;0.5,1,0),0)</f>
        <v>0</v>
      </c>
      <c r="AH249" s="2">
        <f>IF(AND(Games[[#This Row],[Type]]="P",Games[[#This Row],[Round]]=2),IF(Games[[#This Row],[Result]]&lt;0.5,1,0),0)</f>
        <v>0</v>
      </c>
      <c r="AI249" s="2">
        <f>IF(AND(Games[[#This Row],[Type]]="P",Games[[#This Row],[Round]]=3),IF(Games[[#This Row],[Result]]&gt;0.5,1,0),0)</f>
        <v>0</v>
      </c>
      <c r="AJ249" s="2">
        <f>IF(AND(Games[[#This Row],[Type]]="P",Games[[#This Row],[Round]]=3),IF(Games[[#This Row],[Result]]&lt;0.5,1,0),0)</f>
        <v>0</v>
      </c>
      <c r="AK249" s="2">
        <f>IF(AND(Games[[#This Row],[Type]]="P",Games[[#This Row],[Round]]=4),IF(Games[[#This Row],[Result]]&gt;0.5,1,0),0)</f>
        <v>0</v>
      </c>
      <c r="AL249" s="2">
        <f>IF(AND(Games[[#This Row],[Type]]="P",Games[[#This Row],[Round]]=4),IF(Games[[#This Row],[Result]]&lt;0.5,1,0),0)</f>
        <v>0</v>
      </c>
    </row>
    <row r="250" spans="1:38" x14ac:dyDescent="0.35">
      <c r="A250" s="10">
        <v>37819</v>
      </c>
      <c r="B250" s="2">
        <v>2003</v>
      </c>
      <c r="C250" s="2">
        <f>COUNTIFS(Games[Team],Games[[#This Row],[Team]],Games[Season],Games[[#This Row],[Season]],Games[Date],"&lt;=" &amp; Games[[#This Row],[Date]])</f>
        <v>19</v>
      </c>
      <c r="D250" s="2" t="s">
        <v>23</v>
      </c>
      <c r="E250" s="2" t="s">
        <v>29</v>
      </c>
      <c r="F250" s="1" t="s">
        <v>78</v>
      </c>
      <c r="G250" s="1" t="s">
        <v>1</v>
      </c>
      <c r="H250" s="1" t="s">
        <v>16</v>
      </c>
      <c r="I250" s="2" cm="1">
        <f t="array" ref="I250">IFERROR(
    Games[[#This Row],[Date]]
    - LOOKUP(
        2,
        1/((Games[Team]=Games[[#This Row],[Team]]) * (Games[Date] &lt; Games[[#This Row],[Date]])),
        Games[Date]
    )
    - 1,
Games[[#This Row],[Date]]-$A$2)</f>
        <v>0</v>
      </c>
      <c r="J250" s="2" cm="1">
        <f t="array" ref="J25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50" s="2">
        <f>Games[[#This Row],[DaysOff]]-Games[[#This Row],[OppDaysOff]]</f>
        <v>-1</v>
      </c>
      <c r="L250" s="2">
        <f>Games[[#This Row],[OppDaysOff]]-Games[[#This Row],[DaysOff]]</f>
        <v>1</v>
      </c>
      <c r="M250" s="1">
        <f>MAX(-16, MIN(16, Games[[#This Row],[RestDiff]]*8))</f>
        <v>-8</v>
      </c>
      <c r="N250" s="1">
        <f>MAX(-16, MIN(16, Games[[#This Row],[OppRestDiff]]*8))</f>
        <v>8</v>
      </c>
      <c r="O250" s="4" cm="1">
        <f t="array" ref="O25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1492.6237810097307</v>
      </c>
      <c r="P250" s="4" cm="1">
        <f t="array" ref="P25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1473.2337222097651</v>
      </c>
      <c r="Q250" s="4">
        <f>1/(1+10^(((Games[[#This Row],[OppPreGmRate]]+IF(Games[[#This Row],[HomeAway]]="A",HCA,0)+Games[[#This Row],[OppRestAdj]])-(Games[[#This Row],[PreGmRate]]+IF(Games[[#This Row],[HomeAway]]="H",HCA,0)+Games[[#This Row],[RestAdj]]))/400))</f>
        <v>0.38603067737263946</v>
      </c>
      <c r="R250" s="1">
        <v>61</v>
      </c>
      <c r="S250" s="1">
        <v>70</v>
      </c>
      <c r="T250" s="1">
        <v>0</v>
      </c>
      <c r="U250" s="1">
        <f>Games[[#This Row],[PointsFor]]-Games[[#This Row],[PointsAgainst]]</f>
        <v>-9</v>
      </c>
      <c r="V250" s="1">
        <f>IF(Games[[#This Row],[MOV]]&gt;0,1,IF(Games[[#This Row],[MOV]]=0,0.5,0))</f>
        <v>0</v>
      </c>
      <c r="W250" s="4">
        <f>((ABS(Games[[#This Row],[MOV]])+5)^0.6)/(12+0.01*(ABS(Games[[#This Row],[PreGmRate]]-Games[[#This Row],[OppPreGmRate]])))*IF(Games[[#This Row],[OT]]=1,0.9,1)</f>
        <v>0.39951599495252926</v>
      </c>
      <c r="X250" s="7" cm="1">
        <f t="array" ref="X25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0" s="9">
        <f>MAX(kmin, kmax - 0.15 * MIN(Games[[#This Row],[GamesPlayed]], 82))</f>
        <v>73.150000000000006</v>
      </c>
      <c r="Z250" s="4">
        <f>Games[[#This Row],[K]]*Games[[#This Row],[POMult]]</f>
        <v>73.150000000000006</v>
      </c>
      <c r="AA250" s="4">
        <f>(Games[[#This Row],[Keff]]*Games[[#This Row],[MOVMult]])*(Games[[#This Row],[Result]]-Games[[#This Row],[ExpectedWin%]])</f>
        <v>-11.281590215672118</v>
      </c>
      <c r="AB250" s="4">
        <f>Games[[#This Row],[PreGmRate]]+Games[[#This Row],[RatingChange]]</f>
        <v>1481.3421907940585</v>
      </c>
      <c r="AC250" s="2">
        <f>IF(Games[[#This Row],[Type]]="R",IF(Games[[#This Row],[Result]]&gt;0.5,1,0),0)</f>
        <v>0</v>
      </c>
      <c r="AD250" s="2">
        <f>IF(Games[[#This Row],[Type]]="R",IF(Games[[#This Row],[Result]]&lt;0.5,1,0),0)</f>
        <v>1</v>
      </c>
      <c r="AE250" s="2">
        <f>IF(AND(Games[[#This Row],[Type]]="P",Games[[#This Row],[Round]]=1),IF(Games[[#This Row],[Result]]&gt;0.5,1,0),0)</f>
        <v>0</v>
      </c>
      <c r="AF250" s="2">
        <f>IF(AND(Games[[#This Row],[Type]]="P",Games[[#This Row],[Round]]=1),IF(Games[[#This Row],[Result]]&lt;0.5,1,0),0)</f>
        <v>0</v>
      </c>
      <c r="AG250" s="2">
        <f>IF(AND(Games[[#This Row],[Type]]="P",Games[[#This Row],[Round]]=2),IF(Games[[#This Row],[Result]]&gt;0.5,1,0),0)</f>
        <v>0</v>
      </c>
      <c r="AH250" s="2">
        <f>IF(AND(Games[[#This Row],[Type]]="P",Games[[#This Row],[Round]]=2),IF(Games[[#This Row],[Result]]&lt;0.5,1,0),0)</f>
        <v>0</v>
      </c>
      <c r="AI250" s="2">
        <f>IF(AND(Games[[#This Row],[Type]]="P",Games[[#This Row],[Round]]=3),IF(Games[[#This Row],[Result]]&gt;0.5,1,0),0)</f>
        <v>0</v>
      </c>
      <c r="AJ250" s="2">
        <f>IF(AND(Games[[#This Row],[Type]]="P",Games[[#This Row],[Round]]=3),IF(Games[[#This Row],[Result]]&lt;0.5,1,0),0)</f>
        <v>0</v>
      </c>
      <c r="AK250" s="2">
        <f>IF(AND(Games[[#This Row],[Type]]="P",Games[[#This Row],[Round]]=4),IF(Games[[#This Row],[Result]]&gt;0.5,1,0),0)</f>
        <v>0</v>
      </c>
      <c r="AL250" s="2">
        <f>IF(AND(Games[[#This Row],[Type]]="P",Games[[#This Row],[Round]]=4),IF(Games[[#This Row],[Result]]&lt;0.5,1,0),0)</f>
        <v>0</v>
      </c>
    </row>
    <row r="251" spans="1:38" x14ac:dyDescent="0.35">
      <c r="A251" s="10">
        <v>37819</v>
      </c>
      <c r="B251" s="2">
        <v>2003</v>
      </c>
      <c r="C251" s="2">
        <f>COUNTIFS(Games[Team],Games[[#This Row],[Team]],Games[Season],Games[[#This Row],[Season]],Games[Date],"&lt;=" &amp; Games[[#This Row],[Date]])</f>
        <v>18</v>
      </c>
      <c r="D251" s="2" t="s">
        <v>23</v>
      </c>
      <c r="E251" s="2" t="s">
        <v>29</v>
      </c>
      <c r="F251" s="1" t="s">
        <v>1</v>
      </c>
      <c r="G251" s="1" t="s">
        <v>78</v>
      </c>
      <c r="H251" s="1" t="s">
        <v>15</v>
      </c>
      <c r="I251" s="2" cm="1">
        <f t="array" ref="I251">IFERROR(
    Games[[#This Row],[Date]]
    - LOOKUP(
        2,
        1/((Games[Team]=Games[[#This Row],[Team]]) * (Games[Date] &lt; Games[[#This Row],[Date]])),
        Games[Date]
    )
    - 1,
Games[[#This Row],[Date]]-$A$2)</f>
        <v>1</v>
      </c>
      <c r="J251" s="2" cm="1">
        <f t="array" ref="J251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51" s="2">
        <f>Games[[#This Row],[DaysOff]]-Games[[#This Row],[OppDaysOff]]</f>
        <v>1</v>
      </c>
      <c r="L251" s="2">
        <f>Games[[#This Row],[OppDaysOff]]-Games[[#This Row],[DaysOff]]</f>
        <v>-1</v>
      </c>
      <c r="M251" s="1">
        <f>MAX(-16, MIN(16, Games[[#This Row],[RestDiff]]*8))</f>
        <v>8</v>
      </c>
      <c r="N251" s="1">
        <f>MAX(-16, MIN(16, Games[[#This Row],[OppRestDiff]]*8))</f>
        <v>-8</v>
      </c>
      <c r="O251" s="4" cm="1">
        <f t="array" ref="O25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1473.2337222097651</v>
      </c>
      <c r="P251" s="4" cm="1">
        <f t="array" ref="P25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1492.6237810097307</v>
      </c>
      <c r="Q251" s="4">
        <f>1/(1+10^(((Games[[#This Row],[OppPreGmRate]]+IF(Games[[#This Row],[HomeAway]]="A",HCA,0)+Games[[#This Row],[OppRestAdj]])-(Games[[#This Row],[PreGmRate]]+IF(Games[[#This Row],[HomeAway]]="H",HCA,0)+Games[[#This Row],[RestAdj]]))/400))</f>
        <v>0.61396932262736059</v>
      </c>
      <c r="R251" s="1">
        <v>70</v>
      </c>
      <c r="S251" s="1">
        <v>61</v>
      </c>
      <c r="T251" s="1">
        <v>0</v>
      </c>
      <c r="U251" s="1">
        <f>Games[[#This Row],[PointsFor]]-Games[[#This Row],[PointsAgainst]]</f>
        <v>9</v>
      </c>
      <c r="V251" s="1">
        <f>IF(Games[[#This Row],[MOV]]&gt;0,1,IF(Games[[#This Row],[MOV]]=0,0.5,0))</f>
        <v>1</v>
      </c>
      <c r="W251" s="4">
        <f>((ABS(Games[[#This Row],[MOV]])+5)^0.6)/(12+0.01*(ABS(Games[[#This Row],[PreGmRate]]-Games[[#This Row],[OppPreGmRate]])))*IF(Games[[#This Row],[OT]]=1,0.9,1)</f>
        <v>0.39951599495252926</v>
      </c>
      <c r="X251" s="7" cm="1">
        <f t="array" ref="X25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1" s="9">
        <f>MAX(kmin, kmax - 0.15 * MIN(Games[[#This Row],[GamesPlayed]], 82))</f>
        <v>73.3</v>
      </c>
      <c r="Z251" s="4">
        <f>Games[[#This Row],[K]]*Games[[#This Row],[POMult]]</f>
        <v>73.3</v>
      </c>
      <c r="AA251" s="4">
        <f>(Games[[#This Row],[Keff]]*Games[[#This Row],[MOVMult]])*(Games[[#This Row],[Result]]-Games[[#This Row],[ExpectedWin%]])</f>
        <v>11.304724030195025</v>
      </c>
      <c r="AB251" s="4">
        <f>Games[[#This Row],[PreGmRate]]+Games[[#This Row],[RatingChange]]</f>
        <v>1484.5384462399602</v>
      </c>
      <c r="AC251" s="2">
        <f>IF(Games[[#This Row],[Type]]="R",IF(Games[[#This Row],[Result]]&gt;0.5,1,0),0)</f>
        <v>1</v>
      </c>
      <c r="AD251" s="2">
        <f>IF(Games[[#This Row],[Type]]="R",IF(Games[[#This Row],[Result]]&lt;0.5,1,0),0)</f>
        <v>0</v>
      </c>
      <c r="AE251" s="2">
        <f>IF(AND(Games[[#This Row],[Type]]="P",Games[[#This Row],[Round]]=1),IF(Games[[#This Row],[Result]]&gt;0.5,1,0),0)</f>
        <v>0</v>
      </c>
      <c r="AF251" s="2">
        <f>IF(AND(Games[[#This Row],[Type]]="P",Games[[#This Row],[Round]]=1),IF(Games[[#This Row],[Result]]&lt;0.5,1,0),0)</f>
        <v>0</v>
      </c>
      <c r="AG251" s="2">
        <f>IF(AND(Games[[#This Row],[Type]]="P",Games[[#This Row],[Round]]=2),IF(Games[[#This Row],[Result]]&gt;0.5,1,0),0)</f>
        <v>0</v>
      </c>
      <c r="AH251" s="2">
        <f>IF(AND(Games[[#This Row],[Type]]="P",Games[[#This Row],[Round]]=2),IF(Games[[#This Row],[Result]]&lt;0.5,1,0),0)</f>
        <v>0</v>
      </c>
      <c r="AI251" s="2">
        <f>IF(AND(Games[[#This Row],[Type]]="P",Games[[#This Row],[Round]]=3),IF(Games[[#This Row],[Result]]&gt;0.5,1,0),0)</f>
        <v>0</v>
      </c>
      <c r="AJ251" s="2">
        <f>IF(AND(Games[[#This Row],[Type]]="P",Games[[#This Row],[Round]]=3),IF(Games[[#This Row],[Result]]&lt;0.5,1,0),0)</f>
        <v>0</v>
      </c>
      <c r="AK251" s="2">
        <f>IF(AND(Games[[#This Row],[Type]]="P",Games[[#This Row],[Round]]=4),IF(Games[[#This Row],[Result]]&gt;0.5,1,0),0)</f>
        <v>0</v>
      </c>
      <c r="AL251" s="2">
        <f>IF(AND(Games[[#This Row],[Type]]="P",Games[[#This Row],[Round]]=4),IF(Games[[#This Row],[Result]]&lt;0.5,1,0),0)</f>
        <v>0</v>
      </c>
    </row>
    <row r="252" spans="1:38" x14ac:dyDescent="0.35">
      <c r="A252" s="10">
        <v>37819</v>
      </c>
      <c r="B252" s="2">
        <v>2003</v>
      </c>
      <c r="C252" s="2">
        <f>COUNTIFS(Games[Team],Games[[#This Row],[Team]],Games[Season],Games[[#This Row],[Season]],Games[Date],"&lt;=" &amp; Games[[#This Row],[Date]])</f>
        <v>18</v>
      </c>
      <c r="D252" s="2" t="s">
        <v>23</v>
      </c>
      <c r="E252" s="2" t="s">
        <v>29</v>
      </c>
      <c r="F252" s="1" t="s">
        <v>82</v>
      </c>
      <c r="G252" s="1" t="s">
        <v>87</v>
      </c>
      <c r="H252" s="1" t="s">
        <v>16</v>
      </c>
      <c r="I252" s="2" cm="1">
        <f t="array" ref="I252">IFERROR(
    Games[[#This Row],[Date]]
    - LOOKUP(
        2,
        1/((Games[Team]=Games[[#This Row],[Team]]) * (Games[Date] &lt; Games[[#This Row],[Date]])),
        Games[Date]
    )
    - 1,
Games[[#This Row],[Date]]-$A$2)</f>
        <v>1</v>
      </c>
      <c r="J252" s="2" cm="1">
        <f t="array" ref="J252">IFERROR(
    Games[[#This Row],[Date]]
    - LOOKUP(
        2,
        1/((Games[Opponent]=Games[[#This Row],[Opponent]]) * (Games[Date] &lt; Games[[#This Row],[Date]])),
        Games[Date]
    )
    - 1,
Games[[#This Row],[Date]]-$A$2)</f>
        <v>6</v>
      </c>
      <c r="K252" s="2">
        <f>Games[[#This Row],[DaysOff]]-Games[[#This Row],[OppDaysOff]]</f>
        <v>-5</v>
      </c>
      <c r="L252" s="2">
        <f>Games[[#This Row],[OppDaysOff]]-Games[[#This Row],[DaysOff]]</f>
        <v>5</v>
      </c>
      <c r="M252" s="1">
        <f>MAX(-16, MIN(16, Games[[#This Row],[RestDiff]]*8))</f>
        <v>-16</v>
      </c>
      <c r="N252" s="1">
        <f>MAX(-16, MIN(16, Games[[#This Row],[OppRestDiff]]*8))</f>
        <v>16</v>
      </c>
      <c r="O252" s="4" cm="1">
        <f t="array" ref="O25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1569.4591338373707</v>
      </c>
      <c r="P252" s="4" cm="1">
        <f t="array" ref="P25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1474.7398563576498</v>
      </c>
      <c r="Q252" s="4">
        <f>1/(1+10^(((Games[[#This Row],[OppPreGmRate]]+IF(Games[[#This Row],[HomeAway]]="A",HCA,0)+Games[[#This Row],[OppRestAdj]])-(Games[[#This Row],[PreGmRate]]+IF(Games[[#This Row],[HomeAway]]="H",HCA,0)+Games[[#This Row],[RestAdj]]))/400))</f>
        <v>0.46941281986829336</v>
      </c>
      <c r="R252" s="1">
        <v>67</v>
      </c>
      <c r="S252" s="1">
        <v>65</v>
      </c>
      <c r="T252" s="1">
        <v>0</v>
      </c>
      <c r="U252" s="1">
        <f>Games[[#This Row],[PointsFor]]-Games[[#This Row],[PointsAgainst]]</f>
        <v>2</v>
      </c>
      <c r="V252" s="1">
        <f>IF(Games[[#This Row],[MOV]]&gt;0,1,IF(Games[[#This Row],[MOV]]=0,0.5,0))</f>
        <v>1</v>
      </c>
      <c r="W252" s="4">
        <f>((ABS(Games[[#This Row],[MOV]])+5)^0.6)/(12+0.01*(ABS(Games[[#This Row],[PreGmRate]]-Games[[#This Row],[OppPreGmRate]])))*IF(Games[[#This Row],[OT]]=1,0.9,1)</f>
        <v>0.24824654314042069</v>
      </c>
      <c r="X252" s="7" cm="1">
        <f t="array" ref="X25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2" s="9">
        <f>MAX(kmin, kmax - 0.15 * MIN(Games[[#This Row],[GamesPlayed]], 82))</f>
        <v>73.3</v>
      </c>
      <c r="Z252" s="4">
        <f>Games[[#This Row],[K]]*Games[[#This Row],[POMult]]</f>
        <v>73.3</v>
      </c>
      <c r="AA252" s="4">
        <f>(Games[[#This Row],[Keff]]*Games[[#This Row],[MOVMult]])*(Games[[#This Row],[Result]]-Games[[#This Row],[ExpectedWin%]])</f>
        <v>9.6548145610600447</v>
      </c>
      <c r="AB252" s="4">
        <f>Games[[#This Row],[PreGmRate]]+Games[[#This Row],[RatingChange]]</f>
        <v>1579.1139483984307</v>
      </c>
      <c r="AC252" s="2">
        <f>IF(Games[[#This Row],[Type]]="R",IF(Games[[#This Row],[Result]]&gt;0.5,1,0),0)</f>
        <v>1</v>
      </c>
      <c r="AD252" s="2">
        <f>IF(Games[[#This Row],[Type]]="R",IF(Games[[#This Row],[Result]]&lt;0.5,1,0),0)</f>
        <v>0</v>
      </c>
      <c r="AE252" s="2">
        <f>IF(AND(Games[[#This Row],[Type]]="P",Games[[#This Row],[Round]]=1),IF(Games[[#This Row],[Result]]&gt;0.5,1,0),0)</f>
        <v>0</v>
      </c>
      <c r="AF252" s="2">
        <f>IF(AND(Games[[#This Row],[Type]]="P",Games[[#This Row],[Round]]=1),IF(Games[[#This Row],[Result]]&lt;0.5,1,0),0)</f>
        <v>0</v>
      </c>
      <c r="AG252" s="2">
        <f>IF(AND(Games[[#This Row],[Type]]="P",Games[[#This Row],[Round]]=2),IF(Games[[#This Row],[Result]]&gt;0.5,1,0),0)</f>
        <v>0</v>
      </c>
      <c r="AH252" s="2">
        <f>IF(AND(Games[[#This Row],[Type]]="P",Games[[#This Row],[Round]]=2),IF(Games[[#This Row],[Result]]&lt;0.5,1,0),0)</f>
        <v>0</v>
      </c>
      <c r="AI252" s="2">
        <f>IF(AND(Games[[#This Row],[Type]]="P",Games[[#This Row],[Round]]=3),IF(Games[[#This Row],[Result]]&gt;0.5,1,0),0)</f>
        <v>0</v>
      </c>
      <c r="AJ252" s="2">
        <f>IF(AND(Games[[#This Row],[Type]]="P",Games[[#This Row],[Round]]=3),IF(Games[[#This Row],[Result]]&lt;0.5,1,0),0)</f>
        <v>0</v>
      </c>
      <c r="AK252" s="2">
        <f>IF(AND(Games[[#This Row],[Type]]="P",Games[[#This Row],[Round]]=4),IF(Games[[#This Row],[Result]]&gt;0.5,1,0),0)</f>
        <v>0</v>
      </c>
      <c r="AL252" s="2">
        <f>IF(AND(Games[[#This Row],[Type]]="P",Games[[#This Row],[Round]]=4),IF(Games[[#This Row],[Result]]&lt;0.5,1,0),0)</f>
        <v>0</v>
      </c>
    </row>
    <row r="253" spans="1:38" x14ac:dyDescent="0.35">
      <c r="A253" s="10">
        <v>37819</v>
      </c>
      <c r="B253" s="2">
        <v>2003</v>
      </c>
      <c r="C253" s="2">
        <f>COUNTIFS(Games[Team],Games[[#This Row],[Team]],Games[Season],Games[[#This Row],[Season]],Games[Date],"&lt;=" &amp; Games[[#This Row],[Date]])</f>
        <v>20</v>
      </c>
      <c r="D253" s="2" t="s">
        <v>23</v>
      </c>
      <c r="E253" s="2" t="s">
        <v>29</v>
      </c>
      <c r="F253" s="1" t="s">
        <v>87</v>
      </c>
      <c r="G253" s="1" t="s">
        <v>82</v>
      </c>
      <c r="H253" s="1" t="s">
        <v>15</v>
      </c>
      <c r="I253" s="2" cm="1">
        <f t="array" ref="I253">IFERROR(
    Games[[#This Row],[Date]]
    - LOOKUP(
        2,
        1/((Games[Team]=Games[[#This Row],[Team]]) * (Games[Date] &lt; Games[[#This Row],[Date]])),
        Games[Date]
    )
    - 1,
Games[[#This Row],[Date]]-$A$2)</f>
        <v>6</v>
      </c>
      <c r="J253" s="2" cm="1">
        <f t="array" ref="J25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53" s="2">
        <f>Games[[#This Row],[DaysOff]]-Games[[#This Row],[OppDaysOff]]</f>
        <v>5</v>
      </c>
      <c r="L253" s="2">
        <f>Games[[#This Row],[OppDaysOff]]-Games[[#This Row],[DaysOff]]</f>
        <v>-5</v>
      </c>
      <c r="M253" s="1">
        <f>MAX(-16, MIN(16, Games[[#This Row],[RestDiff]]*8))</f>
        <v>16</v>
      </c>
      <c r="N253" s="1">
        <f>MAX(-16, MIN(16, Games[[#This Row],[OppRestDiff]]*8))</f>
        <v>-16</v>
      </c>
      <c r="O253" s="4" cm="1">
        <f t="array" ref="O25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1474.7398563576498</v>
      </c>
      <c r="P253" s="4" cm="1">
        <f t="array" ref="P25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1569.4591338373707</v>
      </c>
      <c r="Q253" s="4">
        <f>1/(1+10^(((Games[[#This Row],[OppPreGmRate]]+IF(Games[[#This Row],[HomeAway]]="A",HCA,0)+Games[[#This Row],[OppRestAdj]])-(Games[[#This Row],[PreGmRate]]+IF(Games[[#This Row],[HomeAway]]="H",HCA,0)+Games[[#This Row],[RestAdj]]))/400))</f>
        <v>0.53058718013170669</v>
      </c>
      <c r="R253" s="1">
        <v>65</v>
      </c>
      <c r="S253" s="1">
        <v>67</v>
      </c>
      <c r="T253" s="1">
        <v>0</v>
      </c>
      <c r="U253" s="1">
        <f>Games[[#This Row],[PointsFor]]-Games[[#This Row],[PointsAgainst]]</f>
        <v>-2</v>
      </c>
      <c r="V253" s="1">
        <f>IF(Games[[#This Row],[MOV]]&gt;0,1,IF(Games[[#This Row],[MOV]]=0,0.5,0))</f>
        <v>0</v>
      </c>
      <c r="W253" s="4">
        <f>((ABS(Games[[#This Row],[MOV]])+5)^0.6)/(12+0.01*(ABS(Games[[#This Row],[PreGmRate]]-Games[[#This Row],[OppPreGmRate]])))*IF(Games[[#This Row],[OT]]=1,0.9,1)</f>
        <v>0.24824654314042069</v>
      </c>
      <c r="X253" s="7" cm="1">
        <f t="array" ref="X25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3" s="9">
        <f>MAX(kmin, kmax - 0.15 * MIN(Games[[#This Row],[GamesPlayed]], 82))</f>
        <v>73</v>
      </c>
      <c r="Z253" s="4">
        <f>Games[[#This Row],[K]]*Games[[#This Row],[POMult]]</f>
        <v>73</v>
      </c>
      <c r="AA253" s="4">
        <f>(Games[[#This Row],[Keff]]*Games[[#This Row],[MOVMult]])*(Games[[#This Row],[Result]]-Games[[#This Row],[ExpectedWin%]])</f>
        <v>-9.6152996310693517</v>
      </c>
      <c r="AB253" s="4">
        <f>Games[[#This Row],[PreGmRate]]+Games[[#This Row],[RatingChange]]</f>
        <v>1465.1245567265805</v>
      </c>
      <c r="AC253" s="2">
        <f>IF(Games[[#This Row],[Type]]="R",IF(Games[[#This Row],[Result]]&gt;0.5,1,0),0)</f>
        <v>0</v>
      </c>
      <c r="AD253" s="2">
        <f>IF(Games[[#This Row],[Type]]="R",IF(Games[[#This Row],[Result]]&lt;0.5,1,0),0)</f>
        <v>1</v>
      </c>
      <c r="AE253" s="2">
        <f>IF(AND(Games[[#This Row],[Type]]="P",Games[[#This Row],[Round]]=1),IF(Games[[#This Row],[Result]]&gt;0.5,1,0),0)</f>
        <v>0</v>
      </c>
      <c r="AF253" s="2">
        <f>IF(AND(Games[[#This Row],[Type]]="P",Games[[#This Row],[Round]]=1),IF(Games[[#This Row],[Result]]&lt;0.5,1,0),0)</f>
        <v>0</v>
      </c>
      <c r="AG253" s="2">
        <f>IF(AND(Games[[#This Row],[Type]]="P",Games[[#This Row],[Round]]=2),IF(Games[[#This Row],[Result]]&gt;0.5,1,0),0)</f>
        <v>0</v>
      </c>
      <c r="AH253" s="2">
        <f>IF(AND(Games[[#This Row],[Type]]="P",Games[[#This Row],[Round]]=2),IF(Games[[#This Row],[Result]]&lt;0.5,1,0),0)</f>
        <v>0</v>
      </c>
      <c r="AI253" s="2">
        <f>IF(AND(Games[[#This Row],[Type]]="P",Games[[#This Row],[Round]]=3),IF(Games[[#This Row],[Result]]&gt;0.5,1,0),0)</f>
        <v>0</v>
      </c>
      <c r="AJ253" s="2">
        <f>IF(AND(Games[[#This Row],[Type]]="P",Games[[#This Row],[Round]]=3),IF(Games[[#This Row],[Result]]&lt;0.5,1,0),0)</f>
        <v>0</v>
      </c>
      <c r="AK253" s="2">
        <f>IF(AND(Games[[#This Row],[Type]]="P",Games[[#This Row],[Round]]=4),IF(Games[[#This Row],[Result]]&gt;0.5,1,0),0)</f>
        <v>0</v>
      </c>
      <c r="AL253" s="2">
        <f>IF(AND(Games[[#This Row],[Type]]="P",Games[[#This Row],[Round]]=4),IF(Games[[#This Row],[Result]]&lt;0.5,1,0),0)</f>
        <v>0</v>
      </c>
    </row>
    <row r="254" spans="1:38" x14ac:dyDescent="0.35">
      <c r="A254" s="10">
        <v>37819</v>
      </c>
      <c r="B254" s="2">
        <v>2003</v>
      </c>
      <c r="C254" s="2">
        <f>COUNTIFS(Games[Team],Games[[#This Row],[Team]],Games[Season],Games[[#This Row],[Season]],Games[Date],"&lt;=" &amp; Games[[#This Row],[Date]])</f>
        <v>21</v>
      </c>
      <c r="D254" s="2" t="s">
        <v>23</v>
      </c>
      <c r="E254" s="2" t="s">
        <v>29</v>
      </c>
      <c r="F254" s="1" t="s">
        <v>45</v>
      </c>
      <c r="G254" s="1" t="s">
        <v>85</v>
      </c>
      <c r="H254" s="1" t="s">
        <v>16</v>
      </c>
      <c r="I254" s="2" cm="1">
        <f t="array" ref="I254">IFERROR(
    Games[[#This Row],[Date]]
    - LOOKUP(
        2,
        1/((Games[Team]=Games[[#This Row],[Team]]) * (Games[Date] &lt; Games[[#This Row],[Date]])),
        Games[Date]
    )
    - 1,
Games[[#This Row],[Date]]-$A$2)</f>
        <v>1</v>
      </c>
      <c r="J254" s="2" cm="1">
        <f t="array" ref="J254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54" s="2">
        <f>Games[[#This Row],[DaysOff]]-Games[[#This Row],[OppDaysOff]]</f>
        <v>1</v>
      </c>
      <c r="L254" s="2">
        <f>Games[[#This Row],[OppDaysOff]]-Games[[#This Row],[DaysOff]]</f>
        <v>-1</v>
      </c>
      <c r="M254" s="1">
        <f>MAX(-16, MIN(16, Games[[#This Row],[RestDiff]]*8))</f>
        <v>8</v>
      </c>
      <c r="N254" s="1">
        <f>MAX(-16, MIN(16, Games[[#This Row],[OppRestDiff]]*8))</f>
        <v>-8</v>
      </c>
      <c r="O254" s="4" cm="1">
        <f t="array" ref="O25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1508.2811992763341</v>
      </c>
      <c r="P254" s="4" cm="1">
        <f t="array" ref="P25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1428.8641566311358</v>
      </c>
      <c r="Q254" s="4">
        <f>1/(1+10^(((Games[[#This Row],[OppPreGmRate]]+IF(Games[[#This Row],[HomeAway]]="A",HCA,0)+Games[[#This Row],[OppRestAdj]])-(Games[[#This Row],[PreGmRate]]+IF(Games[[#This Row],[HomeAway]]="H",HCA,0)+Games[[#This Row],[RestAdj]]))/400))</f>
        <v>0.51642453360535689</v>
      </c>
      <c r="R254" s="1">
        <v>62</v>
      </c>
      <c r="S254" s="1">
        <v>60</v>
      </c>
      <c r="T254" s="1">
        <v>0</v>
      </c>
      <c r="U254" s="1">
        <f>Games[[#This Row],[PointsFor]]-Games[[#This Row],[PointsAgainst]]</f>
        <v>2</v>
      </c>
      <c r="V254" s="1">
        <f>IF(Games[[#This Row],[MOV]]&gt;0,1,IF(Games[[#This Row],[MOV]]=0,0.5,0))</f>
        <v>1</v>
      </c>
      <c r="W254" s="4">
        <f>((ABS(Games[[#This Row],[MOV]])+5)^0.6)/(12+0.01*(ABS(Games[[#This Row],[PreGmRate]]-Games[[#This Row],[OppPreGmRate]])))*IF(Games[[#This Row],[OT]]=1,0.9,1)</f>
        <v>0.25121565076785957</v>
      </c>
      <c r="X254" s="7" cm="1">
        <f t="array" ref="X25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4" s="9">
        <f>MAX(kmin, kmax - 0.15 * MIN(Games[[#This Row],[GamesPlayed]], 82))</f>
        <v>72.849999999999994</v>
      </c>
      <c r="Z254" s="4">
        <f>Games[[#This Row],[K]]*Games[[#This Row],[POMult]]</f>
        <v>72.849999999999994</v>
      </c>
      <c r="AA254" s="4">
        <f>(Games[[#This Row],[Keff]]*Games[[#This Row],[MOVMult]])*(Games[[#This Row],[Result]]-Games[[#This Row],[ExpectedWin%]])</f>
        <v>8.8499437016333502</v>
      </c>
      <c r="AB254" s="4">
        <f>Games[[#This Row],[PreGmRate]]+Games[[#This Row],[RatingChange]]</f>
        <v>1517.1311429779673</v>
      </c>
      <c r="AC254" s="2">
        <f>IF(Games[[#This Row],[Type]]="R",IF(Games[[#This Row],[Result]]&gt;0.5,1,0),0)</f>
        <v>1</v>
      </c>
      <c r="AD254" s="2">
        <f>IF(Games[[#This Row],[Type]]="R",IF(Games[[#This Row],[Result]]&lt;0.5,1,0),0)</f>
        <v>0</v>
      </c>
      <c r="AE254" s="2">
        <f>IF(AND(Games[[#This Row],[Type]]="P",Games[[#This Row],[Round]]=1),IF(Games[[#This Row],[Result]]&gt;0.5,1,0),0)</f>
        <v>0</v>
      </c>
      <c r="AF254" s="2">
        <f>IF(AND(Games[[#This Row],[Type]]="P",Games[[#This Row],[Round]]=1),IF(Games[[#This Row],[Result]]&lt;0.5,1,0),0)</f>
        <v>0</v>
      </c>
      <c r="AG254" s="2">
        <f>IF(AND(Games[[#This Row],[Type]]="P",Games[[#This Row],[Round]]=2),IF(Games[[#This Row],[Result]]&gt;0.5,1,0),0)</f>
        <v>0</v>
      </c>
      <c r="AH254" s="2">
        <f>IF(AND(Games[[#This Row],[Type]]="P",Games[[#This Row],[Round]]=2),IF(Games[[#This Row],[Result]]&lt;0.5,1,0),0)</f>
        <v>0</v>
      </c>
      <c r="AI254" s="2">
        <f>IF(AND(Games[[#This Row],[Type]]="P",Games[[#This Row],[Round]]=3),IF(Games[[#This Row],[Result]]&gt;0.5,1,0),0)</f>
        <v>0</v>
      </c>
      <c r="AJ254" s="2">
        <f>IF(AND(Games[[#This Row],[Type]]="P",Games[[#This Row],[Round]]=3),IF(Games[[#This Row],[Result]]&lt;0.5,1,0),0)</f>
        <v>0</v>
      </c>
      <c r="AK254" s="2">
        <f>IF(AND(Games[[#This Row],[Type]]="P",Games[[#This Row],[Round]]=4),IF(Games[[#This Row],[Result]]&gt;0.5,1,0),0)</f>
        <v>0</v>
      </c>
      <c r="AL254" s="2">
        <f>IF(AND(Games[[#This Row],[Type]]="P",Games[[#This Row],[Round]]=4),IF(Games[[#This Row],[Result]]&lt;0.5,1,0),0)</f>
        <v>0</v>
      </c>
    </row>
    <row r="255" spans="1:38" x14ac:dyDescent="0.35">
      <c r="A255" s="10">
        <v>37819</v>
      </c>
      <c r="B255" s="2">
        <v>2003</v>
      </c>
      <c r="C255" s="2">
        <f>COUNTIFS(Games[Team],Games[[#This Row],[Team]],Games[Season],Games[[#This Row],[Season]],Games[Date],"&lt;=" &amp; Games[[#This Row],[Date]])</f>
        <v>19</v>
      </c>
      <c r="D255" s="2" t="s">
        <v>23</v>
      </c>
      <c r="E255" s="2" t="s">
        <v>29</v>
      </c>
      <c r="F255" s="1" t="s">
        <v>85</v>
      </c>
      <c r="G255" s="1" t="s">
        <v>45</v>
      </c>
      <c r="H255" s="1" t="s">
        <v>15</v>
      </c>
      <c r="I255" s="2" cm="1">
        <f t="array" ref="I255">IFERROR(
    Games[[#This Row],[Date]]
    - LOOKUP(
        2,
        1/((Games[Team]=Games[[#This Row],[Team]]) * (Games[Date] &lt; Games[[#This Row],[Date]])),
        Games[Date]
    )
    - 1,
Games[[#This Row],[Date]]-$A$2)</f>
        <v>0</v>
      </c>
      <c r="J255" s="2" cm="1">
        <f t="array" ref="J25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55" s="2">
        <f>Games[[#This Row],[DaysOff]]-Games[[#This Row],[OppDaysOff]]</f>
        <v>-1</v>
      </c>
      <c r="L255" s="2">
        <f>Games[[#This Row],[OppDaysOff]]-Games[[#This Row],[DaysOff]]</f>
        <v>1</v>
      </c>
      <c r="M255" s="1">
        <f>MAX(-16, MIN(16, Games[[#This Row],[RestDiff]]*8))</f>
        <v>-8</v>
      </c>
      <c r="N255" s="1">
        <f>MAX(-16, MIN(16, Games[[#This Row],[OppRestDiff]]*8))</f>
        <v>8</v>
      </c>
      <c r="O255" s="4" cm="1">
        <f t="array" ref="O25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1428.8641566311358</v>
      </c>
      <c r="P255" s="4" cm="1">
        <f t="array" ref="P25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1508.2811992763341</v>
      </c>
      <c r="Q255" s="4">
        <f>1/(1+10^(((Games[[#This Row],[OppPreGmRate]]+IF(Games[[#This Row],[HomeAway]]="A",HCA,0)+Games[[#This Row],[OppRestAdj]])-(Games[[#This Row],[PreGmRate]]+IF(Games[[#This Row],[HomeAway]]="H",HCA,0)+Games[[#This Row],[RestAdj]]))/400))</f>
        <v>0.48357546639464311</v>
      </c>
      <c r="R255" s="1">
        <v>60</v>
      </c>
      <c r="S255" s="1">
        <v>62</v>
      </c>
      <c r="T255" s="1">
        <v>0</v>
      </c>
      <c r="U255" s="1">
        <f>Games[[#This Row],[PointsFor]]-Games[[#This Row],[PointsAgainst]]</f>
        <v>-2</v>
      </c>
      <c r="V255" s="1">
        <f>IF(Games[[#This Row],[MOV]]&gt;0,1,IF(Games[[#This Row],[MOV]]=0,0.5,0))</f>
        <v>0</v>
      </c>
      <c r="W255" s="4">
        <f>((ABS(Games[[#This Row],[MOV]])+5)^0.6)/(12+0.01*(ABS(Games[[#This Row],[PreGmRate]]-Games[[#This Row],[OppPreGmRate]])))*IF(Games[[#This Row],[OT]]=1,0.9,1)</f>
        <v>0.25121565076785957</v>
      </c>
      <c r="X255" s="7" cm="1">
        <f t="array" ref="X25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5" s="9">
        <f>MAX(kmin, kmax - 0.15 * MIN(Games[[#This Row],[GamesPlayed]], 82))</f>
        <v>73.150000000000006</v>
      </c>
      <c r="Z255" s="4">
        <f>Games[[#This Row],[K]]*Games[[#This Row],[POMult]]</f>
        <v>73.150000000000006</v>
      </c>
      <c r="AA255" s="4">
        <f>(Games[[#This Row],[Keff]]*Games[[#This Row],[MOVMult]])*(Games[[#This Row],[Result]]-Games[[#This Row],[ExpectedWin%]])</f>
        <v>-8.8863882192790644</v>
      </c>
      <c r="AB255" s="4">
        <f>Games[[#This Row],[PreGmRate]]+Games[[#This Row],[RatingChange]]</f>
        <v>1419.9777684118567</v>
      </c>
      <c r="AC255" s="2">
        <f>IF(Games[[#This Row],[Type]]="R",IF(Games[[#This Row],[Result]]&gt;0.5,1,0),0)</f>
        <v>0</v>
      </c>
      <c r="AD255" s="2">
        <f>IF(Games[[#This Row],[Type]]="R",IF(Games[[#This Row],[Result]]&lt;0.5,1,0),0)</f>
        <v>1</v>
      </c>
      <c r="AE255" s="2">
        <f>IF(AND(Games[[#This Row],[Type]]="P",Games[[#This Row],[Round]]=1),IF(Games[[#This Row],[Result]]&gt;0.5,1,0),0)</f>
        <v>0</v>
      </c>
      <c r="AF255" s="2">
        <f>IF(AND(Games[[#This Row],[Type]]="P",Games[[#This Row],[Round]]=1),IF(Games[[#This Row],[Result]]&lt;0.5,1,0),0)</f>
        <v>0</v>
      </c>
      <c r="AG255" s="2">
        <f>IF(AND(Games[[#This Row],[Type]]="P",Games[[#This Row],[Round]]=2),IF(Games[[#This Row],[Result]]&gt;0.5,1,0),0)</f>
        <v>0</v>
      </c>
      <c r="AH255" s="2">
        <f>IF(AND(Games[[#This Row],[Type]]="P",Games[[#This Row],[Round]]=2),IF(Games[[#This Row],[Result]]&lt;0.5,1,0),0)</f>
        <v>0</v>
      </c>
      <c r="AI255" s="2">
        <f>IF(AND(Games[[#This Row],[Type]]="P",Games[[#This Row],[Round]]=3),IF(Games[[#This Row],[Result]]&gt;0.5,1,0),0)</f>
        <v>0</v>
      </c>
      <c r="AJ255" s="2">
        <f>IF(AND(Games[[#This Row],[Type]]="P",Games[[#This Row],[Round]]=3),IF(Games[[#This Row],[Result]]&lt;0.5,1,0),0)</f>
        <v>0</v>
      </c>
      <c r="AK255" s="2">
        <f>IF(AND(Games[[#This Row],[Type]]="P",Games[[#This Row],[Round]]=4),IF(Games[[#This Row],[Result]]&gt;0.5,1,0),0)</f>
        <v>0</v>
      </c>
      <c r="AL255" s="2">
        <f>IF(AND(Games[[#This Row],[Type]]="P",Games[[#This Row],[Round]]=4),IF(Games[[#This Row],[Result]]&lt;0.5,1,0),0)</f>
        <v>0</v>
      </c>
    </row>
    <row r="256" spans="1:38" x14ac:dyDescent="0.35">
      <c r="A256" s="10">
        <v>37819</v>
      </c>
      <c r="B256" s="2">
        <v>2003</v>
      </c>
      <c r="C256" s="2">
        <f>COUNTIFS(Games[Team],Games[[#This Row],[Team]],Games[Season],Games[[#This Row],[Season]],Games[Date],"&lt;=" &amp; Games[[#This Row],[Date]])</f>
        <v>19</v>
      </c>
      <c r="D256" s="2" t="s">
        <v>23</v>
      </c>
      <c r="E256" s="2" t="s">
        <v>29</v>
      </c>
      <c r="F256" s="1" t="s">
        <v>64</v>
      </c>
      <c r="G256" s="1" t="s">
        <v>74</v>
      </c>
      <c r="H256" s="1" t="s">
        <v>16</v>
      </c>
      <c r="I256" s="2" cm="1">
        <f t="array" ref="I256">IFERROR(
    Games[[#This Row],[Date]]
    - LOOKUP(
        2,
        1/((Games[Team]=Games[[#This Row],[Team]]) * (Games[Date] &lt; Games[[#This Row],[Date]])),
        Games[Date]
    )
    - 1,
Games[[#This Row],[Date]]-$A$2)</f>
        <v>6</v>
      </c>
      <c r="J256" s="2" cm="1">
        <f t="array" ref="J25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56" s="2">
        <f>Games[[#This Row],[DaysOff]]-Games[[#This Row],[OppDaysOff]]</f>
        <v>5</v>
      </c>
      <c r="L256" s="2">
        <f>Games[[#This Row],[OppDaysOff]]-Games[[#This Row],[DaysOff]]</f>
        <v>-5</v>
      </c>
      <c r="M256" s="1">
        <f>MAX(-16, MIN(16, Games[[#This Row],[RestDiff]]*8))</f>
        <v>16</v>
      </c>
      <c r="N256" s="1">
        <f>MAX(-16, MIN(16, Games[[#This Row],[OppRestDiff]]*8))</f>
        <v>-16</v>
      </c>
      <c r="O256" s="4" cm="1">
        <f t="array" ref="O25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1556.5627584507886</v>
      </c>
      <c r="P256" s="4" cm="1">
        <f t="array" ref="P25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1368.0653897778939</v>
      </c>
      <c r="Q256" s="4">
        <f>1/(1+10^(((Games[[#This Row],[OppPreGmRate]]+IF(Games[[#This Row],[HomeAway]]="A",HCA,0)+Games[[#This Row],[OppRestAdj]])-(Games[[#This Row],[PreGmRate]]+IF(Games[[#This Row],[HomeAway]]="H",HCA,0)+Games[[#This Row],[RestAdj]]))/400))</f>
        <v>0.68691632839713301</v>
      </c>
      <c r="R256" s="1">
        <v>60</v>
      </c>
      <c r="S256" s="1">
        <v>68</v>
      </c>
      <c r="T256" s="1">
        <v>0</v>
      </c>
      <c r="U256" s="1">
        <f>Games[[#This Row],[PointsFor]]-Games[[#This Row],[PointsAgainst]]</f>
        <v>-8</v>
      </c>
      <c r="V256" s="1">
        <f>IF(Games[[#This Row],[MOV]]&gt;0,1,IF(Games[[#This Row],[MOV]]=0,0.5,0))</f>
        <v>0</v>
      </c>
      <c r="W256" s="4">
        <f>((ABS(Games[[#This Row],[MOV]])+5)^0.6)/(12+0.01*(ABS(Games[[#This Row],[PreGmRate]]-Games[[#This Row],[OppPreGmRate]])))*IF(Games[[#This Row],[OT]]=1,0.9,1)</f>
        <v>0.33559922583719554</v>
      </c>
      <c r="X256" s="7" cm="1">
        <f t="array" ref="X25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6" s="9">
        <f>MAX(kmin, kmax - 0.15 * MIN(Games[[#This Row],[GamesPlayed]], 82))</f>
        <v>73.150000000000006</v>
      </c>
      <c r="Z256" s="4">
        <f>Games[[#This Row],[K]]*Games[[#This Row],[POMult]]</f>
        <v>73.150000000000006</v>
      </c>
      <c r="AA256" s="4">
        <f>(Games[[#This Row],[Keff]]*Games[[#This Row],[MOVMult]])*(Games[[#This Row],[Result]]-Games[[#This Row],[ExpectedWin%]])</f>
        <v>-16.863166214029235</v>
      </c>
      <c r="AB256" s="4">
        <f>Games[[#This Row],[PreGmRate]]+Games[[#This Row],[RatingChange]]</f>
        <v>1539.6995922367594</v>
      </c>
      <c r="AC256" s="2">
        <f>IF(Games[[#This Row],[Type]]="R",IF(Games[[#This Row],[Result]]&gt;0.5,1,0),0)</f>
        <v>0</v>
      </c>
      <c r="AD256" s="2">
        <f>IF(Games[[#This Row],[Type]]="R",IF(Games[[#This Row],[Result]]&lt;0.5,1,0),0)</f>
        <v>1</v>
      </c>
      <c r="AE256" s="2">
        <f>IF(AND(Games[[#This Row],[Type]]="P",Games[[#This Row],[Round]]=1),IF(Games[[#This Row],[Result]]&gt;0.5,1,0),0)</f>
        <v>0</v>
      </c>
      <c r="AF256" s="2">
        <f>IF(AND(Games[[#This Row],[Type]]="P",Games[[#This Row],[Round]]=1),IF(Games[[#This Row],[Result]]&lt;0.5,1,0),0)</f>
        <v>0</v>
      </c>
      <c r="AG256" s="2">
        <f>IF(AND(Games[[#This Row],[Type]]="P",Games[[#This Row],[Round]]=2),IF(Games[[#This Row],[Result]]&gt;0.5,1,0),0)</f>
        <v>0</v>
      </c>
      <c r="AH256" s="2">
        <f>IF(AND(Games[[#This Row],[Type]]="P",Games[[#This Row],[Round]]=2),IF(Games[[#This Row],[Result]]&lt;0.5,1,0),0)</f>
        <v>0</v>
      </c>
      <c r="AI256" s="2">
        <f>IF(AND(Games[[#This Row],[Type]]="P",Games[[#This Row],[Round]]=3),IF(Games[[#This Row],[Result]]&gt;0.5,1,0),0)</f>
        <v>0</v>
      </c>
      <c r="AJ256" s="2">
        <f>IF(AND(Games[[#This Row],[Type]]="P",Games[[#This Row],[Round]]=3),IF(Games[[#This Row],[Result]]&lt;0.5,1,0),0)</f>
        <v>0</v>
      </c>
      <c r="AK256" s="2">
        <f>IF(AND(Games[[#This Row],[Type]]="P",Games[[#This Row],[Round]]=4),IF(Games[[#This Row],[Result]]&gt;0.5,1,0),0)</f>
        <v>0</v>
      </c>
      <c r="AL256" s="2">
        <f>IF(AND(Games[[#This Row],[Type]]="P",Games[[#This Row],[Round]]=4),IF(Games[[#This Row],[Result]]&lt;0.5,1,0),0)</f>
        <v>0</v>
      </c>
    </row>
    <row r="257" spans="1:38" x14ac:dyDescent="0.35">
      <c r="A257" s="10">
        <v>37819</v>
      </c>
      <c r="B257" s="2">
        <v>2003</v>
      </c>
      <c r="C257" s="2">
        <f>COUNTIFS(Games[Team],Games[[#This Row],[Team]],Games[Season],Games[[#This Row],[Season]],Games[Date],"&lt;=" &amp; Games[[#This Row],[Date]])</f>
        <v>18</v>
      </c>
      <c r="D257" s="2" t="s">
        <v>23</v>
      </c>
      <c r="E257" s="2" t="s">
        <v>29</v>
      </c>
      <c r="F257" s="1" t="s">
        <v>74</v>
      </c>
      <c r="G257" s="1" t="s">
        <v>64</v>
      </c>
      <c r="H257" s="1" t="s">
        <v>15</v>
      </c>
      <c r="I257" s="2" cm="1">
        <f t="array" ref="I257">IFERROR(
    Games[[#This Row],[Date]]
    - LOOKUP(
        2,
        1/((Games[Team]=Games[[#This Row],[Team]]) * (Games[Date] &lt; Games[[#This Row],[Date]])),
        Games[Date]
    )
    - 1,
Games[[#This Row],[Date]]-$A$2)</f>
        <v>1</v>
      </c>
      <c r="J257" s="2" cm="1">
        <f t="array" ref="J257">IFERROR(
    Games[[#This Row],[Date]]
    - LOOKUP(
        2,
        1/((Games[Opponent]=Games[[#This Row],[Opponent]]) * (Games[Date] &lt; Games[[#This Row],[Date]])),
        Games[Date]
    )
    - 1,
Games[[#This Row],[Date]]-$A$2)</f>
        <v>6</v>
      </c>
      <c r="K257" s="2">
        <f>Games[[#This Row],[DaysOff]]-Games[[#This Row],[OppDaysOff]]</f>
        <v>-5</v>
      </c>
      <c r="L257" s="2">
        <f>Games[[#This Row],[OppDaysOff]]-Games[[#This Row],[DaysOff]]</f>
        <v>5</v>
      </c>
      <c r="M257" s="1">
        <f>MAX(-16, MIN(16, Games[[#This Row],[RestDiff]]*8))</f>
        <v>-16</v>
      </c>
      <c r="N257" s="1">
        <f>MAX(-16, MIN(16, Games[[#This Row],[OppRestDiff]]*8))</f>
        <v>16</v>
      </c>
      <c r="O257" s="4" cm="1">
        <f t="array" ref="O25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1368.0653897778939</v>
      </c>
      <c r="P257" s="4" cm="1">
        <f t="array" ref="P25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1556.5627584507886</v>
      </c>
      <c r="Q257" s="4">
        <f>1/(1+10^(((Games[[#This Row],[OppPreGmRate]]+IF(Games[[#This Row],[HomeAway]]="A",HCA,0)+Games[[#This Row],[OppRestAdj]])-(Games[[#This Row],[PreGmRate]]+IF(Games[[#This Row],[HomeAway]]="H",HCA,0)+Games[[#This Row],[RestAdj]]))/400))</f>
        <v>0.31308367160286699</v>
      </c>
      <c r="R257" s="1">
        <v>68</v>
      </c>
      <c r="S257" s="1">
        <v>60</v>
      </c>
      <c r="T257" s="1">
        <v>0</v>
      </c>
      <c r="U257" s="1">
        <f>Games[[#This Row],[PointsFor]]-Games[[#This Row],[PointsAgainst]]</f>
        <v>8</v>
      </c>
      <c r="V257" s="1">
        <f>IF(Games[[#This Row],[MOV]]&gt;0,1,IF(Games[[#This Row],[MOV]]=0,0.5,0))</f>
        <v>1</v>
      </c>
      <c r="W257" s="4">
        <f>((ABS(Games[[#This Row],[MOV]])+5)^0.6)/(12+0.01*(ABS(Games[[#This Row],[PreGmRate]]-Games[[#This Row],[OppPreGmRate]])))*IF(Games[[#This Row],[OT]]=1,0.9,1)</f>
        <v>0.33559922583719554</v>
      </c>
      <c r="X257" s="7" cm="1">
        <f t="array" ref="X25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7" s="9">
        <f>MAX(kmin, kmax - 0.15 * MIN(Games[[#This Row],[GamesPlayed]], 82))</f>
        <v>73.3</v>
      </c>
      <c r="Z257" s="4">
        <f>Games[[#This Row],[K]]*Games[[#This Row],[POMult]]</f>
        <v>73.3</v>
      </c>
      <c r="AA257" s="4">
        <f>(Games[[#This Row],[Keff]]*Games[[#This Row],[MOVMult]])*(Games[[#This Row],[Result]]-Games[[#This Row],[ExpectedWin%]])</f>
        <v>16.897745502232986</v>
      </c>
      <c r="AB257" s="4">
        <f>Games[[#This Row],[PreGmRate]]+Games[[#This Row],[RatingChange]]</f>
        <v>1384.9631352801268</v>
      </c>
      <c r="AC257" s="2">
        <f>IF(Games[[#This Row],[Type]]="R",IF(Games[[#This Row],[Result]]&gt;0.5,1,0),0)</f>
        <v>1</v>
      </c>
      <c r="AD257" s="2">
        <f>IF(Games[[#This Row],[Type]]="R",IF(Games[[#This Row],[Result]]&lt;0.5,1,0),0)</f>
        <v>0</v>
      </c>
      <c r="AE257" s="2">
        <f>IF(AND(Games[[#This Row],[Type]]="P",Games[[#This Row],[Round]]=1),IF(Games[[#This Row],[Result]]&gt;0.5,1,0),0)</f>
        <v>0</v>
      </c>
      <c r="AF257" s="2">
        <f>IF(AND(Games[[#This Row],[Type]]="P",Games[[#This Row],[Round]]=1),IF(Games[[#This Row],[Result]]&lt;0.5,1,0),0)</f>
        <v>0</v>
      </c>
      <c r="AG257" s="2">
        <f>IF(AND(Games[[#This Row],[Type]]="P",Games[[#This Row],[Round]]=2),IF(Games[[#This Row],[Result]]&gt;0.5,1,0),0)</f>
        <v>0</v>
      </c>
      <c r="AH257" s="2">
        <f>IF(AND(Games[[#This Row],[Type]]="P",Games[[#This Row],[Round]]=2),IF(Games[[#This Row],[Result]]&lt;0.5,1,0),0)</f>
        <v>0</v>
      </c>
      <c r="AI257" s="2">
        <f>IF(AND(Games[[#This Row],[Type]]="P",Games[[#This Row],[Round]]=3),IF(Games[[#This Row],[Result]]&gt;0.5,1,0),0)</f>
        <v>0</v>
      </c>
      <c r="AJ257" s="2">
        <f>IF(AND(Games[[#This Row],[Type]]="P",Games[[#This Row],[Round]]=3),IF(Games[[#This Row],[Result]]&lt;0.5,1,0),0)</f>
        <v>0</v>
      </c>
      <c r="AK257" s="2">
        <f>IF(AND(Games[[#This Row],[Type]]="P",Games[[#This Row],[Round]]=4),IF(Games[[#This Row],[Result]]&gt;0.5,1,0),0)</f>
        <v>0</v>
      </c>
      <c r="AL257" s="2">
        <f>IF(AND(Games[[#This Row],[Type]]="P",Games[[#This Row],[Round]]=4),IF(Games[[#This Row],[Result]]&lt;0.5,1,0),0)</f>
        <v>0</v>
      </c>
    </row>
    <row r="258" spans="1:38" x14ac:dyDescent="0.35">
      <c r="A258" s="10">
        <v>37820</v>
      </c>
      <c r="B258" s="2">
        <v>2003</v>
      </c>
      <c r="C258" s="2">
        <f>COUNTIFS(Games[Team],Games[[#This Row],[Team]],Games[Season],Games[[#This Row],[Season]],Games[Date],"&lt;=" &amp; Games[[#This Row],[Date]])</f>
        <v>19</v>
      </c>
      <c r="D258" s="2" t="s">
        <v>23</v>
      </c>
      <c r="E258" s="2" t="s">
        <v>29</v>
      </c>
      <c r="F258" s="1" t="s">
        <v>82</v>
      </c>
      <c r="G258" s="1" t="s">
        <v>76</v>
      </c>
      <c r="H258" s="1" t="s">
        <v>16</v>
      </c>
      <c r="I258" s="2" cm="1">
        <f t="array" ref="I258">IFERROR(
    Games[[#This Row],[Date]]
    - LOOKUP(
        2,
        1/((Games[Team]=Games[[#This Row],[Team]]) * (Games[Date] &lt; Games[[#This Row],[Date]])),
        Games[Date]
    )
    - 1,
Games[[#This Row],[Date]]-$A$2)</f>
        <v>0</v>
      </c>
      <c r="J258" s="2" cm="1">
        <f t="array" ref="J25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58" s="2">
        <f>Games[[#This Row],[DaysOff]]-Games[[#This Row],[OppDaysOff]]</f>
        <v>-1</v>
      </c>
      <c r="L258" s="2">
        <f>Games[[#This Row],[OppDaysOff]]-Games[[#This Row],[DaysOff]]</f>
        <v>1</v>
      </c>
      <c r="M258" s="1">
        <f>MAX(-16, MIN(16, Games[[#This Row],[RestDiff]]*8))</f>
        <v>-8</v>
      </c>
      <c r="N258" s="1">
        <f>MAX(-16, MIN(16, Games[[#This Row],[OppRestDiff]]*8))</f>
        <v>8</v>
      </c>
      <c r="O258" s="4" cm="1">
        <f t="array" ref="O25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1579.1139483984307</v>
      </c>
      <c r="P258" s="4" cm="1">
        <f t="array" ref="P25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1537.2942034263904</v>
      </c>
      <c r="Q258" s="4">
        <f>1/(1+10^(((Games[[#This Row],[OppPreGmRate]]+IF(Games[[#This Row],[HomeAway]]="A",HCA,0)+Games[[#This Row],[OppRestAdj]])-(Games[[#This Row],[PreGmRate]]+IF(Games[[#This Row],[HomeAway]]="H",HCA,0)+Games[[#This Row],[RestAdj]]))/400))</f>
        <v>0.41704582585589922</v>
      </c>
      <c r="R258" s="1">
        <v>61</v>
      </c>
      <c r="S258" s="1">
        <v>74</v>
      </c>
      <c r="T258" s="1">
        <v>0</v>
      </c>
      <c r="U258" s="1">
        <f>Games[[#This Row],[PointsFor]]-Games[[#This Row],[PointsAgainst]]</f>
        <v>-13</v>
      </c>
      <c r="V258" s="1">
        <f>IF(Games[[#This Row],[MOV]]&gt;0,1,IF(Games[[#This Row],[MOV]]=0,0.5,0))</f>
        <v>0</v>
      </c>
      <c r="W258" s="4">
        <f>((ABS(Games[[#This Row],[MOV]])+5)^0.6)/(12+0.01*(ABS(Games[[#This Row],[PreGmRate]]-Games[[#This Row],[OppPreGmRate]])))*IF(Games[[#This Row],[OT]]=1,0.9,1)</f>
        <v>0.45614712527355961</v>
      </c>
      <c r="X258" s="7" cm="1">
        <f t="array" ref="X25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8" s="9">
        <f>MAX(kmin, kmax - 0.15 * MIN(Games[[#This Row],[GamesPlayed]], 82))</f>
        <v>73.150000000000006</v>
      </c>
      <c r="Z258" s="4">
        <f>Games[[#This Row],[K]]*Games[[#This Row],[POMult]]</f>
        <v>73.150000000000006</v>
      </c>
      <c r="AA258" s="4">
        <f>(Games[[#This Row],[Keff]]*Games[[#This Row],[MOVMult]])*(Games[[#This Row],[Result]]-Games[[#This Row],[ExpectedWin%]])</f>
        <v>-13.915635721905662</v>
      </c>
      <c r="AB258" s="4">
        <f>Games[[#This Row],[PreGmRate]]+Games[[#This Row],[RatingChange]]</f>
        <v>1565.1983126765251</v>
      </c>
      <c r="AC258" s="2">
        <f>IF(Games[[#This Row],[Type]]="R",IF(Games[[#This Row],[Result]]&gt;0.5,1,0),0)</f>
        <v>0</v>
      </c>
      <c r="AD258" s="2">
        <f>IF(Games[[#This Row],[Type]]="R",IF(Games[[#This Row],[Result]]&lt;0.5,1,0),0)</f>
        <v>1</v>
      </c>
      <c r="AE258" s="2">
        <f>IF(AND(Games[[#This Row],[Type]]="P",Games[[#This Row],[Round]]=1),IF(Games[[#This Row],[Result]]&gt;0.5,1,0),0)</f>
        <v>0</v>
      </c>
      <c r="AF258" s="2">
        <f>IF(AND(Games[[#This Row],[Type]]="P",Games[[#This Row],[Round]]=1),IF(Games[[#This Row],[Result]]&lt;0.5,1,0),0)</f>
        <v>0</v>
      </c>
      <c r="AG258" s="2">
        <f>IF(AND(Games[[#This Row],[Type]]="P",Games[[#This Row],[Round]]=2),IF(Games[[#This Row],[Result]]&gt;0.5,1,0),0)</f>
        <v>0</v>
      </c>
      <c r="AH258" s="2">
        <f>IF(AND(Games[[#This Row],[Type]]="P",Games[[#This Row],[Round]]=2),IF(Games[[#This Row],[Result]]&lt;0.5,1,0),0)</f>
        <v>0</v>
      </c>
      <c r="AI258" s="2">
        <f>IF(AND(Games[[#This Row],[Type]]="P",Games[[#This Row],[Round]]=3),IF(Games[[#This Row],[Result]]&gt;0.5,1,0),0)</f>
        <v>0</v>
      </c>
      <c r="AJ258" s="2">
        <f>IF(AND(Games[[#This Row],[Type]]="P",Games[[#This Row],[Round]]=3),IF(Games[[#This Row],[Result]]&lt;0.5,1,0),0)</f>
        <v>0</v>
      </c>
      <c r="AK258" s="2">
        <f>IF(AND(Games[[#This Row],[Type]]="P",Games[[#This Row],[Round]]=4),IF(Games[[#This Row],[Result]]&gt;0.5,1,0),0)</f>
        <v>0</v>
      </c>
      <c r="AL258" s="2">
        <f>IF(AND(Games[[#This Row],[Type]]="P",Games[[#This Row],[Round]]=4),IF(Games[[#This Row],[Result]]&lt;0.5,1,0),0)</f>
        <v>0</v>
      </c>
    </row>
    <row r="259" spans="1:38" x14ac:dyDescent="0.35">
      <c r="A259" s="10">
        <v>37820</v>
      </c>
      <c r="B259" s="2">
        <v>2003</v>
      </c>
      <c r="C259" s="2">
        <f>COUNTIFS(Games[Team],Games[[#This Row],[Team]],Games[Season],Games[[#This Row],[Season]],Games[Date],"&lt;=" &amp; Games[[#This Row],[Date]])</f>
        <v>17</v>
      </c>
      <c r="D259" s="2" t="s">
        <v>23</v>
      </c>
      <c r="E259" s="2" t="s">
        <v>29</v>
      </c>
      <c r="F259" s="1" t="s">
        <v>76</v>
      </c>
      <c r="G259" s="1" t="s">
        <v>82</v>
      </c>
      <c r="H259" s="1" t="s">
        <v>15</v>
      </c>
      <c r="I259" s="2" cm="1">
        <f t="array" ref="I259">IFERROR(
    Games[[#This Row],[Date]]
    - LOOKUP(
        2,
        1/((Games[Team]=Games[[#This Row],[Team]]) * (Games[Date] &lt; Games[[#This Row],[Date]])),
        Games[Date]
    )
    - 1,
Games[[#This Row],[Date]]-$A$2)</f>
        <v>1</v>
      </c>
      <c r="J259" s="2" cm="1">
        <f t="array" ref="J259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59" s="2">
        <f>Games[[#This Row],[DaysOff]]-Games[[#This Row],[OppDaysOff]]</f>
        <v>1</v>
      </c>
      <c r="L259" s="2">
        <f>Games[[#This Row],[OppDaysOff]]-Games[[#This Row],[DaysOff]]</f>
        <v>-1</v>
      </c>
      <c r="M259" s="1">
        <f>MAX(-16, MIN(16, Games[[#This Row],[RestDiff]]*8))</f>
        <v>8</v>
      </c>
      <c r="N259" s="1">
        <f>MAX(-16, MIN(16, Games[[#This Row],[OppRestDiff]]*8))</f>
        <v>-8</v>
      </c>
      <c r="O259" s="4" cm="1">
        <f t="array" ref="O25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1537.2942034263904</v>
      </c>
      <c r="P259" s="4" cm="1">
        <f t="array" ref="P25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1579.1139483984307</v>
      </c>
      <c r="Q259" s="4">
        <f>1/(1+10^(((Games[[#This Row],[OppPreGmRate]]+IF(Games[[#This Row],[HomeAway]]="A",HCA,0)+Games[[#This Row],[OppRestAdj]])-(Games[[#This Row],[PreGmRate]]+IF(Games[[#This Row],[HomeAway]]="H",HCA,0)+Games[[#This Row],[RestAdj]]))/400))</f>
        <v>0.58295417414410078</v>
      </c>
      <c r="R259" s="1">
        <v>74</v>
      </c>
      <c r="S259" s="1">
        <v>61</v>
      </c>
      <c r="T259" s="1">
        <v>0</v>
      </c>
      <c r="U259" s="1">
        <f>Games[[#This Row],[PointsFor]]-Games[[#This Row],[PointsAgainst]]</f>
        <v>13</v>
      </c>
      <c r="V259" s="1">
        <f>IF(Games[[#This Row],[MOV]]&gt;0,1,IF(Games[[#This Row],[MOV]]=0,0.5,0))</f>
        <v>1</v>
      </c>
      <c r="W259" s="4">
        <f>((ABS(Games[[#This Row],[MOV]])+5)^0.6)/(12+0.01*(ABS(Games[[#This Row],[PreGmRate]]-Games[[#This Row],[OppPreGmRate]])))*IF(Games[[#This Row],[OT]]=1,0.9,1)</f>
        <v>0.45614712527355961</v>
      </c>
      <c r="X259" s="7" cm="1">
        <f t="array" ref="X25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9" s="9">
        <f>MAX(kmin, kmax - 0.15 * MIN(Games[[#This Row],[GamesPlayed]], 82))</f>
        <v>73.45</v>
      </c>
      <c r="Z259" s="4">
        <f>Games[[#This Row],[K]]*Games[[#This Row],[POMult]]</f>
        <v>73.45</v>
      </c>
      <c r="AA259" s="4">
        <f>(Games[[#This Row],[Keff]]*Games[[#This Row],[MOVMult]])*(Games[[#This Row],[Result]]-Games[[#This Row],[ExpectedWin%]])</f>
        <v>13.972705998277114</v>
      </c>
      <c r="AB259" s="4">
        <f>Games[[#This Row],[PreGmRate]]+Games[[#This Row],[RatingChange]]</f>
        <v>1551.2669094246676</v>
      </c>
      <c r="AC259" s="2">
        <f>IF(Games[[#This Row],[Type]]="R",IF(Games[[#This Row],[Result]]&gt;0.5,1,0),0)</f>
        <v>1</v>
      </c>
      <c r="AD259" s="2">
        <f>IF(Games[[#This Row],[Type]]="R",IF(Games[[#This Row],[Result]]&lt;0.5,1,0),0)</f>
        <v>0</v>
      </c>
      <c r="AE259" s="2">
        <f>IF(AND(Games[[#This Row],[Type]]="P",Games[[#This Row],[Round]]=1),IF(Games[[#This Row],[Result]]&gt;0.5,1,0),0)</f>
        <v>0</v>
      </c>
      <c r="AF259" s="2">
        <f>IF(AND(Games[[#This Row],[Type]]="P",Games[[#This Row],[Round]]=1),IF(Games[[#This Row],[Result]]&lt;0.5,1,0),0)</f>
        <v>0</v>
      </c>
      <c r="AG259" s="2">
        <f>IF(AND(Games[[#This Row],[Type]]="P",Games[[#This Row],[Round]]=2),IF(Games[[#This Row],[Result]]&gt;0.5,1,0),0)</f>
        <v>0</v>
      </c>
      <c r="AH259" s="2">
        <f>IF(AND(Games[[#This Row],[Type]]="P",Games[[#This Row],[Round]]=2),IF(Games[[#This Row],[Result]]&lt;0.5,1,0),0)</f>
        <v>0</v>
      </c>
      <c r="AI259" s="2">
        <f>IF(AND(Games[[#This Row],[Type]]="P",Games[[#This Row],[Round]]=3),IF(Games[[#This Row],[Result]]&gt;0.5,1,0),0)</f>
        <v>0</v>
      </c>
      <c r="AJ259" s="2">
        <f>IF(AND(Games[[#This Row],[Type]]="P",Games[[#This Row],[Round]]=3),IF(Games[[#This Row],[Result]]&lt;0.5,1,0),0)</f>
        <v>0</v>
      </c>
      <c r="AK259" s="2">
        <f>IF(AND(Games[[#This Row],[Type]]="P",Games[[#This Row],[Round]]=4),IF(Games[[#This Row],[Result]]&gt;0.5,1,0),0)</f>
        <v>0</v>
      </c>
      <c r="AL259" s="2">
        <f>IF(AND(Games[[#This Row],[Type]]="P",Games[[#This Row],[Round]]=4),IF(Games[[#This Row],[Result]]&lt;0.5,1,0),0)</f>
        <v>0</v>
      </c>
    </row>
    <row r="260" spans="1:38" x14ac:dyDescent="0.35">
      <c r="A260" s="10">
        <v>37820</v>
      </c>
      <c r="B260" s="2">
        <v>2003</v>
      </c>
      <c r="C260" s="2">
        <f>COUNTIFS(Games[Team],Games[[#This Row],[Team]],Games[Season],Games[[#This Row],[Season]],Games[Date],"&lt;=" &amp; Games[[#This Row],[Date]])</f>
        <v>19</v>
      </c>
      <c r="D260" s="2" t="s">
        <v>23</v>
      </c>
      <c r="E260" s="2" t="s">
        <v>29</v>
      </c>
      <c r="F260" s="1" t="s">
        <v>2</v>
      </c>
      <c r="G260" s="1" t="s">
        <v>71</v>
      </c>
      <c r="H260" s="1" t="s">
        <v>16</v>
      </c>
      <c r="I260" s="2" cm="1">
        <f t="array" ref="I260">IFERROR(
    Games[[#This Row],[Date]]
    - LOOKUP(
        2,
        1/((Games[Team]=Games[[#This Row],[Team]]) * (Games[Date] &lt; Games[[#This Row],[Date]])),
        Games[Date]
    )
    - 1,
Games[[#This Row],[Date]]-$A$2)</f>
        <v>2</v>
      </c>
      <c r="J260" s="2" cm="1">
        <f t="array" ref="J26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60" s="2">
        <f>Games[[#This Row],[DaysOff]]-Games[[#This Row],[OppDaysOff]]</f>
        <v>0</v>
      </c>
      <c r="L260" s="2">
        <f>Games[[#This Row],[OppDaysOff]]-Games[[#This Row],[DaysOff]]</f>
        <v>0</v>
      </c>
      <c r="M260" s="1">
        <f>MAX(-16, MIN(16, Games[[#This Row],[RestDiff]]*8))</f>
        <v>0</v>
      </c>
      <c r="N260" s="1">
        <f>MAX(-16, MIN(16, Games[[#This Row],[OppRestDiff]]*8))</f>
        <v>0</v>
      </c>
      <c r="O260" s="4" cm="1">
        <f t="array" ref="O26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1540.1870158136494</v>
      </c>
      <c r="P260" s="4" cm="1">
        <f t="array" ref="P26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1685.9872988905247</v>
      </c>
      <c r="Q260" s="4">
        <f>1/(1+10^(((Games[[#This Row],[OppPreGmRate]]+IF(Games[[#This Row],[HomeAway]]="A",HCA,0)+Games[[#This Row],[OppRestAdj]])-(Games[[#This Row],[PreGmRate]]+IF(Games[[#This Row],[HomeAway]]="H",HCA,0)+Games[[#This Row],[RestAdj]]))/400))</f>
        <v>0.21034671680157663</v>
      </c>
      <c r="R260" s="1">
        <v>79</v>
      </c>
      <c r="S260" s="1">
        <v>74</v>
      </c>
      <c r="T260" s="1">
        <v>0</v>
      </c>
      <c r="U260" s="1">
        <f>Games[[#This Row],[PointsFor]]-Games[[#This Row],[PointsAgainst]]</f>
        <v>5</v>
      </c>
      <c r="V260" s="1">
        <f>IF(Games[[#This Row],[MOV]]&gt;0,1,IF(Games[[#This Row],[MOV]]=0,0.5,0))</f>
        <v>1</v>
      </c>
      <c r="W260" s="4">
        <f>((ABS(Games[[#This Row],[MOV]])+5)^0.6)/(12+0.01*(ABS(Games[[#This Row],[PreGmRate]]-Games[[#This Row],[OppPreGmRate]])))*IF(Games[[#This Row],[OT]]=1,0.9,1)</f>
        <v>0.29581445000391371</v>
      </c>
      <c r="X260" s="7" cm="1">
        <f t="array" ref="X26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0" s="9">
        <f>MAX(kmin, kmax - 0.15 * MIN(Games[[#This Row],[GamesPlayed]], 82))</f>
        <v>73.150000000000006</v>
      </c>
      <c r="Z260" s="4">
        <f>Games[[#This Row],[K]]*Games[[#This Row],[POMult]]</f>
        <v>73.150000000000006</v>
      </c>
      <c r="AA260" s="4">
        <f>(Games[[#This Row],[Keff]]*Games[[#This Row],[MOVMult]])*(Games[[#This Row],[Result]]-Games[[#This Row],[ExpectedWin%]])</f>
        <v>17.087170799157693</v>
      </c>
      <c r="AB260" s="4">
        <f>Games[[#This Row],[PreGmRate]]+Games[[#This Row],[RatingChange]]</f>
        <v>1557.2741866128072</v>
      </c>
      <c r="AC260" s="2">
        <f>IF(Games[[#This Row],[Type]]="R",IF(Games[[#This Row],[Result]]&gt;0.5,1,0),0)</f>
        <v>1</v>
      </c>
      <c r="AD260" s="2">
        <f>IF(Games[[#This Row],[Type]]="R",IF(Games[[#This Row],[Result]]&lt;0.5,1,0),0)</f>
        <v>0</v>
      </c>
      <c r="AE260" s="2">
        <f>IF(AND(Games[[#This Row],[Type]]="P",Games[[#This Row],[Round]]=1),IF(Games[[#This Row],[Result]]&gt;0.5,1,0),0)</f>
        <v>0</v>
      </c>
      <c r="AF260" s="2">
        <f>IF(AND(Games[[#This Row],[Type]]="P",Games[[#This Row],[Round]]=1),IF(Games[[#This Row],[Result]]&lt;0.5,1,0),0)</f>
        <v>0</v>
      </c>
      <c r="AG260" s="2">
        <f>IF(AND(Games[[#This Row],[Type]]="P",Games[[#This Row],[Round]]=2),IF(Games[[#This Row],[Result]]&gt;0.5,1,0),0)</f>
        <v>0</v>
      </c>
      <c r="AH260" s="2">
        <f>IF(AND(Games[[#This Row],[Type]]="P",Games[[#This Row],[Round]]=2),IF(Games[[#This Row],[Result]]&lt;0.5,1,0),0)</f>
        <v>0</v>
      </c>
      <c r="AI260" s="2">
        <f>IF(AND(Games[[#This Row],[Type]]="P",Games[[#This Row],[Round]]=3),IF(Games[[#This Row],[Result]]&gt;0.5,1,0),0)</f>
        <v>0</v>
      </c>
      <c r="AJ260" s="2">
        <f>IF(AND(Games[[#This Row],[Type]]="P",Games[[#This Row],[Round]]=3),IF(Games[[#This Row],[Result]]&lt;0.5,1,0),0)</f>
        <v>0</v>
      </c>
      <c r="AK260" s="2">
        <f>IF(AND(Games[[#This Row],[Type]]="P",Games[[#This Row],[Round]]=4),IF(Games[[#This Row],[Result]]&gt;0.5,1,0),0)</f>
        <v>0</v>
      </c>
      <c r="AL260" s="2">
        <f>IF(AND(Games[[#This Row],[Type]]="P",Games[[#This Row],[Round]]=4),IF(Games[[#This Row],[Result]]&lt;0.5,1,0),0)</f>
        <v>0</v>
      </c>
    </row>
    <row r="261" spans="1:38" x14ac:dyDescent="0.35">
      <c r="A261" s="10">
        <v>37820</v>
      </c>
      <c r="B261" s="2">
        <v>2003</v>
      </c>
      <c r="C261" s="2">
        <f>COUNTIFS(Games[Team],Games[[#This Row],[Team]],Games[Season],Games[[#This Row],[Season]],Games[Date],"&lt;=" &amp; Games[[#This Row],[Date]])</f>
        <v>20</v>
      </c>
      <c r="D261" s="2" t="s">
        <v>23</v>
      </c>
      <c r="E261" s="2" t="s">
        <v>29</v>
      </c>
      <c r="F261" s="1" t="s">
        <v>71</v>
      </c>
      <c r="G261" s="1" t="s">
        <v>2</v>
      </c>
      <c r="H261" s="1" t="s">
        <v>15</v>
      </c>
      <c r="I261" s="2" cm="1">
        <f t="array" ref="I261">IFERROR(
    Games[[#This Row],[Date]]
    - LOOKUP(
        2,
        1/((Games[Team]=Games[[#This Row],[Team]]) * (Games[Date] &lt; Games[[#This Row],[Date]])),
        Games[Date]
    )
    - 1,
Games[[#This Row],[Date]]-$A$2)</f>
        <v>2</v>
      </c>
      <c r="J261" s="2" cm="1">
        <f t="array" ref="J26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61" s="2">
        <f>Games[[#This Row],[DaysOff]]-Games[[#This Row],[OppDaysOff]]</f>
        <v>0</v>
      </c>
      <c r="L261" s="2">
        <f>Games[[#This Row],[OppDaysOff]]-Games[[#This Row],[DaysOff]]</f>
        <v>0</v>
      </c>
      <c r="M261" s="1">
        <f>MAX(-16, MIN(16, Games[[#This Row],[RestDiff]]*8))</f>
        <v>0</v>
      </c>
      <c r="N261" s="1">
        <f>MAX(-16, MIN(16, Games[[#This Row],[OppRestDiff]]*8))</f>
        <v>0</v>
      </c>
      <c r="O261" s="4" cm="1">
        <f t="array" ref="O26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1685.9872988905247</v>
      </c>
      <c r="P261" s="4" cm="1">
        <f t="array" ref="P26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1540.1870158136494</v>
      </c>
      <c r="Q261" s="4">
        <f>1/(1+10^(((Games[[#This Row],[OppPreGmRate]]+IF(Games[[#This Row],[HomeAway]]="A",HCA,0)+Games[[#This Row],[OppRestAdj]])-(Games[[#This Row],[PreGmRate]]+IF(Games[[#This Row],[HomeAway]]="H",HCA,0)+Games[[#This Row],[RestAdj]]))/400))</f>
        <v>0.78965328319842332</v>
      </c>
      <c r="R261" s="1">
        <v>74</v>
      </c>
      <c r="S261" s="1">
        <v>79</v>
      </c>
      <c r="T261" s="1">
        <v>0</v>
      </c>
      <c r="U261" s="1">
        <f>Games[[#This Row],[PointsFor]]-Games[[#This Row],[PointsAgainst]]</f>
        <v>-5</v>
      </c>
      <c r="V261" s="1">
        <f>IF(Games[[#This Row],[MOV]]&gt;0,1,IF(Games[[#This Row],[MOV]]=0,0.5,0))</f>
        <v>0</v>
      </c>
      <c r="W261" s="4">
        <f>((ABS(Games[[#This Row],[MOV]])+5)^0.6)/(12+0.01*(ABS(Games[[#This Row],[PreGmRate]]-Games[[#This Row],[OppPreGmRate]])))*IF(Games[[#This Row],[OT]]=1,0.9,1)</f>
        <v>0.29581445000391371</v>
      </c>
      <c r="X261" s="7" cm="1">
        <f t="array" ref="X26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1" s="9">
        <f>MAX(kmin, kmax - 0.15 * MIN(Games[[#This Row],[GamesPlayed]], 82))</f>
        <v>73</v>
      </c>
      <c r="Z261" s="4">
        <f>Games[[#This Row],[K]]*Games[[#This Row],[POMult]]</f>
        <v>73</v>
      </c>
      <c r="AA261" s="4">
        <f>(Games[[#This Row],[Keff]]*Games[[#This Row],[MOVMult]])*(Games[[#This Row],[Result]]-Games[[#This Row],[ExpectedWin%]])</f>
        <v>-17.052132171408221</v>
      </c>
      <c r="AB261" s="4">
        <f>Games[[#This Row],[PreGmRate]]+Games[[#This Row],[RatingChange]]</f>
        <v>1668.9351667191165</v>
      </c>
      <c r="AC261" s="2">
        <f>IF(Games[[#This Row],[Type]]="R",IF(Games[[#This Row],[Result]]&gt;0.5,1,0),0)</f>
        <v>0</v>
      </c>
      <c r="AD261" s="2">
        <f>IF(Games[[#This Row],[Type]]="R",IF(Games[[#This Row],[Result]]&lt;0.5,1,0),0)</f>
        <v>1</v>
      </c>
      <c r="AE261" s="2">
        <f>IF(AND(Games[[#This Row],[Type]]="P",Games[[#This Row],[Round]]=1),IF(Games[[#This Row],[Result]]&gt;0.5,1,0),0)</f>
        <v>0</v>
      </c>
      <c r="AF261" s="2">
        <f>IF(AND(Games[[#This Row],[Type]]="P",Games[[#This Row],[Round]]=1),IF(Games[[#This Row],[Result]]&lt;0.5,1,0),0)</f>
        <v>0</v>
      </c>
      <c r="AG261" s="2">
        <f>IF(AND(Games[[#This Row],[Type]]="P",Games[[#This Row],[Round]]=2),IF(Games[[#This Row],[Result]]&gt;0.5,1,0),0)</f>
        <v>0</v>
      </c>
      <c r="AH261" s="2">
        <f>IF(AND(Games[[#This Row],[Type]]="P",Games[[#This Row],[Round]]=2),IF(Games[[#This Row],[Result]]&lt;0.5,1,0),0)</f>
        <v>0</v>
      </c>
      <c r="AI261" s="2">
        <f>IF(AND(Games[[#This Row],[Type]]="P",Games[[#This Row],[Round]]=3),IF(Games[[#This Row],[Result]]&gt;0.5,1,0),0)</f>
        <v>0</v>
      </c>
      <c r="AJ261" s="2">
        <f>IF(AND(Games[[#This Row],[Type]]="P",Games[[#This Row],[Round]]=3),IF(Games[[#This Row],[Result]]&lt;0.5,1,0),0)</f>
        <v>0</v>
      </c>
      <c r="AK261" s="2">
        <f>IF(AND(Games[[#This Row],[Type]]="P",Games[[#This Row],[Round]]=4),IF(Games[[#This Row],[Result]]&gt;0.5,1,0),0)</f>
        <v>0</v>
      </c>
      <c r="AL261" s="2">
        <f>IF(AND(Games[[#This Row],[Type]]="P",Games[[#This Row],[Round]]=4),IF(Games[[#This Row],[Result]]&lt;0.5,1,0),0)</f>
        <v>0</v>
      </c>
    </row>
    <row r="262" spans="1:38" x14ac:dyDescent="0.35">
      <c r="A262" s="10">
        <v>37820</v>
      </c>
      <c r="B262" s="2">
        <v>2003</v>
      </c>
      <c r="C262" s="2">
        <f>COUNTIFS(Games[Team],Games[[#This Row],[Team]],Games[Season],Games[[#This Row],[Season]],Games[Date],"&lt;=" &amp; Games[[#This Row],[Date]])</f>
        <v>20</v>
      </c>
      <c r="D262" s="2" t="s">
        <v>23</v>
      </c>
      <c r="E262" s="2" t="s">
        <v>29</v>
      </c>
      <c r="F262" s="1" t="s">
        <v>64</v>
      </c>
      <c r="G262" s="1" t="s">
        <v>66</v>
      </c>
      <c r="H262" s="1" t="s">
        <v>16</v>
      </c>
      <c r="I262" s="2" cm="1">
        <f t="array" ref="I262">IFERROR(
    Games[[#This Row],[Date]]
    - LOOKUP(
        2,
        1/((Games[Team]=Games[[#This Row],[Team]]) * (Games[Date] &lt; Games[[#This Row],[Date]])),
        Games[Date]
    )
    - 1,
Games[[#This Row],[Date]]-$A$2)</f>
        <v>0</v>
      </c>
      <c r="J262" s="2" cm="1">
        <f t="array" ref="J26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62" s="2">
        <f>Games[[#This Row],[DaysOff]]-Games[[#This Row],[OppDaysOff]]</f>
        <v>-2</v>
      </c>
      <c r="L262" s="2">
        <f>Games[[#This Row],[OppDaysOff]]-Games[[#This Row],[DaysOff]]</f>
        <v>2</v>
      </c>
      <c r="M262" s="1">
        <f>MAX(-16, MIN(16, Games[[#This Row],[RestDiff]]*8))</f>
        <v>-16</v>
      </c>
      <c r="N262" s="1">
        <f>MAX(-16, MIN(16, Games[[#This Row],[OppRestDiff]]*8))</f>
        <v>16</v>
      </c>
      <c r="O262" s="4" cm="1">
        <f t="array" ref="O26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1539.6995922367594</v>
      </c>
      <c r="P262" s="4" cm="1">
        <f t="array" ref="P26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1484.7861729118849</v>
      </c>
      <c r="Q262" s="4">
        <f>1/(1+10^(((Games[[#This Row],[OppPreGmRate]]+IF(Games[[#This Row],[HomeAway]]="A",HCA,0)+Games[[#This Row],[OppRestAdj]])-(Games[[#This Row],[PreGmRate]]+IF(Games[[#This Row],[HomeAway]]="H",HCA,0)+Games[[#This Row],[RestAdj]]))/400))</f>
        <v>0.41298414552846213</v>
      </c>
      <c r="R262" s="1">
        <v>48</v>
      </c>
      <c r="S262" s="1">
        <v>56</v>
      </c>
      <c r="T262" s="1">
        <v>0</v>
      </c>
      <c r="U262" s="1">
        <f>Games[[#This Row],[PointsFor]]-Games[[#This Row],[PointsAgainst]]</f>
        <v>-8</v>
      </c>
      <c r="V262" s="1">
        <f>IF(Games[[#This Row],[MOV]]&gt;0,1,IF(Games[[#This Row],[MOV]]=0,0.5,0))</f>
        <v>0</v>
      </c>
      <c r="W262" s="4">
        <f>((ABS(Games[[#This Row],[MOV]])+5)^0.6)/(12+0.01*(ABS(Games[[#This Row],[PreGmRate]]-Games[[#This Row],[OppPreGmRate]])))*IF(Games[[#This Row],[OT]]=1,0.9,1)</f>
        <v>0.37132333978410759</v>
      </c>
      <c r="X262" s="7" cm="1">
        <f t="array" ref="X26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2" s="9">
        <f>MAX(kmin, kmax - 0.15 * MIN(Games[[#This Row],[GamesPlayed]], 82))</f>
        <v>73</v>
      </c>
      <c r="Z262" s="4">
        <f>Games[[#This Row],[K]]*Games[[#This Row],[POMult]]</f>
        <v>73</v>
      </c>
      <c r="AA262" s="4">
        <f>(Games[[#This Row],[Keff]]*Games[[#This Row],[MOVMult]])*(Games[[#This Row],[Result]]-Games[[#This Row],[ExpectedWin%]])</f>
        <v>-11.194597610272556</v>
      </c>
      <c r="AB262" s="4">
        <f>Games[[#This Row],[PreGmRate]]+Games[[#This Row],[RatingChange]]</f>
        <v>1528.5049946264869</v>
      </c>
      <c r="AC262" s="2">
        <f>IF(Games[[#This Row],[Type]]="R",IF(Games[[#This Row],[Result]]&gt;0.5,1,0),0)</f>
        <v>0</v>
      </c>
      <c r="AD262" s="2">
        <f>IF(Games[[#This Row],[Type]]="R",IF(Games[[#This Row],[Result]]&lt;0.5,1,0),0)</f>
        <v>1</v>
      </c>
      <c r="AE262" s="2">
        <f>IF(AND(Games[[#This Row],[Type]]="P",Games[[#This Row],[Round]]=1),IF(Games[[#This Row],[Result]]&gt;0.5,1,0),0)</f>
        <v>0</v>
      </c>
      <c r="AF262" s="2">
        <f>IF(AND(Games[[#This Row],[Type]]="P",Games[[#This Row],[Round]]=1),IF(Games[[#This Row],[Result]]&lt;0.5,1,0),0)</f>
        <v>0</v>
      </c>
      <c r="AG262" s="2">
        <f>IF(AND(Games[[#This Row],[Type]]="P",Games[[#This Row],[Round]]=2),IF(Games[[#This Row],[Result]]&gt;0.5,1,0),0)</f>
        <v>0</v>
      </c>
      <c r="AH262" s="2">
        <f>IF(AND(Games[[#This Row],[Type]]="P",Games[[#This Row],[Round]]=2),IF(Games[[#This Row],[Result]]&lt;0.5,1,0),0)</f>
        <v>0</v>
      </c>
      <c r="AI262" s="2">
        <f>IF(AND(Games[[#This Row],[Type]]="P",Games[[#This Row],[Round]]=3),IF(Games[[#This Row],[Result]]&gt;0.5,1,0),0)</f>
        <v>0</v>
      </c>
      <c r="AJ262" s="2">
        <f>IF(AND(Games[[#This Row],[Type]]="P",Games[[#This Row],[Round]]=3),IF(Games[[#This Row],[Result]]&lt;0.5,1,0),0)</f>
        <v>0</v>
      </c>
      <c r="AK262" s="2">
        <f>IF(AND(Games[[#This Row],[Type]]="P",Games[[#This Row],[Round]]=4),IF(Games[[#This Row],[Result]]&gt;0.5,1,0),0)</f>
        <v>0</v>
      </c>
      <c r="AL262" s="2">
        <f>IF(AND(Games[[#This Row],[Type]]="P",Games[[#This Row],[Round]]=4),IF(Games[[#This Row],[Result]]&lt;0.5,1,0),0)</f>
        <v>0</v>
      </c>
    </row>
    <row r="263" spans="1:38" x14ac:dyDescent="0.35">
      <c r="A263" s="10">
        <v>37820</v>
      </c>
      <c r="B263" s="2">
        <v>2003</v>
      </c>
      <c r="C263" s="2">
        <f>COUNTIFS(Games[Team],Games[[#This Row],[Team]],Games[Season],Games[[#This Row],[Season]],Games[Date],"&lt;=" &amp; Games[[#This Row],[Date]])</f>
        <v>16</v>
      </c>
      <c r="D263" s="2" t="s">
        <v>23</v>
      </c>
      <c r="E263" s="2" t="s">
        <v>29</v>
      </c>
      <c r="F263" s="1" t="s">
        <v>66</v>
      </c>
      <c r="G263" s="1" t="s">
        <v>64</v>
      </c>
      <c r="H263" s="1" t="s">
        <v>15</v>
      </c>
      <c r="I263" s="2" cm="1">
        <f t="array" ref="I263">IFERROR(
    Games[[#This Row],[Date]]
    - LOOKUP(
        2,
        1/((Games[Team]=Games[[#This Row],[Team]]) * (Games[Date] &lt; Games[[#This Row],[Date]])),
        Games[Date]
    )
    - 1,
Games[[#This Row],[Date]]-$A$2)</f>
        <v>2</v>
      </c>
      <c r="J263" s="2" cm="1">
        <f t="array" ref="J263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63" s="2">
        <f>Games[[#This Row],[DaysOff]]-Games[[#This Row],[OppDaysOff]]</f>
        <v>2</v>
      </c>
      <c r="L263" s="2">
        <f>Games[[#This Row],[OppDaysOff]]-Games[[#This Row],[DaysOff]]</f>
        <v>-2</v>
      </c>
      <c r="M263" s="1">
        <f>MAX(-16, MIN(16, Games[[#This Row],[RestDiff]]*8))</f>
        <v>16</v>
      </c>
      <c r="N263" s="1">
        <f>MAX(-16, MIN(16, Games[[#This Row],[OppRestDiff]]*8))</f>
        <v>-16</v>
      </c>
      <c r="O263" s="4" cm="1">
        <f t="array" ref="O26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1484.7861729118849</v>
      </c>
      <c r="P263" s="4" cm="1">
        <f t="array" ref="P26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1539.6995922367594</v>
      </c>
      <c r="Q263" s="4">
        <f>1/(1+10^(((Games[[#This Row],[OppPreGmRate]]+IF(Games[[#This Row],[HomeAway]]="A",HCA,0)+Games[[#This Row],[OppRestAdj]])-(Games[[#This Row],[PreGmRate]]+IF(Games[[#This Row],[HomeAway]]="H",HCA,0)+Games[[#This Row],[RestAdj]]))/400))</f>
        <v>0.58701585447153792</v>
      </c>
      <c r="R263" s="1">
        <v>56</v>
      </c>
      <c r="S263" s="1">
        <v>48</v>
      </c>
      <c r="T263" s="1">
        <v>0</v>
      </c>
      <c r="U263" s="1">
        <f>Games[[#This Row],[PointsFor]]-Games[[#This Row],[PointsAgainst]]</f>
        <v>8</v>
      </c>
      <c r="V263" s="1">
        <f>IF(Games[[#This Row],[MOV]]&gt;0,1,IF(Games[[#This Row],[MOV]]=0,0.5,0))</f>
        <v>1</v>
      </c>
      <c r="W263" s="4">
        <f>((ABS(Games[[#This Row],[MOV]])+5)^0.6)/(12+0.01*(ABS(Games[[#This Row],[PreGmRate]]-Games[[#This Row],[OppPreGmRate]])))*IF(Games[[#This Row],[OT]]=1,0.9,1)</f>
        <v>0.37132333978410759</v>
      </c>
      <c r="X263" s="7" cm="1">
        <f t="array" ref="X26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3" s="9">
        <f>MAX(kmin, kmax - 0.15 * MIN(Games[[#This Row],[GamesPlayed]], 82))</f>
        <v>73.599999999999994</v>
      </c>
      <c r="Z263" s="4">
        <f>Games[[#This Row],[K]]*Games[[#This Row],[POMult]]</f>
        <v>73.599999999999994</v>
      </c>
      <c r="AA263" s="4">
        <f>(Games[[#This Row],[Keff]]*Games[[#This Row],[MOVMult]])*(Games[[#This Row],[Result]]-Games[[#This Row],[ExpectedWin%]])</f>
        <v>11.286608001589864</v>
      </c>
      <c r="AB263" s="4">
        <f>Games[[#This Row],[PreGmRate]]+Games[[#This Row],[RatingChange]]</f>
        <v>1496.0727809134748</v>
      </c>
      <c r="AC263" s="2">
        <f>IF(Games[[#This Row],[Type]]="R",IF(Games[[#This Row],[Result]]&gt;0.5,1,0),0)</f>
        <v>1</v>
      </c>
      <c r="AD263" s="2">
        <f>IF(Games[[#This Row],[Type]]="R",IF(Games[[#This Row],[Result]]&lt;0.5,1,0),0)</f>
        <v>0</v>
      </c>
      <c r="AE263" s="2">
        <f>IF(AND(Games[[#This Row],[Type]]="P",Games[[#This Row],[Round]]=1),IF(Games[[#This Row],[Result]]&gt;0.5,1,0),0)</f>
        <v>0</v>
      </c>
      <c r="AF263" s="2">
        <f>IF(AND(Games[[#This Row],[Type]]="P",Games[[#This Row],[Round]]=1),IF(Games[[#This Row],[Result]]&lt;0.5,1,0),0)</f>
        <v>0</v>
      </c>
      <c r="AG263" s="2">
        <f>IF(AND(Games[[#This Row],[Type]]="P",Games[[#This Row],[Round]]=2),IF(Games[[#This Row],[Result]]&gt;0.5,1,0),0)</f>
        <v>0</v>
      </c>
      <c r="AH263" s="2">
        <f>IF(AND(Games[[#This Row],[Type]]="P",Games[[#This Row],[Round]]=2),IF(Games[[#This Row],[Result]]&lt;0.5,1,0),0)</f>
        <v>0</v>
      </c>
      <c r="AI263" s="2">
        <f>IF(AND(Games[[#This Row],[Type]]="P",Games[[#This Row],[Round]]=3),IF(Games[[#This Row],[Result]]&gt;0.5,1,0),0)</f>
        <v>0</v>
      </c>
      <c r="AJ263" s="2">
        <f>IF(AND(Games[[#This Row],[Type]]="P",Games[[#This Row],[Round]]=3),IF(Games[[#This Row],[Result]]&lt;0.5,1,0),0)</f>
        <v>0</v>
      </c>
      <c r="AK263" s="2">
        <f>IF(AND(Games[[#This Row],[Type]]="P",Games[[#This Row],[Round]]=4),IF(Games[[#This Row],[Result]]&gt;0.5,1,0),0)</f>
        <v>0</v>
      </c>
      <c r="AL263" s="2">
        <f>IF(AND(Games[[#This Row],[Type]]="P",Games[[#This Row],[Round]]=4),IF(Games[[#This Row],[Result]]&lt;0.5,1,0),0)</f>
        <v>0</v>
      </c>
    </row>
    <row r="264" spans="1:38" x14ac:dyDescent="0.35">
      <c r="A264" s="10">
        <v>37821</v>
      </c>
      <c r="B264" s="2">
        <v>2003</v>
      </c>
      <c r="C264" s="2">
        <f>COUNTIFS(Games[Team],Games[[#This Row],[Team]],Games[Season],Games[[#This Row],[Season]],Games[Date],"&lt;=" &amp; Games[[#This Row],[Date]])</f>
        <v>18</v>
      </c>
      <c r="D264" s="2" t="s">
        <v>23</v>
      </c>
      <c r="E264" s="2" t="s">
        <v>29</v>
      </c>
      <c r="F264" s="1" t="s">
        <v>76</v>
      </c>
      <c r="G264" s="1" t="s">
        <v>1</v>
      </c>
      <c r="H264" s="1" t="s">
        <v>16</v>
      </c>
      <c r="I264" s="2" cm="1">
        <f t="array" ref="I264">IFERROR(
    Games[[#This Row],[Date]]
    - LOOKUP(
        2,
        1/((Games[Team]=Games[[#This Row],[Team]]) * (Games[Date] &lt; Games[[#This Row],[Date]])),
        Games[Date]
    )
    - 1,
Games[[#This Row],[Date]]-$A$2)</f>
        <v>0</v>
      </c>
      <c r="J264" s="2" cm="1">
        <f t="array" ref="J26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64" s="2">
        <f>Games[[#This Row],[DaysOff]]-Games[[#This Row],[OppDaysOff]]</f>
        <v>-1</v>
      </c>
      <c r="L264" s="2">
        <f>Games[[#This Row],[OppDaysOff]]-Games[[#This Row],[DaysOff]]</f>
        <v>1</v>
      </c>
      <c r="M264" s="1">
        <f>MAX(-16, MIN(16, Games[[#This Row],[RestDiff]]*8))</f>
        <v>-8</v>
      </c>
      <c r="N264" s="1">
        <f>MAX(-16, MIN(16, Games[[#This Row],[OppRestDiff]]*8))</f>
        <v>8</v>
      </c>
      <c r="O264" s="4" cm="1">
        <f t="array" ref="O26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1551.2669094246676</v>
      </c>
      <c r="P264" s="4" cm="1">
        <f t="array" ref="P26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1484.5384462399602</v>
      </c>
      <c r="Q264" s="4">
        <f>1/(1+10^(((Games[[#This Row],[OppPreGmRate]]+IF(Games[[#This Row],[HomeAway]]="A",HCA,0)+Games[[#This Row],[OppRestAdj]])-(Games[[#This Row],[PreGmRate]]+IF(Games[[#This Row],[HomeAway]]="H",HCA,0)+Games[[#This Row],[RestAdj]]))/400))</f>
        <v>0.45226424207027666</v>
      </c>
      <c r="R264" s="1">
        <v>58</v>
      </c>
      <c r="S264" s="1">
        <v>57</v>
      </c>
      <c r="T264" s="1">
        <v>0</v>
      </c>
      <c r="U264" s="1">
        <f>Games[[#This Row],[PointsFor]]-Games[[#This Row],[PointsAgainst]]</f>
        <v>1</v>
      </c>
      <c r="V264" s="1">
        <f>IF(Games[[#This Row],[MOV]]&gt;0,1,IF(Games[[#This Row],[MOV]]=0,0.5,0))</f>
        <v>1</v>
      </c>
      <c r="W264" s="4">
        <f>((ABS(Games[[#This Row],[MOV]])+5)^0.6)/(12+0.01*(ABS(Games[[#This Row],[PreGmRate]]-Games[[#This Row],[OppPreGmRate]])))*IF(Games[[#This Row],[OT]]=1,0.9,1)</f>
        <v>0.23131682414530713</v>
      </c>
      <c r="X264" s="7" cm="1">
        <f t="array" ref="X26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4" s="9">
        <f>MAX(kmin, kmax - 0.15 * MIN(Games[[#This Row],[GamesPlayed]], 82))</f>
        <v>73.3</v>
      </c>
      <c r="Z264" s="4">
        <f>Games[[#This Row],[K]]*Games[[#This Row],[POMult]]</f>
        <v>73.3</v>
      </c>
      <c r="AA264" s="4">
        <f>(Games[[#This Row],[Keff]]*Games[[#This Row],[MOVMult]])*(Games[[#This Row],[Result]]-Games[[#This Row],[ExpectedWin%]])</f>
        <v>9.2871463564427597</v>
      </c>
      <c r="AB264" s="4">
        <f>Games[[#This Row],[PreGmRate]]+Games[[#This Row],[RatingChange]]</f>
        <v>1560.5540557811103</v>
      </c>
      <c r="AC264" s="2">
        <f>IF(Games[[#This Row],[Type]]="R",IF(Games[[#This Row],[Result]]&gt;0.5,1,0),0)</f>
        <v>1</v>
      </c>
      <c r="AD264" s="2">
        <f>IF(Games[[#This Row],[Type]]="R",IF(Games[[#This Row],[Result]]&lt;0.5,1,0),0)</f>
        <v>0</v>
      </c>
      <c r="AE264" s="2">
        <f>IF(AND(Games[[#This Row],[Type]]="P",Games[[#This Row],[Round]]=1),IF(Games[[#This Row],[Result]]&gt;0.5,1,0),0)</f>
        <v>0</v>
      </c>
      <c r="AF264" s="2">
        <f>IF(AND(Games[[#This Row],[Type]]="P",Games[[#This Row],[Round]]=1),IF(Games[[#This Row],[Result]]&lt;0.5,1,0),0)</f>
        <v>0</v>
      </c>
      <c r="AG264" s="2">
        <f>IF(AND(Games[[#This Row],[Type]]="P",Games[[#This Row],[Round]]=2),IF(Games[[#This Row],[Result]]&gt;0.5,1,0),0)</f>
        <v>0</v>
      </c>
      <c r="AH264" s="2">
        <f>IF(AND(Games[[#This Row],[Type]]="P",Games[[#This Row],[Round]]=2),IF(Games[[#This Row],[Result]]&lt;0.5,1,0),0)</f>
        <v>0</v>
      </c>
      <c r="AI264" s="2">
        <f>IF(AND(Games[[#This Row],[Type]]="P",Games[[#This Row],[Round]]=3),IF(Games[[#This Row],[Result]]&gt;0.5,1,0),0)</f>
        <v>0</v>
      </c>
      <c r="AJ264" s="2">
        <f>IF(AND(Games[[#This Row],[Type]]="P",Games[[#This Row],[Round]]=3),IF(Games[[#This Row],[Result]]&lt;0.5,1,0),0)</f>
        <v>0</v>
      </c>
      <c r="AK264" s="2">
        <f>IF(AND(Games[[#This Row],[Type]]="P",Games[[#This Row],[Round]]=4),IF(Games[[#This Row],[Result]]&gt;0.5,1,0),0)</f>
        <v>0</v>
      </c>
      <c r="AL264" s="2">
        <f>IF(AND(Games[[#This Row],[Type]]="P",Games[[#This Row],[Round]]=4),IF(Games[[#This Row],[Result]]&lt;0.5,1,0),0)</f>
        <v>0</v>
      </c>
    </row>
    <row r="265" spans="1:38" x14ac:dyDescent="0.35">
      <c r="A265" s="10">
        <v>37821</v>
      </c>
      <c r="B265" s="2">
        <v>2003</v>
      </c>
      <c r="C265" s="2">
        <f>COUNTIFS(Games[Team],Games[[#This Row],[Team]],Games[Season],Games[[#This Row],[Season]],Games[Date],"&lt;=" &amp; Games[[#This Row],[Date]])</f>
        <v>19</v>
      </c>
      <c r="D265" s="2" t="s">
        <v>23</v>
      </c>
      <c r="E265" s="2" t="s">
        <v>29</v>
      </c>
      <c r="F265" s="1" t="s">
        <v>1</v>
      </c>
      <c r="G265" s="1" t="s">
        <v>76</v>
      </c>
      <c r="H265" s="1" t="s">
        <v>15</v>
      </c>
      <c r="I265" s="2" cm="1">
        <f t="array" ref="I265">IFERROR(
    Games[[#This Row],[Date]]
    - LOOKUP(
        2,
        1/((Games[Team]=Games[[#This Row],[Team]]) * (Games[Date] &lt; Games[[#This Row],[Date]])),
        Games[Date]
    )
    - 1,
Games[[#This Row],[Date]]-$A$2)</f>
        <v>1</v>
      </c>
      <c r="J265" s="2" cm="1">
        <f t="array" ref="J265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65" s="2">
        <f>Games[[#This Row],[DaysOff]]-Games[[#This Row],[OppDaysOff]]</f>
        <v>1</v>
      </c>
      <c r="L265" s="2">
        <f>Games[[#This Row],[OppDaysOff]]-Games[[#This Row],[DaysOff]]</f>
        <v>-1</v>
      </c>
      <c r="M265" s="1">
        <f>MAX(-16, MIN(16, Games[[#This Row],[RestDiff]]*8))</f>
        <v>8</v>
      </c>
      <c r="N265" s="1">
        <f>MAX(-16, MIN(16, Games[[#This Row],[OppRestDiff]]*8))</f>
        <v>-8</v>
      </c>
      <c r="O265" s="4" cm="1">
        <f t="array" ref="O26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1484.5384462399602</v>
      </c>
      <c r="P265" s="4" cm="1">
        <f t="array" ref="P26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1551.2669094246676</v>
      </c>
      <c r="Q265" s="4">
        <f>1/(1+10^(((Games[[#This Row],[OppPreGmRate]]+IF(Games[[#This Row],[HomeAway]]="A",HCA,0)+Games[[#This Row],[OppRestAdj]])-(Games[[#This Row],[PreGmRate]]+IF(Games[[#This Row],[HomeAway]]="H",HCA,0)+Games[[#This Row],[RestAdj]]))/400))</f>
        <v>0.54773575792972329</v>
      </c>
      <c r="R265" s="1">
        <v>57</v>
      </c>
      <c r="S265" s="1">
        <v>58</v>
      </c>
      <c r="T265" s="1">
        <v>0</v>
      </c>
      <c r="U265" s="1">
        <f>Games[[#This Row],[PointsFor]]-Games[[#This Row],[PointsAgainst]]</f>
        <v>-1</v>
      </c>
      <c r="V265" s="1">
        <f>IF(Games[[#This Row],[MOV]]&gt;0,1,IF(Games[[#This Row],[MOV]]=0,0.5,0))</f>
        <v>0</v>
      </c>
      <c r="W265" s="4">
        <f>((ABS(Games[[#This Row],[MOV]])+5)^0.6)/(12+0.01*(ABS(Games[[#This Row],[PreGmRate]]-Games[[#This Row],[OppPreGmRate]])))*IF(Games[[#This Row],[OT]]=1,0.9,1)</f>
        <v>0.23131682414530713</v>
      </c>
      <c r="X265" s="7" cm="1">
        <f t="array" ref="X26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5" s="9">
        <f>MAX(kmin, kmax - 0.15 * MIN(Games[[#This Row],[GamesPlayed]], 82))</f>
        <v>73.150000000000006</v>
      </c>
      <c r="Z265" s="4">
        <f>Games[[#This Row],[K]]*Games[[#This Row],[POMult]]</f>
        <v>73.150000000000006</v>
      </c>
      <c r="AA265" s="4">
        <f>(Games[[#This Row],[Keff]]*Games[[#This Row],[MOVMult]])*(Games[[#This Row],[Result]]-Games[[#This Row],[ExpectedWin%]])</f>
        <v>-9.2681412820434907</v>
      </c>
      <c r="AB265" s="4">
        <f>Games[[#This Row],[PreGmRate]]+Games[[#This Row],[RatingChange]]</f>
        <v>1475.2703049579168</v>
      </c>
      <c r="AC265" s="2">
        <f>IF(Games[[#This Row],[Type]]="R",IF(Games[[#This Row],[Result]]&gt;0.5,1,0),0)</f>
        <v>0</v>
      </c>
      <c r="AD265" s="2">
        <f>IF(Games[[#This Row],[Type]]="R",IF(Games[[#This Row],[Result]]&lt;0.5,1,0),0)</f>
        <v>1</v>
      </c>
      <c r="AE265" s="2">
        <f>IF(AND(Games[[#This Row],[Type]]="P",Games[[#This Row],[Round]]=1),IF(Games[[#This Row],[Result]]&gt;0.5,1,0),0)</f>
        <v>0</v>
      </c>
      <c r="AF265" s="2">
        <f>IF(AND(Games[[#This Row],[Type]]="P",Games[[#This Row],[Round]]=1),IF(Games[[#This Row],[Result]]&lt;0.5,1,0),0)</f>
        <v>0</v>
      </c>
      <c r="AG265" s="2">
        <f>IF(AND(Games[[#This Row],[Type]]="P",Games[[#This Row],[Round]]=2),IF(Games[[#This Row],[Result]]&gt;0.5,1,0),0)</f>
        <v>0</v>
      </c>
      <c r="AH265" s="2">
        <f>IF(AND(Games[[#This Row],[Type]]="P",Games[[#This Row],[Round]]=2),IF(Games[[#This Row],[Result]]&lt;0.5,1,0),0)</f>
        <v>0</v>
      </c>
      <c r="AI265" s="2">
        <f>IF(AND(Games[[#This Row],[Type]]="P",Games[[#This Row],[Round]]=3),IF(Games[[#This Row],[Result]]&gt;0.5,1,0),0)</f>
        <v>0</v>
      </c>
      <c r="AJ265" s="2">
        <f>IF(AND(Games[[#This Row],[Type]]="P",Games[[#This Row],[Round]]=3),IF(Games[[#This Row],[Result]]&lt;0.5,1,0),0)</f>
        <v>0</v>
      </c>
      <c r="AK265" s="2">
        <f>IF(AND(Games[[#This Row],[Type]]="P",Games[[#This Row],[Round]]=4),IF(Games[[#This Row],[Result]]&gt;0.5,1,0),0)</f>
        <v>0</v>
      </c>
      <c r="AL265" s="2">
        <f>IF(AND(Games[[#This Row],[Type]]="P",Games[[#This Row],[Round]]=4),IF(Games[[#This Row],[Result]]&lt;0.5,1,0),0)</f>
        <v>0</v>
      </c>
    </row>
    <row r="266" spans="1:38" x14ac:dyDescent="0.35">
      <c r="A266" s="10">
        <v>37821</v>
      </c>
      <c r="B266" s="2">
        <v>2003</v>
      </c>
      <c r="C266" s="2">
        <f>COUNTIFS(Games[Team],Games[[#This Row],[Team]],Games[Season],Games[[#This Row],[Season]],Games[Date],"&lt;=" &amp; Games[[#This Row],[Date]])</f>
        <v>21</v>
      </c>
      <c r="D266" s="2" t="s">
        <v>23</v>
      </c>
      <c r="E266" s="2" t="s">
        <v>29</v>
      </c>
      <c r="F266" s="1" t="s">
        <v>87</v>
      </c>
      <c r="G266" s="1" t="s">
        <v>44</v>
      </c>
      <c r="H266" s="1" t="s">
        <v>16</v>
      </c>
      <c r="I266" s="2" cm="1">
        <f t="array" ref="I266">IFERROR(
    Games[[#This Row],[Date]]
    - LOOKUP(
        2,
        1/((Games[Team]=Games[[#This Row],[Team]]) * (Games[Date] &lt; Games[[#This Row],[Date]])),
        Games[Date]
    )
    - 1,
Games[[#This Row],[Date]]-$A$2)</f>
        <v>1</v>
      </c>
      <c r="J266" s="2" cm="1">
        <f t="array" ref="J266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66" s="2">
        <f>Games[[#This Row],[DaysOff]]-Games[[#This Row],[OppDaysOff]]</f>
        <v>-2</v>
      </c>
      <c r="L266" s="2">
        <f>Games[[#This Row],[OppDaysOff]]-Games[[#This Row],[DaysOff]]</f>
        <v>2</v>
      </c>
      <c r="M266" s="1">
        <f>MAX(-16, MIN(16, Games[[#This Row],[RestDiff]]*8))</f>
        <v>-16</v>
      </c>
      <c r="N266" s="1">
        <f>MAX(-16, MIN(16, Games[[#This Row],[OppRestDiff]]*8))</f>
        <v>16</v>
      </c>
      <c r="O266" s="4" cm="1">
        <f t="array" ref="O26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1465.1245567265805</v>
      </c>
      <c r="P266" s="4" cm="1">
        <f t="array" ref="P26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1360.0992670468177</v>
      </c>
      <c r="Q266" s="4">
        <f>1/(1+10^(((Games[[#This Row],[OppPreGmRate]]+IF(Games[[#This Row],[HomeAway]]="A",HCA,0)+Games[[#This Row],[OppRestAdj]])-(Games[[#This Row],[PreGmRate]]+IF(Games[[#This Row],[HomeAway]]="H",HCA,0)+Games[[#This Row],[RestAdj]]))/400))</f>
        <v>0.48421137313633372</v>
      </c>
      <c r="R266" s="1">
        <v>75</v>
      </c>
      <c r="S266" s="1">
        <v>67</v>
      </c>
      <c r="T266" s="1">
        <v>0</v>
      </c>
      <c r="U266" s="1">
        <f>Games[[#This Row],[PointsFor]]-Games[[#This Row],[PointsAgainst]]</f>
        <v>8</v>
      </c>
      <c r="V266" s="1">
        <f>IF(Games[[#This Row],[MOV]]&gt;0,1,IF(Games[[#This Row],[MOV]]=0,0.5,0))</f>
        <v>1</v>
      </c>
      <c r="W266" s="4">
        <f>((ABS(Games[[#This Row],[MOV]])+5)^0.6)/(12+0.01*(ABS(Games[[#This Row],[PreGmRate]]-Games[[#This Row],[OppPreGmRate]])))*IF(Games[[#This Row],[OT]]=1,0.9,1)</f>
        <v>0.35706483674193934</v>
      </c>
      <c r="X266" s="7" cm="1">
        <f t="array" ref="X26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6" s="9">
        <f>MAX(kmin, kmax - 0.15 * MIN(Games[[#This Row],[GamesPlayed]], 82))</f>
        <v>72.849999999999994</v>
      </c>
      <c r="Z266" s="4">
        <f>Games[[#This Row],[K]]*Games[[#This Row],[POMult]]</f>
        <v>72.849999999999994</v>
      </c>
      <c r="AA266" s="4">
        <f>(Games[[#This Row],[Keff]]*Games[[#This Row],[MOVMult]])*(Games[[#This Row],[Result]]-Games[[#This Row],[ExpectedWin%]])</f>
        <v>13.416783177366291</v>
      </c>
      <c r="AB266" s="4">
        <f>Games[[#This Row],[PreGmRate]]+Games[[#This Row],[RatingChange]]</f>
        <v>1478.5413399039469</v>
      </c>
      <c r="AC266" s="2">
        <f>IF(Games[[#This Row],[Type]]="R",IF(Games[[#This Row],[Result]]&gt;0.5,1,0),0)</f>
        <v>1</v>
      </c>
      <c r="AD266" s="2">
        <f>IF(Games[[#This Row],[Type]]="R",IF(Games[[#This Row],[Result]]&lt;0.5,1,0),0)</f>
        <v>0</v>
      </c>
      <c r="AE266" s="2">
        <f>IF(AND(Games[[#This Row],[Type]]="P",Games[[#This Row],[Round]]=1),IF(Games[[#This Row],[Result]]&gt;0.5,1,0),0)</f>
        <v>0</v>
      </c>
      <c r="AF266" s="2">
        <f>IF(AND(Games[[#This Row],[Type]]="P",Games[[#This Row],[Round]]=1),IF(Games[[#This Row],[Result]]&lt;0.5,1,0),0)</f>
        <v>0</v>
      </c>
      <c r="AG266" s="2">
        <f>IF(AND(Games[[#This Row],[Type]]="P",Games[[#This Row],[Round]]=2),IF(Games[[#This Row],[Result]]&gt;0.5,1,0),0)</f>
        <v>0</v>
      </c>
      <c r="AH266" s="2">
        <f>IF(AND(Games[[#This Row],[Type]]="P",Games[[#This Row],[Round]]=2),IF(Games[[#This Row],[Result]]&lt;0.5,1,0),0)</f>
        <v>0</v>
      </c>
      <c r="AI266" s="2">
        <f>IF(AND(Games[[#This Row],[Type]]="P",Games[[#This Row],[Round]]=3),IF(Games[[#This Row],[Result]]&gt;0.5,1,0),0)</f>
        <v>0</v>
      </c>
      <c r="AJ266" s="2">
        <f>IF(AND(Games[[#This Row],[Type]]="P",Games[[#This Row],[Round]]=3),IF(Games[[#This Row],[Result]]&lt;0.5,1,0),0)</f>
        <v>0</v>
      </c>
      <c r="AK266" s="2">
        <f>IF(AND(Games[[#This Row],[Type]]="P",Games[[#This Row],[Round]]=4),IF(Games[[#This Row],[Result]]&gt;0.5,1,0),0)</f>
        <v>0</v>
      </c>
      <c r="AL266" s="2">
        <f>IF(AND(Games[[#This Row],[Type]]="P",Games[[#This Row],[Round]]=4),IF(Games[[#This Row],[Result]]&lt;0.5,1,0),0)</f>
        <v>0</v>
      </c>
    </row>
    <row r="267" spans="1:38" x14ac:dyDescent="0.35">
      <c r="A267" s="10">
        <v>37821</v>
      </c>
      <c r="B267" s="2">
        <v>2003</v>
      </c>
      <c r="C267" s="2">
        <f>COUNTIFS(Games[Team],Games[[#This Row],[Team]],Games[Season],Games[[#This Row],[Season]],Games[Date],"&lt;=" &amp; Games[[#This Row],[Date]])</f>
        <v>19</v>
      </c>
      <c r="D267" s="2" t="s">
        <v>23</v>
      </c>
      <c r="E267" s="2" t="s">
        <v>29</v>
      </c>
      <c r="F267" s="1" t="s">
        <v>44</v>
      </c>
      <c r="G267" s="1" t="s">
        <v>87</v>
      </c>
      <c r="H267" s="1" t="s">
        <v>15</v>
      </c>
      <c r="I267" s="2" cm="1">
        <f t="array" ref="I267">IFERROR(
    Games[[#This Row],[Date]]
    - LOOKUP(
        2,
        1/((Games[Team]=Games[[#This Row],[Team]]) * (Games[Date] &lt; Games[[#This Row],[Date]])),
        Games[Date]
    )
    - 1,
Games[[#This Row],[Date]]-$A$2)</f>
        <v>3</v>
      </c>
      <c r="J267" s="2" cm="1">
        <f t="array" ref="J26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67" s="2">
        <f>Games[[#This Row],[DaysOff]]-Games[[#This Row],[OppDaysOff]]</f>
        <v>2</v>
      </c>
      <c r="L267" s="2">
        <f>Games[[#This Row],[OppDaysOff]]-Games[[#This Row],[DaysOff]]</f>
        <v>-2</v>
      </c>
      <c r="M267" s="1">
        <f>MAX(-16, MIN(16, Games[[#This Row],[RestDiff]]*8))</f>
        <v>16</v>
      </c>
      <c r="N267" s="1">
        <f>MAX(-16, MIN(16, Games[[#This Row],[OppRestDiff]]*8))</f>
        <v>-16</v>
      </c>
      <c r="O267" s="4" cm="1">
        <f t="array" ref="O26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1360.0992670468177</v>
      </c>
      <c r="P267" s="4" cm="1">
        <f t="array" ref="P26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1465.1245567265805</v>
      </c>
      <c r="Q267" s="4">
        <f>1/(1+10^(((Games[[#This Row],[OppPreGmRate]]+IF(Games[[#This Row],[HomeAway]]="A",HCA,0)+Games[[#This Row],[OppRestAdj]])-(Games[[#This Row],[PreGmRate]]+IF(Games[[#This Row],[HomeAway]]="H",HCA,0)+Games[[#This Row],[RestAdj]]))/400))</f>
        <v>0.51578862686366622</v>
      </c>
      <c r="R267" s="1">
        <v>67</v>
      </c>
      <c r="S267" s="1">
        <v>75</v>
      </c>
      <c r="T267" s="1">
        <v>0</v>
      </c>
      <c r="U267" s="1">
        <f>Games[[#This Row],[PointsFor]]-Games[[#This Row],[PointsAgainst]]</f>
        <v>-8</v>
      </c>
      <c r="V267" s="1">
        <f>IF(Games[[#This Row],[MOV]]&gt;0,1,IF(Games[[#This Row],[MOV]]=0,0.5,0))</f>
        <v>0</v>
      </c>
      <c r="W267" s="4">
        <f>((ABS(Games[[#This Row],[MOV]])+5)^0.6)/(12+0.01*(ABS(Games[[#This Row],[PreGmRate]]-Games[[#This Row],[OppPreGmRate]])))*IF(Games[[#This Row],[OT]]=1,0.9,1)</f>
        <v>0.35706483674193934</v>
      </c>
      <c r="X267" s="7" cm="1">
        <f t="array" ref="X26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7" s="9">
        <f>MAX(kmin, kmax - 0.15 * MIN(Games[[#This Row],[GamesPlayed]], 82))</f>
        <v>73.150000000000006</v>
      </c>
      <c r="Z267" s="4">
        <f>Games[[#This Row],[K]]*Games[[#This Row],[POMult]]</f>
        <v>73.150000000000006</v>
      </c>
      <c r="AA267" s="4">
        <f>(Games[[#This Row],[Keff]]*Games[[#This Row],[MOVMult]])*(Games[[#This Row],[Result]]-Games[[#This Row],[ExpectedWin%]])</f>
        <v>-13.472034171919619</v>
      </c>
      <c r="AB267" s="4">
        <f>Games[[#This Row],[PreGmRate]]+Games[[#This Row],[RatingChange]]</f>
        <v>1346.627232874898</v>
      </c>
      <c r="AC267" s="2">
        <f>IF(Games[[#This Row],[Type]]="R",IF(Games[[#This Row],[Result]]&gt;0.5,1,0),0)</f>
        <v>0</v>
      </c>
      <c r="AD267" s="2">
        <f>IF(Games[[#This Row],[Type]]="R",IF(Games[[#This Row],[Result]]&lt;0.5,1,0),0)</f>
        <v>1</v>
      </c>
      <c r="AE267" s="2">
        <f>IF(AND(Games[[#This Row],[Type]]="P",Games[[#This Row],[Round]]=1),IF(Games[[#This Row],[Result]]&gt;0.5,1,0),0)</f>
        <v>0</v>
      </c>
      <c r="AF267" s="2">
        <f>IF(AND(Games[[#This Row],[Type]]="P",Games[[#This Row],[Round]]=1),IF(Games[[#This Row],[Result]]&lt;0.5,1,0),0)</f>
        <v>0</v>
      </c>
      <c r="AG267" s="2">
        <f>IF(AND(Games[[#This Row],[Type]]="P",Games[[#This Row],[Round]]=2),IF(Games[[#This Row],[Result]]&gt;0.5,1,0),0)</f>
        <v>0</v>
      </c>
      <c r="AH267" s="2">
        <f>IF(AND(Games[[#This Row],[Type]]="P",Games[[#This Row],[Round]]=2),IF(Games[[#This Row],[Result]]&lt;0.5,1,0),0)</f>
        <v>0</v>
      </c>
      <c r="AI267" s="2">
        <f>IF(AND(Games[[#This Row],[Type]]="P",Games[[#This Row],[Round]]=3),IF(Games[[#This Row],[Result]]&gt;0.5,1,0),0)</f>
        <v>0</v>
      </c>
      <c r="AJ267" s="2">
        <f>IF(AND(Games[[#This Row],[Type]]="P",Games[[#This Row],[Round]]=3),IF(Games[[#This Row],[Result]]&lt;0.5,1,0),0)</f>
        <v>0</v>
      </c>
      <c r="AK267" s="2">
        <f>IF(AND(Games[[#This Row],[Type]]="P",Games[[#This Row],[Round]]=4),IF(Games[[#This Row],[Result]]&gt;0.5,1,0),0)</f>
        <v>0</v>
      </c>
      <c r="AL267" s="2">
        <f>IF(AND(Games[[#This Row],[Type]]="P",Games[[#This Row],[Round]]=4),IF(Games[[#This Row],[Result]]&lt;0.5,1,0),0)</f>
        <v>0</v>
      </c>
    </row>
    <row r="268" spans="1:38" x14ac:dyDescent="0.35">
      <c r="A268" s="10">
        <v>37821</v>
      </c>
      <c r="B268" s="2">
        <v>2003</v>
      </c>
      <c r="C268" s="2">
        <f>COUNTIFS(Games[Team],Games[[#This Row],[Team]],Games[Season],Games[[#This Row],[Season]],Games[Date],"&lt;=" &amp; Games[[#This Row],[Date]])</f>
        <v>20</v>
      </c>
      <c r="D268" s="2" t="s">
        <v>23</v>
      </c>
      <c r="E268" s="2" t="s">
        <v>29</v>
      </c>
      <c r="F268" s="1" t="s">
        <v>2</v>
      </c>
      <c r="G268" s="1" t="s">
        <v>45</v>
      </c>
      <c r="H268" s="1" t="s">
        <v>16</v>
      </c>
      <c r="I268" s="2" cm="1">
        <f t="array" ref="I268">IFERROR(
    Games[[#This Row],[Date]]
    - LOOKUP(
        2,
        1/((Games[Team]=Games[[#This Row],[Team]]) * (Games[Date] &lt; Games[[#This Row],[Date]])),
        Games[Date]
    )
    - 1,
Games[[#This Row],[Date]]-$A$2)</f>
        <v>0</v>
      </c>
      <c r="J268" s="2" cm="1">
        <f t="array" ref="J26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68" s="2">
        <f>Games[[#This Row],[DaysOff]]-Games[[#This Row],[OppDaysOff]]</f>
        <v>-1</v>
      </c>
      <c r="L268" s="2">
        <f>Games[[#This Row],[OppDaysOff]]-Games[[#This Row],[DaysOff]]</f>
        <v>1</v>
      </c>
      <c r="M268" s="1">
        <f>MAX(-16, MIN(16, Games[[#This Row],[RestDiff]]*8))</f>
        <v>-8</v>
      </c>
      <c r="N268" s="1">
        <f>MAX(-16, MIN(16, Games[[#This Row],[OppRestDiff]]*8))</f>
        <v>8</v>
      </c>
      <c r="O268" s="4" cm="1">
        <f t="array" ref="O26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1557.2741866128072</v>
      </c>
      <c r="P268" s="4" cm="1">
        <f t="array" ref="P26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1517.1311429779673</v>
      </c>
      <c r="Q268" s="4">
        <f>1/(1+10^(((Games[[#This Row],[OppPreGmRate]]+IF(Games[[#This Row],[HomeAway]]="A",HCA,0)+Games[[#This Row],[OppRestAdj]])-(Games[[#This Row],[PreGmRate]]+IF(Games[[#This Row],[HomeAway]]="H",HCA,0)+Games[[#This Row],[RestAdj]]))/400))</f>
        <v>0.41470117246590471</v>
      </c>
      <c r="R268" s="1">
        <v>74</v>
      </c>
      <c r="S268" s="1">
        <v>71</v>
      </c>
      <c r="T268" s="1">
        <v>0</v>
      </c>
      <c r="U268" s="1">
        <f>Games[[#This Row],[PointsFor]]-Games[[#This Row],[PointsAgainst]]</f>
        <v>3</v>
      </c>
      <c r="V268" s="1">
        <f>IF(Games[[#This Row],[MOV]]&gt;0,1,IF(Games[[#This Row],[MOV]]=0,0.5,0))</f>
        <v>1</v>
      </c>
      <c r="W268" s="4">
        <f>((ABS(Games[[#This Row],[MOV]])+5)^0.6)/(12+0.01*(ABS(Games[[#This Row],[PreGmRate]]-Games[[#This Row],[OppPreGmRate]])))*IF(Games[[#This Row],[OT]]=1,0.9,1)</f>
        <v>0.28079037100254306</v>
      </c>
      <c r="X268" s="7" cm="1">
        <f t="array" ref="X26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8" s="9">
        <f>MAX(kmin, kmax - 0.15 * MIN(Games[[#This Row],[GamesPlayed]], 82))</f>
        <v>73</v>
      </c>
      <c r="Z268" s="4">
        <f>Games[[#This Row],[K]]*Games[[#This Row],[POMult]]</f>
        <v>73</v>
      </c>
      <c r="AA268" s="4">
        <f>(Games[[#This Row],[Keff]]*Games[[#This Row],[MOVMult]])*(Games[[#This Row],[Result]]-Games[[#This Row],[ExpectedWin%]])</f>
        <v>11.997278069937602</v>
      </c>
      <c r="AB268" s="4">
        <f>Games[[#This Row],[PreGmRate]]+Games[[#This Row],[RatingChange]]</f>
        <v>1569.2714646827449</v>
      </c>
      <c r="AC268" s="2">
        <f>IF(Games[[#This Row],[Type]]="R",IF(Games[[#This Row],[Result]]&gt;0.5,1,0),0)</f>
        <v>1</v>
      </c>
      <c r="AD268" s="2">
        <f>IF(Games[[#This Row],[Type]]="R",IF(Games[[#This Row],[Result]]&lt;0.5,1,0),0)</f>
        <v>0</v>
      </c>
      <c r="AE268" s="2">
        <f>IF(AND(Games[[#This Row],[Type]]="P",Games[[#This Row],[Round]]=1),IF(Games[[#This Row],[Result]]&gt;0.5,1,0),0)</f>
        <v>0</v>
      </c>
      <c r="AF268" s="2">
        <f>IF(AND(Games[[#This Row],[Type]]="P",Games[[#This Row],[Round]]=1),IF(Games[[#This Row],[Result]]&lt;0.5,1,0),0)</f>
        <v>0</v>
      </c>
      <c r="AG268" s="2">
        <f>IF(AND(Games[[#This Row],[Type]]="P",Games[[#This Row],[Round]]=2),IF(Games[[#This Row],[Result]]&gt;0.5,1,0),0)</f>
        <v>0</v>
      </c>
      <c r="AH268" s="2">
        <f>IF(AND(Games[[#This Row],[Type]]="P",Games[[#This Row],[Round]]=2),IF(Games[[#This Row],[Result]]&lt;0.5,1,0),0)</f>
        <v>0</v>
      </c>
      <c r="AI268" s="2">
        <f>IF(AND(Games[[#This Row],[Type]]="P",Games[[#This Row],[Round]]=3),IF(Games[[#This Row],[Result]]&gt;0.5,1,0),0)</f>
        <v>0</v>
      </c>
      <c r="AJ268" s="2">
        <f>IF(AND(Games[[#This Row],[Type]]="P",Games[[#This Row],[Round]]=3),IF(Games[[#This Row],[Result]]&lt;0.5,1,0),0)</f>
        <v>0</v>
      </c>
      <c r="AK268" s="2">
        <f>IF(AND(Games[[#This Row],[Type]]="P",Games[[#This Row],[Round]]=4),IF(Games[[#This Row],[Result]]&gt;0.5,1,0),0)</f>
        <v>0</v>
      </c>
      <c r="AL268" s="2">
        <f>IF(AND(Games[[#This Row],[Type]]="P",Games[[#This Row],[Round]]=4),IF(Games[[#This Row],[Result]]&lt;0.5,1,0),0)</f>
        <v>0</v>
      </c>
    </row>
    <row r="269" spans="1:38" x14ac:dyDescent="0.35">
      <c r="A269" s="10">
        <v>37821</v>
      </c>
      <c r="B269" s="2">
        <v>2003</v>
      </c>
      <c r="C269" s="2">
        <f>COUNTIFS(Games[Team],Games[[#This Row],[Team]],Games[Season],Games[[#This Row],[Season]],Games[Date],"&lt;=" &amp; Games[[#This Row],[Date]])</f>
        <v>22</v>
      </c>
      <c r="D269" s="2" t="s">
        <v>23</v>
      </c>
      <c r="E269" s="2" t="s">
        <v>29</v>
      </c>
      <c r="F269" s="1" t="s">
        <v>45</v>
      </c>
      <c r="G269" s="1" t="s">
        <v>2</v>
      </c>
      <c r="H269" s="1" t="s">
        <v>15</v>
      </c>
      <c r="I269" s="2" cm="1">
        <f t="array" ref="I269">IFERROR(
    Games[[#This Row],[Date]]
    - LOOKUP(
        2,
        1/((Games[Team]=Games[[#This Row],[Team]]) * (Games[Date] &lt; Games[[#This Row],[Date]])),
        Games[Date]
    )
    - 1,
Games[[#This Row],[Date]]-$A$2)</f>
        <v>1</v>
      </c>
      <c r="J269" s="2" cm="1">
        <f t="array" ref="J269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69" s="2">
        <f>Games[[#This Row],[DaysOff]]-Games[[#This Row],[OppDaysOff]]</f>
        <v>1</v>
      </c>
      <c r="L269" s="2">
        <f>Games[[#This Row],[OppDaysOff]]-Games[[#This Row],[DaysOff]]</f>
        <v>-1</v>
      </c>
      <c r="M269" s="1">
        <f>MAX(-16, MIN(16, Games[[#This Row],[RestDiff]]*8))</f>
        <v>8</v>
      </c>
      <c r="N269" s="1">
        <f>MAX(-16, MIN(16, Games[[#This Row],[OppRestDiff]]*8))</f>
        <v>-8</v>
      </c>
      <c r="O269" s="4" cm="1">
        <f t="array" ref="O26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1517.1311429779673</v>
      </c>
      <c r="P269" s="4" cm="1">
        <f t="array" ref="P26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1557.2741866128072</v>
      </c>
      <c r="Q269" s="4">
        <f>1/(1+10^(((Games[[#This Row],[OppPreGmRate]]+IF(Games[[#This Row],[HomeAway]]="A",HCA,0)+Games[[#This Row],[OppRestAdj]])-(Games[[#This Row],[PreGmRate]]+IF(Games[[#This Row],[HomeAway]]="H",HCA,0)+Games[[#This Row],[RestAdj]]))/400))</f>
        <v>0.58529882753409535</v>
      </c>
      <c r="R269" s="1">
        <v>71</v>
      </c>
      <c r="S269" s="1">
        <v>74</v>
      </c>
      <c r="T269" s="1">
        <v>0</v>
      </c>
      <c r="U269" s="1">
        <f>Games[[#This Row],[PointsFor]]-Games[[#This Row],[PointsAgainst]]</f>
        <v>-3</v>
      </c>
      <c r="V269" s="1">
        <f>IF(Games[[#This Row],[MOV]]&gt;0,1,IF(Games[[#This Row],[MOV]]=0,0.5,0))</f>
        <v>0</v>
      </c>
      <c r="W269" s="4">
        <f>((ABS(Games[[#This Row],[MOV]])+5)^0.6)/(12+0.01*(ABS(Games[[#This Row],[PreGmRate]]-Games[[#This Row],[OppPreGmRate]])))*IF(Games[[#This Row],[OT]]=1,0.9,1)</f>
        <v>0.28079037100254306</v>
      </c>
      <c r="X269" s="7" cm="1">
        <f t="array" ref="X26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9" s="9">
        <f>MAX(kmin, kmax - 0.15 * MIN(Games[[#This Row],[GamesPlayed]], 82))</f>
        <v>72.7</v>
      </c>
      <c r="Z269" s="4">
        <f>Games[[#This Row],[K]]*Games[[#This Row],[POMult]]</f>
        <v>72.7</v>
      </c>
      <c r="AA269" s="4">
        <f>(Games[[#This Row],[Keff]]*Games[[#This Row],[MOVMult]])*(Games[[#This Row],[Result]]-Games[[#This Row],[ExpectedWin%]])</f>
        <v>-11.947974187458406</v>
      </c>
      <c r="AB269" s="4">
        <f>Games[[#This Row],[PreGmRate]]+Games[[#This Row],[RatingChange]]</f>
        <v>1505.1831687905089</v>
      </c>
      <c r="AC269" s="2">
        <f>IF(Games[[#This Row],[Type]]="R",IF(Games[[#This Row],[Result]]&gt;0.5,1,0),0)</f>
        <v>0</v>
      </c>
      <c r="AD269" s="2">
        <f>IF(Games[[#This Row],[Type]]="R",IF(Games[[#This Row],[Result]]&lt;0.5,1,0),0)</f>
        <v>1</v>
      </c>
      <c r="AE269" s="2">
        <f>IF(AND(Games[[#This Row],[Type]]="P",Games[[#This Row],[Round]]=1),IF(Games[[#This Row],[Result]]&gt;0.5,1,0),0)</f>
        <v>0</v>
      </c>
      <c r="AF269" s="2">
        <f>IF(AND(Games[[#This Row],[Type]]="P",Games[[#This Row],[Round]]=1),IF(Games[[#This Row],[Result]]&lt;0.5,1,0),0)</f>
        <v>0</v>
      </c>
      <c r="AG269" s="2">
        <f>IF(AND(Games[[#This Row],[Type]]="P",Games[[#This Row],[Round]]=2),IF(Games[[#This Row],[Result]]&gt;0.5,1,0),0)</f>
        <v>0</v>
      </c>
      <c r="AH269" s="2">
        <f>IF(AND(Games[[#This Row],[Type]]="P",Games[[#This Row],[Round]]=2),IF(Games[[#This Row],[Result]]&lt;0.5,1,0),0)</f>
        <v>0</v>
      </c>
      <c r="AI269" s="2">
        <f>IF(AND(Games[[#This Row],[Type]]="P",Games[[#This Row],[Round]]=3),IF(Games[[#This Row],[Result]]&gt;0.5,1,0),0)</f>
        <v>0</v>
      </c>
      <c r="AJ269" s="2">
        <f>IF(AND(Games[[#This Row],[Type]]="P",Games[[#This Row],[Round]]=3),IF(Games[[#This Row],[Result]]&lt;0.5,1,0),0)</f>
        <v>0</v>
      </c>
      <c r="AK269" s="2">
        <f>IF(AND(Games[[#This Row],[Type]]="P",Games[[#This Row],[Round]]=4),IF(Games[[#This Row],[Result]]&gt;0.5,1,0),0)</f>
        <v>0</v>
      </c>
      <c r="AL269" s="2">
        <f>IF(AND(Games[[#This Row],[Type]]="P",Games[[#This Row],[Round]]=4),IF(Games[[#This Row],[Result]]&lt;0.5,1,0),0)</f>
        <v>0</v>
      </c>
    </row>
    <row r="270" spans="1:38" x14ac:dyDescent="0.35">
      <c r="A270" s="10">
        <v>37821</v>
      </c>
      <c r="B270" s="2">
        <v>2003</v>
      </c>
      <c r="C270" s="2">
        <f>COUNTIFS(Games[Team],Games[[#This Row],[Team]],Games[Season],Games[[#This Row],[Season]],Games[Date],"&lt;=" &amp; Games[[#This Row],[Date]])</f>
        <v>19</v>
      </c>
      <c r="D270" s="2" t="s">
        <v>23</v>
      </c>
      <c r="E270" s="2" t="s">
        <v>29</v>
      </c>
      <c r="F270" s="1" t="s">
        <v>74</v>
      </c>
      <c r="G270" s="1" t="s">
        <v>85</v>
      </c>
      <c r="H270" s="1" t="s">
        <v>16</v>
      </c>
      <c r="I270" s="2" cm="1">
        <f t="array" ref="I270">IFERROR(
    Games[[#This Row],[Date]]
    - LOOKUP(
        2,
        1/((Games[Team]=Games[[#This Row],[Team]]) * (Games[Date] &lt; Games[[#This Row],[Date]])),
        Games[Date]
    )
    - 1,
Games[[#This Row],[Date]]-$A$2)</f>
        <v>1</v>
      </c>
      <c r="J270" s="2" cm="1">
        <f t="array" ref="J27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70" s="2">
        <f>Games[[#This Row],[DaysOff]]-Games[[#This Row],[OppDaysOff]]</f>
        <v>0</v>
      </c>
      <c r="L270" s="2">
        <f>Games[[#This Row],[OppDaysOff]]-Games[[#This Row],[DaysOff]]</f>
        <v>0</v>
      </c>
      <c r="M270" s="1">
        <f>MAX(-16, MIN(16, Games[[#This Row],[RestDiff]]*8))</f>
        <v>0</v>
      </c>
      <c r="N270" s="1">
        <f>MAX(-16, MIN(16, Games[[#This Row],[OppRestDiff]]*8))</f>
        <v>0</v>
      </c>
      <c r="O270" s="4" cm="1">
        <f t="array" ref="O27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1384.9631352801268</v>
      </c>
      <c r="P270" s="4" cm="1">
        <f t="array" ref="P27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1419.9777684118567</v>
      </c>
      <c r="Q270" s="4">
        <f>1/(1+10^(((Games[[#This Row],[OppPreGmRate]]+IF(Games[[#This Row],[HomeAway]]="A",HCA,0)+Games[[#This Row],[OppRestAdj]])-(Games[[#This Row],[PreGmRate]]+IF(Games[[#This Row],[HomeAway]]="H",HCA,0)+Games[[#This Row],[RestAdj]]))/400))</f>
        <v>0.33512325229035572</v>
      </c>
      <c r="R270" s="1">
        <v>85</v>
      </c>
      <c r="S270" s="1">
        <v>77</v>
      </c>
      <c r="T270" s="1">
        <v>0</v>
      </c>
      <c r="U270" s="1">
        <f>Games[[#This Row],[PointsFor]]-Games[[#This Row],[PointsAgainst]]</f>
        <v>8</v>
      </c>
      <c r="V270" s="1">
        <f>IF(Games[[#This Row],[MOV]]&gt;0,1,IF(Games[[#This Row],[MOV]]=0,0.5,0))</f>
        <v>1</v>
      </c>
      <c r="W270" s="4">
        <f>((ABS(Games[[#This Row],[MOV]])+5)^0.6)/(12+0.01*(ABS(Games[[#This Row],[PreGmRate]]-Games[[#This Row],[OppPreGmRate]])))*IF(Games[[#This Row],[OT]]=1,0.9,1)</f>
        <v>0.37730617071474337</v>
      </c>
      <c r="X270" s="7" cm="1">
        <f t="array" ref="X27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0" s="9">
        <f>MAX(kmin, kmax - 0.15 * MIN(Games[[#This Row],[GamesPlayed]], 82))</f>
        <v>73.150000000000006</v>
      </c>
      <c r="Z270" s="4">
        <f>Games[[#This Row],[K]]*Games[[#This Row],[POMult]]</f>
        <v>73.150000000000006</v>
      </c>
      <c r="AA270" s="4">
        <f>(Games[[#This Row],[Keff]]*Games[[#This Row],[MOVMult]])*(Games[[#This Row],[Result]]-Games[[#This Row],[ExpectedWin%]])</f>
        <v>18.350562591270023</v>
      </c>
      <c r="AB270" s="4">
        <f>Games[[#This Row],[PreGmRate]]+Games[[#This Row],[RatingChange]]</f>
        <v>1403.3136978713969</v>
      </c>
      <c r="AC270" s="2">
        <f>IF(Games[[#This Row],[Type]]="R",IF(Games[[#This Row],[Result]]&gt;0.5,1,0),0)</f>
        <v>1</v>
      </c>
      <c r="AD270" s="2">
        <f>IF(Games[[#This Row],[Type]]="R",IF(Games[[#This Row],[Result]]&lt;0.5,1,0),0)</f>
        <v>0</v>
      </c>
      <c r="AE270" s="2">
        <f>IF(AND(Games[[#This Row],[Type]]="P",Games[[#This Row],[Round]]=1),IF(Games[[#This Row],[Result]]&gt;0.5,1,0),0)</f>
        <v>0</v>
      </c>
      <c r="AF270" s="2">
        <f>IF(AND(Games[[#This Row],[Type]]="P",Games[[#This Row],[Round]]=1),IF(Games[[#This Row],[Result]]&lt;0.5,1,0),0)</f>
        <v>0</v>
      </c>
      <c r="AG270" s="2">
        <f>IF(AND(Games[[#This Row],[Type]]="P",Games[[#This Row],[Round]]=2),IF(Games[[#This Row],[Result]]&gt;0.5,1,0),0)</f>
        <v>0</v>
      </c>
      <c r="AH270" s="2">
        <f>IF(AND(Games[[#This Row],[Type]]="P",Games[[#This Row],[Round]]=2),IF(Games[[#This Row],[Result]]&lt;0.5,1,0),0)</f>
        <v>0</v>
      </c>
      <c r="AI270" s="2">
        <f>IF(AND(Games[[#This Row],[Type]]="P",Games[[#This Row],[Round]]=3),IF(Games[[#This Row],[Result]]&gt;0.5,1,0),0)</f>
        <v>0</v>
      </c>
      <c r="AJ270" s="2">
        <f>IF(AND(Games[[#This Row],[Type]]="P",Games[[#This Row],[Round]]=3),IF(Games[[#This Row],[Result]]&lt;0.5,1,0),0)</f>
        <v>0</v>
      </c>
      <c r="AK270" s="2">
        <f>IF(AND(Games[[#This Row],[Type]]="P",Games[[#This Row],[Round]]=4),IF(Games[[#This Row],[Result]]&gt;0.5,1,0),0)</f>
        <v>0</v>
      </c>
      <c r="AL270" s="2">
        <f>IF(AND(Games[[#This Row],[Type]]="P",Games[[#This Row],[Round]]=4),IF(Games[[#This Row],[Result]]&lt;0.5,1,0),0)</f>
        <v>0</v>
      </c>
    </row>
    <row r="271" spans="1:38" x14ac:dyDescent="0.35">
      <c r="A271" s="10">
        <v>37821</v>
      </c>
      <c r="B271" s="2">
        <v>2003</v>
      </c>
      <c r="C271" s="2">
        <f>COUNTIFS(Games[Team],Games[[#This Row],[Team]],Games[Season],Games[[#This Row],[Season]],Games[Date],"&lt;=" &amp; Games[[#This Row],[Date]])</f>
        <v>20</v>
      </c>
      <c r="D271" s="2" t="s">
        <v>23</v>
      </c>
      <c r="E271" s="2" t="s">
        <v>29</v>
      </c>
      <c r="F271" s="1" t="s">
        <v>85</v>
      </c>
      <c r="G271" s="1" t="s">
        <v>74</v>
      </c>
      <c r="H271" s="1" t="s">
        <v>15</v>
      </c>
      <c r="I271" s="2" cm="1">
        <f t="array" ref="I271">IFERROR(
    Games[[#This Row],[Date]]
    - LOOKUP(
        2,
        1/((Games[Team]=Games[[#This Row],[Team]]) * (Games[Date] &lt; Games[[#This Row],[Date]])),
        Games[Date]
    )
    - 1,
Games[[#This Row],[Date]]-$A$2)</f>
        <v>1</v>
      </c>
      <c r="J271" s="2" cm="1">
        <f t="array" ref="J27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71" s="2">
        <f>Games[[#This Row],[DaysOff]]-Games[[#This Row],[OppDaysOff]]</f>
        <v>0</v>
      </c>
      <c r="L271" s="2">
        <f>Games[[#This Row],[OppDaysOff]]-Games[[#This Row],[DaysOff]]</f>
        <v>0</v>
      </c>
      <c r="M271" s="1">
        <f>MAX(-16, MIN(16, Games[[#This Row],[RestDiff]]*8))</f>
        <v>0</v>
      </c>
      <c r="N271" s="1">
        <f>MAX(-16, MIN(16, Games[[#This Row],[OppRestDiff]]*8))</f>
        <v>0</v>
      </c>
      <c r="O271" s="4" cm="1">
        <f t="array" ref="O27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1419.9777684118567</v>
      </c>
      <c r="P271" s="4" cm="1">
        <f t="array" ref="P27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1384.9631352801268</v>
      </c>
      <c r="Q271" s="4">
        <f>1/(1+10^(((Games[[#This Row],[OppPreGmRate]]+IF(Games[[#This Row],[HomeAway]]="A",HCA,0)+Games[[#This Row],[OppRestAdj]])-(Games[[#This Row],[PreGmRate]]+IF(Games[[#This Row],[HomeAway]]="H",HCA,0)+Games[[#This Row],[RestAdj]]))/400))</f>
        <v>0.66487674770964433</v>
      </c>
      <c r="R271" s="1">
        <v>77</v>
      </c>
      <c r="S271" s="1">
        <v>85</v>
      </c>
      <c r="T271" s="1">
        <v>0</v>
      </c>
      <c r="U271" s="1">
        <f>Games[[#This Row],[PointsFor]]-Games[[#This Row],[PointsAgainst]]</f>
        <v>-8</v>
      </c>
      <c r="V271" s="1">
        <f>IF(Games[[#This Row],[MOV]]&gt;0,1,IF(Games[[#This Row],[MOV]]=0,0.5,0))</f>
        <v>0</v>
      </c>
      <c r="W271" s="4">
        <f>((ABS(Games[[#This Row],[MOV]])+5)^0.6)/(12+0.01*(ABS(Games[[#This Row],[PreGmRate]]-Games[[#This Row],[OppPreGmRate]])))*IF(Games[[#This Row],[OT]]=1,0.9,1)</f>
        <v>0.37730617071474337</v>
      </c>
      <c r="X271" s="7" cm="1">
        <f t="array" ref="X27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1" s="9">
        <f>MAX(kmin, kmax - 0.15 * MIN(Games[[#This Row],[GamesPlayed]], 82))</f>
        <v>73</v>
      </c>
      <c r="Z271" s="4">
        <f>Games[[#This Row],[K]]*Games[[#This Row],[POMult]]</f>
        <v>73</v>
      </c>
      <c r="AA271" s="4">
        <f>(Games[[#This Row],[Keff]]*Games[[#This Row],[MOVMult]])*(Games[[#This Row],[Result]]-Games[[#This Row],[ExpectedWin%]])</f>
        <v>-18.312933276318685</v>
      </c>
      <c r="AB271" s="4">
        <f>Games[[#This Row],[PreGmRate]]+Games[[#This Row],[RatingChange]]</f>
        <v>1401.6648351355379</v>
      </c>
      <c r="AC271" s="2">
        <f>IF(Games[[#This Row],[Type]]="R",IF(Games[[#This Row],[Result]]&gt;0.5,1,0),0)</f>
        <v>0</v>
      </c>
      <c r="AD271" s="2">
        <f>IF(Games[[#This Row],[Type]]="R",IF(Games[[#This Row],[Result]]&lt;0.5,1,0),0)</f>
        <v>1</v>
      </c>
      <c r="AE271" s="2">
        <f>IF(AND(Games[[#This Row],[Type]]="P",Games[[#This Row],[Round]]=1),IF(Games[[#This Row],[Result]]&gt;0.5,1,0),0)</f>
        <v>0</v>
      </c>
      <c r="AF271" s="2">
        <f>IF(AND(Games[[#This Row],[Type]]="P",Games[[#This Row],[Round]]=1),IF(Games[[#This Row],[Result]]&lt;0.5,1,0),0)</f>
        <v>0</v>
      </c>
      <c r="AG271" s="2">
        <f>IF(AND(Games[[#This Row],[Type]]="P",Games[[#This Row],[Round]]=2),IF(Games[[#This Row],[Result]]&gt;0.5,1,0),0)</f>
        <v>0</v>
      </c>
      <c r="AH271" s="2">
        <f>IF(AND(Games[[#This Row],[Type]]="P",Games[[#This Row],[Round]]=2),IF(Games[[#This Row],[Result]]&lt;0.5,1,0),0)</f>
        <v>0</v>
      </c>
      <c r="AI271" s="2">
        <f>IF(AND(Games[[#This Row],[Type]]="P",Games[[#This Row],[Round]]=3),IF(Games[[#This Row],[Result]]&gt;0.5,1,0),0)</f>
        <v>0</v>
      </c>
      <c r="AJ271" s="2">
        <f>IF(AND(Games[[#This Row],[Type]]="P",Games[[#This Row],[Round]]=3),IF(Games[[#This Row],[Result]]&lt;0.5,1,0),0)</f>
        <v>0</v>
      </c>
      <c r="AK271" s="2">
        <f>IF(AND(Games[[#This Row],[Type]]="P",Games[[#This Row],[Round]]=4),IF(Games[[#This Row],[Result]]&gt;0.5,1,0),0)</f>
        <v>0</v>
      </c>
      <c r="AL271" s="2">
        <f>IF(AND(Games[[#This Row],[Type]]="P",Games[[#This Row],[Round]]=4),IF(Games[[#This Row],[Result]]&lt;0.5,1,0),0)</f>
        <v>0</v>
      </c>
    </row>
    <row r="272" spans="1:38" x14ac:dyDescent="0.35">
      <c r="A272" s="10">
        <v>37822</v>
      </c>
      <c r="B272" s="2">
        <v>2003</v>
      </c>
      <c r="C272" s="2">
        <f>COUNTIFS(Games[Team],Games[[#This Row],[Team]],Games[Season],Games[[#This Row],[Season]],Games[Date],"&lt;=" &amp; Games[[#This Row],[Date]])</f>
        <v>20</v>
      </c>
      <c r="D272" s="2" t="s">
        <v>23</v>
      </c>
      <c r="E272" s="2" t="s">
        <v>29</v>
      </c>
      <c r="F272" s="1" t="s">
        <v>1</v>
      </c>
      <c r="G272" s="1" t="s">
        <v>64</v>
      </c>
      <c r="H272" s="1" t="s">
        <v>16</v>
      </c>
      <c r="I272" s="2" cm="1">
        <f t="array" ref="I272">IFERROR(
    Games[[#This Row],[Date]]
    - LOOKUP(
        2,
        1/((Games[Team]=Games[[#This Row],[Team]]) * (Games[Date] &lt; Games[[#This Row],[Date]])),
        Games[Date]
    )
    - 1,
Games[[#This Row],[Date]]-$A$2)</f>
        <v>0</v>
      </c>
      <c r="J272" s="2" cm="1">
        <f t="array" ref="J27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72" s="2">
        <f>Games[[#This Row],[DaysOff]]-Games[[#This Row],[OppDaysOff]]</f>
        <v>-1</v>
      </c>
      <c r="L272" s="2">
        <f>Games[[#This Row],[OppDaysOff]]-Games[[#This Row],[DaysOff]]</f>
        <v>1</v>
      </c>
      <c r="M272" s="1">
        <f>MAX(-16, MIN(16, Games[[#This Row],[RestDiff]]*8))</f>
        <v>-8</v>
      </c>
      <c r="N272" s="1">
        <f>MAX(-16, MIN(16, Games[[#This Row],[OppRestDiff]]*8))</f>
        <v>8</v>
      </c>
      <c r="O272" s="4" cm="1">
        <f t="array" ref="O27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1475.2703049579168</v>
      </c>
      <c r="P272" s="4" cm="1">
        <f t="array" ref="P27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1528.5049946264869</v>
      </c>
      <c r="Q272" s="4">
        <f>1/(1+10^(((Games[[#This Row],[OppPreGmRate]]+IF(Games[[#This Row],[HomeAway]]="A",HCA,0)+Games[[#This Row],[OppRestAdj]])-(Games[[#This Row],[PreGmRate]]+IF(Games[[#This Row],[HomeAway]]="H",HCA,0)+Games[[#This Row],[RestAdj]]))/400))</f>
        <v>0.2927449123119234</v>
      </c>
      <c r="R272" s="1">
        <v>59</v>
      </c>
      <c r="S272" s="1">
        <v>57</v>
      </c>
      <c r="T272" s="1">
        <v>1</v>
      </c>
      <c r="U272" s="1">
        <f>Games[[#This Row],[PointsFor]]-Games[[#This Row],[PointsAgainst]]</f>
        <v>2</v>
      </c>
      <c r="V272" s="1">
        <f>IF(Games[[#This Row],[MOV]]&gt;0,1,IF(Games[[#This Row],[MOV]]=0,0.5,0))</f>
        <v>1</v>
      </c>
      <c r="W272" s="4">
        <f>((ABS(Games[[#This Row],[MOV]])+5)^0.6)/(12+0.01*(ABS(Games[[#This Row],[PreGmRate]]-Games[[#This Row],[OppPreGmRate]])))*IF(Games[[#This Row],[OT]]=1,0.9,1)</f>
        <v>0.23081760252817715</v>
      </c>
      <c r="X272" s="7" cm="1">
        <f t="array" ref="X27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2" s="9">
        <f>MAX(kmin, kmax - 0.15 * MIN(Games[[#This Row],[GamesPlayed]], 82))</f>
        <v>73</v>
      </c>
      <c r="Z272" s="4">
        <f>Games[[#This Row],[K]]*Games[[#This Row],[POMult]]</f>
        <v>73</v>
      </c>
      <c r="AA272" s="4">
        <f>(Games[[#This Row],[Keff]]*Games[[#This Row],[MOVMult]])*(Games[[#This Row],[Result]]-Games[[#This Row],[ExpectedWin%]])</f>
        <v>11.91702543126928</v>
      </c>
      <c r="AB272" s="4">
        <f>Games[[#This Row],[PreGmRate]]+Games[[#This Row],[RatingChange]]</f>
        <v>1487.1873303891862</v>
      </c>
      <c r="AC272" s="2">
        <f>IF(Games[[#This Row],[Type]]="R",IF(Games[[#This Row],[Result]]&gt;0.5,1,0),0)</f>
        <v>1</v>
      </c>
      <c r="AD272" s="2">
        <f>IF(Games[[#This Row],[Type]]="R",IF(Games[[#This Row],[Result]]&lt;0.5,1,0),0)</f>
        <v>0</v>
      </c>
      <c r="AE272" s="2">
        <f>IF(AND(Games[[#This Row],[Type]]="P",Games[[#This Row],[Round]]=1),IF(Games[[#This Row],[Result]]&gt;0.5,1,0),0)</f>
        <v>0</v>
      </c>
      <c r="AF272" s="2">
        <f>IF(AND(Games[[#This Row],[Type]]="P",Games[[#This Row],[Round]]=1),IF(Games[[#This Row],[Result]]&lt;0.5,1,0),0)</f>
        <v>0</v>
      </c>
      <c r="AG272" s="2">
        <f>IF(AND(Games[[#This Row],[Type]]="P",Games[[#This Row],[Round]]=2),IF(Games[[#This Row],[Result]]&gt;0.5,1,0),0)</f>
        <v>0</v>
      </c>
      <c r="AH272" s="2">
        <f>IF(AND(Games[[#This Row],[Type]]="P",Games[[#This Row],[Round]]=2),IF(Games[[#This Row],[Result]]&lt;0.5,1,0),0)</f>
        <v>0</v>
      </c>
      <c r="AI272" s="2">
        <f>IF(AND(Games[[#This Row],[Type]]="P",Games[[#This Row],[Round]]=3),IF(Games[[#This Row],[Result]]&gt;0.5,1,0),0)</f>
        <v>0</v>
      </c>
      <c r="AJ272" s="2">
        <f>IF(AND(Games[[#This Row],[Type]]="P",Games[[#This Row],[Round]]=3),IF(Games[[#This Row],[Result]]&lt;0.5,1,0),0)</f>
        <v>0</v>
      </c>
      <c r="AK272" s="2">
        <f>IF(AND(Games[[#This Row],[Type]]="P",Games[[#This Row],[Round]]=4),IF(Games[[#This Row],[Result]]&gt;0.5,1,0),0)</f>
        <v>0</v>
      </c>
      <c r="AL272" s="2">
        <f>IF(AND(Games[[#This Row],[Type]]="P",Games[[#This Row],[Round]]=4),IF(Games[[#This Row],[Result]]&lt;0.5,1,0),0)</f>
        <v>0</v>
      </c>
    </row>
    <row r="273" spans="1:38" x14ac:dyDescent="0.35">
      <c r="A273" s="10">
        <v>37822</v>
      </c>
      <c r="B273" s="2">
        <v>2003</v>
      </c>
      <c r="C273" s="2">
        <f>COUNTIFS(Games[Team],Games[[#This Row],[Team]],Games[Season],Games[[#This Row],[Season]],Games[Date],"&lt;=" &amp; Games[[#This Row],[Date]])</f>
        <v>21</v>
      </c>
      <c r="D273" s="2" t="s">
        <v>23</v>
      </c>
      <c r="E273" s="2" t="s">
        <v>29</v>
      </c>
      <c r="F273" s="1" t="s">
        <v>64</v>
      </c>
      <c r="G273" s="1" t="s">
        <v>1</v>
      </c>
      <c r="H273" s="1" t="s">
        <v>15</v>
      </c>
      <c r="I273" s="2" cm="1">
        <f t="array" ref="I273">IFERROR(
    Games[[#This Row],[Date]]
    - LOOKUP(
        2,
        1/((Games[Team]=Games[[#This Row],[Team]]) * (Games[Date] &lt; Games[[#This Row],[Date]])),
        Games[Date]
    )
    - 1,
Games[[#This Row],[Date]]-$A$2)</f>
        <v>1</v>
      </c>
      <c r="J273" s="2" cm="1">
        <f t="array" ref="J273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73" s="2">
        <f>Games[[#This Row],[DaysOff]]-Games[[#This Row],[OppDaysOff]]</f>
        <v>1</v>
      </c>
      <c r="L273" s="2">
        <f>Games[[#This Row],[OppDaysOff]]-Games[[#This Row],[DaysOff]]</f>
        <v>-1</v>
      </c>
      <c r="M273" s="1">
        <f>MAX(-16, MIN(16, Games[[#This Row],[RestDiff]]*8))</f>
        <v>8</v>
      </c>
      <c r="N273" s="1">
        <f>MAX(-16, MIN(16, Games[[#This Row],[OppRestDiff]]*8))</f>
        <v>-8</v>
      </c>
      <c r="O273" s="4" cm="1">
        <f t="array" ref="O27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1528.5049946264869</v>
      </c>
      <c r="P273" s="4" cm="1">
        <f t="array" ref="P27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1475.2703049579168</v>
      </c>
      <c r="Q273" s="4">
        <f>1/(1+10^(((Games[[#This Row],[OppPreGmRate]]+IF(Games[[#This Row],[HomeAway]]="A",HCA,0)+Games[[#This Row],[OppRestAdj]])-(Games[[#This Row],[PreGmRate]]+IF(Games[[#This Row],[HomeAway]]="H",HCA,0)+Games[[#This Row],[RestAdj]]))/400))</f>
        <v>0.70725508768807666</v>
      </c>
      <c r="R273" s="1">
        <v>57</v>
      </c>
      <c r="S273" s="1">
        <v>59</v>
      </c>
      <c r="T273" s="1">
        <v>1</v>
      </c>
      <c r="U273" s="1">
        <f>Games[[#This Row],[PointsFor]]-Games[[#This Row],[PointsAgainst]]</f>
        <v>-2</v>
      </c>
      <c r="V273" s="1">
        <f>IF(Games[[#This Row],[MOV]]&gt;0,1,IF(Games[[#This Row],[MOV]]=0,0.5,0))</f>
        <v>0</v>
      </c>
      <c r="W273" s="4">
        <f>((ABS(Games[[#This Row],[MOV]])+5)^0.6)/(12+0.01*(ABS(Games[[#This Row],[PreGmRate]]-Games[[#This Row],[OppPreGmRate]])))*IF(Games[[#This Row],[OT]]=1,0.9,1)</f>
        <v>0.23081760252817715</v>
      </c>
      <c r="X273" s="7" cm="1">
        <f t="array" ref="X27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3" s="9">
        <f>MAX(kmin, kmax - 0.15 * MIN(Games[[#This Row],[GamesPlayed]], 82))</f>
        <v>72.849999999999994</v>
      </c>
      <c r="Z273" s="4">
        <f>Games[[#This Row],[K]]*Games[[#This Row],[POMult]]</f>
        <v>72.849999999999994</v>
      </c>
      <c r="AA273" s="4">
        <f>(Games[[#This Row],[Keff]]*Games[[#This Row],[MOVMult]])*(Games[[#This Row],[Result]]-Games[[#This Row],[ExpectedWin%]])</f>
        <v>-11.892538392711877</v>
      </c>
      <c r="AB273" s="4">
        <f>Games[[#This Row],[PreGmRate]]+Games[[#This Row],[RatingChange]]</f>
        <v>1516.612456233775</v>
      </c>
      <c r="AC273" s="2">
        <f>IF(Games[[#This Row],[Type]]="R",IF(Games[[#This Row],[Result]]&gt;0.5,1,0),0)</f>
        <v>0</v>
      </c>
      <c r="AD273" s="2">
        <f>IF(Games[[#This Row],[Type]]="R",IF(Games[[#This Row],[Result]]&lt;0.5,1,0),0)</f>
        <v>1</v>
      </c>
      <c r="AE273" s="2">
        <f>IF(AND(Games[[#This Row],[Type]]="P",Games[[#This Row],[Round]]=1),IF(Games[[#This Row],[Result]]&gt;0.5,1,0),0)</f>
        <v>0</v>
      </c>
      <c r="AF273" s="2">
        <f>IF(AND(Games[[#This Row],[Type]]="P",Games[[#This Row],[Round]]=1),IF(Games[[#This Row],[Result]]&lt;0.5,1,0),0)</f>
        <v>0</v>
      </c>
      <c r="AG273" s="2">
        <f>IF(AND(Games[[#This Row],[Type]]="P",Games[[#This Row],[Round]]=2),IF(Games[[#This Row],[Result]]&gt;0.5,1,0),0)</f>
        <v>0</v>
      </c>
      <c r="AH273" s="2">
        <f>IF(AND(Games[[#This Row],[Type]]="P",Games[[#This Row],[Round]]=2),IF(Games[[#This Row],[Result]]&lt;0.5,1,0),0)</f>
        <v>0</v>
      </c>
      <c r="AI273" s="2">
        <f>IF(AND(Games[[#This Row],[Type]]="P",Games[[#This Row],[Round]]=3),IF(Games[[#This Row],[Result]]&gt;0.5,1,0),0)</f>
        <v>0</v>
      </c>
      <c r="AJ273" s="2">
        <f>IF(AND(Games[[#This Row],[Type]]="P",Games[[#This Row],[Round]]=3),IF(Games[[#This Row],[Result]]&lt;0.5,1,0),0)</f>
        <v>0</v>
      </c>
      <c r="AK273" s="2">
        <f>IF(AND(Games[[#This Row],[Type]]="P",Games[[#This Row],[Round]]=4),IF(Games[[#This Row],[Result]]&gt;0.5,1,0),0)</f>
        <v>0</v>
      </c>
      <c r="AL273" s="2">
        <f>IF(AND(Games[[#This Row],[Type]]="P",Games[[#This Row],[Round]]=4),IF(Games[[#This Row],[Result]]&lt;0.5,1,0),0)</f>
        <v>0</v>
      </c>
    </row>
    <row r="274" spans="1:38" x14ac:dyDescent="0.35">
      <c r="A274" s="10">
        <v>37822</v>
      </c>
      <c r="B274" s="2">
        <v>2003</v>
      </c>
      <c r="C274" s="2">
        <f>COUNTIFS(Games[Team],Games[[#This Row],[Team]],Games[Season],Games[[#This Row],[Season]],Games[Date],"&lt;=" &amp; Games[[#This Row],[Date]])</f>
        <v>22</v>
      </c>
      <c r="D274" s="2" t="s">
        <v>23</v>
      </c>
      <c r="E274" s="2" t="s">
        <v>29</v>
      </c>
      <c r="F274" s="1" t="s">
        <v>87</v>
      </c>
      <c r="G274" s="1" t="s">
        <v>71</v>
      </c>
      <c r="H274" s="1" t="s">
        <v>16</v>
      </c>
      <c r="I274" s="2" cm="1">
        <f t="array" ref="I274">IFERROR(
    Games[[#This Row],[Date]]
    - LOOKUP(
        2,
        1/((Games[Team]=Games[[#This Row],[Team]]) * (Games[Date] &lt; Games[[#This Row],[Date]])),
        Games[Date]
    )
    - 1,
Games[[#This Row],[Date]]-$A$2)</f>
        <v>0</v>
      </c>
      <c r="J274" s="2" cm="1">
        <f t="array" ref="J27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74" s="2">
        <f>Games[[#This Row],[DaysOff]]-Games[[#This Row],[OppDaysOff]]</f>
        <v>-1</v>
      </c>
      <c r="L274" s="2">
        <f>Games[[#This Row],[OppDaysOff]]-Games[[#This Row],[DaysOff]]</f>
        <v>1</v>
      </c>
      <c r="M274" s="1">
        <f>MAX(-16, MIN(16, Games[[#This Row],[RestDiff]]*8))</f>
        <v>-8</v>
      </c>
      <c r="N274" s="1">
        <f>MAX(-16, MIN(16, Games[[#This Row],[OppRestDiff]]*8))</f>
        <v>8</v>
      </c>
      <c r="O274" s="4" cm="1">
        <f t="array" ref="O27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1478.5413399039469</v>
      </c>
      <c r="P274" s="4" cm="1">
        <f t="array" ref="P27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1668.9351667191165</v>
      </c>
      <c r="Q274" s="4">
        <f>1/(1+10^(((Games[[#This Row],[OppPreGmRate]]+IF(Games[[#This Row],[HomeAway]]="A",HCA,0)+Games[[#This Row],[OppRestAdj]])-(Games[[#This Row],[PreGmRate]]+IF(Games[[#This Row],[HomeAway]]="H",HCA,0)+Games[[#This Row],[RestAdj]]))/400))</f>
        <v>0.15820548136106344</v>
      </c>
      <c r="R274" s="1">
        <v>76</v>
      </c>
      <c r="S274" s="1">
        <v>73</v>
      </c>
      <c r="T274" s="1">
        <v>0</v>
      </c>
      <c r="U274" s="1">
        <f>Games[[#This Row],[PointsFor]]-Games[[#This Row],[PointsAgainst]]</f>
        <v>3</v>
      </c>
      <c r="V274" s="1">
        <f>IF(Games[[#This Row],[MOV]]&gt;0,1,IF(Games[[#This Row],[MOV]]=0,0.5,0))</f>
        <v>1</v>
      </c>
      <c r="W274" s="4">
        <f>((ABS(Games[[#This Row],[MOV]])+5)^0.6)/(12+0.01*(ABS(Games[[#This Row],[PreGmRate]]-Games[[#This Row],[OppPreGmRate]])))*IF(Games[[#This Row],[OT]]=1,0.9,1)</f>
        <v>0.25044718884870298</v>
      </c>
      <c r="X274" s="7" cm="1">
        <f t="array" ref="X27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4" s="9">
        <f>MAX(kmin, kmax - 0.15 * MIN(Games[[#This Row],[GamesPlayed]], 82))</f>
        <v>72.7</v>
      </c>
      <c r="Z274" s="4">
        <f>Games[[#This Row],[K]]*Games[[#This Row],[POMult]]</f>
        <v>72.7</v>
      </c>
      <c r="AA274" s="4">
        <f>(Games[[#This Row],[Keff]]*Games[[#This Row],[MOVMult]])*(Games[[#This Row],[Result]]-Games[[#This Row],[ExpectedWin%]])</f>
        <v>15.32698264580551</v>
      </c>
      <c r="AB274" s="4">
        <f>Games[[#This Row],[PreGmRate]]+Games[[#This Row],[RatingChange]]</f>
        <v>1493.8683225497523</v>
      </c>
      <c r="AC274" s="2">
        <f>IF(Games[[#This Row],[Type]]="R",IF(Games[[#This Row],[Result]]&gt;0.5,1,0),0)</f>
        <v>1</v>
      </c>
      <c r="AD274" s="2">
        <f>IF(Games[[#This Row],[Type]]="R",IF(Games[[#This Row],[Result]]&lt;0.5,1,0),0)</f>
        <v>0</v>
      </c>
      <c r="AE274" s="2">
        <f>IF(AND(Games[[#This Row],[Type]]="P",Games[[#This Row],[Round]]=1),IF(Games[[#This Row],[Result]]&gt;0.5,1,0),0)</f>
        <v>0</v>
      </c>
      <c r="AF274" s="2">
        <f>IF(AND(Games[[#This Row],[Type]]="P",Games[[#This Row],[Round]]=1),IF(Games[[#This Row],[Result]]&lt;0.5,1,0),0)</f>
        <v>0</v>
      </c>
      <c r="AG274" s="2">
        <f>IF(AND(Games[[#This Row],[Type]]="P",Games[[#This Row],[Round]]=2),IF(Games[[#This Row],[Result]]&gt;0.5,1,0),0)</f>
        <v>0</v>
      </c>
      <c r="AH274" s="2">
        <f>IF(AND(Games[[#This Row],[Type]]="P",Games[[#This Row],[Round]]=2),IF(Games[[#This Row],[Result]]&lt;0.5,1,0),0)</f>
        <v>0</v>
      </c>
      <c r="AI274" s="2">
        <f>IF(AND(Games[[#This Row],[Type]]="P",Games[[#This Row],[Round]]=3),IF(Games[[#This Row],[Result]]&gt;0.5,1,0),0)</f>
        <v>0</v>
      </c>
      <c r="AJ274" s="2">
        <f>IF(AND(Games[[#This Row],[Type]]="P",Games[[#This Row],[Round]]=3),IF(Games[[#This Row],[Result]]&lt;0.5,1,0),0)</f>
        <v>0</v>
      </c>
      <c r="AK274" s="2">
        <f>IF(AND(Games[[#This Row],[Type]]="P",Games[[#This Row],[Round]]=4),IF(Games[[#This Row],[Result]]&gt;0.5,1,0),0)</f>
        <v>0</v>
      </c>
      <c r="AL274" s="2">
        <f>IF(AND(Games[[#This Row],[Type]]="P",Games[[#This Row],[Round]]=4),IF(Games[[#This Row],[Result]]&lt;0.5,1,0),0)</f>
        <v>0</v>
      </c>
    </row>
    <row r="275" spans="1:38" x14ac:dyDescent="0.35">
      <c r="A275" s="10">
        <v>37822</v>
      </c>
      <c r="B275" s="2">
        <v>2003</v>
      </c>
      <c r="C275" s="2">
        <f>COUNTIFS(Games[Team],Games[[#This Row],[Team]],Games[Season],Games[[#This Row],[Season]],Games[Date],"&lt;=" &amp; Games[[#This Row],[Date]])</f>
        <v>21</v>
      </c>
      <c r="D275" s="2" t="s">
        <v>23</v>
      </c>
      <c r="E275" s="2" t="s">
        <v>29</v>
      </c>
      <c r="F275" s="1" t="s">
        <v>71</v>
      </c>
      <c r="G275" s="1" t="s">
        <v>87</v>
      </c>
      <c r="H275" s="1" t="s">
        <v>15</v>
      </c>
      <c r="I275" s="2" cm="1">
        <f t="array" ref="I275">IFERROR(
    Games[[#This Row],[Date]]
    - LOOKUP(
        2,
        1/((Games[Team]=Games[[#This Row],[Team]]) * (Games[Date] &lt; Games[[#This Row],[Date]])),
        Games[Date]
    )
    - 1,
Games[[#This Row],[Date]]-$A$2)</f>
        <v>1</v>
      </c>
      <c r="J275" s="2" cm="1">
        <f t="array" ref="J275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75" s="2">
        <f>Games[[#This Row],[DaysOff]]-Games[[#This Row],[OppDaysOff]]</f>
        <v>1</v>
      </c>
      <c r="L275" s="2">
        <f>Games[[#This Row],[OppDaysOff]]-Games[[#This Row],[DaysOff]]</f>
        <v>-1</v>
      </c>
      <c r="M275" s="1">
        <f>MAX(-16, MIN(16, Games[[#This Row],[RestDiff]]*8))</f>
        <v>8</v>
      </c>
      <c r="N275" s="1">
        <f>MAX(-16, MIN(16, Games[[#This Row],[OppRestDiff]]*8))</f>
        <v>-8</v>
      </c>
      <c r="O275" s="4" cm="1">
        <f t="array" ref="O27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1668.9351667191165</v>
      </c>
      <c r="P275" s="4" cm="1">
        <f t="array" ref="P27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1478.5413399039469</v>
      </c>
      <c r="Q275" s="4">
        <f>1/(1+10^(((Games[[#This Row],[OppPreGmRate]]+IF(Games[[#This Row],[HomeAway]]="A",HCA,0)+Games[[#This Row],[OppRestAdj]])-(Games[[#This Row],[PreGmRate]]+IF(Games[[#This Row],[HomeAway]]="H",HCA,0)+Games[[#This Row],[RestAdj]]))/400))</f>
        <v>0.84179451863893651</v>
      </c>
      <c r="R275" s="1">
        <v>73</v>
      </c>
      <c r="S275" s="1">
        <v>76</v>
      </c>
      <c r="T275" s="1">
        <v>0</v>
      </c>
      <c r="U275" s="1">
        <f>Games[[#This Row],[PointsFor]]-Games[[#This Row],[PointsAgainst]]</f>
        <v>-3</v>
      </c>
      <c r="V275" s="1">
        <f>IF(Games[[#This Row],[MOV]]&gt;0,1,IF(Games[[#This Row],[MOV]]=0,0.5,0))</f>
        <v>0</v>
      </c>
      <c r="W275" s="4">
        <f>((ABS(Games[[#This Row],[MOV]])+5)^0.6)/(12+0.01*(ABS(Games[[#This Row],[PreGmRate]]-Games[[#This Row],[OppPreGmRate]])))*IF(Games[[#This Row],[OT]]=1,0.9,1)</f>
        <v>0.25044718884870298</v>
      </c>
      <c r="X275" s="7" cm="1">
        <f t="array" ref="X27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5" s="9">
        <f>MAX(kmin, kmax - 0.15 * MIN(Games[[#This Row],[GamesPlayed]], 82))</f>
        <v>72.849999999999994</v>
      </c>
      <c r="Z275" s="4">
        <f>Games[[#This Row],[K]]*Games[[#This Row],[POMult]]</f>
        <v>72.849999999999994</v>
      </c>
      <c r="AA275" s="4">
        <f>(Games[[#This Row],[Keff]]*Games[[#This Row],[MOVMult]])*(Games[[#This Row],[Result]]-Games[[#This Row],[ExpectedWin%]])</f>
        <v>-15.358606406422712</v>
      </c>
      <c r="AB275" s="4">
        <f>Games[[#This Row],[PreGmRate]]+Games[[#This Row],[RatingChange]]</f>
        <v>1653.5765603126938</v>
      </c>
      <c r="AC275" s="2">
        <f>IF(Games[[#This Row],[Type]]="R",IF(Games[[#This Row],[Result]]&gt;0.5,1,0),0)</f>
        <v>0</v>
      </c>
      <c r="AD275" s="2">
        <f>IF(Games[[#This Row],[Type]]="R",IF(Games[[#This Row],[Result]]&lt;0.5,1,0),0)</f>
        <v>1</v>
      </c>
      <c r="AE275" s="2">
        <f>IF(AND(Games[[#This Row],[Type]]="P",Games[[#This Row],[Round]]=1),IF(Games[[#This Row],[Result]]&gt;0.5,1,0),0)</f>
        <v>0</v>
      </c>
      <c r="AF275" s="2">
        <f>IF(AND(Games[[#This Row],[Type]]="P",Games[[#This Row],[Round]]=1),IF(Games[[#This Row],[Result]]&lt;0.5,1,0),0)</f>
        <v>0</v>
      </c>
      <c r="AG275" s="2">
        <f>IF(AND(Games[[#This Row],[Type]]="P",Games[[#This Row],[Round]]=2),IF(Games[[#This Row],[Result]]&gt;0.5,1,0),0)</f>
        <v>0</v>
      </c>
      <c r="AH275" s="2">
        <f>IF(AND(Games[[#This Row],[Type]]="P",Games[[#This Row],[Round]]=2),IF(Games[[#This Row],[Result]]&lt;0.5,1,0),0)</f>
        <v>0</v>
      </c>
      <c r="AI275" s="2">
        <f>IF(AND(Games[[#This Row],[Type]]="P",Games[[#This Row],[Round]]=3),IF(Games[[#This Row],[Result]]&gt;0.5,1,0),0)</f>
        <v>0</v>
      </c>
      <c r="AJ275" s="2">
        <f>IF(AND(Games[[#This Row],[Type]]="P",Games[[#This Row],[Round]]=3),IF(Games[[#This Row],[Result]]&lt;0.5,1,0),0)</f>
        <v>0</v>
      </c>
      <c r="AK275" s="2">
        <f>IF(AND(Games[[#This Row],[Type]]="P",Games[[#This Row],[Round]]=4),IF(Games[[#This Row],[Result]]&gt;0.5,1,0),0)</f>
        <v>0</v>
      </c>
      <c r="AL275" s="2">
        <f>IF(AND(Games[[#This Row],[Type]]="P",Games[[#This Row],[Round]]=4),IF(Games[[#This Row],[Result]]&lt;0.5,1,0),0)</f>
        <v>0</v>
      </c>
    </row>
    <row r="276" spans="1:38" x14ac:dyDescent="0.35">
      <c r="A276" s="10">
        <v>37822</v>
      </c>
      <c r="B276" s="2">
        <v>2003</v>
      </c>
      <c r="C276" s="2">
        <f>COUNTIFS(Games[Team],Games[[#This Row],[Team]],Games[Season],Games[[#This Row],[Season]],Games[Date],"&lt;=" &amp; Games[[#This Row],[Date]])</f>
        <v>20</v>
      </c>
      <c r="D276" s="2" t="s">
        <v>23</v>
      </c>
      <c r="E276" s="2" t="s">
        <v>29</v>
      </c>
      <c r="F276" s="1" t="s">
        <v>82</v>
      </c>
      <c r="G276" s="1" t="s">
        <v>78</v>
      </c>
      <c r="H276" s="1" t="s">
        <v>16</v>
      </c>
      <c r="I276" s="2" cm="1">
        <f t="array" ref="I276">IFERROR(
    Games[[#This Row],[Date]]
    - LOOKUP(
        2,
        1/((Games[Team]=Games[[#This Row],[Team]]) * (Games[Date] &lt; Games[[#This Row],[Date]])),
        Games[Date]
    )
    - 1,
Games[[#This Row],[Date]]-$A$2)</f>
        <v>1</v>
      </c>
      <c r="J276" s="2" cm="1">
        <f t="array" ref="J27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76" s="2">
        <f>Games[[#This Row],[DaysOff]]-Games[[#This Row],[OppDaysOff]]</f>
        <v>-1</v>
      </c>
      <c r="L276" s="2">
        <f>Games[[#This Row],[OppDaysOff]]-Games[[#This Row],[DaysOff]]</f>
        <v>1</v>
      </c>
      <c r="M276" s="1">
        <f>MAX(-16, MIN(16, Games[[#This Row],[RestDiff]]*8))</f>
        <v>-8</v>
      </c>
      <c r="N276" s="1">
        <f>MAX(-16, MIN(16, Games[[#This Row],[OppRestDiff]]*8))</f>
        <v>8</v>
      </c>
      <c r="O276" s="4" cm="1">
        <f t="array" ref="O27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1565.1983126765251</v>
      </c>
      <c r="P276" s="4" cm="1">
        <f t="array" ref="P27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1481.3421907940585</v>
      </c>
      <c r="Q276" s="4">
        <f>1/(1+10^(((Games[[#This Row],[OppPreGmRate]]+IF(Games[[#This Row],[HomeAway]]="A",HCA,0)+Games[[#This Row],[OppRestAdj]])-(Games[[#This Row],[PreGmRate]]+IF(Games[[#This Row],[HomeAway]]="H",HCA,0)+Games[[#This Row],[RestAdj]]))/400))</f>
        <v>0.4767837978948401</v>
      </c>
      <c r="R276" s="1">
        <v>58</v>
      </c>
      <c r="S276" s="1">
        <v>69</v>
      </c>
      <c r="T276" s="1">
        <v>0</v>
      </c>
      <c r="U276" s="1">
        <f>Games[[#This Row],[PointsFor]]-Games[[#This Row],[PointsAgainst]]</f>
        <v>-11</v>
      </c>
      <c r="V276" s="1">
        <f>IF(Games[[#This Row],[MOV]]&gt;0,1,IF(Games[[#This Row],[MOV]]=0,0.5,0))</f>
        <v>0</v>
      </c>
      <c r="W276" s="4">
        <f>((ABS(Games[[#This Row],[MOV]])+5)^0.6)/(12+0.01*(ABS(Games[[#This Row],[PreGmRate]]-Games[[#This Row],[OppPreGmRate]])))*IF(Games[[#This Row],[OT]]=1,0.9,1)</f>
        <v>0.41110772096117837</v>
      </c>
      <c r="X276" s="7" cm="1">
        <f t="array" ref="X27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6" s="9">
        <f>MAX(kmin, kmax - 0.15 * MIN(Games[[#This Row],[GamesPlayed]], 82))</f>
        <v>73</v>
      </c>
      <c r="Z276" s="4">
        <f>Games[[#This Row],[K]]*Games[[#This Row],[POMult]]</f>
        <v>73</v>
      </c>
      <c r="AA276" s="4">
        <f>(Games[[#This Row],[Keff]]*Games[[#This Row],[MOVMult]])*(Games[[#This Row],[Result]]-Games[[#This Row],[ExpectedWin%]])</f>
        <v>-14.308693539694683</v>
      </c>
      <c r="AB276" s="4">
        <f>Games[[#This Row],[PreGmRate]]+Games[[#This Row],[RatingChange]]</f>
        <v>1550.8896191368303</v>
      </c>
      <c r="AC276" s="2">
        <f>IF(Games[[#This Row],[Type]]="R",IF(Games[[#This Row],[Result]]&gt;0.5,1,0),0)</f>
        <v>0</v>
      </c>
      <c r="AD276" s="2">
        <f>IF(Games[[#This Row],[Type]]="R",IF(Games[[#This Row],[Result]]&lt;0.5,1,0),0)</f>
        <v>1</v>
      </c>
      <c r="AE276" s="2">
        <f>IF(AND(Games[[#This Row],[Type]]="P",Games[[#This Row],[Round]]=1),IF(Games[[#This Row],[Result]]&gt;0.5,1,0),0)</f>
        <v>0</v>
      </c>
      <c r="AF276" s="2">
        <f>IF(AND(Games[[#This Row],[Type]]="P",Games[[#This Row],[Round]]=1),IF(Games[[#This Row],[Result]]&lt;0.5,1,0),0)</f>
        <v>0</v>
      </c>
      <c r="AG276" s="2">
        <f>IF(AND(Games[[#This Row],[Type]]="P",Games[[#This Row],[Round]]=2),IF(Games[[#This Row],[Result]]&gt;0.5,1,0),0)</f>
        <v>0</v>
      </c>
      <c r="AH276" s="2">
        <f>IF(AND(Games[[#This Row],[Type]]="P",Games[[#This Row],[Round]]=2),IF(Games[[#This Row],[Result]]&lt;0.5,1,0),0)</f>
        <v>0</v>
      </c>
      <c r="AI276" s="2">
        <f>IF(AND(Games[[#This Row],[Type]]="P",Games[[#This Row],[Round]]=3),IF(Games[[#This Row],[Result]]&gt;0.5,1,0),0)</f>
        <v>0</v>
      </c>
      <c r="AJ276" s="2">
        <f>IF(AND(Games[[#This Row],[Type]]="P",Games[[#This Row],[Round]]=3),IF(Games[[#This Row],[Result]]&lt;0.5,1,0),0)</f>
        <v>0</v>
      </c>
      <c r="AK276" s="2">
        <f>IF(AND(Games[[#This Row],[Type]]="P",Games[[#This Row],[Round]]=4),IF(Games[[#This Row],[Result]]&gt;0.5,1,0),0)</f>
        <v>0</v>
      </c>
      <c r="AL276" s="2">
        <f>IF(AND(Games[[#This Row],[Type]]="P",Games[[#This Row],[Round]]=4),IF(Games[[#This Row],[Result]]&lt;0.5,1,0),0)</f>
        <v>0</v>
      </c>
    </row>
    <row r="277" spans="1:38" x14ac:dyDescent="0.35">
      <c r="A277" s="10">
        <v>37822</v>
      </c>
      <c r="B277" s="2">
        <v>2003</v>
      </c>
      <c r="C277" s="2">
        <f>COUNTIFS(Games[Team],Games[[#This Row],[Team]],Games[Season],Games[[#This Row],[Season]],Games[Date],"&lt;=" &amp; Games[[#This Row],[Date]])</f>
        <v>20</v>
      </c>
      <c r="D277" s="2" t="s">
        <v>23</v>
      </c>
      <c r="E277" s="2" t="s">
        <v>29</v>
      </c>
      <c r="F277" s="1" t="s">
        <v>78</v>
      </c>
      <c r="G277" s="1" t="s">
        <v>82</v>
      </c>
      <c r="H277" s="1" t="s">
        <v>15</v>
      </c>
      <c r="I277" s="2" cm="1">
        <f t="array" ref="I277">IFERROR(
    Games[[#This Row],[Date]]
    - LOOKUP(
        2,
        1/((Games[Team]=Games[[#This Row],[Team]]) * (Games[Date] &lt; Games[[#This Row],[Date]])),
        Games[Date]
    )
    - 1,
Games[[#This Row],[Date]]-$A$2)</f>
        <v>2</v>
      </c>
      <c r="J277" s="2" cm="1">
        <f t="array" ref="J27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77" s="2">
        <f>Games[[#This Row],[DaysOff]]-Games[[#This Row],[OppDaysOff]]</f>
        <v>1</v>
      </c>
      <c r="L277" s="2">
        <f>Games[[#This Row],[OppDaysOff]]-Games[[#This Row],[DaysOff]]</f>
        <v>-1</v>
      </c>
      <c r="M277" s="1">
        <f>MAX(-16, MIN(16, Games[[#This Row],[RestDiff]]*8))</f>
        <v>8</v>
      </c>
      <c r="N277" s="1">
        <f>MAX(-16, MIN(16, Games[[#This Row],[OppRestDiff]]*8))</f>
        <v>-8</v>
      </c>
      <c r="O277" s="4" cm="1">
        <f t="array" ref="O27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1481.3421907940585</v>
      </c>
      <c r="P277" s="4" cm="1">
        <f t="array" ref="P27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1565.1983126765251</v>
      </c>
      <c r="Q277" s="4">
        <f>1/(1+10^(((Games[[#This Row],[OppPreGmRate]]+IF(Games[[#This Row],[HomeAway]]="A",HCA,0)+Games[[#This Row],[OppRestAdj]])-(Games[[#This Row],[PreGmRate]]+IF(Games[[#This Row],[HomeAway]]="H",HCA,0)+Games[[#This Row],[RestAdj]]))/400))</f>
        <v>0.52321620210515984</v>
      </c>
      <c r="R277" s="1">
        <v>69</v>
      </c>
      <c r="S277" s="1">
        <v>58</v>
      </c>
      <c r="T277" s="1">
        <v>0</v>
      </c>
      <c r="U277" s="1">
        <f>Games[[#This Row],[PointsFor]]-Games[[#This Row],[PointsAgainst]]</f>
        <v>11</v>
      </c>
      <c r="V277" s="1">
        <f>IF(Games[[#This Row],[MOV]]&gt;0,1,IF(Games[[#This Row],[MOV]]=0,0.5,0))</f>
        <v>1</v>
      </c>
      <c r="W277" s="4">
        <f>((ABS(Games[[#This Row],[MOV]])+5)^0.6)/(12+0.01*(ABS(Games[[#This Row],[PreGmRate]]-Games[[#This Row],[OppPreGmRate]])))*IF(Games[[#This Row],[OT]]=1,0.9,1)</f>
        <v>0.41110772096117837</v>
      </c>
      <c r="X277" s="7" cm="1">
        <f t="array" ref="X27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7" s="9">
        <f>MAX(kmin, kmax - 0.15 * MIN(Games[[#This Row],[GamesPlayed]], 82))</f>
        <v>73</v>
      </c>
      <c r="Z277" s="4">
        <f>Games[[#This Row],[K]]*Games[[#This Row],[POMult]]</f>
        <v>73</v>
      </c>
      <c r="AA277" s="4">
        <f>(Games[[#This Row],[Keff]]*Games[[#This Row],[MOVMult]])*(Games[[#This Row],[Result]]-Games[[#This Row],[ExpectedWin%]])</f>
        <v>14.308693539694685</v>
      </c>
      <c r="AB277" s="4">
        <f>Games[[#This Row],[PreGmRate]]+Games[[#This Row],[RatingChange]]</f>
        <v>1495.6508843337533</v>
      </c>
      <c r="AC277" s="2">
        <f>IF(Games[[#This Row],[Type]]="R",IF(Games[[#This Row],[Result]]&gt;0.5,1,0),0)</f>
        <v>1</v>
      </c>
      <c r="AD277" s="2">
        <f>IF(Games[[#This Row],[Type]]="R",IF(Games[[#This Row],[Result]]&lt;0.5,1,0),0)</f>
        <v>0</v>
      </c>
      <c r="AE277" s="2">
        <f>IF(AND(Games[[#This Row],[Type]]="P",Games[[#This Row],[Round]]=1),IF(Games[[#This Row],[Result]]&gt;0.5,1,0),0)</f>
        <v>0</v>
      </c>
      <c r="AF277" s="2">
        <f>IF(AND(Games[[#This Row],[Type]]="P",Games[[#This Row],[Round]]=1),IF(Games[[#This Row],[Result]]&lt;0.5,1,0),0)</f>
        <v>0</v>
      </c>
      <c r="AG277" s="2">
        <f>IF(AND(Games[[#This Row],[Type]]="P",Games[[#This Row],[Round]]=2),IF(Games[[#This Row],[Result]]&gt;0.5,1,0),0)</f>
        <v>0</v>
      </c>
      <c r="AH277" s="2">
        <f>IF(AND(Games[[#This Row],[Type]]="P",Games[[#This Row],[Round]]=2),IF(Games[[#This Row],[Result]]&lt;0.5,1,0),0)</f>
        <v>0</v>
      </c>
      <c r="AI277" s="2">
        <f>IF(AND(Games[[#This Row],[Type]]="P",Games[[#This Row],[Round]]=3),IF(Games[[#This Row],[Result]]&gt;0.5,1,0),0)</f>
        <v>0</v>
      </c>
      <c r="AJ277" s="2">
        <f>IF(AND(Games[[#This Row],[Type]]="P",Games[[#This Row],[Round]]=3),IF(Games[[#This Row],[Result]]&lt;0.5,1,0),0)</f>
        <v>0</v>
      </c>
      <c r="AK277" s="2">
        <f>IF(AND(Games[[#This Row],[Type]]="P",Games[[#This Row],[Round]]=4),IF(Games[[#This Row],[Result]]&gt;0.5,1,0),0)</f>
        <v>0</v>
      </c>
      <c r="AL277" s="2">
        <f>IF(AND(Games[[#This Row],[Type]]="P",Games[[#This Row],[Round]]=4),IF(Games[[#This Row],[Result]]&lt;0.5,1,0),0)</f>
        <v>0</v>
      </c>
    </row>
    <row r="278" spans="1:38" x14ac:dyDescent="0.35">
      <c r="A278" s="10">
        <v>37822</v>
      </c>
      <c r="B278" s="2">
        <v>2003</v>
      </c>
      <c r="C278" s="2">
        <f>COUNTIFS(Games[Team],Games[[#This Row],[Team]],Games[Season],Games[[#This Row],[Season]],Games[Date],"&lt;=" &amp; Games[[#This Row],[Date]])</f>
        <v>19</v>
      </c>
      <c r="D278" s="2" t="s">
        <v>23</v>
      </c>
      <c r="E278" s="2" t="s">
        <v>29</v>
      </c>
      <c r="F278" s="1" t="s">
        <v>80</v>
      </c>
      <c r="G278" s="1" t="s">
        <v>66</v>
      </c>
      <c r="H278" s="1" t="s">
        <v>16</v>
      </c>
      <c r="I278" s="2" cm="1">
        <f t="array" ref="I278">IFERROR(
    Games[[#This Row],[Date]]
    - LOOKUP(
        2,
        1/((Games[Team]=Games[[#This Row],[Team]]) * (Games[Date] &lt; Games[[#This Row],[Date]])),
        Games[Date]
    )
    - 1,
Games[[#This Row],[Date]]-$A$2)</f>
        <v>3</v>
      </c>
      <c r="J278" s="2" cm="1">
        <f t="array" ref="J27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78" s="2">
        <f>Games[[#This Row],[DaysOff]]-Games[[#This Row],[OppDaysOff]]</f>
        <v>2</v>
      </c>
      <c r="L278" s="2">
        <f>Games[[#This Row],[OppDaysOff]]-Games[[#This Row],[DaysOff]]</f>
        <v>-2</v>
      </c>
      <c r="M278" s="1">
        <f>MAX(-16, MIN(16, Games[[#This Row],[RestDiff]]*8))</f>
        <v>16</v>
      </c>
      <c r="N278" s="1">
        <f>MAX(-16, MIN(16, Games[[#This Row],[OppRestDiff]]*8))</f>
        <v>-16</v>
      </c>
      <c r="O278" s="4" cm="1">
        <f t="array" ref="O27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1533.8926246892106</v>
      </c>
      <c r="P278" s="4" cm="1">
        <f t="array" ref="P27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1496.0727809134748</v>
      </c>
      <c r="Q278" s="4">
        <f>1/(1+10^(((Games[[#This Row],[OppPreGmRate]]+IF(Games[[#This Row],[HomeAway]]="A",HCA,0)+Games[[#This Row],[OppRestAdj]])-(Games[[#This Row],[PreGmRate]]+IF(Games[[#This Row],[HomeAway]]="H",HCA,0)+Games[[#This Row],[RestAdj]]))/400))</f>
        <v>0.47960443826098609</v>
      </c>
      <c r="R278" s="1">
        <v>65</v>
      </c>
      <c r="S278" s="1">
        <v>73</v>
      </c>
      <c r="T278" s="1">
        <v>0</v>
      </c>
      <c r="U278" s="1">
        <f>Games[[#This Row],[PointsFor]]-Games[[#This Row],[PointsAgainst]]</f>
        <v>-8</v>
      </c>
      <c r="V278" s="1">
        <f>IF(Games[[#This Row],[MOV]]&gt;0,1,IF(Games[[#This Row],[MOV]]=0,0.5,0))</f>
        <v>0</v>
      </c>
      <c r="W278" s="4">
        <f>((ABS(Games[[#This Row],[MOV]])+5)^0.6)/(12+0.01*(ABS(Games[[#This Row],[PreGmRate]]-Games[[#This Row],[OppPreGmRate]])))*IF(Games[[#This Row],[OT]]=1,0.9,1)</f>
        <v>0.37645110017159422</v>
      </c>
      <c r="X278" s="7" cm="1">
        <f t="array" ref="X27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8" s="9">
        <f>MAX(kmin, kmax - 0.15 * MIN(Games[[#This Row],[GamesPlayed]], 82))</f>
        <v>73.150000000000006</v>
      </c>
      <c r="Z278" s="4">
        <f>Games[[#This Row],[K]]*Games[[#This Row],[POMult]]</f>
        <v>73.150000000000006</v>
      </c>
      <c r="AA278" s="4">
        <f>(Games[[#This Row],[Keff]]*Games[[#This Row],[MOVMult]])*(Games[[#This Row],[Result]]-Games[[#This Row],[ExpectedWin%]])</f>
        <v>-13.207058288193098</v>
      </c>
      <c r="AB278" s="4">
        <f>Games[[#This Row],[PreGmRate]]+Games[[#This Row],[RatingChange]]</f>
        <v>1520.6855664010175</v>
      </c>
      <c r="AC278" s="2">
        <f>IF(Games[[#This Row],[Type]]="R",IF(Games[[#This Row],[Result]]&gt;0.5,1,0),0)</f>
        <v>0</v>
      </c>
      <c r="AD278" s="2">
        <f>IF(Games[[#This Row],[Type]]="R",IF(Games[[#This Row],[Result]]&lt;0.5,1,0),0)</f>
        <v>1</v>
      </c>
      <c r="AE278" s="2">
        <f>IF(AND(Games[[#This Row],[Type]]="P",Games[[#This Row],[Round]]=1),IF(Games[[#This Row],[Result]]&gt;0.5,1,0),0)</f>
        <v>0</v>
      </c>
      <c r="AF278" s="2">
        <f>IF(AND(Games[[#This Row],[Type]]="P",Games[[#This Row],[Round]]=1),IF(Games[[#This Row],[Result]]&lt;0.5,1,0),0)</f>
        <v>0</v>
      </c>
      <c r="AG278" s="2">
        <f>IF(AND(Games[[#This Row],[Type]]="P",Games[[#This Row],[Round]]=2),IF(Games[[#This Row],[Result]]&gt;0.5,1,0),0)</f>
        <v>0</v>
      </c>
      <c r="AH278" s="2">
        <f>IF(AND(Games[[#This Row],[Type]]="P",Games[[#This Row],[Round]]=2),IF(Games[[#This Row],[Result]]&lt;0.5,1,0),0)</f>
        <v>0</v>
      </c>
      <c r="AI278" s="2">
        <f>IF(AND(Games[[#This Row],[Type]]="P",Games[[#This Row],[Round]]=3),IF(Games[[#This Row],[Result]]&gt;0.5,1,0),0)</f>
        <v>0</v>
      </c>
      <c r="AJ278" s="2">
        <f>IF(AND(Games[[#This Row],[Type]]="P",Games[[#This Row],[Round]]=3),IF(Games[[#This Row],[Result]]&lt;0.5,1,0),0)</f>
        <v>0</v>
      </c>
      <c r="AK278" s="2">
        <f>IF(AND(Games[[#This Row],[Type]]="P",Games[[#This Row],[Round]]=4),IF(Games[[#This Row],[Result]]&gt;0.5,1,0),0)</f>
        <v>0</v>
      </c>
      <c r="AL278" s="2">
        <f>IF(AND(Games[[#This Row],[Type]]="P",Games[[#This Row],[Round]]=4),IF(Games[[#This Row],[Result]]&lt;0.5,1,0),0)</f>
        <v>0</v>
      </c>
    </row>
    <row r="279" spans="1:38" x14ac:dyDescent="0.35">
      <c r="A279" s="10">
        <v>37822</v>
      </c>
      <c r="B279" s="2">
        <v>2003</v>
      </c>
      <c r="C279" s="2">
        <f>COUNTIFS(Games[Team],Games[[#This Row],[Team]],Games[Season],Games[[#This Row],[Season]],Games[Date],"&lt;=" &amp; Games[[#This Row],[Date]])</f>
        <v>17</v>
      </c>
      <c r="D279" s="2" t="s">
        <v>23</v>
      </c>
      <c r="E279" s="2" t="s">
        <v>29</v>
      </c>
      <c r="F279" s="1" t="s">
        <v>66</v>
      </c>
      <c r="G279" s="1" t="s">
        <v>80</v>
      </c>
      <c r="H279" s="1" t="s">
        <v>15</v>
      </c>
      <c r="I279" s="2" cm="1">
        <f t="array" ref="I279">IFERROR(
    Games[[#This Row],[Date]]
    - LOOKUP(
        2,
        1/((Games[Team]=Games[[#This Row],[Team]]) * (Games[Date] &lt; Games[[#This Row],[Date]])),
        Games[Date]
    )
    - 1,
Games[[#This Row],[Date]]-$A$2)</f>
        <v>1</v>
      </c>
      <c r="J279" s="2" cm="1">
        <f t="array" ref="J279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79" s="2">
        <f>Games[[#This Row],[DaysOff]]-Games[[#This Row],[OppDaysOff]]</f>
        <v>-2</v>
      </c>
      <c r="L279" s="2">
        <f>Games[[#This Row],[OppDaysOff]]-Games[[#This Row],[DaysOff]]</f>
        <v>2</v>
      </c>
      <c r="M279" s="1">
        <f>MAX(-16, MIN(16, Games[[#This Row],[RestDiff]]*8))</f>
        <v>-16</v>
      </c>
      <c r="N279" s="1">
        <f>MAX(-16, MIN(16, Games[[#This Row],[OppRestDiff]]*8))</f>
        <v>16</v>
      </c>
      <c r="O279" s="4" cm="1">
        <f t="array" ref="O27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1496.0727809134748</v>
      </c>
      <c r="P279" s="4" cm="1">
        <f t="array" ref="P27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1533.8926246892106</v>
      </c>
      <c r="Q279" s="4">
        <f>1/(1+10^(((Games[[#This Row],[OppPreGmRate]]+IF(Games[[#This Row],[HomeAway]]="A",HCA,0)+Games[[#This Row],[OppRestAdj]])-(Games[[#This Row],[PreGmRate]]+IF(Games[[#This Row],[HomeAway]]="H",HCA,0)+Games[[#This Row],[RestAdj]]))/400))</f>
        <v>0.52039556173901391</v>
      </c>
      <c r="R279" s="1">
        <v>73</v>
      </c>
      <c r="S279" s="1">
        <v>65</v>
      </c>
      <c r="T279" s="1">
        <v>0</v>
      </c>
      <c r="U279" s="1">
        <f>Games[[#This Row],[PointsFor]]-Games[[#This Row],[PointsAgainst]]</f>
        <v>8</v>
      </c>
      <c r="V279" s="1">
        <f>IF(Games[[#This Row],[MOV]]&gt;0,1,IF(Games[[#This Row],[MOV]]=0,0.5,0))</f>
        <v>1</v>
      </c>
      <c r="W279" s="4">
        <f>((ABS(Games[[#This Row],[MOV]])+5)^0.6)/(12+0.01*(ABS(Games[[#This Row],[PreGmRate]]-Games[[#This Row],[OppPreGmRate]])))*IF(Games[[#This Row],[OT]]=1,0.9,1)</f>
        <v>0.37645110017159422</v>
      </c>
      <c r="X279" s="7" cm="1">
        <f t="array" ref="X27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9" s="9">
        <f>MAX(kmin, kmax - 0.15 * MIN(Games[[#This Row],[GamesPlayed]], 82))</f>
        <v>73.45</v>
      </c>
      <c r="Z279" s="4">
        <f>Games[[#This Row],[K]]*Games[[#This Row],[POMult]]</f>
        <v>73.45</v>
      </c>
      <c r="AA279" s="4">
        <f>(Games[[#This Row],[Keff]]*Games[[#This Row],[MOVMult]])*(Games[[#This Row],[Result]]-Games[[#This Row],[ExpectedWin%]])</f>
        <v>13.261222573722256</v>
      </c>
      <c r="AB279" s="4">
        <f>Games[[#This Row],[PreGmRate]]+Games[[#This Row],[RatingChange]]</f>
        <v>1509.3340034871972</v>
      </c>
      <c r="AC279" s="2">
        <f>IF(Games[[#This Row],[Type]]="R",IF(Games[[#This Row],[Result]]&gt;0.5,1,0),0)</f>
        <v>1</v>
      </c>
      <c r="AD279" s="2">
        <f>IF(Games[[#This Row],[Type]]="R",IF(Games[[#This Row],[Result]]&lt;0.5,1,0),0)</f>
        <v>0</v>
      </c>
      <c r="AE279" s="2">
        <f>IF(AND(Games[[#This Row],[Type]]="P",Games[[#This Row],[Round]]=1),IF(Games[[#This Row],[Result]]&gt;0.5,1,0),0)</f>
        <v>0</v>
      </c>
      <c r="AF279" s="2">
        <f>IF(AND(Games[[#This Row],[Type]]="P",Games[[#This Row],[Round]]=1),IF(Games[[#This Row],[Result]]&lt;0.5,1,0),0)</f>
        <v>0</v>
      </c>
      <c r="AG279" s="2">
        <f>IF(AND(Games[[#This Row],[Type]]="P",Games[[#This Row],[Round]]=2),IF(Games[[#This Row],[Result]]&gt;0.5,1,0),0)</f>
        <v>0</v>
      </c>
      <c r="AH279" s="2">
        <f>IF(AND(Games[[#This Row],[Type]]="P",Games[[#This Row],[Round]]=2),IF(Games[[#This Row],[Result]]&lt;0.5,1,0),0)</f>
        <v>0</v>
      </c>
      <c r="AI279" s="2">
        <f>IF(AND(Games[[#This Row],[Type]]="P",Games[[#This Row],[Round]]=3),IF(Games[[#This Row],[Result]]&gt;0.5,1,0),0)</f>
        <v>0</v>
      </c>
      <c r="AJ279" s="2">
        <f>IF(AND(Games[[#This Row],[Type]]="P",Games[[#This Row],[Round]]=3),IF(Games[[#This Row],[Result]]&lt;0.5,1,0),0)</f>
        <v>0</v>
      </c>
      <c r="AK279" s="2">
        <f>IF(AND(Games[[#This Row],[Type]]="P",Games[[#This Row],[Round]]=4),IF(Games[[#This Row],[Result]]&gt;0.5,1,0),0)</f>
        <v>0</v>
      </c>
      <c r="AL279" s="2">
        <f>IF(AND(Games[[#This Row],[Type]]="P",Games[[#This Row],[Round]]=4),IF(Games[[#This Row],[Result]]&lt;0.5,1,0),0)</f>
        <v>0</v>
      </c>
    </row>
    <row r="280" spans="1:38" x14ac:dyDescent="0.35">
      <c r="A280" s="10">
        <v>37824</v>
      </c>
      <c r="B280" s="2">
        <v>2003</v>
      </c>
      <c r="C280" s="2">
        <f>COUNTIFS(Games[Team],Games[[#This Row],[Team]],Games[Season],Games[[#This Row],[Season]],Games[Date],"&lt;=" &amp; Games[[#This Row],[Date]])</f>
        <v>21</v>
      </c>
      <c r="D280" s="2" t="s">
        <v>23</v>
      </c>
      <c r="E280" s="2" t="s">
        <v>29</v>
      </c>
      <c r="F280" s="1" t="s">
        <v>1</v>
      </c>
      <c r="G280" s="1" t="s">
        <v>76</v>
      </c>
      <c r="H280" s="1" t="s">
        <v>16</v>
      </c>
      <c r="I280" s="2" cm="1">
        <f t="array" ref="I280">IFERROR(
    Games[[#This Row],[Date]]
    - LOOKUP(
        2,
        1/((Games[Team]=Games[[#This Row],[Team]]) * (Games[Date] &lt; Games[[#This Row],[Date]])),
        Games[Date]
    )
    - 1,
Games[[#This Row],[Date]]-$A$2)</f>
        <v>1</v>
      </c>
      <c r="J280" s="2" cm="1">
        <f t="array" ref="J28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80" s="2">
        <f>Games[[#This Row],[DaysOff]]-Games[[#This Row],[OppDaysOff]]</f>
        <v>-1</v>
      </c>
      <c r="L280" s="2">
        <f>Games[[#This Row],[OppDaysOff]]-Games[[#This Row],[DaysOff]]</f>
        <v>1</v>
      </c>
      <c r="M280" s="1">
        <f>MAX(-16, MIN(16, Games[[#This Row],[RestDiff]]*8))</f>
        <v>-8</v>
      </c>
      <c r="N280" s="1">
        <f>MAX(-16, MIN(16, Games[[#This Row],[OppRestDiff]]*8))</f>
        <v>8</v>
      </c>
      <c r="O280" s="4" cm="1">
        <f t="array" ref="O28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1487.1873303891862</v>
      </c>
      <c r="P280" s="4" cm="1">
        <f t="array" ref="P28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1560.5540557811103</v>
      </c>
      <c r="Q280" s="4">
        <f>1/(1+10^(((Games[[#This Row],[OppPreGmRate]]+IF(Games[[#This Row],[HomeAway]]="A",HCA,0)+Games[[#This Row],[OppRestAdj]])-(Games[[#This Row],[PreGmRate]]+IF(Games[[#This Row],[HomeAway]]="H",HCA,0)+Games[[#This Row],[RestAdj]]))/400))</f>
        <v>0.26933894113611967</v>
      </c>
      <c r="R280" s="1">
        <v>71</v>
      </c>
      <c r="S280" s="1">
        <v>74</v>
      </c>
      <c r="T280" s="1">
        <v>0</v>
      </c>
      <c r="U280" s="1">
        <f>Games[[#This Row],[PointsFor]]-Games[[#This Row],[PointsAgainst]]</f>
        <v>-3</v>
      </c>
      <c r="V280" s="1">
        <f>IF(Games[[#This Row],[MOV]]&gt;0,1,IF(Games[[#This Row],[MOV]]=0,0.5,0))</f>
        <v>0</v>
      </c>
      <c r="W280" s="4">
        <f>((ABS(Games[[#This Row],[MOV]])+5)^0.6)/(12+0.01*(ABS(Games[[#This Row],[PreGmRate]]-Games[[#This Row],[OppPreGmRate]])))*IF(Games[[#This Row],[OT]]=1,0.9,1)</f>
        <v>0.27346420977921532</v>
      </c>
      <c r="X280" s="7" cm="1">
        <f t="array" ref="X28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0" s="9">
        <f>MAX(kmin, kmax - 0.15 * MIN(Games[[#This Row],[GamesPlayed]], 82))</f>
        <v>72.849999999999994</v>
      </c>
      <c r="Z280" s="4">
        <f>Games[[#This Row],[K]]*Games[[#This Row],[POMult]]</f>
        <v>72.849999999999994</v>
      </c>
      <c r="AA280" s="4">
        <f>(Games[[#This Row],[Keff]]*Games[[#This Row],[MOVMult]])*(Games[[#This Row],[Result]]-Games[[#This Row],[ExpectedWin%]])</f>
        <v>-5.3657347470357628</v>
      </c>
      <c r="AB280" s="4">
        <f>Games[[#This Row],[PreGmRate]]+Games[[#This Row],[RatingChange]]</f>
        <v>1481.8215956421504</v>
      </c>
      <c r="AC280" s="2">
        <f>IF(Games[[#This Row],[Type]]="R",IF(Games[[#This Row],[Result]]&gt;0.5,1,0),0)</f>
        <v>0</v>
      </c>
      <c r="AD280" s="2">
        <f>IF(Games[[#This Row],[Type]]="R",IF(Games[[#This Row],[Result]]&lt;0.5,1,0),0)</f>
        <v>1</v>
      </c>
      <c r="AE280" s="2">
        <f>IF(AND(Games[[#This Row],[Type]]="P",Games[[#This Row],[Round]]=1),IF(Games[[#This Row],[Result]]&gt;0.5,1,0),0)</f>
        <v>0</v>
      </c>
      <c r="AF280" s="2">
        <f>IF(AND(Games[[#This Row],[Type]]="P",Games[[#This Row],[Round]]=1),IF(Games[[#This Row],[Result]]&lt;0.5,1,0),0)</f>
        <v>0</v>
      </c>
      <c r="AG280" s="2">
        <f>IF(AND(Games[[#This Row],[Type]]="P",Games[[#This Row],[Round]]=2),IF(Games[[#This Row],[Result]]&gt;0.5,1,0),0)</f>
        <v>0</v>
      </c>
      <c r="AH280" s="2">
        <f>IF(AND(Games[[#This Row],[Type]]="P",Games[[#This Row],[Round]]=2),IF(Games[[#This Row],[Result]]&lt;0.5,1,0),0)</f>
        <v>0</v>
      </c>
      <c r="AI280" s="2">
        <f>IF(AND(Games[[#This Row],[Type]]="P",Games[[#This Row],[Round]]=3),IF(Games[[#This Row],[Result]]&gt;0.5,1,0),0)</f>
        <v>0</v>
      </c>
      <c r="AJ280" s="2">
        <f>IF(AND(Games[[#This Row],[Type]]="P",Games[[#This Row],[Round]]=3),IF(Games[[#This Row],[Result]]&lt;0.5,1,0),0)</f>
        <v>0</v>
      </c>
      <c r="AK280" s="2">
        <f>IF(AND(Games[[#This Row],[Type]]="P",Games[[#This Row],[Round]]=4),IF(Games[[#This Row],[Result]]&gt;0.5,1,0),0)</f>
        <v>0</v>
      </c>
      <c r="AL280" s="2">
        <f>IF(AND(Games[[#This Row],[Type]]="P",Games[[#This Row],[Round]]=4),IF(Games[[#This Row],[Result]]&lt;0.5,1,0),0)</f>
        <v>0</v>
      </c>
    </row>
    <row r="281" spans="1:38" x14ac:dyDescent="0.35">
      <c r="A281" s="10">
        <v>37824</v>
      </c>
      <c r="B281" s="2">
        <v>2003</v>
      </c>
      <c r="C281" s="2">
        <f>COUNTIFS(Games[Team],Games[[#This Row],[Team]],Games[Season],Games[[#This Row],[Season]],Games[Date],"&lt;=" &amp; Games[[#This Row],[Date]])</f>
        <v>19</v>
      </c>
      <c r="D281" s="2" t="s">
        <v>23</v>
      </c>
      <c r="E281" s="2" t="s">
        <v>29</v>
      </c>
      <c r="F281" s="1" t="s">
        <v>76</v>
      </c>
      <c r="G281" s="1" t="s">
        <v>1</v>
      </c>
      <c r="H281" s="1" t="s">
        <v>15</v>
      </c>
      <c r="I281" s="2" cm="1">
        <f t="array" ref="I281">IFERROR(
    Games[[#This Row],[Date]]
    - LOOKUP(
        2,
        1/((Games[Team]=Games[[#This Row],[Team]]) * (Games[Date] &lt; Games[[#This Row],[Date]])),
        Games[Date]
    )
    - 1,
Games[[#This Row],[Date]]-$A$2)</f>
        <v>2</v>
      </c>
      <c r="J281" s="2" cm="1">
        <f t="array" ref="J28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81" s="2">
        <f>Games[[#This Row],[DaysOff]]-Games[[#This Row],[OppDaysOff]]</f>
        <v>1</v>
      </c>
      <c r="L281" s="2">
        <f>Games[[#This Row],[OppDaysOff]]-Games[[#This Row],[DaysOff]]</f>
        <v>-1</v>
      </c>
      <c r="M281" s="1">
        <f>MAX(-16, MIN(16, Games[[#This Row],[RestDiff]]*8))</f>
        <v>8</v>
      </c>
      <c r="N281" s="1">
        <f>MAX(-16, MIN(16, Games[[#This Row],[OppRestDiff]]*8))</f>
        <v>-8</v>
      </c>
      <c r="O281" s="4" cm="1">
        <f t="array" ref="O28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1560.5540557811103</v>
      </c>
      <c r="P281" s="4" cm="1">
        <f t="array" ref="P28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1487.1873303891862</v>
      </c>
      <c r="Q281" s="4">
        <f>1/(1+10^(((Games[[#This Row],[OppPreGmRate]]+IF(Games[[#This Row],[HomeAway]]="A",HCA,0)+Games[[#This Row],[OppRestAdj]])-(Games[[#This Row],[PreGmRate]]+IF(Games[[#This Row],[HomeAway]]="H",HCA,0)+Games[[#This Row],[RestAdj]]))/400))</f>
        <v>0.73066105886388033</v>
      </c>
      <c r="R281" s="1">
        <v>74</v>
      </c>
      <c r="S281" s="1">
        <v>71</v>
      </c>
      <c r="T281" s="1">
        <v>0</v>
      </c>
      <c r="U281" s="1">
        <f>Games[[#This Row],[PointsFor]]-Games[[#This Row],[PointsAgainst]]</f>
        <v>3</v>
      </c>
      <c r="V281" s="1">
        <f>IF(Games[[#This Row],[MOV]]&gt;0,1,IF(Games[[#This Row],[MOV]]=0,0.5,0))</f>
        <v>1</v>
      </c>
      <c r="W281" s="4">
        <f>((ABS(Games[[#This Row],[MOV]])+5)^0.6)/(12+0.01*(ABS(Games[[#This Row],[PreGmRate]]-Games[[#This Row],[OppPreGmRate]])))*IF(Games[[#This Row],[OT]]=1,0.9,1)</f>
        <v>0.27346420977921532</v>
      </c>
      <c r="X281" s="7" cm="1">
        <f t="array" ref="X28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1" s="9">
        <f>MAX(kmin, kmax - 0.15 * MIN(Games[[#This Row],[GamesPlayed]], 82))</f>
        <v>73.150000000000006</v>
      </c>
      <c r="Z281" s="4">
        <f>Games[[#This Row],[K]]*Games[[#This Row],[POMult]]</f>
        <v>73.150000000000006</v>
      </c>
      <c r="AA281" s="4">
        <f>(Games[[#This Row],[Keff]]*Games[[#This Row],[MOVMult]])*(Games[[#This Row],[Result]]-Games[[#This Row],[ExpectedWin%]])</f>
        <v>5.3878311152459322</v>
      </c>
      <c r="AB281" s="4">
        <f>Games[[#This Row],[PreGmRate]]+Games[[#This Row],[RatingChange]]</f>
        <v>1565.9418868963562</v>
      </c>
      <c r="AC281" s="2">
        <f>IF(Games[[#This Row],[Type]]="R",IF(Games[[#This Row],[Result]]&gt;0.5,1,0),0)</f>
        <v>1</v>
      </c>
      <c r="AD281" s="2">
        <f>IF(Games[[#This Row],[Type]]="R",IF(Games[[#This Row],[Result]]&lt;0.5,1,0),0)</f>
        <v>0</v>
      </c>
      <c r="AE281" s="2">
        <f>IF(AND(Games[[#This Row],[Type]]="P",Games[[#This Row],[Round]]=1),IF(Games[[#This Row],[Result]]&gt;0.5,1,0),0)</f>
        <v>0</v>
      </c>
      <c r="AF281" s="2">
        <f>IF(AND(Games[[#This Row],[Type]]="P",Games[[#This Row],[Round]]=1),IF(Games[[#This Row],[Result]]&lt;0.5,1,0),0)</f>
        <v>0</v>
      </c>
      <c r="AG281" s="2">
        <f>IF(AND(Games[[#This Row],[Type]]="P",Games[[#This Row],[Round]]=2),IF(Games[[#This Row],[Result]]&gt;0.5,1,0),0)</f>
        <v>0</v>
      </c>
      <c r="AH281" s="2">
        <f>IF(AND(Games[[#This Row],[Type]]="P",Games[[#This Row],[Round]]=2),IF(Games[[#This Row],[Result]]&lt;0.5,1,0),0)</f>
        <v>0</v>
      </c>
      <c r="AI281" s="2">
        <f>IF(AND(Games[[#This Row],[Type]]="P",Games[[#This Row],[Round]]=3),IF(Games[[#This Row],[Result]]&gt;0.5,1,0),0)</f>
        <v>0</v>
      </c>
      <c r="AJ281" s="2">
        <f>IF(AND(Games[[#This Row],[Type]]="P",Games[[#This Row],[Round]]=3),IF(Games[[#This Row],[Result]]&lt;0.5,1,0),0)</f>
        <v>0</v>
      </c>
      <c r="AK281" s="2">
        <f>IF(AND(Games[[#This Row],[Type]]="P",Games[[#This Row],[Round]]=4),IF(Games[[#This Row],[Result]]&gt;0.5,1,0),0)</f>
        <v>0</v>
      </c>
      <c r="AL281" s="2">
        <f>IF(AND(Games[[#This Row],[Type]]="P",Games[[#This Row],[Round]]=4),IF(Games[[#This Row],[Result]]&lt;0.5,1,0),0)</f>
        <v>0</v>
      </c>
    </row>
    <row r="282" spans="1:38" x14ac:dyDescent="0.35">
      <c r="A282" s="10">
        <v>37824</v>
      </c>
      <c r="B282" s="2">
        <v>2003</v>
      </c>
      <c r="C282" s="2">
        <f>COUNTIFS(Games[Team],Games[[#This Row],[Team]],Games[Season],Games[[#This Row],[Season]],Games[Date],"&lt;=" &amp; Games[[#This Row],[Date]])</f>
        <v>20</v>
      </c>
      <c r="D282" s="2" t="s">
        <v>23</v>
      </c>
      <c r="E282" s="2" t="s">
        <v>29</v>
      </c>
      <c r="F282" s="1" t="s">
        <v>74</v>
      </c>
      <c r="G282" s="1" t="s">
        <v>71</v>
      </c>
      <c r="H282" s="1" t="s">
        <v>16</v>
      </c>
      <c r="I282" s="2" cm="1">
        <f t="array" ref="I282">IFERROR(
    Games[[#This Row],[Date]]
    - LOOKUP(
        2,
        1/((Games[Team]=Games[[#This Row],[Team]]) * (Games[Date] &lt; Games[[#This Row],[Date]])),
        Games[Date]
    )
    - 1,
Games[[#This Row],[Date]]-$A$2)</f>
        <v>2</v>
      </c>
      <c r="J282" s="2" cm="1">
        <f t="array" ref="J28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82" s="2">
        <f>Games[[#This Row],[DaysOff]]-Games[[#This Row],[OppDaysOff]]</f>
        <v>1</v>
      </c>
      <c r="L282" s="2">
        <f>Games[[#This Row],[OppDaysOff]]-Games[[#This Row],[DaysOff]]</f>
        <v>-1</v>
      </c>
      <c r="M282" s="1">
        <f>MAX(-16, MIN(16, Games[[#This Row],[RestDiff]]*8))</f>
        <v>8</v>
      </c>
      <c r="N282" s="1">
        <f>MAX(-16, MIN(16, Games[[#This Row],[OppRestDiff]]*8))</f>
        <v>-8</v>
      </c>
      <c r="O282" s="4" cm="1">
        <f t="array" ref="O28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1403.3136978713969</v>
      </c>
      <c r="P282" s="4" cm="1">
        <f t="array" ref="P28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1653.5765603126938</v>
      </c>
      <c r="Q282" s="4">
        <f>1/(1+10^(((Games[[#This Row],[OppPreGmRate]]+IF(Games[[#This Row],[HomeAway]]="A",HCA,0)+Games[[#This Row],[OppRestAdj]])-(Games[[#This Row],[PreGmRate]]+IF(Games[[#This Row],[HomeAway]]="H",HCA,0)+Games[[#This Row],[RestAdj]]))/400))</f>
        <v>0.1379920632962009</v>
      </c>
      <c r="R282" s="1">
        <v>73</v>
      </c>
      <c r="S282" s="1">
        <v>77</v>
      </c>
      <c r="T282" s="1">
        <v>0</v>
      </c>
      <c r="U282" s="1">
        <f>Games[[#This Row],[PointsFor]]-Games[[#This Row],[PointsAgainst]]</f>
        <v>-4</v>
      </c>
      <c r="V282" s="1">
        <f>IF(Games[[#This Row],[MOV]]&gt;0,1,IF(Games[[#This Row],[MOV]]=0,0.5,0))</f>
        <v>0</v>
      </c>
      <c r="W282" s="4">
        <f>((ABS(Games[[#This Row],[MOV]])+5)^0.6)/(12+0.01*(ABS(Games[[#This Row],[PreGmRate]]-Games[[#This Row],[OppPreGmRate]])))*IF(Games[[#This Row],[OT]]=1,0.9,1)</f>
        <v>0.25769072046398239</v>
      </c>
      <c r="X282" s="7" cm="1">
        <f t="array" ref="X28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2" s="9">
        <f>MAX(kmin, kmax - 0.15 * MIN(Games[[#This Row],[GamesPlayed]], 82))</f>
        <v>73</v>
      </c>
      <c r="Z282" s="4">
        <f>Games[[#This Row],[K]]*Games[[#This Row],[POMult]]</f>
        <v>73</v>
      </c>
      <c r="AA282" s="4">
        <f>(Games[[#This Row],[Keff]]*Games[[#This Row],[MOVMult]])*(Games[[#This Row],[Result]]-Games[[#This Row],[ExpectedWin%]])</f>
        <v>-2.5958270172649911</v>
      </c>
      <c r="AB282" s="4">
        <f>Games[[#This Row],[PreGmRate]]+Games[[#This Row],[RatingChange]]</f>
        <v>1400.7178708541319</v>
      </c>
      <c r="AC282" s="2">
        <f>IF(Games[[#This Row],[Type]]="R",IF(Games[[#This Row],[Result]]&gt;0.5,1,0),0)</f>
        <v>0</v>
      </c>
      <c r="AD282" s="2">
        <f>IF(Games[[#This Row],[Type]]="R",IF(Games[[#This Row],[Result]]&lt;0.5,1,0),0)</f>
        <v>1</v>
      </c>
      <c r="AE282" s="2">
        <f>IF(AND(Games[[#This Row],[Type]]="P",Games[[#This Row],[Round]]=1),IF(Games[[#This Row],[Result]]&gt;0.5,1,0),0)</f>
        <v>0</v>
      </c>
      <c r="AF282" s="2">
        <f>IF(AND(Games[[#This Row],[Type]]="P",Games[[#This Row],[Round]]=1),IF(Games[[#This Row],[Result]]&lt;0.5,1,0),0)</f>
        <v>0</v>
      </c>
      <c r="AG282" s="2">
        <f>IF(AND(Games[[#This Row],[Type]]="P",Games[[#This Row],[Round]]=2),IF(Games[[#This Row],[Result]]&gt;0.5,1,0),0)</f>
        <v>0</v>
      </c>
      <c r="AH282" s="2">
        <f>IF(AND(Games[[#This Row],[Type]]="P",Games[[#This Row],[Round]]=2),IF(Games[[#This Row],[Result]]&lt;0.5,1,0),0)</f>
        <v>0</v>
      </c>
      <c r="AI282" s="2">
        <f>IF(AND(Games[[#This Row],[Type]]="P",Games[[#This Row],[Round]]=3),IF(Games[[#This Row],[Result]]&gt;0.5,1,0),0)</f>
        <v>0</v>
      </c>
      <c r="AJ282" s="2">
        <f>IF(AND(Games[[#This Row],[Type]]="P",Games[[#This Row],[Round]]=3),IF(Games[[#This Row],[Result]]&lt;0.5,1,0),0)</f>
        <v>0</v>
      </c>
      <c r="AK282" s="2">
        <f>IF(AND(Games[[#This Row],[Type]]="P",Games[[#This Row],[Round]]=4),IF(Games[[#This Row],[Result]]&gt;0.5,1,0),0)</f>
        <v>0</v>
      </c>
      <c r="AL282" s="2">
        <f>IF(AND(Games[[#This Row],[Type]]="P",Games[[#This Row],[Round]]=4),IF(Games[[#This Row],[Result]]&lt;0.5,1,0),0)</f>
        <v>0</v>
      </c>
    </row>
    <row r="283" spans="1:38" x14ac:dyDescent="0.35">
      <c r="A283" s="10">
        <v>37824</v>
      </c>
      <c r="B283" s="2">
        <v>2003</v>
      </c>
      <c r="C283" s="2">
        <f>COUNTIFS(Games[Team],Games[[#This Row],[Team]],Games[Season],Games[[#This Row],[Season]],Games[Date],"&lt;=" &amp; Games[[#This Row],[Date]])</f>
        <v>22</v>
      </c>
      <c r="D283" s="2" t="s">
        <v>23</v>
      </c>
      <c r="E283" s="2" t="s">
        <v>29</v>
      </c>
      <c r="F283" s="1" t="s">
        <v>71</v>
      </c>
      <c r="G283" s="1" t="s">
        <v>74</v>
      </c>
      <c r="H283" s="1" t="s">
        <v>15</v>
      </c>
      <c r="I283" s="2" cm="1">
        <f t="array" ref="I283">IFERROR(
    Games[[#This Row],[Date]]
    - LOOKUP(
        2,
        1/((Games[Team]=Games[[#This Row],[Team]]) * (Games[Date] &lt; Games[[#This Row],[Date]])),
        Games[Date]
    )
    - 1,
Games[[#This Row],[Date]]-$A$2)</f>
        <v>1</v>
      </c>
      <c r="J283" s="2" cm="1">
        <f t="array" ref="J28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83" s="2">
        <f>Games[[#This Row],[DaysOff]]-Games[[#This Row],[OppDaysOff]]</f>
        <v>-1</v>
      </c>
      <c r="L283" s="2">
        <f>Games[[#This Row],[OppDaysOff]]-Games[[#This Row],[DaysOff]]</f>
        <v>1</v>
      </c>
      <c r="M283" s="1">
        <f>MAX(-16, MIN(16, Games[[#This Row],[RestDiff]]*8))</f>
        <v>-8</v>
      </c>
      <c r="N283" s="1">
        <f>MAX(-16, MIN(16, Games[[#This Row],[OppRestDiff]]*8))</f>
        <v>8</v>
      </c>
      <c r="O283" s="4" cm="1">
        <f t="array" ref="O28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1653.5765603126938</v>
      </c>
      <c r="P283" s="4" cm="1">
        <f t="array" ref="P28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1403.3136978713969</v>
      </c>
      <c r="Q283" s="4">
        <f>1/(1+10^(((Games[[#This Row],[OppPreGmRate]]+IF(Games[[#This Row],[HomeAway]]="A",HCA,0)+Games[[#This Row],[OppRestAdj]])-(Games[[#This Row],[PreGmRate]]+IF(Games[[#This Row],[HomeAway]]="H",HCA,0)+Games[[#This Row],[RestAdj]]))/400))</f>
        <v>0.86200793670379905</v>
      </c>
      <c r="R283" s="1">
        <v>77</v>
      </c>
      <c r="S283" s="1">
        <v>73</v>
      </c>
      <c r="T283" s="1">
        <v>0</v>
      </c>
      <c r="U283" s="1">
        <f>Games[[#This Row],[PointsFor]]-Games[[#This Row],[PointsAgainst]]</f>
        <v>4</v>
      </c>
      <c r="V283" s="1">
        <f>IF(Games[[#This Row],[MOV]]&gt;0,1,IF(Games[[#This Row],[MOV]]=0,0.5,0))</f>
        <v>1</v>
      </c>
      <c r="W283" s="4">
        <f>((ABS(Games[[#This Row],[MOV]])+5)^0.6)/(12+0.01*(ABS(Games[[#This Row],[PreGmRate]]-Games[[#This Row],[OppPreGmRate]])))*IF(Games[[#This Row],[OT]]=1,0.9,1)</f>
        <v>0.25769072046398239</v>
      </c>
      <c r="X283" s="7" cm="1">
        <f t="array" ref="X28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3" s="9">
        <f>MAX(kmin, kmax - 0.15 * MIN(Games[[#This Row],[GamesPlayed]], 82))</f>
        <v>72.7</v>
      </c>
      <c r="Z283" s="4">
        <f>Games[[#This Row],[K]]*Games[[#This Row],[POMult]]</f>
        <v>72.7</v>
      </c>
      <c r="AA283" s="4">
        <f>(Games[[#This Row],[Keff]]*Games[[#This Row],[MOVMult]])*(Games[[#This Row],[Result]]-Games[[#This Row],[ExpectedWin%]])</f>
        <v>2.5851592350022594</v>
      </c>
      <c r="AB283" s="4">
        <f>Games[[#This Row],[PreGmRate]]+Games[[#This Row],[RatingChange]]</f>
        <v>1656.1617195476961</v>
      </c>
      <c r="AC283" s="2">
        <f>IF(Games[[#This Row],[Type]]="R",IF(Games[[#This Row],[Result]]&gt;0.5,1,0),0)</f>
        <v>1</v>
      </c>
      <c r="AD283" s="2">
        <f>IF(Games[[#This Row],[Type]]="R",IF(Games[[#This Row],[Result]]&lt;0.5,1,0),0)</f>
        <v>0</v>
      </c>
      <c r="AE283" s="2">
        <f>IF(AND(Games[[#This Row],[Type]]="P",Games[[#This Row],[Round]]=1),IF(Games[[#This Row],[Result]]&gt;0.5,1,0),0)</f>
        <v>0</v>
      </c>
      <c r="AF283" s="2">
        <f>IF(AND(Games[[#This Row],[Type]]="P",Games[[#This Row],[Round]]=1),IF(Games[[#This Row],[Result]]&lt;0.5,1,0),0)</f>
        <v>0</v>
      </c>
      <c r="AG283" s="2">
        <f>IF(AND(Games[[#This Row],[Type]]="P",Games[[#This Row],[Round]]=2),IF(Games[[#This Row],[Result]]&gt;0.5,1,0),0)</f>
        <v>0</v>
      </c>
      <c r="AH283" s="2">
        <f>IF(AND(Games[[#This Row],[Type]]="P",Games[[#This Row],[Round]]=2),IF(Games[[#This Row],[Result]]&lt;0.5,1,0),0)</f>
        <v>0</v>
      </c>
      <c r="AI283" s="2">
        <f>IF(AND(Games[[#This Row],[Type]]="P",Games[[#This Row],[Round]]=3),IF(Games[[#This Row],[Result]]&gt;0.5,1,0),0)</f>
        <v>0</v>
      </c>
      <c r="AJ283" s="2">
        <f>IF(AND(Games[[#This Row],[Type]]="P",Games[[#This Row],[Round]]=3),IF(Games[[#This Row],[Result]]&lt;0.5,1,0),0)</f>
        <v>0</v>
      </c>
      <c r="AK283" s="2">
        <f>IF(AND(Games[[#This Row],[Type]]="P",Games[[#This Row],[Round]]=4),IF(Games[[#This Row],[Result]]&gt;0.5,1,0),0)</f>
        <v>0</v>
      </c>
      <c r="AL283" s="2">
        <f>IF(AND(Games[[#This Row],[Type]]="P",Games[[#This Row],[Round]]=4),IF(Games[[#This Row],[Result]]&lt;0.5,1,0),0)</f>
        <v>0</v>
      </c>
    </row>
    <row r="284" spans="1:38" x14ac:dyDescent="0.35">
      <c r="A284" s="10">
        <v>37825</v>
      </c>
      <c r="B284" s="2">
        <v>2003</v>
      </c>
      <c r="C284" s="2">
        <f>COUNTIFS(Games[Team],Games[[#This Row],[Team]],Games[Season],Games[[#This Row],[Season]],Games[Date],"&lt;=" &amp; Games[[#This Row],[Date]])</f>
        <v>21</v>
      </c>
      <c r="D284" s="2" t="s">
        <v>23</v>
      </c>
      <c r="E284" s="2" t="s">
        <v>29</v>
      </c>
      <c r="F284" s="1" t="s">
        <v>78</v>
      </c>
      <c r="G284" s="1" t="s">
        <v>87</v>
      </c>
      <c r="H284" s="1" t="s">
        <v>16</v>
      </c>
      <c r="I284" s="2" cm="1">
        <f t="array" ref="I284">IFERROR(
    Games[[#This Row],[Date]]
    - LOOKUP(
        2,
        1/((Games[Team]=Games[[#This Row],[Team]]) * (Games[Date] &lt; Games[[#This Row],[Date]])),
        Games[Date]
    )
    - 1,
Games[[#This Row],[Date]]-$A$2)</f>
        <v>2</v>
      </c>
      <c r="J284" s="2" cm="1">
        <f t="array" ref="J28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84" s="2">
        <f>Games[[#This Row],[DaysOff]]-Games[[#This Row],[OppDaysOff]]</f>
        <v>0</v>
      </c>
      <c r="L284" s="2">
        <f>Games[[#This Row],[OppDaysOff]]-Games[[#This Row],[DaysOff]]</f>
        <v>0</v>
      </c>
      <c r="M284" s="1">
        <f>MAX(-16, MIN(16, Games[[#This Row],[RestDiff]]*8))</f>
        <v>0</v>
      </c>
      <c r="N284" s="1">
        <f>MAX(-16, MIN(16, Games[[#This Row],[OppRestDiff]]*8))</f>
        <v>0</v>
      </c>
      <c r="O284" s="4" cm="1">
        <f t="array" ref="O28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1495.6508843337533</v>
      </c>
      <c r="P284" s="4" cm="1">
        <f t="array" ref="P28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1493.8683225497523</v>
      </c>
      <c r="Q284" s="4">
        <f>1/(1+10^(((Games[[#This Row],[OppPreGmRate]]+IF(Games[[#This Row],[HomeAway]]="A",HCA,0)+Games[[#This Row],[OppRestAdj]])-(Games[[#This Row],[PreGmRate]]+IF(Games[[#This Row],[HomeAway]]="H",HCA,0)+Games[[#This Row],[RestAdj]]))/400))</f>
        <v>0.38383982307501285</v>
      </c>
      <c r="R284" s="1">
        <v>70</v>
      </c>
      <c r="S284" s="1">
        <v>84</v>
      </c>
      <c r="T284" s="1">
        <v>0</v>
      </c>
      <c r="U284" s="1">
        <f>Games[[#This Row],[PointsFor]]-Games[[#This Row],[PointsAgainst]]</f>
        <v>-14</v>
      </c>
      <c r="V284" s="1">
        <f>IF(Games[[#This Row],[MOV]]&gt;0,1,IF(Games[[#This Row],[MOV]]=0,0.5,0))</f>
        <v>0</v>
      </c>
      <c r="W284" s="4">
        <f>((ABS(Games[[#This Row],[MOV]])+5)^0.6)/(12+0.01*(ABS(Games[[#This Row],[PreGmRate]]-Games[[#This Row],[OppPreGmRate]])))*IF(Games[[#This Row],[OT]]=1,0.9,1)</f>
        <v>0.48688485159271944</v>
      </c>
      <c r="X284" s="7" cm="1">
        <f t="array" ref="X28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4" s="9">
        <f>MAX(kmin, kmax - 0.15 * MIN(Games[[#This Row],[GamesPlayed]], 82))</f>
        <v>72.849999999999994</v>
      </c>
      <c r="Z284" s="4">
        <f>Games[[#This Row],[K]]*Games[[#This Row],[POMult]]</f>
        <v>72.849999999999994</v>
      </c>
      <c r="AA284" s="4">
        <f>(Games[[#This Row],[Keff]]*Games[[#This Row],[MOVMult]])*(Games[[#This Row],[Result]]-Games[[#This Row],[ExpectedWin%]])</f>
        <v>-13.614630187113503</v>
      </c>
      <c r="AB284" s="4">
        <f>Games[[#This Row],[PreGmRate]]+Games[[#This Row],[RatingChange]]</f>
        <v>1482.0362541466397</v>
      </c>
      <c r="AC284" s="2">
        <f>IF(Games[[#This Row],[Type]]="R",IF(Games[[#This Row],[Result]]&gt;0.5,1,0),0)</f>
        <v>0</v>
      </c>
      <c r="AD284" s="2">
        <f>IF(Games[[#This Row],[Type]]="R",IF(Games[[#This Row],[Result]]&lt;0.5,1,0),0)</f>
        <v>1</v>
      </c>
      <c r="AE284" s="2">
        <f>IF(AND(Games[[#This Row],[Type]]="P",Games[[#This Row],[Round]]=1),IF(Games[[#This Row],[Result]]&gt;0.5,1,0),0)</f>
        <v>0</v>
      </c>
      <c r="AF284" s="2">
        <f>IF(AND(Games[[#This Row],[Type]]="P",Games[[#This Row],[Round]]=1),IF(Games[[#This Row],[Result]]&lt;0.5,1,0),0)</f>
        <v>0</v>
      </c>
      <c r="AG284" s="2">
        <f>IF(AND(Games[[#This Row],[Type]]="P",Games[[#This Row],[Round]]=2),IF(Games[[#This Row],[Result]]&gt;0.5,1,0),0)</f>
        <v>0</v>
      </c>
      <c r="AH284" s="2">
        <f>IF(AND(Games[[#This Row],[Type]]="P",Games[[#This Row],[Round]]=2),IF(Games[[#This Row],[Result]]&lt;0.5,1,0),0)</f>
        <v>0</v>
      </c>
      <c r="AI284" s="2">
        <f>IF(AND(Games[[#This Row],[Type]]="P",Games[[#This Row],[Round]]=3),IF(Games[[#This Row],[Result]]&gt;0.5,1,0),0)</f>
        <v>0</v>
      </c>
      <c r="AJ284" s="2">
        <f>IF(AND(Games[[#This Row],[Type]]="P",Games[[#This Row],[Round]]=3),IF(Games[[#This Row],[Result]]&lt;0.5,1,0),0)</f>
        <v>0</v>
      </c>
      <c r="AK284" s="2">
        <f>IF(AND(Games[[#This Row],[Type]]="P",Games[[#This Row],[Round]]=4),IF(Games[[#This Row],[Result]]&gt;0.5,1,0),0)</f>
        <v>0</v>
      </c>
      <c r="AL284" s="2">
        <f>IF(AND(Games[[#This Row],[Type]]="P",Games[[#This Row],[Round]]=4),IF(Games[[#This Row],[Result]]&lt;0.5,1,0),0)</f>
        <v>0</v>
      </c>
    </row>
    <row r="285" spans="1:38" x14ac:dyDescent="0.35">
      <c r="A285" s="10">
        <v>37825</v>
      </c>
      <c r="B285" s="2">
        <v>2003</v>
      </c>
      <c r="C285" s="2">
        <f>COUNTIFS(Games[Team],Games[[#This Row],[Team]],Games[Season],Games[[#This Row],[Season]],Games[Date],"&lt;=" &amp; Games[[#This Row],[Date]])</f>
        <v>23</v>
      </c>
      <c r="D285" s="2" t="s">
        <v>23</v>
      </c>
      <c r="E285" s="2" t="s">
        <v>29</v>
      </c>
      <c r="F285" s="1" t="s">
        <v>87</v>
      </c>
      <c r="G285" s="1" t="s">
        <v>78</v>
      </c>
      <c r="H285" s="1" t="s">
        <v>15</v>
      </c>
      <c r="I285" s="2" cm="1">
        <f t="array" ref="I285">IFERROR(
    Games[[#This Row],[Date]]
    - LOOKUP(
        2,
        1/((Games[Team]=Games[[#This Row],[Team]]) * (Games[Date] &lt; Games[[#This Row],[Date]])),
        Games[Date]
    )
    - 1,
Games[[#This Row],[Date]]-$A$2)</f>
        <v>2</v>
      </c>
      <c r="J285" s="2" cm="1">
        <f t="array" ref="J28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85" s="2">
        <f>Games[[#This Row],[DaysOff]]-Games[[#This Row],[OppDaysOff]]</f>
        <v>0</v>
      </c>
      <c r="L285" s="2">
        <f>Games[[#This Row],[OppDaysOff]]-Games[[#This Row],[DaysOff]]</f>
        <v>0</v>
      </c>
      <c r="M285" s="1">
        <f>MAX(-16, MIN(16, Games[[#This Row],[RestDiff]]*8))</f>
        <v>0</v>
      </c>
      <c r="N285" s="1">
        <f>MAX(-16, MIN(16, Games[[#This Row],[OppRestDiff]]*8))</f>
        <v>0</v>
      </c>
      <c r="O285" s="4" cm="1">
        <f t="array" ref="O28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1493.8683225497523</v>
      </c>
      <c r="P285" s="4" cm="1">
        <f t="array" ref="P28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1495.6508843337533</v>
      </c>
      <c r="Q285" s="4">
        <f>1/(1+10^(((Games[[#This Row],[OppPreGmRate]]+IF(Games[[#This Row],[HomeAway]]="A",HCA,0)+Games[[#This Row],[OppRestAdj]])-(Games[[#This Row],[PreGmRate]]+IF(Games[[#This Row],[HomeAway]]="H",HCA,0)+Games[[#This Row],[RestAdj]]))/400))</f>
        <v>0.61616017692498726</v>
      </c>
      <c r="R285" s="1">
        <v>84</v>
      </c>
      <c r="S285" s="1">
        <v>70</v>
      </c>
      <c r="T285" s="1">
        <v>0</v>
      </c>
      <c r="U285" s="1">
        <f>Games[[#This Row],[PointsFor]]-Games[[#This Row],[PointsAgainst]]</f>
        <v>14</v>
      </c>
      <c r="V285" s="1">
        <f>IF(Games[[#This Row],[MOV]]&gt;0,1,IF(Games[[#This Row],[MOV]]=0,0.5,0))</f>
        <v>1</v>
      </c>
      <c r="W285" s="4">
        <f>((ABS(Games[[#This Row],[MOV]])+5)^0.6)/(12+0.01*(ABS(Games[[#This Row],[PreGmRate]]-Games[[#This Row],[OppPreGmRate]])))*IF(Games[[#This Row],[OT]]=1,0.9,1)</f>
        <v>0.48688485159271944</v>
      </c>
      <c r="X285" s="7" cm="1">
        <f t="array" ref="X28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5" s="9">
        <f>MAX(kmin, kmax - 0.15 * MIN(Games[[#This Row],[GamesPlayed]], 82))</f>
        <v>72.55</v>
      </c>
      <c r="Z285" s="4">
        <f>Games[[#This Row],[K]]*Games[[#This Row],[POMult]]</f>
        <v>72.55</v>
      </c>
      <c r="AA285" s="4">
        <f>(Games[[#This Row],[Keff]]*Games[[#This Row],[MOVMult]])*(Games[[#This Row],[Result]]-Games[[#This Row],[ExpectedWin%]])</f>
        <v>13.558564448525523</v>
      </c>
      <c r="AB285" s="4">
        <f>Games[[#This Row],[PreGmRate]]+Games[[#This Row],[RatingChange]]</f>
        <v>1507.4268869982777</v>
      </c>
      <c r="AC285" s="2">
        <f>IF(Games[[#This Row],[Type]]="R",IF(Games[[#This Row],[Result]]&gt;0.5,1,0),0)</f>
        <v>1</v>
      </c>
      <c r="AD285" s="2">
        <f>IF(Games[[#This Row],[Type]]="R",IF(Games[[#This Row],[Result]]&lt;0.5,1,0),0)</f>
        <v>0</v>
      </c>
      <c r="AE285" s="2">
        <f>IF(AND(Games[[#This Row],[Type]]="P",Games[[#This Row],[Round]]=1),IF(Games[[#This Row],[Result]]&gt;0.5,1,0),0)</f>
        <v>0</v>
      </c>
      <c r="AF285" s="2">
        <f>IF(AND(Games[[#This Row],[Type]]="P",Games[[#This Row],[Round]]=1),IF(Games[[#This Row],[Result]]&lt;0.5,1,0),0)</f>
        <v>0</v>
      </c>
      <c r="AG285" s="2">
        <f>IF(AND(Games[[#This Row],[Type]]="P",Games[[#This Row],[Round]]=2),IF(Games[[#This Row],[Result]]&gt;0.5,1,0),0)</f>
        <v>0</v>
      </c>
      <c r="AH285" s="2">
        <f>IF(AND(Games[[#This Row],[Type]]="P",Games[[#This Row],[Round]]=2),IF(Games[[#This Row],[Result]]&lt;0.5,1,0),0)</f>
        <v>0</v>
      </c>
      <c r="AI285" s="2">
        <f>IF(AND(Games[[#This Row],[Type]]="P",Games[[#This Row],[Round]]=3),IF(Games[[#This Row],[Result]]&gt;0.5,1,0),0)</f>
        <v>0</v>
      </c>
      <c r="AJ285" s="2">
        <f>IF(AND(Games[[#This Row],[Type]]="P",Games[[#This Row],[Round]]=3),IF(Games[[#This Row],[Result]]&lt;0.5,1,0),0)</f>
        <v>0</v>
      </c>
      <c r="AK285" s="2">
        <f>IF(AND(Games[[#This Row],[Type]]="P",Games[[#This Row],[Round]]=4),IF(Games[[#This Row],[Result]]&gt;0.5,1,0),0)</f>
        <v>0</v>
      </c>
      <c r="AL285" s="2">
        <f>IF(AND(Games[[#This Row],[Type]]="P",Games[[#This Row],[Round]]=4),IF(Games[[#This Row],[Result]]&lt;0.5,1,0),0)</f>
        <v>0</v>
      </c>
    </row>
    <row r="286" spans="1:38" x14ac:dyDescent="0.35">
      <c r="A286" s="10">
        <v>37825</v>
      </c>
      <c r="B286" s="2">
        <v>2003</v>
      </c>
      <c r="C286" s="2">
        <f>COUNTIFS(Games[Team],Games[[#This Row],[Team]],Games[Season],Games[[#This Row],[Season]],Games[Date],"&lt;=" &amp; Games[[#This Row],[Date]])</f>
        <v>21</v>
      </c>
      <c r="D286" s="2" t="s">
        <v>23</v>
      </c>
      <c r="E286" s="2" t="s">
        <v>29</v>
      </c>
      <c r="F286" s="1" t="s">
        <v>85</v>
      </c>
      <c r="G286" s="1" t="s">
        <v>80</v>
      </c>
      <c r="H286" s="1" t="s">
        <v>16</v>
      </c>
      <c r="I286" s="2" cm="1">
        <f t="array" ref="I286">IFERROR(
    Games[[#This Row],[Date]]
    - LOOKUP(
        2,
        1/((Games[Team]=Games[[#This Row],[Team]]) * (Games[Date] &lt; Games[[#This Row],[Date]])),
        Games[Date]
    )
    - 1,
Games[[#This Row],[Date]]-$A$2)</f>
        <v>3</v>
      </c>
      <c r="J286" s="2" cm="1">
        <f t="array" ref="J28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86" s="2">
        <f>Games[[#This Row],[DaysOff]]-Games[[#This Row],[OppDaysOff]]</f>
        <v>1</v>
      </c>
      <c r="L286" s="2">
        <f>Games[[#This Row],[OppDaysOff]]-Games[[#This Row],[DaysOff]]</f>
        <v>-1</v>
      </c>
      <c r="M286" s="1">
        <f>MAX(-16, MIN(16, Games[[#This Row],[RestDiff]]*8))</f>
        <v>8</v>
      </c>
      <c r="N286" s="1">
        <f>MAX(-16, MIN(16, Games[[#This Row],[OppRestDiff]]*8))</f>
        <v>-8</v>
      </c>
      <c r="O286" s="4" cm="1">
        <f t="array" ref="O28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1401.6648351355379</v>
      </c>
      <c r="P286" s="4" cm="1">
        <f t="array" ref="P28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1520.6855664010175</v>
      </c>
      <c r="Q286" s="4">
        <f>1/(1+10^(((Games[[#This Row],[OppPreGmRate]]+IF(Games[[#This Row],[HomeAway]]="A",HCA,0)+Games[[#This Row],[OppRestAdj]])-(Games[[#This Row],[PreGmRate]]+IF(Games[[#This Row],[HomeAway]]="H",HCA,0)+Games[[#This Row],[RestAdj]]))/400))</f>
        <v>0.25415416915159711</v>
      </c>
      <c r="R286" s="1">
        <v>47</v>
      </c>
      <c r="S286" s="1">
        <v>81</v>
      </c>
      <c r="T286" s="1">
        <v>0</v>
      </c>
      <c r="U286" s="1">
        <f>Games[[#This Row],[PointsFor]]-Games[[#This Row],[PointsAgainst]]</f>
        <v>-34</v>
      </c>
      <c r="V286" s="1">
        <f>IF(Games[[#This Row],[MOV]]&gt;0,1,IF(Games[[#This Row],[MOV]]=0,0.5,0))</f>
        <v>0</v>
      </c>
      <c r="W286" s="4">
        <f>((ABS(Games[[#This Row],[MOV]])+5)^0.6)/(12+0.01*(ABS(Games[[#This Row],[PreGmRate]]-Games[[#This Row],[OppPreGmRate]])))*IF(Games[[#This Row],[OT]]=1,0.9,1)</f>
        <v>0.68294722189756818</v>
      </c>
      <c r="X286" s="7" cm="1">
        <f t="array" ref="X28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6" s="9">
        <f>MAX(kmin, kmax - 0.15 * MIN(Games[[#This Row],[GamesPlayed]], 82))</f>
        <v>72.849999999999994</v>
      </c>
      <c r="Z286" s="4">
        <f>Games[[#This Row],[K]]*Games[[#This Row],[POMult]]</f>
        <v>72.849999999999994</v>
      </c>
      <c r="AA286" s="4">
        <f>(Games[[#This Row],[Keff]]*Games[[#This Row],[MOVMult]])*(Games[[#This Row],[Result]]-Games[[#This Row],[ExpectedWin%]])</f>
        <v>-12.644857431607688</v>
      </c>
      <c r="AB286" s="4">
        <f>Games[[#This Row],[PreGmRate]]+Games[[#This Row],[RatingChange]]</f>
        <v>1389.0199777039302</v>
      </c>
      <c r="AC286" s="2">
        <f>IF(Games[[#This Row],[Type]]="R",IF(Games[[#This Row],[Result]]&gt;0.5,1,0),0)</f>
        <v>0</v>
      </c>
      <c r="AD286" s="2">
        <f>IF(Games[[#This Row],[Type]]="R",IF(Games[[#This Row],[Result]]&lt;0.5,1,0),0)</f>
        <v>1</v>
      </c>
      <c r="AE286" s="2">
        <f>IF(AND(Games[[#This Row],[Type]]="P",Games[[#This Row],[Round]]=1),IF(Games[[#This Row],[Result]]&gt;0.5,1,0),0)</f>
        <v>0</v>
      </c>
      <c r="AF286" s="2">
        <f>IF(AND(Games[[#This Row],[Type]]="P",Games[[#This Row],[Round]]=1),IF(Games[[#This Row],[Result]]&lt;0.5,1,0),0)</f>
        <v>0</v>
      </c>
      <c r="AG286" s="2">
        <f>IF(AND(Games[[#This Row],[Type]]="P",Games[[#This Row],[Round]]=2),IF(Games[[#This Row],[Result]]&gt;0.5,1,0),0)</f>
        <v>0</v>
      </c>
      <c r="AH286" s="2">
        <f>IF(AND(Games[[#This Row],[Type]]="P",Games[[#This Row],[Round]]=2),IF(Games[[#This Row],[Result]]&lt;0.5,1,0),0)</f>
        <v>0</v>
      </c>
      <c r="AI286" s="2">
        <f>IF(AND(Games[[#This Row],[Type]]="P",Games[[#This Row],[Round]]=3),IF(Games[[#This Row],[Result]]&gt;0.5,1,0),0)</f>
        <v>0</v>
      </c>
      <c r="AJ286" s="2">
        <f>IF(AND(Games[[#This Row],[Type]]="P",Games[[#This Row],[Round]]=3),IF(Games[[#This Row],[Result]]&lt;0.5,1,0),0)</f>
        <v>0</v>
      </c>
      <c r="AK286" s="2">
        <f>IF(AND(Games[[#This Row],[Type]]="P",Games[[#This Row],[Round]]=4),IF(Games[[#This Row],[Result]]&gt;0.5,1,0),0)</f>
        <v>0</v>
      </c>
      <c r="AL286" s="2">
        <f>IF(AND(Games[[#This Row],[Type]]="P",Games[[#This Row],[Round]]=4),IF(Games[[#This Row],[Result]]&lt;0.5,1,0),0)</f>
        <v>0</v>
      </c>
    </row>
    <row r="287" spans="1:38" x14ac:dyDescent="0.35">
      <c r="A287" s="10">
        <v>37825</v>
      </c>
      <c r="B287" s="2">
        <v>2003</v>
      </c>
      <c r="C287" s="2">
        <f>COUNTIFS(Games[Team],Games[[#This Row],[Team]],Games[Season],Games[[#This Row],[Season]],Games[Date],"&lt;=" &amp; Games[[#This Row],[Date]])</f>
        <v>20</v>
      </c>
      <c r="D287" s="2" t="s">
        <v>23</v>
      </c>
      <c r="E287" s="2" t="s">
        <v>29</v>
      </c>
      <c r="F287" s="1" t="s">
        <v>80</v>
      </c>
      <c r="G287" s="1" t="s">
        <v>85</v>
      </c>
      <c r="H287" s="1" t="s">
        <v>15</v>
      </c>
      <c r="I287" s="2" cm="1">
        <f t="array" ref="I287">IFERROR(
    Games[[#This Row],[Date]]
    - LOOKUP(
        2,
        1/((Games[Team]=Games[[#This Row],[Team]]) * (Games[Date] &lt; Games[[#This Row],[Date]])),
        Games[Date]
    )
    - 1,
Games[[#This Row],[Date]]-$A$2)</f>
        <v>2</v>
      </c>
      <c r="J287" s="2" cm="1">
        <f t="array" ref="J287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87" s="2">
        <f>Games[[#This Row],[DaysOff]]-Games[[#This Row],[OppDaysOff]]</f>
        <v>-1</v>
      </c>
      <c r="L287" s="2">
        <f>Games[[#This Row],[OppDaysOff]]-Games[[#This Row],[DaysOff]]</f>
        <v>1</v>
      </c>
      <c r="M287" s="1">
        <f>MAX(-16, MIN(16, Games[[#This Row],[RestDiff]]*8))</f>
        <v>-8</v>
      </c>
      <c r="N287" s="1">
        <f>MAX(-16, MIN(16, Games[[#This Row],[OppRestDiff]]*8))</f>
        <v>8</v>
      </c>
      <c r="O287" s="4" cm="1">
        <f t="array" ref="O28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1520.6855664010175</v>
      </c>
      <c r="P287" s="4" cm="1">
        <f t="array" ref="P28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1401.6648351355379</v>
      </c>
      <c r="Q287" s="4">
        <f>1/(1+10^(((Games[[#This Row],[OppPreGmRate]]+IF(Games[[#This Row],[HomeAway]]="A",HCA,0)+Games[[#This Row],[OppRestAdj]])-(Games[[#This Row],[PreGmRate]]+IF(Games[[#This Row],[HomeAway]]="H",HCA,0)+Games[[#This Row],[RestAdj]]))/400))</f>
        <v>0.74584583084840284</v>
      </c>
      <c r="R287" s="1">
        <v>81</v>
      </c>
      <c r="S287" s="1">
        <v>47</v>
      </c>
      <c r="T287" s="1">
        <v>0</v>
      </c>
      <c r="U287" s="1">
        <f>Games[[#This Row],[PointsFor]]-Games[[#This Row],[PointsAgainst]]</f>
        <v>34</v>
      </c>
      <c r="V287" s="1">
        <f>IF(Games[[#This Row],[MOV]]&gt;0,1,IF(Games[[#This Row],[MOV]]=0,0.5,0))</f>
        <v>1</v>
      </c>
      <c r="W287" s="4">
        <f>((ABS(Games[[#This Row],[MOV]])+5)^0.6)/(12+0.01*(ABS(Games[[#This Row],[PreGmRate]]-Games[[#This Row],[OppPreGmRate]])))*IF(Games[[#This Row],[OT]]=1,0.9,1)</f>
        <v>0.68294722189756818</v>
      </c>
      <c r="X287" s="7" cm="1">
        <f t="array" ref="X28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7" s="9">
        <f>MAX(kmin, kmax - 0.15 * MIN(Games[[#This Row],[GamesPlayed]], 82))</f>
        <v>73</v>
      </c>
      <c r="Z287" s="4">
        <f>Games[[#This Row],[K]]*Games[[#This Row],[POMult]]</f>
        <v>73</v>
      </c>
      <c r="AA287" s="4">
        <f>(Games[[#This Row],[Keff]]*Games[[#This Row],[MOVMult]])*(Games[[#This Row],[Result]]-Games[[#This Row],[ExpectedWin%]])</f>
        <v>12.670893514171055</v>
      </c>
      <c r="AB287" s="4">
        <f>Games[[#This Row],[PreGmRate]]+Games[[#This Row],[RatingChange]]</f>
        <v>1533.3564599151885</v>
      </c>
      <c r="AC287" s="2">
        <f>IF(Games[[#This Row],[Type]]="R",IF(Games[[#This Row],[Result]]&gt;0.5,1,0),0)</f>
        <v>1</v>
      </c>
      <c r="AD287" s="2">
        <f>IF(Games[[#This Row],[Type]]="R",IF(Games[[#This Row],[Result]]&lt;0.5,1,0),0)</f>
        <v>0</v>
      </c>
      <c r="AE287" s="2">
        <f>IF(AND(Games[[#This Row],[Type]]="P",Games[[#This Row],[Round]]=1),IF(Games[[#This Row],[Result]]&gt;0.5,1,0),0)</f>
        <v>0</v>
      </c>
      <c r="AF287" s="2">
        <f>IF(AND(Games[[#This Row],[Type]]="P",Games[[#This Row],[Round]]=1),IF(Games[[#This Row],[Result]]&lt;0.5,1,0),0)</f>
        <v>0</v>
      </c>
      <c r="AG287" s="2">
        <f>IF(AND(Games[[#This Row],[Type]]="P",Games[[#This Row],[Round]]=2),IF(Games[[#This Row],[Result]]&gt;0.5,1,0),0)</f>
        <v>0</v>
      </c>
      <c r="AH287" s="2">
        <f>IF(AND(Games[[#This Row],[Type]]="P",Games[[#This Row],[Round]]=2),IF(Games[[#This Row],[Result]]&lt;0.5,1,0),0)</f>
        <v>0</v>
      </c>
      <c r="AI287" s="2">
        <f>IF(AND(Games[[#This Row],[Type]]="P",Games[[#This Row],[Round]]=3),IF(Games[[#This Row],[Result]]&gt;0.5,1,0),0)</f>
        <v>0</v>
      </c>
      <c r="AJ287" s="2">
        <f>IF(AND(Games[[#This Row],[Type]]="P",Games[[#This Row],[Round]]=3),IF(Games[[#This Row],[Result]]&lt;0.5,1,0),0)</f>
        <v>0</v>
      </c>
      <c r="AK287" s="2">
        <f>IF(AND(Games[[#This Row],[Type]]="P",Games[[#This Row],[Round]]=4),IF(Games[[#This Row],[Result]]&gt;0.5,1,0),0)</f>
        <v>0</v>
      </c>
      <c r="AL287" s="2">
        <f>IF(AND(Games[[#This Row],[Type]]="P",Games[[#This Row],[Round]]=4),IF(Games[[#This Row],[Result]]&lt;0.5,1,0),0)</f>
        <v>0</v>
      </c>
    </row>
    <row r="288" spans="1:38" x14ac:dyDescent="0.35">
      <c r="A288" s="10">
        <v>37825</v>
      </c>
      <c r="B288" s="2">
        <v>2003</v>
      </c>
      <c r="C288" s="2">
        <f>COUNTIFS(Games[Team],Games[[#This Row],[Team]],Games[Season],Games[[#This Row],[Season]],Games[Date],"&lt;=" &amp; Games[[#This Row],[Date]])</f>
        <v>18</v>
      </c>
      <c r="D288" s="2" t="s">
        <v>23</v>
      </c>
      <c r="E288" s="2" t="s">
        <v>29</v>
      </c>
      <c r="F288" s="1" t="s">
        <v>66</v>
      </c>
      <c r="G288" s="1" t="s">
        <v>82</v>
      </c>
      <c r="H288" s="1" t="s">
        <v>16</v>
      </c>
      <c r="I288" s="2" cm="1">
        <f t="array" ref="I288">IFERROR(
    Games[[#This Row],[Date]]
    - LOOKUP(
        2,
        1/((Games[Team]=Games[[#This Row],[Team]]) * (Games[Date] &lt; Games[[#This Row],[Date]])),
        Games[Date]
    )
    - 1,
Games[[#This Row],[Date]]-$A$2)</f>
        <v>2</v>
      </c>
      <c r="J288" s="2" cm="1">
        <f t="array" ref="J28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88" s="2">
        <f>Games[[#This Row],[DaysOff]]-Games[[#This Row],[OppDaysOff]]</f>
        <v>0</v>
      </c>
      <c r="L288" s="2">
        <f>Games[[#This Row],[OppDaysOff]]-Games[[#This Row],[DaysOff]]</f>
        <v>0</v>
      </c>
      <c r="M288" s="1">
        <f>MAX(-16, MIN(16, Games[[#This Row],[RestDiff]]*8))</f>
        <v>0</v>
      </c>
      <c r="N288" s="1">
        <f>MAX(-16, MIN(16, Games[[#This Row],[OppRestDiff]]*8))</f>
        <v>0</v>
      </c>
      <c r="O288" s="4" cm="1">
        <f t="array" ref="O28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1509.3340034871972</v>
      </c>
      <c r="P288" s="4" cm="1">
        <f t="array" ref="P28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1550.8896191368303</v>
      </c>
      <c r="Q288" s="4">
        <f>1/(1+10^(((Games[[#This Row],[OppPreGmRate]]+IF(Games[[#This Row],[HomeAway]]="A",HCA,0)+Games[[#This Row],[OppRestAdj]])-(Games[[#This Row],[PreGmRate]]+IF(Games[[#This Row],[HomeAway]]="H",HCA,0)+Games[[#This Row],[RestAdj]]))/400))</f>
        <v>0.32678633297540333</v>
      </c>
      <c r="R288" s="1">
        <v>65</v>
      </c>
      <c r="S288" s="1">
        <v>75</v>
      </c>
      <c r="T288" s="1">
        <v>0</v>
      </c>
      <c r="U288" s="1">
        <f>Games[[#This Row],[PointsFor]]-Games[[#This Row],[PointsAgainst]]</f>
        <v>-10</v>
      </c>
      <c r="V288" s="1">
        <f>IF(Games[[#This Row],[MOV]]&gt;0,1,IF(Games[[#This Row],[MOV]]=0,0.5,0))</f>
        <v>0</v>
      </c>
      <c r="W288" s="4">
        <f>((ABS(Games[[#This Row],[MOV]])+5)^0.6)/(12+0.01*(ABS(Games[[#This Row],[PreGmRate]]-Games[[#This Row],[OppPreGmRate]])))*IF(Games[[#This Row],[OT]]=1,0.9,1)</f>
        <v>0.40896729296581857</v>
      </c>
      <c r="X288" s="7" cm="1">
        <f t="array" ref="X28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8" s="9">
        <f>MAX(kmin, kmax - 0.15 * MIN(Games[[#This Row],[GamesPlayed]], 82))</f>
        <v>73.3</v>
      </c>
      <c r="Z288" s="4">
        <f>Games[[#This Row],[K]]*Games[[#This Row],[POMult]]</f>
        <v>73.3</v>
      </c>
      <c r="AA288" s="4">
        <f>(Games[[#This Row],[Keff]]*Games[[#This Row],[MOVMult]])*(Games[[#This Row],[Result]]-Games[[#This Row],[ExpectedWin%]])</f>
        <v>-9.7961727807804966</v>
      </c>
      <c r="AB288" s="4">
        <f>Games[[#This Row],[PreGmRate]]+Games[[#This Row],[RatingChange]]</f>
        <v>1499.5378307064166</v>
      </c>
      <c r="AC288" s="2">
        <f>IF(Games[[#This Row],[Type]]="R",IF(Games[[#This Row],[Result]]&gt;0.5,1,0),0)</f>
        <v>0</v>
      </c>
      <c r="AD288" s="2">
        <f>IF(Games[[#This Row],[Type]]="R",IF(Games[[#This Row],[Result]]&lt;0.5,1,0),0)</f>
        <v>1</v>
      </c>
      <c r="AE288" s="2">
        <f>IF(AND(Games[[#This Row],[Type]]="P",Games[[#This Row],[Round]]=1),IF(Games[[#This Row],[Result]]&gt;0.5,1,0),0)</f>
        <v>0</v>
      </c>
      <c r="AF288" s="2">
        <f>IF(AND(Games[[#This Row],[Type]]="P",Games[[#This Row],[Round]]=1),IF(Games[[#This Row],[Result]]&lt;0.5,1,0),0)</f>
        <v>0</v>
      </c>
      <c r="AG288" s="2">
        <f>IF(AND(Games[[#This Row],[Type]]="P",Games[[#This Row],[Round]]=2),IF(Games[[#This Row],[Result]]&gt;0.5,1,0),0)</f>
        <v>0</v>
      </c>
      <c r="AH288" s="2">
        <f>IF(AND(Games[[#This Row],[Type]]="P",Games[[#This Row],[Round]]=2),IF(Games[[#This Row],[Result]]&lt;0.5,1,0),0)</f>
        <v>0</v>
      </c>
      <c r="AI288" s="2">
        <f>IF(AND(Games[[#This Row],[Type]]="P",Games[[#This Row],[Round]]=3),IF(Games[[#This Row],[Result]]&gt;0.5,1,0),0)</f>
        <v>0</v>
      </c>
      <c r="AJ288" s="2">
        <f>IF(AND(Games[[#This Row],[Type]]="P",Games[[#This Row],[Round]]=3),IF(Games[[#This Row],[Result]]&lt;0.5,1,0),0)</f>
        <v>0</v>
      </c>
      <c r="AK288" s="2">
        <f>IF(AND(Games[[#This Row],[Type]]="P",Games[[#This Row],[Round]]=4),IF(Games[[#This Row],[Result]]&gt;0.5,1,0),0)</f>
        <v>0</v>
      </c>
      <c r="AL288" s="2">
        <f>IF(AND(Games[[#This Row],[Type]]="P",Games[[#This Row],[Round]]=4),IF(Games[[#This Row],[Result]]&lt;0.5,1,0),0)</f>
        <v>0</v>
      </c>
    </row>
    <row r="289" spans="1:38" x14ac:dyDescent="0.35">
      <c r="A289" s="10">
        <v>37825</v>
      </c>
      <c r="B289" s="2">
        <v>2003</v>
      </c>
      <c r="C289" s="2">
        <f>COUNTIFS(Games[Team],Games[[#This Row],[Team]],Games[Season],Games[[#This Row],[Season]],Games[Date],"&lt;=" &amp; Games[[#This Row],[Date]])</f>
        <v>21</v>
      </c>
      <c r="D289" s="2" t="s">
        <v>23</v>
      </c>
      <c r="E289" s="2" t="s">
        <v>29</v>
      </c>
      <c r="F289" s="1" t="s">
        <v>82</v>
      </c>
      <c r="G289" s="1" t="s">
        <v>66</v>
      </c>
      <c r="H289" s="1" t="s">
        <v>15</v>
      </c>
      <c r="I289" s="2" cm="1">
        <f t="array" ref="I289">IFERROR(
    Games[[#This Row],[Date]]
    - LOOKUP(
        2,
        1/((Games[Team]=Games[[#This Row],[Team]]) * (Games[Date] &lt; Games[[#This Row],[Date]])),
        Games[Date]
    )
    - 1,
Games[[#This Row],[Date]]-$A$2)</f>
        <v>2</v>
      </c>
      <c r="J289" s="2" cm="1">
        <f t="array" ref="J28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89" s="2">
        <f>Games[[#This Row],[DaysOff]]-Games[[#This Row],[OppDaysOff]]</f>
        <v>0</v>
      </c>
      <c r="L289" s="2">
        <f>Games[[#This Row],[OppDaysOff]]-Games[[#This Row],[DaysOff]]</f>
        <v>0</v>
      </c>
      <c r="M289" s="1">
        <f>MAX(-16, MIN(16, Games[[#This Row],[RestDiff]]*8))</f>
        <v>0</v>
      </c>
      <c r="N289" s="1">
        <f>MAX(-16, MIN(16, Games[[#This Row],[OppRestDiff]]*8))</f>
        <v>0</v>
      </c>
      <c r="O289" s="4" cm="1">
        <f t="array" ref="O28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1550.8896191368303</v>
      </c>
      <c r="P289" s="4" cm="1">
        <f t="array" ref="P28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1509.3340034871972</v>
      </c>
      <c r="Q289" s="4">
        <f>1/(1+10^(((Games[[#This Row],[OppPreGmRate]]+IF(Games[[#This Row],[HomeAway]]="A",HCA,0)+Games[[#This Row],[OppRestAdj]])-(Games[[#This Row],[PreGmRate]]+IF(Games[[#This Row],[HomeAway]]="H",HCA,0)+Games[[#This Row],[RestAdj]]))/400))</f>
        <v>0.67321366702459662</v>
      </c>
      <c r="R289" s="1">
        <v>75</v>
      </c>
      <c r="S289" s="1">
        <v>65</v>
      </c>
      <c r="T289" s="1">
        <v>0</v>
      </c>
      <c r="U289" s="1">
        <f>Games[[#This Row],[PointsFor]]-Games[[#This Row],[PointsAgainst]]</f>
        <v>10</v>
      </c>
      <c r="V289" s="1">
        <f>IF(Games[[#This Row],[MOV]]&gt;0,1,IF(Games[[#This Row],[MOV]]=0,0.5,0))</f>
        <v>1</v>
      </c>
      <c r="W289" s="4">
        <f>((ABS(Games[[#This Row],[MOV]])+5)^0.6)/(12+0.01*(ABS(Games[[#This Row],[PreGmRate]]-Games[[#This Row],[OppPreGmRate]])))*IF(Games[[#This Row],[OT]]=1,0.9,1)</f>
        <v>0.40896729296581857</v>
      </c>
      <c r="X289" s="7" cm="1">
        <f t="array" ref="X28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9" s="9">
        <f>MAX(kmin, kmax - 0.15 * MIN(Games[[#This Row],[GamesPlayed]], 82))</f>
        <v>72.849999999999994</v>
      </c>
      <c r="Z289" s="4">
        <f>Games[[#This Row],[K]]*Games[[#This Row],[POMult]]</f>
        <v>72.849999999999994</v>
      </c>
      <c r="AA289" s="4">
        <f>(Games[[#This Row],[Keff]]*Games[[#This Row],[MOVMult]])*(Games[[#This Row],[Result]]-Games[[#This Row],[ExpectedWin%]])</f>
        <v>9.7360325658916693</v>
      </c>
      <c r="AB289" s="4">
        <f>Games[[#This Row],[PreGmRate]]+Games[[#This Row],[RatingChange]]</f>
        <v>1560.6256517027221</v>
      </c>
      <c r="AC289" s="2">
        <f>IF(Games[[#This Row],[Type]]="R",IF(Games[[#This Row],[Result]]&gt;0.5,1,0),0)</f>
        <v>1</v>
      </c>
      <c r="AD289" s="2">
        <f>IF(Games[[#This Row],[Type]]="R",IF(Games[[#This Row],[Result]]&lt;0.5,1,0),0)</f>
        <v>0</v>
      </c>
      <c r="AE289" s="2">
        <f>IF(AND(Games[[#This Row],[Type]]="P",Games[[#This Row],[Round]]=1),IF(Games[[#This Row],[Result]]&gt;0.5,1,0),0)</f>
        <v>0</v>
      </c>
      <c r="AF289" s="2">
        <f>IF(AND(Games[[#This Row],[Type]]="P",Games[[#This Row],[Round]]=1),IF(Games[[#This Row],[Result]]&lt;0.5,1,0),0)</f>
        <v>0</v>
      </c>
      <c r="AG289" s="2">
        <f>IF(AND(Games[[#This Row],[Type]]="P",Games[[#This Row],[Round]]=2),IF(Games[[#This Row],[Result]]&gt;0.5,1,0),0)</f>
        <v>0</v>
      </c>
      <c r="AH289" s="2">
        <f>IF(AND(Games[[#This Row],[Type]]="P",Games[[#This Row],[Round]]=2),IF(Games[[#This Row],[Result]]&lt;0.5,1,0),0)</f>
        <v>0</v>
      </c>
      <c r="AI289" s="2">
        <f>IF(AND(Games[[#This Row],[Type]]="P",Games[[#This Row],[Round]]=3),IF(Games[[#This Row],[Result]]&gt;0.5,1,0),0)</f>
        <v>0</v>
      </c>
      <c r="AJ289" s="2">
        <f>IF(AND(Games[[#This Row],[Type]]="P",Games[[#This Row],[Round]]=3),IF(Games[[#This Row],[Result]]&lt;0.5,1,0),0)</f>
        <v>0</v>
      </c>
      <c r="AK289" s="2">
        <f>IF(AND(Games[[#This Row],[Type]]="P",Games[[#This Row],[Round]]=4),IF(Games[[#This Row],[Result]]&gt;0.5,1,0),0)</f>
        <v>0</v>
      </c>
      <c r="AL289" s="2">
        <f>IF(AND(Games[[#This Row],[Type]]="P",Games[[#This Row],[Round]]=4),IF(Games[[#This Row],[Result]]&lt;0.5,1,0),0)</f>
        <v>0</v>
      </c>
    </row>
    <row r="290" spans="1:38" x14ac:dyDescent="0.35">
      <c r="A290" s="10">
        <v>37826</v>
      </c>
      <c r="B290" s="2">
        <v>2003</v>
      </c>
      <c r="C290" s="2">
        <f>COUNTIFS(Games[Team],Games[[#This Row],[Team]],Games[Season],Games[[#This Row],[Season]],Games[Date],"&lt;=" &amp; Games[[#This Row],[Date]])</f>
        <v>20</v>
      </c>
      <c r="D290" s="2" t="s">
        <v>23</v>
      </c>
      <c r="E290" s="2" t="s">
        <v>29</v>
      </c>
      <c r="F290" s="1" t="s">
        <v>76</v>
      </c>
      <c r="G290" s="1" t="s">
        <v>64</v>
      </c>
      <c r="H290" s="1" t="s">
        <v>16</v>
      </c>
      <c r="I290" s="2" cm="1">
        <f t="array" ref="I290">IFERROR(
    Games[[#This Row],[Date]]
    - LOOKUP(
        2,
        1/((Games[Team]=Games[[#This Row],[Team]]) * (Games[Date] &lt; Games[[#This Row],[Date]])),
        Games[Date]
    )
    - 1,
Games[[#This Row],[Date]]-$A$2)</f>
        <v>1</v>
      </c>
      <c r="J290" s="2" cm="1">
        <f t="array" ref="J290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90" s="2">
        <f>Games[[#This Row],[DaysOff]]-Games[[#This Row],[OppDaysOff]]</f>
        <v>-2</v>
      </c>
      <c r="L290" s="2">
        <f>Games[[#This Row],[OppDaysOff]]-Games[[#This Row],[DaysOff]]</f>
        <v>2</v>
      </c>
      <c r="M290" s="1">
        <f>MAX(-16, MIN(16, Games[[#This Row],[RestDiff]]*8))</f>
        <v>-16</v>
      </c>
      <c r="N290" s="1">
        <f>MAX(-16, MIN(16, Games[[#This Row],[OppRestDiff]]*8))</f>
        <v>16</v>
      </c>
      <c r="O290" s="4" cm="1">
        <f t="array" ref="O29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1565.9418868963562</v>
      </c>
      <c r="P290" s="4" cm="1">
        <f t="array" ref="P29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1516.612456233775</v>
      </c>
      <c r="Q290" s="4">
        <f>1/(1+10^(((Games[[#This Row],[OppPreGmRate]]+IF(Games[[#This Row],[HomeAway]]="A",HCA,0)+Games[[#This Row],[OppRestAdj]])-(Games[[#This Row],[PreGmRate]]+IF(Games[[#This Row],[HomeAway]]="H",HCA,0)+Games[[#This Row],[RestAdj]]))/400))</f>
        <v>0.40521392929189026</v>
      </c>
      <c r="R290" s="1">
        <v>61</v>
      </c>
      <c r="S290" s="1">
        <v>67</v>
      </c>
      <c r="T290" s="1">
        <v>0</v>
      </c>
      <c r="U290" s="1">
        <f>Games[[#This Row],[PointsFor]]-Games[[#This Row],[PointsAgainst]]</f>
        <v>-6</v>
      </c>
      <c r="V290" s="1">
        <f>IF(Games[[#This Row],[MOV]]&gt;0,1,IF(Games[[#This Row],[MOV]]=0,0.5,0))</f>
        <v>0</v>
      </c>
      <c r="W290" s="4">
        <f>((ABS(Games[[#This Row],[MOV]])+5)^0.6)/(12+0.01*(ABS(Games[[#This Row],[PreGmRate]]-Games[[#This Row],[OppPreGmRate]])))*IF(Games[[#This Row],[OT]]=1,0.9,1)</f>
        <v>0.33741053637520424</v>
      </c>
      <c r="X290" s="7" cm="1">
        <f t="array" ref="X29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0" s="9">
        <f>MAX(kmin, kmax - 0.15 * MIN(Games[[#This Row],[GamesPlayed]], 82))</f>
        <v>73</v>
      </c>
      <c r="Z290" s="4">
        <f>Games[[#This Row],[K]]*Games[[#This Row],[POMult]]</f>
        <v>73</v>
      </c>
      <c r="AA290" s="4">
        <f>(Games[[#This Row],[Keff]]*Games[[#This Row],[MOVMult]])*(Games[[#This Row],[Result]]-Games[[#This Row],[ExpectedWin%]])</f>
        <v>-9.9808117937228964</v>
      </c>
      <c r="AB290" s="4">
        <f>Games[[#This Row],[PreGmRate]]+Games[[#This Row],[RatingChange]]</f>
        <v>1555.9610751026332</v>
      </c>
      <c r="AC290" s="2">
        <f>IF(Games[[#This Row],[Type]]="R",IF(Games[[#This Row],[Result]]&gt;0.5,1,0),0)</f>
        <v>0</v>
      </c>
      <c r="AD290" s="2">
        <f>IF(Games[[#This Row],[Type]]="R",IF(Games[[#This Row],[Result]]&lt;0.5,1,0),0)</f>
        <v>1</v>
      </c>
      <c r="AE290" s="2">
        <f>IF(AND(Games[[#This Row],[Type]]="P",Games[[#This Row],[Round]]=1),IF(Games[[#This Row],[Result]]&gt;0.5,1,0),0)</f>
        <v>0</v>
      </c>
      <c r="AF290" s="2">
        <f>IF(AND(Games[[#This Row],[Type]]="P",Games[[#This Row],[Round]]=1),IF(Games[[#This Row],[Result]]&lt;0.5,1,0),0)</f>
        <v>0</v>
      </c>
      <c r="AG290" s="2">
        <f>IF(AND(Games[[#This Row],[Type]]="P",Games[[#This Row],[Round]]=2),IF(Games[[#This Row],[Result]]&gt;0.5,1,0),0)</f>
        <v>0</v>
      </c>
      <c r="AH290" s="2">
        <f>IF(AND(Games[[#This Row],[Type]]="P",Games[[#This Row],[Round]]=2),IF(Games[[#This Row],[Result]]&lt;0.5,1,0),0)</f>
        <v>0</v>
      </c>
      <c r="AI290" s="2">
        <f>IF(AND(Games[[#This Row],[Type]]="P",Games[[#This Row],[Round]]=3),IF(Games[[#This Row],[Result]]&gt;0.5,1,0),0)</f>
        <v>0</v>
      </c>
      <c r="AJ290" s="2">
        <f>IF(AND(Games[[#This Row],[Type]]="P",Games[[#This Row],[Round]]=3),IF(Games[[#This Row],[Result]]&lt;0.5,1,0),0)</f>
        <v>0</v>
      </c>
      <c r="AK290" s="2">
        <f>IF(AND(Games[[#This Row],[Type]]="P",Games[[#This Row],[Round]]=4),IF(Games[[#This Row],[Result]]&gt;0.5,1,0),0)</f>
        <v>0</v>
      </c>
      <c r="AL290" s="2">
        <f>IF(AND(Games[[#This Row],[Type]]="P",Games[[#This Row],[Round]]=4),IF(Games[[#This Row],[Result]]&lt;0.5,1,0),0)</f>
        <v>0</v>
      </c>
    </row>
    <row r="291" spans="1:38" x14ac:dyDescent="0.35">
      <c r="A291" s="10">
        <v>37826</v>
      </c>
      <c r="B291" s="2">
        <v>2003</v>
      </c>
      <c r="C291" s="2">
        <f>COUNTIFS(Games[Team],Games[[#This Row],[Team]],Games[Season],Games[[#This Row],[Season]],Games[Date],"&lt;=" &amp; Games[[#This Row],[Date]])</f>
        <v>22</v>
      </c>
      <c r="D291" s="2" t="s">
        <v>23</v>
      </c>
      <c r="E291" s="2" t="s">
        <v>29</v>
      </c>
      <c r="F291" s="1" t="s">
        <v>64</v>
      </c>
      <c r="G291" s="1" t="s">
        <v>76</v>
      </c>
      <c r="H291" s="1" t="s">
        <v>15</v>
      </c>
      <c r="I291" s="2" cm="1">
        <f t="array" ref="I291">IFERROR(
    Games[[#This Row],[Date]]
    - LOOKUP(
        2,
        1/((Games[Team]=Games[[#This Row],[Team]]) * (Games[Date] &lt; Games[[#This Row],[Date]])),
        Games[Date]
    )
    - 1,
Games[[#This Row],[Date]]-$A$2)</f>
        <v>3</v>
      </c>
      <c r="J291" s="2" cm="1">
        <f t="array" ref="J29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91" s="2">
        <f>Games[[#This Row],[DaysOff]]-Games[[#This Row],[OppDaysOff]]</f>
        <v>2</v>
      </c>
      <c r="L291" s="2">
        <f>Games[[#This Row],[OppDaysOff]]-Games[[#This Row],[DaysOff]]</f>
        <v>-2</v>
      </c>
      <c r="M291" s="1">
        <f>MAX(-16, MIN(16, Games[[#This Row],[RestDiff]]*8))</f>
        <v>16</v>
      </c>
      <c r="N291" s="1">
        <f>MAX(-16, MIN(16, Games[[#This Row],[OppRestDiff]]*8))</f>
        <v>-16</v>
      </c>
      <c r="O291" s="4" cm="1">
        <f t="array" ref="O29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1516.612456233775</v>
      </c>
      <c r="P291" s="4" cm="1">
        <f t="array" ref="P29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1565.9418868963562</v>
      </c>
      <c r="Q291" s="4">
        <f>1/(1+10^(((Games[[#This Row],[OppPreGmRate]]+IF(Games[[#This Row],[HomeAway]]="A",HCA,0)+Games[[#This Row],[OppRestAdj]])-(Games[[#This Row],[PreGmRate]]+IF(Games[[#This Row],[HomeAway]]="H",HCA,0)+Games[[#This Row],[RestAdj]]))/400))</f>
        <v>0.59478607070810985</v>
      </c>
      <c r="R291" s="1">
        <v>67</v>
      </c>
      <c r="S291" s="1">
        <v>61</v>
      </c>
      <c r="T291" s="1">
        <v>0</v>
      </c>
      <c r="U291" s="1">
        <f>Games[[#This Row],[PointsFor]]-Games[[#This Row],[PointsAgainst]]</f>
        <v>6</v>
      </c>
      <c r="V291" s="1">
        <f>IF(Games[[#This Row],[MOV]]&gt;0,1,IF(Games[[#This Row],[MOV]]=0,0.5,0))</f>
        <v>1</v>
      </c>
      <c r="W291" s="4">
        <f>((ABS(Games[[#This Row],[MOV]])+5)^0.6)/(12+0.01*(ABS(Games[[#This Row],[PreGmRate]]-Games[[#This Row],[OppPreGmRate]])))*IF(Games[[#This Row],[OT]]=1,0.9,1)</f>
        <v>0.33741053637520424</v>
      </c>
      <c r="X291" s="7" cm="1">
        <f t="array" ref="X29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1" s="9">
        <f>MAX(kmin, kmax - 0.15 * MIN(Games[[#This Row],[GamesPlayed]], 82))</f>
        <v>72.7</v>
      </c>
      <c r="Z291" s="4">
        <f>Games[[#This Row],[K]]*Games[[#This Row],[POMult]]</f>
        <v>72.7</v>
      </c>
      <c r="AA291" s="4">
        <f>(Games[[#This Row],[Keff]]*Games[[#This Row],[MOVMult]])*(Games[[#This Row],[Result]]-Games[[#This Row],[ExpectedWin%]])</f>
        <v>9.9397947589541698</v>
      </c>
      <c r="AB291" s="4">
        <f>Games[[#This Row],[PreGmRate]]+Games[[#This Row],[RatingChange]]</f>
        <v>1526.5522509927291</v>
      </c>
      <c r="AC291" s="2">
        <f>IF(Games[[#This Row],[Type]]="R",IF(Games[[#This Row],[Result]]&gt;0.5,1,0),0)</f>
        <v>1</v>
      </c>
      <c r="AD291" s="2">
        <f>IF(Games[[#This Row],[Type]]="R",IF(Games[[#This Row],[Result]]&lt;0.5,1,0),0)</f>
        <v>0</v>
      </c>
      <c r="AE291" s="2">
        <f>IF(AND(Games[[#This Row],[Type]]="P",Games[[#This Row],[Round]]=1),IF(Games[[#This Row],[Result]]&gt;0.5,1,0),0)</f>
        <v>0</v>
      </c>
      <c r="AF291" s="2">
        <f>IF(AND(Games[[#This Row],[Type]]="P",Games[[#This Row],[Round]]=1),IF(Games[[#This Row],[Result]]&lt;0.5,1,0),0)</f>
        <v>0</v>
      </c>
      <c r="AG291" s="2">
        <f>IF(AND(Games[[#This Row],[Type]]="P",Games[[#This Row],[Round]]=2),IF(Games[[#This Row],[Result]]&gt;0.5,1,0),0)</f>
        <v>0</v>
      </c>
      <c r="AH291" s="2">
        <f>IF(AND(Games[[#This Row],[Type]]="P",Games[[#This Row],[Round]]=2),IF(Games[[#This Row],[Result]]&lt;0.5,1,0),0)</f>
        <v>0</v>
      </c>
      <c r="AI291" s="2">
        <f>IF(AND(Games[[#This Row],[Type]]="P",Games[[#This Row],[Round]]=3),IF(Games[[#This Row],[Result]]&gt;0.5,1,0),0)</f>
        <v>0</v>
      </c>
      <c r="AJ291" s="2">
        <f>IF(AND(Games[[#This Row],[Type]]="P",Games[[#This Row],[Round]]=3),IF(Games[[#This Row],[Result]]&lt;0.5,1,0),0)</f>
        <v>0</v>
      </c>
      <c r="AK291" s="2">
        <f>IF(AND(Games[[#This Row],[Type]]="P",Games[[#This Row],[Round]]=4),IF(Games[[#This Row],[Result]]&gt;0.5,1,0),0)</f>
        <v>0</v>
      </c>
      <c r="AL291" s="2">
        <f>IF(AND(Games[[#This Row],[Type]]="P",Games[[#This Row],[Round]]=4),IF(Games[[#This Row],[Result]]&lt;0.5,1,0),0)</f>
        <v>0</v>
      </c>
    </row>
    <row r="292" spans="1:38" x14ac:dyDescent="0.35">
      <c r="A292" s="10">
        <v>37826</v>
      </c>
      <c r="B292" s="2">
        <v>2003</v>
      </c>
      <c r="C292" s="2">
        <f>COUNTIFS(Games[Team],Games[[#This Row],[Team]],Games[Season],Games[[#This Row],[Season]],Games[Date],"&lt;=" &amp; Games[[#This Row],[Date]])</f>
        <v>20</v>
      </c>
      <c r="D292" s="2" t="s">
        <v>23</v>
      </c>
      <c r="E292" s="2" t="s">
        <v>29</v>
      </c>
      <c r="F292" s="1" t="s">
        <v>44</v>
      </c>
      <c r="G292" s="1" t="s">
        <v>71</v>
      </c>
      <c r="H292" s="1" t="s">
        <v>16</v>
      </c>
      <c r="I292" s="2" cm="1">
        <f t="array" ref="I292">IFERROR(
    Games[[#This Row],[Date]]
    - LOOKUP(
        2,
        1/((Games[Team]=Games[[#This Row],[Team]]) * (Games[Date] &lt; Games[[#This Row],[Date]])),
        Games[Date]
    )
    - 1,
Games[[#This Row],[Date]]-$A$2)</f>
        <v>4</v>
      </c>
      <c r="J292" s="2" cm="1">
        <f t="array" ref="J29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92" s="2">
        <f>Games[[#This Row],[DaysOff]]-Games[[#This Row],[OppDaysOff]]</f>
        <v>3</v>
      </c>
      <c r="L292" s="2">
        <f>Games[[#This Row],[OppDaysOff]]-Games[[#This Row],[DaysOff]]</f>
        <v>-3</v>
      </c>
      <c r="M292" s="1">
        <f>MAX(-16, MIN(16, Games[[#This Row],[RestDiff]]*8))</f>
        <v>16</v>
      </c>
      <c r="N292" s="1">
        <f>MAX(-16, MIN(16, Games[[#This Row],[OppRestDiff]]*8))</f>
        <v>-16</v>
      </c>
      <c r="O292" s="4" cm="1">
        <f t="array" ref="O29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1346.627232874898</v>
      </c>
      <c r="P292" s="4" cm="1">
        <f t="array" ref="P29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1656.1617195476961</v>
      </c>
      <c r="Q292" s="4">
        <f>1/(1+10^(((Games[[#This Row],[OppPreGmRate]]+IF(Games[[#This Row],[HomeAway]]="A",HCA,0)+Games[[#This Row],[OppRestAdj]])-(Games[[#This Row],[PreGmRate]]+IF(Games[[#This Row],[HomeAway]]="H",HCA,0)+Games[[#This Row],[RestAdj]]))/400))</f>
        <v>0.11094152004484223</v>
      </c>
      <c r="R292" s="1">
        <v>65</v>
      </c>
      <c r="S292" s="1">
        <v>82</v>
      </c>
      <c r="T292" s="1">
        <v>0</v>
      </c>
      <c r="U292" s="1">
        <f>Games[[#This Row],[PointsFor]]-Games[[#This Row],[PointsAgainst]]</f>
        <v>-17</v>
      </c>
      <c r="V292" s="1">
        <f>IF(Games[[#This Row],[MOV]]&gt;0,1,IF(Games[[#This Row],[MOV]]=0,0.5,0))</f>
        <v>0</v>
      </c>
      <c r="W292" s="4">
        <f>((ABS(Games[[#This Row],[MOV]])+5)^0.6)/(12+0.01*(ABS(Games[[#This Row],[PreGmRate]]-Games[[#This Row],[OppPreGmRate]])))*IF(Games[[#This Row],[OT]]=1,0.9,1)</f>
        <v>0.42326325667900383</v>
      </c>
      <c r="X292" s="7" cm="1">
        <f t="array" ref="X29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2" s="9">
        <f>MAX(kmin, kmax - 0.15 * MIN(Games[[#This Row],[GamesPlayed]], 82))</f>
        <v>73</v>
      </c>
      <c r="Z292" s="4">
        <f>Games[[#This Row],[K]]*Games[[#This Row],[POMult]]</f>
        <v>73</v>
      </c>
      <c r="AA292" s="4">
        <f>(Games[[#This Row],[Keff]]*Games[[#This Row],[MOVMult]])*(Games[[#This Row],[Result]]-Games[[#This Row],[ExpectedWin%]])</f>
        <v>-3.42789524248222</v>
      </c>
      <c r="AB292" s="4">
        <f>Games[[#This Row],[PreGmRate]]+Games[[#This Row],[RatingChange]]</f>
        <v>1343.1993376324158</v>
      </c>
      <c r="AC292" s="2">
        <f>IF(Games[[#This Row],[Type]]="R",IF(Games[[#This Row],[Result]]&gt;0.5,1,0),0)</f>
        <v>0</v>
      </c>
      <c r="AD292" s="2">
        <f>IF(Games[[#This Row],[Type]]="R",IF(Games[[#This Row],[Result]]&lt;0.5,1,0),0)</f>
        <v>1</v>
      </c>
      <c r="AE292" s="2">
        <f>IF(AND(Games[[#This Row],[Type]]="P",Games[[#This Row],[Round]]=1),IF(Games[[#This Row],[Result]]&gt;0.5,1,0),0)</f>
        <v>0</v>
      </c>
      <c r="AF292" s="2">
        <f>IF(AND(Games[[#This Row],[Type]]="P",Games[[#This Row],[Round]]=1),IF(Games[[#This Row],[Result]]&lt;0.5,1,0),0)</f>
        <v>0</v>
      </c>
      <c r="AG292" s="2">
        <f>IF(AND(Games[[#This Row],[Type]]="P",Games[[#This Row],[Round]]=2),IF(Games[[#This Row],[Result]]&gt;0.5,1,0),0)</f>
        <v>0</v>
      </c>
      <c r="AH292" s="2">
        <f>IF(AND(Games[[#This Row],[Type]]="P",Games[[#This Row],[Round]]=2),IF(Games[[#This Row],[Result]]&lt;0.5,1,0),0)</f>
        <v>0</v>
      </c>
      <c r="AI292" s="2">
        <f>IF(AND(Games[[#This Row],[Type]]="P",Games[[#This Row],[Round]]=3),IF(Games[[#This Row],[Result]]&gt;0.5,1,0),0)</f>
        <v>0</v>
      </c>
      <c r="AJ292" s="2">
        <f>IF(AND(Games[[#This Row],[Type]]="P",Games[[#This Row],[Round]]=3),IF(Games[[#This Row],[Result]]&lt;0.5,1,0),0)</f>
        <v>0</v>
      </c>
      <c r="AK292" s="2">
        <f>IF(AND(Games[[#This Row],[Type]]="P",Games[[#This Row],[Round]]=4),IF(Games[[#This Row],[Result]]&gt;0.5,1,0),0)</f>
        <v>0</v>
      </c>
      <c r="AL292" s="2">
        <f>IF(AND(Games[[#This Row],[Type]]="P",Games[[#This Row],[Round]]=4),IF(Games[[#This Row],[Result]]&lt;0.5,1,0),0)</f>
        <v>0</v>
      </c>
    </row>
    <row r="293" spans="1:38" x14ac:dyDescent="0.35">
      <c r="A293" s="10">
        <v>37826</v>
      </c>
      <c r="B293" s="2">
        <v>2003</v>
      </c>
      <c r="C293" s="2">
        <f>COUNTIFS(Games[Team],Games[[#This Row],[Team]],Games[Season],Games[[#This Row],[Season]],Games[Date],"&lt;=" &amp; Games[[#This Row],[Date]])</f>
        <v>23</v>
      </c>
      <c r="D293" s="2" t="s">
        <v>23</v>
      </c>
      <c r="E293" s="2" t="s">
        <v>29</v>
      </c>
      <c r="F293" s="1" t="s">
        <v>71</v>
      </c>
      <c r="G293" s="1" t="s">
        <v>44</v>
      </c>
      <c r="H293" s="1" t="s">
        <v>15</v>
      </c>
      <c r="I293" s="2" cm="1">
        <f t="array" ref="I293">IFERROR(
    Games[[#This Row],[Date]]
    - LOOKUP(
        2,
        1/((Games[Team]=Games[[#This Row],[Team]]) * (Games[Date] &lt; Games[[#This Row],[Date]])),
        Games[Date]
    )
    - 1,
Games[[#This Row],[Date]]-$A$2)</f>
        <v>1</v>
      </c>
      <c r="J293" s="2" cm="1">
        <f t="array" ref="J293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293" s="2">
        <f>Games[[#This Row],[DaysOff]]-Games[[#This Row],[OppDaysOff]]</f>
        <v>-3</v>
      </c>
      <c r="L293" s="2">
        <f>Games[[#This Row],[OppDaysOff]]-Games[[#This Row],[DaysOff]]</f>
        <v>3</v>
      </c>
      <c r="M293" s="1">
        <f>MAX(-16, MIN(16, Games[[#This Row],[RestDiff]]*8))</f>
        <v>-16</v>
      </c>
      <c r="N293" s="1">
        <f>MAX(-16, MIN(16, Games[[#This Row],[OppRestDiff]]*8))</f>
        <v>16</v>
      </c>
      <c r="O293" s="4" cm="1">
        <f t="array" ref="O29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1656.1617195476961</v>
      </c>
      <c r="P293" s="4" cm="1">
        <f t="array" ref="P29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1346.627232874898</v>
      </c>
      <c r="Q293" s="4">
        <f>1/(1+10^(((Games[[#This Row],[OppPreGmRate]]+IF(Games[[#This Row],[HomeAway]]="A",HCA,0)+Games[[#This Row],[OppRestAdj]])-(Games[[#This Row],[PreGmRate]]+IF(Games[[#This Row],[HomeAway]]="H",HCA,0)+Games[[#This Row],[RestAdj]]))/400))</f>
        <v>0.88905847995515774</v>
      </c>
      <c r="R293" s="1">
        <v>82</v>
      </c>
      <c r="S293" s="1">
        <v>65</v>
      </c>
      <c r="T293" s="1">
        <v>0</v>
      </c>
      <c r="U293" s="1">
        <f>Games[[#This Row],[PointsFor]]-Games[[#This Row],[PointsAgainst]]</f>
        <v>17</v>
      </c>
      <c r="V293" s="1">
        <f>IF(Games[[#This Row],[MOV]]&gt;0,1,IF(Games[[#This Row],[MOV]]=0,0.5,0))</f>
        <v>1</v>
      </c>
      <c r="W293" s="4">
        <f>((ABS(Games[[#This Row],[MOV]])+5)^0.6)/(12+0.01*(ABS(Games[[#This Row],[PreGmRate]]-Games[[#This Row],[OppPreGmRate]])))*IF(Games[[#This Row],[OT]]=1,0.9,1)</f>
        <v>0.42326325667900383</v>
      </c>
      <c r="X293" s="7" cm="1">
        <f t="array" ref="X29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3" s="9">
        <f>MAX(kmin, kmax - 0.15 * MIN(Games[[#This Row],[GamesPlayed]], 82))</f>
        <v>72.55</v>
      </c>
      <c r="Z293" s="4">
        <f>Games[[#This Row],[K]]*Games[[#This Row],[POMult]]</f>
        <v>72.55</v>
      </c>
      <c r="AA293" s="4">
        <f>(Games[[#This Row],[Keff]]*Games[[#This Row],[MOVMult]])*(Games[[#This Row],[Result]]-Games[[#This Row],[ExpectedWin%]])</f>
        <v>3.4067643813984261</v>
      </c>
      <c r="AB293" s="4">
        <f>Games[[#This Row],[PreGmRate]]+Games[[#This Row],[RatingChange]]</f>
        <v>1659.5684839290946</v>
      </c>
      <c r="AC293" s="2">
        <f>IF(Games[[#This Row],[Type]]="R",IF(Games[[#This Row],[Result]]&gt;0.5,1,0),0)</f>
        <v>1</v>
      </c>
      <c r="AD293" s="2">
        <f>IF(Games[[#This Row],[Type]]="R",IF(Games[[#This Row],[Result]]&lt;0.5,1,0),0)</f>
        <v>0</v>
      </c>
      <c r="AE293" s="2">
        <f>IF(AND(Games[[#This Row],[Type]]="P",Games[[#This Row],[Round]]=1),IF(Games[[#This Row],[Result]]&gt;0.5,1,0),0)</f>
        <v>0</v>
      </c>
      <c r="AF293" s="2">
        <f>IF(AND(Games[[#This Row],[Type]]="P",Games[[#This Row],[Round]]=1),IF(Games[[#This Row],[Result]]&lt;0.5,1,0),0)</f>
        <v>0</v>
      </c>
      <c r="AG293" s="2">
        <f>IF(AND(Games[[#This Row],[Type]]="P",Games[[#This Row],[Round]]=2),IF(Games[[#This Row],[Result]]&gt;0.5,1,0),0)</f>
        <v>0</v>
      </c>
      <c r="AH293" s="2">
        <f>IF(AND(Games[[#This Row],[Type]]="P",Games[[#This Row],[Round]]=2),IF(Games[[#This Row],[Result]]&lt;0.5,1,0),0)</f>
        <v>0</v>
      </c>
      <c r="AI293" s="2">
        <f>IF(AND(Games[[#This Row],[Type]]="P",Games[[#This Row],[Round]]=3),IF(Games[[#This Row],[Result]]&gt;0.5,1,0),0)</f>
        <v>0</v>
      </c>
      <c r="AJ293" s="2">
        <f>IF(AND(Games[[#This Row],[Type]]="P",Games[[#This Row],[Round]]=3),IF(Games[[#This Row],[Result]]&lt;0.5,1,0),0)</f>
        <v>0</v>
      </c>
      <c r="AK293" s="2">
        <f>IF(AND(Games[[#This Row],[Type]]="P",Games[[#This Row],[Round]]=4),IF(Games[[#This Row],[Result]]&gt;0.5,1,0),0)</f>
        <v>0</v>
      </c>
      <c r="AL293" s="2">
        <f>IF(AND(Games[[#This Row],[Type]]="P",Games[[#This Row],[Round]]=4),IF(Games[[#This Row],[Result]]&lt;0.5,1,0),0)</f>
        <v>0</v>
      </c>
    </row>
    <row r="294" spans="1:38" x14ac:dyDescent="0.35">
      <c r="A294" s="10">
        <v>37826</v>
      </c>
      <c r="B294" s="2">
        <v>2003</v>
      </c>
      <c r="C294" s="2">
        <f>COUNTIFS(Games[Team],Games[[#This Row],[Team]],Games[Season],Games[[#This Row],[Season]],Games[Date],"&lt;=" &amp; Games[[#This Row],[Date]])</f>
        <v>19</v>
      </c>
      <c r="D294" s="2" t="s">
        <v>23</v>
      </c>
      <c r="E294" s="2" t="s">
        <v>29</v>
      </c>
      <c r="F294" s="1" t="s">
        <v>66</v>
      </c>
      <c r="G294" s="1" t="s">
        <v>45</v>
      </c>
      <c r="H294" s="1" t="s">
        <v>16</v>
      </c>
      <c r="I294" s="2" cm="1">
        <f t="array" ref="I294">IFERROR(
    Games[[#This Row],[Date]]
    - LOOKUP(
        2,
        1/((Games[Team]=Games[[#This Row],[Team]]) * (Games[Date] &lt; Games[[#This Row],[Date]])),
        Games[Date]
    )
    - 1,
Games[[#This Row],[Date]]-$A$2)</f>
        <v>0</v>
      </c>
      <c r="J294" s="2" cm="1">
        <f t="array" ref="J294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294" s="2">
        <f>Games[[#This Row],[DaysOff]]-Games[[#This Row],[OppDaysOff]]</f>
        <v>-4</v>
      </c>
      <c r="L294" s="2">
        <f>Games[[#This Row],[OppDaysOff]]-Games[[#This Row],[DaysOff]]</f>
        <v>4</v>
      </c>
      <c r="M294" s="1">
        <f>MAX(-16, MIN(16, Games[[#This Row],[RestDiff]]*8))</f>
        <v>-16</v>
      </c>
      <c r="N294" s="1">
        <f>MAX(-16, MIN(16, Games[[#This Row],[OppRestDiff]]*8))</f>
        <v>16</v>
      </c>
      <c r="O294" s="4" cm="1">
        <f t="array" ref="O29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1499.5378307064166</v>
      </c>
      <c r="P294" s="4" cm="1">
        <f t="array" ref="P29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1505.1831687905089</v>
      </c>
      <c r="Q294" s="4">
        <f>1/(1+10^(((Games[[#This Row],[OppPreGmRate]]+IF(Games[[#This Row],[HomeAway]]="A",HCA,0)+Games[[#This Row],[OppRestAdj]])-(Games[[#This Row],[PreGmRate]]+IF(Games[[#This Row],[HomeAway]]="H",HCA,0)+Games[[#This Row],[RestAdj]]))/400))</f>
        <v>0.33175749911499719</v>
      </c>
      <c r="R294" s="1">
        <v>53</v>
      </c>
      <c r="S294" s="1">
        <v>67</v>
      </c>
      <c r="T294" s="1">
        <v>0</v>
      </c>
      <c r="U294" s="1">
        <f>Games[[#This Row],[PointsFor]]-Games[[#This Row],[PointsAgainst]]</f>
        <v>-14</v>
      </c>
      <c r="V294" s="1">
        <f>IF(Games[[#This Row],[MOV]]&gt;0,1,IF(Games[[#This Row],[MOV]]=0,0.5,0))</f>
        <v>0</v>
      </c>
      <c r="W294" s="4">
        <f>((ABS(Games[[#This Row],[MOV]])+5)^0.6)/(12+0.01*(ABS(Games[[#This Row],[PreGmRate]]-Games[[#This Row],[OppPreGmRate]])))*IF(Games[[#This Row],[OT]]=1,0.9,1)</f>
        <v>0.48532491750082923</v>
      </c>
      <c r="X294" s="7" cm="1">
        <f t="array" ref="X29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4" s="9">
        <f>MAX(kmin, kmax - 0.15 * MIN(Games[[#This Row],[GamesPlayed]], 82))</f>
        <v>73.150000000000006</v>
      </c>
      <c r="Z294" s="4">
        <f>Games[[#This Row],[K]]*Games[[#This Row],[POMult]]</f>
        <v>73.150000000000006</v>
      </c>
      <c r="AA294" s="4">
        <f>(Games[[#This Row],[Keff]]*Games[[#This Row],[MOVMult]])*(Games[[#This Row],[Result]]-Games[[#This Row],[ExpectedWin%]])</f>
        <v>-11.777894731976765</v>
      </c>
      <c r="AB294" s="4">
        <f>Games[[#This Row],[PreGmRate]]+Games[[#This Row],[RatingChange]]</f>
        <v>1487.7599359744397</v>
      </c>
      <c r="AC294" s="2">
        <f>IF(Games[[#This Row],[Type]]="R",IF(Games[[#This Row],[Result]]&gt;0.5,1,0),0)</f>
        <v>0</v>
      </c>
      <c r="AD294" s="2">
        <f>IF(Games[[#This Row],[Type]]="R",IF(Games[[#This Row],[Result]]&lt;0.5,1,0),0)</f>
        <v>1</v>
      </c>
      <c r="AE294" s="2">
        <f>IF(AND(Games[[#This Row],[Type]]="P",Games[[#This Row],[Round]]=1),IF(Games[[#This Row],[Result]]&gt;0.5,1,0),0)</f>
        <v>0</v>
      </c>
      <c r="AF294" s="2">
        <f>IF(AND(Games[[#This Row],[Type]]="P",Games[[#This Row],[Round]]=1),IF(Games[[#This Row],[Result]]&lt;0.5,1,0),0)</f>
        <v>0</v>
      </c>
      <c r="AG294" s="2">
        <f>IF(AND(Games[[#This Row],[Type]]="P",Games[[#This Row],[Round]]=2),IF(Games[[#This Row],[Result]]&gt;0.5,1,0),0)</f>
        <v>0</v>
      </c>
      <c r="AH294" s="2">
        <f>IF(AND(Games[[#This Row],[Type]]="P",Games[[#This Row],[Round]]=2),IF(Games[[#This Row],[Result]]&lt;0.5,1,0),0)</f>
        <v>0</v>
      </c>
      <c r="AI294" s="2">
        <f>IF(AND(Games[[#This Row],[Type]]="P",Games[[#This Row],[Round]]=3),IF(Games[[#This Row],[Result]]&gt;0.5,1,0),0)</f>
        <v>0</v>
      </c>
      <c r="AJ294" s="2">
        <f>IF(AND(Games[[#This Row],[Type]]="P",Games[[#This Row],[Round]]=3),IF(Games[[#This Row],[Result]]&lt;0.5,1,0),0)</f>
        <v>0</v>
      </c>
      <c r="AK294" s="2">
        <f>IF(AND(Games[[#This Row],[Type]]="P",Games[[#This Row],[Round]]=4),IF(Games[[#This Row],[Result]]&gt;0.5,1,0),0)</f>
        <v>0</v>
      </c>
      <c r="AL294" s="2">
        <f>IF(AND(Games[[#This Row],[Type]]="P",Games[[#This Row],[Round]]=4),IF(Games[[#This Row],[Result]]&lt;0.5,1,0),0)</f>
        <v>0</v>
      </c>
    </row>
    <row r="295" spans="1:38" x14ac:dyDescent="0.35">
      <c r="A295" s="10">
        <v>37826</v>
      </c>
      <c r="B295" s="2">
        <v>2003</v>
      </c>
      <c r="C295" s="2">
        <f>COUNTIFS(Games[Team],Games[[#This Row],[Team]],Games[Season],Games[[#This Row],[Season]],Games[Date],"&lt;=" &amp; Games[[#This Row],[Date]])</f>
        <v>23</v>
      </c>
      <c r="D295" s="2" t="s">
        <v>23</v>
      </c>
      <c r="E295" s="2" t="s">
        <v>29</v>
      </c>
      <c r="F295" s="1" t="s">
        <v>45</v>
      </c>
      <c r="G295" s="1" t="s">
        <v>66</v>
      </c>
      <c r="H295" s="1" t="s">
        <v>15</v>
      </c>
      <c r="I295" s="2" cm="1">
        <f t="array" ref="I295">IFERROR(
    Games[[#This Row],[Date]]
    - LOOKUP(
        2,
        1/((Games[Team]=Games[[#This Row],[Team]]) * (Games[Date] &lt; Games[[#This Row],[Date]])),
        Games[Date]
    )
    - 1,
Games[[#This Row],[Date]]-$A$2)</f>
        <v>4</v>
      </c>
      <c r="J295" s="2" cm="1">
        <f t="array" ref="J295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95" s="2">
        <f>Games[[#This Row],[DaysOff]]-Games[[#This Row],[OppDaysOff]]</f>
        <v>4</v>
      </c>
      <c r="L295" s="2">
        <f>Games[[#This Row],[OppDaysOff]]-Games[[#This Row],[DaysOff]]</f>
        <v>-4</v>
      </c>
      <c r="M295" s="1">
        <f>MAX(-16, MIN(16, Games[[#This Row],[RestDiff]]*8))</f>
        <v>16</v>
      </c>
      <c r="N295" s="1">
        <f>MAX(-16, MIN(16, Games[[#This Row],[OppRestDiff]]*8))</f>
        <v>-16</v>
      </c>
      <c r="O295" s="4" cm="1">
        <f t="array" ref="O29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1505.1831687905089</v>
      </c>
      <c r="P295" s="4" cm="1">
        <f t="array" ref="P29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1499.5378307064166</v>
      </c>
      <c r="Q295" s="4">
        <f>1/(1+10^(((Games[[#This Row],[OppPreGmRate]]+IF(Games[[#This Row],[HomeAway]]="A",HCA,0)+Games[[#This Row],[OppRestAdj]])-(Games[[#This Row],[PreGmRate]]+IF(Games[[#This Row],[HomeAway]]="H",HCA,0)+Games[[#This Row],[RestAdj]]))/400))</f>
        <v>0.66824250088500281</v>
      </c>
      <c r="R295" s="1">
        <v>67</v>
      </c>
      <c r="S295" s="1">
        <v>53</v>
      </c>
      <c r="T295" s="1">
        <v>0</v>
      </c>
      <c r="U295" s="1">
        <f>Games[[#This Row],[PointsFor]]-Games[[#This Row],[PointsAgainst]]</f>
        <v>14</v>
      </c>
      <c r="V295" s="1">
        <f>IF(Games[[#This Row],[MOV]]&gt;0,1,IF(Games[[#This Row],[MOV]]=0,0.5,0))</f>
        <v>1</v>
      </c>
      <c r="W295" s="4">
        <f>((ABS(Games[[#This Row],[MOV]])+5)^0.6)/(12+0.01*(ABS(Games[[#This Row],[PreGmRate]]-Games[[#This Row],[OppPreGmRate]])))*IF(Games[[#This Row],[OT]]=1,0.9,1)</f>
        <v>0.48532491750082923</v>
      </c>
      <c r="X295" s="7" cm="1">
        <f t="array" ref="X29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5" s="9">
        <f>MAX(kmin, kmax - 0.15 * MIN(Games[[#This Row],[GamesPlayed]], 82))</f>
        <v>72.55</v>
      </c>
      <c r="Z295" s="4">
        <f>Games[[#This Row],[K]]*Games[[#This Row],[POMult]]</f>
        <v>72.55</v>
      </c>
      <c r="AA295" s="4">
        <f>(Games[[#This Row],[Keff]]*Games[[#This Row],[MOVMult]])*(Games[[#This Row],[Result]]-Games[[#This Row],[ExpectedWin%]])</f>
        <v>11.681288623443802</v>
      </c>
      <c r="AB295" s="4">
        <f>Games[[#This Row],[PreGmRate]]+Games[[#This Row],[RatingChange]]</f>
        <v>1516.8644574139528</v>
      </c>
      <c r="AC295" s="2">
        <f>IF(Games[[#This Row],[Type]]="R",IF(Games[[#This Row],[Result]]&gt;0.5,1,0),0)</f>
        <v>1</v>
      </c>
      <c r="AD295" s="2">
        <f>IF(Games[[#This Row],[Type]]="R",IF(Games[[#This Row],[Result]]&lt;0.5,1,0),0)</f>
        <v>0</v>
      </c>
      <c r="AE295" s="2">
        <f>IF(AND(Games[[#This Row],[Type]]="P",Games[[#This Row],[Round]]=1),IF(Games[[#This Row],[Result]]&gt;0.5,1,0),0)</f>
        <v>0</v>
      </c>
      <c r="AF295" s="2">
        <f>IF(AND(Games[[#This Row],[Type]]="P",Games[[#This Row],[Round]]=1),IF(Games[[#This Row],[Result]]&lt;0.5,1,0),0)</f>
        <v>0</v>
      </c>
      <c r="AG295" s="2">
        <f>IF(AND(Games[[#This Row],[Type]]="P",Games[[#This Row],[Round]]=2),IF(Games[[#This Row],[Result]]&gt;0.5,1,0),0)</f>
        <v>0</v>
      </c>
      <c r="AH295" s="2">
        <f>IF(AND(Games[[#This Row],[Type]]="P",Games[[#This Row],[Round]]=2),IF(Games[[#This Row],[Result]]&lt;0.5,1,0),0)</f>
        <v>0</v>
      </c>
      <c r="AI295" s="2">
        <f>IF(AND(Games[[#This Row],[Type]]="P",Games[[#This Row],[Round]]=3),IF(Games[[#This Row],[Result]]&gt;0.5,1,0),0)</f>
        <v>0</v>
      </c>
      <c r="AJ295" s="2">
        <f>IF(AND(Games[[#This Row],[Type]]="P",Games[[#This Row],[Round]]=3),IF(Games[[#This Row],[Result]]&lt;0.5,1,0),0)</f>
        <v>0</v>
      </c>
      <c r="AK295" s="2">
        <f>IF(AND(Games[[#This Row],[Type]]="P",Games[[#This Row],[Round]]=4),IF(Games[[#This Row],[Result]]&gt;0.5,1,0),0)</f>
        <v>0</v>
      </c>
      <c r="AL295" s="2">
        <f>IF(AND(Games[[#This Row],[Type]]="P",Games[[#This Row],[Round]]=4),IF(Games[[#This Row],[Result]]&lt;0.5,1,0),0)</f>
        <v>0</v>
      </c>
    </row>
    <row r="296" spans="1:38" x14ac:dyDescent="0.35">
      <c r="A296" s="10">
        <v>37826</v>
      </c>
      <c r="B296" s="2">
        <v>2003</v>
      </c>
      <c r="C296" s="2">
        <f>COUNTIFS(Games[Team],Games[[#This Row],[Team]],Games[Season],Games[[#This Row],[Season]],Games[Date],"&lt;=" &amp; Games[[#This Row],[Date]])</f>
        <v>21</v>
      </c>
      <c r="D296" s="2" t="s">
        <v>23</v>
      </c>
      <c r="E296" s="2" t="s">
        <v>29</v>
      </c>
      <c r="F296" s="1" t="s">
        <v>80</v>
      </c>
      <c r="G296" s="1" t="s">
        <v>74</v>
      </c>
      <c r="H296" s="1" t="s">
        <v>16</v>
      </c>
      <c r="I296" s="2" cm="1">
        <f t="array" ref="I296">IFERROR(
    Games[[#This Row],[Date]]
    - LOOKUP(
        2,
        1/((Games[Team]=Games[[#This Row],[Team]]) * (Games[Date] &lt; Games[[#This Row],[Date]])),
        Games[Date]
    )
    - 1,
Games[[#This Row],[Date]]-$A$2)</f>
        <v>0</v>
      </c>
      <c r="J296" s="2" cm="1">
        <f t="array" ref="J29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96" s="2">
        <f>Games[[#This Row],[DaysOff]]-Games[[#This Row],[OppDaysOff]]</f>
        <v>-1</v>
      </c>
      <c r="L296" s="2">
        <f>Games[[#This Row],[OppDaysOff]]-Games[[#This Row],[DaysOff]]</f>
        <v>1</v>
      </c>
      <c r="M296" s="1">
        <f>MAX(-16, MIN(16, Games[[#This Row],[RestDiff]]*8))</f>
        <v>-8</v>
      </c>
      <c r="N296" s="1">
        <f>MAX(-16, MIN(16, Games[[#This Row],[OppRestDiff]]*8))</f>
        <v>8</v>
      </c>
      <c r="O296" s="4" cm="1">
        <f t="array" ref="O29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1533.3564599151885</v>
      </c>
      <c r="P296" s="4" cm="1">
        <f t="array" ref="P29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1400.7178708541319</v>
      </c>
      <c r="Q296" s="4">
        <f>1/(1+10^(((Games[[#This Row],[OppPreGmRate]]+IF(Games[[#This Row],[HomeAway]]="A",HCA,0)+Games[[#This Row],[OppRestAdj]])-(Games[[#This Row],[PreGmRate]]+IF(Games[[#This Row],[HomeAway]]="H",HCA,0)+Games[[#This Row],[RestAdj]]))/400))</f>
        <v>0.54683301942233131</v>
      </c>
      <c r="R296" s="1">
        <v>80</v>
      </c>
      <c r="S296" s="1">
        <v>75</v>
      </c>
      <c r="T296" s="1">
        <v>0</v>
      </c>
      <c r="U296" s="1">
        <f>Games[[#This Row],[PointsFor]]-Games[[#This Row],[PointsAgainst]]</f>
        <v>5</v>
      </c>
      <c r="V296" s="1">
        <f>IF(Games[[#This Row],[MOV]]&gt;0,1,IF(Games[[#This Row],[MOV]]=0,0.5,0))</f>
        <v>1</v>
      </c>
      <c r="W296" s="4">
        <f>((ABS(Games[[#This Row],[MOV]])+5)^0.6)/(12+0.01*(ABS(Games[[#This Row],[PreGmRate]]-Games[[#This Row],[OppPreGmRate]])))*IF(Games[[#This Row],[OT]]=1,0.9,1)</f>
        <v>0.29873603677797861</v>
      </c>
      <c r="X296" s="7" cm="1">
        <f t="array" ref="X29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6" s="9">
        <f>MAX(kmin, kmax - 0.15 * MIN(Games[[#This Row],[GamesPlayed]], 82))</f>
        <v>72.849999999999994</v>
      </c>
      <c r="Z296" s="4">
        <f>Games[[#This Row],[K]]*Games[[#This Row],[POMult]]</f>
        <v>72.849999999999994</v>
      </c>
      <c r="AA296" s="4">
        <f>(Games[[#This Row],[Keff]]*Games[[#This Row],[MOVMult]])*(Games[[#This Row],[Result]]-Games[[#This Row],[ExpectedWin%]])</f>
        <v>9.862236871511902</v>
      </c>
      <c r="AB296" s="4">
        <f>Games[[#This Row],[PreGmRate]]+Games[[#This Row],[RatingChange]]</f>
        <v>1543.2186967867003</v>
      </c>
      <c r="AC296" s="2">
        <f>IF(Games[[#This Row],[Type]]="R",IF(Games[[#This Row],[Result]]&gt;0.5,1,0),0)</f>
        <v>1</v>
      </c>
      <c r="AD296" s="2">
        <f>IF(Games[[#This Row],[Type]]="R",IF(Games[[#This Row],[Result]]&lt;0.5,1,0),0)</f>
        <v>0</v>
      </c>
      <c r="AE296" s="2">
        <f>IF(AND(Games[[#This Row],[Type]]="P",Games[[#This Row],[Round]]=1),IF(Games[[#This Row],[Result]]&gt;0.5,1,0),0)</f>
        <v>0</v>
      </c>
      <c r="AF296" s="2">
        <f>IF(AND(Games[[#This Row],[Type]]="P",Games[[#This Row],[Round]]=1),IF(Games[[#This Row],[Result]]&lt;0.5,1,0),0)</f>
        <v>0</v>
      </c>
      <c r="AG296" s="2">
        <f>IF(AND(Games[[#This Row],[Type]]="P",Games[[#This Row],[Round]]=2),IF(Games[[#This Row],[Result]]&gt;0.5,1,0),0)</f>
        <v>0</v>
      </c>
      <c r="AH296" s="2">
        <f>IF(AND(Games[[#This Row],[Type]]="P",Games[[#This Row],[Round]]=2),IF(Games[[#This Row],[Result]]&lt;0.5,1,0),0)</f>
        <v>0</v>
      </c>
      <c r="AI296" s="2">
        <f>IF(AND(Games[[#This Row],[Type]]="P",Games[[#This Row],[Round]]=3),IF(Games[[#This Row],[Result]]&gt;0.5,1,0),0)</f>
        <v>0</v>
      </c>
      <c r="AJ296" s="2">
        <f>IF(AND(Games[[#This Row],[Type]]="P",Games[[#This Row],[Round]]=3),IF(Games[[#This Row],[Result]]&lt;0.5,1,0),0)</f>
        <v>0</v>
      </c>
      <c r="AK296" s="2">
        <f>IF(AND(Games[[#This Row],[Type]]="P",Games[[#This Row],[Round]]=4),IF(Games[[#This Row],[Result]]&gt;0.5,1,0),0)</f>
        <v>0</v>
      </c>
      <c r="AL296" s="2">
        <f>IF(AND(Games[[#This Row],[Type]]="P",Games[[#This Row],[Round]]=4),IF(Games[[#This Row],[Result]]&lt;0.5,1,0),0)</f>
        <v>0</v>
      </c>
    </row>
    <row r="297" spans="1:38" x14ac:dyDescent="0.35">
      <c r="A297" s="10">
        <v>37826</v>
      </c>
      <c r="B297" s="2">
        <v>2003</v>
      </c>
      <c r="C297" s="2">
        <f>COUNTIFS(Games[Team],Games[[#This Row],[Team]],Games[Season],Games[[#This Row],[Season]],Games[Date],"&lt;=" &amp; Games[[#This Row],[Date]])</f>
        <v>21</v>
      </c>
      <c r="D297" s="2" t="s">
        <v>23</v>
      </c>
      <c r="E297" s="2" t="s">
        <v>29</v>
      </c>
      <c r="F297" s="1" t="s">
        <v>74</v>
      </c>
      <c r="G297" s="1" t="s">
        <v>80</v>
      </c>
      <c r="H297" s="1" t="s">
        <v>15</v>
      </c>
      <c r="I297" s="2" cm="1">
        <f t="array" ref="I297">IFERROR(
    Games[[#This Row],[Date]]
    - LOOKUP(
        2,
        1/((Games[Team]=Games[[#This Row],[Team]]) * (Games[Date] &lt; Games[[#This Row],[Date]])),
        Games[Date]
    )
    - 1,
Games[[#This Row],[Date]]-$A$2)</f>
        <v>1</v>
      </c>
      <c r="J297" s="2" cm="1">
        <f t="array" ref="J297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97" s="2">
        <f>Games[[#This Row],[DaysOff]]-Games[[#This Row],[OppDaysOff]]</f>
        <v>1</v>
      </c>
      <c r="L297" s="2">
        <f>Games[[#This Row],[OppDaysOff]]-Games[[#This Row],[DaysOff]]</f>
        <v>-1</v>
      </c>
      <c r="M297" s="1">
        <f>MAX(-16, MIN(16, Games[[#This Row],[RestDiff]]*8))</f>
        <v>8</v>
      </c>
      <c r="N297" s="1">
        <f>MAX(-16, MIN(16, Games[[#This Row],[OppRestDiff]]*8))</f>
        <v>-8</v>
      </c>
      <c r="O297" s="4" cm="1">
        <f t="array" ref="O29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1400.7178708541319</v>
      </c>
      <c r="P297" s="4" cm="1">
        <f t="array" ref="P29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1533.3564599151885</v>
      </c>
      <c r="Q297" s="4">
        <f>1/(1+10^(((Games[[#This Row],[OppPreGmRate]]+IF(Games[[#This Row],[HomeAway]]="A",HCA,0)+Games[[#This Row],[OppRestAdj]])-(Games[[#This Row],[PreGmRate]]+IF(Games[[#This Row],[HomeAway]]="H",HCA,0)+Games[[#This Row],[RestAdj]]))/400))</f>
        <v>0.45316698057766874</v>
      </c>
      <c r="R297" s="1">
        <v>75</v>
      </c>
      <c r="S297" s="1">
        <v>80</v>
      </c>
      <c r="T297" s="1">
        <v>0</v>
      </c>
      <c r="U297" s="1">
        <f>Games[[#This Row],[PointsFor]]-Games[[#This Row],[PointsAgainst]]</f>
        <v>-5</v>
      </c>
      <c r="V297" s="1">
        <f>IF(Games[[#This Row],[MOV]]&gt;0,1,IF(Games[[#This Row],[MOV]]=0,0.5,0))</f>
        <v>0</v>
      </c>
      <c r="W297" s="4">
        <f>((ABS(Games[[#This Row],[MOV]])+5)^0.6)/(12+0.01*(ABS(Games[[#This Row],[PreGmRate]]-Games[[#This Row],[OppPreGmRate]])))*IF(Games[[#This Row],[OT]]=1,0.9,1)</f>
        <v>0.29873603677797861</v>
      </c>
      <c r="X297" s="7" cm="1">
        <f t="array" ref="X29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7" s="9">
        <f>MAX(kmin, kmax - 0.15 * MIN(Games[[#This Row],[GamesPlayed]], 82))</f>
        <v>72.849999999999994</v>
      </c>
      <c r="Z297" s="4">
        <f>Games[[#This Row],[K]]*Games[[#This Row],[POMult]]</f>
        <v>72.849999999999994</v>
      </c>
      <c r="AA297" s="4">
        <f>(Games[[#This Row],[Keff]]*Games[[#This Row],[MOVMult]])*(Games[[#This Row],[Result]]-Games[[#This Row],[ExpectedWin%]])</f>
        <v>-9.862236871511902</v>
      </c>
      <c r="AB297" s="4">
        <f>Games[[#This Row],[PreGmRate]]+Games[[#This Row],[RatingChange]]</f>
        <v>1390.85563398262</v>
      </c>
      <c r="AC297" s="2">
        <f>IF(Games[[#This Row],[Type]]="R",IF(Games[[#This Row],[Result]]&gt;0.5,1,0),0)</f>
        <v>0</v>
      </c>
      <c r="AD297" s="2">
        <f>IF(Games[[#This Row],[Type]]="R",IF(Games[[#This Row],[Result]]&lt;0.5,1,0),0)</f>
        <v>1</v>
      </c>
      <c r="AE297" s="2">
        <f>IF(AND(Games[[#This Row],[Type]]="P",Games[[#This Row],[Round]]=1),IF(Games[[#This Row],[Result]]&gt;0.5,1,0),0)</f>
        <v>0</v>
      </c>
      <c r="AF297" s="2">
        <f>IF(AND(Games[[#This Row],[Type]]="P",Games[[#This Row],[Round]]=1),IF(Games[[#This Row],[Result]]&lt;0.5,1,0),0)</f>
        <v>0</v>
      </c>
      <c r="AG297" s="2">
        <f>IF(AND(Games[[#This Row],[Type]]="P",Games[[#This Row],[Round]]=2),IF(Games[[#This Row],[Result]]&gt;0.5,1,0),0)</f>
        <v>0</v>
      </c>
      <c r="AH297" s="2">
        <f>IF(AND(Games[[#This Row],[Type]]="P",Games[[#This Row],[Round]]=2),IF(Games[[#This Row],[Result]]&lt;0.5,1,0),0)</f>
        <v>0</v>
      </c>
      <c r="AI297" s="2">
        <f>IF(AND(Games[[#This Row],[Type]]="P",Games[[#This Row],[Round]]=3),IF(Games[[#This Row],[Result]]&gt;0.5,1,0),0)</f>
        <v>0</v>
      </c>
      <c r="AJ297" s="2">
        <f>IF(AND(Games[[#This Row],[Type]]="P",Games[[#This Row],[Round]]=3),IF(Games[[#This Row],[Result]]&lt;0.5,1,0),0)</f>
        <v>0</v>
      </c>
      <c r="AK297" s="2">
        <f>IF(AND(Games[[#This Row],[Type]]="P",Games[[#This Row],[Round]]=4),IF(Games[[#This Row],[Result]]&gt;0.5,1,0),0)</f>
        <v>0</v>
      </c>
      <c r="AL297" s="2">
        <f>IF(AND(Games[[#This Row],[Type]]="P",Games[[#This Row],[Round]]=4),IF(Games[[#This Row],[Result]]&lt;0.5,1,0),0)</f>
        <v>0</v>
      </c>
    </row>
    <row r="298" spans="1:38" x14ac:dyDescent="0.35">
      <c r="A298" s="10">
        <v>37827</v>
      </c>
      <c r="B298" s="2">
        <v>2003</v>
      </c>
      <c r="C298" s="2">
        <f>COUNTIFS(Games[Team],Games[[#This Row],[Team]],Games[Season],Games[[#This Row],[Season]],Games[Date],"&lt;=" &amp; Games[[#This Row],[Date]])</f>
        <v>22</v>
      </c>
      <c r="D298" s="2" t="s">
        <v>23</v>
      </c>
      <c r="E298" s="2" t="s">
        <v>29</v>
      </c>
      <c r="F298" s="1" t="s">
        <v>85</v>
      </c>
      <c r="G298" s="1" t="s">
        <v>78</v>
      </c>
      <c r="H298" s="1" t="s">
        <v>16</v>
      </c>
      <c r="I298" s="2" cm="1">
        <f t="array" ref="I298">IFERROR(
    Games[[#This Row],[Date]]
    - LOOKUP(
        2,
        1/((Games[Team]=Games[[#This Row],[Team]]) * (Games[Date] &lt; Games[[#This Row],[Date]])),
        Games[Date]
    )
    - 1,
Games[[#This Row],[Date]]-$A$2)</f>
        <v>1</v>
      </c>
      <c r="J298" s="2" cm="1">
        <f t="array" ref="J29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98" s="2">
        <f>Games[[#This Row],[DaysOff]]-Games[[#This Row],[OppDaysOff]]</f>
        <v>0</v>
      </c>
      <c r="L298" s="2">
        <f>Games[[#This Row],[OppDaysOff]]-Games[[#This Row],[DaysOff]]</f>
        <v>0</v>
      </c>
      <c r="M298" s="1">
        <f>MAX(-16, MIN(16, Games[[#This Row],[RestDiff]]*8))</f>
        <v>0</v>
      </c>
      <c r="N298" s="1">
        <f>MAX(-16, MIN(16, Games[[#This Row],[OppRestDiff]]*8))</f>
        <v>0</v>
      </c>
      <c r="O298" s="4" cm="1">
        <f t="array" ref="O29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1389.0199777039302</v>
      </c>
      <c r="P298" s="4" cm="1">
        <f t="array" ref="P29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1482.0362541466397</v>
      </c>
      <c r="Q298" s="4">
        <f>1/(1+10^(((Games[[#This Row],[OppPreGmRate]]+IF(Games[[#This Row],[HomeAway]]="A",HCA,0)+Games[[#This Row],[OppRestAdj]])-(Games[[#This Row],[PreGmRate]]+IF(Games[[#This Row],[HomeAway]]="H",HCA,0)+Games[[#This Row],[RestAdj]]))/400))</f>
        <v>0.26522465100150344</v>
      </c>
      <c r="R298" s="1">
        <v>54</v>
      </c>
      <c r="S298" s="1">
        <v>81</v>
      </c>
      <c r="T298" s="1">
        <v>0</v>
      </c>
      <c r="U298" s="1">
        <f>Games[[#This Row],[PointsFor]]-Games[[#This Row],[PointsAgainst]]</f>
        <v>-27</v>
      </c>
      <c r="V298" s="1">
        <f>IF(Games[[#This Row],[MOV]]&gt;0,1,IF(Games[[#This Row],[MOV]]=0,0.5,0))</f>
        <v>0</v>
      </c>
      <c r="W298" s="4">
        <f>((ABS(Games[[#This Row],[MOV]])+5)^0.6)/(12+0.01*(ABS(Games[[#This Row],[PreGmRate]]-Games[[#This Row],[OppPreGmRate]])))*IF(Games[[#This Row],[OT]]=1,0.9,1)</f>
        <v>0.618708375582808</v>
      </c>
      <c r="X298" s="7" cm="1">
        <f t="array" ref="X29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8" s="9">
        <f>MAX(kmin, kmax - 0.15 * MIN(Games[[#This Row],[GamesPlayed]], 82))</f>
        <v>72.7</v>
      </c>
      <c r="Z298" s="4">
        <f>Games[[#This Row],[K]]*Games[[#This Row],[POMult]]</f>
        <v>72.7</v>
      </c>
      <c r="AA298" s="4">
        <f>(Games[[#This Row],[Keff]]*Games[[#This Row],[MOVMult]])*(Games[[#This Row],[Result]]-Games[[#This Row],[ExpectedWin%]])</f>
        <v>-11.929831034057292</v>
      </c>
      <c r="AB298" s="4">
        <f>Games[[#This Row],[PreGmRate]]+Games[[#This Row],[RatingChange]]</f>
        <v>1377.0901466698729</v>
      </c>
      <c r="AC298" s="2">
        <f>IF(Games[[#This Row],[Type]]="R",IF(Games[[#This Row],[Result]]&gt;0.5,1,0),0)</f>
        <v>0</v>
      </c>
      <c r="AD298" s="2">
        <f>IF(Games[[#This Row],[Type]]="R",IF(Games[[#This Row],[Result]]&lt;0.5,1,0),0)</f>
        <v>1</v>
      </c>
      <c r="AE298" s="2">
        <f>IF(AND(Games[[#This Row],[Type]]="P",Games[[#This Row],[Round]]=1),IF(Games[[#This Row],[Result]]&gt;0.5,1,0),0)</f>
        <v>0</v>
      </c>
      <c r="AF298" s="2">
        <f>IF(AND(Games[[#This Row],[Type]]="P",Games[[#This Row],[Round]]=1),IF(Games[[#This Row],[Result]]&lt;0.5,1,0),0)</f>
        <v>0</v>
      </c>
      <c r="AG298" s="2">
        <f>IF(AND(Games[[#This Row],[Type]]="P",Games[[#This Row],[Round]]=2),IF(Games[[#This Row],[Result]]&gt;0.5,1,0),0)</f>
        <v>0</v>
      </c>
      <c r="AH298" s="2">
        <f>IF(AND(Games[[#This Row],[Type]]="P",Games[[#This Row],[Round]]=2),IF(Games[[#This Row],[Result]]&lt;0.5,1,0),0)</f>
        <v>0</v>
      </c>
      <c r="AI298" s="2">
        <f>IF(AND(Games[[#This Row],[Type]]="P",Games[[#This Row],[Round]]=3),IF(Games[[#This Row],[Result]]&gt;0.5,1,0),0)</f>
        <v>0</v>
      </c>
      <c r="AJ298" s="2">
        <f>IF(AND(Games[[#This Row],[Type]]="P",Games[[#This Row],[Round]]=3),IF(Games[[#This Row],[Result]]&lt;0.5,1,0),0)</f>
        <v>0</v>
      </c>
      <c r="AK298" s="2">
        <f>IF(AND(Games[[#This Row],[Type]]="P",Games[[#This Row],[Round]]=4),IF(Games[[#This Row],[Result]]&gt;0.5,1,0),0)</f>
        <v>0</v>
      </c>
      <c r="AL298" s="2">
        <f>IF(AND(Games[[#This Row],[Type]]="P",Games[[#This Row],[Round]]=4),IF(Games[[#This Row],[Result]]&lt;0.5,1,0),0)</f>
        <v>0</v>
      </c>
    </row>
    <row r="299" spans="1:38" x14ac:dyDescent="0.35">
      <c r="A299" s="10">
        <v>37827</v>
      </c>
      <c r="B299" s="2">
        <v>2003</v>
      </c>
      <c r="C299" s="2">
        <f>COUNTIFS(Games[Team],Games[[#This Row],[Team]],Games[Season],Games[[#This Row],[Season]],Games[Date],"&lt;=" &amp; Games[[#This Row],[Date]])</f>
        <v>22</v>
      </c>
      <c r="D299" s="2" t="s">
        <v>23</v>
      </c>
      <c r="E299" s="2" t="s">
        <v>29</v>
      </c>
      <c r="F299" s="1" t="s">
        <v>78</v>
      </c>
      <c r="G299" s="1" t="s">
        <v>85</v>
      </c>
      <c r="H299" s="1" t="s">
        <v>15</v>
      </c>
      <c r="I299" s="2" cm="1">
        <f t="array" ref="I299">IFERROR(
    Games[[#This Row],[Date]]
    - LOOKUP(
        2,
        1/((Games[Team]=Games[[#This Row],[Team]]) * (Games[Date] &lt; Games[[#This Row],[Date]])),
        Games[Date]
    )
    - 1,
Games[[#This Row],[Date]]-$A$2)</f>
        <v>1</v>
      </c>
      <c r="J299" s="2" cm="1">
        <f t="array" ref="J29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99" s="2">
        <f>Games[[#This Row],[DaysOff]]-Games[[#This Row],[OppDaysOff]]</f>
        <v>0</v>
      </c>
      <c r="L299" s="2">
        <f>Games[[#This Row],[OppDaysOff]]-Games[[#This Row],[DaysOff]]</f>
        <v>0</v>
      </c>
      <c r="M299" s="1">
        <f>MAX(-16, MIN(16, Games[[#This Row],[RestDiff]]*8))</f>
        <v>0</v>
      </c>
      <c r="N299" s="1">
        <f>MAX(-16, MIN(16, Games[[#This Row],[OppRestDiff]]*8))</f>
        <v>0</v>
      </c>
      <c r="O299" s="4" cm="1">
        <f t="array" ref="O29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1482.0362541466397</v>
      </c>
      <c r="P299" s="4" cm="1">
        <f t="array" ref="P29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1389.0199777039302</v>
      </c>
      <c r="Q299" s="4">
        <f>1/(1+10^(((Games[[#This Row],[OppPreGmRate]]+IF(Games[[#This Row],[HomeAway]]="A",HCA,0)+Games[[#This Row],[OppRestAdj]])-(Games[[#This Row],[PreGmRate]]+IF(Games[[#This Row],[HomeAway]]="H",HCA,0)+Games[[#This Row],[RestAdj]]))/400))</f>
        <v>0.73477534899849661</v>
      </c>
      <c r="R299" s="1">
        <v>81</v>
      </c>
      <c r="S299" s="1">
        <v>54</v>
      </c>
      <c r="T299" s="1">
        <v>0</v>
      </c>
      <c r="U299" s="1">
        <f>Games[[#This Row],[PointsFor]]-Games[[#This Row],[PointsAgainst]]</f>
        <v>27</v>
      </c>
      <c r="V299" s="1">
        <f>IF(Games[[#This Row],[MOV]]&gt;0,1,IF(Games[[#This Row],[MOV]]=0,0.5,0))</f>
        <v>1</v>
      </c>
      <c r="W299" s="4">
        <f>((ABS(Games[[#This Row],[MOV]])+5)^0.6)/(12+0.01*(ABS(Games[[#This Row],[PreGmRate]]-Games[[#This Row],[OppPreGmRate]])))*IF(Games[[#This Row],[OT]]=1,0.9,1)</f>
        <v>0.618708375582808</v>
      </c>
      <c r="X299" s="7" cm="1">
        <f t="array" ref="X29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9" s="9">
        <f>MAX(kmin, kmax - 0.15 * MIN(Games[[#This Row],[GamesPlayed]], 82))</f>
        <v>72.7</v>
      </c>
      <c r="Z299" s="4">
        <f>Games[[#This Row],[K]]*Games[[#This Row],[POMult]]</f>
        <v>72.7</v>
      </c>
      <c r="AA299" s="4">
        <f>(Games[[#This Row],[Keff]]*Games[[#This Row],[MOVMult]])*(Games[[#This Row],[Result]]-Games[[#This Row],[ExpectedWin%]])</f>
        <v>11.929831034057289</v>
      </c>
      <c r="AB299" s="4">
        <f>Games[[#This Row],[PreGmRate]]+Games[[#This Row],[RatingChange]]</f>
        <v>1493.9660851806971</v>
      </c>
      <c r="AC299" s="2">
        <f>IF(Games[[#This Row],[Type]]="R",IF(Games[[#This Row],[Result]]&gt;0.5,1,0),0)</f>
        <v>1</v>
      </c>
      <c r="AD299" s="2">
        <f>IF(Games[[#This Row],[Type]]="R",IF(Games[[#This Row],[Result]]&lt;0.5,1,0),0)</f>
        <v>0</v>
      </c>
      <c r="AE299" s="2">
        <f>IF(AND(Games[[#This Row],[Type]]="P",Games[[#This Row],[Round]]=1),IF(Games[[#This Row],[Result]]&gt;0.5,1,0),0)</f>
        <v>0</v>
      </c>
      <c r="AF299" s="2">
        <f>IF(AND(Games[[#This Row],[Type]]="P",Games[[#This Row],[Round]]=1),IF(Games[[#This Row],[Result]]&lt;0.5,1,0),0)</f>
        <v>0</v>
      </c>
      <c r="AG299" s="2">
        <f>IF(AND(Games[[#This Row],[Type]]="P",Games[[#This Row],[Round]]=2),IF(Games[[#This Row],[Result]]&gt;0.5,1,0),0)</f>
        <v>0</v>
      </c>
      <c r="AH299" s="2">
        <f>IF(AND(Games[[#This Row],[Type]]="P",Games[[#This Row],[Round]]=2),IF(Games[[#This Row],[Result]]&lt;0.5,1,0),0)</f>
        <v>0</v>
      </c>
      <c r="AI299" s="2">
        <f>IF(AND(Games[[#This Row],[Type]]="P",Games[[#This Row],[Round]]=3),IF(Games[[#This Row],[Result]]&gt;0.5,1,0),0)</f>
        <v>0</v>
      </c>
      <c r="AJ299" s="2">
        <f>IF(AND(Games[[#This Row],[Type]]="P",Games[[#This Row],[Round]]=3),IF(Games[[#This Row],[Result]]&lt;0.5,1,0),0)</f>
        <v>0</v>
      </c>
      <c r="AK299" s="2">
        <f>IF(AND(Games[[#This Row],[Type]]="P",Games[[#This Row],[Round]]=4),IF(Games[[#This Row],[Result]]&gt;0.5,1,0),0)</f>
        <v>0</v>
      </c>
      <c r="AL299" s="2">
        <f>IF(AND(Games[[#This Row],[Type]]="P",Games[[#This Row],[Round]]=4),IF(Games[[#This Row],[Result]]&lt;0.5,1,0),0)</f>
        <v>0</v>
      </c>
    </row>
    <row r="300" spans="1:38" x14ac:dyDescent="0.35">
      <c r="A300" s="10">
        <v>37827</v>
      </c>
      <c r="B300" s="2">
        <v>2003</v>
      </c>
      <c r="C300" s="2">
        <f>COUNTIFS(Games[Team],Games[[#This Row],[Team]],Games[Season],Games[[#This Row],[Season]],Games[Date],"&lt;=" &amp; Games[[#This Row],[Date]])</f>
        <v>21</v>
      </c>
      <c r="D300" s="2" t="s">
        <v>23</v>
      </c>
      <c r="E300" s="2" t="s">
        <v>29</v>
      </c>
      <c r="F300" s="1" t="s">
        <v>44</v>
      </c>
      <c r="G300" s="1" t="s">
        <v>82</v>
      </c>
      <c r="H300" s="1" t="s">
        <v>16</v>
      </c>
      <c r="I300" s="2" cm="1">
        <f t="array" ref="I300">IFERROR(
    Games[[#This Row],[Date]]
    - LOOKUP(
        2,
        1/((Games[Team]=Games[[#This Row],[Team]]) * (Games[Date] &lt; Games[[#This Row],[Date]])),
        Games[Date]
    )
    - 1,
Games[[#This Row],[Date]]-$A$2)</f>
        <v>0</v>
      </c>
      <c r="J300" s="2" cm="1">
        <f t="array" ref="J30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00" s="2">
        <f>Games[[#This Row],[DaysOff]]-Games[[#This Row],[OppDaysOff]]</f>
        <v>-1</v>
      </c>
      <c r="L300" s="2">
        <f>Games[[#This Row],[OppDaysOff]]-Games[[#This Row],[DaysOff]]</f>
        <v>1</v>
      </c>
      <c r="M300" s="1">
        <f>MAX(-16, MIN(16, Games[[#This Row],[RestDiff]]*8))</f>
        <v>-8</v>
      </c>
      <c r="N300" s="1">
        <f>MAX(-16, MIN(16, Games[[#This Row],[OppRestDiff]]*8))</f>
        <v>8</v>
      </c>
      <c r="O300" s="4" cm="1">
        <f t="array" ref="O30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1343.1993376324158</v>
      </c>
      <c r="P300" s="4" cm="1">
        <f t="array" ref="P30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1560.6256517027221</v>
      </c>
      <c r="Q300" s="4">
        <f>1/(1+10^(((Games[[#This Row],[OppPreGmRate]]+IF(Games[[#This Row],[HomeAway]]="A",HCA,0)+Games[[#This Row],[OppRestAdj]])-(Games[[#This Row],[PreGmRate]]+IF(Games[[#This Row],[HomeAway]]="H",HCA,0)+Games[[#This Row],[RestAdj]]))/400))</f>
        <v>0.1385658745227652</v>
      </c>
      <c r="R300" s="1">
        <v>53</v>
      </c>
      <c r="S300" s="1">
        <v>82</v>
      </c>
      <c r="T300" s="1">
        <v>0</v>
      </c>
      <c r="U300" s="1">
        <f>Games[[#This Row],[PointsFor]]-Games[[#This Row],[PointsAgainst]]</f>
        <v>-29</v>
      </c>
      <c r="V300" s="1">
        <f>IF(Games[[#This Row],[MOV]]&gt;0,1,IF(Games[[#This Row],[MOV]]=0,0.5,0))</f>
        <v>0</v>
      </c>
      <c r="W300" s="4">
        <f>((ABS(Games[[#This Row],[MOV]])+5)^0.6)/(12+0.01*(ABS(Games[[#This Row],[PreGmRate]]-Games[[#This Row],[OppPreGmRate]])))*IF(Games[[#This Row],[OT]]=1,0.9,1)</f>
        <v>0.58531123330900581</v>
      </c>
      <c r="X300" s="7" cm="1">
        <f t="array" ref="X30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0" s="9">
        <f>MAX(kmin, kmax - 0.15 * MIN(Games[[#This Row],[GamesPlayed]], 82))</f>
        <v>72.849999999999994</v>
      </c>
      <c r="Z300" s="4">
        <f>Games[[#This Row],[K]]*Games[[#This Row],[POMult]]</f>
        <v>72.849999999999994</v>
      </c>
      <c r="AA300" s="4">
        <f>(Games[[#This Row],[Keff]]*Games[[#This Row],[MOVMult]])*(Games[[#This Row],[Result]]-Games[[#This Row],[ExpectedWin%]])</f>
        <v>-5.908438268099907</v>
      </c>
      <c r="AB300" s="4">
        <f>Games[[#This Row],[PreGmRate]]+Games[[#This Row],[RatingChange]]</f>
        <v>1337.2908993643159</v>
      </c>
      <c r="AC300" s="2">
        <f>IF(Games[[#This Row],[Type]]="R",IF(Games[[#This Row],[Result]]&gt;0.5,1,0),0)</f>
        <v>0</v>
      </c>
      <c r="AD300" s="2">
        <f>IF(Games[[#This Row],[Type]]="R",IF(Games[[#This Row],[Result]]&lt;0.5,1,0),0)</f>
        <v>1</v>
      </c>
      <c r="AE300" s="2">
        <f>IF(AND(Games[[#This Row],[Type]]="P",Games[[#This Row],[Round]]=1),IF(Games[[#This Row],[Result]]&gt;0.5,1,0),0)</f>
        <v>0</v>
      </c>
      <c r="AF300" s="2">
        <f>IF(AND(Games[[#This Row],[Type]]="P",Games[[#This Row],[Round]]=1),IF(Games[[#This Row],[Result]]&lt;0.5,1,0),0)</f>
        <v>0</v>
      </c>
      <c r="AG300" s="2">
        <f>IF(AND(Games[[#This Row],[Type]]="P",Games[[#This Row],[Round]]=2),IF(Games[[#This Row],[Result]]&gt;0.5,1,0),0)</f>
        <v>0</v>
      </c>
      <c r="AH300" s="2">
        <f>IF(AND(Games[[#This Row],[Type]]="P",Games[[#This Row],[Round]]=2),IF(Games[[#This Row],[Result]]&lt;0.5,1,0),0)</f>
        <v>0</v>
      </c>
      <c r="AI300" s="2">
        <f>IF(AND(Games[[#This Row],[Type]]="P",Games[[#This Row],[Round]]=3),IF(Games[[#This Row],[Result]]&gt;0.5,1,0),0)</f>
        <v>0</v>
      </c>
      <c r="AJ300" s="2">
        <f>IF(AND(Games[[#This Row],[Type]]="P",Games[[#This Row],[Round]]=3),IF(Games[[#This Row],[Result]]&lt;0.5,1,0),0)</f>
        <v>0</v>
      </c>
      <c r="AK300" s="2">
        <f>IF(AND(Games[[#This Row],[Type]]="P",Games[[#This Row],[Round]]=4),IF(Games[[#This Row],[Result]]&gt;0.5,1,0),0)</f>
        <v>0</v>
      </c>
      <c r="AL300" s="2">
        <f>IF(AND(Games[[#This Row],[Type]]="P",Games[[#This Row],[Round]]=4),IF(Games[[#This Row],[Result]]&lt;0.5,1,0),0)</f>
        <v>0</v>
      </c>
    </row>
    <row r="301" spans="1:38" x14ac:dyDescent="0.35">
      <c r="A301" s="10">
        <v>37827</v>
      </c>
      <c r="B301" s="2">
        <v>2003</v>
      </c>
      <c r="C301" s="2">
        <f>COUNTIFS(Games[Team],Games[[#This Row],[Team]],Games[Season],Games[[#This Row],[Season]],Games[Date],"&lt;=" &amp; Games[[#This Row],[Date]])</f>
        <v>22</v>
      </c>
      <c r="D301" s="2" t="s">
        <v>23</v>
      </c>
      <c r="E301" s="2" t="s">
        <v>29</v>
      </c>
      <c r="F301" s="1" t="s">
        <v>82</v>
      </c>
      <c r="G301" s="1" t="s">
        <v>44</v>
      </c>
      <c r="H301" s="1" t="s">
        <v>15</v>
      </c>
      <c r="I301" s="2" cm="1">
        <f t="array" ref="I301">IFERROR(
    Games[[#This Row],[Date]]
    - LOOKUP(
        2,
        1/((Games[Team]=Games[[#This Row],[Team]]) * (Games[Date] &lt; Games[[#This Row],[Date]])),
        Games[Date]
    )
    - 1,
Games[[#This Row],[Date]]-$A$2)</f>
        <v>1</v>
      </c>
      <c r="J301" s="2" cm="1">
        <f t="array" ref="J301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01" s="2">
        <f>Games[[#This Row],[DaysOff]]-Games[[#This Row],[OppDaysOff]]</f>
        <v>1</v>
      </c>
      <c r="L301" s="2">
        <f>Games[[#This Row],[OppDaysOff]]-Games[[#This Row],[DaysOff]]</f>
        <v>-1</v>
      </c>
      <c r="M301" s="1">
        <f>MAX(-16, MIN(16, Games[[#This Row],[RestDiff]]*8))</f>
        <v>8</v>
      </c>
      <c r="N301" s="1">
        <f>MAX(-16, MIN(16, Games[[#This Row],[OppRestDiff]]*8))</f>
        <v>-8</v>
      </c>
      <c r="O301" s="4" cm="1">
        <f t="array" ref="O30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1560.6256517027221</v>
      </c>
      <c r="P301" s="4" cm="1">
        <f t="array" ref="P30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1343.1993376324158</v>
      </c>
      <c r="Q301" s="4">
        <f>1/(1+10^(((Games[[#This Row],[OppPreGmRate]]+IF(Games[[#This Row],[HomeAway]]="A",HCA,0)+Games[[#This Row],[OppRestAdj]])-(Games[[#This Row],[PreGmRate]]+IF(Games[[#This Row],[HomeAway]]="H",HCA,0)+Games[[#This Row],[RestAdj]]))/400))</f>
        <v>0.86143412547723475</v>
      </c>
      <c r="R301" s="1">
        <v>82</v>
      </c>
      <c r="S301" s="1">
        <v>53</v>
      </c>
      <c r="T301" s="1">
        <v>0</v>
      </c>
      <c r="U301" s="1">
        <f>Games[[#This Row],[PointsFor]]-Games[[#This Row],[PointsAgainst]]</f>
        <v>29</v>
      </c>
      <c r="V301" s="1">
        <f>IF(Games[[#This Row],[MOV]]&gt;0,1,IF(Games[[#This Row],[MOV]]=0,0.5,0))</f>
        <v>1</v>
      </c>
      <c r="W301" s="4">
        <f>((ABS(Games[[#This Row],[MOV]])+5)^0.6)/(12+0.01*(ABS(Games[[#This Row],[PreGmRate]]-Games[[#This Row],[OppPreGmRate]])))*IF(Games[[#This Row],[OT]]=1,0.9,1)</f>
        <v>0.58531123330900581</v>
      </c>
      <c r="X301" s="7" cm="1">
        <f t="array" ref="X30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1" s="9">
        <f>MAX(kmin, kmax - 0.15 * MIN(Games[[#This Row],[GamesPlayed]], 82))</f>
        <v>72.7</v>
      </c>
      <c r="Z301" s="4">
        <f>Games[[#This Row],[K]]*Games[[#This Row],[POMult]]</f>
        <v>72.7</v>
      </c>
      <c r="AA301" s="4">
        <f>(Games[[#This Row],[Keff]]*Games[[#This Row],[MOVMult]])*(Games[[#This Row],[Result]]-Games[[#This Row],[ExpectedWin%]])</f>
        <v>5.8962726436631909</v>
      </c>
      <c r="AB301" s="4">
        <f>Games[[#This Row],[PreGmRate]]+Games[[#This Row],[RatingChange]]</f>
        <v>1566.5219243463853</v>
      </c>
      <c r="AC301" s="2">
        <f>IF(Games[[#This Row],[Type]]="R",IF(Games[[#This Row],[Result]]&gt;0.5,1,0),0)</f>
        <v>1</v>
      </c>
      <c r="AD301" s="2">
        <f>IF(Games[[#This Row],[Type]]="R",IF(Games[[#This Row],[Result]]&lt;0.5,1,0),0)</f>
        <v>0</v>
      </c>
      <c r="AE301" s="2">
        <f>IF(AND(Games[[#This Row],[Type]]="P",Games[[#This Row],[Round]]=1),IF(Games[[#This Row],[Result]]&gt;0.5,1,0),0)</f>
        <v>0</v>
      </c>
      <c r="AF301" s="2">
        <f>IF(AND(Games[[#This Row],[Type]]="P",Games[[#This Row],[Round]]=1),IF(Games[[#This Row],[Result]]&lt;0.5,1,0),0)</f>
        <v>0</v>
      </c>
      <c r="AG301" s="2">
        <f>IF(AND(Games[[#This Row],[Type]]="P",Games[[#This Row],[Round]]=2),IF(Games[[#This Row],[Result]]&gt;0.5,1,0),0)</f>
        <v>0</v>
      </c>
      <c r="AH301" s="2">
        <f>IF(AND(Games[[#This Row],[Type]]="P",Games[[#This Row],[Round]]=2),IF(Games[[#This Row],[Result]]&lt;0.5,1,0),0)</f>
        <v>0</v>
      </c>
      <c r="AI301" s="2">
        <f>IF(AND(Games[[#This Row],[Type]]="P",Games[[#This Row],[Round]]=3),IF(Games[[#This Row],[Result]]&gt;0.5,1,0),0)</f>
        <v>0</v>
      </c>
      <c r="AJ301" s="2">
        <f>IF(AND(Games[[#This Row],[Type]]="P",Games[[#This Row],[Round]]=3),IF(Games[[#This Row],[Result]]&lt;0.5,1,0),0)</f>
        <v>0</v>
      </c>
      <c r="AK301" s="2">
        <f>IF(AND(Games[[#This Row],[Type]]="P",Games[[#This Row],[Round]]=4),IF(Games[[#This Row],[Result]]&gt;0.5,1,0),0)</f>
        <v>0</v>
      </c>
      <c r="AL301" s="2">
        <f>IF(AND(Games[[#This Row],[Type]]="P",Games[[#This Row],[Round]]=4),IF(Games[[#This Row],[Result]]&lt;0.5,1,0),0)</f>
        <v>0</v>
      </c>
    </row>
    <row r="302" spans="1:38" x14ac:dyDescent="0.35">
      <c r="A302" s="10">
        <v>37828</v>
      </c>
      <c r="B302" s="2">
        <v>2003</v>
      </c>
      <c r="C302" s="2">
        <f>COUNTIFS(Games[Team],Games[[#This Row],[Team]],Games[Season],Games[[#This Row],[Season]],Games[Date],"&lt;=" &amp; Games[[#This Row],[Date]])</f>
        <v>22</v>
      </c>
      <c r="D302" s="2" t="s">
        <v>23</v>
      </c>
      <c r="E302" s="2" t="s">
        <v>29</v>
      </c>
      <c r="F302" s="1" t="s">
        <v>74</v>
      </c>
      <c r="G302" s="1" t="s">
        <v>1</v>
      </c>
      <c r="H302" s="1" t="s">
        <v>16</v>
      </c>
      <c r="I302" s="2" cm="1">
        <f t="array" ref="I302">IFERROR(
    Games[[#This Row],[Date]]
    - LOOKUP(
        2,
        1/((Games[Team]=Games[[#This Row],[Team]]) * (Games[Date] &lt; Games[[#This Row],[Date]])),
        Games[Date]
    )
    - 1,
Games[[#This Row],[Date]]-$A$2)</f>
        <v>1</v>
      </c>
      <c r="J302" s="2" cm="1">
        <f t="array" ref="J302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02" s="2">
        <f>Games[[#This Row],[DaysOff]]-Games[[#This Row],[OppDaysOff]]</f>
        <v>-2</v>
      </c>
      <c r="L302" s="2">
        <f>Games[[#This Row],[OppDaysOff]]-Games[[#This Row],[DaysOff]]</f>
        <v>2</v>
      </c>
      <c r="M302" s="1">
        <f>MAX(-16, MIN(16, Games[[#This Row],[RestDiff]]*8))</f>
        <v>-16</v>
      </c>
      <c r="N302" s="1">
        <f>MAX(-16, MIN(16, Games[[#This Row],[OppRestDiff]]*8))</f>
        <v>16</v>
      </c>
      <c r="O302" s="4" cm="1">
        <f t="array" ref="O30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1390.85563398262</v>
      </c>
      <c r="P302" s="4" cm="1">
        <f t="array" ref="P30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1481.8215956421504</v>
      </c>
      <c r="Q302" s="4">
        <f>1/(1+10^(((Games[[#This Row],[OppPreGmRate]]+IF(Games[[#This Row],[HomeAway]]="A",HCA,0)+Games[[#This Row],[OppRestAdj]])-(Games[[#This Row],[PreGmRate]]+IF(Games[[#This Row],[HomeAway]]="H",HCA,0)+Games[[#This Row],[RestAdj]]))/400))</f>
        <v>0.23301009779125781</v>
      </c>
      <c r="R302" s="1">
        <v>78</v>
      </c>
      <c r="S302" s="1">
        <v>89</v>
      </c>
      <c r="T302" s="1">
        <v>0</v>
      </c>
      <c r="U302" s="1">
        <f>Games[[#This Row],[PointsFor]]-Games[[#This Row],[PointsAgainst]]</f>
        <v>-11</v>
      </c>
      <c r="V302" s="1">
        <f>IF(Games[[#This Row],[MOV]]&gt;0,1,IF(Games[[#This Row],[MOV]]=0,0.5,0))</f>
        <v>0</v>
      </c>
      <c r="W302" s="4">
        <f>((ABS(Games[[#This Row],[MOV]])+5)^0.6)/(12+0.01*(ABS(Games[[#This Row],[PreGmRate]]-Games[[#This Row],[OppPreGmRate]])))*IF(Games[[#This Row],[OT]]=1,0.9,1)</f>
        <v>0.40884359462945818</v>
      </c>
      <c r="X302" s="7" cm="1">
        <f t="array" ref="X30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2" s="9">
        <f>MAX(kmin, kmax - 0.15 * MIN(Games[[#This Row],[GamesPlayed]], 82))</f>
        <v>72.7</v>
      </c>
      <c r="Z302" s="4">
        <f>Games[[#This Row],[K]]*Games[[#This Row],[POMult]]</f>
        <v>72.7</v>
      </c>
      <c r="AA302" s="4">
        <f>(Games[[#This Row],[Keff]]*Games[[#This Row],[MOVMult]])*(Games[[#This Row],[Result]]-Games[[#This Row],[ExpectedWin%]])</f>
        <v>-6.925742669723796</v>
      </c>
      <c r="AB302" s="4">
        <f>Games[[#This Row],[PreGmRate]]+Games[[#This Row],[RatingChange]]</f>
        <v>1383.9298913128962</v>
      </c>
      <c r="AC302" s="2">
        <f>IF(Games[[#This Row],[Type]]="R",IF(Games[[#This Row],[Result]]&gt;0.5,1,0),0)</f>
        <v>0</v>
      </c>
      <c r="AD302" s="2">
        <f>IF(Games[[#This Row],[Type]]="R",IF(Games[[#This Row],[Result]]&lt;0.5,1,0),0)</f>
        <v>1</v>
      </c>
      <c r="AE302" s="2">
        <f>IF(AND(Games[[#This Row],[Type]]="P",Games[[#This Row],[Round]]=1),IF(Games[[#This Row],[Result]]&gt;0.5,1,0),0)</f>
        <v>0</v>
      </c>
      <c r="AF302" s="2">
        <f>IF(AND(Games[[#This Row],[Type]]="P",Games[[#This Row],[Round]]=1),IF(Games[[#This Row],[Result]]&lt;0.5,1,0),0)</f>
        <v>0</v>
      </c>
      <c r="AG302" s="2">
        <f>IF(AND(Games[[#This Row],[Type]]="P",Games[[#This Row],[Round]]=2),IF(Games[[#This Row],[Result]]&gt;0.5,1,0),0)</f>
        <v>0</v>
      </c>
      <c r="AH302" s="2">
        <f>IF(AND(Games[[#This Row],[Type]]="P",Games[[#This Row],[Round]]=2),IF(Games[[#This Row],[Result]]&lt;0.5,1,0),0)</f>
        <v>0</v>
      </c>
      <c r="AI302" s="2">
        <f>IF(AND(Games[[#This Row],[Type]]="P",Games[[#This Row],[Round]]=3),IF(Games[[#This Row],[Result]]&gt;0.5,1,0),0)</f>
        <v>0</v>
      </c>
      <c r="AJ302" s="2">
        <f>IF(AND(Games[[#This Row],[Type]]="P",Games[[#This Row],[Round]]=3),IF(Games[[#This Row],[Result]]&lt;0.5,1,0),0)</f>
        <v>0</v>
      </c>
      <c r="AK302" s="2">
        <f>IF(AND(Games[[#This Row],[Type]]="P",Games[[#This Row],[Round]]=4),IF(Games[[#This Row],[Result]]&gt;0.5,1,0),0)</f>
        <v>0</v>
      </c>
      <c r="AL302" s="2">
        <f>IF(AND(Games[[#This Row],[Type]]="P",Games[[#This Row],[Round]]=4),IF(Games[[#This Row],[Result]]&lt;0.5,1,0),0)</f>
        <v>0</v>
      </c>
    </row>
    <row r="303" spans="1:38" x14ac:dyDescent="0.35">
      <c r="A303" s="10">
        <v>37828</v>
      </c>
      <c r="B303" s="2">
        <v>2003</v>
      </c>
      <c r="C303" s="2">
        <f>COUNTIFS(Games[Team],Games[[#This Row],[Team]],Games[Season],Games[[#This Row],[Season]],Games[Date],"&lt;=" &amp; Games[[#This Row],[Date]])</f>
        <v>22</v>
      </c>
      <c r="D303" s="2" t="s">
        <v>23</v>
      </c>
      <c r="E303" s="2" t="s">
        <v>29</v>
      </c>
      <c r="F303" s="1" t="s">
        <v>1</v>
      </c>
      <c r="G303" s="1" t="s">
        <v>74</v>
      </c>
      <c r="H303" s="1" t="s">
        <v>15</v>
      </c>
      <c r="I303" s="2" cm="1">
        <f t="array" ref="I303">IFERROR(
    Games[[#This Row],[Date]]
    - LOOKUP(
        2,
        1/((Games[Team]=Games[[#This Row],[Team]]) * (Games[Date] &lt; Games[[#This Row],[Date]])),
        Games[Date]
    )
    - 1,
Games[[#This Row],[Date]]-$A$2)</f>
        <v>3</v>
      </c>
      <c r="J303" s="2" cm="1">
        <f t="array" ref="J30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03" s="2">
        <f>Games[[#This Row],[DaysOff]]-Games[[#This Row],[OppDaysOff]]</f>
        <v>2</v>
      </c>
      <c r="L303" s="2">
        <f>Games[[#This Row],[OppDaysOff]]-Games[[#This Row],[DaysOff]]</f>
        <v>-2</v>
      </c>
      <c r="M303" s="1">
        <f>MAX(-16, MIN(16, Games[[#This Row],[RestDiff]]*8))</f>
        <v>16</v>
      </c>
      <c r="N303" s="1">
        <f>MAX(-16, MIN(16, Games[[#This Row],[OppRestDiff]]*8))</f>
        <v>-16</v>
      </c>
      <c r="O303" s="4" cm="1">
        <f t="array" ref="O30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1481.8215956421504</v>
      </c>
      <c r="P303" s="4" cm="1">
        <f t="array" ref="P30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1390.85563398262</v>
      </c>
      <c r="Q303" s="4">
        <f>1/(1+10^(((Games[[#This Row],[OppPreGmRate]]+IF(Games[[#This Row],[HomeAway]]="A",HCA,0)+Games[[#This Row],[OppRestAdj]])-(Games[[#This Row],[PreGmRate]]+IF(Games[[#This Row],[HomeAway]]="H",HCA,0)+Games[[#This Row],[RestAdj]]))/400))</f>
        <v>0.76698990220874219</v>
      </c>
      <c r="R303" s="1">
        <v>89</v>
      </c>
      <c r="S303" s="1">
        <v>78</v>
      </c>
      <c r="T303" s="1">
        <v>0</v>
      </c>
      <c r="U303" s="1">
        <f>Games[[#This Row],[PointsFor]]-Games[[#This Row],[PointsAgainst]]</f>
        <v>11</v>
      </c>
      <c r="V303" s="1">
        <f>IF(Games[[#This Row],[MOV]]&gt;0,1,IF(Games[[#This Row],[MOV]]=0,0.5,0))</f>
        <v>1</v>
      </c>
      <c r="W303" s="4">
        <f>((ABS(Games[[#This Row],[MOV]])+5)^0.6)/(12+0.01*(ABS(Games[[#This Row],[PreGmRate]]-Games[[#This Row],[OppPreGmRate]])))*IF(Games[[#This Row],[OT]]=1,0.9,1)</f>
        <v>0.40884359462945818</v>
      </c>
      <c r="X303" s="7" cm="1">
        <f t="array" ref="X30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3" s="9">
        <f>MAX(kmin, kmax - 0.15 * MIN(Games[[#This Row],[GamesPlayed]], 82))</f>
        <v>72.7</v>
      </c>
      <c r="Z303" s="4">
        <f>Games[[#This Row],[K]]*Games[[#This Row],[POMult]]</f>
        <v>72.7</v>
      </c>
      <c r="AA303" s="4">
        <f>(Games[[#This Row],[Keff]]*Games[[#This Row],[MOVMult]])*(Games[[#This Row],[Result]]-Games[[#This Row],[ExpectedWin%]])</f>
        <v>6.925742669723796</v>
      </c>
      <c r="AB303" s="4">
        <f>Games[[#This Row],[PreGmRate]]+Games[[#This Row],[RatingChange]]</f>
        <v>1488.7473383118743</v>
      </c>
      <c r="AC303" s="2">
        <f>IF(Games[[#This Row],[Type]]="R",IF(Games[[#This Row],[Result]]&gt;0.5,1,0),0)</f>
        <v>1</v>
      </c>
      <c r="AD303" s="2">
        <f>IF(Games[[#This Row],[Type]]="R",IF(Games[[#This Row],[Result]]&lt;0.5,1,0),0)</f>
        <v>0</v>
      </c>
      <c r="AE303" s="2">
        <f>IF(AND(Games[[#This Row],[Type]]="P",Games[[#This Row],[Round]]=1),IF(Games[[#This Row],[Result]]&gt;0.5,1,0),0)</f>
        <v>0</v>
      </c>
      <c r="AF303" s="2">
        <f>IF(AND(Games[[#This Row],[Type]]="P",Games[[#This Row],[Round]]=1),IF(Games[[#This Row],[Result]]&lt;0.5,1,0),0)</f>
        <v>0</v>
      </c>
      <c r="AG303" s="2">
        <f>IF(AND(Games[[#This Row],[Type]]="P",Games[[#This Row],[Round]]=2),IF(Games[[#This Row],[Result]]&gt;0.5,1,0),0)</f>
        <v>0</v>
      </c>
      <c r="AH303" s="2">
        <f>IF(AND(Games[[#This Row],[Type]]="P",Games[[#This Row],[Round]]=2),IF(Games[[#This Row],[Result]]&lt;0.5,1,0),0)</f>
        <v>0</v>
      </c>
      <c r="AI303" s="2">
        <f>IF(AND(Games[[#This Row],[Type]]="P",Games[[#This Row],[Round]]=3),IF(Games[[#This Row],[Result]]&gt;0.5,1,0),0)</f>
        <v>0</v>
      </c>
      <c r="AJ303" s="2">
        <f>IF(AND(Games[[#This Row],[Type]]="P",Games[[#This Row],[Round]]=3),IF(Games[[#This Row],[Result]]&lt;0.5,1,0),0)</f>
        <v>0</v>
      </c>
      <c r="AK303" s="2">
        <f>IF(AND(Games[[#This Row],[Type]]="P",Games[[#This Row],[Round]]=4),IF(Games[[#This Row],[Result]]&gt;0.5,1,0),0)</f>
        <v>0</v>
      </c>
      <c r="AL303" s="2">
        <f>IF(AND(Games[[#This Row],[Type]]="P",Games[[#This Row],[Round]]=4),IF(Games[[#This Row],[Result]]&lt;0.5,1,0),0)</f>
        <v>0</v>
      </c>
    </row>
    <row r="304" spans="1:38" x14ac:dyDescent="0.35">
      <c r="A304" s="10">
        <v>37828</v>
      </c>
      <c r="B304" s="2">
        <v>2003</v>
      </c>
      <c r="C304" s="2">
        <f>COUNTIFS(Games[Team],Games[[#This Row],[Team]],Games[Season],Games[[#This Row],[Season]],Games[Date],"&lt;=" &amp; Games[[#This Row],[Date]])</f>
        <v>23</v>
      </c>
      <c r="D304" s="2" t="s">
        <v>23</v>
      </c>
      <c r="E304" s="2" t="s">
        <v>29</v>
      </c>
      <c r="F304" s="1" t="s">
        <v>64</v>
      </c>
      <c r="G304" s="1" t="s">
        <v>87</v>
      </c>
      <c r="H304" s="1" t="s">
        <v>16</v>
      </c>
      <c r="I304" s="2" cm="1">
        <f t="array" ref="I304">IFERROR(
    Games[[#This Row],[Date]]
    - LOOKUP(
        2,
        1/((Games[Team]=Games[[#This Row],[Team]]) * (Games[Date] &lt; Games[[#This Row],[Date]])),
        Games[Date]
    )
    - 1,
Games[[#This Row],[Date]]-$A$2)</f>
        <v>1</v>
      </c>
      <c r="J304" s="2" cm="1">
        <f t="array" ref="J30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04" s="2">
        <f>Games[[#This Row],[DaysOff]]-Games[[#This Row],[OppDaysOff]]</f>
        <v>-1</v>
      </c>
      <c r="L304" s="2">
        <f>Games[[#This Row],[OppDaysOff]]-Games[[#This Row],[DaysOff]]</f>
        <v>1</v>
      </c>
      <c r="M304" s="1">
        <f>MAX(-16, MIN(16, Games[[#This Row],[RestDiff]]*8))</f>
        <v>-8</v>
      </c>
      <c r="N304" s="1">
        <f>MAX(-16, MIN(16, Games[[#This Row],[OppRestDiff]]*8))</f>
        <v>8</v>
      </c>
      <c r="O304" s="4" cm="1">
        <f t="array" ref="O30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1526.5522509927291</v>
      </c>
      <c r="P304" s="4" cm="1">
        <f t="array" ref="P30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1507.4268869982777</v>
      </c>
      <c r="Q304" s="4">
        <f>1/(1+10^(((Games[[#This Row],[OppPreGmRate]]+IF(Games[[#This Row],[HomeAway]]="A",HCA,0)+Games[[#This Row],[OppRestAdj]])-(Games[[#This Row],[PreGmRate]]+IF(Games[[#This Row],[HomeAway]]="H",HCA,0)+Games[[#This Row],[RestAdj]]))/400))</f>
        <v>0.38566960512322629</v>
      </c>
      <c r="R304" s="1">
        <v>70</v>
      </c>
      <c r="S304" s="1">
        <v>74</v>
      </c>
      <c r="T304" s="1">
        <v>0</v>
      </c>
      <c r="U304" s="1">
        <f>Games[[#This Row],[PointsFor]]-Games[[#This Row],[PointsAgainst]]</f>
        <v>-4</v>
      </c>
      <c r="V304" s="1">
        <f>IF(Games[[#This Row],[MOV]]&gt;0,1,IF(Games[[#This Row],[MOV]]=0,0.5,0))</f>
        <v>0</v>
      </c>
      <c r="W304" s="4">
        <f>((ABS(Games[[#This Row],[MOV]])+5)^0.6)/(12+0.01*(ABS(Games[[#This Row],[PreGmRate]]-Games[[#This Row],[OppPreGmRate]])))*IF(Games[[#This Row],[OT]]=1,0.9,1)</f>
        <v>0.30654704833649588</v>
      </c>
      <c r="X304" s="7" cm="1">
        <f t="array" ref="X30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4" s="9">
        <f>MAX(kmin, kmax - 0.15 * MIN(Games[[#This Row],[GamesPlayed]], 82))</f>
        <v>72.55</v>
      </c>
      <c r="Z304" s="4">
        <f>Games[[#This Row],[K]]*Games[[#This Row],[POMult]]</f>
        <v>72.55</v>
      </c>
      <c r="AA304" s="4">
        <f>(Games[[#This Row],[Keff]]*Games[[#This Row],[MOVMult]])*(Games[[#This Row],[Result]]-Games[[#This Row],[ExpectedWin%]])</f>
        <v>-8.5772875275171323</v>
      </c>
      <c r="AB304" s="4">
        <f>Games[[#This Row],[PreGmRate]]+Games[[#This Row],[RatingChange]]</f>
        <v>1517.9749634652119</v>
      </c>
      <c r="AC304" s="2">
        <f>IF(Games[[#This Row],[Type]]="R",IF(Games[[#This Row],[Result]]&gt;0.5,1,0),0)</f>
        <v>0</v>
      </c>
      <c r="AD304" s="2">
        <f>IF(Games[[#This Row],[Type]]="R",IF(Games[[#This Row],[Result]]&lt;0.5,1,0),0)</f>
        <v>1</v>
      </c>
      <c r="AE304" s="2">
        <f>IF(AND(Games[[#This Row],[Type]]="P",Games[[#This Row],[Round]]=1),IF(Games[[#This Row],[Result]]&gt;0.5,1,0),0)</f>
        <v>0</v>
      </c>
      <c r="AF304" s="2">
        <f>IF(AND(Games[[#This Row],[Type]]="P",Games[[#This Row],[Round]]=1),IF(Games[[#This Row],[Result]]&lt;0.5,1,0),0)</f>
        <v>0</v>
      </c>
      <c r="AG304" s="2">
        <f>IF(AND(Games[[#This Row],[Type]]="P",Games[[#This Row],[Round]]=2),IF(Games[[#This Row],[Result]]&gt;0.5,1,0),0)</f>
        <v>0</v>
      </c>
      <c r="AH304" s="2">
        <f>IF(AND(Games[[#This Row],[Type]]="P",Games[[#This Row],[Round]]=2),IF(Games[[#This Row],[Result]]&lt;0.5,1,0),0)</f>
        <v>0</v>
      </c>
      <c r="AI304" s="2">
        <f>IF(AND(Games[[#This Row],[Type]]="P",Games[[#This Row],[Round]]=3),IF(Games[[#This Row],[Result]]&gt;0.5,1,0),0)</f>
        <v>0</v>
      </c>
      <c r="AJ304" s="2">
        <f>IF(AND(Games[[#This Row],[Type]]="P",Games[[#This Row],[Round]]=3),IF(Games[[#This Row],[Result]]&lt;0.5,1,0),0)</f>
        <v>0</v>
      </c>
      <c r="AK304" s="2">
        <f>IF(AND(Games[[#This Row],[Type]]="P",Games[[#This Row],[Round]]=4),IF(Games[[#This Row],[Result]]&gt;0.5,1,0),0)</f>
        <v>0</v>
      </c>
      <c r="AL304" s="2">
        <f>IF(AND(Games[[#This Row],[Type]]="P",Games[[#This Row],[Round]]=4),IF(Games[[#This Row],[Result]]&lt;0.5,1,0),0)</f>
        <v>0</v>
      </c>
    </row>
    <row r="305" spans="1:38" x14ac:dyDescent="0.35">
      <c r="A305" s="10">
        <v>37828</v>
      </c>
      <c r="B305" s="2">
        <v>2003</v>
      </c>
      <c r="C305" s="2">
        <f>COUNTIFS(Games[Team],Games[[#This Row],[Team]],Games[Season],Games[[#This Row],[Season]],Games[Date],"&lt;=" &amp; Games[[#This Row],[Date]])</f>
        <v>24</v>
      </c>
      <c r="D305" s="2" t="s">
        <v>23</v>
      </c>
      <c r="E305" s="2" t="s">
        <v>29</v>
      </c>
      <c r="F305" s="1" t="s">
        <v>87</v>
      </c>
      <c r="G305" s="1" t="s">
        <v>64</v>
      </c>
      <c r="H305" s="1" t="s">
        <v>15</v>
      </c>
      <c r="I305" s="2" cm="1">
        <f t="array" ref="I305">IFERROR(
    Games[[#This Row],[Date]]
    - LOOKUP(
        2,
        1/((Games[Team]=Games[[#This Row],[Team]]) * (Games[Date] &lt; Games[[#This Row],[Date]])),
        Games[Date]
    )
    - 1,
Games[[#This Row],[Date]]-$A$2)</f>
        <v>2</v>
      </c>
      <c r="J305" s="2" cm="1">
        <f t="array" ref="J30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05" s="2">
        <f>Games[[#This Row],[DaysOff]]-Games[[#This Row],[OppDaysOff]]</f>
        <v>1</v>
      </c>
      <c r="L305" s="2">
        <f>Games[[#This Row],[OppDaysOff]]-Games[[#This Row],[DaysOff]]</f>
        <v>-1</v>
      </c>
      <c r="M305" s="1">
        <f>MAX(-16, MIN(16, Games[[#This Row],[RestDiff]]*8))</f>
        <v>8</v>
      </c>
      <c r="N305" s="1">
        <f>MAX(-16, MIN(16, Games[[#This Row],[OppRestDiff]]*8))</f>
        <v>-8</v>
      </c>
      <c r="O305" s="4" cm="1">
        <f t="array" ref="O30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1507.4268869982777</v>
      </c>
      <c r="P305" s="4" cm="1">
        <f t="array" ref="P30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1526.5522509927291</v>
      </c>
      <c r="Q305" s="4">
        <f>1/(1+10^(((Games[[#This Row],[OppPreGmRate]]+IF(Games[[#This Row],[HomeAway]]="A",HCA,0)+Games[[#This Row],[OppRestAdj]])-(Games[[#This Row],[PreGmRate]]+IF(Games[[#This Row],[HomeAway]]="H",HCA,0)+Games[[#This Row],[RestAdj]]))/400))</f>
        <v>0.61433039487677377</v>
      </c>
      <c r="R305" s="1">
        <v>74</v>
      </c>
      <c r="S305" s="1">
        <v>70</v>
      </c>
      <c r="T305" s="1">
        <v>0</v>
      </c>
      <c r="U305" s="1">
        <f>Games[[#This Row],[PointsFor]]-Games[[#This Row],[PointsAgainst]]</f>
        <v>4</v>
      </c>
      <c r="V305" s="1">
        <f>IF(Games[[#This Row],[MOV]]&gt;0,1,IF(Games[[#This Row],[MOV]]=0,0.5,0))</f>
        <v>1</v>
      </c>
      <c r="W305" s="4">
        <f>((ABS(Games[[#This Row],[MOV]])+5)^0.6)/(12+0.01*(ABS(Games[[#This Row],[PreGmRate]]-Games[[#This Row],[OppPreGmRate]])))*IF(Games[[#This Row],[OT]]=1,0.9,1)</f>
        <v>0.30654704833649588</v>
      </c>
      <c r="X305" s="7" cm="1">
        <f t="array" ref="X30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5" s="9">
        <f>MAX(kmin, kmax - 0.15 * MIN(Games[[#This Row],[GamesPlayed]], 82))</f>
        <v>72.400000000000006</v>
      </c>
      <c r="Z305" s="4">
        <f>Games[[#This Row],[K]]*Games[[#This Row],[POMult]]</f>
        <v>72.400000000000006</v>
      </c>
      <c r="AA305" s="4">
        <f>(Games[[#This Row],[Keff]]*Games[[#This Row],[MOVMult]])*(Games[[#This Row],[Result]]-Games[[#This Row],[ExpectedWin%]])</f>
        <v>8.5595536456545886</v>
      </c>
      <c r="AB305" s="4">
        <f>Games[[#This Row],[PreGmRate]]+Games[[#This Row],[RatingChange]]</f>
        <v>1515.9864406439324</v>
      </c>
      <c r="AC305" s="2">
        <f>IF(Games[[#This Row],[Type]]="R",IF(Games[[#This Row],[Result]]&gt;0.5,1,0),0)</f>
        <v>1</v>
      </c>
      <c r="AD305" s="2">
        <f>IF(Games[[#This Row],[Type]]="R",IF(Games[[#This Row],[Result]]&lt;0.5,1,0),0)</f>
        <v>0</v>
      </c>
      <c r="AE305" s="2">
        <f>IF(AND(Games[[#This Row],[Type]]="P",Games[[#This Row],[Round]]=1),IF(Games[[#This Row],[Result]]&gt;0.5,1,0),0)</f>
        <v>0</v>
      </c>
      <c r="AF305" s="2">
        <f>IF(AND(Games[[#This Row],[Type]]="P",Games[[#This Row],[Round]]=1),IF(Games[[#This Row],[Result]]&lt;0.5,1,0),0)</f>
        <v>0</v>
      </c>
      <c r="AG305" s="2">
        <f>IF(AND(Games[[#This Row],[Type]]="P",Games[[#This Row],[Round]]=2),IF(Games[[#This Row],[Result]]&gt;0.5,1,0),0)</f>
        <v>0</v>
      </c>
      <c r="AH305" s="2">
        <f>IF(AND(Games[[#This Row],[Type]]="P",Games[[#This Row],[Round]]=2),IF(Games[[#This Row],[Result]]&lt;0.5,1,0),0)</f>
        <v>0</v>
      </c>
      <c r="AI305" s="2">
        <f>IF(AND(Games[[#This Row],[Type]]="P",Games[[#This Row],[Round]]=3),IF(Games[[#This Row],[Result]]&gt;0.5,1,0),0)</f>
        <v>0</v>
      </c>
      <c r="AJ305" s="2">
        <f>IF(AND(Games[[#This Row],[Type]]="P",Games[[#This Row],[Round]]=3),IF(Games[[#This Row],[Result]]&lt;0.5,1,0),0)</f>
        <v>0</v>
      </c>
      <c r="AK305" s="2">
        <f>IF(AND(Games[[#This Row],[Type]]="P",Games[[#This Row],[Round]]=4),IF(Games[[#This Row],[Result]]&gt;0.5,1,0),0)</f>
        <v>0</v>
      </c>
      <c r="AL305" s="2">
        <f>IF(AND(Games[[#This Row],[Type]]="P",Games[[#This Row],[Round]]=4),IF(Games[[#This Row],[Result]]&lt;0.5,1,0),0)</f>
        <v>0</v>
      </c>
    </row>
    <row r="306" spans="1:38" x14ac:dyDescent="0.35">
      <c r="A306" s="10">
        <v>37828</v>
      </c>
      <c r="B306" s="2">
        <v>2003</v>
      </c>
      <c r="C306" s="2">
        <f>COUNTIFS(Games[Team],Games[[#This Row],[Team]],Games[Season],Games[[#This Row],[Season]],Games[Date],"&lt;=" &amp; Games[[#This Row],[Date]])</f>
        <v>20</v>
      </c>
      <c r="D306" s="2" t="s">
        <v>23</v>
      </c>
      <c r="E306" s="2" t="s">
        <v>29</v>
      </c>
      <c r="F306" s="1" t="s">
        <v>66</v>
      </c>
      <c r="G306" s="1" t="s">
        <v>2</v>
      </c>
      <c r="H306" s="1" t="s">
        <v>16</v>
      </c>
      <c r="I306" s="2" cm="1">
        <f t="array" ref="I306">IFERROR(
    Games[[#This Row],[Date]]
    - LOOKUP(
        2,
        1/((Games[Team]=Games[[#This Row],[Team]]) * (Games[Date] &lt; Games[[#This Row],[Date]])),
        Games[Date]
    )
    - 1,
Games[[#This Row],[Date]]-$A$2)</f>
        <v>1</v>
      </c>
      <c r="J306" s="2" cm="1">
        <f t="array" ref="J306">IFERROR(
    Games[[#This Row],[Date]]
    - LOOKUP(
        2,
        1/((Games[Opponent]=Games[[#This Row],[Opponent]]) * (Games[Date] &lt; Games[[#This Row],[Date]])),
        Games[Date]
    )
    - 1,
Games[[#This Row],[Date]]-$A$2)</f>
        <v>6</v>
      </c>
      <c r="K306" s="2">
        <f>Games[[#This Row],[DaysOff]]-Games[[#This Row],[OppDaysOff]]</f>
        <v>-5</v>
      </c>
      <c r="L306" s="2">
        <f>Games[[#This Row],[OppDaysOff]]-Games[[#This Row],[DaysOff]]</f>
        <v>5</v>
      </c>
      <c r="M306" s="1">
        <f>MAX(-16, MIN(16, Games[[#This Row],[RestDiff]]*8))</f>
        <v>-16</v>
      </c>
      <c r="N306" s="1">
        <f>MAX(-16, MIN(16, Games[[#This Row],[OppRestDiff]]*8))</f>
        <v>16</v>
      </c>
      <c r="O306" s="4" cm="1">
        <f t="array" ref="O30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1487.7599359744397</v>
      </c>
      <c r="P306" s="4" cm="1">
        <f t="array" ref="P30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1569.2714646827449</v>
      </c>
      <c r="Q306" s="4">
        <f>1/(1+10^(((Games[[#This Row],[OppPreGmRate]]+IF(Games[[#This Row],[HomeAway]]="A",HCA,0)+Games[[#This Row],[OppRestAdj]])-(Games[[#This Row],[PreGmRate]]+IF(Games[[#This Row],[HomeAway]]="H",HCA,0)+Games[[#This Row],[RestAdj]]))/400))</f>
        <v>0.24287751987462844</v>
      </c>
      <c r="R306" s="1">
        <v>53</v>
      </c>
      <c r="S306" s="1">
        <v>61</v>
      </c>
      <c r="T306" s="1">
        <v>0</v>
      </c>
      <c r="U306" s="1">
        <f>Games[[#This Row],[PointsFor]]-Games[[#This Row],[PointsAgainst]]</f>
        <v>-8</v>
      </c>
      <c r="V306" s="1">
        <f>IF(Games[[#This Row],[MOV]]&gt;0,1,IF(Games[[#This Row],[MOV]]=0,0.5,0))</f>
        <v>0</v>
      </c>
      <c r="W306" s="4">
        <f>((ABS(Games[[#This Row],[MOV]])+5)^0.6)/(12+0.01*(ABS(Games[[#This Row],[PreGmRate]]-Games[[#This Row],[OppPreGmRate]])))*IF(Games[[#This Row],[OT]]=1,0.9,1)</f>
        <v>0.36361642604439781</v>
      </c>
      <c r="X306" s="7" cm="1">
        <f t="array" ref="X30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6" s="9">
        <f>MAX(kmin, kmax - 0.15 * MIN(Games[[#This Row],[GamesPlayed]], 82))</f>
        <v>73</v>
      </c>
      <c r="Z306" s="4">
        <f>Games[[#This Row],[K]]*Games[[#This Row],[POMult]]</f>
        <v>73</v>
      </c>
      <c r="AA306" s="4">
        <f>(Games[[#This Row],[Keff]]*Games[[#This Row],[MOVMult]])*(Games[[#This Row],[Result]]-Games[[#This Row],[ExpectedWin%]])</f>
        <v>-6.4469406692637907</v>
      </c>
      <c r="AB306" s="4">
        <f>Games[[#This Row],[PreGmRate]]+Games[[#This Row],[RatingChange]]</f>
        <v>1481.3129953051759</v>
      </c>
      <c r="AC306" s="2">
        <f>IF(Games[[#This Row],[Type]]="R",IF(Games[[#This Row],[Result]]&gt;0.5,1,0),0)</f>
        <v>0</v>
      </c>
      <c r="AD306" s="2">
        <f>IF(Games[[#This Row],[Type]]="R",IF(Games[[#This Row],[Result]]&lt;0.5,1,0),0)</f>
        <v>1</v>
      </c>
      <c r="AE306" s="2">
        <f>IF(AND(Games[[#This Row],[Type]]="P",Games[[#This Row],[Round]]=1),IF(Games[[#This Row],[Result]]&gt;0.5,1,0),0)</f>
        <v>0</v>
      </c>
      <c r="AF306" s="2">
        <f>IF(AND(Games[[#This Row],[Type]]="P",Games[[#This Row],[Round]]=1),IF(Games[[#This Row],[Result]]&lt;0.5,1,0),0)</f>
        <v>0</v>
      </c>
      <c r="AG306" s="2">
        <f>IF(AND(Games[[#This Row],[Type]]="P",Games[[#This Row],[Round]]=2),IF(Games[[#This Row],[Result]]&gt;0.5,1,0),0)</f>
        <v>0</v>
      </c>
      <c r="AH306" s="2">
        <f>IF(AND(Games[[#This Row],[Type]]="P",Games[[#This Row],[Round]]=2),IF(Games[[#This Row],[Result]]&lt;0.5,1,0),0)</f>
        <v>0</v>
      </c>
      <c r="AI306" s="2">
        <f>IF(AND(Games[[#This Row],[Type]]="P",Games[[#This Row],[Round]]=3),IF(Games[[#This Row],[Result]]&gt;0.5,1,0),0)</f>
        <v>0</v>
      </c>
      <c r="AJ306" s="2">
        <f>IF(AND(Games[[#This Row],[Type]]="P",Games[[#This Row],[Round]]=3),IF(Games[[#This Row],[Result]]&lt;0.5,1,0),0)</f>
        <v>0</v>
      </c>
      <c r="AK306" s="2">
        <f>IF(AND(Games[[#This Row],[Type]]="P",Games[[#This Row],[Round]]=4),IF(Games[[#This Row],[Result]]&gt;0.5,1,0),0)</f>
        <v>0</v>
      </c>
      <c r="AL306" s="2">
        <f>IF(AND(Games[[#This Row],[Type]]="P",Games[[#This Row],[Round]]=4),IF(Games[[#This Row],[Result]]&lt;0.5,1,0),0)</f>
        <v>0</v>
      </c>
    </row>
    <row r="307" spans="1:38" x14ac:dyDescent="0.35">
      <c r="A307" s="10">
        <v>37828</v>
      </c>
      <c r="B307" s="2">
        <v>2003</v>
      </c>
      <c r="C307" s="2">
        <f>COUNTIFS(Games[Team],Games[[#This Row],[Team]],Games[Season],Games[[#This Row],[Season]],Games[Date],"&lt;=" &amp; Games[[#This Row],[Date]])</f>
        <v>21</v>
      </c>
      <c r="D307" s="2" t="s">
        <v>23</v>
      </c>
      <c r="E307" s="2" t="s">
        <v>29</v>
      </c>
      <c r="F307" s="1" t="s">
        <v>2</v>
      </c>
      <c r="G307" s="1" t="s">
        <v>66</v>
      </c>
      <c r="H307" s="1" t="s">
        <v>15</v>
      </c>
      <c r="I307" s="2" cm="1">
        <f t="array" ref="I307">IFERROR(
    Games[[#This Row],[Date]]
    - LOOKUP(
        2,
        1/((Games[Team]=Games[[#This Row],[Team]]) * (Games[Date] &lt; Games[[#This Row],[Date]])),
        Games[Date]
    )
    - 1,
Games[[#This Row],[Date]]-$A$2)</f>
        <v>6</v>
      </c>
      <c r="J307" s="2" cm="1">
        <f t="array" ref="J30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07" s="2">
        <f>Games[[#This Row],[DaysOff]]-Games[[#This Row],[OppDaysOff]]</f>
        <v>5</v>
      </c>
      <c r="L307" s="2">
        <f>Games[[#This Row],[OppDaysOff]]-Games[[#This Row],[DaysOff]]</f>
        <v>-5</v>
      </c>
      <c r="M307" s="1">
        <f>MAX(-16, MIN(16, Games[[#This Row],[RestDiff]]*8))</f>
        <v>16</v>
      </c>
      <c r="N307" s="1">
        <f>MAX(-16, MIN(16, Games[[#This Row],[OppRestDiff]]*8))</f>
        <v>-16</v>
      </c>
      <c r="O307" s="4" cm="1">
        <f t="array" ref="O30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1569.2714646827449</v>
      </c>
      <c r="P307" s="4" cm="1">
        <f t="array" ref="P30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1487.7599359744397</v>
      </c>
      <c r="Q307" s="4">
        <f>1/(1+10^(((Games[[#This Row],[OppPreGmRate]]+IF(Games[[#This Row],[HomeAway]]="A",HCA,0)+Games[[#This Row],[OppRestAdj]])-(Games[[#This Row],[PreGmRate]]+IF(Games[[#This Row],[HomeAway]]="H",HCA,0)+Games[[#This Row],[RestAdj]]))/400))</f>
        <v>0.75712248012537153</v>
      </c>
      <c r="R307" s="1">
        <v>61</v>
      </c>
      <c r="S307" s="1">
        <v>53</v>
      </c>
      <c r="T307" s="1">
        <v>0</v>
      </c>
      <c r="U307" s="1">
        <f>Games[[#This Row],[PointsFor]]-Games[[#This Row],[PointsAgainst]]</f>
        <v>8</v>
      </c>
      <c r="V307" s="1">
        <f>IF(Games[[#This Row],[MOV]]&gt;0,1,IF(Games[[#This Row],[MOV]]=0,0.5,0))</f>
        <v>1</v>
      </c>
      <c r="W307" s="4">
        <f>((ABS(Games[[#This Row],[MOV]])+5)^0.6)/(12+0.01*(ABS(Games[[#This Row],[PreGmRate]]-Games[[#This Row],[OppPreGmRate]])))*IF(Games[[#This Row],[OT]]=1,0.9,1)</f>
        <v>0.36361642604439781</v>
      </c>
      <c r="X307" s="7" cm="1">
        <f t="array" ref="X30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7" s="9">
        <f>MAX(kmin, kmax - 0.15 * MIN(Games[[#This Row],[GamesPlayed]], 82))</f>
        <v>72.849999999999994</v>
      </c>
      <c r="Z307" s="4">
        <f>Games[[#This Row],[K]]*Games[[#This Row],[POMult]]</f>
        <v>72.849999999999994</v>
      </c>
      <c r="AA307" s="4">
        <f>(Games[[#This Row],[Keff]]*Games[[#This Row],[MOVMult]])*(Games[[#This Row],[Result]]-Games[[#This Row],[ExpectedWin%]])</f>
        <v>6.4336935309022891</v>
      </c>
      <c r="AB307" s="4">
        <f>Games[[#This Row],[PreGmRate]]+Games[[#This Row],[RatingChange]]</f>
        <v>1575.7051582136471</v>
      </c>
      <c r="AC307" s="2">
        <f>IF(Games[[#This Row],[Type]]="R",IF(Games[[#This Row],[Result]]&gt;0.5,1,0),0)</f>
        <v>1</v>
      </c>
      <c r="AD307" s="2">
        <f>IF(Games[[#This Row],[Type]]="R",IF(Games[[#This Row],[Result]]&lt;0.5,1,0),0)</f>
        <v>0</v>
      </c>
      <c r="AE307" s="2">
        <f>IF(AND(Games[[#This Row],[Type]]="P",Games[[#This Row],[Round]]=1),IF(Games[[#This Row],[Result]]&gt;0.5,1,0),0)</f>
        <v>0</v>
      </c>
      <c r="AF307" s="2">
        <f>IF(AND(Games[[#This Row],[Type]]="P",Games[[#This Row],[Round]]=1),IF(Games[[#This Row],[Result]]&lt;0.5,1,0),0)</f>
        <v>0</v>
      </c>
      <c r="AG307" s="2">
        <f>IF(AND(Games[[#This Row],[Type]]="P",Games[[#This Row],[Round]]=2),IF(Games[[#This Row],[Result]]&gt;0.5,1,0),0)</f>
        <v>0</v>
      </c>
      <c r="AH307" s="2">
        <f>IF(AND(Games[[#This Row],[Type]]="P",Games[[#This Row],[Round]]=2),IF(Games[[#This Row],[Result]]&lt;0.5,1,0),0)</f>
        <v>0</v>
      </c>
      <c r="AI307" s="2">
        <f>IF(AND(Games[[#This Row],[Type]]="P",Games[[#This Row],[Round]]=3),IF(Games[[#This Row],[Result]]&gt;0.5,1,0),0)</f>
        <v>0</v>
      </c>
      <c r="AJ307" s="2">
        <f>IF(AND(Games[[#This Row],[Type]]="P",Games[[#This Row],[Round]]=3),IF(Games[[#This Row],[Result]]&lt;0.5,1,0),0)</f>
        <v>0</v>
      </c>
      <c r="AK307" s="2">
        <f>IF(AND(Games[[#This Row],[Type]]="P",Games[[#This Row],[Round]]=4),IF(Games[[#This Row],[Result]]&gt;0.5,1,0),0)</f>
        <v>0</v>
      </c>
      <c r="AL307" s="2">
        <f>IF(AND(Games[[#This Row],[Type]]="P",Games[[#This Row],[Round]]=4),IF(Games[[#This Row],[Result]]&lt;0.5,1,0),0)</f>
        <v>0</v>
      </c>
    </row>
    <row r="308" spans="1:38" x14ac:dyDescent="0.35">
      <c r="A308" s="10">
        <v>37828</v>
      </c>
      <c r="B308" s="2">
        <v>2003</v>
      </c>
      <c r="C308" s="2">
        <f>COUNTIFS(Games[Team],Games[[#This Row],[Team]],Games[Season],Games[[#This Row],[Season]],Games[Date],"&lt;=" &amp; Games[[#This Row],[Date]])</f>
        <v>23</v>
      </c>
      <c r="D308" s="2" t="s">
        <v>23</v>
      </c>
      <c r="E308" s="2" t="s">
        <v>29</v>
      </c>
      <c r="F308" s="1" t="s">
        <v>78</v>
      </c>
      <c r="G308" s="1" t="s">
        <v>80</v>
      </c>
      <c r="H308" s="1" t="s">
        <v>16</v>
      </c>
      <c r="I308" s="2" cm="1">
        <f t="array" ref="I308">IFERROR(
    Games[[#This Row],[Date]]
    - LOOKUP(
        2,
        1/((Games[Team]=Games[[#This Row],[Team]]) * (Games[Date] &lt; Games[[#This Row],[Date]])),
        Games[Date]
    )
    - 1,
Games[[#This Row],[Date]]-$A$2)</f>
        <v>0</v>
      </c>
      <c r="J308" s="2" cm="1">
        <f t="array" ref="J30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08" s="2">
        <f>Games[[#This Row],[DaysOff]]-Games[[#This Row],[OppDaysOff]]</f>
        <v>-1</v>
      </c>
      <c r="L308" s="2">
        <f>Games[[#This Row],[OppDaysOff]]-Games[[#This Row],[DaysOff]]</f>
        <v>1</v>
      </c>
      <c r="M308" s="1">
        <f>MAX(-16, MIN(16, Games[[#This Row],[RestDiff]]*8))</f>
        <v>-8</v>
      </c>
      <c r="N308" s="1">
        <f>MAX(-16, MIN(16, Games[[#This Row],[OppRestDiff]]*8))</f>
        <v>8</v>
      </c>
      <c r="O308" s="4" cm="1">
        <f t="array" ref="O30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1493.9660851806971</v>
      </c>
      <c r="P308" s="4" cm="1">
        <f t="array" ref="P30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1543.2186967867003</v>
      </c>
      <c r="Q308" s="4">
        <f>1/(1+10^(((Games[[#This Row],[OppPreGmRate]]+IF(Games[[#This Row],[HomeAway]]="A",HCA,0)+Games[[#This Row],[OppRestAdj]])-(Games[[#This Row],[PreGmRate]]+IF(Games[[#This Row],[HomeAway]]="H",HCA,0)+Games[[#This Row],[RestAdj]]))/400))</f>
        <v>0.29751339244859154</v>
      </c>
      <c r="R308" s="1">
        <v>70</v>
      </c>
      <c r="S308" s="1">
        <v>65</v>
      </c>
      <c r="T308" s="1">
        <v>0</v>
      </c>
      <c r="U308" s="1">
        <f>Games[[#This Row],[PointsFor]]-Games[[#This Row],[PointsAgainst]]</f>
        <v>5</v>
      </c>
      <c r="V308" s="1">
        <f>IF(Games[[#This Row],[MOV]]&gt;0,1,IF(Games[[#This Row],[MOV]]=0,0.5,0))</f>
        <v>1</v>
      </c>
      <c r="W308" s="4">
        <f>((ABS(Games[[#This Row],[MOV]])+5)^0.6)/(12+0.01*(ABS(Games[[#This Row],[PreGmRate]]-Games[[#This Row],[OppPreGmRate]])))*IF(Games[[#This Row],[OT]]=1,0.9,1)</f>
        <v>0.31867627640313845</v>
      </c>
      <c r="X308" s="7" cm="1">
        <f t="array" ref="X30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8" s="9">
        <f>MAX(kmin, kmax - 0.15 * MIN(Games[[#This Row],[GamesPlayed]], 82))</f>
        <v>72.55</v>
      </c>
      <c r="Z308" s="4">
        <f>Games[[#This Row],[K]]*Games[[#This Row],[POMult]]</f>
        <v>72.55</v>
      </c>
      <c r="AA308" s="4">
        <f>(Games[[#This Row],[Keff]]*Games[[#This Row],[MOVMult]])*(Games[[#This Row],[Result]]-Games[[#This Row],[ExpectedWin%]])</f>
        <v>16.241464973838664</v>
      </c>
      <c r="AB308" s="4">
        <f>Games[[#This Row],[PreGmRate]]+Games[[#This Row],[RatingChange]]</f>
        <v>1510.2075501545357</v>
      </c>
      <c r="AC308" s="2">
        <f>IF(Games[[#This Row],[Type]]="R",IF(Games[[#This Row],[Result]]&gt;0.5,1,0),0)</f>
        <v>1</v>
      </c>
      <c r="AD308" s="2">
        <f>IF(Games[[#This Row],[Type]]="R",IF(Games[[#This Row],[Result]]&lt;0.5,1,0),0)</f>
        <v>0</v>
      </c>
      <c r="AE308" s="2">
        <f>IF(AND(Games[[#This Row],[Type]]="P",Games[[#This Row],[Round]]=1),IF(Games[[#This Row],[Result]]&gt;0.5,1,0),0)</f>
        <v>0</v>
      </c>
      <c r="AF308" s="2">
        <f>IF(AND(Games[[#This Row],[Type]]="P",Games[[#This Row],[Round]]=1),IF(Games[[#This Row],[Result]]&lt;0.5,1,0),0)</f>
        <v>0</v>
      </c>
      <c r="AG308" s="2">
        <f>IF(AND(Games[[#This Row],[Type]]="P",Games[[#This Row],[Round]]=2),IF(Games[[#This Row],[Result]]&gt;0.5,1,0),0)</f>
        <v>0</v>
      </c>
      <c r="AH308" s="2">
        <f>IF(AND(Games[[#This Row],[Type]]="P",Games[[#This Row],[Round]]=2),IF(Games[[#This Row],[Result]]&lt;0.5,1,0),0)</f>
        <v>0</v>
      </c>
      <c r="AI308" s="2">
        <f>IF(AND(Games[[#This Row],[Type]]="P",Games[[#This Row],[Round]]=3),IF(Games[[#This Row],[Result]]&gt;0.5,1,0),0)</f>
        <v>0</v>
      </c>
      <c r="AJ308" s="2">
        <f>IF(AND(Games[[#This Row],[Type]]="P",Games[[#This Row],[Round]]=3),IF(Games[[#This Row],[Result]]&lt;0.5,1,0),0)</f>
        <v>0</v>
      </c>
      <c r="AK308" s="2">
        <f>IF(AND(Games[[#This Row],[Type]]="P",Games[[#This Row],[Round]]=4),IF(Games[[#This Row],[Result]]&gt;0.5,1,0),0)</f>
        <v>0</v>
      </c>
      <c r="AL308" s="2">
        <f>IF(AND(Games[[#This Row],[Type]]="P",Games[[#This Row],[Round]]=4),IF(Games[[#This Row],[Result]]&lt;0.5,1,0),0)</f>
        <v>0</v>
      </c>
    </row>
    <row r="309" spans="1:38" x14ac:dyDescent="0.35">
      <c r="A309" s="10">
        <v>37828</v>
      </c>
      <c r="B309" s="2">
        <v>2003</v>
      </c>
      <c r="C309" s="2">
        <f>COUNTIFS(Games[Team],Games[[#This Row],[Team]],Games[Season],Games[[#This Row],[Season]],Games[Date],"&lt;=" &amp; Games[[#This Row],[Date]])</f>
        <v>22</v>
      </c>
      <c r="D309" s="2" t="s">
        <v>23</v>
      </c>
      <c r="E309" s="2" t="s">
        <v>29</v>
      </c>
      <c r="F309" s="1" t="s">
        <v>80</v>
      </c>
      <c r="G309" s="1" t="s">
        <v>78</v>
      </c>
      <c r="H309" s="1" t="s">
        <v>15</v>
      </c>
      <c r="I309" s="2" cm="1">
        <f t="array" ref="I309">IFERROR(
    Games[[#This Row],[Date]]
    - LOOKUP(
        2,
        1/((Games[Team]=Games[[#This Row],[Team]]) * (Games[Date] &lt; Games[[#This Row],[Date]])),
        Games[Date]
    )
    - 1,
Games[[#This Row],[Date]]-$A$2)</f>
        <v>1</v>
      </c>
      <c r="J309" s="2" cm="1">
        <f t="array" ref="J309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09" s="2">
        <f>Games[[#This Row],[DaysOff]]-Games[[#This Row],[OppDaysOff]]</f>
        <v>1</v>
      </c>
      <c r="L309" s="2">
        <f>Games[[#This Row],[OppDaysOff]]-Games[[#This Row],[DaysOff]]</f>
        <v>-1</v>
      </c>
      <c r="M309" s="1">
        <f>MAX(-16, MIN(16, Games[[#This Row],[RestDiff]]*8))</f>
        <v>8</v>
      </c>
      <c r="N309" s="1">
        <f>MAX(-16, MIN(16, Games[[#This Row],[OppRestDiff]]*8))</f>
        <v>-8</v>
      </c>
      <c r="O309" s="4" cm="1">
        <f t="array" ref="O30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1543.2186967867003</v>
      </c>
      <c r="P309" s="4" cm="1">
        <f t="array" ref="P30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1493.9660851806971</v>
      </c>
      <c r="Q309" s="4">
        <f>1/(1+10^(((Games[[#This Row],[OppPreGmRate]]+IF(Games[[#This Row],[HomeAway]]="A",HCA,0)+Games[[#This Row],[OppRestAdj]])-(Games[[#This Row],[PreGmRate]]+IF(Games[[#This Row],[HomeAway]]="H",HCA,0)+Games[[#This Row],[RestAdj]]))/400))</f>
        <v>0.70248660755140846</v>
      </c>
      <c r="R309" s="1">
        <v>65</v>
      </c>
      <c r="S309" s="1">
        <v>70</v>
      </c>
      <c r="T309" s="1">
        <v>0</v>
      </c>
      <c r="U309" s="1">
        <f>Games[[#This Row],[PointsFor]]-Games[[#This Row],[PointsAgainst]]</f>
        <v>-5</v>
      </c>
      <c r="V309" s="1">
        <f>IF(Games[[#This Row],[MOV]]&gt;0,1,IF(Games[[#This Row],[MOV]]=0,0.5,0))</f>
        <v>0</v>
      </c>
      <c r="W309" s="4">
        <f>((ABS(Games[[#This Row],[MOV]])+5)^0.6)/(12+0.01*(ABS(Games[[#This Row],[PreGmRate]]-Games[[#This Row],[OppPreGmRate]])))*IF(Games[[#This Row],[OT]]=1,0.9,1)</f>
        <v>0.31867627640313845</v>
      </c>
      <c r="X309" s="7" cm="1">
        <f t="array" ref="X30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9" s="9">
        <f>MAX(kmin, kmax - 0.15 * MIN(Games[[#This Row],[GamesPlayed]], 82))</f>
        <v>72.7</v>
      </c>
      <c r="Z309" s="4">
        <f>Games[[#This Row],[K]]*Games[[#This Row],[POMult]]</f>
        <v>72.7</v>
      </c>
      <c r="AA309" s="4">
        <f>(Games[[#This Row],[Keff]]*Games[[#This Row],[MOVMult]])*(Games[[#This Row],[Result]]-Games[[#This Row],[ExpectedWin%]])</f>
        <v>-16.275044846286299</v>
      </c>
      <c r="AB309" s="4">
        <f>Games[[#This Row],[PreGmRate]]+Games[[#This Row],[RatingChange]]</f>
        <v>1526.9436519404139</v>
      </c>
      <c r="AC309" s="2">
        <f>IF(Games[[#This Row],[Type]]="R",IF(Games[[#This Row],[Result]]&gt;0.5,1,0),0)</f>
        <v>0</v>
      </c>
      <c r="AD309" s="2">
        <f>IF(Games[[#This Row],[Type]]="R",IF(Games[[#This Row],[Result]]&lt;0.5,1,0),0)</f>
        <v>1</v>
      </c>
      <c r="AE309" s="2">
        <f>IF(AND(Games[[#This Row],[Type]]="P",Games[[#This Row],[Round]]=1),IF(Games[[#This Row],[Result]]&gt;0.5,1,0),0)</f>
        <v>0</v>
      </c>
      <c r="AF309" s="2">
        <f>IF(AND(Games[[#This Row],[Type]]="P",Games[[#This Row],[Round]]=1),IF(Games[[#This Row],[Result]]&lt;0.5,1,0),0)</f>
        <v>0</v>
      </c>
      <c r="AG309" s="2">
        <f>IF(AND(Games[[#This Row],[Type]]="P",Games[[#This Row],[Round]]=2),IF(Games[[#This Row],[Result]]&gt;0.5,1,0),0)</f>
        <v>0</v>
      </c>
      <c r="AH309" s="2">
        <f>IF(AND(Games[[#This Row],[Type]]="P",Games[[#This Row],[Round]]=2),IF(Games[[#This Row],[Result]]&lt;0.5,1,0),0)</f>
        <v>0</v>
      </c>
      <c r="AI309" s="2">
        <f>IF(AND(Games[[#This Row],[Type]]="P",Games[[#This Row],[Round]]=3),IF(Games[[#This Row],[Result]]&gt;0.5,1,0),0)</f>
        <v>0</v>
      </c>
      <c r="AJ309" s="2">
        <f>IF(AND(Games[[#This Row],[Type]]="P",Games[[#This Row],[Round]]=3),IF(Games[[#This Row],[Result]]&lt;0.5,1,0),0)</f>
        <v>0</v>
      </c>
      <c r="AK309" s="2">
        <f>IF(AND(Games[[#This Row],[Type]]="P",Games[[#This Row],[Round]]=4),IF(Games[[#This Row],[Result]]&gt;0.5,1,0),0)</f>
        <v>0</v>
      </c>
      <c r="AL309" s="2">
        <f>IF(AND(Games[[#This Row],[Type]]="P",Games[[#This Row],[Round]]=4),IF(Games[[#This Row],[Result]]&lt;0.5,1,0),0)</f>
        <v>0</v>
      </c>
    </row>
    <row r="310" spans="1:38" x14ac:dyDescent="0.35">
      <c r="A310" s="10">
        <v>37828</v>
      </c>
      <c r="B310" s="2">
        <v>2003</v>
      </c>
      <c r="C310" s="2">
        <f>COUNTIFS(Games[Team],Games[[#This Row],[Team]],Games[Season],Games[[#This Row],[Season]],Games[Date],"&lt;=" &amp; Games[[#This Row],[Date]])</f>
        <v>23</v>
      </c>
      <c r="D310" s="2" t="s">
        <v>23</v>
      </c>
      <c r="E310" s="2" t="s">
        <v>29</v>
      </c>
      <c r="F310" s="1" t="s">
        <v>82</v>
      </c>
      <c r="G310" s="1" t="s">
        <v>45</v>
      </c>
      <c r="H310" s="1" t="s">
        <v>16</v>
      </c>
      <c r="I310" s="2" cm="1">
        <f t="array" ref="I310">IFERROR(
    Games[[#This Row],[Date]]
    - LOOKUP(
        2,
        1/((Games[Team]=Games[[#This Row],[Team]]) * (Games[Date] &lt; Games[[#This Row],[Date]])),
        Games[Date]
    )
    - 1,
Games[[#This Row],[Date]]-$A$2)</f>
        <v>0</v>
      </c>
      <c r="J310" s="2" cm="1">
        <f t="array" ref="J31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10" s="2">
        <f>Games[[#This Row],[DaysOff]]-Games[[#This Row],[OppDaysOff]]</f>
        <v>-1</v>
      </c>
      <c r="L310" s="2">
        <f>Games[[#This Row],[OppDaysOff]]-Games[[#This Row],[DaysOff]]</f>
        <v>1</v>
      </c>
      <c r="M310" s="1">
        <f>MAX(-16, MIN(16, Games[[#This Row],[RestDiff]]*8))</f>
        <v>-8</v>
      </c>
      <c r="N310" s="1">
        <f>MAX(-16, MIN(16, Games[[#This Row],[OppRestDiff]]*8))</f>
        <v>8</v>
      </c>
      <c r="O310" s="4" cm="1">
        <f t="array" ref="O31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1566.5219243463853</v>
      </c>
      <c r="P310" s="4" cm="1">
        <f t="array" ref="P31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1516.8644574139528</v>
      </c>
      <c r="Q310" s="4">
        <f>1/(1+10^(((Games[[#This Row],[OppPreGmRate]]+IF(Games[[#This Row],[HomeAway]]="A",HCA,0)+Games[[#This Row],[OppRestAdj]])-(Games[[#This Row],[PreGmRate]]+IF(Games[[#This Row],[HomeAway]]="H",HCA,0)+Games[[#This Row],[RestAdj]]))/400))</f>
        <v>0.42805407590002226</v>
      </c>
      <c r="R310" s="1">
        <v>63</v>
      </c>
      <c r="S310" s="1">
        <v>76</v>
      </c>
      <c r="T310" s="1">
        <v>0</v>
      </c>
      <c r="U310" s="1">
        <f>Games[[#This Row],[PointsFor]]-Games[[#This Row],[PointsAgainst]]</f>
        <v>-13</v>
      </c>
      <c r="V310" s="1">
        <f>IF(Games[[#This Row],[MOV]]&gt;0,1,IF(Games[[#This Row],[MOV]]=0,0.5,0))</f>
        <v>0</v>
      </c>
      <c r="W310" s="4">
        <f>((ABS(Games[[#This Row],[MOV]])+5)^0.6)/(12+0.01*(ABS(Games[[#This Row],[PreGmRate]]-Games[[#This Row],[OppPreGmRate]])))*IF(Games[[#This Row],[OT]]=1,0.9,1)</f>
        <v>0.45328621783649814</v>
      </c>
      <c r="X310" s="7" cm="1">
        <f t="array" ref="X31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0" s="9">
        <f>MAX(kmin, kmax - 0.15 * MIN(Games[[#This Row],[GamesPlayed]], 82))</f>
        <v>72.55</v>
      </c>
      <c r="Z310" s="4">
        <f>Games[[#This Row],[K]]*Games[[#This Row],[POMult]]</f>
        <v>72.55</v>
      </c>
      <c r="AA310" s="4">
        <f>(Games[[#This Row],[Keff]]*Games[[#This Row],[MOVMult]])*(Games[[#This Row],[Result]]-Games[[#This Row],[ExpectedWin%]])</f>
        <v>-14.076949999985546</v>
      </c>
      <c r="AB310" s="4">
        <f>Games[[#This Row],[PreGmRate]]+Games[[#This Row],[RatingChange]]</f>
        <v>1552.4449743463997</v>
      </c>
      <c r="AC310" s="2">
        <f>IF(Games[[#This Row],[Type]]="R",IF(Games[[#This Row],[Result]]&gt;0.5,1,0),0)</f>
        <v>0</v>
      </c>
      <c r="AD310" s="2">
        <f>IF(Games[[#This Row],[Type]]="R",IF(Games[[#This Row],[Result]]&lt;0.5,1,0),0)</f>
        <v>1</v>
      </c>
      <c r="AE310" s="2">
        <f>IF(AND(Games[[#This Row],[Type]]="P",Games[[#This Row],[Round]]=1),IF(Games[[#This Row],[Result]]&gt;0.5,1,0),0)</f>
        <v>0</v>
      </c>
      <c r="AF310" s="2">
        <f>IF(AND(Games[[#This Row],[Type]]="P",Games[[#This Row],[Round]]=1),IF(Games[[#This Row],[Result]]&lt;0.5,1,0),0)</f>
        <v>0</v>
      </c>
      <c r="AG310" s="2">
        <f>IF(AND(Games[[#This Row],[Type]]="P",Games[[#This Row],[Round]]=2),IF(Games[[#This Row],[Result]]&gt;0.5,1,0),0)</f>
        <v>0</v>
      </c>
      <c r="AH310" s="2">
        <f>IF(AND(Games[[#This Row],[Type]]="P",Games[[#This Row],[Round]]=2),IF(Games[[#This Row],[Result]]&lt;0.5,1,0),0)</f>
        <v>0</v>
      </c>
      <c r="AI310" s="2">
        <f>IF(AND(Games[[#This Row],[Type]]="P",Games[[#This Row],[Round]]=3),IF(Games[[#This Row],[Result]]&gt;0.5,1,0),0)</f>
        <v>0</v>
      </c>
      <c r="AJ310" s="2">
        <f>IF(AND(Games[[#This Row],[Type]]="P",Games[[#This Row],[Round]]=3),IF(Games[[#This Row],[Result]]&lt;0.5,1,0),0)</f>
        <v>0</v>
      </c>
      <c r="AK310" s="2">
        <f>IF(AND(Games[[#This Row],[Type]]="P",Games[[#This Row],[Round]]=4),IF(Games[[#This Row],[Result]]&gt;0.5,1,0),0)</f>
        <v>0</v>
      </c>
      <c r="AL310" s="2">
        <f>IF(AND(Games[[#This Row],[Type]]="P",Games[[#This Row],[Round]]=4),IF(Games[[#This Row],[Result]]&lt;0.5,1,0),0)</f>
        <v>0</v>
      </c>
    </row>
    <row r="311" spans="1:38" x14ac:dyDescent="0.35">
      <c r="A311" s="10">
        <v>37828</v>
      </c>
      <c r="B311" s="2">
        <v>2003</v>
      </c>
      <c r="C311" s="2">
        <f>COUNTIFS(Games[Team],Games[[#This Row],[Team]],Games[Season],Games[[#This Row],[Season]],Games[Date],"&lt;=" &amp; Games[[#This Row],[Date]])</f>
        <v>24</v>
      </c>
      <c r="D311" s="2" t="s">
        <v>23</v>
      </c>
      <c r="E311" s="2" t="s">
        <v>29</v>
      </c>
      <c r="F311" s="1" t="s">
        <v>45</v>
      </c>
      <c r="G311" s="1" t="s">
        <v>82</v>
      </c>
      <c r="H311" s="1" t="s">
        <v>15</v>
      </c>
      <c r="I311" s="2" cm="1">
        <f t="array" ref="I311">IFERROR(
    Games[[#This Row],[Date]]
    - LOOKUP(
        2,
        1/((Games[Team]=Games[[#This Row],[Team]]) * (Games[Date] &lt; Games[[#This Row],[Date]])),
        Games[Date]
    )
    - 1,
Games[[#This Row],[Date]]-$A$2)</f>
        <v>1</v>
      </c>
      <c r="J311" s="2" cm="1">
        <f t="array" ref="J311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11" s="2">
        <f>Games[[#This Row],[DaysOff]]-Games[[#This Row],[OppDaysOff]]</f>
        <v>1</v>
      </c>
      <c r="L311" s="2">
        <f>Games[[#This Row],[OppDaysOff]]-Games[[#This Row],[DaysOff]]</f>
        <v>-1</v>
      </c>
      <c r="M311" s="1">
        <f>MAX(-16, MIN(16, Games[[#This Row],[RestDiff]]*8))</f>
        <v>8</v>
      </c>
      <c r="N311" s="1">
        <f>MAX(-16, MIN(16, Games[[#This Row],[OppRestDiff]]*8))</f>
        <v>-8</v>
      </c>
      <c r="O311" s="4" cm="1">
        <f t="array" ref="O31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1516.8644574139528</v>
      </c>
      <c r="P311" s="4" cm="1">
        <f t="array" ref="P31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1566.5219243463853</v>
      </c>
      <c r="Q311" s="4">
        <f>1/(1+10^(((Games[[#This Row],[OppPreGmRate]]+IF(Games[[#This Row],[HomeAway]]="A",HCA,0)+Games[[#This Row],[OppRestAdj]])-(Games[[#This Row],[PreGmRate]]+IF(Games[[#This Row],[HomeAway]]="H",HCA,0)+Games[[#This Row],[RestAdj]]))/400))</f>
        <v>0.57194592409997769</v>
      </c>
      <c r="R311" s="1">
        <v>76</v>
      </c>
      <c r="S311" s="1">
        <v>63</v>
      </c>
      <c r="T311" s="1">
        <v>0</v>
      </c>
      <c r="U311" s="1">
        <f>Games[[#This Row],[PointsFor]]-Games[[#This Row],[PointsAgainst]]</f>
        <v>13</v>
      </c>
      <c r="V311" s="1">
        <f>IF(Games[[#This Row],[MOV]]&gt;0,1,IF(Games[[#This Row],[MOV]]=0,0.5,0))</f>
        <v>1</v>
      </c>
      <c r="W311" s="4">
        <f>((ABS(Games[[#This Row],[MOV]])+5)^0.6)/(12+0.01*(ABS(Games[[#This Row],[PreGmRate]]-Games[[#This Row],[OppPreGmRate]])))*IF(Games[[#This Row],[OT]]=1,0.9,1)</f>
        <v>0.45328621783649814</v>
      </c>
      <c r="X311" s="7" cm="1">
        <f t="array" ref="X31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1" s="9">
        <f>MAX(kmin, kmax - 0.15 * MIN(Games[[#This Row],[GamesPlayed]], 82))</f>
        <v>72.400000000000006</v>
      </c>
      <c r="Z311" s="4">
        <f>Games[[#This Row],[K]]*Games[[#This Row],[POMult]]</f>
        <v>72.400000000000006</v>
      </c>
      <c r="AA311" s="4">
        <f>(Games[[#This Row],[Keff]]*Games[[#This Row],[MOVMult]])*(Games[[#This Row],[Result]]-Games[[#This Row],[ExpectedWin%]])</f>
        <v>14.047845348021415</v>
      </c>
      <c r="AB311" s="4">
        <f>Games[[#This Row],[PreGmRate]]+Games[[#This Row],[RatingChange]]</f>
        <v>1530.9123027619742</v>
      </c>
      <c r="AC311" s="2">
        <f>IF(Games[[#This Row],[Type]]="R",IF(Games[[#This Row],[Result]]&gt;0.5,1,0),0)</f>
        <v>1</v>
      </c>
      <c r="AD311" s="2">
        <f>IF(Games[[#This Row],[Type]]="R",IF(Games[[#This Row],[Result]]&lt;0.5,1,0),0)</f>
        <v>0</v>
      </c>
      <c r="AE311" s="2">
        <f>IF(AND(Games[[#This Row],[Type]]="P",Games[[#This Row],[Round]]=1),IF(Games[[#This Row],[Result]]&gt;0.5,1,0),0)</f>
        <v>0</v>
      </c>
      <c r="AF311" s="2">
        <f>IF(AND(Games[[#This Row],[Type]]="P",Games[[#This Row],[Round]]=1),IF(Games[[#This Row],[Result]]&lt;0.5,1,0),0)</f>
        <v>0</v>
      </c>
      <c r="AG311" s="2">
        <f>IF(AND(Games[[#This Row],[Type]]="P",Games[[#This Row],[Round]]=2),IF(Games[[#This Row],[Result]]&gt;0.5,1,0),0)</f>
        <v>0</v>
      </c>
      <c r="AH311" s="2">
        <f>IF(AND(Games[[#This Row],[Type]]="P",Games[[#This Row],[Round]]=2),IF(Games[[#This Row],[Result]]&lt;0.5,1,0),0)</f>
        <v>0</v>
      </c>
      <c r="AI311" s="2">
        <f>IF(AND(Games[[#This Row],[Type]]="P",Games[[#This Row],[Round]]=3),IF(Games[[#This Row],[Result]]&gt;0.5,1,0),0)</f>
        <v>0</v>
      </c>
      <c r="AJ311" s="2">
        <f>IF(AND(Games[[#This Row],[Type]]="P",Games[[#This Row],[Round]]=3),IF(Games[[#This Row],[Result]]&lt;0.5,1,0),0)</f>
        <v>0</v>
      </c>
      <c r="AK311" s="2">
        <f>IF(AND(Games[[#This Row],[Type]]="P",Games[[#This Row],[Round]]=4),IF(Games[[#This Row],[Result]]&gt;0.5,1,0),0)</f>
        <v>0</v>
      </c>
      <c r="AL311" s="2">
        <f>IF(AND(Games[[#This Row],[Type]]="P",Games[[#This Row],[Round]]=4),IF(Games[[#This Row],[Result]]&lt;0.5,1,0),0)</f>
        <v>0</v>
      </c>
    </row>
    <row r="312" spans="1:38" x14ac:dyDescent="0.35">
      <c r="A312" s="10">
        <v>37829</v>
      </c>
      <c r="B312" s="2">
        <v>2003</v>
      </c>
      <c r="C312" s="2">
        <f>COUNTIFS(Games[Team],Games[[#This Row],[Team]],Games[Season],Games[[#This Row],[Season]],Games[Date],"&lt;=" &amp; Games[[#This Row],[Date]])</f>
        <v>23</v>
      </c>
      <c r="D312" s="2" t="s">
        <v>23</v>
      </c>
      <c r="E312" s="2" t="s">
        <v>29</v>
      </c>
      <c r="F312" s="1" t="s">
        <v>74</v>
      </c>
      <c r="G312" s="1" t="s">
        <v>76</v>
      </c>
      <c r="H312" s="1" t="s">
        <v>16</v>
      </c>
      <c r="I312" s="2" cm="1">
        <f t="array" ref="I312">IFERROR(
    Games[[#This Row],[Date]]
    - LOOKUP(
        2,
        1/((Games[Team]=Games[[#This Row],[Team]]) * (Games[Date] &lt; Games[[#This Row],[Date]])),
        Games[Date]
    )
    - 1,
Games[[#This Row],[Date]]-$A$2)</f>
        <v>0</v>
      </c>
      <c r="J312" s="2" cm="1">
        <f t="array" ref="J31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12" s="2">
        <f>Games[[#This Row],[DaysOff]]-Games[[#This Row],[OppDaysOff]]</f>
        <v>-2</v>
      </c>
      <c r="L312" s="2">
        <f>Games[[#This Row],[OppDaysOff]]-Games[[#This Row],[DaysOff]]</f>
        <v>2</v>
      </c>
      <c r="M312" s="1">
        <f>MAX(-16, MIN(16, Games[[#This Row],[RestDiff]]*8))</f>
        <v>-16</v>
      </c>
      <c r="N312" s="1">
        <f>MAX(-16, MIN(16, Games[[#This Row],[OppRestDiff]]*8))</f>
        <v>16</v>
      </c>
      <c r="O312" s="4" cm="1">
        <f t="array" ref="O31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1383.9298913128962</v>
      </c>
      <c r="P312" s="4" cm="1">
        <f t="array" ref="P31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1555.9610751026332</v>
      </c>
      <c r="Q312" s="4">
        <f>1/(1+10^(((Games[[#This Row],[OppPreGmRate]]+IF(Games[[#This Row],[HomeAway]]="A",HCA,0)+Games[[#This Row],[OppRestAdj]])-(Games[[#This Row],[PreGmRate]]+IF(Games[[#This Row],[HomeAway]]="H",HCA,0)+Games[[#This Row],[RestAdj]]))/400))</f>
        <v>0.16002517490111715</v>
      </c>
      <c r="R312" s="1">
        <v>71</v>
      </c>
      <c r="S312" s="1">
        <v>81</v>
      </c>
      <c r="T312" s="1">
        <v>0</v>
      </c>
      <c r="U312" s="1">
        <f>Games[[#This Row],[PointsFor]]-Games[[#This Row],[PointsAgainst]]</f>
        <v>-10</v>
      </c>
      <c r="V312" s="1">
        <f>IF(Games[[#This Row],[MOV]]&gt;0,1,IF(Games[[#This Row],[MOV]]=0,0.5,0))</f>
        <v>0</v>
      </c>
      <c r="W312" s="4">
        <f>((ABS(Games[[#This Row],[MOV]])+5)^0.6)/(12+0.01*(ABS(Games[[#This Row],[PreGmRate]]-Games[[#This Row],[OppPreGmRate]])))*IF(Games[[#This Row],[OT]]=1,0.9,1)</f>
        <v>0.37007587378316759</v>
      </c>
      <c r="X312" s="7" cm="1">
        <f t="array" ref="X31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2" s="9">
        <f>MAX(kmin, kmax - 0.15 * MIN(Games[[#This Row],[GamesPlayed]], 82))</f>
        <v>72.55</v>
      </c>
      <c r="Z312" s="4">
        <f>Games[[#This Row],[K]]*Games[[#This Row],[POMult]]</f>
        <v>72.55</v>
      </c>
      <c r="AA312" s="4">
        <f>(Games[[#This Row],[Keff]]*Games[[#This Row],[MOVMult]])*(Games[[#This Row],[Result]]-Games[[#This Row],[ExpectedWin%]])</f>
        <v>-4.2965166639119898</v>
      </c>
      <c r="AB312" s="4">
        <f>Games[[#This Row],[PreGmRate]]+Games[[#This Row],[RatingChange]]</f>
        <v>1379.6333746489843</v>
      </c>
      <c r="AC312" s="2">
        <f>IF(Games[[#This Row],[Type]]="R",IF(Games[[#This Row],[Result]]&gt;0.5,1,0),0)</f>
        <v>0</v>
      </c>
      <c r="AD312" s="2">
        <f>IF(Games[[#This Row],[Type]]="R",IF(Games[[#This Row],[Result]]&lt;0.5,1,0),0)</f>
        <v>1</v>
      </c>
      <c r="AE312" s="2">
        <f>IF(AND(Games[[#This Row],[Type]]="P",Games[[#This Row],[Round]]=1),IF(Games[[#This Row],[Result]]&gt;0.5,1,0),0)</f>
        <v>0</v>
      </c>
      <c r="AF312" s="2">
        <f>IF(AND(Games[[#This Row],[Type]]="P",Games[[#This Row],[Round]]=1),IF(Games[[#This Row],[Result]]&lt;0.5,1,0),0)</f>
        <v>0</v>
      </c>
      <c r="AG312" s="2">
        <f>IF(AND(Games[[#This Row],[Type]]="P",Games[[#This Row],[Round]]=2),IF(Games[[#This Row],[Result]]&gt;0.5,1,0),0)</f>
        <v>0</v>
      </c>
      <c r="AH312" s="2">
        <f>IF(AND(Games[[#This Row],[Type]]="P",Games[[#This Row],[Round]]=2),IF(Games[[#This Row],[Result]]&lt;0.5,1,0),0)</f>
        <v>0</v>
      </c>
      <c r="AI312" s="2">
        <f>IF(AND(Games[[#This Row],[Type]]="P",Games[[#This Row],[Round]]=3),IF(Games[[#This Row],[Result]]&gt;0.5,1,0),0)</f>
        <v>0</v>
      </c>
      <c r="AJ312" s="2">
        <f>IF(AND(Games[[#This Row],[Type]]="P",Games[[#This Row],[Round]]=3),IF(Games[[#This Row],[Result]]&lt;0.5,1,0),0)</f>
        <v>0</v>
      </c>
      <c r="AK312" s="2">
        <f>IF(AND(Games[[#This Row],[Type]]="P",Games[[#This Row],[Round]]=4),IF(Games[[#This Row],[Result]]&gt;0.5,1,0),0)</f>
        <v>0</v>
      </c>
      <c r="AL312" s="2">
        <f>IF(AND(Games[[#This Row],[Type]]="P",Games[[#This Row],[Round]]=4),IF(Games[[#This Row],[Result]]&lt;0.5,1,0),0)</f>
        <v>0</v>
      </c>
    </row>
    <row r="313" spans="1:38" x14ac:dyDescent="0.35">
      <c r="A313" s="10">
        <v>37829</v>
      </c>
      <c r="B313" s="2">
        <v>2003</v>
      </c>
      <c r="C313" s="2">
        <f>COUNTIFS(Games[Team],Games[[#This Row],[Team]],Games[Season],Games[[#This Row],[Season]],Games[Date],"&lt;=" &amp; Games[[#This Row],[Date]])</f>
        <v>21</v>
      </c>
      <c r="D313" s="2" t="s">
        <v>23</v>
      </c>
      <c r="E313" s="2" t="s">
        <v>29</v>
      </c>
      <c r="F313" s="1" t="s">
        <v>76</v>
      </c>
      <c r="G313" s="1" t="s">
        <v>74</v>
      </c>
      <c r="H313" s="1" t="s">
        <v>15</v>
      </c>
      <c r="I313" s="2" cm="1">
        <f t="array" ref="I313">IFERROR(
    Games[[#This Row],[Date]]
    - LOOKUP(
        2,
        1/((Games[Team]=Games[[#This Row],[Team]]) * (Games[Date] &lt; Games[[#This Row],[Date]])),
        Games[Date]
    )
    - 1,
Games[[#This Row],[Date]]-$A$2)</f>
        <v>2</v>
      </c>
      <c r="J313" s="2" cm="1">
        <f t="array" ref="J313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13" s="2">
        <f>Games[[#This Row],[DaysOff]]-Games[[#This Row],[OppDaysOff]]</f>
        <v>2</v>
      </c>
      <c r="L313" s="2">
        <f>Games[[#This Row],[OppDaysOff]]-Games[[#This Row],[DaysOff]]</f>
        <v>-2</v>
      </c>
      <c r="M313" s="1">
        <f>MAX(-16, MIN(16, Games[[#This Row],[RestDiff]]*8))</f>
        <v>16</v>
      </c>
      <c r="N313" s="1">
        <f>MAX(-16, MIN(16, Games[[#This Row],[OppRestDiff]]*8))</f>
        <v>-16</v>
      </c>
      <c r="O313" s="4" cm="1">
        <f t="array" ref="O31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1555.9610751026332</v>
      </c>
      <c r="P313" s="4" cm="1">
        <f t="array" ref="P31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1383.9298913128962</v>
      </c>
      <c r="Q313" s="4">
        <f>1/(1+10^(((Games[[#This Row],[OppPreGmRate]]+IF(Games[[#This Row],[HomeAway]]="A",HCA,0)+Games[[#This Row],[OppRestAdj]])-(Games[[#This Row],[PreGmRate]]+IF(Games[[#This Row],[HomeAway]]="H",HCA,0)+Games[[#This Row],[RestAdj]]))/400))</f>
        <v>0.83997482509888288</v>
      </c>
      <c r="R313" s="1">
        <v>81</v>
      </c>
      <c r="S313" s="1">
        <v>71</v>
      </c>
      <c r="T313" s="1">
        <v>0</v>
      </c>
      <c r="U313" s="1">
        <f>Games[[#This Row],[PointsFor]]-Games[[#This Row],[PointsAgainst]]</f>
        <v>10</v>
      </c>
      <c r="V313" s="1">
        <f>IF(Games[[#This Row],[MOV]]&gt;0,1,IF(Games[[#This Row],[MOV]]=0,0.5,0))</f>
        <v>1</v>
      </c>
      <c r="W313" s="4">
        <f>((ABS(Games[[#This Row],[MOV]])+5)^0.6)/(12+0.01*(ABS(Games[[#This Row],[PreGmRate]]-Games[[#This Row],[OppPreGmRate]])))*IF(Games[[#This Row],[OT]]=1,0.9,1)</f>
        <v>0.37007587378316759</v>
      </c>
      <c r="X313" s="7" cm="1">
        <f t="array" ref="X31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3" s="9">
        <f>MAX(kmin, kmax - 0.15 * MIN(Games[[#This Row],[GamesPlayed]], 82))</f>
        <v>72.849999999999994</v>
      </c>
      <c r="Z313" s="4">
        <f>Games[[#This Row],[K]]*Games[[#This Row],[POMult]]</f>
        <v>72.849999999999994</v>
      </c>
      <c r="AA313" s="4">
        <f>(Games[[#This Row],[Keff]]*Games[[#This Row],[MOVMult]])*(Games[[#This Row],[Result]]-Games[[#This Row],[ExpectedWin%]])</f>
        <v>4.3142831008406395</v>
      </c>
      <c r="AB313" s="4">
        <f>Games[[#This Row],[PreGmRate]]+Games[[#This Row],[RatingChange]]</f>
        <v>1560.2753582034738</v>
      </c>
      <c r="AC313" s="2">
        <f>IF(Games[[#This Row],[Type]]="R",IF(Games[[#This Row],[Result]]&gt;0.5,1,0),0)</f>
        <v>1</v>
      </c>
      <c r="AD313" s="2">
        <f>IF(Games[[#This Row],[Type]]="R",IF(Games[[#This Row],[Result]]&lt;0.5,1,0),0)</f>
        <v>0</v>
      </c>
      <c r="AE313" s="2">
        <f>IF(AND(Games[[#This Row],[Type]]="P",Games[[#This Row],[Round]]=1),IF(Games[[#This Row],[Result]]&gt;0.5,1,0),0)</f>
        <v>0</v>
      </c>
      <c r="AF313" s="2">
        <f>IF(AND(Games[[#This Row],[Type]]="P",Games[[#This Row],[Round]]=1),IF(Games[[#This Row],[Result]]&lt;0.5,1,0),0)</f>
        <v>0</v>
      </c>
      <c r="AG313" s="2">
        <f>IF(AND(Games[[#This Row],[Type]]="P",Games[[#This Row],[Round]]=2),IF(Games[[#This Row],[Result]]&gt;0.5,1,0),0)</f>
        <v>0</v>
      </c>
      <c r="AH313" s="2">
        <f>IF(AND(Games[[#This Row],[Type]]="P",Games[[#This Row],[Round]]=2),IF(Games[[#This Row],[Result]]&lt;0.5,1,0),0)</f>
        <v>0</v>
      </c>
      <c r="AI313" s="2">
        <f>IF(AND(Games[[#This Row],[Type]]="P",Games[[#This Row],[Round]]=3),IF(Games[[#This Row],[Result]]&gt;0.5,1,0),0)</f>
        <v>0</v>
      </c>
      <c r="AJ313" s="2">
        <f>IF(AND(Games[[#This Row],[Type]]="P",Games[[#This Row],[Round]]=3),IF(Games[[#This Row],[Result]]&lt;0.5,1,0),0)</f>
        <v>0</v>
      </c>
      <c r="AK313" s="2">
        <f>IF(AND(Games[[#This Row],[Type]]="P",Games[[#This Row],[Round]]=4),IF(Games[[#This Row],[Result]]&gt;0.5,1,0),0)</f>
        <v>0</v>
      </c>
      <c r="AL313" s="2">
        <f>IF(AND(Games[[#This Row],[Type]]="P",Games[[#This Row],[Round]]=4),IF(Games[[#This Row],[Result]]&lt;0.5,1,0),0)</f>
        <v>0</v>
      </c>
    </row>
    <row r="314" spans="1:38" x14ac:dyDescent="0.35">
      <c r="A314" s="10">
        <v>37829</v>
      </c>
      <c r="B314" s="2">
        <v>2003</v>
      </c>
      <c r="C314" s="2">
        <f>COUNTIFS(Games[Team],Games[[#This Row],[Team]],Games[Season],Games[[#This Row],[Season]],Games[Date],"&lt;=" &amp; Games[[#This Row],[Date]])</f>
        <v>23</v>
      </c>
      <c r="D314" s="2" t="s">
        <v>23</v>
      </c>
      <c r="E314" s="2" t="s">
        <v>29</v>
      </c>
      <c r="F314" s="1" t="s">
        <v>1</v>
      </c>
      <c r="G314" s="1" t="s">
        <v>85</v>
      </c>
      <c r="H314" s="1" t="s">
        <v>16</v>
      </c>
      <c r="I314" s="2" cm="1">
        <f t="array" ref="I314">IFERROR(
    Games[[#This Row],[Date]]
    - LOOKUP(
        2,
        1/((Games[Team]=Games[[#This Row],[Team]]) * (Games[Date] &lt; Games[[#This Row],[Date]])),
        Games[Date]
    )
    - 1,
Games[[#This Row],[Date]]-$A$2)</f>
        <v>0</v>
      </c>
      <c r="J314" s="2" cm="1">
        <f t="array" ref="J31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14" s="2">
        <f>Games[[#This Row],[DaysOff]]-Games[[#This Row],[OppDaysOff]]</f>
        <v>-1</v>
      </c>
      <c r="L314" s="2">
        <f>Games[[#This Row],[OppDaysOff]]-Games[[#This Row],[DaysOff]]</f>
        <v>1</v>
      </c>
      <c r="M314" s="1">
        <f>MAX(-16, MIN(16, Games[[#This Row],[RestDiff]]*8))</f>
        <v>-8</v>
      </c>
      <c r="N314" s="1">
        <f>MAX(-16, MIN(16, Games[[#This Row],[OppRestDiff]]*8))</f>
        <v>8</v>
      </c>
      <c r="O314" s="4" cm="1">
        <f t="array" ref="O31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1488.7473383118743</v>
      </c>
      <c r="P314" s="4" cm="1">
        <f t="array" ref="P31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1377.0901466698729</v>
      </c>
      <c r="Q314" s="4">
        <f>1/(1+10^(((Games[[#This Row],[OppPreGmRate]]+IF(Games[[#This Row],[HomeAway]]="A",HCA,0)+Games[[#This Row],[OppRestAdj]])-(Games[[#This Row],[PreGmRate]]+IF(Games[[#This Row],[HomeAway]]="H",HCA,0)+Games[[#This Row],[RestAdj]]))/400))</f>
        <v>0.5167697549736513</v>
      </c>
      <c r="R314" s="1">
        <v>55</v>
      </c>
      <c r="S314" s="1">
        <v>64</v>
      </c>
      <c r="T314" s="1">
        <v>0</v>
      </c>
      <c r="U314" s="1">
        <f>Games[[#This Row],[PointsFor]]-Games[[#This Row],[PointsAgainst]]</f>
        <v>-9</v>
      </c>
      <c r="V314" s="1">
        <f>IF(Games[[#This Row],[MOV]]&gt;0,1,IF(Games[[#This Row],[MOV]]=0,0.5,0))</f>
        <v>0</v>
      </c>
      <c r="W314" s="4">
        <f>((ABS(Games[[#This Row],[MOV]])+5)^0.6)/(12+0.01*(ABS(Games[[#This Row],[PreGmRate]]-Games[[#This Row],[OppPreGmRate]])))*IF(Games[[#This Row],[OT]]=1,0.9,1)</f>
        <v>0.37141246636770359</v>
      </c>
      <c r="X314" s="7" cm="1">
        <f t="array" ref="X31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4" s="9">
        <f>MAX(kmin, kmax - 0.15 * MIN(Games[[#This Row],[GamesPlayed]], 82))</f>
        <v>72.55</v>
      </c>
      <c r="Z314" s="4">
        <f>Games[[#This Row],[K]]*Games[[#This Row],[POMult]]</f>
        <v>72.55</v>
      </c>
      <c r="AA314" s="4">
        <f>(Games[[#This Row],[Keff]]*Games[[#This Row],[MOVMult]])*(Games[[#This Row],[Result]]-Games[[#This Row],[ExpectedWin%]])</f>
        <v>-13.924864606289281</v>
      </c>
      <c r="AB314" s="4">
        <f>Games[[#This Row],[PreGmRate]]+Games[[#This Row],[RatingChange]]</f>
        <v>1474.822473705585</v>
      </c>
      <c r="AC314" s="2">
        <f>IF(Games[[#This Row],[Type]]="R",IF(Games[[#This Row],[Result]]&gt;0.5,1,0),0)</f>
        <v>0</v>
      </c>
      <c r="AD314" s="2">
        <f>IF(Games[[#This Row],[Type]]="R",IF(Games[[#This Row],[Result]]&lt;0.5,1,0),0)</f>
        <v>1</v>
      </c>
      <c r="AE314" s="2">
        <f>IF(AND(Games[[#This Row],[Type]]="P",Games[[#This Row],[Round]]=1),IF(Games[[#This Row],[Result]]&gt;0.5,1,0),0)</f>
        <v>0</v>
      </c>
      <c r="AF314" s="2">
        <f>IF(AND(Games[[#This Row],[Type]]="P",Games[[#This Row],[Round]]=1),IF(Games[[#This Row],[Result]]&lt;0.5,1,0),0)</f>
        <v>0</v>
      </c>
      <c r="AG314" s="2">
        <f>IF(AND(Games[[#This Row],[Type]]="P",Games[[#This Row],[Round]]=2),IF(Games[[#This Row],[Result]]&gt;0.5,1,0),0)</f>
        <v>0</v>
      </c>
      <c r="AH314" s="2">
        <f>IF(AND(Games[[#This Row],[Type]]="P",Games[[#This Row],[Round]]=2),IF(Games[[#This Row],[Result]]&lt;0.5,1,0),0)</f>
        <v>0</v>
      </c>
      <c r="AI314" s="2">
        <f>IF(AND(Games[[#This Row],[Type]]="P",Games[[#This Row],[Round]]=3),IF(Games[[#This Row],[Result]]&gt;0.5,1,0),0)</f>
        <v>0</v>
      </c>
      <c r="AJ314" s="2">
        <f>IF(AND(Games[[#This Row],[Type]]="P",Games[[#This Row],[Round]]=3),IF(Games[[#This Row],[Result]]&lt;0.5,1,0),0)</f>
        <v>0</v>
      </c>
      <c r="AK314" s="2">
        <f>IF(AND(Games[[#This Row],[Type]]="P",Games[[#This Row],[Round]]=4),IF(Games[[#This Row],[Result]]&gt;0.5,1,0),0)</f>
        <v>0</v>
      </c>
      <c r="AL314" s="2">
        <f>IF(AND(Games[[#This Row],[Type]]="P",Games[[#This Row],[Round]]=4),IF(Games[[#This Row],[Result]]&lt;0.5,1,0),0)</f>
        <v>0</v>
      </c>
    </row>
    <row r="315" spans="1:38" x14ac:dyDescent="0.35">
      <c r="A315" s="10">
        <v>37829</v>
      </c>
      <c r="B315" s="2">
        <v>2003</v>
      </c>
      <c r="C315" s="2">
        <f>COUNTIFS(Games[Team],Games[[#This Row],[Team]],Games[Season],Games[[#This Row],[Season]],Games[Date],"&lt;=" &amp; Games[[#This Row],[Date]])</f>
        <v>23</v>
      </c>
      <c r="D315" s="2" t="s">
        <v>23</v>
      </c>
      <c r="E315" s="2" t="s">
        <v>29</v>
      </c>
      <c r="F315" s="1" t="s">
        <v>85</v>
      </c>
      <c r="G315" s="1" t="s">
        <v>1</v>
      </c>
      <c r="H315" s="1" t="s">
        <v>15</v>
      </c>
      <c r="I315" s="2" cm="1">
        <f t="array" ref="I315">IFERROR(
    Games[[#This Row],[Date]]
    - LOOKUP(
        2,
        1/((Games[Team]=Games[[#This Row],[Team]]) * (Games[Date] &lt; Games[[#This Row],[Date]])),
        Games[Date]
    )
    - 1,
Games[[#This Row],[Date]]-$A$2)</f>
        <v>1</v>
      </c>
      <c r="J315" s="2" cm="1">
        <f t="array" ref="J315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15" s="2">
        <f>Games[[#This Row],[DaysOff]]-Games[[#This Row],[OppDaysOff]]</f>
        <v>1</v>
      </c>
      <c r="L315" s="2">
        <f>Games[[#This Row],[OppDaysOff]]-Games[[#This Row],[DaysOff]]</f>
        <v>-1</v>
      </c>
      <c r="M315" s="1">
        <f>MAX(-16, MIN(16, Games[[#This Row],[RestDiff]]*8))</f>
        <v>8</v>
      </c>
      <c r="N315" s="1">
        <f>MAX(-16, MIN(16, Games[[#This Row],[OppRestDiff]]*8))</f>
        <v>-8</v>
      </c>
      <c r="O315" s="4" cm="1">
        <f t="array" ref="O31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1377.0901466698729</v>
      </c>
      <c r="P315" s="4" cm="1">
        <f t="array" ref="P31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1488.7473383118743</v>
      </c>
      <c r="Q315" s="4">
        <f>1/(1+10^(((Games[[#This Row],[OppPreGmRate]]+IF(Games[[#This Row],[HomeAway]]="A",HCA,0)+Games[[#This Row],[OppRestAdj]])-(Games[[#This Row],[PreGmRate]]+IF(Games[[#This Row],[HomeAway]]="H",HCA,0)+Games[[#This Row],[RestAdj]]))/400))</f>
        <v>0.48323024502634876</v>
      </c>
      <c r="R315" s="1">
        <v>64</v>
      </c>
      <c r="S315" s="1">
        <v>55</v>
      </c>
      <c r="T315" s="1">
        <v>0</v>
      </c>
      <c r="U315" s="1">
        <f>Games[[#This Row],[PointsFor]]-Games[[#This Row],[PointsAgainst]]</f>
        <v>9</v>
      </c>
      <c r="V315" s="1">
        <f>IF(Games[[#This Row],[MOV]]&gt;0,1,IF(Games[[#This Row],[MOV]]=0,0.5,0))</f>
        <v>1</v>
      </c>
      <c r="W315" s="4">
        <f>((ABS(Games[[#This Row],[MOV]])+5)^0.6)/(12+0.01*(ABS(Games[[#This Row],[PreGmRate]]-Games[[#This Row],[OppPreGmRate]])))*IF(Games[[#This Row],[OT]]=1,0.9,1)</f>
        <v>0.37141246636770359</v>
      </c>
      <c r="X315" s="7" cm="1">
        <f t="array" ref="X31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5" s="9">
        <f>MAX(kmin, kmax - 0.15 * MIN(Games[[#This Row],[GamesPlayed]], 82))</f>
        <v>72.55</v>
      </c>
      <c r="Z315" s="4">
        <f>Games[[#This Row],[K]]*Games[[#This Row],[POMult]]</f>
        <v>72.55</v>
      </c>
      <c r="AA315" s="4">
        <f>(Games[[#This Row],[Keff]]*Games[[#This Row],[MOVMult]])*(Games[[#This Row],[Result]]-Games[[#This Row],[ExpectedWin%]])</f>
        <v>13.924864606289278</v>
      </c>
      <c r="AB315" s="4">
        <f>Games[[#This Row],[PreGmRate]]+Games[[#This Row],[RatingChange]]</f>
        <v>1391.0150112761621</v>
      </c>
      <c r="AC315" s="2">
        <f>IF(Games[[#This Row],[Type]]="R",IF(Games[[#This Row],[Result]]&gt;0.5,1,0),0)</f>
        <v>1</v>
      </c>
      <c r="AD315" s="2">
        <f>IF(Games[[#This Row],[Type]]="R",IF(Games[[#This Row],[Result]]&lt;0.5,1,0),0)</f>
        <v>0</v>
      </c>
      <c r="AE315" s="2">
        <f>IF(AND(Games[[#This Row],[Type]]="P",Games[[#This Row],[Round]]=1),IF(Games[[#This Row],[Result]]&gt;0.5,1,0),0)</f>
        <v>0</v>
      </c>
      <c r="AF315" s="2">
        <f>IF(AND(Games[[#This Row],[Type]]="P",Games[[#This Row],[Round]]=1),IF(Games[[#This Row],[Result]]&lt;0.5,1,0),0)</f>
        <v>0</v>
      </c>
      <c r="AG315" s="2">
        <f>IF(AND(Games[[#This Row],[Type]]="P",Games[[#This Row],[Round]]=2),IF(Games[[#This Row],[Result]]&gt;0.5,1,0),0)</f>
        <v>0</v>
      </c>
      <c r="AH315" s="2">
        <f>IF(AND(Games[[#This Row],[Type]]="P",Games[[#This Row],[Round]]=2),IF(Games[[#This Row],[Result]]&lt;0.5,1,0),0)</f>
        <v>0</v>
      </c>
      <c r="AI315" s="2">
        <f>IF(AND(Games[[#This Row],[Type]]="P",Games[[#This Row],[Round]]=3),IF(Games[[#This Row],[Result]]&gt;0.5,1,0),0)</f>
        <v>0</v>
      </c>
      <c r="AJ315" s="2">
        <f>IF(AND(Games[[#This Row],[Type]]="P",Games[[#This Row],[Round]]=3),IF(Games[[#This Row],[Result]]&lt;0.5,1,0),0)</f>
        <v>0</v>
      </c>
      <c r="AK315" s="2">
        <f>IF(AND(Games[[#This Row],[Type]]="P",Games[[#This Row],[Round]]=4),IF(Games[[#This Row],[Result]]&gt;0.5,1,0),0)</f>
        <v>0</v>
      </c>
      <c r="AL315" s="2">
        <f>IF(AND(Games[[#This Row],[Type]]="P",Games[[#This Row],[Round]]=4),IF(Games[[#This Row],[Result]]&lt;0.5,1,0),0)</f>
        <v>0</v>
      </c>
    </row>
    <row r="316" spans="1:38" x14ac:dyDescent="0.35">
      <c r="A316" s="10">
        <v>37831</v>
      </c>
      <c r="B316" s="2">
        <v>2003</v>
      </c>
      <c r="C316" s="2">
        <f>COUNTIFS(Games[Team],Games[[#This Row],[Team]],Games[Season],Games[[#This Row],[Season]],Games[Date],"&lt;=" &amp; Games[[#This Row],[Date]])</f>
        <v>22</v>
      </c>
      <c r="D316" s="2" t="s">
        <v>23</v>
      </c>
      <c r="E316" s="2" t="s">
        <v>29</v>
      </c>
      <c r="F316" s="1" t="s">
        <v>76</v>
      </c>
      <c r="G316" s="1" t="s">
        <v>1</v>
      </c>
      <c r="H316" s="1" t="s">
        <v>16</v>
      </c>
      <c r="I316" s="2" cm="1">
        <f t="array" ref="I316">IFERROR(
    Games[[#This Row],[Date]]
    - LOOKUP(
        2,
        1/((Games[Team]=Games[[#This Row],[Team]]) * (Games[Date] &lt; Games[[#This Row],[Date]])),
        Games[Date]
    )
    - 1,
Games[[#This Row],[Date]]-$A$2)</f>
        <v>1</v>
      </c>
      <c r="J316" s="2" cm="1">
        <f t="array" ref="J31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16" s="2">
        <f>Games[[#This Row],[DaysOff]]-Games[[#This Row],[OppDaysOff]]</f>
        <v>0</v>
      </c>
      <c r="L316" s="2">
        <f>Games[[#This Row],[OppDaysOff]]-Games[[#This Row],[DaysOff]]</f>
        <v>0</v>
      </c>
      <c r="M316" s="1">
        <f>MAX(-16, MIN(16, Games[[#This Row],[RestDiff]]*8))</f>
        <v>0</v>
      </c>
      <c r="N316" s="1">
        <f>MAX(-16, MIN(16, Games[[#This Row],[OppRestDiff]]*8))</f>
        <v>0</v>
      </c>
      <c r="O316" s="4" cm="1">
        <f t="array" ref="O31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1560.2753582034738</v>
      </c>
      <c r="P316" s="4" cm="1">
        <f t="array" ref="P31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1474.822473705585</v>
      </c>
      <c r="Q316" s="4">
        <f>1/(1+10^(((Games[[#This Row],[OppPreGmRate]]+IF(Games[[#This Row],[HomeAway]]="A",HCA,0)+Games[[#This Row],[OppRestAdj]])-(Games[[#This Row],[PreGmRate]]+IF(Games[[#This Row],[HomeAway]]="H",HCA,0)+Games[[#This Row],[RestAdj]]))/400))</f>
        <v>0.50209085667913467</v>
      </c>
      <c r="R316" s="1">
        <v>77</v>
      </c>
      <c r="S316" s="1">
        <v>65</v>
      </c>
      <c r="T316" s="1">
        <v>0</v>
      </c>
      <c r="U316" s="1">
        <f>Games[[#This Row],[PointsFor]]-Games[[#This Row],[PointsAgainst]]</f>
        <v>12</v>
      </c>
      <c r="V316" s="1">
        <f>IF(Games[[#This Row],[MOV]]&gt;0,1,IF(Games[[#This Row],[MOV]]=0,0.5,0))</f>
        <v>1</v>
      </c>
      <c r="W316" s="4">
        <f>((ABS(Games[[#This Row],[MOV]])+5)^0.6)/(12+0.01*(ABS(Games[[#This Row],[PreGmRate]]-Games[[#This Row],[OppPreGmRate]])))*IF(Games[[#This Row],[OT]]=1,0.9,1)</f>
        <v>0.4258073853135827</v>
      </c>
      <c r="X316" s="7" cm="1">
        <f t="array" ref="X31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6" s="9">
        <f>MAX(kmin, kmax - 0.15 * MIN(Games[[#This Row],[GamesPlayed]], 82))</f>
        <v>72.7</v>
      </c>
      <c r="Z316" s="4">
        <f>Games[[#This Row],[K]]*Games[[#This Row],[POMult]]</f>
        <v>72.7</v>
      </c>
      <c r="AA316" s="4">
        <f>(Games[[#This Row],[Keff]]*Games[[#This Row],[MOVMult]])*(Games[[#This Row],[Result]]-Games[[#This Row],[ExpectedWin%]])</f>
        <v>15.413373485074047</v>
      </c>
      <c r="AB316" s="4">
        <f>Games[[#This Row],[PreGmRate]]+Games[[#This Row],[RatingChange]]</f>
        <v>1575.6887316885479</v>
      </c>
      <c r="AC316" s="2">
        <f>IF(Games[[#This Row],[Type]]="R",IF(Games[[#This Row],[Result]]&gt;0.5,1,0),0)</f>
        <v>1</v>
      </c>
      <c r="AD316" s="2">
        <f>IF(Games[[#This Row],[Type]]="R",IF(Games[[#This Row],[Result]]&lt;0.5,1,0),0)</f>
        <v>0</v>
      </c>
      <c r="AE316" s="2">
        <f>IF(AND(Games[[#This Row],[Type]]="P",Games[[#This Row],[Round]]=1),IF(Games[[#This Row],[Result]]&gt;0.5,1,0),0)</f>
        <v>0</v>
      </c>
      <c r="AF316" s="2">
        <f>IF(AND(Games[[#This Row],[Type]]="P",Games[[#This Row],[Round]]=1),IF(Games[[#This Row],[Result]]&lt;0.5,1,0),0)</f>
        <v>0</v>
      </c>
      <c r="AG316" s="2">
        <f>IF(AND(Games[[#This Row],[Type]]="P",Games[[#This Row],[Round]]=2),IF(Games[[#This Row],[Result]]&gt;0.5,1,0),0)</f>
        <v>0</v>
      </c>
      <c r="AH316" s="2">
        <f>IF(AND(Games[[#This Row],[Type]]="P",Games[[#This Row],[Round]]=2),IF(Games[[#This Row],[Result]]&lt;0.5,1,0),0)</f>
        <v>0</v>
      </c>
      <c r="AI316" s="2">
        <f>IF(AND(Games[[#This Row],[Type]]="P",Games[[#This Row],[Round]]=3),IF(Games[[#This Row],[Result]]&gt;0.5,1,0),0)</f>
        <v>0</v>
      </c>
      <c r="AJ316" s="2">
        <f>IF(AND(Games[[#This Row],[Type]]="P",Games[[#This Row],[Round]]=3),IF(Games[[#This Row],[Result]]&lt;0.5,1,0),0)</f>
        <v>0</v>
      </c>
      <c r="AK316" s="2">
        <f>IF(AND(Games[[#This Row],[Type]]="P",Games[[#This Row],[Round]]=4),IF(Games[[#This Row],[Result]]&gt;0.5,1,0),0)</f>
        <v>0</v>
      </c>
      <c r="AL316" s="2">
        <f>IF(AND(Games[[#This Row],[Type]]="P",Games[[#This Row],[Round]]=4),IF(Games[[#This Row],[Result]]&lt;0.5,1,0),0)</f>
        <v>0</v>
      </c>
    </row>
    <row r="317" spans="1:38" x14ac:dyDescent="0.35">
      <c r="A317" s="10">
        <v>37831</v>
      </c>
      <c r="B317" s="2">
        <v>2003</v>
      </c>
      <c r="C317" s="2">
        <f>COUNTIFS(Games[Team],Games[[#This Row],[Team]],Games[Season],Games[[#This Row],[Season]],Games[Date],"&lt;=" &amp; Games[[#This Row],[Date]])</f>
        <v>24</v>
      </c>
      <c r="D317" s="2" t="s">
        <v>23</v>
      </c>
      <c r="E317" s="2" t="s">
        <v>29</v>
      </c>
      <c r="F317" s="1" t="s">
        <v>1</v>
      </c>
      <c r="G317" s="1" t="s">
        <v>76</v>
      </c>
      <c r="H317" s="1" t="s">
        <v>15</v>
      </c>
      <c r="I317" s="2" cm="1">
        <f t="array" ref="I317">IFERROR(
    Games[[#This Row],[Date]]
    - LOOKUP(
        2,
        1/((Games[Team]=Games[[#This Row],[Team]]) * (Games[Date] &lt; Games[[#This Row],[Date]])),
        Games[Date]
    )
    - 1,
Games[[#This Row],[Date]]-$A$2)</f>
        <v>1</v>
      </c>
      <c r="J317" s="2" cm="1">
        <f t="array" ref="J31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17" s="2">
        <f>Games[[#This Row],[DaysOff]]-Games[[#This Row],[OppDaysOff]]</f>
        <v>0</v>
      </c>
      <c r="L317" s="2">
        <f>Games[[#This Row],[OppDaysOff]]-Games[[#This Row],[DaysOff]]</f>
        <v>0</v>
      </c>
      <c r="M317" s="1">
        <f>MAX(-16, MIN(16, Games[[#This Row],[RestDiff]]*8))</f>
        <v>0</v>
      </c>
      <c r="N317" s="1">
        <f>MAX(-16, MIN(16, Games[[#This Row],[OppRestDiff]]*8))</f>
        <v>0</v>
      </c>
      <c r="O317" s="4" cm="1">
        <f t="array" ref="O31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1474.822473705585</v>
      </c>
      <c r="P317" s="4" cm="1">
        <f t="array" ref="P31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1560.2753582034738</v>
      </c>
      <c r="Q317" s="4">
        <f>1/(1+10^(((Games[[#This Row],[OppPreGmRate]]+IF(Games[[#This Row],[HomeAway]]="A",HCA,0)+Games[[#This Row],[OppRestAdj]])-(Games[[#This Row],[PreGmRate]]+IF(Games[[#This Row],[HomeAway]]="H",HCA,0)+Games[[#This Row],[RestAdj]]))/400))</f>
        <v>0.49790914332086533</v>
      </c>
      <c r="R317" s="1">
        <v>65</v>
      </c>
      <c r="S317" s="1">
        <v>77</v>
      </c>
      <c r="T317" s="1">
        <v>0</v>
      </c>
      <c r="U317" s="1">
        <f>Games[[#This Row],[PointsFor]]-Games[[#This Row],[PointsAgainst]]</f>
        <v>-12</v>
      </c>
      <c r="V317" s="1">
        <f>IF(Games[[#This Row],[MOV]]&gt;0,1,IF(Games[[#This Row],[MOV]]=0,0.5,0))</f>
        <v>0</v>
      </c>
      <c r="W317" s="4">
        <f>((ABS(Games[[#This Row],[MOV]])+5)^0.6)/(12+0.01*(ABS(Games[[#This Row],[PreGmRate]]-Games[[#This Row],[OppPreGmRate]])))*IF(Games[[#This Row],[OT]]=1,0.9,1)</f>
        <v>0.4258073853135827</v>
      </c>
      <c r="X317" s="7" cm="1">
        <f t="array" ref="X31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7" s="9">
        <f>MAX(kmin, kmax - 0.15 * MIN(Games[[#This Row],[GamesPlayed]], 82))</f>
        <v>72.400000000000006</v>
      </c>
      <c r="Z317" s="4">
        <f>Games[[#This Row],[K]]*Games[[#This Row],[POMult]]</f>
        <v>72.400000000000006</v>
      </c>
      <c r="AA317" s="4">
        <f>(Games[[#This Row],[Keff]]*Games[[#This Row],[MOVMult]])*(Games[[#This Row],[Result]]-Games[[#This Row],[ExpectedWin%]])</f>
        <v>-15.349769467941691</v>
      </c>
      <c r="AB317" s="4">
        <f>Games[[#This Row],[PreGmRate]]+Games[[#This Row],[RatingChange]]</f>
        <v>1459.4727042376433</v>
      </c>
      <c r="AC317" s="2">
        <f>IF(Games[[#This Row],[Type]]="R",IF(Games[[#This Row],[Result]]&gt;0.5,1,0),0)</f>
        <v>0</v>
      </c>
      <c r="AD317" s="2">
        <f>IF(Games[[#This Row],[Type]]="R",IF(Games[[#This Row],[Result]]&lt;0.5,1,0),0)</f>
        <v>1</v>
      </c>
      <c r="AE317" s="2">
        <f>IF(AND(Games[[#This Row],[Type]]="P",Games[[#This Row],[Round]]=1),IF(Games[[#This Row],[Result]]&gt;0.5,1,0),0)</f>
        <v>0</v>
      </c>
      <c r="AF317" s="2">
        <f>IF(AND(Games[[#This Row],[Type]]="P",Games[[#This Row],[Round]]=1),IF(Games[[#This Row],[Result]]&lt;0.5,1,0),0)</f>
        <v>0</v>
      </c>
      <c r="AG317" s="2">
        <f>IF(AND(Games[[#This Row],[Type]]="P",Games[[#This Row],[Round]]=2),IF(Games[[#This Row],[Result]]&gt;0.5,1,0),0)</f>
        <v>0</v>
      </c>
      <c r="AH317" s="2">
        <f>IF(AND(Games[[#This Row],[Type]]="P",Games[[#This Row],[Round]]=2),IF(Games[[#This Row],[Result]]&lt;0.5,1,0),0)</f>
        <v>0</v>
      </c>
      <c r="AI317" s="2">
        <f>IF(AND(Games[[#This Row],[Type]]="P",Games[[#This Row],[Round]]=3),IF(Games[[#This Row],[Result]]&gt;0.5,1,0),0)</f>
        <v>0</v>
      </c>
      <c r="AJ317" s="2">
        <f>IF(AND(Games[[#This Row],[Type]]="P",Games[[#This Row],[Round]]=3),IF(Games[[#This Row],[Result]]&lt;0.5,1,0),0)</f>
        <v>0</v>
      </c>
      <c r="AK317" s="2">
        <f>IF(AND(Games[[#This Row],[Type]]="P",Games[[#This Row],[Round]]=4),IF(Games[[#This Row],[Result]]&gt;0.5,1,0),0)</f>
        <v>0</v>
      </c>
      <c r="AL317" s="2">
        <f>IF(AND(Games[[#This Row],[Type]]="P",Games[[#This Row],[Round]]=4),IF(Games[[#This Row],[Result]]&lt;0.5,1,0),0)</f>
        <v>0</v>
      </c>
    </row>
    <row r="318" spans="1:38" x14ac:dyDescent="0.35">
      <c r="A318" s="10">
        <v>37831</v>
      </c>
      <c r="B318" s="2">
        <v>2003</v>
      </c>
      <c r="C318" s="2">
        <f>COUNTIFS(Games[Team],Games[[#This Row],[Team]],Games[Season],Games[[#This Row],[Season]],Games[Date],"&lt;=" &amp; Games[[#This Row],[Date]])</f>
        <v>24</v>
      </c>
      <c r="D318" s="2" t="s">
        <v>23</v>
      </c>
      <c r="E318" s="2" t="s">
        <v>29</v>
      </c>
      <c r="F318" s="1" t="s">
        <v>78</v>
      </c>
      <c r="G318" s="1" t="s">
        <v>2</v>
      </c>
      <c r="H318" s="1" t="s">
        <v>16</v>
      </c>
      <c r="I318" s="2" cm="1">
        <f t="array" ref="I318">IFERROR(
    Games[[#This Row],[Date]]
    - LOOKUP(
        2,
        1/((Games[Team]=Games[[#This Row],[Team]]) * (Games[Date] &lt; Games[[#This Row],[Date]])),
        Games[Date]
    )
    - 1,
Games[[#This Row],[Date]]-$A$2)</f>
        <v>2</v>
      </c>
      <c r="J318" s="2" cm="1">
        <f t="array" ref="J31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18" s="2">
        <f>Games[[#This Row],[DaysOff]]-Games[[#This Row],[OppDaysOff]]</f>
        <v>0</v>
      </c>
      <c r="L318" s="2">
        <f>Games[[#This Row],[OppDaysOff]]-Games[[#This Row],[DaysOff]]</f>
        <v>0</v>
      </c>
      <c r="M318" s="1">
        <f>MAX(-16, MIN(16, Games[[#This Row],[RestDiff]]*8))</f>
        <v>0</v>
      </c>
      <c r="N318" s="1">
        <f>MAX(-16, MIN(16, Games[[#This Row],[OppRestDiff]]*8))</f>
        <v>0</v>
      </c>
      <c r="O318" s="4" cm="1">
        <f t="array" ref="O31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1510.2075501545357</v>
      </c>
      <c r="P318" s="4" cm="1">
        <f t="array" ref="P31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1575.7051582136471</v>
      </c>
      <c r="Q318" s="4">
        <f>1/(1+10^(((Games[[#This Row],[OppPreGmRate]]+IF(Games[[#This Row],[HomeAway]]="A",HCA,0)+Games[[#This Row],[OppRestAdj]])-(Games[[#This Row],[PreGmRate]]+IF(Games[[#This Row],[HomeAway]]="H",HCA,0)+Games[[#This Row],[RestAdj]]))/400))</f>
        <v>0.29721872240451047</v>
      </c>
      <c r="R318" s="1">
        <v>58</v>
      </c>
      <c r="S318" s="1">
        <v>73</v>
      </c>
      <c r="T318" s="1">
        <v>0</v>
      </c>
      <c r="U318" s="1">
        <f>Games[[#This Row],[PointsFor]]-Games[[#This Row],[PointsAgainst]]</f>
        <v>-15</v>
      </c>
      <c r="V318" s="1">
        <f>IF(Games[[#This Row],[MOV]]&gt;0,1,IF(Games[[#This Row],[MOV]]=0,0.5,0))</f>
        <v>0</v>
      </c>
      <c r="W318" s="4">
        <f>((ABS(Games[[#This Row],[MOV]])+5)^0.6)/(12+0.01*(ABS(Games[[#This Row],[PreGmRate]]-Games[[#This Row],[OppPreGmRate]])))*IF(Games[[#This Row],[OT]]=1,0.9,1)</f>
        <v>0.47682242132403191</v>
      </c>
      <c r="X318" s="7" cm="1">
        <f t="array" ref="X31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8" s="9">
        <f>MAX(kmin, kmax - 0.15 * MIN(Games[[#This Row],[GamesPlayed]], 82))</f>
        <v>72.400000000000006</v>
      </c>
      <c r="Z318" s="4">
        <f>Games[[#This Row],[K]]*Games[[#This Row],[POMult]]</f>
        <v>72.400000000000006</v>
      </c>
      <c r="AA318" s="4">
        <f>(Games[[#This Row],[Keff]]*Games[[#This Row],[MOVMult]])*(Games[[#This Row],[Result]]-Games[[#This Row],[ExpectedWin%]])</f>
        <v>-10.260567883694188</v>
      </c>
      <c r="AB318" s="4">
        <f>Games[[#This Row],[PreGmRate]]+Games[[#This Row],[RatingChange]]</f>
        <v>1499.9469822708415</v>
      </c>
      <c r="AC318" s="2">
        <f>IF(Games[[#This Row],[Type]]="R",IF(Games[[#This Row],[Result]]&gt;0.5,1,0),0)</f>
        <v>0</v>
      </c>
      <c r="AD318" s="2">
        <f>IF(Games[[#This Row],[Type]]="R",IF(Games[[#This Row],[Result]]&lt;0.5,1,0),0)</f>
        <v>1</v>
      </c>
      <c r="AE318" s="2">
        <f>IF(AND(Games[[#This Row],[Type]]="P",Games[[#This Row],[Round]]=1),IF(Games[[#This Row],[Result]]&gt;0.5,1,0),0)</f>
        <v>0</v>
      </c>
      <c r="AF318" s="2">
        <f>IF(AND(Games[[#This Row],[Type]]="P",Games[[#This Row],[Round]]=1),IF(Games[[#This Row],[Result]]&lt;0.5,1,0),0)</f>
        <v>0</v>
      </c>
      <c r="AG318" s="2">
        <f>IF(AND(Games[[#This Row],[Type]]="P",Games[[#This Row],[Round]]=2),IF(Games[[#This Row],[Result]]&gt;0.5,1,0),0)</f>
        <v>0</v>
      </c>
      <c r="AH318" s="2">
        <f>IF(AND(Games[[#This Row],[Type]]="P",Games[[#This Row],[Round]]=2),IF(Games[[#This Row],[Result]]&lt;0.5,1,0),0)</f>
        <v>0</v>
      </c>
      <c r="AI318" s="2">
        <f>IF(AND(Games[[#This Row],[Type]]="P",Games[[#This Row],[Round]]=3),IF(Games[[#This Row],[Result]]&gt;0.5,1,0),0)</f>
        <v>0</v>
      </c>
      <c r="AJ318" s="2">
        <f>IF(AND(Games[[#This Row],[Type]]="P",Games[[#This Row],[Round]]=3),IF(Games[[#This Row],[Result]]&lt;0.5,1,0),0)</f>
        <v>0</v>
      </c>
      <c r="AK318" s="2">
        <f>IF(AND(Games[[#This Row],[Type]]="P",Games[[#This Row],[Round]]=4),IF(Games[[#This Row],[Result]]&gt;0.5,1,0),0)</f>
        <v>0</v>
      </c>
      <c r="AL318" s="2">
        <f>IF(AND(Games[[#This Row],[Type]]="P",Games[[#This Row],[Round]]=4),IF(Games[[#This Row],[Result]]&lt;0.5,1,0),0)</f>
        <v>0</v>
      </c>
    </row>
    <row r="319" spans="1:38" x14ac:dyDescent="0.35">
      <c r="A319" s="10">
        <v>37831</v>
      </c>
      <c r="B319" s="2">
        <v>2003</v>
      </c>
      <c r="C319" s="2">
        <f>COUNTIFS(Games[Team],Games[[#This Row],[Team]],Games[Season],Games[[#This Row],[Season]],Games[Date],"&lt;=" &amp; Games[[#This Row],[Date]])</f>
        <v>22</v>
      </c>
      <c r="D319" s="2" t="s">
        <v>23</v>
      </c>
      <c r="E319" s="2" t="s">
        <v>29</v>
      </c>
      <c r="F319" s="1" t="s">
        <v>2</v>
      </c>
      <c r="G319" s="1" t="s">
        <v>78</v>
      </c>
      <c r="H319" s="1" t="s">
        <v>15</v>
      </c>
      <c r="I319" s="2" cm="1">
        <f t="array" ref="I319">IFERROR(
    Games[[#This Row],[Date]]
    - LOOKUP(
        2,
        1/((Games[Team]=Games[[#This Row],[Team]]) * (Games[Date] &lt; Games[[#This Row],[Date]])),
        Games[Date]
    )
    - 1,
Games[[#This Row],[Date]]-$A$2)</f>
        <v>2</v>
      </c>
      <c r="J319" s="2" cm="1">
        <f t="array" ref="J31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19" s="2">
        <f>Games[[#This Row],[DaysOff]]-Games[[#This Row],[OppDaysOff]]</f>
        <v>0</v>
      </c>
      <c r="L319" s="2">
        <f>Games[[#This Row],[OppDaysOff]]-Games[[#This Row],[DaysOff]]</f>
        <v>0</v>
      </c>
      <c r="M319" s="1">
        <f>MAX(-16, MIN(16, Games[[#This Row],[RestDiff]]*8))</f>
        <v>0</v>
      </c>
      <c r="N319" s="1">
        <f>MAX(-16, MIN(16, Games[[#This Row],[OppRestDiff]]*8))</f>
        <v>0</v>
      </c>
      <c r="O319" s="4" cm="1">
        <f t="array" ref="O31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1575.7051582136471</v>
      </c>
      <c r="P319" s="4" cm="1">
        <f t="array" ref="P31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1510.2075501545357</v>
      </c>
      <c r="Q319" s="4">
        <f>1/(1+10^(((Games[[#This Row],[OppPreGmRate]]+IF(Games[[#This Row],[HomeAway]]="A",HCA,0)+Games[[#This Row],[OppRestAdj]])-(Games[[#This Row],[PreGmRate]]+IF(Games[[#This Row],[HomeAway]]="H",HCA,0)+Games[[#This Row],[RestAdj]]))/400))</f>
        <v>0.70278127759548947</v>
      </c>
      <c r="R319" s="1">
        <v>73</v>
      </c>
      <c r="S319" s="1">
        <v>58</v>
      </c>
      <c r="T319" s="1">
        <v>0</v>
      </c>
      <c r="U319" s="1">
        <f>Games[[#This Row],[PointsFor]]-Games[[#This Row],[PointsAgainst]]</f>
        <v>15</v>
      </c>
      <c r="V319" s="1">
        <f>IF(Games[[#This Row],[MOV]]&gt;0,1,IF(Games[[#This Row],[MOV]]=0,0.5,0))</f>
        <v>1</v>
      </c>
      <c r="W319" s="4">
        <f>((ABS(Games[[#This Row],[MOV]])+5)^0.6)/(12+0.01*(ABS(Games[[#This Row],[PreGmRate]]-Games[[#This Row],[OppPreGmRate]])))*IF(Games[[#This Row],[OT]]=1,0.9,1)</f>
        <v>0.47682242132403191</v>
      </c>
      <c r="X319" s="7" cm="1">
        <f t="array" ref="X31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9" s="9">
        <f>MAX(kmin, kmax - 0.15 * MIN(Games[[#This Row],[GamesPlayed]], 82))</f>
        <v>72.7</v>
      </c>
      <c r="Z319" s="4">
        <f>Games[[#This Row],[K]]*Games[[#This Row],[POMult]]</f>
        <v>72.7</v>
      </c>
      <c r="AA319" s="4">
        <f>(Games[[#This Row],[Keff]]*Games[[#This Row],[MOVMult]])*(Games[[#This Row],[Result]]-Games[[#This Row],[ExpectedWin%]])</f>
        <v>10.303084048958116</v>
      </c>
      <c r="AB319" s="4">
        <f>Games[[#This Row],[PreGmRate]]+Games[[#This Row],[RatingChange]]</f>
        <v>1586.0082422626053</v>
      </c>
      <c r="AC319" s="2">
        <f>IF(Games[[#This Row],[Type]]="R",IF(Games[[#This Row],[Result]]&gt;0.5,1,0),0)</f>
        <v>1</v>
      </c>
      <c r="AD319" s="2">
        <f>IF(Games[[#This Row],[Type]]="R",IF(Games[[#This Row],[Result]]&lt;0.5,1,0),0)</f>
        <v>0</v>
      </c>
      <c r="AE319" s="2">
        <f>IF(AND(Games[[#This Row],[Type]]="P",Games[[#This Row],[Round]]=1),IF(Games[[#This Row],[Result]]&gt;0.5,1,0),0)</f>
        <v>0</v>
      </c>
      <c r="AF319" s="2">
        <f>IF(AND(Games[[#This Row],[Type]]="P",Games[[#This Row],[Round]]=1),IF(Games[[#This Row],[Result]]&lt;0.5,1,0),0)</f>
        <v>0</v>
      </c>
      <c r="AG319" s="2">
        <f>IF(AND(Games[[#This Row],[Type]]="P",Games[[#This Row],[Round]]=2),IF(Games[[#This Row],[Result]]&gt;0.5,1,0),0)</f>
        <v>0</v>
      </c>
      <c r="AH319" s="2">
        <f>IF(AND(Games[[#This Row],[Type]]="P",Games[[#This Row],[Round]]=2),IF(Games[[#This Row],[Result]]&lt;0.5,1,0),0)</f>
        <v>0</v>
      </c>
      <c r="AI319" s="2">
        <f>IF(AND(Games[[#This Row],[Type]]="P",Games[[#This Row],[Round]]=3),IF(Games[[#This Row],[Result]]&gt;0.5,1,0),0)</f>
        <v>0</v>
      </c>
      <c r="AJ319" s="2">
        <f>IF(AND(Games[[#This Row],[Type]]="P",Games[[#This Row],[Round]]=3),IF(Games[[#This Row],[Result]]&lt;0.5,1,0),0)</f>
        <v>0</v>
      </c>
      <c r="AK319" s="2">
        <f>IF(AND(Games[[#This Row],[Type]]="P",Games[[#This Row],[Round]]=4),IF(Games[[#This Row],[Result]]&gt;0.5,1,0),0)</f>
        <v>0</v>
      </c>
      <c r="AL319" s="2">
        <f>IF(AND(Games[[#This Row],[Type]]="P",Games[[#This Row],[Round]]=4),IF(Games[[#This Row],[Result]]&lt;0.5,1,0),0)</f>
        <v>0</v>
      </c>
    </row>
    <row r="320" spans="1:38" x14ac:dyDescent="0.35">
      <c r="A320" s="10">
        <v>37831</v>
      </c>
      <c r="B320" s="2">
        <v>2003</v>
      </c>
      <c r="C320" s="2">
        <f>COUNTIFS(Games[Team],Games[[#This Row],[Team]],Games[Season],Games[[#This Row],[Season]],Games[Date],"&lt;=" &amp; Games[[#This Row],[Date]])</f>
        <v>21</v>
      </c>
      <c r="D320" s="2" t="s">
        <v>23</v>
      </c>
      <c r="E320" s="2" t="s">
        <v>29</v>
      </c>
      <c r="F320" s="1" t="s">
        <v>66</v>
      </c>
      <c r="G320" s="1" t="s">
        <v>44</v>
      </c>
      <c r="H320" s="1" t="s">
        <v>16</v>
      </c>
      <c r="I320" s="2" cm="1">
        <f t="array" ref="I320">IFERROR(
    Games[[#This Row],[Date]]
    - LOOKUP(
        2,
        1/((Games[Team]=Games[[#This Row],[Team]]) * (Games[Date] &lt; Games[[#This Row],[Date]])),
        Games[Date]
    )
    - 1,
Games[[#This Row],[Date]]-$A$2)</f>
        <v>2</v>
      </c>
      <c r="J320" s="2" cm="1">
        <f t="array" ref="J320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20" s="2">
        <f>Games[[#This Row],[DaysOff]]-Games[[#This Row],[OppDaysOff]]</f>
        <v>-1</v>
      </c>
      <c r="L320" s="2">
        <f>Games[[#This Row],[OppDaysOff]]-Games[[#This Row],[DaysOff]]</f>
        <v>1</v>
      </c>
      <c r="M320" s="1">
        <f>MAX(-16, MIN(16, Games[[#This Row],[RestDiff]]*8))</f>
        <v>-8</v>
      </c>
      <c r="N320" s="1">
        <f>MAX(-16, MIN(16, Games[[#This Row],[OppRestDiff]]*8))</f>
        <v>8</v>
      </c>
      <c r="O320" s="4" cm="1">
        <f t="array" ref="O32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1481.3129953051759</v>
      </c>
      <c r="P320" s="4" cm="1">
        <f t="array" ref="P32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1337.2908993643159</v>
      </c>
      <c r="Q320" s="4">
        <f>1/(1+10^(((Games[[#This Row],[OppPreGmRate]]+IF(Games[[#This Row],[HomeAway]]="A",HCA,0)+Games[[#This Row],[OppRestAdj]])-(Games[[#This Row],[PreGmRate]]+IF(Games[[#This Row],[HomeAway]]="H",HCA,0)+Games[[#This Row],[RestAdj]]))/400))</f>
        <v>0.56301602187778776</v>
      </c>
      <c r="R320" s="1">
        <v>59</v>
      </c>
      <c r="S320" s="1">
        <v>66</v>
      </c>
      <c r="T320" s="1">
        <v>0</v>
      </c>
      <c r="U320" s="1">
        <f>Games[[#This Row],[PointsFor]]-Games[[#This Row],[PointsAgainst]]</f>
        <v>-7</v>
      </c>
      <c r="V320" s="1">
        <f>IF(Games[[#This Row],[MOV]]&gt;0,1,IF(Games[[#This Row],[MOV]]=0,0.5,0))</f>
        <v>0</v>
      </c>
      <c r="W320" s="4">
        <f>((ABS(Games[[#This Row],[MOV]])+5)^0.6)/(12+0.01*(ABS(Games[[#This Row],[PreGmRate]]-Games[[#This Row],[OppPreGmRate]])))*IF(Games[[#This Row],[OT]]=1,0.9,1)</f>
        <v>0.3304473998797462</v>
      </c>
      <c r="X320" s="7" cm="1">
        <f t="array" ref="X32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0" s="9">
        <f>MAX(kmin, kmax - 0.15 * MIN(Games[[#This Row],[GamesPlayed]], 82))</f>
        <v>72.849999999999994</v>
      </c>
      <c r="Z320" s="4">
        <f>Games[[#This Row],[K]]*Games[[#This Row],[POMult]]</f>
        <v>72.849999999999994</v>
      </c>
      <c r="AA320" s="4">
        <f>(Games[[#This Row],[Keff]]*Games[[#This Row],[MOVMult]])*(Games[[#This Row],[Result]]-Games[[#This Row],[ExpectedWin%]])</f>
        <v>-13.553537100893164</v>
      </c>
      <c r="AB320" s="4">
        <f>Games[[#This Row],[PreGmRate]]+Games[[#This Row],[RatingChange]]</f>
        <v>1467.7594582042827</v>
      </c>
      <c r="AC320" s="2">
        <f>IF(Games[[#This Row],[Type]]="R",IF(Games[[#This Row],[Result]]&gt;0.5,1,0),0)</f>
        <v>0</v>
      </c>
      <c r="AD320" s="2">
        <f>IF(Games[[#This Row],[Type]]="R",IF(Games[[#This Row],[Result]]&lt;0.5,1,0),0)</f>
        <v>1</v>
      </c>
      <c r="AE320" s="2">
        <f>IF(AND(Games[[#This Row],[Type]]="P",Games[[#This Row],[Round]]=1),IF(Games[[#This Row],[Result]]&gt;0.5,1,0),0)</f>
        <v>0</v>
      </c>
      <c r="AF320" s="2">
        <f>IF(AND(Games[[#This Row],[Type]]="P",Games[[#This Row],[Round]]=1),IF(Games[[#This Row],[Result]]&lt;0.5,1,0),0)</f>
        <v>0</v>
      </c>
      <c r="AG320" s="2">
        <f>IF(AND(Games[[#This Row],[Type]]="P",Games[[#This Row],[Round]]=2),IF(Games[[#This Row],[Result]]&gt;0.5,1,0),0)</f>
        <v>0</v>
      </c>
      <c r="AH320" s="2">
        <f>IF(AND(Games[[#This Row],[Type]]="P",Games[[#This Row],[Round]]=2),IF(Games[[#This Row],[Result]]&lt;0.5,1,0),0)</f>
        <v>0</v>
      </c>
      <c r="AI320" s="2">
        <f>IF(AND(Games[[#This Row],[Type]]="P",Games[[#This Row],[Round]]=3),IF(Games[[#This Row],[Result]]&gt;0.5,1,0),0)</f>
        <v>0</v>
      </c>
      <c r="AJ320" s="2">
        <f>IF(AND(Games[[#This Row],[Type]]="P",Games[[#This Row],[Round]]=3),IF(Games[[#This Row],[Result]]&lt;0.5,1,0),0)</f>
        <v>0</v>
      </c>
      <c r="AK320" s="2">
        <f>IF(AND(Games[[#This Row],[Type]]="P",Games[[#This Row],[Round]]=4),IF(Games[[#This Row],[Result]]&gt;0.5,1,0),0)</f>
        <v>0</v>
      </c>
      <c r="AL320" s="2">
        <f>IF(AND(Games[[#This Row],[Type]]="P",Games[[#This Row],[Round]]=4),IF(Games[[#This Row],[Result]]&lt;0.5,1,0),0)</f>
        <v>0</v>
      </c>
    </row>
    <row r="321" spans="1:38" x14ac:dyDescent="0.35">
      <c r="A321" s="10">
        <v>37831</v>
      </c>
      <c r="B321" s="2">
        <v>2003</v>
      </c>
      <c r="C321" s="2">
        <f>COUNTIFS(Games[Team],Games[[#This Row],[Team]],Games[Season],Games[[#This Row],[Season]],Games[Date],"&lt;=" &amp; Games[[#This Row],[Date]])</f>
        <v>22</v>
      </c>
      <c r="D321" s="2" t="s">
        <v>23</v>
      </c>
      <c r="E321" s="2" t="s">
        <v>29</v>
      </c>
      <c r="F321" s="1" t="s">
        <v>44</v>
      </c>
      <c r="G321" s="1" t="s">
        <v>66</v>
      </c>
      <c r="H321" s="1" t="s">
        <v>15</v>
      </c>
      <c r="I321" s="2" cm="1">
        <f t="array" ref="I321">IFERROR(
    Games[[#This Row],[Date]]
    - LOOKUP(
        2,
        1/((Games[Team]=Games[[#This Row],[Team]]) * (Games[Date] &lt; Games[[#This Row],[Date]])),
        Games[Date]
    )
    - 1,
Games[[#This Row],[Date]]-$A$2)</f>
        <v>3</v>
      </c>
      <c r="J321" s="2" cm="1">
        <f t="array" ref="J32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21" s="2">
        <f>Games[[#This Row],[DaysOff]]-Games[[#This Row],[OppDaysOff]]</f>
        <v>1</v>
      </c>
      <c r="L321" s="2">
        <f>Games[[#This Row],[OppDaysOff]]-Games[[#This Row],[DaysOff]]</f>
        <v>-1</v>
      </c>
      <c r="M321" s="1">
        <f>MAX(-16, MIN(16, Games[[#This Row],[RestDiff]]*8))</f>
        <v>8</v>
      </c>
      <c r="N321" s="1">
        <f>MAX(-16, MIN(16, Games[[#This Row],[OppRestDiff]]*8))</f>
        <v>-8</v>
      </c>
      <c r="O321" s="4" cm="1">
        <f t="array" ref="O32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1337.2908993643159</v>
      </c>
      <c r="P321" s="4" cm="1">
        <f t="array" ref="P32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1481.3129953051759</v>
      </c>
      <c r="Q321" s="4">
        <f>1/(1+10^(((Games[[#This Row],[OppPreGmRate]]+IF(Games[[#This Row],[HomeAway]]="A",HCA,0)+Games[[#This Row],[OppRestAdj]])-(Games[[#This Row],[PreGmRate]]+IF(Games[[#This Row],[HomeAway]]="H",HCA,0)+Games[[#This Row],[RestAdj]]))/400))</f>
        <v>0.43698397812221218</v>
      </c>
      <c r="R321" s="1">
        <v>66</v>
      </c>
      <c r="S321" s="1">
        <v>59</v>
      </c>
      <c r="T321" s="1">
        <v>0</v>
      </c>
      <c r="U321" s="1">
        <f>Games[[#This Row],[PointsFor]]-Games[[#This Row],[PointsAgainst]]</f>
        <v>7</v>
      </c>
      <c r="V321" s="1">
        <f>IF(Games[[#This Row],[MOV]]&gt;0,1,IF(Games[[#This Row],[MOV]]=0,0.5,0))</f>
        <v>1</v>
      </c>
      <c r="W321" s="4">
        <f>((ABS(Games[[#This Row],[MOV]])+5)^0.6)/(12+0.01*(ABS(Games[[#This Row],[PreGmRate]]-Games[[#This Row],[OppPreGmRate]])))*IF(Games[[#This Row],[OT]]=1,0.9,1)</f>
        <v>0.3304473998797462</v>
      </c>
      <c r="X321" s="7" cm="1">
        <f t="array" ref="X32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1" s="9">
        <f>MAX(kmin, kmax - 0.15 * MIN(Games[[#This Row],[GamesPlayed]], 82))</f>
        <v>72.7</v>
      </c>
      <c r="Z321" s="4">
        <f>Games[[#This Row],[K]]*Games[[#This Row],[POMult]]</f>
        <v>72.7</v>
      </c>
      <c r="AA321" s="4">
        <f>(Games[[#This Row],[Keff]]*Games[[#This Row],[MOVMult]])*(Games[[#This Row],[Result]]-Games[[#This Row],[ExpectedWin%]])</f>
        <v>13.525630023815143</v>
      </c>
      <c r="AB321" s="4">
        <f>Games[[#This Row],[PreGmRate]]+Games[[#This Row],[RatingChange]]</f>
        <v>1350.8165293881311</v>
      </c>
      <c r="AC321" s="2">
        <f>IF(Games[[#This Row],[Type]]="R",IF(Games[[#This Row],[Result]]&gt;0.5,1,0),0)</f>
        <v>1</v>
      </c>
      <c r="AD321" s="2">
        <f>IF(Games[[#This Row],[Type]]="R",IF(Games[[#This Row],[Result]]&lt;0.5,1,0),0)</f>
        <v>0</v>
      </c>
      <c r="AE321" s="2">
        <f>IF(AND(Games[[#This Row],[Type]]="P",Games[[#This Row],[Round]]=1),IF(Games[[#This Row],[Result]]&gt;0.5,1,0),0)</f>
        <v>0</v>
      </c>
      <c r="AF321" s="2">
        <f>IF(AND(Games[[#This Row],[Type]]="P",Games[[#This Row],[Round]]=1),IF(Games[[#This Row],[Result]]&lt;0.5,1,0),0)</f>
        <v>0</v>
      </c>
      <c r="AG321" s="2">
        <f>IF(AND(Games[[#This Row],[Type]]="P",Games[[#This Row],[Round]]=2),IF(Games[[#This Row],[Result]]&gt;0.5,1,0),0)</f>
        <v>0</v>
      </c>
      <c r="AH321" s="2">
        <f>IF(AND(Games[[#This Row],[Type]]="P",Games[[#This Row],[Round]]=2),IF(Games[[#This Row],[Result]]&lt;0.5,1,0),0)</f>
        <v>0</v>
      </c>
      <c r="AI321" s="2">
        <f>IF(AND(Games[[#This Row],[Type]]="P",Games[[#This Row],[Round]]=3),IF(Games[[#This Row],[Result]]&gt;0.5,1,0),0)</f>
        <v>0</v>
      </c>
      <c r="AJ321" s="2">
        <f>IF(AND(Games[[#This Row],[Type]]="P",Games[[#This Row],[Round]]=3),IF(Games[[#This Row],[Result]]&lt;0.5,1,0),0)</f>
        <v>0</v>
      </c>
      <c r="AK321" s="2">
        <f>IF(AND(Games[[#This Row],[Type]]="P",Games[[#This Row],[Round]]=4),IF(Games[[#This Row],[Result]]&gt;0.5,1,0),0)</f>
        <v>0</v>
      </c>
      <c r="AL321" s="2">
        <f>IF(AND(Games[[#This Row],[Type]]="P",Games[[#This Row],[Round]]=4),IF(Games[[#This Row],[Result]]&lt;0.5,1,0),0)</f>
        <v>0</v>
      </c>
    </row>
    <row r="322" spans="1:38" x14ac:dyDescent="0.35">
      <c r="A322" s="10">
        <v>37831</v>
      </c>
      <c r="B322" s="2">
        <v>2003</v>
      </c>
      <c r="C322" s="2">
        <f>COUNTIFS(Games[Team],Games[[#This Row],[Team]],Games[Season],Games[[#This Row],[Season]],Games[Date],"&lt;=" &amp; Games[[#This Row],[Date]])</f>
        <v>23</v>
      </c>
      <c r="D322" s="2" t="s">
        <v>23</v>
      </c>
      <c r="E322" s="2" t="s">
        <v>29</v>
      </c>
      <c r="F322" s="1" t="s">
        <v>80</v>
      </c>
      <c r="G322" s="1" t="s">
        <v>74</v>
      </c>
      <c r="H322" s="1" t="s">
        <v>16</v>
      </c>
      <c r="I322" s="2" cm="1">
        <f t="array" ref="I322">IFERROR(
    Games[[#This Row],[Date]]
    - LOOKUP(
        2,
        1/((Games[Team]=Games[[#This Row],[Team]]) * (Games[Date] &lt; Games[[#This Row],[Date]])),
        Games[Date]
    )
    - 1,
Games[[#This Row],[Date]]-$A$2)</f>
        <v>2</v>
      </c>
      <c r="J322" s="2" cm="1">
        <f t="array" ref="J32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22" s="2">
        <f>Games[[#This Row],[DaysOff]]-Games[[#This Row],[OppDaysOff]]</f>
        <v>1</v>
      </c>
      <c r="L322" s="2">
        <f>Games[[#This Row],[OppDaysOff]]-Games[[#This Row],[DaysOff]]</f>
        <v>-1</v>
      </c>
      <c r="M322" s="1">
        <f>MAX(-16, MIN(16, Games[[#This Row],[RestDiff]]*8))</f>
        <v>8</v>
      </c>
      <c r="N322" s="1">
        <f>MAX(-16, MIN(16, Games[[#This Row],[OppRestDiff]]*8))</f>
        <v>-8</v>
      </c>
      <c r="O322" s="4" cm="1">
        <f t="array" ref="O32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1526.9436519404139</v>
      </c>
      <c r="P322" s="4" cm="1">
        <f t="array" ref="P32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1379.6333746489843</v>
      </c>
      <c r="Q322" s="4">
        <f>1/(1+10^(((Games[[#This Row],[OppPreGmRate]]+IF(Games[[#This Row],[HomeAway]]="A",HCA,0)+Games[[#This Row],[OppRestAdj]])-(Games[[#This Row],[PreGmRate]]+IF(Games[[#This Row],[HomeAway]]="H",HCA,0)+Games[[#This Row],[RestAdj]]))/400))</f>
        <v>0.61219462780589617</v>
      </c>
      <c r="R322" s="1">
        <v>92</v>
      </c>
      <c r="S322" s="1">
        <v>91</v>
      </c>
      <c r="T322" s="1">
        <v>1</v>
      </c>
      <c r="U322" s="1">
        <f>Games[[#This Row],[PointsFor]]-Games[[#This Row],[PointsAgainst]]</f>
        <v>1</v>
      </c>
      <c r="V322" s="1">
        <f>IF(Games[[#This Row],[MOV]]&gt;0,1,IF(Games[[#This Row],[MOV]]=0,0.5,0))</f>
        <v>1</v>
      </c>
      <c r="W322" s="4">
        <f>((ABS(Games[[#This Row],[MOV]])+5)^0.6)/(12+0.01*(ABS(Games[[#This Row],[PreGmRate]]-Games[[#This Row],[OppPreGmRate]])))*IF(Games[[#This Row],[OT]]=1,0.9,1)</f>
        <v>0.19573371411719315</v>
      </c>
      <c r="X322" s="7" cm="1">
        <f t="array" ref="X32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2" s="9">
        <f>MAX(kmin, kmax - 0.15 * MIN(Games[[#This Row],[GamesPlayed]], 82))</f>
        <v>72.55</v>
      </c>
      <c r="Z322" s="4">
        <f>Games[[#This Row],[K]]*Games[[#This Row],[POMult]]</f>
        <v>72.55</v>
      </c>
      <c r="AA322" s="4">
        <f>(Games[[#This Row],[Keff]]*Games[[#This Row],[MOVMult]])*(Games[[#This Row],[Result]]-Games[[#This Row],[ExpectedWin%]])</f>
        <v>5.5070228037187565</v>
      </c>
      <c r="AB322" s="4">
        <f>Games[[#This Row],[PreGmRate]]+Games[[#This Row],[RatingChange]]</f>
        <v>1532.4506747441326</v>
      </c>
      <c r="AC322" s="2">
        <f>IF(Games[[#This Row],[Type]]="R",IF(Games[[#This Row],[Result]]&gt;0.5,1,0),0)</f>
        <v>1</v>
      </c>
      <c r="AD322" s="2">
        <f>IF(Games[[#This Row],[Type]]="R",IF(Games[[#This Row],[Result]]&lt;0.5,1,0),0)</f>
        <v>0</v>
      </c>
      <c r="AE322" s="2">
        <f>IF(AND(Games[[#This Row],[Type]]="P",Games[[#This Row],[Round]]=1),IF(Games[[#This Row],[Result]]&gt;0.5,1,0),0)</f>
        <v>0</v>
      </c>
      <c r="AF322" s="2">
        <f>IF(AND(Games[[#This Row],[Type]]="P",Games[[#This Row],[Round]]=1),IF(Games[[#This Row],[Result]]&lt;0.5,1,0),0)</f>
        <v>0</v>
      </c>
      <c r="AG322" s="2">
        <f>IF(AND(Games[[#This Row],[Type]]="P",Games[[#This Row],[Round]]=2),IF(Games[[#This Row],[Result]]&gt;0.5,1,0),0)</f>
        <v>0</v>
      </c>
      <c r="AH322" s="2">
        <f>IF(AND(Games[[#This Row],[Type]]="P",Games[[#This Row],[Round]]=2),IF(Games[[#This Row],[Result]]&lt;0.5,1,0),0)</f>
        <v>0</v>
      </c>
      <c r="AI322" s="2">
        <f>IF(AND(Games[[#This Row],[Type]]="P",Games[[#This Row],[Round]]=3),IF(Games[[#This Row],[Result]]&gt;0.5,1,0),0)</f>
        <v>0</v>
      </c>
      <c r="AJ322" s="2">
        <f>IF(AND(Games[[#This Row],[Type]]="P",Games[[#This Row],[Round]]=3),IF(Games[[#This Row],[Result]]&lt;0.5,1,0),0)</f>
        <v>0</v>
      </c>
      <c r="AK322" s="2">
        <f>IF(AND(Games[[#This Row],[Type]]="P",Games[[#This Row],[Round]]=4),IF(Games[[#This Row],[Result]]&gt;0.5,1,0),0)</f>
        <v>0</v>
      </c>
      <c r="AL322" s="2">
        <f>IF(AND(Games[[#This Row],[Type]]="P",Games[[#This Row],[Round]]=4),IF(Games[[#This Row],[Result]]&lt;0.5,1,0),0)</f>
        <v>0</v>
      </c>
    </row>
    <row r="323" spans="1:38" x14ac:dyDescent="0.35">
      <c r="A323" s="10">
        <v>37831</v>
      </c>
      <c r="B323" s="2">
        <v>2003</v>
      </c>
      <c r="C323" s="2">
        <f>COUNTIFS(Games[Team],Games[[#This Row],[Team]],Games[Season],Games[[#This Row],[Season]],Games[Date],"&lt;=" &amp; Games[[#This Row],[Date]])</f>
        <v>24</v>
      </c>
      <c r="D323" s="2" t="s">
        <v>23</v>
      </c>
      <c r="E323" s="2" t="s">
        <v>29</v>
      </c>
      <c r="F323" s="1" t="s">
        <v>74</v>
      </c>
      <c r="G323" s="1" t="s">
        <v>80</v>
      </c>
      <c r="H323" s="1" t="s">
        <v>15</v>
      </c>
      <c r="I323" s="2" cm="1">
        <f t="array" ref="I323">IFERROR(
    Games[[#This Row],[Date]]
    - LOOKUP(
        2,
        1/((Games[Team]=Games[[#This Row],[Team]]) * (Games[Date] &lt; Games[[#This Row],[Date]])),
        Games[Date]
    )
    - 1,
Games[[#This Row],[Date]]-$A$2)</f>
        <v>1</v>
      </c>
      <c r="J323" s="2" cm="1">
        <f t="array" ref="J32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23" s="2">
        <f>Games[[#This Row],[DaysOff]]-Games[[#This Row],[OppDaysOff]]</f>
        <v>-1</v>
      </c>
      <c r="L323" s="2">
        <f>Games[[#This Row],[OppDaysOff]]-Games[[#This Row],[DaysOff]]</f>
        <v>1</v>
      </c>
      <c r="M323" s="1">
        <f>MAX(-16, MIN(16, Games[[#This Row],[RestDiff]]*8))</f>
        <v>-8</v>
      </c>
      <c r="N323" s="1">
        <f>MAX(-16, MIN(16, Games[[#This Row],[OppRestDiff]]*8))</f>
        <v>8</v>
      </c>
      <c r="O323" s="4" cm="1">
        <f t="array" ref="O32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1379.6333746489843</v>
      </c>
      <c r="P323" s="4" cm="1">
        <f t="array" ref="P32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1526.9436519404139</v>
      </c>
      <c r="Q323" s="4">
        <f>1/(1+10^(((Games[[#This Row],[OppPreGmRate]]+IF(Games[[#This Row],[HomeAway]]="A",HCA,0)+Games[[#This Row],[OppRestAdj]])-(Games[[#This Row],[PreGmRate]]+IF(Games[[#This Row],[HomeAway]]="H",HCA,0)+Games[[#This Row],[RestAdj]]))/400))</f>
        <v>0.38780537219410388</v>
      </c>
      <c r="R323" s="1">
        <v>91</v>
      </c>
      <c r="S323" s="1">
        <v>92</v>
      </c>
      <c r="T323" s="1">
        <v>1</v>
      </c>
      <c r="U323" s="1">
        <f>Games[[#This Row],[PointsFor]]-Games[[#This Row],[PointsAgainst]]</f>
        <v>-1</v>
      </c>
      <c r="V323" s="1">
        <f>IF(Games[[#This Row],[MOV]]&gt;0,1,IF(Games[[#This Row],[MOV]]=0,0.5,0))</f>
        <v>0</v>
      </c>
      <c r="W323" s="4">
        <f>((ABS(Games[[#This Row],[MOV]])+5)^0.6)/(12+0.01*(ABS(Games[[#This Row],[PreGmRate]]-Games[[#This Row],[OppPreGmRate]])))*IF(Games[[#This Row],[OT]]=1,0.9,1)</f>
        <v>0.19573371411719315</v>
      </c>
      <c r="X323" s="7" cm="1">
        <f t="array" ref="X32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3" s="9">
        <f>MAX(kmin, kmax - 0.15 * MIN(Games[[#This Row],[GamesPlayed]], 82))</f>
        <v>72.400000000000006</v>
      </c>
      <c r="Z323" s="4">
        <f>Games[[#This Row],[K]]*Games[[#This Row],[POMult]]</f>
        <v>72.400000000000006</v>
      </c>
      <c r="AA323" s="4">
        <f>(Games[[#This Row],[Keff]]*Games[[#This Row],[MOVMult]])*(Games[[#This Row],[Result]]-Games[[#This Row],[ExpectedWin%]])</f>
        <v>-5.4956368158406352</v>
      </c>
      <c r="AB323" s="4">
        <f>Games[[#This Row],[PreGmRate]]+Games[[#This Row],[RatingChange]]</f>
        <v>1374.1377378331435</v>
      </c>
      <c r="AC323" s="2">
        <f>IF(Games[[#This Row],[Type]]="R",IF(Games[[#This Row],[Result]]&gt;0.5,1,0),0)</f>
        <v>0</v>
      </c>
      <c r="AD323" s="2">
        <f>IF(Games[[#This Row],[Type]]="R",IF(Games[[#This Row],[Result]]&lt;0.5,1,0),0)</f>
        <v>1</v>
      </c>
      <c r="AE323" s="2">
        <f>IF(AND(Games[[#This Row],[Type]]="P",Games[[#This Row],[Round]]=1),IF(Games[[#This Row],[Result]]&gt;0.5,1,0),0)</f>
        <v>0</v>
      </c>
      <c r="AF323" s="2">
        <f>IF(AND(Games[[#This Row],[Type]]="P",Games[[#This Row],[Round]]=1),IF(Games[[#This Row],[Result]]&lt;0.5,1,0),0)</f>
        <v>0</v>
      </c>
      <c r="AG323" s="2">
        <f>IF(AND(Games[[#This Row],[Type]]="P",Games[[#This Row],[Round]]=2),IF(Games[[#This Row],[Result]]&gt;0.5,1,0),0)</f>
        <v>0</v>
      </c>
      <c r="AH323" s="2">
        <f>IF(AND(Games[[#This Row],[Type]]="P",Games[[#This Row],[Round]]=2),IF(Games[[#This Row],[Result]]&lt;0.5,1,0),0)</f>
        <v>0</v>
      </c>
      <c r="AI323" s="2">
        <f>IF(AND(Games[[#This Row],[Type]]="P",Games[[#This Row],[Round]]=3),IF(Games[[#This Row],[Result]]&gt;0.5,1,0),0)</f>
        <v>0</v>
      </c>
      <c r="AJ323" s="2">
        <f>IF(AND(Games[[#This Row],[Type]]="P",Games[[#This Row],[Round]]=3),IF(Games[[#This Row],[Result]]&lt;0.5,1,0),0)</f>
        <v>0</v>
      </c>
      <c r="AK323" s="2">
        <f>IF(AND(Games[[#This Row],[Type]]="P",Games[[#This Row],[Round]]=4),IF(Games[[#This Row],[Result]]&gt;0.5,1,0),0)</f>
        <v>0</v>
      </c>
      <c r="AL323" s="2">
        <f>IF(AND(Games[[#This Row],[Type]]="P",Games[[#This Row],[Round]]=4),IF(Games[[#This Row],[Result]]&lt;0.5,1,0),0)</f>
        <v>0</v>
      </c>
    </row>
    <row r="324" spans="1:38" x14ac:dyDescent="0.35">
      <c r="A324" s="10">
        <v>37832</v>
      </c>
      <c r="B324" s="2">
        <v>2003</v>
      </c>
      <c r="C324" s="2">
        <f>COUNTIFS(Games[Team],Games[[#This Row],[Team]],Games[Season],Games[[#This Row],[Season]],Games[Date],"&lt;=" &amp; Games[[#This Row],[Date]])</f>
        <v>24</v>
      </c>
      <c r="D324" s="2" t="s">
        <v>23</v>
      </c>
      <c r="E324" s="2" t="s">
        <v>29</v>
      </c>
      <c r="F324" s="1" t="s">
        <v>85</v>
      </c>
      <c r="G324" s="1" t="s">
        <v>71</v>
      </c>
      <c r="H324" s="1" t="s">
        <v>16</v>
      </c>
      <c r="I324" s="2" cm="1">
        <f t="array" ref="I324">IFERROR(
    Games[[#This Row],[Date]]
    - LOOKUP(
        2,
        1/((Games[Team]=Games[[#This Row],[Team]]) * (Games[Date] &lt; Games[[#This Row],[Date]])),
        Games[Date]
    )
    - 1,
Games[[#This Row],[Date]]-$A$2)</f>
        <v>2</v>
      </c>
      <c r="J324" s="2" cm="1">
        <f t="array" ref="J324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324" s="2">
        <f>Games[[#This Row],[DaysOff]]-Games[[#This Row],[OppDaysOff]]</f>
        <v>-3</v>
      </c>
      <c r="L324" s="2">
        <f>Games[[#This Row],[OppDaysOff]]-Games[[#This Row],[DaysOff]]</f>
        <v>3</v>
      </c>
      <c r="M324" s="1">
        <f>MAX(-16, MIN(16, Games[[#This Row],[RestDiff]]*8))</f>
        <v>-16</v>
      </c>
      <c r="N324" s="1">
        <f>MAX(-16, MIN(16, Games[[#This Row],[OppRestDiff]]*8))</f>
        <v>16</v>
      </c>
      <c r="O324" s="4" cm="1">
        <f t="array" ref="O32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1391.0150112761621</v>
      </c>
      <c r="P324" s="4" cm="1">
        <f t="array" ref="P32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1659.5684839290946</v>
      </c>
      <c r="Q324" s="4">
        <f>1/(1+10^(((Games[[#This Row],[OppPreGmRate]]+IF(Games[[#This Row],[HomeAway]]="A",HCA,0)+Games[[#This Row],[OppRestAdj]])-(Games[[#This Row],[PreGmRate]]+IF(Games[[#This Row],[HomeAway]]="H",HCA,0)+Games[[#This Row],[RestAdj]]))/400))</f>
        <v>9.8529818795665941E-2</v>
      </c>
      <c r="R324" s="1">
        <v>70</v>
      </c>
      <c r="S324" s="1">
        <v>62</v>
      </c>
      <c r="T324" s="1">
        <v>0</v>
      </c>
      <c r="U324" s="1">
        <f>Games[[#This Row],[PointsFor]]-Games[[#This Row],[PointsAgainst]]</f>
        <v>8</v>
      </c>
      <c r="V324" s="1">
        <f>IF(Games[[#This Row],[MOV]]&gt;0,1,IF(Games[[#This Row],[MOV]]=0,0.5,0))</f>
        <v>1</v>
      </c>
      <c r="W324" s="4">
        <f>((ABS(Games[[#This Row],[MOV]])+5)^0.6)/(12+0.01*(ABS(Games[[#This Row],[PreGmRate]]-Games[[#This Row],[OppPreGmRate]])))*IF(Games[[#This Row],[OT]]=1,0.9,1)</f>
        <v>0.31730451133101689</v>
      </c>
      <c r="X324" s="7" cm="1">
        <f t="array" ref="X32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4" s="9">
        <f>MAX(kmin, kmax - 0.15 * MIN(Games[[#This Row],[GamesPlayed]], 82))</f>
        <v>72.400000000000006</v>
      </c>
      <c r="Z324" s="4">
        <f>Games[[#This Row],[K]]*Games[[#This Row],[POMult]]</f>
        <v>72.400000000000006</v>
      </c>
      <c r="AA324" s="4">
        <f>(Games[[#This Row],[Keff]]*Games[[#This Row],[MOVMult]])*(Games[[#This Row],[Result]]-Games[[#This Row],[ExpectedWin%]])</f>
        <v>20.709336205640376</v>
      </c>
      <c r="AB324" s="4">
        <f>Games[[#This Row],[PreGmRate]]+Games[[#This Row],[RatingChange]]</f>
        <v>1411.7243474818024</v>
      </c>
      <c r="AC324" s="2">
        <f>IF(Games[[#This Row],[Type]]="R",IF(Games[[#This Row],[Result]]&gt;0.5,1,0),0)</f>
        <v>1</v>
      </c>
      <c r="AD324" s="2">
        <f>IF(Games[[#This Row],[Type]]="R",IF(Games[[#This Row],[Result]]&lt;0.5,1,0),0)</f>
        <v>0</v>
      </c>
      <c r="AE324" s="2">
        <f>IF(AND(Games[[#This Row],[Type]]="P",Games[[#This Row],[Round]]=1),IF(Games[[#This Row],[Result]]&gt;0.5,1,0),0)</f>
        <v>0</v>
      </c>
      <c r="AF324" s="2">
        <f>IF(AND(Games[[#This Row],[Type]]="P",Games[[#This Row],[Round]]=1),IF(Games[[#This Row],[Result]]&lt;0.5,1,0),0)</f>
        <v>0</v>
      </c>
      <c r="AG324" s="2">
        <f>IF(AND(Games[[#This Row],[Type]]="P",Games[[#This Row],[Round]]=2),IF(Games[[#This Row],[Result]]&gt;0.5,1,0),0)</f>
        <v>0</v>
      </c>
      <c r="AH324" s="2">
        <f>IF(AND(Games[[#This Row],[Type]]="P",Games[[#This Row],[Round]]=2),IF(Games[[#This Row],[Result]]&lt;0.5,1,0),0)</f>
        <v>0</v>
      </c>
      <c r="AI324" s="2">
        <f>IF(AND(Games[[#This Row],[Type]]="P",Games[[#This Row],[Round]]=3),IF(Games[[#This Row],[Result]]&gt;0.5,1,0),0)</f>
        <v>0</v>
      </c>
      <c r="AJ324" s="2">
        <f>IF(AND(Games[[#This Row],[Type]]="P",Games[[#This Row],[Round]]=3),IF(Games[[#This Row],[Result]]&lt;0.5,1,0),0)</f>
        <v>0</v>
      </c>
      <c r="AK324" s="2">
        <f>IF(AND(Games[[#This Row],[Type]]="P",Games[[#This Row],[Round]]=4),IF(Games[[#This Row],[Result]]&gt;0.5,1,0),0)</f>
        <v>0</v>
      </c>
      <c r="AL324" s="2">
        <f>IF(AND(Games[[#This Row],[Type]]="P",Games[[#This Row],[Round]]=4),IF(Games[[#This Row],[Result]]&lt;0.5,1,0),0)</f>
        <v>0</v>
      </c>
    </row>
    <row r="325" spans="1:38" x14ac:dyDescent="0.35">
      <c r="A325" s="10">
        <v>37832</v>
      </c>
      <c r="B325" s="2">
        <v>2003</v>
      </c>
      <c r="C325" s="2">
        <f>COUNTIFS(Games[Team],Games[[#This Row],[Team]],Games[Season],Games[[#This Row],[Season]],Games[Date],"&lt;=" &amp; Games[[#This Row],[Date]])</f>
        <v>24</v>
      </c>
      <c r="D325" s="2" t="s">
        <v>23</v>
      </c>
      <c r="E325" s="2" t="s">
        <v>29</v>
      </c>
      <c r="F325" s="1" t="s">
        <v>71</v>
      </c>
      <c r="G325" s="1" t="s">
        <v>85</v>
      </c>
      <c r="H325" s="1" t="s">
        <v>15</v>
      </c>
      <c r="I325" s="2" cm="1">
        <f t="array" ref="I325">IFERROR(
    Games[[#This Row],[Date]]
    - LOOKUP(
        2,
        1/((Games[Team]=Games[[#This Row],[Team]]) * (Games[Date] &lt; Games[[#This Row],[Date]])),
        Games[Date]
    )
    - 1,
Games[[#This Row],[Date]]-$A$2)</f>
        <v>5</v>
      </c>
      <c r="J325" s="2" cm="1">
        <f t="array" ref="J32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25" s="2">
        <f>Games[[#This Row],[DaysOff]]-Games[[#This Row],[OppDaysOff]]</f>
        <v>3</v>
      </c>
      <c r="L325" s="2">
        <f>Games[[#This Row],[OppDaysOff]]-Games[[#This Row],[DaysOff]]</f>
        <v>-3</v>
      </c>
      <c r="M325" s="1">
        <f>MAX(-16, MIN(16, Games[[#This Row],[RestDiff]]*8))</f>
        <v>16</v>
      </c>
      <c r="N325" s="1">
        <f>MAX(-16, MIN(16, Games[[#This Row],[OppRestDiff]]*8))</f>
        <v>-16</v>
      </c>
      <c r="O325" s="4" cm="1">
        <f t="array" ref="O32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1659.5684839290946</v>
      </c>
      <c r="P325" s="4" cm="1">
        <f t="array" ref="P32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1391.0150112761621</v>
      </c>
      <c r="Q325" s="4">
        <f>1/(1+10^(((Games[[#This Row],[OppPreGmRate]]+IF(Games[[#This Row],[HomeAway]]="A",HCA,0)+Games[[#This Row],[OppRestAdj]])-(Games[[#This Row],[PreGmRate]]+IF(Games[[#This Row],[HomeAway]]="H",HCA,0)+Games[[#This Row],[RestAdj]]))/400))</f>
        <v>0.90147018120433398</v>
      </c>
      <c r="R325" s="1">
        <v>62</v>
      </c>
      <c r="S325" s="1">
        <v>70</v>
      </c>
      <c r="T325" s="1">
        <v>0</v>
      </c>
      <c r="U325" s="1">
        <f>Games[[#This Row],[PointsFor]]-Games[[#This Row],[PointsAgainst]]</f>
        <v>-8</v>
      </c>
      <c r="V325" s="1">
        <f>IF(Games[[#This Row],[MOV]]&gt;0,1,IF(Games[[#This Row],[MOV]]=0,0.5,0))</f>
        <v>0</v>
      </c>
      <c r="W325" s="4">
        <f>((ABS(Games[[#This Row],[MOV]])+5)^0.6)/(12+0.01*(ABS(Games[[#This Row],[PreGmRate]]-Games[[#This Row],[OppPreGmRate]])))*IF(Games[[#This Row],[OT]]=1,0.9,1)</f>
        <v>0.31730451133101689</v>
      </c>
      <c r="X325" s="7" cm="1">
        <f t="array" ref="X32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5" s="9">
        <f>MAX(kmin, kmax - 0.15 * MIN(Games[[#This Row],[GamesPlayed]], 82))</f>
        <v>72.400000000000006</v>
      </c>
      <c r="Z325" s="4">
        <f>Games[[#This Row],[K]]*Games[[#This Row],[POMult]]</f>
        <v>72.400000000000006</v>
      </c>
      <c r="AA325" s="4">
        <f>(Games[[#This Row],[Keff]]*Games[[#This Row],[MOVMult]])*(Games[[#This Row],[Result]]-Games[[#This Row],[ExpectedWin%]])</f>
        <v>-20.709336205640373</v>
      </c>
      <c r="AB325" s="4">
        <f>Games[[#This Row],[PreGmRate]]+Games[[#This Row],[RatingChange]]</f>
        <v>1638.8591477234543</v>
      </c>
      <c r="AC325" s="2">
        <f>IF(Games[[#This Row],[Type]]="R",IF(Games[[#This Row],[Result]]&gt;0.5,1,0),0)</f>
        <v>0</v>
      </c>
      <c r="AD325" s="2">
        <f>IF(Games[[#This Row],[Type]]="R",IF(Games[[#This Row],[Result]]&lt;0.5,1,0),0)</f>
        <v>1</v>
      </c>
      <c r="AE325" s="2">
        <f>IF(AND(Games[[#This Row],[Type]]="P",Games[[#This Row],[Round]]=1),IF(Games[[#This Row],[Result]]&gt;0.5,1,0),0)</f>
        <v>0</v>
      </c>
      <c r="AF325" s="2">
        <f>IF(AND(Games[[#This Row],[Type]]="P",Games[[#This Row],[Round]]=1),IF(Games[[#This Row],[Result]]&lt;0.5,1,0),0)</f>
        <v>0</v>
      </c>
      <c r="AG325" s="2">
        <f>IF(AND(Games[[#This Row],[Type]]="P",Games[[#This Row],[Round]]=2),IF(Games[[#This Row],[Result]]&gt;0.5,1,0),0)</f>
        <v>0</v>
      </c>
      <c r="AH325" s="2">
        <f>IF(AND(Games[[#This Row],[Type]]="P",Games[[#This Row],[Round]]=2),IF(Games[[#This Row],[Result]]&lt;0.5,1,0),0)</f>
        <v>0</v>
      </c>
      <c r="AI325" s="2">
        <f>IF(AND(Games[[#This Row],[Type]]="P",Games[[#This Row],[Round]]=3),IF(Games[[#This Row],[Result]]&gt;0.5,1,0),0)</f>
        <v>0</v>
      </c>
      <c r="AJ325" s="2">
        <f>IF(AND(Games[[#This Row],[Type]]="P",Games[[#This Row],[Round]]=3),IF(Games[[#This Row],[Result]]&lt;0.5,1,0),0)</f>
        <v>0</v>
      </c>
      <c r="AK325" s="2">
        <f>IF(AND(Games[[#This Row],[Type]]="P",Games[[#This Row],[Round]]=4),IF(Games[[#This Row],[Result]]&gt;0.5,1,0),0)</f>
        <v>0</v>
      </c>
      <c r="AL325" s="2">
        <f>IF(AND(Games[[#This Row],[Type]]="P",Games[[#This Row],[Round]]=4),IF(Games[[#This Row],[Result]]&lt;0.5,1,0),0)</f>
        <v>0</v>
      </c>
    </row>
    <row r="326" spans="1:38" x14ac:dyDescent="0.35">
      <c r="A326" s="10">
        <v>37833</v>
      </c>
      <c r="B326" s="2">
        <v>2003</v>
      </c>
      <c r="C326" s="2">
        <f>COUNTIFS(Games[Team],Games[[#This Row],[Team]],Games[Season],Games[[#This Row],[Season]],Games[Date],"&lt;=" &amp; Games[[#This Row],[Date]])</f>
        <v>25</v>
      </c>
      <c r="D326" s="2" t="s">
        <v>23</v>
      </c>
      <c r="E326" s="2" t="s">
        <v>29</v>
      </c>
      <c r="F326" s="1" t="s">
        <v>71</v>
      </c>
      <c r="G326" s="1" t="s">
        <v>45</v>
      </c>
      <c r="H326" s="1" t="s">
        <v>16</v>
      </c>
      <c r="I326" s="2" cm="1">
        <f t="array" ref="I326">IFERROR(
    Games[[#This Row],[Date]]
    - LOOKUP(
        2,
        1/((Games[Team]=Games[[#This Row],[Team]]) * (Games[Date] &lt; Games[[#This Row],[Date]])),
        Games[Date]
    )
    - 1,
Games[[#This Row],[Date]]-$A$2)</f>
        <v>0</v>
      </c>
      <c r="J326" s="2" cm="1">
        <f t="array" ref="J326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326" s="2">
        <f>Games[[#This Row],[DaysOff]]-Games[[#This Row],[OppDaysOff]]</f>
        <v>-4</v>
      </c>
      <c r="L326" s="2">
        <f>Games[[#This Row],[OppDaysOff]]-Games[[#This Row],[DaysOff]]</f>
        <v>4</v>
      </c>
      <c r="M326" s="1">
        <f>MAX(-16, MIN(16, Games[[#This Row],[RestDiff]]*8))</f>
        <v>-16</v>
      </c>
      <c r="N326" s="1">
        <f>MAX(-16, MIN(16, Games[[#This Row],[OppRestDiff]]*8))</f>
        <v>16</v>
      </c>
      <c r="O326" s="4" cm="1">
        <f t="array" ref="O32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1638.8591477234543</v>
      </c>
      <c r="P326" s="4" cm="1">
        <f t="array" ref="P32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1530.9123027619742</v>
      </c>
      <c r="Q326" s="4">
        <f>1/(1+10^(((Games[[#This Row],[OppPreGmRate]]+IF(Games[[#This Row],[HomeAway]]="A",HCA,0)+Games[[#This Row],[OppRestAdj]])-(Games[[#This Row],[PreGmRate]]+IF(Games[[#This Row],[HomeAway]]="H",HCA,0)+Games[[#This Row],[RestAdj]]))/400))</f>
        <v>0.48841265334572315</v>
      </c>
      <c r="R326" s="1">
        <v>75</v>
      </c>
      <c r="S326" s="1">
        <v>83</v>
      </c>
      <c r="T326" s="1">
        <v>0</v>
      </c>
      <c r="U326" s="1">
        <f>Games[[#This Row],[PointsFor]]-Games[[#This Row],[PointsAgainst]]</f>
        <v>-8</v>
      </c>
      <c r="V326" s="1">
        <f>IF(Games[[#This Row],[MOV]]&gt;0,1,IF(Games[[#This Row],[MOV]]=0,0.5,0))</f>
        <v>0</v>
      </c>
      <c r="W326" s="4">
        <f>((ABS(Games[[#This Row],[MOV]])+5)^0.6)/(12+0.01*(ABS(Games[[#This Row],[PreGmRate]]-Games[[#This Row],[OppPreGmRate]])))*IF(Games[[#This Row],[OT]]=1,0.9,1)</f>
        <v>0.35626726254103236</v>
      </c>
      <c r="X326" s="7" cm="1">
        <f t="array" ref="X32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6" s="9">
        <f>MAX(kmin, kmax - 0.15 * MIN(Games[[#This Row],[GamesPlayed]], 82))</f>
        <v>72.25</v>
      </c>
      <c r="Z326" s="4">
        <f>Games[[#This Row],[K]]*Games[[#This Row],[POMult]]</f>
        <v>72.25</v>
      </c>
      <c r="AA326" s="4">
        <f>(Games[[#This Row],[Keff]]*Games[[#This Row],[MOVMult]])*(Games[[#This Row],[Result]]-Games[[#This Row],[ExpectedWin%]])</f>
        <v>-12.571892967597046</v>
      </c>
      <c r="AB326" s="4">
        <f>Games[[#This Row],[PreGmRate]]+Games[[#This Row],[RatingChange]]</f>
        <v>1626.2872547558572</v>
      </c>
      <c r="AC326" s="2">
        <f>IF(Games[[#This Row],[Type]]="R",IF(Games[[#This Row],[Result]]&gt;0.5,1,0),0)</f>
        <v>0</v>
      </c>
      <c r="AD326" s="2">
        <f>IF(Games[[#This Row],[Type]]="R",IF(Games[[#This Row],[Result]]&lt;0.5,1,0),0)</f>
        <v>1</v>
      </c>
      <c r="AE326" s="2">
        <f>IF(AND(Games[[#This Row],[Type]]="P",Games[[#This Row],[Round]]=1),IF(Games[[#This Row],[Result]]&gt;0.5,1,0),0)</f>
        <v>0</v>
      </c>
      <c r="AF326" s="2">
        <f>IF(AND(Games[[#This Row],[Type]]="P",Games[[#This Row],[Round]]=1),IF(Games[[#This Row],[Result]]&lt;0.5,1,0),0)</f>
        <v>0</v>
      </c>
      <c r="AG326" s="2">
        <f>IF(AND(Games[[#This Row],[Type]]="P",Games[[#This Row],[Round]]=2),IF(Games[[#This Row],[Result]]&gt;0.5,1,0),0)</f>
        <v>0</v>
      </c>
      <c r="AH326" s="2">
        <f>IF(AND(Games[[#This Row],[Type]]="P",Games[[#This Row],[Round]]=2),IF(Games[[#This Row],[Result]]&lt;0.5,1,0),0)</f>
        <v>0</v>
      </c>
      <c r="AI326" s="2">
        <f>IF(AND(Games[[#This Row],[Type]]="P",Games[[#This Row],[Round]]=3),IF(Games[[#This Row],[Result]]&gt;0.5,1,0),0)</f>
        <v>0</v>
      </c>
      <c r="AJ326" s="2">
        <f>IF(AND(Games[[#This Row],[Type]]="P",Games[[#This Row],[Round]]=3),IF(Games[[#This Row],[Result]]&lt;0.5,1,0),0)</f>
        <v>0</v>
      </c>
      <c r="AK326" s="2">
        <f>IF(AND(Games[[#This Row],[Type]]="P",Games[[#This Row],[Round]]=4),IF(Games[[#This Row],[Result]]&gt;0.5,1,0),0)</f>
        <v>0</v>
      </c>
      <c r="AL326" s="2">
        <f>IF(AND(Games[[#This Row],[Type]]="P",Games[[#This Row],[Round]]=4),IF(Games[[#This Row],[Result]]&lt;0.5,1,0),0)</f>
        <v>0</v>
      </c>
    </row>
    <row r="327" spans="1:38" x14ac:dyDescent="0.35">
      <c r="A327" s="10">
        <v>37833</v>
      </c>
      <c r="B327" s="2">
        <v>2003</v>
      </c>
      <c r="C327" s="2">
        <f>COUNTIFS(Games[Team],Games[[#This Row],[Team]],Games[Season],Games[[#This Row],[Season]],Games[Date],"&lt;=" &amp; Games[[#This Row],[Date]])</f>
        <v>25</v>
      </c>
      <c r="D327" s="2" t="s">
        <v>23</v>
      </c>
      <c r="E327" s="2" t="s">
        <v>29</v>
      </c>
      <c r="F327" s="1" t="s">
        <v>45</v>
      </c>
      <c r="G327" s="1" t="s">
        <v>71</v>
      </c>
      <c r="H327" s="1" t="s">
        <v>15</v>
      </c>
      <c r="I327" s="2" cm="1">
        <f t="array" ref="I327">IFERROR(
    Games[[#This Row],[Date]]
    - LOOKUP(
        2,
        1/((Games[Team]=Games[[#This Row],[Team]]) * (Games[Date] &lt; Games[[#This Row],[Date]])),
        Games[Date]
    )
    - 1,
Games[[#This Row],[Date]]-$A$2)</f>
        <v>4</v>
      </c>
      <c r="J327" s="2" cm="1">
        <f t="array" ref="J327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27" s="2">
        <f>Games[[#This Row],[DaysOff]]-Games[[#This Row],[OppDaysOff]]</f>
        <v>4</v>
      </c>
      <c r="L327" s="2">
        <f>Games[[#This Row],[OppDaysOff]]-Games[[#This Row],[DaysOff]]</f>
        <v>-4</v>
      </c>
      <c r="M327" s="1">
        <f>MAX(-16, MIN(16, Games[[#This Row],[RestDiff]]*8))</f>
        <v>16</v>
      </c>
      <c r="N327" s="1">
        <f>MAX(-16, MIN(16, Games[[#This Row],[OppRestDiff]]*8))</f>
        <v>-16</v>
      </c>
      <c r="O327" s="4" cm="1">
        <f t="array" ref="O32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1530.9123027619742</v>
      </c>
      <c r="P327" s="4" cm="1">
        <f t="array" ref="P32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1638.8591477234543</v>
      </c>
      <c r="Q327" s="4">
        <f>1/(1+10^(((Games[[#This Row],[OppPreGmRate]]+IF(Games[[#This Row],[HomeAway]]="A",HCA,0)+Games[[#This Row],[OppRestAdj]])-(Games[[#This Row],[PreGmRate]]+IF(Games[[#This Row],[HomeAway]]="H",HCA,0)+Games[[#This Row],[RestAdj]]))/400))</f>
        <v>0.51158734665427685</v>
      </c>
      <c r="R327" s="1">
        <v>83</v>
      </c>
      <c r="S327" s="1">
        <v>75</v>
      </c>
      <c r="T327" s="1">
        <v>0</v>
      </c>
      <c r="U327" s="1">
        <f>Games[[#This Row],[PointsFor]]-Games[[#This Row],[PointsAgainst]]</f>
        <v>8</v>
      </c>
      <c r="V327" s="1">
        <f>IF(Games[[#This Row],[MOV]]&gt;0,1,IF(Games[[#This Row],[MOV]]=0,0.5,0))</f>
        <v>1</v>
      </c>
      <c r="W327" s="4">
        <f>((ABS(Games[[#This Row],[MOV]])+5)^0.6)/(12+0.01*(ABS(Games[[#This Row],[PreGmRate]]-Games[[#This Row],[OppPreGmRate]])))*IF(Games[[#This Row],[OT]]=1,0.9,1)</f>
        <v>0.35626726254103236</v>
      </c>
      <c r="X327" s="7" cm="1">
        <f t="array" ref="X32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7" s="9">
        <f>MAX(kmin, kmax - 0.15 * MIN(Games[[#This Row],[GamesPlayed]], 82))</f>
        <v>72.25</v>
      </c>
      <c r="Z327" s="4">
        <f>Games[[#This Row],[K]]*Games[[#This Row],[POMult]]</f>
        <v>72.25</v>
      </c>
      <c r="AA327" s="4">
        <f>(Games[[#This Row],[Keff]]*Games[[#This Row],[MOVMult]])*(Games[[#This Row],[Result]]-Games[[#This Row],[ExpectedWin%]])</f>
        <v>12.571892967597046</v>
      </c>
      <c r="AB327" s="4">
        <f>Games[[#This Row],[PreGmRate]]+Games[[#This Row],[RatingChange]]</f>
        <v>1543.4841957295712</v>
      </c>
      <c r="AC327" s="2">
        <f>IF(Games[[#This Row],[Type]]="R",IF(Games[[#This Row],[Result]]&gt;0.5,1,0),0)</f>
        <v>1</v>
      </c>
      <c r="AD327" s="2">
        <f>IF(Games[[#This Row],[Type]]="R",IF(Games[[#This Row],[Result]]&lt;0.5,1,0),0)</f>
        <v>0</v>
      </c>
      <c r="AE327" s="2">
        <f>IF(AND(Games[[#This Row],[Type]]="P",Games[[#This Row],[Round]]=1),IF(Games[[#This Row],[Result]]&gt;0.5,1,0),0)</f>
        <v>0</v>
      </c>
      <c r="AF327" s="2">
        <f>IF(AND(Games[[#This Row],[Type]]="P",Games[[#This Row],[Round]]=1),IF(Games[[#This Row],[Result]]&lt;0.5,1,0),0)</f>
        <v>0</v>
      </c>
      <c r="AG327" s="2">
        <f>IF(AND(Games[[#This Row],[Type]]="P",Games[[#This Row],[Round]]=2),IF(Games[[#This Row],[Result]]&gt;0.5,1,0),0)</f>
        <v>0</v>
      </c>
      <c r="AH327" s="2">
        <f>IF(AND(Games[[#This Row],[Type]]="P",Games[[#This Row],[Round]]=2),IF(Games[[#This Row],[Result]]&lt;0.5,1,0),0)</f>
        <v>0</v>
      </c>
      <c r="AI327" s="2">
        <f>IF(AND(Games[[#This Row],[Type]]="P",Games[[#This Row],[Round]]=3),IF(Games[[#This Row],[Result]]&gt;0.5,1,0),0)</f>
        <v>0</v>
      </c>
      <c r="AJ327" s="2">
        <f>IF(AND(Games[[#This Row],[Type]]="P",Games[[#This Row],[Round]]=3),IF(Games[[#This Row],[Result]]&lt;0.5,1,0),0)</f>
        <v>0</v>
      </c>
      <c r="AK327" s="2">
        <f>IF(AND(Games[[#This Row],[Type]]="P",Games[[#This Row],[Round]]=4),IF(Games[[#This Row],[Result]]&gt;0.5,1,0),0)</f>
        <v>0</v>
      </c>
      <c r="AL327" s="2">
        <f>IF(AND(Games[[#This Row],[Type]]="P",Games[[#This Row],[Round]]=4),IF(Games[[#This Row],[Result]]&lt;0.5,1,0),0)</f>
        <v>0</v>
      </c>
    </row>
    <row r="328" spans="1:38" x14ac:dyDescent="0.35">
      <c r="A328" s="10">
        <v>37833</v>
      </c>
      <c r="B328" s="2">
        <v>2003</v>
      </c>
      <c r="C328" s="2">
        <f>COUNTIFS(Games[Team],Games[[#This Row],[Team]],Games[Season],Games[[#This Row],[Season]],Games[Date],"&lt;=" &amp; Games[[#This Row],[Date]])</f>
        <v>24</v>
      </c>
      <c r="D328" s="2" t="s">
        <v>23</v>
      </c>
      <c r="E328" s="2" t="s">
        <v>29</v>
      </c>
      <c r="F328" s="1" t="s">
        <v>64</v>
      </c>
      <c r="G328" s="1" t="s">
        <v>82</v>
      </c>
      <c r="H328" s="1" t="s">
        <v>16</v>
      </c>
      <c r="I328" s="2" cm="1">
        <f t="array" ref="I328">IFERROR(
    Games[[#This Row],[Date]]
    - LOOKUP(
        2,
        1/((Games[Team]=Games[[#This Row],[Team]]) * (Games[Date] &lt; Games[[#This Row],[Date]])),
        Games[Date]
    )
    - 1,
Games[[#This Row],[Date]]-$A$2)</f>
        <v>4</v>
      </c>
      <c r="J328" s="2" cm="1">
        <f t="array" ref="J328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328" s="2">
        <f>Games[[#This Row],[DaysOff]]-Games[[#This Row],[OppDaysOff]]</f>
        <v>0</v>
      </c>
      <c r="L328" s="2">
        <f>Games[[#This Row],[OppDaysOff]]-Games[[#This Row],[DaysOff]]</f>
        <v>0</v>
      </c>
      <c r="M328" s="1">
        <f>MAX(-16, MIN(16, Games[[#This Row],[RestDiff]]*8))</f>
        <v>0</v>
      </c>
      <c r="N328" s="1">
        <f>MAX(-16, MIN(16, Games[[#This Row],[OppRestDiff]]*8))</f>
        <v>0</v>
      </c>
      <c r="O328" s="4" cm="1">
        <f t="array" ref="O32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1517.9749634652119</v>
      </c>
      <c r="P328" s="4" cm="1">
        <f t="array" ref="P32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1552.4449743463997</v>
      </c>
      <c r="Q328" s="4">
        <f>1/(1+10^(((Games[[#This Row],[OppPreGmRate]]+IF(Games[[#This Row],[HomeAway]]="A",HCA,0)+Games[[#This Row],[OppRestAdj]])-(Games[[#This Row],[PreGmRate]]+IF(Games[[#This Row],[HomeAway]]="H",HCA,0)+Games[[#This Row],[RestAdj]]))/400))</f>
        <v>0.335822161842106</v>
      </c>
      <c r="R328" s="1">
        <v>54</v>
      </c>
      <c r="S328" s="1">
        <v>69</v>
      </c>
      <c r="T328" s="1">
        <v>0</v>
      </c>
      <c r="U328" s="1">
        <f>Games[[#This Row],[PointsFor]]-Games[[#This Row],[PointsAgainst]]</f>
        <v>-15</v>
      </c>
      <c r="V328" s="1">
        <f>IF(Games[[#This Row],[MOV]]&gt;0,1,IF(Games[[#This Row],[MOV]]=0,0.5,0))</f>
        <v>0</v>
      </c>
      <c r="W328" s="4">
        <f>((ABS(Games[[#This Row],[MOV]])+5)^0.6)/(12+0.01*(ABS(Games[[#This Row],[PreGmRate]]-Games[[#This Row],[OppPreGmRate]])))*IF(Games[[#This Row],[OT]]=1,0.9,1)</f>
        <v>0.48880704135030822</v>
      </c>
      <c r="X328" s="7" cm="1">
        <f t="array" ref="X32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8" s="9">
        <f>MAX(kmin, kmax - 0.15 * MIN(Games[[#This Row],[GamesPlayed]], 82))</f>
        <v>72.400000000000006</v>
      </c>
      <c r="Z328" s="4">
        <f>Games[[#This Row],[K]]*Games[[#This Row],[POMult]]</f>
        <v>72.400000000000006</v>
      </c>
      <c r="AA328" s="4">
        <f>(Games[[#This Row],[Keff]]*Games[[#This Row],[MOVMult]])*(Games[[#This Row],[Result]]-Games[[#This Row],[ExpectedWin%]])</f>
        <v>-11.884621984133066</v>
      </c>
      <c r="AB328" s="4">
        <f>Games[[#This Row],[PreGmRate]]+Games[[#This Row],[RatingChange]]</f>
        <v>1506.0903414810789</v>
      </c>
      <c r="AC328" s="2">
        <f>IF(Games[[#This Row],[Type]]="R",IF(Games[[#This Row],[Result]]&gt;0.5,1,0),0)</f>
        <v>0</v>
      </c>
      <c r="AD328" s="2">
        <f>IF(Games[[#This Row],[Type]]="R",IF(Games[[#This Row],[Result]]&lt;0.5,1,0),0)</f>
        <v>1</v>
      </c>
      <c r="AE328" s="2">
        <f>IF(AND(Games[[#This Row],[Type]]="P",Games[[#This Row],[Round]]=1),IF(Games[[#This Row],[Result]]&gt;0.5,1,0),0)</f>
        <v>0</v>
      </c>
      <c r="AF328" s="2">
        <f>IF(AND(Games[[#This Row],[Type]]="P",Games[[#This Row],[Round]]=1),IF(Games[[#This Row],[Result]]&lt;0.5,1,0),0)</f>
        <v>0</v>
      </c>
      <c r="AG328" s="2">
        <f>IF(AND(Games[[#This Row],[Type]]="P",Games[[#This Row],[Round]]=2),IF(Games[[#This Row],[Result]]&gt;0.5,1,0),0)</f>
        <v>0</v>
      </c>
      <c r="AH328" s="2">
        <f>IF(AND(Games[[#This Row],[Type]]="P",Games[[#This Row],[Round]]=2),IF(Games[[#This Row],[Result]]&lt;0.5,1,0),0)</f>
        <v>0</v>
      </c>
      <c r="AI328" s="2">
        <f>IF(AND(Games[[#This Row],[Type]]="P",Games[[#This Row],[Round]]=3),IF(Games[[#This Row],[Result]]&gt;0.5,1,0),0)</f>
        <v>0</v>
      </c>
      <c r="AJ328" s="2">
        <f>IF(AND(Games[[#This Row],[Type]]="P",Games[[#This Row],[Round]]=3),IF(Games[[#This Row],[Result]]&lt;0.5,1,0),0)</f>
        <v>0</v>
      </c>
      <c r="AK328" s="2">
        <f>IF(AND(Games[[#This Row],[Type]]="P",Games[[#This Row],[Round]]=4),IF(Games[[#This Row],[Result]]&gt;0.5,1,0),0)</f>
        <v>0</v>
      </c>
      <c r="AL328" s="2">
        <f>IF(AND(Games[[#This Row],[Type]]="P",Games[[#This Row],[Round]]=4),IF(Games[[#This Row],[Result]]&lt;0.5,1,0),0)</f>
        <v>0</v>
      </c>
    </row>
    <row r="329" spans="1:38" x14ac:dyDescent="0.35">
      <c r="A329" s="10">
        <v>37833</v>
      </c>
      <c r="B329" s="2">
        <v>2003</v>
      </c>
      <c r="C329" s="2">
        <f>COUNTIFS(Games[Team],Games[[#This Row],[Team]],Games[Season],Games[[#This Row],[Season]],Games[Date],"&lt;=" &amp; Games[[#This Row],[Date]])</f>
        <v>24</v>
      </c>
      <c r="D329" s="2" t="s">
        <v>23</v>
      </c>
      <c r="E329" s="2" t="s">
        <v>29</v>
      </c>
      <c r="F329" s="1" t="s">
        <v>82</v>
      </c>
      <c r="G329" s="1" t="s">
        <v>64</v>
      </c>
      <c r="H329" s="1" t="s">
        <v>15</v>
      </c>
      <c r="I329" s="2" cm="1">
        <f t="array" ref="I329">IFERROR(
    Games[[#This Row],[Date]]
    - LOOKUP(
        2,
        1/((Games[Team]=Games[[#This Row],[Team]]) * (Games[Date] &lt; Games[[#This Row],[Date]])),
        Games[Date]
    )
    - 1,
Games[[#This Row],[Date]]-$A$2)</f>
        <v>4</v>
      </c>
      <c r="J329" s="2" cm="1">
        <f t="array" ref="J329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329" s="2">
        <f>Games[[#This Row],[DaysOff]]-Games[[#This Row],[OppDaysOff]]</f>
        <v>0</v>
      </c>
      <c r="L329" s="2">
        <f>Games[[#This Row],[OppDaysOff]]-Games[[#This Row],[DaysOff]]</f>
        <v>0</v>
      </c>
      <c r="M329" s="1">
        <f>MAX(-16, MIN(16, Games[[#This Row],[RestDiff]]*8))</f>
        <v>0</v>
      </c>
      <c r="N329" s="1">
        <f>MAX(-16, MIN(16, Games[[#This Row],[OppRestDiff]]*8))</f>
        <v>0</v>
      </c>
      <c r="O329" s="4" cm="1">
        <f t="array" ref="O32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1552.4449743463997</v>
      </c>
      <c r="P329" s="4" cm="1">
        <f t="array" ref="P32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1517.9749634652119</v>
      </c>
      <c r="Q329" s="4">
        <f>1/(1+10^(((Games[[#This Row],[OppPreGmRate]]+IF(Games[[#This Row],[HomeAway]]="A",HCA,0)+Games[[#This Row],[OppRestAdj]])-(Games[[#This Row],[PreGmRate]]+IF(Games[[#This Row],[HomeAway]]="H",HCA,0)+Games[[#This Row],[RestAdj]]))/400))</f>
        <v>0.664177838157894</v>
      </c>
      <c r="R329" s="1">
        <v>69</v>
      </c>
      <c r="S329" s="1">
        <v>54</v>
      </c>
      <c r="T329" s="1">
        <v>0</v>
      </c>
      <c r="U329" s="1">
        <f>Games[[#This Row],[PointsFor]]-Games[[#This Row],[PointsAgainst]]</f>
        <v>15</v>
      </c>
      <c r="V329" s="1">
        <f>IF(Games[[#This Row],[MOV]]&gt;0,1,IF(Games[[#This Row],[MOV]]=0,0.5,0))</f>
        <v>1</v>
      </c>
      <c r="W329" s="4">
        <f>((ABS(Games[[#This Row],[MOV]])+5)^0.6)/(12+0.01*(ABS(Games[[#This Row],[PreGmRate]]-Games[[#This Row],[OppPreGmRate]])))*IF(Games[[#This Row],[OT]]=1,0.9,1)</f>
        <v>0.48880704135030822</v>
      </c>
      <c r="X329" s="7" cm="1">
        <f t="array" ref="X32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9" s="9">
        <f>MAX(kmin, kmax - 0.15 * MIN(Games[[#This Row],[GamesPlayed]], 82))</f>
        <v>72.400000000000006</v>
      </c>
      <c r="Z329" s="4">
        <f>Games[[#This Row],[K]]*Games[[#This Row],[POMult]]</f>
        <v>72.400000000000006</v>
      </c>
      <c r="AA329" s="4">
        <f>(Games[[#This Row],[Keff]]*Games[[#This Row],[MOVMult]])*(Games[[#This Row],[Result]]-Games[[#This Row],[ExpectedWin%]])</f>
        <v>11.884621984133066</v>
      </c>
      <c r="AB329" s="4">
        <f>Games[[#This Row],[PreGmRate]]+Games[[#This Row],[RatingChange]]</f>
        <v>1564.3295963305327</v>
      </c>
      <c r="AC329" s="2">
        <f>IF(Games[[#This Row],[Type]]="R",IF(Games[[#This Row],[Result]]&gt;0.5,1,0),0)</f>
        <v>1</v>
      </c>
      <c r="AD329" s="2">
        <f>IF(Games[[#This Row],[Type]]="R",IF(Games[[#This Row],[Result]]&lt;0.5,1,0),0)</f>
        <v>0</v>
      </c>
      <c r="AE329" s="2">
        <f>IF(AND(Games[[#This Row],[Type]]="P",Games[[#This Row],[Round]]=1),IF(Games[[#This Row],[Result]]&gt;0.5,1,0),0)</f>
        <v>0</v>
      </c>
      <c r="AF329" s="2">
        <f>IF(AND(Games[[#This Row],[Type]]="P",Games[[#This Row],[Round]]=1),IF(Games[[#This Row],[Result]]&lt;0.5,1,0),0)</f>
        <v>0</v>
      </c>
      <c r="AG329" s="2">
        <f>IF(AND(Games[[#This Row],[Type]]="P",Games[[#This Row],[Round]]=2),IF(Games[[#This Row],[Result]]&gt;0.5,1,0),0)</f>
        <v>0</v>
      </c>
      <c r="AH329" s="2">
        <f>IF(AND(Games[[#This Row],[Type]]="P",Games[[#This Row],[Round]]=2),IF(Games[[#This Row],[Result]]&lt;0.5,1,0),0)</f>
        <v>0</v>
      </c>
      <c r="AI329" s="2">
        <f>IF(AND(Games[[#This Row],[Type]]="P",Games[[#This Row],[Round]]=3),IF(Games[[#This Row],[Result]]&gt;0.5,1,0),0)</f>
        <v>0</v>
      </c>
      <c r="AJ329" s="2">
        <f>IF(AND(Games[[#This Row],[Type]]="P",Games[[#This Row],[Round]]=3),IF(Games[[#This Row],[Result]]&lt;0.5,1,0),0)</f>
        <v>0</v>
      </c>
      <c r="AK329" s="2">
        <f>IF(AND(Games[[#This Row],[Type]]="P",Games[[#This Row],[Round]]=4),IF(Games[[#This Row],[Result]]&gt;0.5,1,0),0)</f>
        <v>0</v>
      </c>
      <c r="AL329" s="2">
        <f>IF(AND(Games[[#This Row],[Type]]="P",Games[[#This Row],[Round]]=4),IF(Games[[#This Row],[Result]]&lt;0.5,1,0),0)</f>
        <v>0</v>
      </c>
    </row>
    <row r="330" spans="1:38" x14ac:dyDescent="0.35">
      <c r="A330" s="10">
        <v>37834</v>
      </c>
      <c r="B330" s="2">
        <v>2003</v>
      </c>
      <c r="C330" s="2">
        <f>COUNTIFS(Games[Team],Games[[#This Row],[Team]],Games[Season],Games[[#This Row],[Season]],Games[Date],"&lt;=" &amp; Games[[#This Row],[Date]])</f>
        <v>23</v>
      </c>
      <c r="D330" s="2" t="s">
        <v>23</v>
      </c>
      <c r="E330" s="2" t="s">
        <v>29</v>
      </c>
      <c r="F330" s="1" t="s">
        <v>44</v>
      </c>
      <c r="G330" s="1" t="s">
        <v>1</v>
      </c>
      <c r="H330" s="1" t="s">
        <v>16</v>
      </c>
      <c r="I330" s="2" cm="1">
        <f t="array" ref="I330">IFERROR(
    Games[[#This Row],[Date]]
    - LOOKUP(
        2,
        1/((Games[Team]=Games[[#This Row],[Team]]) * (Games[Date] &lt; Games[[#This Row],[Date]])),
        Games[Date]
    )
    - 1,
Games[[#This Row],[Date]]-$A$2)</f>
        <v>2</v>
      </c>
      <c r="J330" s="2" cm="1">
        <f t="array" ref="J33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30" s="2">
        <f>Games[[#This Row],[DaysOff]]-Games[[#This Row],[OppDaysOff]]</f>
        <v>0</v>
      </c>
      <c r="L330" s="2">
        <f>Games[[#This Row],[OppDaysOff]]-Games[[#This Row],[DaysOff]]</f>
        <v>0</v>
      </c>
      <c r="M330" s="1">
        <f>MAX(-16, MIN(16, Games[[#This Row],[RestDiff]]*8))</f>
        <v>0</v>
      </c>
      <c r="N330" s="1">
        <f>MAX(-16, MIN(16, Games[[#This Row],[OppRestDiff]]*8))</f>
        <v>0</v>
      </c>
      <c r="O330" s="4" cm="1">
        <f t="array" ref="O33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1350.8165293881311</v>
      </c>
      <c r="P330" s="4" cm="1">
        <f t="array" ref="P33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1459.4727042376433</v>
      </c>
      <c r="Q330" s="4">
        <f>1/(1+10^(((Games[[#This Row],[OppPreGmRate]]+IF(Games[[#This Row],[HomeAway]]="A",HCA,0)+Games[[#This Row],[OppRestAdj]])-(Games[[#This Row],[PreGmRate]]+IF(Games[[#This Row],[HomeAway]]="H",HCA,0)+Games[[#This Row],[RestAdj]]))/400))</f>
        <v>0.24805399212095428</v>
      </c>
      <c r="R330" s="1">
        <v>56</v>
      </c>
      <c r="S330" s="1">
        <v>73</v>
      </c>
      <c r="T330" s="1">
        <v>0</v>
      </c>
      <c r="U330" s="1">
        <f>Games[[#This Row],[PointsFor]]-Games[[#This Row],[PointsAgainst]]</f>
        <v>-17</v>
      </c>
      <c r="V330" s="1">
        <f>IF(Games[[#This Row],[MOV]]&gt;0,1,IF(Games[[#This Row],[MOV]]=0,0.5,0))</f>
        <v>0</v>
      </c>
      <c r="W330" s="4">
        <f>((ABS(Games[[#This Row],[MOV]])+5)^0.6)/(12+0.01*(ABS(Games[[#This Row],[PreGmRate]]-Games[[#This Row],[OppPreGmRate]])))*IF(Games[[#This Row],[OT]]=1,0.9,1)</f>
        <v>0.48823403364284745</v>
      </c>
      <c r="X330" s="7" cm="1">
        <f t="array" ref="X33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0" s="9">
        <f>MAX(kmin, kmax - 0.15 * MIN(Games[[#This Row],[GamesPlayed]], 82))</f>
        <v>72.55</v>
      </c>
      <c r="Z330" s="4">
        <f>Games[[#This Row],[K]]*Games[[#This Row],[POMult]]</f>
        <v>72.55</v>
      </c>
      <c r="AA330" s="4">
        <f>(Games[[#This Row],[Keff]]*Games[[#This Row],[MOVMult]])*(Games[[#This Row],[Result]]-Games[[#This Row],[ExpectedWin%]])</f>
        <v>-8.7864145023025042</v>
      </c>
      <c r="AB330" s="4">
        <f>Games[[#This Row],[PreGmRate]]+Games[[#This Row],[RatingChange]]</f>
        <v>1342.0301148858287</v>
      </c>
      <c r="AC330" s="2">
        <f>IF(Games[[#This Row],[Type]]="R",IF(Games[[#This Row],[Result]]&gt;0.5,1,0),0)</f>
        <v>0</v>
      </c>
      <c r="AD330" s="2">
        <f>IF(Games[[#This Row],[Type]]="R",IF(Games[[#This Row],[Result]]&lt;0.5,1,0),0)</f>
        <v>1</v>
      </c>
      <c r="AE330" s="2">
        <f>IF(AND(Games[[#This Row],[Type]]="P",Games[[#This Row],[Round]]=1),IF(Games[[#This Row],[Result]]&gt;0.5,1,0),0)</f>
        <v>0</v>
      </c>
      <c r="AF330" s="2">
        <f>IF(AND(Games[[#This Row],[Type]]="P",Games[[#This Row],[Round]]=1),IF(Games[[#This Row],[Result]]&lt;0.5,1,0),0)</f>
        <v>0</v>
      </c>
      <c r="AG330" s="2">
        <f>IF(AND(Games[[#This Row],[Type]]="P",Games[[#This Row],[Round]]=2),IF(Games[[#This Row],[Result]]&gt;0.5,1,0),0)</f>
        <v>0</v>
      </c>
      <c r="AH330" s="2">
        <f>IF(AND(Games[[#This Row],[Type]]="P",Games[[#This Row],[Round]]=2),IF(Games[[#This Row],[Result]]&lt;0.5,1,0),0)</f>
        <v>0</v>
      </c>
      <c r="AI330" s="2">
        <f>IF(AND(Games[[#This Row],[Type]]="P",Games[[#This Row],[Round]]=3),IF(Games[[#This Row],[Result]]&gt;0.5,1,0),0)</f>
        <v>0</v>
      </c>
      <c r="AJ330" s="2">
        <f>IF(AND(Games[[#This Row],[Type]]="P",Games[[#This Row],[Round]]=3),IF(Games[[#This Row],[Result]]&lt;0.5,1,0),0)</f>
        <v>0</v>
      </c>
      <c r="AK330" s="2">
        <f>IF(AND(Games[[#This Row],[Type]]="P",Games[[#This Row],[Round]]=4),IF(Games[[#This Row],[Result]]&gt;0.5,1,0),0)</f>
        <v>0</v>
      </c>
      <c r="AL330" s="2">
        <f>IF(AND(Games[[#This Row],[Type]]="P",Games[[#This Row],[Round]]=4),IF(Games[[#This Row],[Result]]&lt;0.5,1,0),0)</f>
        <v>0</v>
      </c>
    </row>
    <row r="331" spans="1:38" x14ac:dyDescent="0.35">
      <c r="A331" s="10">
        <v>37834</v>
      </c>
      <c r="B331" s="2">
        <v>2003</v>
      </c>
      <c r="C331" s="2">
        <f>COUNTIFS(Games[Team],Games[[#This Row],[Team]],Games[Season],Games[[#This Row],[Season]],Games[Date],"&lt;=" &amp; Games[[#This Row],[Date]])</f>
        <v>25</v>
      </c>
      <c r="D331" s="2" t="s">
        <v>23</v>
      </c>
      <c r="E331" s="2" t="s">
        <v>29</v>
      </c>
      <c r="F331" s="1" t="s">
        <v>1</v>
      </c>
      <c r="G331" s="1" t="s">
        <v>44</v>
      </c>
      <c r="H331" s="1" t="s">
        <v>15</v>
      </c>
      <c r="I331" s="2" cm="1">
        <f t="array" ref="I331">IFERROR(
    Games[[#This Row],[Date]]
    - LOOKUP(
        2,
        1/((Games[Team]=Games[[#This Row],[Team]]) * (Games[Date] &lt; Games[[#This Row],[Date]])),
        Games[Date]
    )
    - 1,
Games[[#This Row],[Date]]-$A$2)</f>
        <v>2</v>
      </c>
      <c r="J331" s="2" cm="1">
        <f t="array" ref="J33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31" s="2">
        <f>Games[[#This Row],[DaysOff]]-Games[[#This Row],[OppDaysOff]]</f>
        <v>0</v>
      </c>
      <c r="L331" s="2">
        <f>Games[[#This Row],[OppDaysOff]]-Games[[#This Row],[DaysOff]]</f>
        <v>0</v>
      </c>
      <c r="M331" s="1">
        <f>MAX(-16, MIN(16, Games[[#This Row],[RestDiff]]*8))</f>
        <v>0</v>
      </c>
      <c r="N331" s="1">
        <f>MAX(-16, MIN(16, Games[[#This Row],[OppRestDiff]]*8))</f>
        <v>0</v>
      </c>
      <c r="O331" s="4" cm="1">
        <f t="array" ref="O33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1459.4727042376433</v>
      </c>
      <c r="P331" s="4" cm="1">
        <f t="array" ref="P33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1350.8165293881311</v>
      </c>
      <c r="Q331" s="4">
        <f>1/(1+10^(((Games[[#This Row],[OppPreGmRate]]+IF(Games[[#This Row],[HomeAway]]="A",HCA,0)+Games[[#This Row],[OppRestAdj]])-(Games[[#This Row],[PreGmRate]]+IF(Games[[#This Row],[HomeAway]]="H",HCA,0)+Games[[#This Row],[RestAdj]]))/400))</f>
        <v>0.75194600787904575</v>
      </c>
      <c r="R331" s="1">
        <v>73</v>
      </c>
      <c r="S331" s="1">
        <v>56</v>
      </c>
      <c r="T331" s="1">
        <v>0</v>
      </c>
      <c r="U331" s="1">
        <f>Games[[#This Row],[PointsFor]]-Games[[#This Row],[PointsAgainst]]</f>
        <v>17</v>
      </c>
      <c r="V331" s="1">
        <f>IF(Games[[#This Row],[MOV]]&gt;0,1,IF(Games[[#This Row],[MOV]]=0,0.5,0))</f>
        <v>1</v>
      </c>
      <c r="W331" s="4">
        <f>((ABS(Games[[#This Row],[MOV]])+5)^0.6)/(12+0.01*(ABS(Games[[#This Row],[PreGmRate]]-Games[[#This Row],[OppPreGmRate]])))*IF(Games[[#This Row],[OT]]=1,0.9,1)</f>
        <v>0.48823403364284745</v>
      </c>
      <c r="X331" s="7" cm="1">
        <f t="array" ref="X33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1" s="9">
        <f>MAX(kmin, kmax - 0.15 * MIN(Games[[#This Row],[GamesPlayed]], 82))</f>
        <v>72.25</v>
      </c>
      <c r="Z331" s="4">
        <f>Games[[#This Row],[K]]*Games[[#This Row],[POMult]]</f>
        <v>72.25</v>
      </c>
      <c r="AA331" s="4">
        <f>(Games[[#This Row],[Keff]]*Games[[#This Row],[MOVMult]])*(Games[[#This Row],[Result]]-Games[[#This Row],[ExpectedWin%]])</f>
        <v>8.7500819819621771</v>
      </c>
      <c r="AB331" s="4">
        <f>Games[[#This Row],[PreGmRate]]+Games[[#This Row],[RatingChange]]</f>
        <v>1468.2227862196055</v>
      </c>
      <c r="AC331" s="2">
        <f>IF(Games[[#This Row],[Type]]="R",IF(Games[[#This Row],[Result]]&gt;0.5,1,0),0)</f>
        <v>1</v>
      </c>
      <c r="AD331" s="2">
        <f>IF(Games[[#This Row],[Type]]="R",IF(Games[[#This Row],[Result]]&lt;0.5,1,0),0)</f>
        <v>0</v>
      </c>
      <c r="AE331" s="2">
        <f>IF(AND(Games[[#This Row],[Type]]="P",Games[[#This Row],[Round]]=1),IF(Games[[#This Row],[Result]]&gt;0.5,1,0),0)</f>
        <v>0</v>
      </c>
      <c r="AF331" s="2">
        <f>IF(AND(Games[[#This Row],[Type]]="P",Games[[#This Row],[Round]]=1),IF(Games[[#This Row],[Result]]&lt;0.5,1,0),0)</f>
        <v>0</v>
      </c>
      <c r="AG331" s="2">
        <f>IF(AND(Games[[#This Row],[Type]]="P",Games[[#This Row],[Round]]=2),IF(Games[[#This Row],[Result]]&gt;0.5,1,0),0)</f>
        <v>0</v>
      </c>
      <c r="AH331" s="2">
        <f>IF(AND(Games[[#This Row],[Type]]="P",Games[[#This Row],[Round]]=2),IF(Games[[#This Row],[Result]]&lt;0.5,1,0),0)</f>
        <v>0</v>
      </c>
      <c r="AI331" s="2">
        <f>IF(AND(Games[[#This Row],[Type]]="P",Games[[#This Row],[Round]]=3),IF(Games[[#This Row],[Result]]&gt;0.5,1,0),0)</f>
        <v>0</v>
      </c>
      <c r="AJ331" s="2">
        <f>IF(AND(Games[[#This Row],[Type]]="P",Games[[#This Row],[Round]]=3),IF(Games[[#This Row],[Result]]&lt;0.5,1,0),0)</f>
        <v>0</v>
      </c>
      <c r="AK331" s="2">
        <f>IF(AND(Games[[#This Row],[Type]]="P",Games[[#This Row],[Round]]=4),IF(Games[[#This Row],[Result]]&gt;0.5,1,0),0)</f>
        <v>0</v>
      </c>
      <c r="AL331" s="2">
        <f>IF(AND(Games[[#This Row],[Type]]="P",Games[[#This Row],[Round]]=4),IF(Games[[#This Row],[Result]]&lt;0.5,1,0),0)</f>
        <v>0</v>
      </c>
    </row>
    <row r="332" spans="1:38" x14ac:dyDescent="0.35">
      <c r="A332" s="10">
        <v>37834</v>
      </c>
      <c r="B332" s="2">
        <v>2003</v>
      </c>
      <c r="C332" s="2">
        <f>COUNTIFS(Games[Team],Games[[#This Row],[Team]],Games[Season],Games[[#This Row],[Season]],Games[Date],"&lt;=" &amp; Games[[#This Row],[Date]])</f>
        <v>25</v>
      </c>
      <c r="D332" s="2" t="s">
        <v>23</v>
      </c>
      <c r="E332" s="2" t="s">
        <v>29</v>
      </c>
      <c r="F332" s="1" t="s">
        <v>74</v>
      </c>
      <c r="G332" s="1" t="s">
        <v>87</v>
      </c>
      <c r="H332" s="1" t="s">
        <v>16</v>
      </c>
      <c r="I332" s="2" cm="1">
        <f t="array" ref="I332">IFERROR(
    Games[[#This Row],[Date]]
    - LOOKUP(
        2,
        1/((Games[Team]=Games[[#This Row],[Team]]) * (Games[Date] &lt; Games[[#This Row],[Date]])),
        Games[Date]
    )
    - 1,
Games[[#This Row],[Date]]-$A$2)</f>
        <v>2</v>
      </c>
      <c r="J332" s="2" cm="1">
        <f t="array" ref="J332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332" s="2">
        <f>Games[[#This Row],[DaysOff]]-Games[[#This Row],[OppDaysOff]]</f>
        <v>-3</v>
      </c>
      <c r="L332" s="2">
        <f>Games[[#This Row],[OppDaysOff]]-Games[[#This Row],[DaysOff]]</f>
        <v>3</v>
      </c>
      <c r="M332" s="1">
        <f>MAX(-16, MIN(16, Games[[#This Row],[RestDiff]]*8))</f>
        <v>-16</v>
      </c>
      <c r="N332" s="1">
        <f>MAX(-16, MIN(16, Games[[#This Row],[OppRestDiff]]*8))</f>
        <v>16</v>
      </c>
      <c r="O332" s="4" cm="1">
        <f t="array" ref="O33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1374.1377378331435</v>
      </c>
      <c r="P332" s="4" cm="1">
        <f t="array" ref="P33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1515.9864406439324</v>
      </c>
      <c r="Q332" s="4">
        <f>1/(1+10^(((Games[[#This Row],[OppPreGmRate]]+IF(Games[[#This Row],[HomeAway]]="A",HCA,0)+Games[[#This Row],[OppRestAdj]])-(Games[[#This Row],[PreGmRate]]+IF(Games[[#This Row],[HomeAway]]="H",HCA,0)+Games[[#This Row],[RestAdj]]))/400))</f>
        <v>0.18477934305645502</v>
      </c>
      <c r="R332" s="1">
        <v>48</v>
      </c>
      <c r="S332" s="1">
        <v>45</v>
      </c>
      <c r="T332" s="1">
        <v>0</v>
      </c>
      <c r="U332" s="1">
        <f>Games[[#This Row],[PointsFor]]-Games[[#This Row],[PointsAgainst]]</f>
        <v>3</v>
      </c>
      <c r="V332" s="1">
        <f>IF(Games[[#This Row],[MOV]]&gt;0,1,IF(Games[[#This Row],[MOV]]=0,0.5,0))</f>
        <v>1</v>
      </c>
      <c r="W332" s="4">
        <f>((ABS(Games[[#This Row],[MOV]])+5)^0.6)/(12+0.01*(ABS(Games[[#This Row],[PreGmRate]]-Games[[#This Row],[OppPreGmRate]])))*IF(Games[[#This Row],[OT]]=1,0.9,1)</f>
        <v>0.25950781529171507</v>
      </c>
      <c r="X332" s="7" cm="1">
        <f t="array" ref="X33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2" s="9">
        <f>MAX(kmin, kmax - 0.15 * MIN(Games[[#This Row],[GamesPlayed]], 82))</f>
        <v>72.25</v>
      </c>
      <c r="Z332" s="4">
        <f>Games[[#This Row],[K]]*Games[[#This Row],[POMult]]</f>
        <v>72.25</v>
      </c>
      <c r="AA332" s="4">
        <f>(Games[[#This Row],[Keff]]*Games[[#This Row],[MOVMult]])*(Games[[#This Row],[Result]]-Games[[#This Row],[ExpectedWin%]])</f>
        <v>15.284930512730941</v>
      </c>
      <c r="AB332" s="4">
        <f>Games[[#This Row],[PreGmRate]]+Games[[#This Row],[RatingChange]]</f>
        <v>1389.4226683458744</v>
      </c>
      <c r="AC332" s="2">
        <f>IF(Games[[#This Row],[Type]]="R",IF(Games[[#This Row],[Result]]&gt;0.5,1,0),0)</f>
        <v>1</v>
      </c>
      <c r="AD332" s="2">
        <f>IF(Games[[#This Row],[Type]]="R",IF(Games[[#This Row],[Result]]&lt;0.5,1,0),0)</f>
        <v>0</v>
      </c>
      <c r="AE332" s="2">
        <f>IF(AND(Games[[#This Row],[Type]]="P",Games[[#This Row],[Round]]=1),IF(Games[[#This Row],[Result]]&gt;0.5,1,0),0)</f>
        <v>0</v>
      </c>
      <c r="AF332" s="2">
        <f>IF(AND(Games[[#This Row],[Type]]="P",Games[[#This Row],[Round]]=1),IF(Games[[#This Row],[Result]]&lt;0.5,1,0),0)</f>
        <v>0</v>
      </c>
      <c r="AG332" s="2">
        <f>IF(AND(Games[[#This Row],[Type]]="P",Games[[#This Row],[Round]]=2),IF(Games[[#This Row],[Result]]&gt;0.5,1,0),0)</f>
        <v>0</v>
      </c>
      <c r="AH332" s="2">
        <f>IF(AND(Games[[#This Row],[Type]]="P",Games[[#This Row],[Round]]=2),IF(Games[[#This Row],[Result]]&lt;0.5,1,0),0)</f>
        <v>0</v>
      </c>
      <c r="AI332" s="2">
        <f>IF(AND(Games[[#This Row],[Type]]="P",Games[[#This Row],[Round]]=3),IF(Games[[#This Row],[Result]]&gt;0.5,1,0),0)</f>
        <v>0</v>
      </c>
      <c r="AJ332" s="2">
        <f>IF(AND(Games[[#This Row],[Type]]="P",Games[[#This Row],[Round]]=3),IF(Games[[#This Row],[Result]]&lt;0.5,1,0),0)</f>
        <v>0</v>
      </c>
      <c r="AK332" s="2">
        <f>IF(AND(Games[[#This Row],[Type]]="P",Games[[#This Row],[Round]]=4),IF(Games[[#This Row],[Result]]&gt;0.5,1,0),0)</f>
        <v>0</v>
      </c>
      <c r="AL332" s="2">
        <f>IF(AND(Games[[#This Row],[Type]]="P",Games[[#This Row],[Round]]=4),IF(Games[[#This Row],[Result]]&lt;0.5,1,0),0)</f>
        <v>0</v>
      </c>
    </row>
    <row r="333" spans="1:38" x14ac:dyDescent="0.35">
      <c r="A333" s="10">
        <v>37834</v>
      </c>
      <c r="B333" s="2">
        <v>2003</v>
      </c>
      <c r="C333" s="2">
        <f>COUNTIFS(Games[Team],Games[[#This Row],[Team]],Games[Season],Games[[#This Row],[Season]],Games[Date],"&lt;=" &amp; Games[[#This Row],[Date]])</f>
        <v>25</v>
      </c>
      <c r="D333" s="2" t="s">
        <v>23</v>
      </c>
      <c r="E333" s="2" t="s">
        <v>29</v>
      </c>
      <c r="F333" s="1" t="s">
        <v>87</v>
      </c>
      <c r="G333" s="1" t="s">
        <v>74</v>
      </c>
      <c r="H333" s="1" t="s">
        <v>15</v>
      </c>
      <c r="I333" s="2" cm="1">
        <f t="array" ref="I333">IFERROR(
    Games[[#This Row],[Date]]
    - LOOKUP(
        2,
        1/((Games[Team]=Games[[#This Row],[Team]]) * (Games[Date] &lt; Games[[#This Row],[Date]])),
        Games[Date]
    )
    - 1,
Games[[#This Row],[Date]]-$A$2)</f>
        <v>5</v>
      </c>
      <c r="J333" s="2" cm="1">
        <f t="array" ref="J33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33" s="2">
        <f>Games[[#This Row],[DaysOff]]-Games[[#This Row],[OppDaysOff]]</f>
        <v>3</v>
      </c>
      <c r="L333" s="2">
        <f>Games[[#This Row],[OppDaysOff]]-Games[[#This Row],[DaysOff]]</f>
        <v>-3</v>
      </c>
      <c r="M333" s="1">
        <f>MAX(-16, MIN(16, Games[[#This Row],[RestDiff]]*8))</f>
        <v>16</v>
      </c>
      <c r="N333" s="1">
        <f>MAX(-16, MIN(16, Games[[#This Row],[OppRestDiff]]*8))</f>
        <v>-16</v>
      </c>
      <c r="O333" s="4" cm="1">
        <f t="array" ref="O33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1515.9864406439324</v>
      </c>
      <c r="P333" s="4" cm="1">
        <f t="array" ref="P33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1374.1377378331435</v>
      </c>
      <c r="Q333" s="4">
        <f>1/(1+10^(((Games[[#This Row],[OppPreGmRate]]+IF(Games[[#This Row],[HomeAway]]="A",HCA,0)+Games[[#This Row],[OppRestAdj]])-(Games[[#This Row],[PreGmRate]]+IF(Games[[#This Row],[HomeAway]]="H",HCA,0)+Games[[#This Row],[RestAdj]]))/400))</f>
        <v>0.81522065694354495</v>
      </c>
      <c r="R333" s="1">
        <v>45</v>
      </c>
      <c r="S333" s="1">
        <v>48</v>
      </c>
      <c r="T333" s="1">
        <v>0</v>
      </c>
      <c r="U333" s="1">
        <f>Games[[#This Row],[PointsFor]]-Games[[#This Row],[PointsAgainst]]</f>
        <v>-3</v>
      </c>
      <c r="V333" s="1">
        <f>IF(Games[[#This Row],[MOV]]&gt;0,1,IF(Games[[#This Row],[MOV]]=0,0.5,0))</f>
        <v>0</v>
      </c>
      <c r="W333" s="4">
        <f>((ABS(Games[[#This Row],[MOV]])+5)^0.6)/(12+0.01*(ABS(Games[[#This Row],[PreGmRate]]-Games[[#This Row],[OppPreGmRate]])))*IF(Games[[#This Row],[OT]]=1,0.9,1)</f>
        <v>0.25950781529171507</v>
      </c>
      <c r="X333" s="7" cm="1">
        <f t="array" ref="X33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3" s="9">
        <f>MAX(kmin, kmax - 0.15 * MIN(Games[[#This Row],[GamesPlayed]], 82))</f>
        <v>72.25</v>
      </c>
      <c r="Z333" s="4">
        <f>Games[[#This Row],[K]]*Games[[#This Row],[POMult]]</f>
        <v>72.25</v>
      </c>
      <c r="AA333" s="4">
        <f>(Games[[#This Row],[Keff]]*Games[[#This Row],[MOVMult]])*(Games[[#This Row],[Result]]-Games[[#This Row],[ExpectedWin%]])</f>
        <v>-15.284930512730941</v>
      </c>
      <c r="AB333" s="4">
        <f>Games[[#This Row],[PreGmRate]]+Games[[#This Row],[RatingChange]]</f>
        <v>1500.7015101312015</v>
      </c>
      <c r="AC333" s="2">
        <f>IF(Games[[#This Row],[Type]]="R",IF(Games[[#This Row],[Result]]&gt;0.5,1,0),0)</f>
        <v>0</v>
      </c>
      <c r="AD333" s="2">
        <f>IF(Games[[#This Row],[Type]]="R",IF(Games[[#This Row],[Result]]&lt;0.5,1,0),0)</f>
        <v>1</v>
      </c>
      <c r="AE333" s="2">
        <f>IF(AND(Games[[#This Row],[Type]]="P",Games[[#This Row],[Round]]=1),IF(Games[[#This Row],[Result]]&gt;0.5,1,0),0)</f>
        <v>0</v>
      </c>
      <c r="AF333" s="2">
        <f>IF(AND(Games[[#This Row],[Type]]="P",Games[[#This Row],[Round]]=1),IF(Games[[#This Row],[Result]]&lt;0.5,1,0),0)</f>
        <v>0</v>
      </c>
      <c r="AG333" s="2">
        <f>IF(AND(Games[[#This Row],[Type]]="P",Games[[#This Row],[Round]]=2),IF(Games[[#This Row],[Result]]&gt;0.5,1,0),0)</f>
        <v>0</v>
      </c>
      <c r="AH333" s="2">
        <f>IF(AND(Games[[#This Row],[Type]]="P",Games[[#This Row],[Round]]=2),IF(Games[[#This Row],[Result]]&lt;0.5,1,0),0)</f>
        <v>0</v>
      </c>
      <c r="AI333" s="2">
        <f>IF(AND(Games[[#This Row],[Type]]="P",Games[[#This Row],[Round]]=3),IF(Games[[#This Row],[Result]]&gt;0.5,1,0),0)</f>
        <v>0</v>
      </c>
      <c r="AJ333" s="2">
        <f>IF(AND(Games[[#This Row],[Type]]="P",Games[[#This Row],[Round]]=3),IF(Games[[#This Row],[Result]]&lt;0.5,1,0),0)</f>
        <v>0</v>
      </c>
      <c r="AK333" s="2">
        <f>IF(AND(Games[[#This Row],[Type]]="P",Games[[#This Row],[Round]]=4),IF(Games[[#This Row],[Result]]&gt;0.5,1,0),0)</f>
        <v>0</v>
      </c>
      <c r="AL333" s="2">
        <f>IF(AND(Games[[#This Row],[Type]]="P",Games[[#This Row],[Round]]=4),IF(Games[[#This Row],[Result]]&lt;0.5,1,0),0)</f>
        <v>0</v>
      </c>
    </row>
    <row r="334" spans="1:38" x14ac:dyDescent="0.35">
      <c r="A334" s="10">
        <v>37834</v>
      </c>
      <c r="B334" s="2">
        <v>2003</v>
      </c>
      <c r="C334" s="2">
        <f>COUNTIFS(Games[Team],Games[[#This Row],[Team]],Games[Season],Games[[#This Row],[Season]],Games[Date],"&lt;=" &amp; Games[[#This Row],[Date]])</f>
        <v>23</v>
      </c>
      <c r="D334" s="2" t="s">
        <v>23</v>
      </c>
      <c r="E334" s="2" t="s">
        <v>29</v>
      </c>
      <c r="F334" s="1" t="s">
        <v>76</v>
      </c>
      <c r="G334" s="1" t="s">
        <v>66</v>
      </c>
      <c r="H334" s="1" t="s">
        <v>16</v>
      </c>
      <c r="I334" s="2" cm="1">
        <f t="array" ref="I334">IFERROR(
    Games[[#This Row],[Date]]
    - LOOKUP(
        2,
        1/((Games[Team]=Games[[#This Row],[Team]]) * (Games[Date] &lt; Games[[#This Row],[Date]])),
        Games[Date]
    )
    - 1,
Games[[#This Row],[Date]]-$A$2)</f>
        <v>2</v>
      </c>
      <c r="J334" s="2" cm="1">
        <f t="array" ref="J33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34" s="2">
        <f>Games[[#This Row],[DaysOff]]-Games[[#This Row],[OppDaysOff]]</f>
        <v>0</v>
      </c>
      <c r="L334" s="2">
        <f>Games[[#This Row],[OppDaysOff]]-Games[[#This Row],[DaysOff]]</f>
        <v>0</v>
      </c>
      <c r="M334" s="1">
        <f>MAX(-16, MIN(16, Games[[#This Row],[RestDiff]]*8))</f>
        <v>0</v>
      </c>
      <c r="N334" s="1">
        <f>MAX(-16, MIN(16, Games[[#This Row],[OppRestDiff]]*8))</f>
        <v>0</v>
      </c>
      <c r="O334" s="4" cm="1">
        <f t="array" ref="O33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1575.6887316885479</v>
      </c>
      <c r="P334" s="4" cm="1">
        <f t="array" ref="P33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1467.7594582042827</v>
      </c>
      <c r="Q334" s="4">
        <f>1/(1+10^(((Games[[#This Row],[OppPreGmRate]]+IF(Games[[#This Row],[HomeAway]]="A",HCA,0)+Games[[#This Row],[OppRestAdj]])-(Games[[#This Row],[PreGmRate]]+IF(Games[[#This Row],[HomeAway]]="H",HCA,0)+Games[[#This Row],[RestAdj]]))/400))</f>
        <v>0.5343826438089756</v>
      </c>
      <c r="R334" s="1">
        <v>62</v>
      </c>
      <c r="S334" s="1">
        <v>60</v>
      </c>
      <c r="T334" s="1">
        <v>0</v>
      </c>
      <c r="U334" s="1">
        <f>Games[[#This Row],[PointsFor]]-Games[[#This Row],[PointsAgainst]]</f>
        <v>2</v>
      </c>
      <c r="V334" s="1">
        <f>IF(Games[[#This Row],[MOV]]&gt;0,1,IF(Games[[#This Row],[MOV]]=0,0.5,0))</f>
        <v>1</v>
      </c>
      <c r="W334" s="4">
        <f>((ABS(Games[[#This Row],[MOV]])+5)^0.6)/(12+0.01*(ABS(Games[[#This Row],[PreGmRate]]-Games[[#This Row],[OppPreGmRate]])))*IF(Games[[#This Row],[OT]]=1,0.9,1)</f>
        <v>0.24573927007183122</v>
      </c>
      <c r="X334" s="7" cm="1">
        <f t="array" ref="X33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4" s="9">
        <f>MAX(kmin, kmax - 0.15 * MIN(Games[[#This Row],[GamesPlayed]], 82))</f>
        <v>72.55</v>
      </c>
      <c r="Z334" s="4">
        <f>Games[[#This Row],[K]]*Games[[#This Row],[POMult]]</f>
        <v>72.55</v>
      </c>
      <c r="AA334" s="4">
        <f>(Games[[#This Row],[Keff]]*Games[[#This Row],[MOVMult]])*(Games[[#This Row],[Result]]-Games[[#This Row],[ExpectedWin%]])</f>
        <v>8.3012050435911249</v>
      </c>
      <c r="AB334" s="4">
        <f>Games[[#This Row],[PreGmRate]]+Games[[#This Row],[RatingChange]]</f>
        <v>1583.9899367321391</v>
      </c>
      <c r="AC334" s="2">
        <f>IF(Games[[#This Row],[Type]]="R",IF(Games[[#This Row],[Result]]&gt;0.5,1,0),0)</f>
        <v>1</v>
      </c>
      <c r="AD334" s="2">
        <f>IF(Games[[#This Row],[Type]]="R",IF(Games[[#This Row],[Result]]&lt;0.5,1,0),0)</f>
        <v>0</v>
      </c>
      <c r="AE334" s="2">
        <f>IF(AND(Games[[#This Row],[Type]]="P",Games[[#This Row],[Round]]=1),IF(Games[[#This Row],[Result]]&gt;0.5,1,0),0)</f>
        <v>0</v>
      </c>
      <c r="AF334" s="2">
        <f>IF(AND(Games[[#This Row],[Type]]="P",Games[[#This Row],[Round]]=1),IF(Games[[#This Row],[Result]]&lt;0.5,1,0),0)</f>
        <v>0</v>
      </c>
      <c r="AG334" s="2">
        <f>IF(AND(Games[[#This Row],[Type]]="P",Games[[#This Row],[Round]]=2),IF(Games[[#This Row],[Result]]&gt;0.5,1,0),0)</f>
        <v>0</v>
      </c>
      <c r="AH334" s="2">
        <f>IF(AND(Games[[#This Row],[Type]]="P",Games[[#This Row],[Round]]=2),IF(Games[[#This Row],[Result]]&lt;0.5,1,0),0)</f>
        <v>0</v>
      </c>
      <c r="AI334" s="2">
        <f>IF(AND(Games[[#This Row],[Type]]="P",Games[[#This Row],[Round]]=3),IF(Games[[#This Row],[Result]]&gt;0.5,1,0),0)</f>
        <v>0</v>
      </c>
      <c r="AJ334" s="2">
        <f>IF(AND(Games[[#This Row],[Type]]="P",Games[[#This Row],[Round]]=3),IF(Games[[#This Row],[Result]]&lt;0.5,1,0),0)</f>
        <v>0</v>
      </c>
      <c r="AK334" s="2">
        <f>IF(AND(Games[[#This Row],[Type]]="P",Games[[#This Row],[Round]]=4),IF(Games[[#This Row],[Result]]&gt;0.5,1,0),0)</f>
        <v>0</v>
      </c>
      <c r="AL334" s="2">
        <f>IF(AND(Games[[#This Row],[Type]]="P",Games[[#This Row],[Round]]=4),IF(Games[[#This Row],[Result]]&lt;0.5,1,0),0)</f>
        <v>0</v>
      </c>
    </row>
    <row r="335" spans="1:38" x14ac:dyDescent="0.35">
      <c r="A335" s="10">
        <v>37834</v>
      </c>
      <c r="B335" s="2">
        <v>2003</v>
      </c>
      <c r="C335" s="2">
        <f>COUNTIFS(Games[Team],Games[[#This Row],[Team]],Games[Season],Games[[#This Row],[Season]],Games[Date],"&lt;=" &amp; Games[[#This Row],[Date]])</f>
        <v>22</v>
      </c>
      <c r="D335" s="2" t="s">
        <v>23</v>
      </c>
      <c r="E335" s="2" t="s">
        <v>29</v>
      </c>
      <c r="F335" s="1" t="s">
        <v>66</v>
      </c>
      <c r="G335" s="1" t="s">
        <v>76</v>
      </c>
      <c r="H335" s="1" t="s">
        <v>15</v>
      </c>
      <c r="I335" s="2" cm="1">
        <f t="array" ref="I335">IFERROR(
    Games[[#This Row],[Date]]
    - LOOKUP(
        2,
        1/((Games[Team]=Games[[#This Row],[Team]]) * (Games[Date] &lt; Games[[#This Row],[Date]])),
        Games[Date]
    )
    - 1,
Games[[#This Row],[Date]]-$A$2)</f>
        <v>2</v>
      </c>
      <c r="J335" s="2" cm="1">
        <f t="array" ref="J33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35" s="2">
        <f>Games[[#This Row],[DaysOff]]-Games[[#This Row],[OppDaysOff]]</f>
        <v>0</v>
      </c>
      <c r="L335" s="2">
        <f>Games[[#This Row],[OppDaysOff]]-Games[[#This Row],[DaysOff]]</f>
        <v>0</v>
      </c>
      <c r="M335" s="1">
        <f>MAX(-16, MIN(16, Games[[#This Row],[RestDiff]]*8))</f>
        <v>0</v>
      </c>
      <c r="N335" s="1">
        <f>MAX(-16, MIN(16, Games[[#This Row],[OppRestDiff]]*8))</f>
        <v>0</v>
      </c>
      <c r="O335" s="4" cm="1">
        <f t="array" ref="O33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1467.7594582042827</v>
      </c>
      <c r="P335" s="4" cm="1">
        <f t="array" ref="P33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1575.6887316885479</v>
      </c>
      <c r="Q335" s="4">
        <f>1/(1+10^(((Games[[#This Row],[OppPreGmRate]]+IF(Games[[#This Row],[HomeAway]]="A",HCA,0)+Games[[#This Row],[OppRestAdj]])-(Games[[#This Row],[PreGmRate]]+IF(Games[[#This Row],[HomeAway]]="H",HCA,0)+Games[[#This Row],[RestAdj]]))/400))</f>
        <v>0.4656173561910244</v>
      </c>
      <c r="R335" s="1">
        <v>60</v>
      </c>
      <c r="S335" s="1">
        <v>62</v>
      </c>
      <c r="T335" s="1">
        <v>0</v>
      </c>
      <c r="U335" s="1">
        <f>Games[[#This Row],[PointsFor]]-Games[[#This Row],[PointsAgainst]]</f>
        <v>-2</v>
      </c>
      <c r="V335" s="1">
        <f>IF(Games[[#This Row],[MOV]]&gt;0,1,IF(Games[[#This Row],[MOV]]=0,0.5,0))</f>
        <v>0</v>
      </c>
      <c r="W335" s="4">
        <f>((ABS(Games[[#This Row],[MOV]])+5)^0.6)/(12+0.01*(ABS(Games[[#This Row],[PreGmRate]]-Games[[#This Row],[OppPreGmRate]])))*IF(Games[[#This Row],[OT]]=1,0.9,1)</f>
        <v>0.24573927007183122</v>
      </c>
      <c r="X335" s="7" cm="1">
        <f t="array" ref="X33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5" s="9">
        <f>MAX(kmin, kmax - 0.15 * MIN(Games[[#This Row],[GamesPlayed]], 82))</f>
        <v>72.7</v>
      </c>
      <c r="Z335" s="4">
        <f>Games[[#This Row],[K]]*Games[[#This Row],[POMult]]</f>
        <v>72.7</v>
      </c>
      <c r="AA335" s="4">
        <f>(Games[[#This Row],[Keff]]*Games[[#This Row],[MOVMult]])*(Games[[#This Row],[Result]]-Games[[#This Row],[ExpectedWin%]])</f>
        <v>-8.3183681139776002</v>
      </c>
      <c r="AB335" s="4">
        <f>Games[[#This Row],[PreGmRate]]+Games[[#This Row],[RatingChange]]</f>
        <v>1459.4410900903051</v>
      </c>
      <c r="AC335" s="2">
        <f>IF(Games[[#This Row],[Type]]="R",IF(Games[[#This Row],[Result]]&gt;0.5,1,0),0)</f>
        <v>0</v>
      </c>
      <c r="AD335" s="2">
        <f>IF(Games[[#This Row],[Type]]="R",IF(Games[[#This Row],[Result]]&lt;0.5,1,0),0)</f>
        <v>1</v>
      </c>
      <c r="AE335" s="2">
        <f>IF(AND(Games[[#This Row],[Type]]="P",Games[[#This Row],[Round]]=1),IF(Games[[#This Row],[Result]]&gt;0.5,1,0),0)</f>
        <v>0</v>
      </c>
      <c r="AF335" s="2">
        <f>IF(AND(Games[[#This Row],[Type]]="P",Games[[#This Row],[Round]]=1),IF(Games[[#This Row],[Result]]&lt;0.5,1,0),0)</f>
        <v>0</v>
      </c>
      <c r="AG335" s="2">
        <f>IF(AND(Games[[#This Row],[Type]]="P",Games[[#This Row],[Round]]=2),IF(Games[[#This Row],[Result]]&gt;0.5,1,0),0)</f>
        <v>0</v>
      </c>
      <c r="AH335" s="2">
        <f>IF(AND(Games[[#This Row],[Type]]="P",Games[[#This Row],[Round]]=2),IF(Games[[#This Row],[Result]]&lt;0.5,1,0),0)</f>
        <v>0</v>
      </c>
      <c r="AI335" s="2">
        <f>IF(AND(Games[[#This Row],[Type]]="P",Games[[#This Row],[Round]]=3),IF(Games[[#This Row],[Result]]&gt;0.5,1,0),0)</f>
        <v>0</v>
      </c>
      <c r="AJ335" s="2">
        <f>IF(AND(Games[[#This Row],[Type]]="P",Games[[#This Row],[Round]]=3),IF(Games[[#This Row],[Result]]&lt;0.5,1,0),0)</f>
        <v>0</v>
      </c>
      <c r="AK335" s="2">
        <f>IF(AND(Games[[#This Row],[Type]]="P",Games[[#This Row],[Round]]=4),IF(Games[[#This Row],[Result]]&gt;0.5,1,0),0)</f>
        <v>0</v>
      </c>
      <c r="AL335" s="2">
        <f>IF(AND(Games[[#This Row],[Type]]="P",Games[[#This Row],[Round]]=4),IF(Games[[#This Row],[Result]]&lt;0.5,1,0),0)</f>
        <v>0</v>
      </c>
    </row>
    <row r="336" spans="1:38" x14ac:dyDescent="0.35">
      <c r="A336" s="10">
        <v>37834</v>
      </c>
      <c r="B336" s="2">
        <v>2003</v>
      </c>
      <c r="C336" s="2">
        <f>COUNTIFS(Games[Team],Games[[#This Row],[Team]],Games[Season],Games[[#This Row],[Season]],Games[Date],"&lt;=" &amp; Games[[#This Row],[Date]])</f>
        <v>23</v>
      </c>
      <c r="D336" s="2" t="s">
        <v>23</v>
      </c>
      <c r="E336" s="2" t="s">
        <v>29</v>
      </c>
      <c r="F336" s="1" t="s">
        <v>2</v>
      </c>
      <c r="G336" s="1" t="s">
        <v>85</v>
      </c>
      <c r="H336" s="1" t="s">
        <v>16</v>
      </c>
      <c r="I336" s="2" cm="1">
        <f t="array" ref="I336">IFERROR(
    Games[[#This Row],[Date]]
    - LOOKUP(
        2,
        1/((Games[Team]=Games[[#This Row],[Team]]) * (Games[Date] &lt; Games[[#This Row],[Date]])),
        Games[Date]
    )
    - 1,
Games[[#This Row],[Date]]-$A$2)</f>
        <v>2</v>
      </c>
      <c r="J336" s="2" cm="1">
        <f t="array" ref="J33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36" s="2">
        <f>Games[[#This Row],[DaysOff]]-Games[[#This Row],[OppDaysOff]]</f>
        <v>1</v>
      </c>
      <c r="L336" s="2">
        <f>Games[[#This Row],[OppDaysOff]]-Games[[#This Row],[DaysOff]]</f>
        <v>-1</v>
      </c>
      <c r="M336" s="1">
        <f>MAX(-16, MIN(16, Games[[#This Row],[RestDiff]]*8))</f>
        <v>8</v>
      </c>
      <c r="N336" s="1">
        <f>MAX(-16, MIN(16, Games[[#This Row],[OppRestDiff]]*8))</f>
        <v>-8</v>
      </c>
      <c r="O336" s="4" cm="1">
        <f t="array" ref="O33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1586.0082422626053</v>
      </c>
      <c r="P336" s="4" cm="1">
        <f t="array" ref="P33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1411.7243474818024</v>
      </c>
      <c r="Q336" s="4">
        <f>1/(1+10^(((Games[[#This Row],[OppPreGmRate]]+IF(Games[[#This Row],[HomeAway]]="A",HCA,0)+Games[[#This Row],[OppRestAdj]])-(Games[[#This Row],[PreGmRate]]+IF(Games[[#This Row],[HomeAway]]="H",HCA,0)+Games[[#This Row],[RestAdj]]))/400))</f>
        <v>0.64835569251932668</v>
      </c>
      <c r="R336" s="1">
        <v>53</v>
      </c>
      <c r="S336" s="1">
        <v>63</v>
      </c>
      <c r="T336" s="1">
        <v>0</v>
      </c>
      <c r="U336" s="1">
        <f>Games[[#This Row],[PointsFor]]-Games[[#This Row],[PointsAgainst]]</f>
        <v>-10</v>
      </c>
      <c r="V336" s="1">
        <f>IF(Games[[#This Row],[MOV]]&gt;0,1,IF(Games[[#This Row],[MOV]]=0,0.5,0))</f>
        <v>0</v>
      </c>
      <c r="W336" s="4">
        <f>((ABS(Games[[#This Row],[MOV]])+5)^0.6)/(12+0.01*(ABS(Games[[#This Row],[PreGmRate]]-Games[[#This Row],[OppPreGmRate]])))*IF(Games[[#This Row],[OT]]=1,0.9,1)</f>
        <v>0.36946924949573628</v>
      </c>
      <c r="X336" s="7" cm="1">
        <f t="array" ref="X33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6" s="9">
        <f>MAX(kmin, kmax - 0.15 * MIN(Games[[#This Row],[GamesPlayed]], 82))</f>
        <v>72.55</v>
      </c>
      <c r="Z336" s="4">
        <f>Games[[#This Row],[K]]*Games[[#This Row],[POMult]]</f>
        <v>72.55</v>
      </c>
      <c r="AA336" s="4">
        <f>(Games[[#This Row],[Keff]]*Games[[#This Row],[MOVMult]])*(Games[[#This Row],[Result]]-Games[[#This Row],[ExpectedWin%]])</f>
        <v>-17.379170480857859</v>
      </c>
      <c r="AB336" s="4">
        <f>Games[[#This Row],[PreGmRate]]+Games[[#This Row],[RatingChange]]</f>
        <v>1568.6290717817474</v>
      </c>
      <c r="AC336" s="2">
        <f>IF(Games[[#This Row],[Type]]="R",IF(Games[[#This Row],[Result]]&gt;0.5,1,0),0)</f>
        <v>0</v>
      </c>
      <c r="AD336" s="2">
        <f>IF(Games[[#This Row],[Type]]="R",IF(Games[[#This Row],[Result]]&lt;0.5,1,0),0)</f>
        <v>1</v>
      </c>
      <c r="AE336" s="2">
        <f>IF(AND(Games[[#This Row],[Type]]="P",Games[[#This Row],[Round]]=1),IF(Games[[#This Row],[Result]]&gt;0.5,1,0),0)</f>
        <v>0</v>
      </c>
      <c r="AF336" s="2">
        <f>IF(AND(Games[[#This Row],[Type]]="P",Games[[#This Row],[Round]]=1),IF(Games[[#This Row],[Result]]&lt;0.5,1,0),0)</f>
        <v>0</v>
      </c>
      <c r="AG336" s="2">
        <f>IF(AND(Games[[#This Row],[Type]]="P",Games[[#This Row],[Round]]=2),IF(Games[[#This Row],[Result]]&gt;0.5,1,0),0)</f>
        <v>0</v>
      </c>
      <c r="AH336" s="2">
        <f>IF(AND(Games[[#This Row],[Type]]="P",Games[[#This Row],[Round]]=2),IF(Games[[#This Row],[Result]]&lt;0.5,1,0),0)</f>
        <v>0</v>
      </c>
      <c r="AI336" s="2">
        <f>IF(AND(Games[[#This Row],[Type]]="P",Games[[#This Row],[Round]]=3),IF(Games[[#This Row],[Result]]&gt;0.5,1,0),0)</f>
        <v>0</v>
      </c>
      <c r="AJ336" s="2">
        <f>IF(AND(Games[[#This Row],[Type]]="P",Games[[#This Row],[Round]]=3),IF(Games[[#This Row],[Result]]&lt;0.5,1,0),0)</f>
        <v>0</v>
      </c>
      <c r="AK336" s="2">
        <f>IF(AND(Games[[#This Row],[Type]]="P",Games[[#This Row],[Round]]=4),IF(Games[[#This Row],[Result]]&gt;0.5,1,0),0)</f>
        <v>0</v>
      </c>
      <c r="AL336" s="2">
        <f>IF(AND(Games[[#This Row],[Type]]="P",Games[[#This Row],[Round]]=4),IF(Games[[#This Row],[Result]]&lt;0.5,1,0),0)</f>
        <v>0</v>
      </c>
    </row>
    <row r="337" spans="1:38" x14ac:dyDescent="0.35">
      <c r="A337" s="10">
        <v>37834</v>
      </c>
      <c r="B337" s="2">
        <v>2003</v>
      </c>
      <c r="C337" s="2">
        <f>COUNTIFS(Games[Team],Games[[#This Row],[Team]],Games[Season],Games[[#This Row],[Season]],Games[Date],"&lt;=" &amp; Games[[#This Row],[Date]])</f>
        <v>25</v>
      </c>
      <c r="D337" s="2" t="s">
        <v>23</v>
      </c>
      <c r="E337" s="2" t="s">
        <v>29</v>
      </c>
      <c r="F337" s="1" t="s">
        <v>85</v>
      </c>
      <c r="G337" s="1" t="s">
        <v>2</v>
      </c>
      <c r="H337" s="1" t="s">
        <v>15</v>
      </c>
      <c r="I337" s="2" cm="1">
        <f t="array" ref="I337">IFERROR(
    Games[[#This Row],[Date]]
    - LOOKUP(
        2,
        1/((Games[Team]=Games[[#This Row],[Team]]) * (Games[Date] &lt; Games[[#This Row],[Date]])),
        Games[Date]
    )
    - 1,
Games[[#This Row],[Date]]-$A$2)</f>
        <v>1</v>
      </c>
      <c r="J337" s="2" cm="1">
        <f t="array" ref="J33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37" s="2">
        <f>Games[[#This Row],[DaysOff]]-Games[[#This Row],[OppDaysOff]]</f>
        <v>-1</v>
      </c>
      <c r="L337" s="2">
        <f>Games[[#This Row],[OppDaysOff]]-Games[[#This Row],[DaysOff]]</f>
        <v>1</v>
      </c>
      <c r="M337" s="1">
        <f>MAX(-16, MIN(16, Games[[#This Row],[RestDiff]]*8))</f>
        <v>-8</v>
      </c>
      <c r="N337" s="1">
        <f>MAX(-16, MIN(16, Games[[#This Row],[OppRestDiff]]*8))</f>
        <v>8</v>
      </c>
      <c r="O337" s="4" cm="1">
        <f t="array" ref="O33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1411.7243474818024</v>
      </c>
      <c r="P337" s="4" cm="1">
        <f t="array" ref="P33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1586.0082422626053</v>
      </c>
      <c r="Q337" s="4">
        <f>1/(1+10^(((Games[[#This Row],[OppPreGmRate]]+IF(Games[[#This Row],[HomeAway]]="A",HCA,0)+Games[[#This Row],[OppRestAdj]])-(Games[[#This Row],[PreGmRate]]+IF(Games[[#This Row],[HomeAway]]="H",HCA,0)+Games[[#This Row],[RestAdj]]))/400))</f>
        <v>0.35164430748067332</v>
      </c>
      <c r="R337" s="1">
        <v>63</v>
      </c>
      <c r="S337" s="1">
        <v>53</v>
      </c>
      <c r="T337" s="1">
        <v>0</v>
      </c>
      <c r="U337" s="1">
        <f>Games[[#This Row],[PointsFor]]-Games[[#This Row],[PointsAgainst]]</f>
        <v>10</v>
      </c>
      <c r="V337" s="1">
        <f>IF(Games[[#This Row],[MOV]]&gt;0,1,IF(Games[[#This Row],[MOV]]=0,0.5,0))</f>
        <v>1</v>
      </c>
      <c r="W337" s="4">
        <f>((ABS(Games[[#This Row],[MOV]])+5)^0.6)/(12+0.01*(ABS(Games[[#This Row],[PreGmRate]]-Games[[#This Row],[OppPreGmRate]])))*IF(Games[[#This Row],[OT]]=1,0.9,1)</f>
        <v>0.36946924949573628</v>
      </c>
      <c r="X337" s="7" cm="1">
        <f t="array" ref="X33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7" s="9">
        <f>MAX(kmin, kmax - 0.15 * MIN(Games[[#This Row],[GamesPlayed]], 82))</f>
        <v>72.25</v>
      </c>
      <c r="Z337" s="4">
        <f>Games[[#This Row],[K]]*Games[[#This Row],[POMult]]</f>
        <v>72.25</v>
      </c>
      <c r="AA337" s="4">
        <f>(Games[[#This Row],[Keff]]*Games[[#This Row],[MOVMult]])*(Games[[#This Row],[Result]]-Games[[#This Row],[ExpectedWin%]])</f>
        <v>17.307306233521437</v>
      </c>
      <c r="AB337" s="4">
        <f>Games[[#This Row],[PreGmRate]]+Games[[#This Row],[RatingChange]]</f>
        <v>1429.0316537153237</v>
      </c>
      <c r="AC337" s="2">
        <f>IF(Games[[#This Row],[Type]]="R",IF(Games[[#This Row],[Result]]&gt;0.5,1,0),0)</f>
        <v>1</v>
      </c>
      <c r="AD337" s="2">
        <f>IF(Games[[#This Row],[Type]]="R",IF(Games[[#This Row],[Result]]&lt;0.5,1,0),0)</f>
        <v>0</v>
      </c>
      <c r="AE337" s="2">
        <f>IF(AND(Games[[#This Row],[Type]]="P",Games[[#This Row],[Round]]=1),IF(Games[[#This Row],[Result]]&gt;0.5,1,0),0)</f>
        <v>0</v>
      </c>
      <c r="AF337" s="2">
        <f>IF(AND(Games[[#This Row],[Type]]="P",Games[[#This Row],[Round]]=1),IF(Games[[#This Row],[Result]]&lt;0.5,1,0),0)</f>
        <v>0</v>
      </c>
      <c r="AG337" s="2">
        <f>IF(AND(Games[[#This Row],[Type]]="P",Games[[#This Row],[Round]]=2),IF(Games[[#This Row],[Result]]&gt;0.5,1,0),0)</f>
        <v>0</v>
      </c>
      <c r="AH337" s="2">
        <f>IF(AND(Games[[#This Row],[Type]]="P",Games[[#This Row],[Round]]=2),IF(Games[[#This Row],[Result]]&lt;0.5,1,0),0)</f>
        <v>0</v>
      </c>
      <c r="AI337" s="2">
        <f>IF(AND(Games[[#This Row],[Type]]="P",Games[[#This Row],[Round]]=3),IF(Games[[#This Row],[Result]]&gt;0.5,1,0),0)</f>
        <v>0</v>
      </c>
      <c r="AJ337" s="2">
        <f>IF(AND(Games[[#This Row],[Type]]="P",Games[[#This Row],[Round]]=3),IF(Games[[#This Row],[Result]]&lt;0.5,1,0),0)</f>
        <v>0</v>
      </c>
      <c r="AK337" s="2">
        <f>IF(AND(Games[[#This Row],[Type]]="P",Games[[#This Row],[Round]]=4),IF(Games[[#This Row],[Result]]&gt;0.5,1,0),0)</f>
        <v>0</v>
      </c>
      <c r="AL337" s="2">
        <f>IF(AND(Games[[#This Row],[Type]]="P",Games[[#This Row],[Round]]=4),IF(Games[[#This Row],[Result]]&lt;0.5,1,0),0)</f>
        <v>0</v>
      </c>
    </row>
    <row r="338" spans="1:38" x14ac:dyDescent="0.35">
      <c r="A338" s="10">
        <v>37835</v>
      </c>
      <c r="B338" s="2">
        <v>2003</v>
      </c>
      <c r="C338" s="2">
        <f>COUNTIFS(Games[Team],Games[[#This Row],[Team]],Games[Season],Games[[#This Row],[Season]],Games[Date],"&lt;=" &amp; Games[[#This Row],[Date]])</f>
        <v>24</v>
      </c>
      <c r="D338" s="2" t="s">
        <v>23</v>
      </c>
      <c r="E338" s="2" t="s">
        <v>29</v>
      </c>
      <c r="F338" s="1" t="s">
        <v>80</v>
      </c>
      <c r="G338" s="1" t="s">
        <v>76</v>
      </c>
      <c r="H338" s="1" t="s">
        <v>16</v>
      </c>
      <c r="I338" s="2" cm="1">
        <f t="array" ref="I338">IFERROR(
    Games[[#This Row],[Date]]
    - LOOKUP(
        2,
        1/((Games[Team]=Games[[#This Row],[Team]]) * (Games[Date] &lt; Games[[#This Row],[Date]])),
        Games[Date]
    )
    - 1,
Games[[#This Row],[Date]]-$A$2)</f>
        <v>3</v>
      </c>
      <c r="J338" s="2" cm="1">
        <f t="array" ref="J338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38" s="2">
        <f>Games[[#This Row],[DaysOff]]-Games[[#This Row],[OppDaysOff]]</f>
        <v>3</v>
      </c>
      <c r="L338" s="2">
        <f>Games[[#This Row],[OppDaysOff]]-Games[[#This Row],[DaysOff]]</f>
        <v>-3</v>
      </c>
      <c r="M338" s="1">
        <f>MAX(-16, MIN(16, Games[[#This Row],[RestDiff]]*8))</f>
        <v>16</v>
      </c>
      <c r="N338" s="1">
        <f>MAX(-16, MIN(16, Games[[#This Row],[OppRestDiff]]*8))</f>
        <v>-16</v>
      </c>
      <c r="O338" s="4" cm="1">
        <f t="array" ref="O33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1532.4506747441326</v>
      </c>
      <c r="P338" s="4" cm="1">
        <f t="array" ref="P33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1583.9899367321391</v>
      </c>
      <c r="Q338" s="4">
        <f>1/(1+10^(((Games[[#This Row],[OppPreGmRate]]+IF(Games[[#This Row],[HomeAway]]="A",HCA,0)+Games[[#This Row],[OppRestAdj]])-(Games[[#This Row],[PreGmRate]]+IF(Games[[#This Row],[HomeAway]]="H",HCA,0)+Games[[#This Row],[RestAdj]]))/400))</f>
        <v>0.35525480423906941</v>
      </c>
      <c r="R338" s="1">
        <v>58</v>
      </c>
      <c r="S338" s="1">
        <v>72</v>
      </c>
      <c r="T338" s="1">
        <v>0</v>
      </c>
      <c r="U338" s="1">
        <f>Games[[#This Row],[PointsFor]]-Games[[#This Row],[PointsAgainst]]</f>
        <v>-14</v>
      </c>
      <c r="V338" s="1">
        <f>IF(Games[[#This Row],[MOV]]&gt;0,1,IF(Games[[#This Row],[MOV]]=0,0.5,0))</f>
        <v>0</v>
      </c>
      <c r="W338" s="4">
        <f>((ABS(Games[[#This Row],[MOV]])+5)^0.6)/(12+0.01*(ABS(Games[[#This Row],[PreGmRate]]-Games[[#This Row],[OppPreGmRate]])))*IF(Games[[#This Row],[OT]]=1,0.9,1)</f>
        <v>0.46752806085481702</v>
      </c>
      <c r="X338" s="7" cm="1">
        <f t="array" ref="X33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8" s="9">
        <f>MAX(kmin, kmax - 0.15 * MIN(Games[[#This Row],[GamesPlayed]], 82))</f>
        <v>72.400000000000006</v>
      </c>
      <c r="Z338" s="4">
        <f>Games[[#This Row],[K]]*Games[[#This Row],[POMult]]</f>
        <v>72.400000000000006</v>
      </c>
      <c r="AA338" s="4">
        <f>(Games[[#This Row],[Keff]]*Games[[#This Row],[MOVMult]])*(Games[[#This Row],[Result]]-Games[[#This Row],[ExpectedWin%]])</f>
        <v>-12.025031096832082</v>
      </c>
      <c r="AB338" s="4">
        <f>Games[[#This Row],[PreGmRate]]+Games[[#This Row],[RatingChange]]</f>
        <v>1520.4256436473006</v>
      </c>
      <c r="AC338" s="2">
        <f>IF(Games[[#This Row],[Type]]="R",IF(Games[[#This Row],[Result]]&gt;0.5,1,0),0)</f>
        <v>0</v>
      </c>
      <c r="AD338" s="2">
        <f>IF(Games[[#This Row],[Type]]="R",IF(Games[[#This Row],[Result]]&lt;0.5,1,0),0)</f>
        <v>1</v>
      </c>
      <c r="AE338" s="2">
        <f>IF(AND(Games[[#This Row],[Type]]="P",Games[[#This Row],[Round]]=1),IF(Games[[#This Row],[Result]]&gt;0.5,1,0),0)</f>
        <v>0</v>
      </c>
      <c r="AF338" s="2">
        <f>IF(AND(Games[[#This Row],[Type]]="P",Games[[#This Row],[Round]]=1),IF(Games[[#This Row],[Result]]&lt;0.5,1,0),0)</f>
        <v>0</v>
      </c>
      <c r="AG338" s="2">
        <f>IF(AND(Games[[#This Row],[Type]]="P",Games[[#This Row],[Round]]=2),IF(Games[[#This Row],[Result]]&gt;0.5,1,0),0)</f>
        <v>0</v>
      </c>
      <c r="AH338" s="2">
        <f>IF(AND(Games[[#This Row],[Type]]="P",Games[[#This Row],[Round]]=2),IF(Games[[#This Row],[Result]]&lt;0.5,1,0),0)</f>
        <v>0</v>
      </c>
      <c r="AI338" s="2">
        <f>IF(AND(Games[[#This Row],[Type]]="P",Games[[#This Row],[Round]]=3),IF(Games[[#This Row],[Result]]&gt;0.5,1,0),0)</f>
        <v>0</v>
      </c>
      <c r="AJ338" s="2">
        <f>IF(AND(Games[[#This Row],[Type]]="P",Games[[#This Row],[Round]]=3),IF(Games[[#This Row],[Result]]&lt;0.5,1,0),0)</f>
        <v>0</v>
      </c>
      <c r="AK338" s="2">
        <f>IF(AND(Games[[#This Row],[Type]]="P",Games[[#This Row],[Round]]=4),IF(Games[[#This Row],[Result]]&gt;0.5,1,0),0)</f>
        <v>0</v>
      </c>
      <c r="AL338" s="2">
        <f>IF(AND(Games[[#This Row],[Type]]="P",Games[[#This Row],[Round]]=4),IF(Games[[#This Row],[Result]]&lt;0.5,1,0),0)</f>
        <v>0</v>
      </c>
    </row>
    <row r="339" spans="1:38" x14ac:dyDescent="0.35">
      <c r="A339" s="10">
        <v>37835</v>
      </c>
      <c r="B339" s="2">
        <v>2003</v>
      </c>
      <c r="C339" s="2">
        <f>COUNTIFS(Games[Team],Games[[#This Row],[Team]],Games[Season],Games[[#This Row],[Season]],Games[Date],"&lt;=" &amp; Games[[#This Row],[Date]])</f>
        <v>24</v>
      </c>
      <c r="D339" s="2" t="s">
        <v>23</v>
      </c>
      <c r="E339" s="2" t="s">
        <v>29</v>
      </c>
      <c r="F339" s="1" t="s">
        <v>76</v>
      </c>
      <c r="G339" s="1" t="s">
        <v>80</v>
      </c>
      <c r="H339" s="1" t="s">
        <v>15</v>
      </c>
      <c r="I339" s="2" cm="1">
        <f t="array" ref="I339">IFERROR(
    Games[[#This Row],[Date]]
    - LOOKUP(
        2,
        1/((Games[Team]=Games[[#This Row],[Team]]) * (Games[Date] &lt; Games[[#This Row],[Date]])),
        Games[Date]
    )
    - 1,
Games[[#This Row],[Date]]-$A$2)</f>
        <v>0</v>
      </c>
      <c r="J339" s="2" cm="1">
        <f t="array" ref="J339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39" s="2">
        <f>Games[[#This Row],[DaysOff]]-Games[[#This Row],[OppDaysOff]]</f>
        <v>-3</v>
      </c>
      <c r="L339" s="2">
        <f>Games[[#This Row],[OppDaysOff]]-Games[[#This Row],[DaysOff]]</f>
        <v>3</v>
      </c>
      <c r="M339" s="1">
        <f>MAX(-16, MIN(16, Games[[#This Row],[RestDiff]]*8))</f>
        <v>-16</v>
      </c>
      <c r="N339" s="1">
        <f>MAX(-16, MIN(16, Games[[#This Row],[OppRestDiff]]*8))</f>
        <v>16</v>
      </c>
      <c r="O339" s="4" cm="1">
        <f t="array" ref="O33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1583.9899367321391</v>
      </c>
      <c r="P339" s="4" cm="1">
        <f t="array" ref="P33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1532.4506747441326</v>
      </c>
      <c r="Q339" s="4">
        <f>1/(1+10^(((Games[[#This Row],[OppPreGmRate]]+IF(Games[[#This Row],[HomeAway]]="A",HCA,0)+Games[[#This Row],[OppRestAdj]])-(Games[[#This Row],[PreGmRate]]+IF(Games[[#This Row],[HomeAway]]="H",HCA,0)+Games[[#This Row],[RestAdj]]))/400))</f>
        <v>0.64474519576093059</v>
      </c>
      <c r="R339" s="1">
        <v>72</v>
      </c>
      <c r="S339" s="1">
        <v>58</v>
      </c>
      <c r="T339" s="1">
        <v>0</v>
      </c>
      <c r="U339" s="1">
        <f>Games[[#This Row],[PointsFor]]-Games[[#This Row],[PointsAgainst]]</f>
        <v>14</v>
      </c>
      <c r="V339" s="1">
        <f>IF(Games[[#This Row],[MOV]]&gt;0,1,IF(Games[[#This Row],[MOV]]=0,0.5,0))</f>
        <v>1</v>
      </c>
      <c r="W339" s="4">
        <f>((ABS(Games[[#This Row],[MOV]])+5)^0.6)/(12+0.01*(ABS(Games[[#This Row],[PreGmRate]]-Games[[#This Row],[OppPreGmRate]])))*IF(Games[[#This Row],[OT]]=1,0.9,1)</f>
        <v>0.46752806085481702</v>
      </c>
      <c r="X339" s="7" cm="1">
        <f t="array" ref="X33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9" s="9">
        <f>MAX(kmin, kmax - 0.15 * MIN(Games[[#This Row],[GamesPlayed]], 82))</f>
        <v>72.400000000000006</v>
      </c>
      <c r="Z339" s="4">
        <f>Games[[#This Row],[K]]*Games[[#This Row],[POMult]]</f>
        <v>72.400000000000006</v>
      </c>
      <c r="AA339" s="4">
        <f>(Games[[#This Row],[Keff]]*Games[[#This Row],[MOVMult]])*(Games[[#This Row],[Result]]-Games[[#This Row],[ExpectedWin%]])</f>
        <v>12.025031096832082</v>
      </c>
      <c r="AB339" s="4">
        <f>Games[[#This Row],[PreGmRate]]+Games[[#This Row],[RatingChange]]</f>
        <v>1596.0149678289711</v>
      </c>
      <c r="AC339" s="2">
        <f>IF(Games[[#This Row],[Type]]="R",IF(Games[[#This Row],[Result]]&gt;0.5,1,0),0)</f>
        <v>1</v>
      </c>
      <c r="AD339" s="2">
        <f>IF(Games[[#This Row],[Type]]="R",IF(Games[[#This Row],[Result]]&lt;0.5,1,0),0)</f>
        <v>0</v>
      </c>
      <c r="AE339" s="2">
        <f>IF(AND(Games[[#This Row],[Type]]="P",Games[[#This Row],[Round]]=1),IF(Games[[#This Row],[Result]]&gt;0.5,1,0),0)</f>
        <v>0</v>
      </c>
      <c r="AF339" s="2">
        <f>IF(AND(Games[[#This Row],[Type]]="P",Games[[#This Row],[Round]]=1),IF(Games[[#This Row],[Result]]&lt;0.5,1,0),0)</f>
        <v>0</v>
      </c>
      <c r="AG339" s="2">
        <f>IF(AND(Games[[#This Row],[Type]]="P",Games[[#This Row],[Round]]=2),IF(Games[[#This Row],[Result]]&gt;0.5,1,0),0)</f>
        <v>0</v>
      </c>
      <c r="AH339" s="2">
        <f>IF(AND(Games[[#This Row],[Type]]="P",Games[[#This Row],[Round]]=2),IF(Games[[#This Row],[Result]]&lt;0.5,1,0),0)</f>
        <v>0</v>
      </c>
      <c r="AI339" s="2">
        <f>IF(AND(Games[[#This Row],[Type]]="P",Games[[#This Row],[Round]]=3),IF(Games[[#This Row],[Result]]&gt;0.5,1,0),0)</f>
        <v>0</v>
      </c>
      <c r="AJ339" s="2">
        <f>IF(AND(Games[[#This Row],[Type]]="P",Games[[#This Row],[Round]]=3),IF(Games[[#This Row],[Result]]&lt;0.5,1,0),0)</f>
        <v>0</v>
      </c>
      <c r="AK339" s="2">
        <f>IF(AND(Games[[#This Row],[Type]]="P",Games[[#This Row],[Round]]=4),IF(Games[[#This Row],[Result]]&gt;0.5,1,0),0)</f>
        <v>0</v>
      </c>
      <c r="AL339" s="2">
        <f>IF(AND(Games[[#This Row],[Type]]="P",Games[[#This Row],[Round]]=4),IF(Games[[#This Row],[Result]]&lt;0.5,1,0),0)</f>
        <v>0</v>
      </c>
    </row>
    <row r="340" spans="1:38" x14ac:dyDescent="0.35">
      <c r="A340" s="10">
        <v>37835</v>
      </c>
      <c r="B340" s="2">
        <v>2003</v>
      </c>
      <c r="C340" s="2">
        <f>COUNTIFS(Games[Team],Games[[#This Row],[Team]],Games[Season],Games[[#This Row],[Season]],Games[Date],"&lt;=" &amp; Games[[#This Row],[Date]])</f>
        <v>26</v>
      </c>
      <c r="D340" s="2" t="s">
        <v>23</v>
      </c>
      <c r="E340" s="2" t="s">
        <v>29</v>
      </c>
      <c r="F340" s="1" t="s">
        <v>85</v>
      </c>
      <c r="G340" s="1" t="s">
        <v>2</v>
      </c>
      <c r="H340" s="1" t="s">
        <v>16</v>
      </c>
      <c r="I340" s="2" cm="1">
        <f t="array" ref="I340">IFERROR(
    Games[[#This Row],[Date]]
    - LOOKUP(
        2,
        1/((Games[Team]=Games[[#This Row],[Team]]) * (Games[Date] &lt; Games[[#This Row],[Date]])),
        Games[Date]
    )
    - 1,
Games[[#This Row],[Date]]-$A$2)</f>
        <v>0</v>
      </c>
      <c r="J340" s="2" cm="1">
        <f t="array" ref="J340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40" s="2">
        <f>Games[[#This Row],[DaysOff]]-Games[[#This Row],[OppDaysOff]]</f>
        <v>0</v>
      </c>
      <c r="L340" s="2">
        <f>Games[[#This Row],[OppDaysOff]]-Games[[#This Row],[DaysOff]]</f>
        <v>0</v>
      </c>
      <c r="M340" s="1">
        <f>MAX(-16, MIN(16, Games[[#This Row],[RestDiff]]*8))</f>
        <v>0</v>
      </c>
      <c r="N340" s="1">
        <f>MAX(-16, MIN(16, Games[[#This Row],[OppRestDiff]]*8))</f>
        <v>0</v>
      </c>
      <c r="O340" s="4" cm="1">
        <f t="array" ref="O34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1429.0316537153237</v>
      </c>
      <c r="P340" s="4" cm="1">
        <f t="array" ref="P34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1568.6290717817474</v>
      </c>
      <c r="Q340" s="4">
        <f>1/(1+10^(((Games[[#This Row],[OppPreGmRate]]+IF(Games[[#This Row],[HomeAway]]="A",HCA,0)+Games[[#This Row],[OppRestAdj]])-(Games[[#This Row],[PreGmRate]]+IF(Games[[#This Row],[HomeAway]]="H",HCA,0)+Games[[#This Row],[RestAdj]]))/400))</f>
        <v>0.21633894962449834</v>
      </c>
      <c r="R340" s="1">
        <v>55</v>
      </c>
      <c r="S340" s="1">
        <v>64</v>
      </c>
      <c r="T340" s="1">
        <v>0</v>
      </c>
      <c r="U340" s="1">
        <f>Games[[#This Row],[PointsFor]]-Games[[#This Row],[PointsAgainst]]</f>
        <v>-9</v>
      </c>
      <c r="V340" s="1">
        <f>IF(Games[[#This Row],[MOV]]&gt;0,1,IF(Games[[#This Row],[MOV]]=0,0.5,0))</f>
        <v>0</v>
      </c>
      <c r="W340" s="4">
        <f>((ABS(Games[[#This Row],[MOV]])+5)^0.6)/(12+0.01*(ABS(Games[[#This Row],[PreGmRate]]-Games[[#This Row],[OppPreGmRate]])))*IF(Games[[#This Row],[OT]]=1,0.9,1)</f>
        <v>0.36366584916225586</v>
      </c>
      <c r="X340" s="7" cm="1">
        <f t="array" ref="X34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0" s="9">
        <f>MAX(kmin, kmax - 0.15 * MIN(Games[[#This Row],[GamesPlayed]], 82))</f>
        <v>72.099999999999994</v>
      </c>
      <c r="Z340" s="4">
        <f>Games[[#This Row],[K]]*Games[[#This Row],[POMult]]</f>
        <v>72.099999999999994</v>
      </c>
      <c r="AA340" s="4">
        <f>(Games[[#This Row],[Keff]]*Games[[#This Row],[MOVMult]])*(Games[[#This Row],[Result]]-Games[[#This Row],[ExpectedWin%]])</f>
        <v>-5.672473831970791</v>
      </c>
      <c r="AB340" s="4">
        <f>Games[[#This Row],[PreGmRate]]+Games[[#This Row],[RatingChange]]</f>
        <v>1423.3591798833529</v>
      </c>
      <c r="AC340" s="2">
        <f>IF(Games[[#This Row],[Type]]="R",IF(Games[[#This Row],[Result]]&gt;0.5,1,0),0)</f>
        <v>0</v>
      </c>
      <c r="AD340" s="2">
        <f>IF(Games[[#This Row],[Type]]="R",IF(Games[[#This Row],[Result]]&lt;0.5,1,0),0)</f>
        <v>1</v>
      </c>
      <c r="AE340" s="2">
        <f>IF(AND(Games[[#This Row],[Type]]="P",Games[[#This Row],[Round]]=1),IF(Games[[#This Row],[Result]]&gt;0.5,1,0),0)</f>
        <v>0</v>
      </c>
      <c r="AF340" s="2">
        <f>IF(AND(Games[[#This Row],[Type]]="P",Games[[#This Row],[Round]]=1),IF(Games[[#This Row],[Result]]&lt;0.5,1,0),0)</f>
        <v>0</v>
      </c>
      <c r="AG340" s="2">
        <f>IF(AND(Games[[#This Row],[Type]]="P",Games[[#This Row],[Round]]=2),IF(Games[[#This Row],[Result]]&gt;0.5,1,0),0)</f>
        <v>0</v>
      </c>
      <c r="AH340" s="2">
        <f>IF(AND(Games[[#This Row],[Type]]="P",Games[[#This Row],[Round]]=2),IF(Games[[#This Row],[Result]]&lt;0.5,1,0),0)</f>
        <v>0</v>
      </c>
      <c r="AI340" s="2">
        <f>IF(AND(Games[[#This Row],[Type]]="P",Games[[#This Row],[Round]]=3),IF(Games[[#This Row],[Result]]&gt;0.5,1,0),0)</f>
        <v>0</v>
      </c>
      <c r="AJ340" s="2">
        <f>IF(AND(Games[[#This Row],[Type]]="P",Games[[#This Row],[Round]]=3),IF(Games[[#This Row],[Result]]&lt;0.5,1,0),0)</f>
        <v>0</v>
      </c>
      <c r="AK340" s="2">
        <f>IF(AND(Games[[#This Row],[Type]]="P",Games[[#This Row],[Round]]=4),IF(Games[[#This Row],[Result]]&gt;0.5,1,0),0)</f>
        <v>0</v>
      </c>
      <c r="AL340" s="2">
        <f>IF(AND(Games[[#This Row],[Type]]="P",Games[[#This Row],[Round]]=4),IF(Games[[#This Row],[Result]]&lt;0.5,1,0),0)</f>
        <v>0</v>
      </c>
    </row>
    <row r="341" spans="1:38" x14ac:dyDescent="0.35">
      <c r="A341" s="10">
        <v>37835</v>
      </c>
      <c r="B341" s="2">
        <v>2003</v>
      </c>
      <c r="C341" s="2">
        <f>COUNTIFS(Games[Team],Games[[#This Row],[Team]],Games[Season],Games[[#This Row],[Season]],Games[Date],"&lt;=" &amp; Games[[#This Row],[Date]])</f>
        <v>24</v>
      </c>
      <c r="D341" s="2" t="s">
        <v>23</v>
      </c>
      <c r="E341" s="2" t="s">
        <v>29</v>
      </c>
      <c r="F341" s="1" t="s">
        <v>2</v>
      </c>
      <c r="G341" s="1" t="s">
        <v>85</v>
      </c>
      <c r="H341" s="1" t="s">
        <v>15</v>
      </c>
      <c r="I341" s="2" cm="1">
        <f t="array" ref="I341">IFERROR(
    Games[[#This Row],[Date]]
    - LOOKUP(
        2,
        1/((Games[Team]=Games[[#This Row],[Team]]) * (Games[Date] &lt; Games[[#This Row],[Date]])),
        Games[Date]
    )
    - 1,
Games[[#This Row],[Date]]-$A$2)</f>
        <v>0</v>
      </c>
      <c r="J341" s="2" cm="1">
        <f t="array" ref="J341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41" s="2">
        <f>Games[[#This Row],[DaysOff]]-Games[[#This Row],[OppDaysOff]]</f>
        <v>0</v>
      </c>
      <c r="L341" s="2">
        <f>Games[[#This Row],[OppDaysOff]]-Games[[#This Row],[DaysOff]]</f>
        <v>0</v>
      </c>
      <c r="M341" s="1">
        <f>MAX(-16, MIN(16, Games[[#This Row],[RestDiff]]*8))</f>
        <v>0</v>
      </c>
      <c r="N341" s="1">
        <f>MAX(-16, MIN(16, Games[[#This Row],[OppRestDiff]]*8))</f>
        <v>0</v>
      </c>
      <c r="O341" s="4" cm="1">
        <f t="array" ref="O34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1568.6290717817474</v>
      </c>
      <c r="P341" s="4" cm="1">
        <f t="array" ref="P34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1429.0316537153237</v>
      </c>
      <c r="Q341" s="4">
        <f>1/(1+10^(((Games[[#This Row],[OppPreGmRate]]+IF(Games[[#This Row],[HomeAway]]="A",HCA,0)+Games[[#This Row],[OppRestAdj]])-(Games[[#This Row],[PreGmRate]]+IF(Games[[#This Row],[HomeAway]]="H",HCA,0)+Games[[#This Row],[RestAdj]]))/400))</f>
        <v>0.7836610503755016</v>
      </c>
      <c r="R341" s="1">
        <v>64</v>
      </c>
      <c r="S341" s="1">
        <v>55</v>
      </c>
      <c r="T341" s="1">
        <v>0</v>
      </c>
      <c r="U341" s="1">
        <f>Games[[#This Row],[PointsFor]]-Games[[#This Row],[PointsAgainst]]</f>
        <v>9</v>
      </c>
      <c r="V341" s="1">
        <f>IF(Games[[#This Row],[MOV]]&gt;0,1,IF(Games[[#This Row],[MOV]]=0,0.5,0))</f>
        <v>1</v>
      </c>
      <c r="W341" s="4">
        <f>((ABS(Games[[#This Row],[MOV]])+5)^0.6)/(12+0.01*(ABS(Games[[#This Row],[PreGmRate]]-Games[[#This Row],[OppPreGmRate]])))*IF(Games[[#This Row],[OT]]=1,0.9,1)</f>
        <v>0.36366584916225586</v>
      </c>
      <c r="X341" s="7" cm="1">
        <f t="array" ref="X34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1" s="9">
        <f>MAX(kmin, kmax - 0.15 * MIN(Games[[#This Row],[GamesPlayed]], 82))</f>
        <v>72.400000000000006</v>
      </c>
      <c r="Z341" s="4">
        <f>Games[[#This Row],[K]]*Games[[#This Row],[POMult]]</f>
        <v>72.400000000000006</v>
      </c>
      <c r="AA341" s="4">
        <f>(Games[[#This Row],[Keff]]*Games[[#This Row],[MOVMult]])*(Games[[#This Row],[Result]]-Games[[#This Row],[ExpectedWin%]])</f>
        <v>5.6960763583174128</v>
      </c>
      <c r="AB341" s="4">
        <f>Games[[#This Row],[PreGmRate]]+Games[[#This Row],[RatingChange]]</f>
        <v>1574.3251481400648</v>
      </c>
      <c r="AC341" s="2">
        <f>IF(Games[[#This Row],[Type]]="R",IF(Games[[#This Row],[Result]]&gt;0.5,1,0),0)</f>
        <v>1</v>
      </c>
      <c r="AD341" s="2">
        <f>IF(Games[[#This Row],[Type]]="R",IF(Games[[#This Row],[Result]]&lt;0.5,1,0),0)</f>
        <v>0</v>
      </c>
      <c r="AE341" s="2">
        <f>IF(AND(Games[[#This Row],[Type]]="P",Games[[#This Row],[Round]]=1),IF(Games[[#This Row],[Result]]&gt;0.5,1,0),0)</f>
        <v>0</v>
      </c>
      <c r="AF341" s="2">
        <f>IF(AND(Games[[#This Row],[Type]]="P",Games[[#This Row],[Round]]=1),IF(Games[[#This Row],[Result]]&lt;0.5,1,0),0)</f>
        <v>0</v>
      </c>
      <c r="AG341" s="2">
        <f>IF(AND(Games[[#This Row],[Type]]="P",Games[[#This Row],[Round]]=2),IF(Games[[#This Row],[Result]]&gt;0.5,1,0),0)</f>
        <v>0</v>
      </c>
      <c r="AH341" s="2">
        <f>IF(AND(Games[[#This Row],[Type]]="P",Games[[#This Row],[Round]]=2),IF(Games[[#This Row],[Result]]&lt;0.5,1,0),0)</f>
        <v>0</v>
      </c>
      <c r="AI341" s="2">
        <f>IF(AND(Games[[#This Row],[Type]]="P",Games[[#This Row],[Round]]=3),IF(Games[[#This Row],[Result]]&gt;0.5,1,0),0)</f>
        <v>0</v>
      </c>
      <c r="AJ341" s="2">
        <f>IF(AND(Games[[#This Row],[Type]]="P",Games[[#This Row],[Round]]=3),IF(Games[[#This Row],[Result]]&lt;0.5,1,0),0)</f>
        <v>0</v>
      </c>
      <c r="AK341" s="2">
        <f>IF(AND(Games[[#This Row],[Type]]="P",Games[[#This Row],[Round]]=4),IF(Games[[#This Row],[Result]]&gt;0.5,1,0),0)</f>
        <v>0</v>
      </c>
      <c r="AL341" s="2">
        <f>IF(AND(Games[[#This Row],[Type]]="P",Games[[#This Row],[Round]]=4),IF(Games[[#This Row],[Result]]&lt;0.5,1,0),0)</f>
        <v>0</v>
      </c>
    </row>
    <row r="342" spans="1:38" x14ac:dyDescent="0.35">
      <c r="A342" s="10">
        <v>37835</v>
      </c>
      <c r="B342" s="2">
        <v>2003</v>
      </c>
      <c r="C342" s="2">
        <f>COUNTIFS(Games[Team],Games[[#This Row],[Team]],Games[Season],Games[[#This Row],[Season]],Games[Date],"&lt;=" &amp; Games[[#This Row],[Date]])</f>
        <v>25</v>
      </c>
      <c r="D342" s="2" t="s">
        <v>23</v>
      </c>
      <c r="E342" s="2" t="s">
        <v>29</v>
      </c>
      <c r="F342" s="1" t="s">
        <v>64</v>
      </c>
      <c r="G342" s="1" t="s">
        <v>71</v>
      </c>
      <c r="H342" s="1" t="s">
        <v>16</v>
      </c>
      <c r="I342" s="2" cm="1">
        <f t="array" ref="I342">IFERROR(
    Games[[#This Row],[Date]]
    - LOOKUP(
        2,
        1/((Games[Team]=Games[[#This Row],[Team]]) * (Games[Date] &lt; Games[[#This Row],[Date]])),
        Games[Date]
    )
    - 1,
Games[[#This Row],[Date]]-$A$2)</f>
        <v>1</v>
      </c>
      <c r="J342" s="2" cm="1">
        <f t="array" ref="J34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42" s="2">
        <f>Games[[#This Row],[DaysOff]]-Games[[#This Row],[OppDaysOff]]</f>
        <v>0</v>
      </c>
      <c r="L342" s="2">
        <f>Games[[#This Row],[OppDaysOff]]-Games[[#This Row],[DaysOff]]</f>
        <v>0</v>
      </c>
      <c r="M342" s="1">
        <f>MAX(-16, MIN(16, Games[[#This Row],[RestDiff]]*8))</f>
        <v>0</v>
      </c>
      <c r="N342" s="1">
        <f>MAX(-16, MIN(16, Games[[#This Row],[OppRestDiff]]*8))</f>
        <v>0</v>
      </c>
      <c r="O342" s="4" cm="1">
        <f t="array" ref="O34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1506.0903414810789</v>
      </c>
      <c r="P342" s="4" cm="1">
        <f t="array" ref="P34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1626.2872547558572</v>
      </c>
      <c r="Q342" s="4">
        <f>1/(1+10^(((Games[[#This Row],[OppPreGmRate]]+IF(Games[[#This Row],[HomeAway]]="A",HCA,0)+Games[[#This Row],[OppRestAdj]])-(Games[[#This Row],[PreGmRate]]+IF(Games[[#This Row],[HomeAway]]="H",HCA,0)+Games[[#This Row],[RestAdj]]))/400))</f>
        <v>0.23587093805577308</v>
      </c>
      <c r="R342" s="1">
        <v>84</v>
      </c>
      <c r="S342" s="1">
        <v>73</v>
      </c>
      <c r="T342" s="1">
        <v>0</v>
      </c>
      <c r="U342" s="1">
        <f>Games[[#This Row],[PointsFor]]-Games[[#This Row],[PointsAgainst]]</f>
        <v>11</v>
      </c>
      <c r="V342" s="1">
        <f>IF(Games[[#This Row],[MOV]]&gt;0,1,IF(Games[[#This Row],[MOV]]=0,0.5,0))</f>
        <v>1</v>
      </c>
      <c r="W342" s="4">
        <f>((ABS(Games[[#This Row],[MOV]])+5)^0.6)/(12+0.01*(ABS(Games[[#This Row],[PreGmRate]]-Games[[#This Row],[OppPreGmRate]])))*IF(Games[[#This Row],[OT]]=1,0.9,1)</f>
        <v>0.39979124250482451</v>
      </c>
      <c r="X342" s="7" cm="1">
        <f t="array" ref="X34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2" s="9">
        <f>MAX(kmin, kmax - 0.15 * MIN(Games[[#This Row],[GamesPlayed]], 82))</f>
        <v>72.25</v>
      </c>
      <c r="Z342" s="4">
        <f>Games[[#This Row],[K]]*Games[[#This Row],[POMult]]</f>
        <v>72.25</v>
      </c>
      <c r="AA342" s="4">
        <f>(Games[[#This Row],[Keff]]*Games[[#This Row],[MOVMult]])*(Games[[#This Row],[Result]]-Games[[#This Row],[ExpectedWin%]])</f>
        <v>22.071804738605632</v>
      </c>
      <c r="AB342" s="4">
        <f>Games[[#This Row],[PreGmRate]]+Games[[#This Row],[RatingChange]]</f>
        <v>1528.1621462196845</v>
      </c>
      <c r="AC342" s="2">
        <f>IF(Games[[#This Row],[Type]]="R",IF(Games[[#This Row],[Result]]&gt;0.5,1,0),0)</f>
        <v>1</v>
      </c>
      <c r="AD342" s="2">
        <f>IF(Games[[#This Row],[Type]]="R",IF(Games[[#This Row],[Result]]&lt;0.5,1,0),0)</f>
        <v>0</v>
      </c>
      <c r="AE342" s="2">
        <f>IF(AND(Games[[#This Row],[Type]]="P",Games[[#This Row],[Round]]=1),IF(Games[[#This Row],[Result]]&gt;0.5,1,0),0)</f>
        <v>0</v>
      </c>
      <c r="AF342" s="2">
        <f>IF(AND(Games[[#This Row],[Type]]="P",Games[[#This Row],[Round]]=1),IF(Games[[#This Row],[Result]]&lt;0.5,1,0),0)</f>
        <v>0</v>
      </c>
      <c r="AG342" s="2">
        <f>IF(AND(Games[[#This Row],[Type]]="P",Games[[#This Row],[Round]]=2),IF(Games[[#This Row],[Result]]&gt;0.5,1,0),0)</f>
        <v>0</v>
      </c>
      <c r="AH342" s="2">
        <f>IF(AND(Games[[#This Row],[Type]]="P",Games[[#This Row],[Round]]=2),IF(Games[[#This Row],[Result]]&lt;0.5,1,0),0)</f>
        <v>0</v>
      </c>
      <c r="AI342" s="2">
        <f>IF(AND(Games[[#This Row],[Type]]="P",Games[[#This Row],[Round]]=3),IF(Games[[#This Row],[Result]]&gt;0.5,1,0),0)</f>
        <v>0</v>
      </c>
      <c r="AJ342" s="2">
        <f>IF(AND(Games[[#This Row],[Type]]="P",Games[[#This Row],[Round]]=3),IF(Games[[#This Row],[Result]]&lt;0.5,1,0),0)</f>
        <v>0</v>
      </c>
      <c r="AK342" s="2">
        <f>IF(AND(Games[[#This Row],[Type]]="P",Games[[#This Row],[Round]]=4),IF(Games[[#This Row],[Result]]&gt;0.5,1,0),0)</f>
        <v>0</v>
      </c>
      <c r="AL342" s="2">
        <f>IF(AND(Games[[#This Row],[Type]]="P",Games[[#This Row],[Round]]=4),IF(Games[[#This Row],[Result]]&lt;0.5,1,0),0)</f>
        <v>0</v>
      </c>
    </row>
    <row r="343" spans="1:38" x14ac:dyDescent="0.35">
      <c r="A343" s="10">
        <v>37835</v>
      </c>
      <c r="B343" s="2">
        <v>2003</v>
      </c>
      <c r="C343" s="2">
        <f>COUNTIFS(Games[Team],Games[[#This Row],[Team]],Games[Season],Games[[#This Row],[Season]],Games[Date],"&lt;=" &amp; Games[[#This Row],[Date]])</f>
        <v>26</v>
      </c>
      <c r="D343" s="2" t="s">
        <v>23</v>
      </c>
      <c r="E343" s="2" t="s">
        <v>29</v>
      </c>
      <c r="F343" s="1" t="s">
        <v>71</v>
      </c>
      <c r="G343" s="1" t="s">
        <v>64</v>
      </c>
      <c r="H343" s="1" t="s">
        <v>15</v>
      </c>
      <c r="I343" s="2" cm="1">
        <f t="array" ref="I343">IFERROR(
    Games[[#This Row],[Date]]
    - LOOKUP(
        2,
        1/((Games[Team]=Games[[#This Row],[Team]]) * (Games[Date] &lt; Games[[#This Row],[Date]])),
        Games[Date]
    )
    - 1,
Games[[#This Row],[Date]]-$A$2)</f>
        <v>1</v>
      </c>
      <c r="J343" s="2" cm="1">
        <f t="array" ref="J34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43" s="2">
        <f>Games[[#This Row],[DaysOff]]-Games[[#This Row],[OppDaysOff]]</f>
        <v>0</v>
      </c>
      <c r="L343" s="2">
        <f>Games[[#This Row],[OppDaysOff]]-Games[[#This Row],[DaysOff]]</f>
        <v>0</v>
      </c>
      <c r="M343" s="1">
        <f>MAX(-16, MIN(16, Games[[#This Row],[RestDiff]]*8))</f>
        <v>0</v>
      </c>
      <c r="N343" s="1">
        <f>MAX(-16, MIN(16, Games[[#This Row],[OppRestDiff]]*8))</f>
        <v>0</v>
      </c>
      <c r="O343" s="4" cm="1">
        <f t="array" ref="O34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1626.2872547558572</v>
      </c>
      <c r="P343" s="4" cm="1">
        <f t="array" ref="P34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1506.0903414810789</v>
      </c>
      <c r="Q343" s="4">
        <f>1/(1+10^(((Games[[#This Row],[OppPreGmRate]]+IF(Games[[#This Row],[HomeAway]]="A",HCA,0)+Games[[#This Row],[OppRestAdj]])-(Games[[#This Row],[PreGmRate]]+IF(Games[[#This Row],[HomeAway]]="H",HCA,0)+Games[[#This Row],[RestAdj]]))/400))</f>
        <v>0.76412906194422692</v>
      </c>
      <c r="R343" s="1">
        <v>73</v>
      </c>
      <c r="S343" s="1">
        <v>84</v>
      </c>
      <c r="T343" s="1">
        <v>0</v>
      </c>
      <c r="U343" s="1">
        <f>Games[[#This Row],[PointsFor]]-Games[[#This Row],[PointsAgainst]]</f>
        <v>-11</v>
      </c>
      <c r="V343" s="1">
        <f>IF(Games[[#This Row],[MOV]]&gt;0,1,IF(Games[[#This Row],[MOV]]=0,0.5,0))</f>
        <v>0</v>
      </c>
      <c r="W343" s="4">
        <f>((ABS(Games[[#This Row],[MOV]])+5)^0.6)/(12+0.01*(ABS(Games[[#This Row],[PreGmRate]]-Games[[#This Row],[OppPreGmRate]])))*IF(Games[[#This Row],[OT]]=1,0.9,1)</f>
        <v>0.39979124250482451</v>
      </c>
      <c r="X343" s="7" cm="1">
        <f t="array" ref="X34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3" s="9">
        <f>MAX(kmin, kmax - 0.15 * MIN(Games[[#This Row],[GamesPlayed]], 82))</f>
        <v>72.099999999999994</v>
      </c>
      <c r="Z343" s="4">
        <f>Games[[#This Row],[K]]*Games[[#This Row],[POMult]]</f>
        <v>72.099999999999994</v>
      </c>
      <c r="AA343" s="4">
        <f>(Games[[#This Row],[Keff]]*Games[[#This Row],[MOVMult]])*(Games[[#This Row],[Result]]-Games[[#This Row],[ExpectedWin%]])</f>
        <v>-22.025980922539322</v>
      </c>
      <c r="AB343" s="4">
        <f>Games[[#This Row],[PreGmRate]]+Games[[#This Row],[RatingChange]]</f>
        <v>1604.261273833318</v>
      </c>
      <c r="AC343" s="2">
        <f>IF(Games[[#This Row],[Type]]="R",IF(Games[[#This Row],[Result]]&gt;0.5,1,0),0)</f>
        <v>0</v>
      </c>
      <c r="AD343" s="2">
        <f>IF(Games[[#This Row],[Type]]="R",IF(Games[[#This Row],[Result]]&lt;0.5,1,0),0)</f>
        <v>1</v>
      </c>
      <c r="AE343" s="2">
        <f>IF(AND(Games[[#This Row],[Type]]="P",Games[[#This Row],[Round]]=1),IF(Games[[#This Row],[Result]]&gt;0.5,1,0),0)</f>
        <v>0</v>
      </c>
      <c r="AF343" s="2">
        <f>IF(AND(Games[[#This Row],[Type]]="P",Games[[#This Row],[Round]]=1),IF(Games[[#This Row],[Result]]&lt;0.5,1,0),0)</f>
        <v>0</v>
      </c>
      <c r="AG343" s="2">
        <f>IF(AND(Games[[#This Row],[Type]]="P",Games[[#This Row],[Round]]=2),IF(Games[[#This Row],[Result]]&gt;0.5,1,0),0)</f>
        <v>0</v>
      </c>
      <c r="AH343" s="2">
        <f>IF(AND(Games[[#This Row],[Type]]="P",Games[[#This Row],[Round]]=2),IF(Games[[#This Row],[Result]]&lt;0.5,1,0),0)</f>
        <v>0</v>
      </c>
      <c r="AI343" s="2">
        <f>IF(AND(Games[[#This Row],[Type]]="P",Games[[#This Row],[Round]]=3),IF(Games[[#This Row],[Result]]&gt;0.5,1,0),0)</f>
        <v>0</v>
      </c>
      <c r="AJ343" s="2">
        <f>IF(AND(Games[[#This Row],[Type]]="P",Games[[#This Row],[Round]]=3),IF(Games[[#This Row],[Result]]&lt;0.5,1,0),0)</f>
        <v>0</v>
      </c>
      <c r="AK343" s="2">
        <f>IF(AND(Games[[#This Row],[Type]]="P",Games[[#This Row],[Round]]=4),IF(Games[[#This Row],[Result]]&gt;0.5,1,0),0)</f>
        <v>0</v>
      </c>
      <c r="AL343" s="2">
        <f>IF(AND(Games[[#This Row],[Type]]="P",Games[[#This Row],[Round]]=4),IF(Games[[#This Row],[Result]]&lt;0.5,1,0),0)</f>
        <v>0</v>
      </c>
    </row>
    <row r="344" spans="1:38" x14ac:dyDescent="0.35">
      <c r="A344" s="10">
        <v>37835</v>
      </c>
      <c r="B344" s="2">
        <v>2003</v>
      </c>
      <c r="C344" s="2">
        <f>COUNTIFS(Games[Team],Games[[#This Row],[Team]],Games[Season],Games[[#This Row],[Season]],Games[Date],"&lt;=" &amp; Games[[#This Row],[Date]])</f>
        <v>25</v>
      </c>
      <c r="D344" s="2" t="s">
        <v>23</v>
      </c>
      <c r="E344" s="2" t="s">
        <v>29</v>
      </c>
      <c r="F344" s="1" t="s">
        <v>82</v>
      </c>
      <c r="G344" s="1" t="s">
        <v>78</v>
      </c>
      <c r="H344" s="1" t="s">
        <v>16</v>
      </c>
      <c r="I344" s="2" cm="1">
        <f t="array" ref="I344">IFERROR(
    Games[[#This Row],[Date]]
    - LOOKUP(
        2,
        1/((Games[Team]=Games[[#This Row],[Team]]) * (Games[Date] &lt; Games[[#This Row],[Date]])),
        Games[Date]
    )
    - 1,
Games[[#This Row],[Date]]-$A$2)</f>
        <v>1</v>
      </c>
      <c r="J344" s="2" cm="1">
        <f t="array" ref="J344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44" s="2">
        <f>Games[[#This Row],[DaysOff]]-Games[[#This Row],[OppDaysOff]]</f>
        <v>-2</v>
      </c>
      <c r="L344" s="2">
        <f>Games[[#This Row],[OppDaysOff]]-Games[[#This Row],[DaysOff]]</f>
        <v>2</v>
      </c>
      <c r="M344" s="1">
        <f>MAX(-16, MIN(16, Games[[#This Row],[RestDiff]]*8))</f>
        <v>-16</v>
      </c>
      <c r="N344" s="1">
        <f>MAX(-16, MIN(16, Games[[#This Row],[OppRestDiff]]*8))</f>
        <v>16</v>
      </c>
      <c r="O344" s="4" cm="1">
        <f t="array" ref="O34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1564.3295963305327</v>
      </c>
      <c r="P344" s="4" cm="1">
        <f t="array" ref="P34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1499.9469822708415</v>
      </c>
      <c r="Q344" s="4">
        <f>1/(1+10^(((Games[[#This Row],[OppPreGmRate]]+IF(Games[[#This Row],[HomeAway]]="A",HCA,0)+Games[[#This Row],[OppRestAdj]])-(Games[[#This Row],[PreGmRate]]+IF(Games[[#This Row],[HomeAway]]="H",HCA,0)+Games[[#This Row],[RestAdj]]))/400))</f>
        <v>0.42625835771094422</v>
      </c>
      <c r="R344" s="1">
        <v>71</v>
      </c>
      <c r="S344" s="1">
        <v>73</v>
      </c>
      <c r="T344" s="1">
        <v>0</v>
      </c>
      <c r="U344" s="1">
        <f>Games[[#This Row],[PointsFor]]-Games[[#This Row],[PointsAgainst]]</f>
        <v>-2</v>
      </c>
      <c r="V344" s="1">
        <f>IF(Games[[#This Row],[MOV]]&gt;0,1,IF(Games[[#This Row],[MOV]]=0,0.5,0))</f>
        <v>0</v>
      </c>
      <c r="W344" s="4">
        <f>((ABS(Games[[#This Row],[MOV]])+5)^0.6)/(12+0.01*(ABS(Games[[#This Row],[PreGmRate]]-Games[[#This Row],[OppPreGmRate]])))*IF(Games[[#This Row],[OT]]=1,0.9,1)</f>
        <v>0.25420278750877401</v>
      </c>
      <c r="X344" s="7" cm="1">
        <f t="array" ref="X34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4" s="9">
        <f>MAX(kmin, kmax - 0.15 * MIN(Games[[#This Row],[GamesPlayed]], 82))</f>
        <v>72.25</v>
      </c>
      <c r="Z344" s="4">
        <f>Games[[#This Row],[K]]*Games[[#This Row],[POMult]]</f>
        <v>72.25</v>
      </c>
      <c r="AA344" s="4">
        <f>(Games[[#This Row],[Keff]]*Games[[#This Row],[MOVMult]])*(Games[[#This Row],[Result]]-Games[[#This Row],[ExpectedWin%]])</f>
        <v>-7.8287255321727161</v>
      </c>
      <c r="AB344" s="4">
        <f>Games[[#This Row],[PreGmRate]]+Games[[#This Row],[RatingChange]]</f>
        <v>1556.50087079836</v>
      </c>
      <c r="AC344" s="2">
        <f>IF(Games[[#This Row],[Type]]="R",IF(Games[[#This Row],[Result]]&gt;0.5,1,0),0)</f>
        <v>0</v>
      </c>
      <c r="AD344" s="2">
        <f>IF(Games[[#This Row],[Type]]="R",IF(Games[[#This Row],[Result]]&lt;0.5,1,0),0)</f>
        <v>1</v>
      </c>
      <c r="AE344" s="2">
        <f>IF(AND(Games[[#This Row],[Type]]="P",Games[[#This Row],[Round]]=1),IF(Games[[#This Row],[Result]]&gt;0.5,1,0),0)</f>
        <v>0</v>
      </c>
      <c r="AF344" s="2">
        <f>IF(AND(Games[[#This Row],[Type]]="P",Games[[#This Row],[Round]]=1),IF(Games[[#This Row],[Result]]&lt;0.5,1,0),0)</f>
        <v>0</v>
      </c>
      <c r="AG344" s="2">
        <f>IF(AND(Games[[#This Row],[Type]]="P",Games[[#This Row],[Round]]=2),IF(Games[[#This Row],[Result]]&gt;0.5,1,0),0)</f>
        <v>0</v>
      </c>
      <c r="AH344" s="2">
        <f>IF(AND(Games[[#This Row],[Type]]="P",Games[[#This Row],[Round]]=2),IF(Games[[#This Row],[Result]]&lt;0.5,1,0),0)</f>
        <v>0</v>
      </c>
      <c r="AI344" s="2">
        <f>IF(AND(Games[[#This Row],[Type]]="P",Games[[#This Row],[Round]]=3),IF(Games[[#This Row],[Result]]&gt;0.5,1,0),0)</f>
        <v>0</v>
      </c>
      <c r="AJ344" s="2">
        <f>IF(AND(Games[[#This Row],[Type]]="P",Games[[#This Row],[Round]]=3),IF(Games[[#This Row],[Result]]&lt;0.5,1,0),0)</f>
        <v>0</v>
      </c>
      <c r="AK344" s="2">
        <f>IF(AND(Games[[#This Row],[Type]]="P",Games[[#This Row],[Round]]=4),IF(Games[[#This Row],[Result]]&gt;0.5,1,0),0)</f>
        <v>0</v>
      </c>
      <c r="AL344" s="2">
        <f>IF(AND(Games[[#This Row],[Type]]="P",Games[[#This Row],[Round]]=4),IF(Games[[#This Row],[Result]]&lt;0.5,1,0),0)</f>
        <v>0</v>
      </c>
    </row>
    <row r="345" spans="1:38" x14ac:dyDescent="0.35">
      <c r="A345" s="10">
        <v>37835</v>
      </c>
      <c r="B345" s="2">
        <v>2003</v>
      </c>
      <c r="C345" s="2">
        <f>COUNTIFS(Games[Team],Games[[#This Row],[Team]],Games[Season],Games[[#This Row],[Season]],Games[Date],"&lt;=" &amp; Games[[#This Row],[Date]])</f>
        <v>25</v>
      </c>
      <c r="D345" s="2" t="s">
        <v>23</v>
      </c>
      <c r="E345" s="2" t="s">
        <v>29</v>
      </c>
      <c r="F345" s="1" t="s">
        <v>78</v>
      </c>
      <c r="G345" s="1" t="s">
        <v>82</v>
      </c>
      <c r="H345" s="1" t="s">
        <v>15</v>
      </c>
      <c r="I345" s="2" cm="1">
        <f t="array" ref="I345">IFERROR(
    Games[[#This Row],[Date]]
    - LOOKUP(
        2,
        1/((Games[Team]=Games[[#This Row],[Team]]) * (Games[Date] &lt; Games[[#This Row],[Date]])),
        Games[Date]
    )
    - 1,
Games[[#This Row],[Date]]-$A$2)</f>
        <v>3</v>
      </c>
      <c r="J345" s="2" cm="1">
        <f t="array" ref="J34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45" s="2">
        <f>Games[[#This Row],[DaysOff]]-Games[[#This Row],[OppDaysOff]]</f>
        <v>2</v>
      </c>
      <c r="L345" s="2">
        <f>Games[[#This Row],[OppDaysOff]]-Games[[#This Row],[DaysOff]]</f>
        <v>-2</v>
      </c>
      <c r="M345" s="1">
        <f>MAX(-16, MIN(16, Games[[#This Row],[RestDiff]]*8))</f>
        <v>16</v>
      </c>
      <c r="N345" s="1">
        <f>MAX(-16, MIN(16, Games[[#This Row],[OppRestDiff]]*8))</f>
        <v>-16</v>
      </c>
      <c r="O345" s="4" cm="1">
        <f t="array" ref="O34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1499.9469822708415</v>
      </c>
      <c r="P345" s="4" cm="1">
        <f t="array" ref="P34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1564.3295963305327</v>
      </c>
      <c r="Q345" s="4">
        <f>1/(1+10^(((Games[[#This Row],[OppPreGmRate]]+IF(Games[[#This Row],[HomeAway]]="A",HCA,0)+Games[[#This Row],[OppRestAdj]])-(Games[[#This Row],[PreGmRate]]+IF(Games[[#This Row],[HomeAway]]="H",HCA,0)+Games[[#This Row],[RestAdj]]))/400))</f>
        <v>0.57374164228905578</v>
      </c>
      <c r="R345" s="1">
        <v>73</v>
      </c>
      <c r="S345" s="1">
        <v>71</v>
      </c>
      <c r="T345" s="1">
        <v>0</v>
      </c>
      <c r="U345" s="1">
        <f>Games[[#This Row],[PointsFor]]-Games[[#This Row],[PointsAgainst]]</f>
        <v>2</v>
      </c>
      <c r="V345" s="1">
        <f>IF(Games[[#This Row],[MOV]]&gt;0,1,IF(Games[[#This Row],[MOV]]=0,0.5,0))</f>
        <v>1</v>
      </c>
      <c r="W345" s="4">
        <f>((ABS(Games[[#This Row],[MOV]])+5)^0.6)/(12+0.01*(ABS(Games[[#This Row],[PreGmRate]]-Games[[#This Row],[OppPreGmRate]])))*IF(Games[[#This Row],[OT]]=1,0.9,1)</f>
        <v>0.25420278750877401</v>
      </c>
      <c r="X345" s="7" cm="1">
        <f t="array" ref="X34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5" s="9">
        <f>MAX(kmin, kmax - 0.15 * MIN(Games[[#This Row],[GamesPlayed]], 82))</f>
        <v>72.25</v>
      </c>
      <c r="Z345" s="4">
        <f>Games[[#This Row],[K]]*Games[[#This Row],[POMult]]</f>
        <v>72.25</v>
      </c>
      <c r="AA345" s="4">
        <f>(Games[[#This Row],[Keff]]*Games[[#This Row],[MOVMult]])*(Games[[#This Row],[Result]]-Games[[#This Row],[ExpectedWin%]])</f>
        <v>7.8287255321727161</v>
      </c>
      <c r="AB345" s="4">
        <f>Games[[#This Row],[PreGmRate]]+Games[[#This Row],[RatingChange]]</f>
        <v>1507.7757078030143</v>
      </c>
      <c r="AC345" s="2">
        <f>IF(Games[[#This Row],[Type]]="R",IF(Games[[#This Row],[Result]]&gt;0.5,1,0),0)</f>
        <v>1</v>
      </c>
      <c r="AD345" s="2">
        <f>IF(Games[[#This Row],[Type]]="R",IF(Games[[#This Row],[Result]]&lt;0.5,1,0),0)</f>
        <v>0</v>
      </c>
      <c r="AE345" s="2">
        <f>IF(AND(Games[[#This Row],[Type]]="P",Games[[#This Row],[Round]]=1),IF(Games[[#This Row],[Result]]&gt;0.5,1,0),0)</f>
        <v>0</v>
      </c>
      <c r="AF345" s="2">
        <f>IF(AND(Games[[#This Row],[Type]]="P",Games[[#This Row],[Round]]=1),IF(Games[[#This Row],[Result]]&lt;0.5,1,0),0)</f>
        <v>0</v>
      </c>
      <c r="AG345" s="2">
        <f>IF(AND(Games[[#This Row],[Type]]="P",Games[[#This Row],[Round]]=2),IF(Games[[#This Row],[Result]]&gt;0.5,1,0),0)</f>
        <v>0</v>
      </c>
      <c r="AH345" s="2">
        <f>IF(AND(Games[[#This Row],[Type]]="P",Games[[#This Row],[Round]]=2),IF(Games[[#This Row],[Result]]&lt;0.5,1,0),0)</f>
        <v>0</v>
      </c>
      <c r="AI345" s="2">
        <f>IF(AND(Games[[#This Row],[Type]]="P",Games[[#This Row],[Round]]=3),IF(Games[[#This Row],[Result]]&gt;0.5,1,0),0)</f>
        <v>0</v>
      </c>
      <c r="AJ345" s="2">
        <f>IF(AND(Games[[#This Row],[Type]]="P",Games[[#This Row],[Round]]=3),IF(Games[[#This Row],[Result]]&lt;0.5,1,0),0)</f>
        <v>0</v>
      </c>
      <c r="AK345" s="2">
        <f>IF(AND(Games[[#This Row],[Type]]="P",Games[[#This Row],[Round]]=4),IF(Games[[#This Row],[Result]]&gt;0.5,1,0),0)</f>
        <v>0</v>
      </c>
      <c r="AL345" s="2">
        <f>IF(AND(Games[[#This Row],[Type]]="P",Games[[#This Row],[Round]]=4),IF(Games[[#This Row],[Result]]&lt;0.5,1,0),0)</f>
        <v>0</v>
      </c>
    </row>
    <row r="346" spans="1:38" x14ac:dyDescent="0.35">
      <c r="A346" s="10">
        <v>37836</v>
      </c>
      <c r="B346" s="2">
        <v>2003</v>
      </c>
      <c r="C346" s="2">
        <f>COUNTIFS(Games[Team],Games[[#This Row],[Team]],Games[Season],Games[[#This Row],[Season]],Games[Date],"&lt;=" &amp; Games[[#This Row],[Date]])</f>
        <v>25</v>
      </c>
      <c r="D346" s="2" t="s">
        <v>23</v>
      </c>
      <c r="E346" s="2" t="s">
        <v>29</v>
      </c>
      <c r="F346" s="1" t="s">
        <v>80</v>
      </c>
      <c r="G346" s="1" t="s">
        <v>87</v>
      </c>
      <c r="H346" s="1" t="s">
        <v>16</v>
      </c>
      <c r="I346" s="2" cm="1">
        <f t="array" ref="I346">IFERROR(
    Games[[#This Row],[Date]]
    - LOOKUP(
        2,
        1/((Games[Team]=Games[[#This Row],[Team]]) * (Games[Date] &lt; Games[[#This Row],[Date]])),
        Games[Date]
    )
    - 1,
Games[[#This Row],[Date]]-$A$2)</f>
        <v>0</v>
      </c>
      <c r="J346" s="2" cm="1">
        <f t="array" ref="J34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46" s="2">
        <f>Games[[#This Row],[DaysOff]]-Games[[#This Row],[OppDaysOff]]</f>
        <v>-1</v>
      </c>
      <c r="L346" s="2">
        <f>Games[[#This Row],[OppDaysOff]]-Games[[#This Row],[DaysOff]]</f>
        <v>1</v>
      </c>
      <c r="M346" s="1">
        <f>MAX(-16, MIN(16, Games[[#This Row],[RestDiff]]*8))</f>
        <v>-8</v>
      </c>
      <c r="N346" s="1">
        <f>MAX(-16, MIN(16, Games[[#This Row],[OppRestDiff]]*8))</f>
        <v>8</v>
      </c>
      <c r="O346" s="4" cm="1">
        <f t="array" ref="O34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1520.4256436473006</v>
      </c>
      <c r="P346" s="4" cm="1">
        <f t="array" ref="P34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1500.7015101312015</v>
      </c>
      <c r="Q346" s="4">
        <f>1/(1+10^(((Games[[#This Row],[OppPreGmRate]]+IF(Games[[#This Row],[HomeAway]]="A",HCA,0)+Games[[#This Row],[OppRestAdj]])-(Games[[#This Row],[PreGmRate]]+IF(Games[[#This Row],[HomeAway]]="H",HCA,0)+Games[[#This Row],[RestAdj]]))/400))</f>
        <v>0.38648657030391437</v>
      </c>
      <c r="R346" s="1">
        <v>55</v>
      </c>
      <c r="S346" s="1">
        <v>66</v>
      </c>
      <c r="T346" s="1">
        <v>0</v>
      </c>
      <c r="U346" s="1">
        <f>Games[[#This Row],[PointsFor]]-Games[[#This Row],[PointsAgainst]]</f>
        <v>-11</v>
      </c>
      <c r="V346" s="1">
        <f>IF(Games[[#This Row],[MOV]]&gt;0,1,IF(Games[[#This Row],[MOV]]=0,0.5,0))</f>
        <v>0</v>
      </c>
      <c r="W346" s="4">
        <f>((ABS(Games[[#This Row],[MOV]])+5)^0.6)/(12+0.01*(ABS(Games[[#This Row],[PreGmRate]]-Games[[#This Row],[OppPreGmRate]])))*IF(Games[[#This Row],[OT]]=1,0.9,1)</f>
        <v>0.43272339195885168</v>
      </c>
      <c r="X346" s="7" cm="1">
        <f t="array" ref="X34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6" s="9">
        <f>MAX(kmin, kmax - 0.15 * MIN(Games[[#This Row],[GamesPlayed]], 82))</f>
        <v>72.25</v>
      </c>
      <c r="Z346" s="4">
        <f>Games[[#This Row],[K]]*Games[[#This Row],[POMult]]</f>
        <v>72.25</v>
      </c>
      <c r="AA346" s="4">
        <f>(Games[[#This Row],[Keff]]*Games[[#This Row],[MOVMult]])*(Games[[#This Row],[Result]]-Games[[#This Row],[ExpectedWin%]])</f>
        <v>-12.083218579600731</v>
      </c>
      <c r="AB346" s="4">
        <f>Games[[#This Row],[PreGmRate]]+Games[[#This Row],[RatingChange]]</f>
        <v>1508.3424250676999</v>
      </c>
      <c r="AC346" s="2">
        <f>IF(Games[[#This Row],[Type]]="R",IF(Games[[#This Row],[Result]]&gt;0.5,1,0),0)</f>
        <v>0</v>
      </c>
      <c r="AD346" s="2">
        <f>IF(Games[[#This Row],[Type]]="R",IF(Games[[#This Row],[Result]]&lt;0.5,1,0),0)</f>
        <v>1</v>
      </c>
      <c r="AE346" s="2">
        <f>IF(AND(Games[[#This Row],[Type]]="P",Games[[#This Row],[Round]]=1),IF(Games[[#This Row],[Result]]&gt;0.5,1,0),0)</f>
        <v>0</v>
      </c>
      <c r="AF346" s="2">
        <f>IF(AND(Games[[#This Row],[Type]]="P",Games[[#This Row],[Round]]=1),IF(Games[[#This Row],[Result]]&lt;0.5,1,0),0)</f>
        <v>0</v>
      </c>
      <c r="AG346" s="2">
        <f>IF(AND(Games[[#This Row],[Type]]="P",Games[[#This Row],[Round]]=2),IF(Games[[#This Row],[Result]]&gt;0.5,1,0),0)</f>
        <v>0</v>
      </c>
      <c r="AH346" s="2">
        <f>IF(AND(Games[[#This Row],[Type]]="P",Games[[#This Row],[Round]]=2),IF(Games[[#This Row],[Result]]&lt;0.5,1,0),0)</f>
        <v>0</v>
      </c>
      <c r="AI346" s="2">
        <f>IF(AND(Games[[#This Row],[Type]]="P",Games[[#This Row],[Round]]=3),IF(Games[[#This Row],[Result]]&gt;0.5,1,0),0)</f>
        <v>0</v>
      </c>
      <c r="AJ346" s="2">
        <f>IF(AND(Games[[#This Row],[Type]]="P",Games[[#This Row],[Round]]=3),IF(Games[[#This Row],[Result]]&lt;0.5,1,0),0)</f>
        <v>0</v>
      </c>
      <c r="AK346" s="2">
        <f>IF(AND(Games[[#This Row],[Type]]="P",Games[[#This Row],[Round]]=4),IF(Games[[#This Row],[Result]]&gt;0.5,1,0),0)</f>
        <v>0</v>
      </c>
      <c r="AL346" s="2">
        <f>IF(AND(Games[[#This Row],[Type]]="P",Games[[#This Row],[Round]]=4),IF(Games[[#This Row],[Result]]&lt;0.5,1,0),0)</f>
        <v>0</v>
      </c>
    </row>
    <row r="347" spans="1:38" x14ac:dyDescent="0.35">
      <c r="A347" s="10">
        <v>37836</v>
      </c>
      <c r="B347" s="2">
        <v>2003</v>
      </c>
      <c r="C347" s="2">
        <f>COUNTIFS(Games[Team],Games[[#This Row],[Team]],Games[Season],Games[[#This Row],[Season]],Games[Date],"&lt;=" &amp; Games[[#This Row],[Date]])</f>
        <v>26</v>
      </c>
      <c r="D347" s="2" t="s">
        <v>23</v>
      </c>
      <c r="E347" s="2" t="s">
        <v>29</v>
      </c>
      <c r="F347" s="1" t="s">
        <v>87</v>
      </c>
      <c r="G347" s="1" t="s">
        <v>80</v>
      </c>
      <c r="H347" s="1" t="s">
        <v>15</v>
      </c>
      <c r="I347" s="2" cm="1">
        <f t="array" ref="I347">IFERROR(
    Games[[#This Row],[Date]]
    - LOOKUP(
        2,
        1/((Games[Team]=Games[[#This Row],[Team]]) * (Games[Date] &lt; Games[[#This Row],[Date]])),
        Games[Date]
    )
    - 1,
Games[[#This Row],[Date]]-$A$2)</f>
        <v>1</v>
      </c>
      <c r="J347" s="2" cm="1">
        <f t="array" ref="J347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47" s="2">
        <f>Games[[#This Row],[DaysOff]]-Games[[#This Row],[OppDaysOff]]</f>
        <v>1</v>
      </c>
      <c r="L347" s="2">
        <f>Games[[#This Row],[OppDaysOff]]-Games[[#This Row],[DaysOff]]</f>
        <v>-1</v>
      </c>
      <c r="M347" s="1">
        <f>MAX(-16, MIN(16, Games[[#This Row],[RestDiff]]*8))</f>
        <v>8</v>
      </c>
      <c r="N347" s="1">
        <f>MAX(-16, MIN(16, Games[[#This Row],[OppRestDiff]]*8))</f>
        <v>-8</v>
      </c>
      <c r="O347" s="4" cm="1">
        <f t="array" ref="O34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1500.7015101312015</v>
      </c>
      <c r="P347" s="4" cm="1">
        <f t="array" ref="P34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1520.4256436473006</v>
      </c>
      <c r="Q347" s="4">
        <f>1/(1+10^(((Games[[#This Row],[OppPreGmRate]]+IF(Games[[#This Row],[HomeAway]]="A",HCA,0)+Games[[#This Row],[OppRestAdj]])-(Games[[#This Row],[PreGmRate]]+IF(Games[[#This Row],[HomeAway]]="H",HCA,0)+Games[[#This Row],[RestAdj]]))/400))</f>
        <v>0.61351342969608558</v>
      </c>
      <c r="R347" s="1">
        <v>66</v>
      </c>
      <c r="S347" s="1">
        <v>55</v>
      </c>
      <c r="T347" s="1">
        <v>0</v>
      </c>
      <c r="U347" s="1">
        <f>Games[[#This Row],[PointsFor]]-Games[[#This Row],[PointsAgainst]]</f>
        <v>11</v>
      </c>
      <c r="V347" s="1">
        <f>IF(Games[[#This Row],[MOV]]&gt;0,1,IF(Games[[#This Row],[MOV]]=0,0.5,0))</f>
        <v>1</v>
      </c>
      <c r="W347" s="4">
        <f>((ABS(Games[[#This Row],[MOV]])+5)^0.6)/(12+0.01*(ABS(Games[[#This Row],[PreGmRate]]-Games[[#This Row],[OppPreGmRate]])))*IF(Games[[#This Row],[OT]]=1,0.9,1)</f>
        <v>0.43272339195885168</v>
      </c>
      <c r="X347" s="7" cm="1">
        <f t="array" ref="X34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7" s="9">
        <f>MAX(kmin, kmax - 0.15 * MIN(Games[[#This Row],[GamesPlayed]], 82))</f>
        <v>72.099999999999994</v>
      </c>
      <c r="Z347" s="4">
        <f>Games[[#This Row],[K]]*Games[[#This Row],[POMult]]</f>
        <v>72.099999999999994</v>
      </c>
      <c r="AA347" s="4">
        <f>(Games[[#This Row],[Keff]]*Games[[#This Row],[MOVMult]])*(Games[[#This Row],[Result]]-Games[[#This Row],[ExpectedWin%]])</f>
        <v>12.058132312653463</v>
      </c>
      <c r="AB347" s="4">
        <f>Games[[#This Row],[PreGmRate]]+Games[[#This Row],[RatingChange]]</f>
        <v>1512.759642443855</v>
      </c>
      <c r="AC347" s="2">
        <f>IF(Games[[#This Row],[Type]]="R",IF(Games[[#This Row],[Result]]&gt;0.5,1,0),0)</f>
        <v>1</v>
      </c>
      <c r="AD347" s="2">
        <f>IF(Games[[#This Row],[Type]]="R",IF(Games[[#This Row],[Result]]&lt;0.5,1,0),0)</f>
        <v>0</v>
      </c>
      <c r="AE347" s="2">
        <f>IF(AND(Games[[#This Row],[Type]]="P",Games[[#This Row],[Round]]=1),IF(Games[[#This Row],[Result]]&gt;0.5,1,0),0)</f>
        <v>0</v>
      </c>
      <c r="AF347" s="2">
        <f>IF(AND(Games[[#This Row],[Type]]="P",Games[[#This Row],[Round]]=1),IF(Games[[#This Row],[Result]]&lt;0.5,1,0),0)</f>
        <v>0</v>
      </c>
      <c r="AG347" s="2">
        <f>IF(AND(Games[[#This Row],[Type]]="P",Games[[#This Row],[Round]]=2),IF(Games[[#This Row],[Result]]&gt;0.5,1,0),0)</f>
        <v>0</v>
      </c>
      <c r="AH347" s="2">
        <f>IF(AND(Games[[#This Row],[Type]]="P",Games[[#This Row],[Round]]=2),IF(Games[[#This Row],[Result]]&lt;0.5,1,0),0)</f>
        <v>0</v>
      </c>
      <c r="AI347" s="2">
        <f>IF(AND(Games[[#This Row],[Type]]="P",Games[[#This Row],[Round]]=3),IF(Games[[#This Row],[Result]]&gt;0.5,1,0),0)</f>
        <v>0</v>
      </c>
      <c r="AJ347" s="2">
        <f>IF(AND(Games[[#This Row],[Type]]="P",Games[[#This Row],[Round]]=3),IF(Games[[#This Row],[Result]]&lt;0.5,1,0),0)</f>
        <v>0</v>
      </c>
      <c r="AK347" s="2">
        <f>IF(AND(Games[[#This Row],[Type]]="P",Games[[#This Row],[Round]]=4),IF(Games[[#This Row],[Result]]&gt;0.5,1,0),0)</f>
        <v>0</v>
      </c>
      <c r="AL347" s="2">
        <f>IF(AND(Games[[#This Row],[Type]]="P",Games[[#This Row],[Round]]=4),IF(Games[[#This Row],[Result]]&lt;0.5,1,0),0)</f>
        <v>0</v>
      </c>
    </row>
    <row r="348" spans="1:38" x14ac:dyDescent="0.35">
      <c r="A348" s="10">
        <v>37836</v>
      </c>
      <c r="B348" s="2">
        <v>2003</v>
      </c>
      <c r="C348" s="2">
        <f>COUNTIFS(Games[Team],Games[[#This Row],[Team]],Games[Season],Games[[#This Row],[Season]],Games[Date],"&lt;=" &amp; Games[[#This Row],[Date]])</f>
        <v>26</v>
      </c>
      <c r="D348" s="2" t="s">
        <v>23</v>
      </c>
      <c r="E348" s="2" t="s">
        <v>29</v>
      </c>
      <c r="F348" s="1" t="s">
        <v>1</v>
      </c>
      <c r="G348" s="1" t="s">
        <v>66</v>
      </c>
      <c r="H348" s="1" t="s">
        <v>16</v>
      </c>
      <c r="I348" s="2" cm="1">
        <f t="array" ref="I348">IFERROR(
    Games[[#This Row],[Date]]
    - LOOKUP(
        2,
        1/((Games[Team]=Games[[#This Row],[Team]]) * (Games[Date] &lt; Games[[#This Row],[Date]])),
        Games[Date]
    )
    - 1,
Games[[#This Row],[Date]]-$A$2)</f>
        <v>1</v>
      </c>
      <c r="J348" s="2" cm="1">
        <f t="array" ref="J34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48" s="2">
        <f>Games[[#This Row],[DaysOff]]-Games[[#This Row],[OppDaysOff]]</f>
        <v>0</v>
      </c>
      <c r="L348" s="2">
        <f>Games[[#This Row],[OppDaysOff]]-Games[[#This Row],[DaysOff]]</f>
        <v>0</v>
      </c>
      <c r="M348" s="1">
        <f>MAX(-16, MIN(16, Games[[#This Row],[RestDiff]]*8))</f>
        <v>0</v>
      </c>
      <c r="N348" s="1">
        <f>MAX(-16, MIN(16, Games[[#This Row],[OppRestDiff]]*8))</f>
        <v>0</v>
      </c>
      <c r="O348" s="4" cm="1">
        <f t="array" ref="O34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1468.2227862196055</v>
      </c>
      <c r="P348" s="4" cm="1">
        <f t="array" ref="P34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1459.4410900903051</v>
      </c>
      <c r="Q348" s="4">
        <f>1/(1+10^(((Games[[#This Row],[OppPreGmRate]]+IF(Games[[#This Row],[HomeAway]]="A",HCA,0)+Games[[#This Row],[OppRestAdj]])-(Games[[#This Row],[PreGmRate]]+IF(Games[[#This Row],[HomeAway]]="H",HCA,0)+Games[[#This Row],[RestAdj]]))/400))</f>
        <v>0.39341224838467187</v>
      </c>
      <c r="R348" s="1">
        <v>48</v>
      </c>
      <c r="S348" s="1">
        <v>60</v>
      </c>
      <c r="T348" s="1">
        <v>0</v>
      </c>
      <c r="U348" s="1">
        <f>Games[[#This Row],[PointsFor]]-Games[[#This Row],[PointsAgainst]]</f>
        <v>-12</v>
      </c>
      <c r="V348" s="1">
        <f>IF(Games[[#This Row],[MOV]]&gt;0,1,IF(Games[[#This Row],[MOV]]=0,0.5,0))</f>
        <v>0</v>
      </c>
      <c r="W348" s="4">
        <f>((ABS(Games[[#This Row],[MOV]])+5)^0.6)/(12+0.01*(ABS(Games[[#This Row],[PreGmRate]]-Games[[#This Row],[OppPreGmRate]])))*IF(Games[[#This Row],[OT]]=1,0.9,1)</f>
        <v>0.45281570149892442</v>
      </c>
      <c r="X348" s="7" cm="1">
        <f t="array" ref="X34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8" s="9">
        <f>MAX(kmin, kmax - 0.15 * MIN(Games[[#This Row],[GamesPlayed]], 82))</f>
        <v>72.099999999999994</v>
      </c>
      <c r="Z348" s="4">
        <f>Games[[#This Row],[K]]*Games[[#This Row],[POMult]]</f>
        <v>72.099999999999994</v>
      </c>
      <c r="AA348" s="4">
        <f>(Games[[#This Row],[Keff]]*Games[[#This Row],[MOVMult]])*(Games[[#This Row],[Result]]-Games[[#This Row],[ExpectedWin%]])</f>
        <v>-12.844127836924406</v>
      </c>
      <c r="AB348" s="4">
        <f>Games[[#This Row],[PreGmRate]]+Games[[#This Row],[RatingChange]]</f>
        <v>1455.3786583826811</v>
      </c>
      <c r="AC348" s="2">
        <f>IF(Games[[#This Row],[Type]]="R",IF(Games[[#This Row],[Result]]&gt;0.5,1,0),0)</f>
        <v>0</v>
      </c>
      <c r="AD348" s="2">
        <f>IF(Games[[#This Row],[Type]]="R",IF(Games[[#This Row],[Result]]&lt;0.5,1,0),0)</f>
        <v>1</v>
      </c>
      <c r="AE348" s="2">
        <f>IF(AND(Games[[#This Row],[Type]]="P",Games[[#This Row],[Round]]=1),IF(Games[[#This Row],[Result]]&gt;0.5,1,0),0)</f>
        <v>0</v>
      </c>
      <c r="AF348" s="2">
        <f>IF(AND(Games[[#This Row],[Type]]="P",Games[[#This Row],[Round]]=1),IF(Games[[#This Row],[Result]]&lt;0.5,1,0),0)</f>
        <v>0</v>
      </c>
      <c r="AG348" s="2">
        <f>IF(AND(Games[[#This Row],[Type]]="P",Games[[#This Row],[Round]]=2),IF(Games[[#This Row],[Result]]&gt;0.5,1,0),0)</f>
        <v>0</v>
      </c>
      <c r="AH348" s="2">
        <f>IF(AND(Games[[#This Row],[Type]]="P",Games[[#This Row],[Round]]=2),IF(Games[[#This Row],[Result]]&lt;0.5,1,0),0)</f>
        <v>0</v>
      </c>
      <c r="AI348" s="2">
        <f>IF(AND(Games[[#This Row],[Type]]="P",Games[[#This Row],[Round]]=3),IF(Games[[#This Row],[Result]]&gt;0.5,1,0),0)</f>
        <v>0</v>
      </c>
      <c r="AJ348" s="2">
        <f>IF(AND(Games[[#This Row],[Type]]="P",Games[[#This Row],[Round]]=3),IF(Games[[#This Row],[Result]]&lt;0.5,1,0),0)</f>
        <v>0</v>
      </c>
      <c r="AK348" s="2">
        <f>IF(AND(Games[[#This Row],[Type]]="P",Games[[#This Row],[Round]]=4),IF(Games[[#This Row],[Result]]&gt;0.5,1,0),0)</f>
        <v>0</v>
      </c>
      <c r="AL348" s="2">
        <f>IF(AND(Games[[#This Row],[Type]]="P",Games[[#This Row],[Round]]=4),IF(Games[[#This Row],[Result]]&lt;0.5,1,0),0)</f>
        <v>0</v>
      </c>
    </row>
    <row r="349" spans="1:38" x14ac:dyDescent="0.35">
      <c r="A349" s="10">
        <v>37836</v>
      </c>
      <c r="B349" s="2">
        <v>2003</v>
      </c>
      <c r="C349" s="2">
        <f>COUNTIFS(Games[Team],Games[[#This Row],[Team]],Games[Season],Games[[#This Row],[Season]],Games[Date],"&lt;=" &amp; Games[[#This Row],[Date]])</f>
        <v>23</v>
      </c>
      <c r="D349" s="2" t="s">
        <v>23</v>
      </c>
      <c r="E349" s="2" t="s">
        <v>29</v>
      </c>
      <c r="F349" s="1" t="s">
        <v>66</v>
      </c>
      <c r="G349" s="1" t="s">
        <v>1</v>
      </c>
      <c r="H349" s="1" t="s">
        <v>15</v>
      </c>
      <c r="I349" s="2" cm="1">
        <f t="array" ref="I349">IFERROR(
    Games[[#This Row],[Date]]
    - LOOKUP(
        2,
        1/((Games[Team]=Games[[#This Row],[Team]]) * (Games[Date] &lt; Games[[#This Row],[Date]])),
        Games[Date]
    )
    - 1,
Games[[#This Row],[Date]]-$A$2)</f>
        <v>1</v>
      </c>
      <c r="J349" s="2" cm="1">
        <f t="array" ref="J34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49" s="2">
        <f>Games[[#This Row],[DaysOff]]-Games[[#This Row],[OppDaysOff]]</f>
        <v>0</v>
      </c>
      <c r="L349" s="2">
        <f>Games[[#This Row],[OppDaysOff]]-Games[[#This Row],[DaysOff]]</f>
        <v>0</v>
      </c>
      <c r="M349" s="1">
        <f>MAX(-16, MIN(16, Games[[#This Row],[RestDiff]]*8))</f>
        <v>0</v>
      </c>
      <c r="N349" s="1">
        <f>MAX(-16, MIN(16, Games[[#This Row],[OppRestDiff]]*8))</f>
        <v>0</v>
      </c>
      <c r="O349" s="4" cm="1">
        <f t="array" ref="O34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1459.4410900903051</v>
      </c>
      <c r="P349" s="4" cm="1">
        <f t="array" ref="P34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1468.2227862196055</v>
      </c>
      <c r="Q349" s="4">
        <f>1/(1+10^(((Games[[#This Row],[OppPreGmRate]]+IF(Games[[#This Row],[HomeAway]]="A",HCA,0)+Games[[#This Row],[OppRestAdj]])-(Games[[#This Row],[PreGmRate]]+IF(Games[[#This Row],[HomeAway]]="H",HCA,0)+Games[[#This Row],[RestAdj]]))/400))</f>
        <v>0.60658775161532819</v>
      </c>
      <c r="R349" s="1">
        <v>60</v>
      </c>
      <c r="S349" s="1">
        <v>48</v>
      </c>
      <c r="T349" s="1">
        <v>0</v>
      </c>
      <c r="U349" s="1">
        <f>Games[[#This Row],[PointsFor]]-Games[[#This Row],[PointsAgainst]]</f>
        <v>12</v>
      </c>
      <c r="V349" s="1">
        <f>IF(Games[[#This Row],[MOV]]&gt;0,1,IF(Games[[#This Row],[MOV]]=0,0.5,0))</f>
        <v>1</v>
      </c>
      <c r="W349" s="4">
        <f>((ABS(Games[[#This Row],[MOV]])+5)^0.6)/(12+0.01*(ABS(Games[[#This Row],[PreGmRate]]-Games[[#This Row],[OppPreGmRate]])))*IF(Games[[#This Row],[OT]]=1,0.9,1)</f>
        <v>0.45281570149892442</v>
      </c>
      <c r="X349" s="7" cm="1">
        <f t="array" ref="X34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9" s="9">
        <f>MAX(kmin, kmax - 0.15 * MIN(Games[[#This Row],[GamesPlayed]], 82))</f>
        <v>72.55</v>
      </c>
      <c r="Z349" s="4">
        <f>Games[[#This Row],[K]]*Games[[#This Row],[POMult]]</f>
        <v>72.55</v>
      </c>
      <c r="AA349" s="4">
        <f>(Games[[#This Row],[Keff]]*Games[[#This Row],[MOVMult]])*(Games[[#This Row],[Result]]-Games[[#This Row],[ExpectedWin%]])</f>
        <v>12.924292296378162</v>
      </c>
      <c r="AB349" s="4">
        <f>Games[[#This Row],[PreGmRate]]+Games[[#This Row],[RatingChange]]</f>
        <v>1472.3653823866832</v>
      </c>
      <c r="AC349" s="2">
        <f>IF(Games[[#This Row],[Type]]="R",IF(Games[[#This Row],[Result]]&gt;0.5,1,0),0)</f>
        <v>1</v>
      </c>
      <c r="AD349" s="2">
        <f>IF(Games[[#This Row],[Type]]="R",IF(Games[[#This Row],[Result]]&lt;0.5,1,0),0)</f>
        <v>0</v>
      </c>
      <c r="AE349" s="2">
        <f>IF(AND(Games[[#This Row],[Type]]="P",Games[[#This Row],[Round]]=1),IF(Games[[#This Row],[Result]]&gt;0.5,1,0),0)</f>
        <v>0</v>
      </c>
      <c r="AF349" s="2">
        <f>IF(AND(Games[[#This Row],[Type]]="P",Games[[#This Row],[Round]]=1),IF(Games[[#This Row],[Result]]&lt;0.5,1,0),0)</f>
        <v>0</v>
      </c>
      <c r="AG349" s="2">
        <f>IF(AND(Games[[#This Row],[Type]]="P",Games[[#This Row],[Round]]=2),IF(Games[[#This Row],[Result]]&gt;0.5,1,0),0)</f>
        <v>0</v>
      </c>
      <c r="AH349" s="2">
        <f>IF(AND(Games[[#This Row],[Type]]="P",Games[[#This Row],[Round]]=2),IF(Games[[#This Row],[Result]]&lt;0.5,1,0),0)</f>
        <v>0</v>
      </c>
      <c r="AI349" s="2">
        <f>IF(AND(Games[[#This Row],[Type]]="P",Games[[#This Row],[Round]]=3),IF(Games[[#This Row],[Result]]&gt;0.5,1,0),0)</f>
        <v>0</v>
      </c>
      <c r="AJ349" s="2">
        <f>IF(AND(Games[[#This Row],[Type]]="P",Games[[#This Row],[Round]]=3),IF(Games[[#This Row],[Result]]&lt;0.5,1,0),0)</f>
        <v>0</v>
      </c>
      <c r="AK349" s="2">
        <f>IF(AND(Games[[#This Row],[Type]]="P",Games[[#This Row],[Round]]=4),IF(Games[[#This Row],[Result]]&gt;0.5,1,0),0)</f>
        <v>0</v>
      </c>
      <c r="AL349" s="2">
        <f>IF(AND(Games[[#This Row],[Type]]="P",Games[[#This Row],[Round]]=4),IF(Games[[#This Row],[Result]]&lt;0.5,1,0),0)</f>
        <v>0</v>
      </c>
    </row>
    <row r="350" spans="1:38" x14ac:dyDescent="0.35">
      <c r="A350" s="10">
        <v>37836</v>
      </c>
      <c r="B350" s="2">
        <v>2003</v>
      </c>
      <c r="C350" s="2">
        <f>COUNTIFS(Games[Team],Games[[#This Row],[Team]],Games[Season],Games[[#This Row],[Season]],Games[Date],"&lt;=" &amp; Games[[#This Row],[Date]])</f>
        <v>26</v>
      </c>
      <c r="D350" s="2" t="s">
        <v>23</v>
      </c>
      <c r="E350" s="2" t="s">
        <v>29</v>
      </c>
      <c r="F350" s="1" t="s">
        <v>64</v>
      </c>
      <c r="G350" s="1" t="s">
        <v>45</v>
      </c>
      <c r="H350" s="1" t="s">
        <v>16</v>
      </c>
      <c r="I350" s="2" cm="1">
        <f t="array" ref="I350">IFERROR(
    Games[[#This Row],[Date]]
    - LOOKUP(
        2,
        1/((Games[Team]=Games[[#This Row],[Team]]) * (Games[Date] &lt; Games[[#This Row],[Date]])),
        Games[Date]
    )
    - 1,
Games[[#This Row],[Date]]-$A$2)</f>
        <v>0</v>
      </c>
      <c r="J350" s="2" cm="1">
        <f t="array" ref="J35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50" s="2">
        <f>Games[[#This Row],[DaysOff]]-Games[[#This Row],[OppDaysOff]]</f>
        <v>-2</v>
      </c>
      <c r="L350" s="2">
        <f>Games[[#This Row],[OppDaysOff]]-Games[[#This Row],[DaysOff]]</f>
        <v>2</v>
      </c>
      <c r="M350" s="1">
        <f>MAX(-16, MIN(16, Games[[#This Row],[RestDiff]]*8))</f>
        <v>-16</v>
      </c>
      <c r="N350" s="1">
        <f>MAX(-16, MIN(16, Games[[#This Row],[OppRestDiff]]*8))</f>
        <v>16</v>
      </c>
      <c r="O350" s="4" cm="1">
        <f t="array" ref="O35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1528.1621462196845</v>
      </c>
      <c r="P350" s="4" cm="1">
        <f t="array" ref="P35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1543.4841957295712</v>
      </c>
      <c r="Q350" s="4">
        <f>1/(1+10^(((Games[[#This Row],[OppPreGmRate]]+IF(Games[[#This Row],[HomeAway]]="A",HCA,0)+Games[[#This Row],[OppRestAdj]])-(Games[[#This Row],[PreGmRate]]+IF(Games[[#This Row],[HomeAway]]="H",HCA,0)+Games[[#This Row],[RestAdj]]))/400))</f>
        <v>0.31952610491942579</v>
      </c>
      <c r="R350" s="1">
        <v>60</v>
      </c>
      <c r="S350" s="1">
        <v>76</v>
      </c>
      <c r="T350" s="1">
        <v>0</v>
      </c>
      <c r="U350" s="1">
        <f>Games[[#This Row],[PointsFor]]-Games[[#This Row],[PointsAgainst]]</f>
        <v>-16</v>
      </c>
      <c r="V350" s="1">
        <f>IF(Games[[#This Row],[MOV]]&gt;0,1,IF(Games[[#This Row],[MOV]]=0,0.5,0))</f>
        <v>0</v>
      </c>
      <c r="W350" s="4">
        <f>((ABS(Games[[#This Row],[MOV]])+5)^0.6)/(12+0.01*(ABS(Games[[#This Row],[PreGmRate]]-Games[[#This Row],[OppPreGmRate]])))*IF(Games[[#This Row],[OT]]=1,0.9,1)</f>
        <v>0.51125809737974282</v>
      </c>
      <c r="X350" s="7" cm="1">
        <f t="array" ref="X35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0" s="9">
        <f>MAX(kmin, kmax - 0.15 * MIN(Games[[#This Row],[GamesPlayed]], 82))</f>
        <v>72.099999999999994</v>
      </c>
      <c r="Z350" s="4">
        <f>Games[[#This Row],[K]]*Games[[#This Row],[POMult]]</f>
        <v>72.099999999999994</v>
      </c>
      <c r="AA350" s="4">
        <f>(Games[[#This Row],[Keff]]*Games[[#This Row],[MOVMult]])*(Games[[#This Row],[Result]]-Games[[#This Row],[ExpectedWin%]])</f>
        <v>-11.778278240273556</v>
      </c>
      <c r="AB350" s="4">
        <f>Games[[#This Row],[PreGmRate]]+Games[[#This Row],[RatingChange]]</f>
        <v>1516.383867979411</v>
      </c>
      <c r="AC350" s="2">
        <f>IF(Games[[#This Row],[Type]]="R",IF(Games[[#This Row],[Result]]&gt;0.5,1,0),0)</f>
        <v>0</v>
      </c>
      <c r="AD350" s="2">
        <f>IF(Games[[#This Row],[Type]]="R",IF(Games[[#This Row],[Result]]&lt;0.5,1,0),0)</f>
        <v>1</v>
      </c>
      <c r="AE350" s="2">
        <f>IF(AND(Games[[#This Row],[Type]]="P",Games[[#This Row],[Round]]=1),IF(Games[[#This Row],[Result]]&gt;0.5,1,0),0)</f>
        <v>0</v>
      </c>
      <c r="AF350" s="2">
        <f>IF(AND(Games[[#This Row],[Type]]="P",Games[[#This Row],[Round]]=1),IF(Games[[#This Row],[Result]]&lt;0.5,1,0),0)</f>
        <v>0</v>
      </c>
      <c r="AG350" s="2">
        <f>IF(AND(Games[[#This Row],[Type]]="P",Games[[#This Row],[Round]]=2),IF(Games[[#This Row],[Result]]&gt;0.5,1,0),0)</f>
        <v>0</v>
      </c>
      <c r="AH350" s="2">
        <f>IF(AND(Games[[#This Row],[Type]]="P",Games[[#This Row],[Round]]=2),IF(Games[[#This Row],[Result]]&lt;0.5,1,0),0)</f>
        <v>0</v>
      </c>
      <c r="AI350" s="2">
        <f>IF(AND(Games[[#This Row],[Type]]="P",Games[[#This Row],[Round]]=3),IF(Games[[#This Row],[Result]]&gt;0.5,1,0),0)</f>
        <v>0</v>
      </c>
      <c r="AJ350" s="2">
        <f>IF(AND(Games[[#This Row],[Type]]="P",Games[[#This Row],[Round]]=3),IF(Games[[#This Row],[Result]]&lt;0.5,1,0),0)</f>
        <v>0</v>
      </c>
      <c r="AK350" s="2">
        <f>IF(AND(Games[[#This Row],[Type]]="P",Games[[#This Row],[Round]]=4),IF(Games[[#This Row],[Result]]&gt;0.5,1,0),0)</f>
        <v>0</v>
      </c>
      <c r="AL350" s="2">
        <f>IF(AND(Games[[#This Row],[Type]]="P",Games[[#This Row],[Round]]=4),IF(Games[[#This Row],[Result]]&lt;0.5,1,0),0)</f>
        <v>0</v>
      </c>
    </row>
    <row r="351" spans="1:38" x14ac:dyDescent="0.35">
      <c r="A351" s="10">
        <v>37836</v>
      </c>
      <c r="B351" s="2">
        <v>2003</v>
      </c>
      <c r="C351" s="2">
        <f>COUNTIFS(Games[Team],Games[[#This Row],[Team]],Games[Season],Games[[#This Row],[Season]],Games[Date],"&lt;=" &amp; Games[[#This Row],[Date]])</f>
        <v>26</v>
      </c>
      <c r="D351" s="2" t="s">
        <v>23</v>
      </c>
      <c r="E351" s="2" t="s">
        <v>29</v>
      </c>
      <c r="F351" s="1" t="s">
        <v>45</v>
      </c>
      <c r="G351" s="1" t="s">
        <v>64</v>
      </c>
      <c r="H351" s="1" t="s">
        <v>15</v>
      </c>
      <c r="I351" s="2" cm="1">
        <f t="array" ref="I351">IFERROR(
    Games[[#This Row],[Date]]
    - LOOKUP(
        2,
        1/((Games[Team]=Games[[#This Row],[Team]]) * (Games[Date] &lt; Games[[#This Row],[Date]])),
        Games[Date]
    )
    - 1,
Games[[#This Row],[Date]]-$A$2)</f>
        <v>2</v>
      </c>
      <c r="J351" s="2" cm="1">
        <f t="array" ref="J351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51" s="2">
        <f>Games[[#This Row],[DaysOff]]-Games[[#This Row],[OppDaysOff]]</f>
        <v>2</v>
      </c>
      <c r="L351" s="2">
        <f>Games[[#This Row],[OppDaysOff]]-Games[[#This Row],[DaysOff]]</f>
        <v>-2</v>
      </c>
      <c r="M351" s="1">
        <f>MAX(-16, MIN(16, Games[[#This Row],[RestDiff]]*8))</f>
        <v>16</v>
      </c>
      <c r="N351" s="1">
        <f>MAX(-16, MIN(16, Games[[#This Row],[OppRestDiff]]*8))</f>
        <v>-16</v>
      </c>
      <c r="O351" s="4" cm="1">
        <f t="array" ref="O35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1543.4841957295712</v>
      </c>
      <c r="P351" s="4" cm="1">
        <f t="array" ref="P35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1528.1621462196845</v>
      </c>
      <c r="Q351" s="4">
        <f>1/(1+10^(((Games[[#This Row],[OppPreGmRate]]+IF(Games[[#This Row],[HomeAway]]="A",HCA,0)+Games[[#This Row],[OppRestAdj]])-(Games[[#This Row],[PreGmRate]]+IF(Games[[#This Row],[HomeAway]]="H",HCA,0)+Games[[#This Row],[RestAdj]]))/400))</f>
        <v>0.6804738950805741</v>
      </c>
      <c r="R351" s="1">
        <v>76</v>
      </c>
      <c r="S351" s="1">
        <v>60</v>
      </c>
      <c r="T351" s="1">
        <v>0</v>
      </c>
      <c r="U351" s="1">
        <f>Games[[#This Row],[PointsFor]]-Games[[#This Row],[PointsAgainst]]</f>
        <v>16</v>
      </c>
      <c r="V351" s="1">
        <f>IF(Games[[#This Row],[MOV]]&gt;0,1,IF(Games[[#This Row],[MOV]]=0,0.5,0))</f>
        <v>1</v>
      </c>
      <c r="W351" s="4">
        <f>((ABS(Games[[#This Row],[MOV]])+5)^0.6)/(12+0.01*(ABS(Games[[#This Row],[PreGmRate]]-Games[[#This Row],[OppPreGmRate]])))*IF(Games[[#This Row],[OT]]=1,0.9,1)</f>
        <v>0.51125809737974282</v>
      </c>
      <c r="X351" s="7" cm="1">
        <f t="array" ref="X35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1" s="9">
        <f>MAX(kmin, kmax - 0.15 * MIN(Games[[#This Row],[GamesPlayed]], 82))</f>
        <v>72.099999999999994</v>
      </c>
      <c r="Z351" s="4">
        <f>Games[[#This Row],[K]]*Games[[#This Row],[POMult]]</f>
        <v>72.099999999999994</v>
      </c>
      <c r="AA351" s="4">
        <f>(Games[[#This Row],[Keff]]*Games[[#This Row],[MOVMult]])*(Games[[#This Row],[Result]]-Games[[#This Row],[ExpectedWin%]])</f>
        <v>11.778278240273561</v>
      </c>
      <c r="AB351" s="4">
        <f>Games[[#This Row],[PreGmRate]]+Games[[#This Row],[RatingChange]]</f>
        <v>1555.2624739698447</v>
      </c>
      <c r="AC351" s="2">
        <f>IF(Games[[#This Row],[Type]]="R",IF(Games[[#This Row],[Result]]&gt;0.5,1,0),0)</f>
        <v>1</v>
      </c>
      <c r="AD351" s="2">
        <f>IF(Games[[#This Row],[Type]]="R",IF(Games[[#This Row],[Result]]&lt;0.5,1,0),0)</f>
        <v>0</v>
      </c>
      <c r="AE351" s="2">
        <f>IF(AND(Games[[#This Row],[Type]]="P",Games[[#This Row],[Round]]=1),IF(Games[[#This Row],[Result]]&gt;0.5,1,0),0)</f>
        <v>0</v>
      </c>
      <c r="AF351" s="2">
        <f>IF(AND(Games[[#This Row],[Type]]="P",Games[[#This Row],[Round]]=1),IF(Games[[#This Row],[Result]]&lt;0.5,1,0),0)</f>
        <v>0</v>
      </c>
      <c r="AG351" s="2">
        <f>IF(AND(Games[[#This Row],[Type]]="P",Games[[#This Row],[Round]]=2),IF(Games[[#This Row],[Result]]&gt;0.5,1,0),0)</f>
        <v>0</v>
      </c>
      <c r="AH351" s="2">
        <f>IF(AND(Games[[#This Row],[Type]]="P",Games[[#This Row],[Round]]=2),IF(Games[[#This Row],[Result]]&lt;0.5,1,0),0)</f>
        <v>0</v>
      </c>
      <c r="AI351" s="2">
        <f>IF(AND(Games[[#This Row],[Type]]="P",Games[[#This Row],[Round]]=3),IF(Games[[#This Row],[Result]]&gt;0.5,1,0),0)</f>
        <v>0</v>
      </c>
      <c r="AJ351" s="2">
        <f>IF(AND(Games[[#This Row],[Type]]="P",Games[[#This Row],[Round]]=3),IF(Games[[#This Row],[Result]]&lt;0.5,1,0),0)</f>
        <v>0</v>
      </c>
      <c r="AK351" s="2">
        <f>IF(AND(Games[[#This Row],[Type]]="P",Games[[#This Row],[Round]]=4),IF(Games[[#This Row],[Result]]&gt;0.5,1,0),0)</f>
        <v>0</v>
      </c>
      <c r="AL351" s="2">
        <f>IF(AND(Games[[#This Row],[Type]]="P",Games[[#This Row],[Round]]=4),IF(Games[[#This Row],[Result]]&lt;0.5,1,0),0)</f>
        <v>0</v>
      </c>
    </row>
    <row r="352" spans="1:38" x14ac:dyDescent="0.35">
      <c r="A352" s="10">
        <v>37836</v>
      </c>
      <c r="B352" s="2">
        <v>2003</v>
      </c>
      <c r="C352" s="2">
        <f>COUNTIFS(Games[Team],Games[[#This Row],[Team]],Games[Season],Games[[#This Row],[Season]],Games[Date],"&lt;=" &amp; Games[[#This Row],[Date]])</f>
        <v>24</v>
      </c>
      <c r="D352" s="2" t="s">
        <v>23</v>
      </c>
      <c r="E352" s="2" t="s">
        <v>29</v>
      </c>
      <c r="F352" s="1" t="s">
        <v>44</v>
      </c>
      <c r="G352" s="1" t="s">
        <v>74</v>
      </c>
      <c r="H352" s="1" t="s">
        <v>16</v>
      </c>
      <c r="I352" s="2" cm="1">
        <f t="array" ref="I352">IFERROR(
    Games[[#This Row],[Date]]
    - LOOKUP(
        2,
        1/((Games[Team]=Games[[#This Row],[Team]]) * (Games[Date] &lt; Games[[#This Row],[Date]])),
        Games[Date]
    )
    - 1,
Games[[#This Row],[Date]]-$A$2)</f>
        <v>1</v>
      </c>
      <c r="J352" s="2" cm="1">
        <f t="array" ref="J35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52" s="2">
        <f>Games[[#This Row],[DaysOff]]-Games[[#This Row],[OppDaysOff]]</f>
        <v>0</v>
      </c>
      <c r="L352" s="2">
        <f>Games[[#This Row],[OppDaysOff]]-Games[[#This Row],[DaysOff]]</f>
        <v>0</v>
      </c>
      <c r="M352" s="1">
        <f>MAX(-16, MIN(16, Games[[#This Row],[RestDiff]]*8))</f>
        <v>0</v>
      </c>
      <c r="N352" s="1">
        <f>MAX(-16, MIN(16, Games[[#This Row],[OppRestDiff]]*8))</f>
        <v>0</v>
      </c>
      <c r="O352" s="4" cm="1">
        <f t="array" ref="O35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1342.0301148858287</v>
      </c>
      <c r="P352" s="4" cm="1">
        <f t="array" ref="P35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1389.4226683458744</v>
      </c>
      <c r="Q352" s="4">
        <f>1/(1+10^(((Games[[#This Row],[OppPreGmRate]]+IF(Games[[#This Row],[HomeAway]]="A",HCA,0)+Games[[#This Row],[OppRestAdj]])-(Games[[#This Row],[PreGmRate]]+IF(Games[[#This Row],[HomeAway]]="H",HCA,0)+Games[[#This Row],[RestAdj]]))/400))</f>
        <v>0.31943786702285709</v>
      </c>
      <c r="R352" s="1">
        <v>70</v>
      </c>
      <c r="S352" s="1">
        <v>69</v>
      </c>
      <c r="T352" s="1">
        <v>1</v>
      </c>
      <c r="U352" s="1">
        <f>Games[[#This Row],[PointsFor]]-Games[[#This Row],[PointsAgainst]]</f>
        <v>1</v>
      </c>
      <c r="V352" s="1">
        <f>IF(Games[[#This Row],[MOV]]&gt;0,1,IF(Games[[#This Row],[MOV]]=0,0.5,0))</f>
        <v>1</v>
      </c>
      <c r="W352" s="4">
        <f>((ABS(Games[[#This Row],[MOV]])+5)^0.6)/(12+0.01*(ABS(Games[[#This Row],[PreGmRate]]-Games[[#This Row],[OppPreGmRate]])))*IF(Games[[#This Row],[OT]]=1,0.9,1)</f>
        <v>0.21141223258950914</v>
      </c>
      <c r="X352" s="7" cm="1">
        <f t="array" ref="X35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2" s="9">
        <f>MAX(kmin, kmax - 0.15 * MIN(Games[[#This Row],[GamesPlayed]], 82))</f>
        <v>72.400000000000006</v>
      </c>
      <c r="Z352" s="4">
        <f>Games[[#This Row],[K]]*Games[[#This Row],[POMult]]</f>
        <v>72.400000000000006</v>
      </c>
      <c r="AA352" s="4">
        <f>(Games[[#This Row],[Keff]]*Games[[#This Row],[MOVMult]])*(Games[[#This Row],[Result]]-Games[[#This Row],[ExpectedWin%]])</f>
        <v>10.416851180276918</v>
      </c>
      <c r="AB352" s="4">
        <f>Games[[#This Row],[PreGmRate]]+Games[[#This Row],[RatingChange]]</f>
        <v>1352.4469660661055</v>
      </c>
      <c r="AC352" s="2">
        <f>IF(Games[[#This Row],[Type]]="R",IF(Games[[#This Row],[Result]]&gt;0.5,1,0),0)</f>
        <v>1</v>
      </c>
      <c r="AD352" s="2">
        <f>IF(Games[[#This Row],[Type]]="R",IF(Games[[#This Row],[Result]]&lt;0.5,1,0),0)</f>
        <v>0</v>
      </c>
      <c r="AE352" s="2">
        <f>IF(AND(Games[[#This Row],[Type]]="P",Games[[#This Row],[Round]]=1),IF(Games[[#This Row],[Result]]&gt;0.5,1,0),0)</f>
        <v>0</v>
      </c>
      <c r="AF352" s="2">
        <f>IF(AND(Games[[#This Row],[Type]]="P",Games[[#This Row],[Round]]=1),IF(Games[[#This Row],[Result]]&lt;0.5,1,0),0)</f>
        <v>0</v>
      </c>
      <c r="AG352" s="2">
        <f>IF(AND(Games[[#This Row],[Type]]="P",Games[[#This Row],[Round]]=2),IF(Games[[#This Row],[Result]]&gt;0.5,1,0),0)</f>
        <v>0</v>
      </c>
      <c r="AH352" s="2">
        <f>IF(AND(Games[[#This Row],[Type]]="P",Games[[#This Row],[Round]]=2),IF(Games[[#This Row],[Result]]&lt;0.5,1,0),0)</f>
        <v>0</v>
      </c>
      <c r="AI352" s="2">
        <f>IF(AND(Games[[#This Row],[Type]]="P",Games[[#This Row],[Round]]=3),IF(Games[[#This Row],[Result]]&gt;0.5,1,0),0)</f>
        <v>0</v>
      </c>
      <c r="AJ352" s="2">
        <f>IF(AND(Games[[#This Row],[Type]]="P",Games[[#This Row],[Round]]=3),IF(Games[[#This Row],[Result]]&lt;0.5,1,0),0)</f>
        <v>0</v>
      </c>
      <c r="AK352" s="2">
        <f>IF(AND(Games[[#This Row],[Type]]="P",Games[[#This Row],[Round]]=4),IF(Games[[#This Row],[Result]]&gt;0.5,1,0),0)</f>
        <v>0</v>
      </c>
      <c r="AL352" s="2">
        <f>IF(AND(Games[[#This Row],[Type]]="P",Games[[#This Row],[Round]]=4),IF(Games[[#This Row],[Result]]&lt;0.5,1,0),0)</f>
        <v>0</v>
      </c>
    </row>
    <row r="353" spans="1:38" x14ac:dyDescent="0.35">
      <c r="A353" s="10">
        <v>37836</v>
      </c>
      <c r="B353" s="2">
        <v>2003</v>
      </c>
      <c r="C353" s="2">
        <f>COUNTIFS(Games[Team],Games[[#This Row],[Team]],Games[Season],Games[[#This Row],[Season]],Games[Date],"&lt;=" &amp; Games[[#This Row],[Date]])</f>
        <v>26</v>
      </c>
      <c r="D353" s="2" t="s">
        <v>23</v>
      </c>
      <c r="E353" s="2" t="s">
        <v>29</v>
      </c>
      <c r="F353" s="1" t="s">
        <v>74</v>
      </c>
      <c r="G353" s="1" t="s">
        <v>44</v>
      </c>
      <c r="H353" s="1" t="s">
        <v>15</v>
      </c>
      <c r="I353" s="2" cm="1">
        <f t="array" ref="I353">IFERROR(
    Games[[#This Row],[Date]]
    - LOOKUP(
        2,
        1/((Games[Team]=Games[[#This Row],[Team]]) * (Games[Date] &lt; Games[[#This Row],[Date]])),
        Games[Date]
    )
    - 1,
Games[[#This Row],[Date]]-$A$2)</f>
        <v>1</v>
      </c>
      <c r="J353" s="2" cm="1">
        <f t="array" ref="J35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53" s="2">
        <f>Games[[#This Row],[DaysOff]]-Games[[#This Row],[OppDaysOff]]</f>
        <v>0</v>
      </c>
      <c r="L353" s="2">
        <f>Games[[#This Row],[OppDaysOff]]-Games[[#This Row],[DaysOff]]</f>
        <v>0</v>
      </c>
      <c r="M353" s="1">
        <f>MAX(-16, MIN(16, Games[[#This Row],[RestDiff]]*8))</f>
        <v>0</v>
      </c>
      <c r="N353" s="1">
        <f>MAX(-16, MIN(16, Games[[#This Row],[OppRestDiff]]*8))</f>
        <v>0</v>
      </c>
      <c r="O353" s="4" cm="1">
        <f t="array" ref="O35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1389.4226683458744</v>
      </c>
      <c r="P353" s="4" cm="1">
        <f t="array" ref="P35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1342.0301148858287</v>
      </c>
      <c r="Q353" s="4">
        <f>1/(1+10^(((Games[[#This Row],[OppPreGmRate]]+IF(Games[[#This Row],[HomeAway]]="A",HCA,0)+Games[[#This Row],[OppRestAdj]])-(Games[[#This Row],[PreGmRate]]+IF(Games[[#This Row],[HomeAway]]="H",HCA,0)+Games[[#This Row],[RestAdj]]))/400))</f>
        <v>0.68056213297714285</v>
      </c>
      <c r="R353" s="1">
        <v>69</v>
      </c>
      <c r="S353" s="1">
        <v>70</v>
      </c>
      <c r="T353" s="1">
        <v>1</v>
      </c>
      <c r="U353" s="1">
        <f>Games[[#This Row],[PointsFor]]-Games[[#This Row],[PointsAgainst]]</f>
        <v>-1</v>
      </c>
      <c r="V353" s="1">
        <f>IF(Games[[#This Row],[MOV]]&gt;0,1,IF(Games[[#This Row],[MOV]]=0,0.5,0))</f>
        <v>0</v>
      </c>
      <c r="W353" s="4">
        <f>((ABS(Games[[#This Row],[MOV]])+5)^0.6)/(12+0.01*(ABS(Games[[#This Row],[PreGmRate]]-Games[[#This Row],[OppPreGmRate]])))*IF(Games[[#This Row],[OT]]=1,0.9,1)</f>
        <v>0.21141223258950914</v>
      </c>
      <c r="X353" s="7" cm="1">
        <f t="array" ref="X35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3" s="9">
        <f>MAX(kmin, kmax - 0.15 * MIN(Games[[#This Row],[GamesPlayed]], 82))</f>
        <v>72.099999999999994</v>
      </c>
      <c r="Z353" s="4">
        <f>Games[[#This Row],[K]]*Games[[#This Row],[POMult]]</f>
        <v>72.099999999999994</v>
      </c>
      <c r="AA353" s="4">
        <f>(Games[[#This Row],[Keff]]*Games[[#This Row],[MOVMult]])*(Games[[#This Row],[Result]]-Games[[#This Row],[ExpectedWin%]])</f>
        <v>-10.373687432292341</v>
      </c>
      <c r="AB353" s="4">
        <f>Games[[#This Row],[PreGmRate]]+Games[[#This Row],[RatingChange]]</f>
        <v>1379.048980913582</v>
      </c>
      <c r="AC353" s="2">
        <f>IF(Games[[#This Row],[Type]]="R",IF(Games[[#This Row],[Result]]&gt;0.5,1,0),0)</f>
        <v>0</v>
      </c>
      <c r="AD353" s="2">
        <f>IF(Games[[#This Row],[Type]]="R",IF(Games[[#This Row],[Result]]&lt;0.5,1,0),0)</f>
        <v>1</v>
      </c>
      <c r="AE353" s="2">
        <f>IF(AND(Games[[#This Row],[Type]]="P",Games[[#This Row],[Round]]=1),IF(Games[[#This Row],[Result]]&gt;0.5,1,0),0)</f>
        <v>0</v>
      </c>
      <c r="AF353" s="2">
        <f>IF(AND(Games[[#This Row],[Type]]="P",Games[[#This Row],[Round]]=1),IF(Games[[#This Row],[Result]]&lt;0.5,1,0),0)</f>
        <v>0</v>
      </c>
      <c r="AG353" s="2">
        <f>IF(AND(Games[[#This Row],[Type]]="P",Games[[#This Row],[Round]]=2),IF(Games[[#This Row],[Result]]&gt;0.5,1,0),0)</f>
        <v>0</v>
      </c>
      <c r="AH353" s="2">
        <f>IF(AND(Games[[#This Row],[Type]]="P",Games[[#This Row],[Round]]=2),IF(Games[[#This Row],[Result]]&lt;0.5,1,0),0)</f>
        <v>0</v>
      </c>
      <c r="AI353" s="2">
        <f>IF(AND(Games[[#This Row],[Type]]="P",Games[[#This Row],[Round]]=3),IF(Games[[#This Row],[Result]]&gt;0.5,1,0),0)</f>
        <v>0</v>
      </c>
      <c r="AJ353" s="2">
        <f>IF(AND(Games[[#This Row],[Type]]="P",Games[[#This Row],[Round]]=3),IF(Games[[#This Row],[Result]]&lt;0.5,1,0),0)</f>
        <v>0</v>
      </c>
      <c r="AK353" s="2">
        <f>IF(AND(Games[[#This Row],[Type]]="P",Games[[#This Row],[Round]]=4),IF(Games[[#This Row],[Result]]&gt;0.5,1,0),0)</f>
        <v>0</v>
      </c>
      <c r="AL353" s="2">
        <f>IF(AND(Games[[#This Row],[Type]]="P",Games[[#This Row],[Round]]=4),IF(Games[[#This Row],[Result]]&lt;0.5,1,0),0)</f>
        <v>0</v>
      </c>
    </row>
    <row r="354" spans="1:38" x14ac:dyDescent="0.35">
      <c r="A354" s="10">
        <v>37837</v>
      </c>
      <c r="B354" s="2">
        <v>2003</v>
      </c>
      <c r="C354" s="2">
        <f>COUNTIFS(Games[Team],Games[[#This Row],[Team]],Games[Season],Games[[#This Row],[Season]],Games[Date],"&lt;=" &amp; Games[[#This Row],[Date]])</f>
        <v>25</v>
      </c>
      <c r="D354" s="2" t="s">
        <v>23</v>
      </c>
      <c r="E354" s="2" t="s">
        <v>29</v>
      </c>
      <c r="F354" s="1" t="s">
        <v>44</v>
      </c>
      <c r="G354" s="1" t="s">
        <v>78</v>
      </c>
      <c r="H354" s="1" t="s">
        <v>16</v>
      </c>
      <c r="I354" s="2" cm="1">
        <f t="array" ref="I354">IFERROR(
    Games[[#This Row],[Date]]
    - LOOKUP(
        2,
        1/((Games[Team]=Games[[#This Row],[Team]]) * (Games[Date] &lt; Games[[#This Row],[Date]])),
        Games[Date]
    )
    - 1,
Games[[#This Row],[Date]]-$A$2)</f>
        <v>0</v>
      </c>
      <c r="J354" s="2" cm="1">
        <f t="array" ref="J35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54" s="2">
        <f>Games[[#This Row],[DaysOff]]-Games[[#This Row],[OppDaysOff]]</f>
        <v>-1</v>
      </c>
      <c r="L354" s="2">
        <f>Games[[#This Row],[OppDaysOff]]-Games[[#This Row],[DaysOff]]</f>
        <v>1</v>
      </c>
      <c r="M354" s="1">
        <f>MAX(-16, MIN(16, Games[[#This Row],[RestDiff]]*8))</f>
        <v>-8</v>
      </c>
      <c r="N354" s="1">
        <f>MAX(-16, MIN(16, Games[[#This Row],[OppRestDiff]]*8))</f>
        <v>8</v>
      </c>
      <c r="O354" s="4" cm="1">
        <f t="array" ref="O35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1352.4469660661055</v>
      </c>
      <c r="P354" s="4" cm="1">
        <f t="array" ref="P35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1507.7757078030143</v>
      </c>
      <c r="Q354" s="4">
        <f>1/(1+10^(((Games[[#This Row],[OppPreGmRate]]+IF(Games[[#This Row],[HomeAway]]="A",HCA,0)+Games[[#This Row],[OppRestAdj]])-(Games[[#This Row],[PreGmRate]]+IF(Games[[#This Row],[HomeAway]]="H",HCA,0)+Games[[#This Row],[RestAdj]]))/400))</f>
        <v>0.18697447630220893</v>
      </c>
      <c r="R354" s="1">
        <v>56</v>
      </c>
      <c r="S354" s="1">
        <v>61</v>
      </c>
      <c r="T354" s="1">
        <v>0</v>
      </c>
      <c r="U354" s="1">
        <f>Games[[#This Row],[PointsFor]]-Games[[#This Row],[PointsAgainst]]</f>
        <v>-5</v>
      </c>
      <c r="V354" s="1">
        <f>IF(Games[[#This Row],[MOV]]&gt;0,1,IF(Games[[#This Row],[MOV]]=0,0.5,0))</f>
        <v>0</v>
      </c>
      <c r="W354" s="4">
        <f>((ABS(Games[[#This Row],[MOV]])+5)^0.6)/(12+0.01*(ABS(Games[[#This Row],[PreGmRate]]-Games[[#This Row],[OppPreGmRate]])))*IF(Games[[#This Row],[OT]]=1,0.9,1)</f>
        <v>0.29373476581283653</v>
      </c>
      <c r="X354" s="7" cm="1">
        <f t="array" ref="X35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4" s="9">
        <f>MAX(kmin, kmax - 0.15 * MIN(Games[[#This Row],[GamesPlayed]], 82))</f>
        <v>72.25</v>
      </c>
      <c r="Z354" s="4">
        <f>Games[[#This Row],[K]]*Games[[#This Row],[POMult]]</f>
        <v>72.25</v>
      </c>
      <c r="AA354" s="4">
        <f>(Games[[#This Row],[Keff]]*Games[[#This Row],[MOVMult]])*(Games[[#This Row],[Result]]-Games[[#This Row],[ExpectedWin%]])</f>
        <v>-3.9680353146941125</v>
      </c>
      <c r="AB354" s="4">
        <f>Games[[#This Row],[PreGmRate]]+Games[[#This Row],[RatingChange]]</f>
        <v>1348.4789307514113</v>
      </c>
      <c r="AC354" s="2">
        <f>IF(Games[[#This Row],[Type]]="R",IF(Games[[#This Row],[Result]]&gt;0.5,1,0),0)</f>
        <v>0</v>
      </c>
      <c r="AD354" s="2">
        <f>IF(Games[[#This Row],[Type]]="R",IF(Games[[#This Row],[Result]]&lt;0.5,1,0),0)</f>
        <v>1</v>
      </c>
      <c r="AE354" s="2">
        <f>IF(AND(Games[[#This Row],[Type]]="P",Games[[#This Row],[Round]]=1),IF(Games[[#This Row],[Result]]&gt;0.5,1,0),0)</f>
        <v>0</v>
      </c>
      <c r="AF354" s="2">
        <f>IF(AND(Games[[#This Row],[Type]]="P",Games[[#This Row],[Round]]=1),IF(Games[[#This Row],[Result]]&lt;0.5,1,0),0)</f>
        <v>0</v>
      </c>
      <c r="AG354" s="2">
        <f>IF(AND(Games[[#This Row],[Type]]="P",Games[[#This Row],[Round]]=2),IF(Games[[#This Row],[Result]]&gt;0.5,1,0),0)</f>
        <v>0</v>
      </c>
      <c r="AH354" s="2">
        <f>IF(AND(Games[[#This Row],[Type]]="P",Games[[#This Row],[Round]]=2),IF(Games[[#This Row],[Result]]&lt;0.5,1,0),0)</f>
        <v>0</v>
      </c>
      <c r="AI354" s="2">
        <f>IF(AND(Games[[#This Row],[Type]]="P",Games[[#This Row],[Round]]=3),IF(Games[[#This Row],[Result]]&gt;0.5,1,0),0)</f>
        <v>0</v>
      </c>
      <c r="AJ354" s="2">
        <f>IF(AND(Games[[#This Row],[Type]]="P",Games[[#This Row],[Round]]=3),IF(Games[[#This Row],[Result]]&lt;0.5,1,0),0)</f>
        <v>0</v>
      </c>
      <c r="AK354" s="2">
        <f>IF(AND(Games[[#This Row],[Type]]="P",Games[[#This Row],[Round]]=4),IF(Games[[#This Row],[Result]]&gt;0.5,1,0),0)</f>
        <v>0</v>
      </c>
      <c r="AL354" s="2">
        <f>IF(AND(Games[[#This Row],[Type]]="P",Games[[#This Row],[Round]]=4),IF(Games[[#This Row],[Result]]&lt;0.5,1,0),0)</f>
        <v>0</v>
      </c>
    </row>
    <row r="355" spans="1:38" x14ac:dyDescent="0.35">
      <c r="A355" s="10">
        <v>37837</v>
      </c>
      <c r="B355" s="2">
        <v>2003</v>
      </c>
      <c r="C355" s="2">
        <f>COUNTIFS(Games[Team],Games[[#This Row],[Team]],Games[Season],Games[[#This Row],[Season]],Games[Date],"&lt;=" &amp; Games[[#This Row],[Date]])</f>
        <v>26</v>
      </c>
      <c r="D355" s="2" t="s">
        <v>23</v>
      </c>
      <c r="E355" s="2" t="s">
        <v>29</v>
      </c>
      <c r="F355" s="1" t="s">
        <v>78</v>
      </c>
      <c r="G355" s="1" t="s">
        <v>44</v>
      </c>
      <c r="H355" s="1" t="s">
        <v>15</v>
      </c>
      <c r="I355" s="2" cm="1">
        <f t="array" ref="I355">IFERROR(
    Games[[#This Row],[Date]]
    - LOOKUP(
        2,
        1/((Games[Team]=Games[[#This Row],[Team]]) * (Games[Date] &lt; Games[[#This Row],[Date]])),
        Games[Date]
    )
    - 1,
Games[[#This Row],[Date]]-$A$2)</f>
        <v>1</v>
      </c>
      <c r="J355" s="2" cm="1">
        <f t="array" ref="J355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55" s="2">
        <f>Games[[#This Row],[DaysOff]]-Games[[#This Row],[OppDaysOff]]</f>
        <v>1</v>
      </c>
      <c r="L355" s="2">
        <f>Games[[#This Row],[OppDaysOff]]-Games[[#This Row],[DaysOff]]</f>
        <v>-1</v>
      </c>
      <c r="M355" s="1">
        <f>MAX(-16, MIN(16, Games[[#This Row],[RestDiff]]*8))</f>
        <v>8</v>
      </c>
      <c r="N355" s="1">
        <f>MAX(-16, MIN(16, Games[[#This Row],[OppRestDiff]]*8))</f>
        <v>-8</v>
      </c>
      <c r="O355" s="4" cm="1">
        <f t="array" ref="O35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1507.7757078030143</v>
      </c>
      <c r="P355" s="4" cm="1">
        <f t="array" ref="P35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1352.4469660661055</v>
      </c>
      <c r="Q355" s="4">
        <f>1/(1+10^(((Games[[#This Row],[OppPreGmRate]]+IF(Games[[#This Row],[HomeAway]]="A",HCA,0)+Games[[#This Row],[OppRestAdj]])-(Games[[#This Row],[PreGmRate]]+IF(Games[[#This Row],[HomeAway]]="H",HCA,0)+Games[[#This Row],[RestAdj]]))/400))</f>
        <v>0.81302552369779113</v>
      </c>
      <c r="R355" s="1">
        <v>61</v>
      </c>
      <c r="S355" s="1">
        <v>56</v>
      </c>
      <c r="T355" s="1">
        <v>0</v>
      </c>
      <c r="U355" s="1">
        <f>Games[[#This Row],[PointsFor]]-Games[[#This Row],[PointsAgainst]]</f>
        <v>5</v>
      </c>
      <c r="V355" s="1">
        <f>IF(Games[[#This Row],[MOV]]&gt;0,1,IF(Games[[#This Row],[MOV]]=0,0.5,0))</f>
        <v>1</v>
      </c>
      <c r="W355" s="4">
        <f>((ABS(Games[[#This Row],[MOV]])+5)^0.6)/(12+0.01*(ABS(Games[[#This Row],[PreGmRate]]-Games[[#This Row],[OppPreGmRate]])))*IF(Games[[#This Row],[OT]]=1,0.9,1)</f>
        <v>0.29373476581283653</v>
      </c>
      <c r="X355" s="7" cm="1">
        <f t="array" ref="X35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5" s="9">
        <f>MAX(kmin, kmax - 0.15 * MIN(Games[[#This Row],[GamesPlayed]], 82))</f>
        <v>72.099999999999994</v>
      </c>
      <c r="Z355" s="4">
        <f>Games[[#This Row],[K]]*Games[[#This Row],[POMult]]</f>
        <v>72.099999999999994</v>
      </c>
      <c r="AA355" s="4">
        <f>(Games[[#This Row],[Keff]]*Games[[#This Row],[MOVMult]])*(Games[[#This Row],[Result]]-Games[[#This Row],[ExpectedWin%]])</f>
        <v>3.95979717909267</v>
      </c>
      <c r="AB355" s="4">
        <f>Games[[#This Row],[PreGmRate]]+Games[[#This Row],[RatingChange]]</f>
        <v>1511.7355049821069</v>
      </c>
      <c r="AC355" s="2">
        <f>IF(Games[[#This Row],[Type]]="R",IF(Games[[#This Row],[Result]]&gt;0.5,1,0),0)</f>
        <v>1</v>
      </c>
      <c r="AD355" s="2">
        <f>IF(Games[[#This Row],[Type]]="R",IF(Games[[#This Row],[Result]]&lt;0.5,1,0),0)</f>
        <v>0</v>
      </c>
      <c r="AE355" s="2">
        <f>IF(AND(Games[[#This Row],[Type]]="P",Games[[#This Row],[Round]]=1),IF(Games[[#This Row],[Result]]&gt;0.5,1,0),0)</f>
        <v>0</v>
      </c>
      <c r="AF355" s="2">
        <f>IF(AND(Games[[#This Row],[Type]]="P",Games[[#This Row],[Round]]=1),IF(Games[[#This Row],[Result]]&lt;0.5,1,0),0)</f>
        <v>0</v>
      </c>
      <c r="AG355" s="2">
        <f>IF(AND(Games[[#This Row],[Type]]="P",Games[[#This Row],[Round]]=2),IF(Games[[#This Row],[Result]]&gt;0.5,1,0),0)</f>
        <v>0</v>
      </c>
      <c r="AH355" s="2">
        <f>IF(AND(Games[[#This Row],[Type]]="P",Games[[#This Row],[Round]]=2),IF(Games[[#This Row],[Result]]&lt;0.5,1,0),0)</f>
        <v>0</v>
      </c>
      <c r="AI355" s="2">
        <f>IF(AND(Games[[#This Row],[Type]]="P",Games[[#This Row],[Round]]=3),IF(Games[[#This Row],[Result]]&gt;0.5,1,0),0)</f>
        <v>0</v>
      </c>
      <c r="AJ355" s="2">
        <f>IF(AND(Games[[#This Row],[Type]]="P",Games[[#This Row],[Round]]=3),IF(Games[[#This Row],[Result]]&lt;0.5,1,0),0)</f>
        <v>0</v>
      </c>
      <c r="AK355" s="2">
        <f>IF(AND(Games[[#This Row],[Type]]="P",Games[[#This Row],[Round]]=4),IF(Games[[#This Row],[Result]]&gt;0.5,1,0),0)</f>
        <v>0</v>
      </c>
      <c r="AL355" s="2">
        <f>IF(AND(Games[[#This Row],[Type]]="P",Games[[#This Row],[Round]]=4),IF(Games[[#This Row],[Result]]&lt;0.5,1,0),0)</f>
        <v>0</v>
      </c>
    </row>
    <row r="356" spans="1:38" x14ac:dyDescent="0.35">
      <c r="A356" s="10">
        <v>37838</v>
      </c>
      <c r="B356" s="2">
        <v>2003</v>
      </c>
      <c r="C356" s="2">
        <f>COUNTIFS(Games[Team],Games[[#This Row],[Team]],Games[Season],Games[[#This Row],[Season]],Games[Date],"&lt;=" &amp; Games[[#This Row],[Date]])</f>
        <v>25</v>
      </c>
      <c r="D356" s="2" t="s">
        <v>23</v>
      </c>
      <c r="E356" s="2" t="s">
        <v>29</v>
      </c>
      <c r="F356" s="1" t="s">
        <v>76</v>
      </c>
      <c r="G356" s="1" t="s">
        <v>87</v>
      </c>
      <c r="H356" s="1" t="s">
        <v>16</v>
      </c>
      <c r="I356" s="2" cm="1">
        <f t="array" ref="I356">IFERROR(
    Games[[#This Row],[Date]]
    - LOOKUP(
        2,
        1/((Games[Team]=Games[[#This Row],[Team]]) * (Games[Date] &lt; Games[[#This Row],[Date]])),
        Games[Date]
    )
    - 1,
Games[[#This Row],[Date]]-$A$2)</f>
        <v>2</v>
      </c>
      <c r="J356" s="2" cm="1">
        <f t="array" ref="J35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56" s="2">
        <f>Games[[#This Row],[DaysOff]]-Games[[#This Row],[OppDaysOff]]</f>
        <v>1</v>
      </c>
      <c r="L356" s="2">
        <f>Games[[#This Row],[OppDaysOff]]-Games[[#This Row],[DaysOff]]</f>
        <v>-1</v>
      </c>
      <c r="M356" s="1">
        <f>MAX(-16, MIN(16, Games[[#This Row],[RestDiff]]*8))</f>
        <v>8</v>
      </c>
      <c r="N356" s="1">
        <f>MAX(-16, MIN(16, Games[[#This Row],[OppRestDiff]]*8))</f>
        <v>-8</v>
      </c>
      <c r="O356" s="4" cm="1">
        <f t="array" ref="O35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1596.0149678289711</v>
      </c>
      <c r="P356" s="4" cm="1">
        <f t="array" ref="P35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1512.759642443855</v>
      </c>
      <c r="Q356" s="4">
        <f>1/(1+10^(((Games[[#This Row],[OppPreGmRate]]+IF(Games[[#This Row],[HomeAway]]="A",HCA,0)+Games[[#This Row],[OppRestAdj]])-(Games[[#This Row],[PreGmRate]]+IF(Games[[#This Row],[HomeAway]]="H",HCA,0)+Games[[#This Row],[RestAdj]]))/400))</f>
        <v>0.5219400800781413</v>
      </c>
      <c r="R356" s="1">
        <v>78</v>
      </c>
      <c r="S356" s="1">
        <v>61</v>
      </c>
      <c r="T356" s="1">
        <v>0</v>
      </c>
      <c r="U356" s="1">
        <f>Games[[#This Row],[PointsFor]]-Games[[#This Row],[PointsAgainst]]</f>
        <v>17</v>
      </c>
      <c r="V356" s="1">
        <f>IF(Games[[#This Row],[MOV]]&gt;0,1,IF(Games[[#This Row],[MOV]]=0,0.5,0))</f>
        <v>1</v>
      </c>
      <c r="W356" s="4">
        <f>((ABS(Games[[#This Row],[MOV]])+5)^0.6)/(12+0.01*(ABS(Games[[#This Row],[PreGmRate]]-Games[[#This Row],[OppPreGmRate]])))*IF(Games[[#This Row],[OT]]=1,0.9,1)</f>
        <v>0.49789817369871281</v>
      </c>
      <c r="X356" s="7" cm="1">
        <f t="array" ref="X35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6" s="9">
        <f>MAX(kmin, kmax - 0.15 * MIN(Games[[#This Row],[GamesPlayed]], 82))</f>
        <v>72.25</v>
      </c>
      <c r="Z356" s="4">
        <f>Games[[#This Row],[K]]*Games[[#This Row],[POMult]]</f>
        <v>72.25</v>
      </c>
      <c r="AA356" s="4">
        <f>(Games[[#This Row],[Keff]]*Games[[#This Row],[MOVMult]])*(Games[[#This Row],[Result]]-Games[[#This Row],[ExpectedWin%]])</f>
        <v>17.197317885692449</v>
      </c>
      <c r="AB356" s="4">
        <f>Games[[#This Row],[PreGmRate]]+Games[[#This Row],[RatingChange]]</f>
        <v>1613.2122857146635</v>
      </c>
      <c r="AC356" s="2">
        <f>IF(Games[[#This Row],[Type]]="R",IF(Games[[#This Row],[Result]]&gt;0.5,1,0),0)</f>
        <v>1</v>
      </c>
      <c r="AD356" s="2">
        <f>IF(Games[[#This Row],[Type]]="R",IF(Games[[#This Row],[Result]]&lt;0.5,1,0),0)</f>
        <v>0</v>
      </c>
      <c r="AE356" s="2">
        <f>IF(AND(Games[[#This Row],[Type]]="P",Games[[#This Row],[Round]]=1),IF(Games[[#This Row],[Result]]&gt;0.5,1,0),0)</f>
        <v>0</v>
      </c>
      <c r="AF356" s="2">
        <f>IF(AND(Games[[#This Row],[Type]]="P",Games[[#This Row],[Round]]=1),IF(Games[[#This Row],[Result]]&lt;0.5,1,0),0)</f>
        <v>0</v>
      </c>
      <c r="AG356" s="2">
        <f>IF(AND(Games[[#This Row],[Type]]="P",Games[[#This Row],[Round]]=2),IF(Games[[#This Row],[Result]]&gt;0.5,1,0),0)</f>
        <v>0</v>
      </c>
      <c r="AH356" s="2">
        <f>IF(AND(Games[[#This Row],[Type]]="P",Games[[#This Row],[Round]]=2),IF(Games[[#This Row],[Result]]&lt;0.5,1,0),0)</f>
        <v>0</v>
      </c>
      <c r="AI356" s="2">
        <f>IF(AND(Games[[#This Row],[Type]]="P",Games[[#This Row],[Round]]=3),IF(Games[[#This Row],[Result]]&gt;0.5,1,0),0)</f>
        <v>0</v>
      </c>
      <c r="AJ356" s="2">
        <f>IF(AND(Games[[#This Row],[Type]]="P",Games[[#This Row],[Round]]=3),IF(Games[[#This Row],[Result]]&lt;0.5,1,0),0)</f>
        <v>0</v>
      </c>
      <c r="AK356" s="2">
        <f>IF(AND(Games[[#This Row],[Type]]="P",Games[[#This Row],[Round]]=4),IF(Games[[#This Row],[Result]]&gt;0.5,1,0),0)</f>
        <v>0</v>
      </c>
      <c r="AL356" s="2">
        <f>IF(AND(Games[[#This Row],[Type]]="P",Games[[#This Row],[Round]]=4),IF(Games[[#This Row],[Result]]&lt;0.5,1,0),0)</f>
        <v>0</v>
      </c>
    </row>
    <row r="357" spans="1:38" x14ac:dyDescent="0.35">
      <c r="A357" s="10">
        <v>37838</v>
      </c>
      <c r="B357" s="2">
        <v>2003</v>
      </c>
      <c r="C357" s="2">
        <f>COUNTIFS(Games[Team],Games[[#This Row],[Team]],Games[Season],Games[[#This Row],[Season]],Games[Date],"&lt;=" &amp; Games[[#This Row],[Date]])</f>
        <v>27</v>
      </c>
      <c r="D357" s="2" t="s">
        <v>23</v>
      </c>
      <c r="E357" s="2" t="s">
        <v>29</v>
      </c>
      <c r="F357" s="1" t="s">
        <v>87</v>
      </c>
      <c r="G357" s="1" t="s">
        <v>76</v>
      </c>
      <c r="H357" s="1" t="s">
        <v>15</v>
      </c>
      <c r="I357" s="2" cm="1">
        <f t="array" ref="I357">IFERROR(
    Games[[#This Row],[Date]]
    - LOOKUP(
        2,
        1/((Games[Team]=Games[[#This Row],[Team]]) * (Games[Date] &lt; Games[[#This Row],[Date]])),
        Games[Date]
    )
    - 1,
Games[[#This Row],[Date]]-$A$2)</f>
        <v>1</v>
      </c>
      <c r="J357" s="2" cm="1">
        <f t="array" ref="J35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57" s="2">
        <f>Games[[#This Row],[DaysOff]]-Games[[#This Row],[OppDaysOff]]</f>
        <v>-1</v>
      </c>
      <c r="L357" s="2">
        <f>Games[[#This Row],[OppDaysOff]]-Games[[#This Row],[DaysOff]]</f>
        <v>1</v>
      </c>
      <c r="M357" s="1">
        <f>MAX(-16, MIN(16, Games[[#This Row],[RestDiff]]*8))</f>
        <v>-8</v>
      </c>
      <c r="N357" s="1">
        <f>MAX(-16, MIN(16, Games[[#This Row],[OppRestDiff]]*8))</f>
        <v>8</v>
      </c>
      <c r="O357" s="4" cm="1">
        <f t="array" ref="O35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1512.759642443855</v>
      </c>
      <c r="P357" s="4" cm="1">
        <f t="array" ref="P35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1596.0149678289711</v>
      </c>
      <c r="Q357" s="4">
        <f>1/(1+10^(((Games[[#This Row],[OppPreGmRate]]+IF(Games[[#This Row],[HomeAway]]="A",HCA,0)+Games[[#This Row],[OppRestAdj]])-(Games[[#This Row],[PreGmRate]]+IF(Games[[#This Row],[HomeAway]]="H",HCA,0)+Games[[#This Row],[RestAdj]]))/400))</f>
        <v>0.4780599199218587</v>
      </c>
      <c r="R357" s="1">
        <v>61</v>
      </c>
      <c r="S357" s="1">
        <v>78</v>
      </c>
      <c r="T357" s="1">
        <v>0</v>
      </c>
      <c r="U357" s="1">
        <f>Games[[#This Row],[PointsFor]]-Games[[#This Row],[PointsAgainst]]</f>
        <v>-17</v>
      </c>
      <c r="V357" s="1">
        <f>IF(Games[[#This Row],[MOV]]&gt;0,1,IF(Games[[#This Row],[MOV]]=0,0.5,0))</f>
        <v>0</v>
      </c>
      <c r="W357" s="4">
        <f>((ABS(Games[[#This Row],[MOV]])+5)^0.6)/(12+0.01*(ABS(Games[[#This Row],[PreGmRate]]-Games[[#This Row],[OppPreGmRate]])))*IF(Games[[#This Row],[OT]]=1,0.9,1)</f>
        <v>0.49789817369871281</v>
      </c>
      <c r="X357" s="7" cm="1">
        <f t="array" ref="X35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7" s="9">
        <f>MAX(kmin, kmax - 0.15 * MIN(Games[[#This Row],[GamesPlayed]], 82))</f>
        <v>71.95</v>
      </c>
      <c r="Z357" s="4">
        <f>Games[[#This Row],[K]]*Games[[#This Row],[POMult]]</f>
        <v>71.95</v>
      </c>
      <c r="AA357" s="4">
        <f>(Games[[#This Row],[Keff]]*Games[[#This Row],[MOVMult]])*(Games[[#This Row],[Result]]-Games[[#This Row],[ExpectedWin%]])</f>
        <v>-17.125910337378151</v>
      </c>
      <c r="AB357" s="4">
        <f>Games[[#This Row],[PreGmRate]]+Games[[#This Row],[RatingChange]]</f>
        <v>1495.6337321064768</v>
      </c>
      <c r="AC357" s="2">
        <f>IF(Games[[#This Row],[Type]]="R",IF(Games[[#This Row],[Result]]&gt;0.5,1,0),0)</f>
        <v>0</v>
      </c>
      <c r="AD357" s="2">
        <f>IF(Games[[#This Row],[Type]]="R",IF(Games[[#This Row],[Result]]&lt;0.5,1,0),0)</f>
        <v>1</v>
      </c>
      <c r="AE357" s="2">
        <f>IF(AND(Games[[#This Row],[Type]]="P",Games[[#This Row],[Round]]=1),IF(Games[[#This Row],[Result]]&gt;0.5,1,0),0)</f>
        <v>0</v>
      </c>
      <c r="AF357" s="2">
        <f>IF(AND(Games[[#This Row],[Type]]="P",Games[[#This Row],[Round]]=1),IF(Games[[#This Row],[Result]]&lt;0.5,1,0),0)</f>
        <v>0</v>
      </c>
      <c r="AG357" s="2">
        <f>IF(AND(Games[[#This Row],[Type]]="P",Games[[#This Row],[Round]]=2),IF(Games[[#This Row],[Result]]&gt;0.5,1,0),0)</f>
        <v>0</v>
      </c>
      <c r="AH357" s="2">
        <f>IF(AND(Games[[#This Row],[Type]]="P",Games[[#This Row],[Round]]=2),IF(Games[[#This Row],[Result]]&lt;0.5,1,0),0)</f>
        <v>0</v>
      </c>
      <c r="AI357" s="2">
        <f>IF(AND(Games[[#This Row],[Type]]="P",Games[[#This Row],[Round]]=3),IF(Games[[#This Row],[Result]]&gt;0.5,1,0),0)</f>
        <v>0</v>
      </c>
      <c r="AJ357" s="2">
        <f>IF(AND(Games[[#This Row],[Type]]="P",Games[[#This Row],[Round]]=3),IF(Games[[#This Row],[Result]]&lt;0.5,1,0),0)</f>
        <v>0</v>
      </c>
      <c r="AK357" s="2">
        <f>IF(AND(Games[[#This Row],[Type]]="P",Games[[#This Row],[Round]]=4),IF(Games[[#This Row],[Result]]&gt;0.5,1,0),0)</f>
        <v>0</v>
      </c>
      <c r="AL357" s="2">
        <f>IF(AND(Games[[#This Row],[Type]]="P",Games[[#This Row],[Round]]=4),IF(Games[[#This Row],[Result]]&lt;0.5,1,0),0)</f>
        <v>0</v>
      </c>
    </row>
    <row r="358" spans="1:38" x14ac:dyDescent="0.35">
      <c r="A358" s="10">
        <v>37838</v>
      </c>
      <c r="B358" s="2">
        <v>2003</v>
      </c>
      <c r="C358" s="2">
        <f>COUNTIFS(Games[Team],Games[[#This Row],[Team]],Games[Season],Games[[#This Row],[Season]],Games[Date],"&lt;=" &amp; Games[[#This Row],[Date]])</f>
        <v>27</v>
      </c>
      <c r="D358" s="2" t="s">
        <v>23</v>
      </c>
      <c r="E358" s="2" t="s">
        <v>29</v>
      </c>
      <c r="F358" s="1" t="s">
        <v>45</v>
      </c>
      <c r="G358" s="1" t="s">
        <v>2</v>
      </c>
      <c r="H358" s="1" t="s">
        <v>16</v>
      </c>
      <c r="I358" s="2" cm="1">
        <f t="array" ref="I358">IFERROR(
    Games[[#This Row],[Date]]
    - LOOKUP(
        2,
        1/((Games[Team]=Games[[#This Row],[Team]]) * (Games[Date] &lt; Games[[#This Row],[Date]])),
        Games[Date]
    )
    - 1,
Games[[#This Row],[Date]]-$A$2)</f>
        <v>1</v>
      </c>
      <c r="J358" s="2" cm="1">
        <f t="array" ref="J35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58" s="2">
        <f>Games[[#This Row],[DaysOff]]-Games[[#This Row],[OppDaysOff]]</f>
        <v>-1</v>
      </c>
      <c r="L358" s="2">
        <f>Games[[#This Row],[OppDaysOff]]-Games[[#This Row],[DaysOff]]</f>
        <v>1</v>
      </c>
      <c r="M358" s="1">
        <f>MAX(-16, MIN(16, Games[[#This Row],[RestDiff]]*8))</f>
        <v>-8</v>
      </c>
      <c r="N358" s="1">
        <f>MAX(-16, MIN(16, Games[[#This Row],[OppRestDiff]]*8))</f>
        <v>8</v>
      </c>
      <c r="O358" s="4" cm="1">
        <f t="array" ref="O35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1555.2624739698447</v>
      </c>
      <c r="P358" s="4" cm="1">
        <f t="array" ref="P35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1574.3251481400648</v>
      </c>
      <c r="Q358" s="4">
        <f>1/(1+10^(((Games[[#This Row],[OppPreGmRate]]+IF(Games[[#This Row],[HomeAway]]="A",HCA,0)+Games[[#This Row],[OppRestAdj]])-(Games[[#This Row],[PreGmRate]]+IF(Games[[#This Row],[HomeAway]]="H",HCA,0)+Games[[#This Row],[RestAdj]]))/400))</f>
        <v>0.33506163622146995</v>
      </c>
      <c r="R358" s="1">
        <v>47</v>
      </c>
      <c r="S358" s="1">
        <v>74</v>
      </c>
      <c r="T358" s="1">
        <v>0</v>
      </c>
      <c r="U358" s="1">
        <f>Games[[#This Row],[PointsFor]]-Games[[#This Row],[PointsAgainst]]</f>
        <v>-27</v>
      </c>
      <c r="V358" s="1">
        <f>IF(Games[[#This Row],[MOV]]&gt;0,1,IF(Games[[#This Row],[MOV]]=0,0.5,0))</f>
        <v>0</v>
      </c>
      <c r="W358" s="4">
        <f>((ABS(Games[[#This Row],[MOV]])+5)^0.6)/(12+0.01*(ABS(Games[[#This Row],[PreGmRate]]-Games[[#This Row],[OppPreGmRate]])))*IF(Games[[#This Row],[OT]]=1,0.9,1)</f>
        <v>0.65624189547476397</v>
      </c>
      <c r="X358" s="7" cm="1">
        <f t="array" ref="X35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8" s="9">
        <f>MAX(kmin, kmax - 0.15 * MIN(Games[[#This Row],[GamesPlayed]], 82))</f>
        <v>71.95</v>
      </c>
      <c r="Z358" s="4">
        <f>Games[[#This Row],[K]]*Games[[#This Row],[POMult]]</f>
        <v>71.95</v>
      </c>
      <c r="AA358" s="4">
        <f>(Games[[#This Row],[Keff]]*Games[[#This Row],[MOVMult]])*(Games[[#This Row],[Result]]-Games[[#This Row],[ExpectedWin%]])</f>
        <v>-15.820472720186693</v>
      </c>
      <c r="AB358" s="4">
        <f>Games[[#This Row],[PreGmRate]]+Games[[#This Row],[RatingChange]]</f>
        <v>1539.442001249658</v>
      </c>
      <c r="AC358" s="2">
        <f>IF(Games[[#This Row],[Type]]="R",IF(Games[[#This Row],[Result]]&gt;0.5,1,0),0)</f>
        <v>0</v>
      </c>
      <c r="AD358" s="2">
        <f>IF(Games[[#This Row],[Type]]="R",IF(Games[[#This Row],[Result]]&lt;0.5,1,0),0)</f>
        <v>1</v>
      </c>
      <c r="AE358" s="2">
        <f>IF(AND(Games[[#This Row],[Type]]="P",Games[[#This Row],[Round]]=1),IF(Games[[#This Row],[Result]]&gt;0.5,1,0),0)</f>
        <v>0</v>
      </c>
      <c r="AF358" s="2">
        <f>IF(AND(Games[[#This Row],[Type]]="P",Games[[#This Row],[Round]]=1),IF(Games[[#This Row],[Result]]&lt;0.5,1,0),0)</f>
        <v>0</v>
      </c>
      <c r="AG358" s="2">
        <f>IF(AND(Games[[#This Row],[Type]]="P",Games[[#This Row],[Round]]=2),IF(Games[[#This Row],[Result]]&gt;0.5,1,0),0)</f>
        <v>0</v>
      </c>
      <c r="AH358" s="2">
        <f>IF(AND(Games[[#This Row],[Type]]="P",Games[[#This Row],[Round]]=2),IF(Games[[#This Row],[Result]]&lt;0.5,1,0),0)</f>
        <v>0</v>
      </c>
      <c r="AI358" s="2">
        <f>IF(AND(Games[[#This Row],[Type]]="P",Games[[#This Row],[Round]]=3),IF(Games[[#This Row],[Result]]&gt;0.5,1,0),0)</f>
        <v>0</v>
      </c>
      <c r="AJ358" s="2">
        <f>IF(AND(Games[[#This Row],[Type]]="P",Games[[#This Row],[Round]]=3),IF(Games[[#This Row],[Result]]&lt;0.5,1,0),0)</f>
        <v>0</v>
      </c>
      <c r="AK358" s="2">
        <f>IF(AND(Games[[#This Row],[Type]]="P",Games[[#This Row],[Round]]=4),IF(Games[[#This Row],[Result]]&gt;0.5,1,0),0)</f>
        <v>0</v>
      </c>
      <c r="AL358" s="2">
        <f>IF(AND(Games[[#This Row],[Type]]="P",Games[[#This Row],[Round]]=4),IF(Games[[#This Row],[Result]]&lt;0.5,1,0),0)</f>
        <v>0</v>
      </c>
    </row>
    <row r="359" spans="1:38" x14ac:dyDescent="0.35">
      <c r="A359" s="10">
        <v>37838</v>
      </c>
      <c r="B359" s="2">
        <v>2003</v>
      </c>
      <c r="C359" s="2">
        <f>COUNTIFS(Games[Team],Games[[#This Row],[Team]],Games[Season],Games[[#This Row],[Season]],Games[Date],"&lt;=" &amp; Games[[#This Row],[Date]])</f>
        <v>25</v>
      </c>
      <c r="D359" s="2" t="s">
        <v>23</v>
      </c>
      <c r="E359" s="2" t="s">
        <v>29</v>
      </c>
      <c r="F359" s="1" t="s">
        <v>2</v>
      </c>
      <c r="G359" s="1" t="s">
        <v>45</v>
      </c>
      <c r="H359" s="1" t="s">
        <v>15</v>
      </c>
      <c r="I359" s="2" cm="1">
        <f t="array" ref="I359">IFERROR(
    Games[[#This Row],[Date]]
    - LOOKUP(
        2,
        1/((Games[Team]=Games[[#This Row],[Team]]) * (Games[Date] &lt; Games[[#This Row],[Date]])),
        Games[Date]
    )
    - 1,
Games[[#This Row],[Date]]-$A$2)</f>
        <v>2</v>
      </c>
      <c r="J359" s="2" cm="1">
        <f t="array" ref="J35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59" s="2">
        <f>Games[[#This Row],[DaysOff]]-Games[[#This Row],[OppDaysOff]]</f>
        <v>1</v>
      </c>
      <c r="L359" s="2">
        <f>Games[[#This Row],[OppDaysOff]]-Games[[#This Row],[DaysOff]]</f>
        <v>-1</v>
      </c>
      <c r="M359" s="1">
        <f>MAX(-16, MIN(16, Games[[#This Row],[RestDiff]]*8))</f>
        <v>8</v>
      </c>
      <c r="N359" s="1">
        <f>MAX(-16, MIN(16, Games[[#This Row],[OppRestDiff]]*8))</f>
        <v>-8</v>
      </c>
      <c r="O359" s="4" cm="1">
        <f t="array" ref="O35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1574.3251481400648</v>
      </c>
      <c r="P359" s="4" cm="1">
        <f t="array" ref="P35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1555.2624739698447</v>
      </c>
      <c r="Q359" s="4">
        <f>1/(1+10^(((Games[[#This Row],[OppPreGmRate]]+IF(Games[[#This Row],[HomeAway]]="A",HCA,0)+Games[[#This Row],[OppRestAdj]])-(Games[[#This Row],[PreGmRate]]+IF(Games[[#This Row],[HomeAway]]="H",HCA,0)+Games[[#This Row],[RestAdj]]))/400))</f>
        <v>0.66493836377852999</v>
      </c>
      <c r="R359" s="1">
        <v>74</v>
      </c>
      <c r="S359" s="1">
        <v>47</v>
      </c>
      <c r="T359" s="1">
        <v>0</v>
      </c>
      <c r="U359" s="1">
        <f>Games[[#This Row],[PointsFor]]-Games[[#This Row],[PointsAgainst]]</f>
        <v>27</v>
      </c>
      <c r="V359" s="1">
        <f>IF(Games[[#This Row],[MOV]]&gt;0,1,IF(Games[[#This Row],[MOV]]=0,0.5,0))</f>
        <v>1</v>
      </c>
      <c r="W359" s="4">
        <f>((ABS(Games[[#This Row],[MOV]])+5)^0.6)/(12+0.01*(ABS(Games[[#This Row],[PreGmRate]]-Games[[#This Row],[OppPreGmRate]])))*IF(Games[[#This Row],[OT]]=1,0.9,1)</f>
        <v>0.65624189547476397</v>
      </c>
      <c r="X359" s="7" cm="1">
        <f t="array" ref="X35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9" s="9">
        <f>MAX(kmin, kmax - 0.15 * MIN(Games[[#This Row],[GamesPlayed]], 82))</f>
        <v>72.25</v>
      </c>
      <c r="Z359" s="4">
        <f>Games[[#This Row],[K]]*Games[[#This Row],[POMult]]</f>
        <v>72.25</v>
      </c>
      <c r="AA359" s="4">
        <f>(Games[[#This Row],[Keff]]*Games[[#This Row],[MOVMult]])*(Games[[#This Row],[Result]]-Games[[#This Row],[ExpectedWin%]])</f>
        <v>15.886437165163152</v>
      </c>
      <c r="AB359" s="4">
        <f>Games[[#This Row],[PreGmRate]]+Games[[#This Row],[RatingChange]]</f>
        <v>1590.211585305228</v>
      </c>
      <c r="AC359" s="2">
        <f>IF(Games[[#This Row],[Type]]="R",IF(Games[[#This Row],[Result]]&gt;0.5,1,0),0)</f>
        <v>1</v>
      </c>
      <c r="AD359" s="2">
        <f>IF(Games[[#This Row],[Type]]="R",IF(Games[[#This Row],[Result]]&lt;0.5,1,0),0)</f>
        <v>0</v>
      </c>
      <c r="AE359" s="2">
        <f>IF(AND(Games[[#This Row],[Type]]="P",Games[[#This Row],[Round]]=1),IF(Games[[#This Row],[Result]]&gt;0.5,1,0),0)</f>
        <v>0</v>
      </c>
      <c r="AF359" s="2">
        <f>IF(AND(Games[[#This Row],[Type]]="P",Games[[#This Row],[Round]]=1),IF(Games[[#This Row],[Result]]&lt;0.5,1,0),0)</f>
        <v>0</v>
      </c>
      <c r="AG359" s="2">
        <f>IF(AND(Games[[#This Row],[Type]]="P",Games[[#This Row],[Round]]=2),IF(Games[[#This Row],[Result]]&gt;0.5,1,0),0)</f>
        <v>0</v>
      </c>
      <c r="AH359" s="2">
        <f>IF(AND(Games[[#This Row],[Type]]="P",Games[[#This Row],[Round]]=2),IF(Games[[#This Row],[Result]]&lt;0.5,1,0),0)</f>
        <v>0</v>
      </c>
      <c r="AI359" s="2">
        <f>IF(AND(Games[[#This Row],[Type]]="P",Games[[#This Row],[Round]]=3),IF(Games[[#This Row],[Result]]&gt;0.5,1,0),0)</f>
        <v>0</v>
      </c>
      <c r="AJ359" s="2">
        <f>IF(AND(Games[[#This Row],[Type]]="P",Games[[#This Row],[Round]]=3),IF(Games[[#This Row],[Result]]&lt;0.5,1,0),0)</f>
        <v>0</v>
      </c>
      <c r="AK359" s="2">
        <f>IF(AND(Games[[#This Row],[Type]]="P",Games[[#This Row],[Round]]=4),IF(Games[[#This Row],[Result]]&gt;0.5,1,0),0)</f>
        <v>0</v>
      </c>
      <c r="AL359" s="2">
        <f>IF(AND(Games[[#This Row],[Type]]="P",Games[[#This Row],[Round]]=4),IF(Games[[#This Row],[Result]]&lt;0.5,1,0),0)</f>
        <v>0</v>
      </c>
    </row>
    <row r="360" spans="1:38" x14ac:dyDescent="0.35">
      <c r="A360" s="10">
        <v>37838</v>
      </c>
      <c r="B360" s="2">
        <v>2003</v>
      </c>
      <c r="C360" s="2">
        <f>COUNTIFS(Games[Team],Games[[#This Row],[Team]],Games[Season],Games[[#This Row],[Season]],Games[Date],"&lt;=" &amp; Games[[#This Row],[Date]])</f>
        <v>27</v>
      </c>
      <c r="D360" s="2" t="s">
        <v>23</v>
      </c>
      <c r="E360" s="2" t="s">
        <v>29</v>
      </c>
      <c r="F360" s="1" t="s">
        <v>85</v>
      </c>
      <c r="G360" s="1" t="s">
        <v>66</v>
      </c>
      <c r="H360" s="1" t="s">
        <v>16</v>
      </c>
      <c r="I360" s="2" cm="1">
        <f t="array" ref="I360">IFERROR(
    Games[[#This Row],[Date]]
    - LOOKUP(
        2,
        1/((Games[Team]=Games[[#This Row],[Team]]) * (Games[Date] &lt; Games[[#This Row],[Date]])),
        Games[Date]
    )
    - 1,
Games[[#This Row],[Date]]-$A$2)</f>
        <v>2</v>
      </c>
      <c r="J360" s="2" cm="1">
        <f t="array" ref="J36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60" s="2">
        <f>Games[[#This Row],[DaysOff]]-Games[[#This Row],[OppDaysOff]]</f>
        <v>1</v>
      </c>
      <c r="L360" s="2">
        <f>Games[[#This Row],[OppDaysOff]]-Games[[#This Row],[DaysOff]]</f>
        <v>-1</v>
      </c>
      <c r="M360" s="1">
        <f>MAX(-16, MIN(16, Games[[#This Row],[RestDiff]]*8))</f>
        <v>8</v>
      </c>
      <c r="N360" s="1">
        <f>MAX(-16, MIN(16, Games[[#This Row],[OppRestDiff]]*8))</f>
        <v>-8</v>
      </c>
      <c r="O360" s="4" cm="1">
        <f t="array" ref="O36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1423.3591798833529</v>
      </c>
      <c r="P360" s="4" cm="1">
        <f t="array" ref="P36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1472.3653823866832</v>
      </c>
      <c r="Q360" s="4">
        <f>1/(1+10^(((Games[[#This Row],[OppPreGmRate]]+IF(Games[[#This Row],[HomeAway]]="A",HCA,0)+Games[[#This Row],[OppRestAdj]])-(Games[[#This Row],[PreGmRate]]+IF(Games[[#This Row],[HomeAway]]="H",HCA,0)+Games[[#This Row],[RestAdj]]))/400))</f>
        <v>0.33770421685619134</v>
      </c>
      <c r="R360" s="1">
        <v>60</v>
      </c>
      <c r="S360" s="1">
        <v>69</v>
      </c>
      <c r="T360" s="1">
        <v>0</v>
      </c>
      <c r="U360" s="1">
        <f>Games[[#This Row],[PointsFor]]-Games[[#This Row],[PointsAgainst]]</f>
        <v>-9</v>
      </c>
      <c r="V360" s="1">
        <f>IF(Games[[#This Row],[MOV]]&gt;0,1,IF(Games[[#This Row],[MOV]]=0,0.5,0))</f>
        <v>0</v>
      </c>
      <c r="W360" s="4">
        <f>((ABS(Games[[#This Row],[MOV]])+5)^0.6)/(12+0.01*(ABS(Games[[#This Row],[PreGmRate]]-Games[[#This Row],[OppPreGmRate]])))*IF(Games[[#This Row],[OT]]=1,0.9,1)</f>
        <v>0.3900427648800186</v>
      </c>
      <c r="X360" s="7" cm="1">
        <f t="array" ref="X36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0" s="9">
        <f>MAX(kmin, kmax - 0.15 * MIN(Games[[#This Row],[GamesPlayed]], 82))</f>
        <v>71.95</v>
      </c>
      <c r="Z360" s="4">
        <f>Games[[#This Row],[K]]*Games[[#This Row],[POMult]]</f>
        <v>71.95</v>
      </c>
      <c r="AA360" s="4">
        <f>(Games[[#This Row],[Keff]]*Games[[#This Row],[MOVMult]])*(Games[[#This Row],[Result]]-Games[[#This Row],[ExpectedWin%]])</f>
        <v>-9.477188270381868</v>
      </c>
      <c r="AB360" s="4">
        <f>Games[[#This Row],[PreGmRate]]+Games[[#This Row],[RatingChange]]</f>
        <v>1413.881991612971</v>
      </c>
      <c r="AC360" s="2">
        <f>IF(Games[[#This Row],[Type]]="R",IF(Games[[#This Row],[Result]]&gt;0.5,1,0),0)</f>
        <v>0</v>
      </c>
      <c r="AD360" s="2">
        <f>IF(Games[[#This Row],[Type]]="R",IF(Games[[#This Row],[Result]]&lt;0.5,1,0),0)</f>
        <v>1</v>
      </c>
      <c r="AE360" s="2">
        <f>IF(AND(Games[[#This Row],[Type]]="P",Games[[#This Row],[Round]]=1),IF(Games[[#This Row],[Result]]&gt;0.5,1,0),0)</f>
        <v>0</v>
      </c>
      <c r="AF360" s="2">
        <f>IF(AND(Games[[#This Row],[Type]]="P",Games[[#This Row],[Round]]=1),IF(Games[[#This Row],[Result]]&lt;0.5,1,0),0)</f>
        <v>0</v>
      </c>
      <c r="AG360" s="2">
        <f>IF(AND(Games[[#This Row],[Type]]="P",Games[[#This Row],[Round]]=2),IF(Games[[#This Row],[Result]]&gt;0.5,1,0),0)</f>
        <v>0</v>
      </c>
      <c r="AH360" s="2">
        <f>IF(AND(Games[[#This Row],[Type]]="P",Games[[#This Row],[Round]]=2),IF(Games[[#This Row],[Result]]&lt;0.5,1,0),0)</f>
        <v>0</v>
      </c>
      <c r="AI360" s="2">
        <f>IF(AND(Games[[#This Row],[Type]]="P",Games[[#This Row],[Round]]=3),IF(Games[[#This Row],[Result]]&gt;0.5,1,0),0)</f>
        <v>0</v>
      </c>
      <c r="AJ360" s="2">
        <f>IF(AND(Games[[#This Row],[Type]]="P",Games[[#This Row],[Round]]=3),IF(Games[[#This Row],[Result]]&lt;0.5,1,0),0)</f>
        <v>0</v>
      </c>
      <c r="AK360" s="2">
        <f>IF(AND(Games[[#This Row],[Type]]="P",Games[[#This Row],[Round]]=4),IF(Games[[#This Row],[Result]]&gt;0.5,1,0),0)</f>
        <v>0</v>
      </c>
      <c r="AL360" s="2">
        <f>IF(AND(Games[[#This Row],[Type]]="P",Games[[#This Row],[Round]]=4),IF(Games[[#This Row],[Result]]&lt;0.5,1,0),0)</f>
        <v>0</v>
      </c>
    </row>
    <row r="361" spans="1:38" x14ac:dyDescent="0.35">
      <c r="A361" s="10">
        <v>37838</v>
      </c>
      <c r="B361" s="2">
        <v>2003</v>
      </c>
      <c r="C361" s="2">
        <f>COUNTIFS(Games[Team],Games[[#This Row],[Team]],Games[Season],Games[[#This Row],[Season]],Games[Date],"&lt;=" &amp; Games[[#This Row],[Date]])</f>
        <v>24</v>
      </c>
      <c r="D361" s="2" t="s">
        <v>23</v>
      </c>
      <c r="E361" s="2" t="s">
        <v>29</v>
      </c>
      <c r="F361" s="1" t="s">
        <v>66</v>
      </c>
      <c r="G361" s="1" t="s">
        <v>85</v>
      </c>
      <c r="H361" s="1" t="s">
        <v>15</v>
      </c>
      <c r="I361" s="2" cm="1">
        <f t="array" ref="I361">IFERROR(
    Games[[#This Row],[Date]]
    - LOOKUP(
        2,
        1/((Games[Team]=Games[[#This Row],[Team]]) * (Games[Date] &lt; Games[[#This Row],[Date]])),
        Games[Date]
    )
    - 1,
Games[[#This Row],[Date]]-$A$2)</f>
        <v>1</v>
      </c>
      <c r="J361" s="2" cm="1">
        <f t="array" ref="J36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61" s="2">
        <f>Games[[#This Row],[DaysOff]]-Games[[#This Row],[OppDaysOff]]</f>
        <v>-1</v>
      </c>
      <c r="L361" s="2">
        <f>Games[[#This Row],[OppDaysOff]]-Games[[#This Row],[DaysOff]]</f>
        <v>1</v>
      </c>
      <c r="M361" s="1">
        <f>MAX(-16, MIN(16, Games[[#This Row],[RestDiff]]*8))</f>
        <v>-8</v>
      </c>
      <c r="N361" s="1">
        <f>MAX(-16, MIN(16, Games[[#This Row],[OppRestDiff]]*8))</f>
        <v>8</v>
      </c>
      <c r="O361" s="4" cm="1">
        <f t="array" ref="O36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1472.3653823866832</v>
      </c>
      <c r="P361" s="4" cm="1">
        <f t="array" ref="P36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1423.3591798833529</v>
      </c>
      <c r="Q361" s="4">
        <f>1/(1+10^(((Games[[#This Row],[OppPreGmRate]]+IF(Games[[#This Row],[HomeAway]]="A",HCA,0)+Games[[#This Row],[OppRestAdj]])-(Games[[#This Row],[PreGmRate]]+IF(Games[[#This Row],[HomeAway]]="H",HCA,0)+Games[[#This Row],[RestAdj]]))/400))</f>
        <v>0.66229578314380866</v>
      </c>
      <c r="R361" s="1">
        <v>69</v>
      </c>
      <c r="S361" s="1">
        <v>60</v>
      </c>
      <c r="T361" s="1">
        <v>0</v>
      </c>
      <c r="U361" s="1">
        <f>Games[[#This Row],[PointsFor]]-Games[[#This Row],[PointsAgainst]]</f>
        <v>9</v>
      </c>
      <c r="V361" s="1">
        <f>IF(Games[[#This Row],[MOV]]&gt;0,1,IF(Games[[#This Row],[MOV]]=0,0.5,0))</f>
        <v>1</v>
      </c>
      <c r="W361" s="4">
        <f>((ABS(Games[[#This Row],[MOV]])+5)^0.6)/(12+0.01*(ABS(Games[[#This Row],[PreGmRate]]-Games[[#This Row],[OppPreGmRate]])))*IF(Games[[#This Row],[OT]]=1,0.9,1)</f>
        <v>0.3900427648800186</v>
      </c>
      <c r="X361" s="7" cm="1">
        <f t="array" ref="X36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1" s="9">
        <f>MAX(kmin, kmax - 0.15 * MIN(Games[[#This Row],[GamesPlayed]], 82))</f>
        <v>72.400000000000006</v>
      </c>
      <c r="Z361" s="4">
        <f>Games[[#This Row],[K]]*Games[[#This Row],[POMult]]</f>
        <v>72.400000000000006</v>
      </c>
      <c r="AA361" s="4">
        <f>(Games[[#This Row],[Keff]]*Games[[#This Row],[MOVMult]])*(Games[[#This Row],[Result]]-Games[[#This Row],[ExpectedWin%]])</f>
        <v>9.5364618592862715</v>
      </c>
      <c r="AB361" s="4">
        <f>Games[[#This Row],[PreGmRate]]+Games[[#This Row],[RatingChange]]</f>
        <v>1481.9018442459694</v>
      </c>
      <c r="AC361" s="2">
        <f>IF(Games[[#This Row],[Type]]="R",IF(Games[[#This Row],[Result]]&gt;0.5,1,0),0)</f>
        <v>1</v>
      </c>
      <c r="AD361" s="2">
        <f>IF(Games[[#This Row],[Type]]="R",IF(Games[[#This Row],[Result]]&lt;0.5,1,0),0)</f>
        <v>0</v>
      </c>
      <c r="AE361" s="2">
        <f>IF(AND(Games[[#This Row],[Type]]="P",Games[[#This Row],[Round]]=1),IF(Games[[#This Row],[Result]]&gt;0.5,1,0),0)</f>
        <v>0</v>
      </c>
      <c r="AF361" s="2">
        <f>IF(AND(Games[[#This Row],[Type]]="P",Games[[#This Row],[Round]]=1),IF(Games[[#This Row],[Result]]&lt;0.5,1,0),0)</f>
        <v>0</v>
      </c>
      <c r="AG361" s="2">
        <f>IF(AND(Games[[#This Row],[Type]]="P",Games[[#This Row],[Round]]=2),IF(Games[[#This Row],[Result]]&gt;0.5,1,0),0)</f>
        <v>0</v>
      </c>
      <c r="AH361" s="2">
        <f>IF(AND(Games[[#This Row],[Type]]="P",Games[[#This Row],[Round]]=2),IF(Games[[#This Row],[Result]]&lt;0.5,1,0),0)</f>
        <v>0</v>
      </c>
      <c r="AI361" s="2">
        <f>IF(AND(Games[[#This Row],[Type]]="P",Games[[#This Row],[Round]]=3),IF(Games[[#This Row],[Result]]&gt;0.5,1,0),0)</f>
        <v>0</v>
      </c>
      <c r="AJ361" s="2">
        <f>IF(AND(Games[[#This Row],[Type]]="P",Games[[#This Row],[Round]]=3),IF(Games[[#This Row],[Result]]&lt;0.5,1,0),0)</f>
        <v>0</v>
      </c>
      <c r="AK361" s="2">
        <f>IF(AND(Games[[#This Row],[Type]]="P",Games[[#This Row],[Round]]=4),IF(Games[[#This Row],[Result]]&gt;0.5,1,0),0)</f>
        <v>0</v>
      </c>
      <c r="AL361" s="2">
        <f>IF(AND(Games[[#This Row],[Type]]="P",Games[[#This Row],[Round]]=4),IF(Games[[#This Row],[Result]]&lt;0.5,1,0),0)</f>
        <v>0</v>
      </c>
    </row>
    <row r="362" spans="1:38" x14ac:dyDescent="0.35">
      <c r="A362" s="10">
        <v>37839</v>
      </c>
      <c r="B362" s="2">
        <v>2003</v>
      </c>
      <c r="C362" s="2">
        <f>COUNTIFS(Games[Team],Games[[#This Row],[Team]],Games[Season],Games[[#This Row],[Season]],Games[Date],"&lt;=" &amp; Games[[#This Row],[Date]])</f>
        <v>27</v>
      </c>
      <c r="D362" s="2" t="s">
        <v>23</v>
      </c>
      <c r="E362" s="2" t="s">
        <v>29</v>
      </c>
      <c r="F362" s="1" t="s">
        <v>78</v>
      </c>
      <c r="G362" s="1" t="s">
        <v>44</v>
      </c>
      <c r="H362" s="1" t="s">
        <v>16</v>
      </c>
      <c r="I362" s="2" cm="1">
        <f t="array" ref="I362">IFERROR(
    Games[[#This Row],[Date]]
    - LOOKUP(
        2,
        1/((Games[Team]=Games[[#This Row],[Team]]) * (Games[Date] &lt; Games[[#This Row],[Date]])),
        Games[Date]
    )
    - 1,
Games[[#This Row],[Date]]-$A$2)</f>
        <v>1</v>
      </c>
      <c r="J362" s="2" cm="1">
        <f t="array" ref="J36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62" s="2">
        <f>Games[[#This Row],[DaysOff]]-Games[[#This Row],[OppDaysOff]]</f>
        <v>0</v>
      </c>
      <c r="L362" s="2">
        <f>Games[[#This Row],[OppDaysOff]]-Games[[#This Row],[DaysOff]]</f>
        <v>0</v>
      </c>
      <c r="M362" s="1">
        <f>MAX(-16, MIN(16, Games[[#This Row],[RestDiff]]*8))</f>
        <v>0</v>
      </c>
      <c r="N362" s="1">
        <f>MAX(-16, MIN(16, Games[[#This Row],[OppRestDiff]]*8))</f>
        <v>0</v>
      </c>
      <c r="O362" s="4" cm="1">
        <f t="array" ref="O36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1511.7355049821069</v>
      </c>
      <c r="P362" s="4" cm="1">
        <f t="array" ref="P36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1348.4789307514113</v>
      </c>
      <c r="Q362" s="4">
        <f>1/(1+10^(((Games[[#This Row],[OppPreGmRate]]+IF(Games[[#This Row],[HomeAway]]="A",HCA,0)+Games[[#This Row],[OppRestAdj]])-(Games[[#This Row],[PreGmRate]]+IF(Games[[#This Row],[HomeAway]]="H",HCA,0)+Games[[#This Row],[RestAdj]]))/400))</f>
        <v>0.61212123168103894</v>
      </c>
      <c r="R362" s="1">
        <v>49</v>
      </c>
      <c r="S362" s="1">
        <v>56</v>
      </c>
      <c r="T362" s="1">
        <v>0</v>
      </c>
      <c r="U362" s="1">
        <f>Games[[#This Row],[PointsFor]]-Games[[#This Row],[PointsAgainst]]</f>
        <v>-7</v>
      </c>
      <c r="V362" s="1">
        <f>IF(Games[[#This Row],[MOV]]&gt;0,1,IF(Games[[#This Row],[MOV]]=0,0.5,0))</f>
        <v>0</v>
      </c>
      <c r="W362" s="4">
        <f>((ABS(Games[[#This Row],[MOV]])+5)^0.6)/(12+0.01*(ABS(Games[[#This Row],[PreGmRate]]-Games[[#This Row],[OppPreGmRate]])))*IF(Games[[#This Row],[OT]]=1,0.9,1)</f>
        <v>0.32578504690887838</v>
      </c>
      <c r="X362" s="7" cm="1">
        <f t="array" ref="X36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2" s="9">
        <f>MAX(kmin, kmax - 0.15 * MIN(Games[[#This Row],[GamesPlayed]], 82))</f>
        <v>71.95</v>
      </c>
      <c r="Z362" s="4">
        <f>Games[[#This Row],[K]]*Games[[#This Row],[POMult]]</f>
        <v>71.95</v>
      </c>
      <c r="AA362" s="4">
        <f>(Games[[#This Row],[Keff]]*Games[[#This Row],[MOVMult]])*(Games[[#This Row],[Result]]-Games[[#This Row],[ExpectedWin%]])</f>
        <v>-14.348264983544338</v>
      </c>
      <c r="AB362" s="4">
        <f>Games[[#This Row],[PreGmRate]]+Games[[#This Row],[RatingChange]]</f>
        <v>1497.3872399985626</v>
      </c>
      <c r="AC362" s="2">
        <f>IF(Games[[#This Row],[Type]]="R",IF(Games[[#This Row],[Result]]&gt;0.5,1,0),0)</f>
        <v>0</v>
      </c>
      <c r="AD362" s="2">
        <f>IF(Games[[#This Row],[Type]]="R",IF(Games[[#This Row],[Result]]&lt;0.5,1,0),0)</f>
        <v>1</v>
      </c>
      <c r="AE362" s="2">
        <f>IF(AND(Games[[#This Row],[Type]]="P",Games[[#This Row],[Round]]=1),IF(Games[[#This Row],[Result]]&gt;0.5,1,0),0)</f>
        <v>0</v>
      </c>
      <c r="AF362" s="2">
        <f>IF(AND(Games[[#This Row],[Type]]="P",Games[[#This Row],[Round]]=1),IF(Games[[#This Row],[Result]]&lt;0.5,1,0),0)</f>
        <v>0</v>
      </c>
      <c r="AG362" s="2">
        <f>IF(AND(Games[[#This Row],[Type]]="P",Games[[#This Row],[Round]]=2),IF(Games[[#This Row],[Result]]&gt;0.5,1,0),0)</f>
        <v>0</v>
      </c>
      <c r="AH362" s="2">
        <f>IF(AND(Games[[#This Row],[Type]]="P",Games[[#This Row],[Round]]=2),IF(Games[[#This Row],[Result]]&lt;0.5,1,0),0)</f>
        <v>0</v>
      </c>
      <c r="AI362" s="2">
        <f>IF(AND(Games[[#This Row],[Type]]="P",Games[[#This Row],[Round]]=3),IF(Games[[#This Row],[Result]]&gt;0.5,1,0),0)</f>
        <v>0</v>
      </c>
      <c r="AJ362" s="2">
        <f>IF(AND(Games[[#This Row],[Type]]="P",Games[[#This Row],[Round]]=3),IF(Games[[#This Row],[Result]]&lt;0.5,1,0),0)</f>
        <v>0</v>
      </c>
      <c r="AK362" s="2">
        <f>IF(AND(Games[[#This Row],[Type]]="P",Games[[#This Row],[Round]]=4),IF(Games[[#This Row],[Result]]&gt;0.5,1,0),0)</f>
        <v>0</v>
      </c>
      <c r="AL362" s="2">
        <f>IF(AND(Games[[#This Row],[Type]]="P",Games[[#This Row],[Round]]=4),IF(Games[[#This Row],[Result]]&lt;0.5,1,0),0)</f>
        <v>0</v>
      </c>
    </row>
    <row r="363" spans="1:38" x14ac:dyDescent="0.35">
      <c r="A363" s="10">
        <v>37839</v>
      </c>
      <c r="B363" s="2">
        <v>2003</v>
      </c>
      <c r="C363" s="2">
        <f>COUNTIFS(Games[Team],Games[[#This Row],[Team]],Games[Season],Games[[#This Row],[Season]],Games[Date],"&lt;=" &amp; Games[[#This Row],[Date]])</f>
        <v>26</v>
      </c>
      <c r="D363" s="2" t="s">
        <v>23</v>
      </c>
      <c r="E363" s="2" t="s">
        <v>29</v>
      </c>
      <c r="F363" s="1" t="s">
        <v>44</v>
      </c>
      <c r="G363" s="1" t="s">
        <v>78</v>
      </c>
      <c r="H363" s="1" t="s">
        <v>15</v>
      </c>
      <c r="I363" s="2" cm="1">
        <f t="array" ref="I363">IFERROR(
    Games[[#This Row],[Date]]
    - LOOKUP(
        2,
        1/((Games[Team]=Games[[#This Row],[Team]]) * (Games[Date] &lt; Games[[#This Row],[Date]])),
        Games[Date]
    )
    - 1,
Games[[#This Row],[Date]]-$A$2)</f>
        <v>1</v>
      </c>
      <c r="J363" s="2" cm="1">
        <f t="array" ref="J36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63" s="2">
        <f>Games[[#This Row],[DaysOff]]-Games[[#This Row],[OppDaysOff]]</f>
        <v>0</v>
      </c>
      <c r="L363" s="2">
        <f>Games[[#This Row],[OppDaysOff]]-Games[[#This Row],[DaysOff]]</f>
        <v>0</v>
      </c>
      <c r="M363" s="1">
        <f>MAX(-16, MIN(16, Games[[#This Row],[RestDiff]]*8))</f>
        <v>0</v>
      </c>
      <c r="N363" s="1">
        <f>MAX(-16, MIN(16, Games[[#This Row],[OppRestDiff]]*8))</f>
        <v>0</v>
      </c>
      <c r="O363" s="4" cm="1">
        <f t="array" ref="O36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1348.4789307514113</v>
      </c>
      <c r="P363" s="4" cm="1">
        <f t="array" ref="P36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1511.7355049821069</v>
      </c>
      <c r="Q363" s="4">
        <f>1/(1+10^(((Games[[#This Row],[OppPreGmRate]]+IF(Games[[#This Row],[HomeAway]]="A",HCA,0)+Games[[#This Row],[OppRestAdj]])-(Games[[#This Row],[PreGmRate]]+IF(Games[[#This Row],[HomeAway]]="H",HCA,0)+Games[[#This Row],[RestAdj]]))/400))</f>
        <v>0.38787876831896112</v>
      </c>
      <c r="R363" s="1">
        <v>56</v>
      </c>
      <c r="S363" s="1">
        <v>49</v>
      </c>
      <c r="T363" s="1">
        <v>0</v>
      </c>
      <c r="U363" s="1">
        <f>Games[[#This Row],[PointsFor]]-Games[[#This Row],[PointsAgainst]]</f>
        <v>7</v>
      </c>
      <c r="V363" s="1">
        <f>IF(Games[[#This Row],[MOV]]&gt;0,1,IF(Games[[#This Row],[MOV]]=0,0.5,0))</f>
        <v>1</v>
      </c>
      <c r="W363" s="4">
        <f>((ABS(Games[[#This Row],[MOV]])+5)^0.6)/(12+0.01*(ABS(Games[[#This Row],[PreGmRate]]-Games[[#This Row],[OppPreGmRate]])))*IF(Games[[#This Row],[OT]]=1,0.9,1)</f>
        <v>0.32578504690887838</v>
      </c>
      <c r="X363" s="7" cm="1">
        <f t="array" ref="X36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3" s="9">
        <f>MAX(kmin, kmax - 0.15 * MIN(Games[[#This Row],[GamesPlayed]], 82))</f>
        <v>72.099999999999994</v>
      </c>
      <c r="Z363" s="4">
        <f>Games[[#This Row],[K]]*Games[[#This Row],[POMult]]</f>
        <v>72.099999999999994</v>
      </c>
      <c r="AA363" s="4">
        <f>(Games[[#This Row],[Keff]]*Games[[#This Row],[MOVMult]])*(Games[[#This Row],[Result]]-Games[[#This Row],[ExpectedWin%]])</f>
        <v>14.378177975170905</v>
      </c>
      <c r="AB363" s="4">
        <f>Games[[#This Row],[PreGmRate]]+Games[[#This Row],[RatingChange]]</f>
        <v>1362.8571087265823</v>
      </c>
      <c r="AC363" s="2">
        <f>IF(Games[[#This Row],[Type]]="R",IF(Games[[#This Row],[Result]]&gt;0.5,1,0),0)</f>
        <v>1</v>
      </c>
      <c r="AD363" s="2">
        <f>IF(Games[[#This Row],[Type]]="R",IF(Games[[#This Row],[Result]]&lt;0.5,1,0),0)</f>
        <v>0</v>
      </c>
      <c r="AE363" s="2">
        <f>IF(AND(Games[[#This Row],[Type]]="P",Games[[#This Row],[Round]]=1),IF(Games[[#This Row],[Result]]&gt;0.5,1,0),0)</f>
        <v>0</v>
      </c>
      <c r="AF363" s="2">
        <f>IF(AND(Games[[#This Row],[Type]]="P",Games[[#This Row],[Round]]=1),IF(Games[[#This Row],[Result]]&lt;0.5,1,0),0)</f>
        <v>0</v>
      </c>
      <c r="AG363" s="2">
        <f>IF(AND(Games[[#This Row],[Type]]="P",Games[[#This Row],[Round]]=2),IF(Games[[#This Row],[Result]]&gt;0.5,1,0),0)</f>
        <v>0</v>
      </c>
      <c r="AH363" s="2">
        <f>IF(AND(Games[[#This Row],[Type]]="P",Games[[#This Row],[Round]]=2),IF(Games[[#This Row],[Result]]&lt;0.5,1,0),0)</f>
        <v>0</v>
      </c>
      <c r="AI363" s="2">
        <f>IF(AND(Games[[#This Row],[Type]]="P",Games[[#This Row],[Round]]=3),IF(Games[[#This Row],[Result]]&gt;0.5,1,0),0)</f>
        <v>0</v>
      </c>
      <c r="AJ363" s="2">
        <f>IF(AND(Games[[#This Row],[Type]]="P",Games[[#This Row],[Round]]=3),IF(Games[[#This Row],[Result]]&lt;0.5,1,0),0)</f>
        <v>0</v>
      </c>
      <c r="AK363" s="2">
        <f>IF(AND(Games[[#This Row],[Type]]="P",Games[[#This Row],[Round]]=4),IF(Games[[#This Row],[Result]]&gt;0.5,1,0),0)</f>
        <v>0</v>
      </c>
      <c r="AL363" s="2">
        <f>IF(AND(Games[[#This Row],[Type]]="P",Games[[#This Row],[Round]]=4),IF(Games[[#This Row],[Result]]&lt;0.5,1,0),0)</f>
        <v>0</v>
      </c>
    </row>
    <row r="364" spans="1:38" x14ac:dyDescent="0.35">
      <c r="A364" s="10">
        <v>37839</v>
      </c>
      <c r="B364" s="2">
        <v>2003</v>
      </c>
      <c r="C364" s="2">
        <f>COUNTIFS(Games[Team],Games[[#This Row],[Team]],Games[Season],Games[[#This Row],[Season]],Games[Date],"&lt;=" &amp; Games[[#This Row],[Date]])</f>
        <v>27</v>
      </c>
      <c r="D364" s="2" t="s">
        <v>23</v>
      </c>
      <c r="E364" s="2" t="s">
        <v>29</v>
      </c>
      <c r="F364" s="1" t="s">
        <v>71</v>
      </c>
      <c r="G364" s="1" t="s">
        <v>82</v>
      </c>
      <c r="H364" s="1" t="s">
        <v>16</v>
      </c>
      <c r="I364" s="2" cm="1">
        <f t="array" ref="I364">IFERROR(
    Games[[#This Row],[Date]]
    - LOOKUP(
        2,
        1/((Games[Team]=Games[[#This Row],[Team]]) * (Games[Date] &lt; Games[[#This Row],[Date]])),
        Games[Date]
    )
    - 1,
Games[[#This Row],[Date]]-$A$2)</f>
        <v>3</v>
      </c>
      <c r="J364" s="2" cm="1">
        <f t="array" ref="J364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64" s="2">
        <f>Games[[#This Row],[DaysOff]]-Games[[#This Row],[OppDaysOff]]</f>
        <v>0</v>
      </c>
      <c r="L364" s="2">
        <f>Games[[#This Row],[OppDaysOff]]-Games[[#This Row],[DaysOff]]</f>
        <v>0</v>
      </c>
      <c r="M364" s="1">
        <f>MAX(-16, MIN(16, Games[[#This Row],[RestDiff]]*8))</f>
        <v>0</v>
      </c>
      <c r="N364" s="1">
        <f>MAX(-16, MIN(16, Games[[#This Row],[OppRestDiff]]*8))</f>
        <v>0</v>
      </c>
      <c r="O364" s="4" cm="1">
        <f t="array" ref="O36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1604.261273833318</v>
      </c>
      <c r="P364" s="4" cm="1">
        <f t="array" ref="P36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1556.50087079836</v>
      </c>
      <c r="Q364" s="4">
        <f>1/(1+10^(((Games[[#This Row],[OppPreGmRate]]+IF(Games[[#This Row],[HomeAway]]="A",HCA,0)+Games[[#This Row],[OppRestAdj]])-(Games[[#This Row],[PreGmRate]]+IF(Games[[#This Row],[HomeAway]]="H",HCA,0)+Games[[#This Row],[RestAdj]]))/400))</f>
        <v>0.44803534491793934</v>
      </c>
      <c r="R364" s="1">
        <v>56</v>
      </c>
      <c r="S364" s="1">
        <v>92</v>
      </c>
      <c r="T364" s="1">
        <v>0</v>
      </c>
      <c r="U364" s="1">
        <f>Games[[#This Row],[PointsFor]]-Games[[#This Row],[PointsAgainst]]</f>
        <v>-36</v>
      </c>
      <c r="V364" s="1">
        <f>IF(Games[[#This Row],[MOV]]&gt;0,1,IF(Games[[#This Row],[MOV]]=0,0.5,0))</f>
        <v>0</v>
      </c>
      <c r="W364" s="4">
        <f>((ABS(Games[[#This Row],[MOV]])+5)^0.6)/(12+0.01*(ABS(Games[[#This Row],[PreGmRate]]-Games[[#This Row],[OppPreGmRate]])))*IF(Games[[#This Row],[OT]]=1,0.9,1)</f>
        <v>0.7439420628165756</v>
      </c>
      <c r="X364" s="7" cm="1">
        <f t="array" ref="X36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4" s="9">
        <f>MAX(kmin, kmax - 0.15 * MIN(Games[[#This Row],[GamesPlayed]], 82))</f>
        <v>71.95</v>
      </c>
      <c r="Z364" s="4">
        <f>Games[[#This Row],[K]]*Games[[#This Row],[POMult]]</f>
        <v>71.95</v>
      </c>
      <c r="AA364" s="4">
        <f>(Games[[#This Row],[Keff]]*Games[[#This Row],[MOVMult]])*(Games[[#This Row],[Result]]-Games[[#This Row],[ExpectedWin%]])</f>
        <v>-23.981822770399468</v>
      </c>
      <c r="AB364" s="4">
        <f>Games[[#This Row],[PreGmRate]]+Games[[#This Row],[RatingChange]]</f>
        <v>1580.2794510629185</v>
      </c>
      <c r="AC364" s="2">
        <f>IF(Games[[#This Row],[Type]]="R",IF(Games[[#This Row],[Result]]&gt;0.5,1,0),0)</f>
        <v>0</v>
      </c>
      <c r="AD364" s="2">
        <f>IF(Games[[#This Row],[Type]]="R",IF(Games[[#This Row],[Result]]&lt;0.5,1,0),0)</f>
        <v>1</v>
      </c>
      <c r="AE364" s="2">
        <f>IF(AND(Games[[#This Row],[Type]]="P",Games[[#This Row],[Round]]=1),IF(Games[[#This Row],[Result]]&gt;0.5,1,0),0)</f>
        <v>0</v>
      </c>
      <c r="AF364" s="2">
        <f>IF(AND(Games[[#This Row],[Type]]="P",Games[[#This Row],[Round]]=1),IF(Games[[#This Row],[Result]]&lt;0.5,1,0),0)</f>
        <v>0</v>
      </c>
      <c r="AG364" s="2">
        <f>IF(AND(Games[[#This Row],[Type]]="P",Games[[#This Row],[Round]]=2),IF(Games[[#This Row],[Result]]&gt;0.5,1,0),0)</f>
        <v>0</v>
      </c>
      <c r="AH364" s="2">
        <f>IF(AND(Games[[#This Row],[Type]]="P",Games[[#This Row],[Round]]=2),IF(Games[[#This Row],[Result]]&lt;0.5,1,0),0)</f>
        <v>0</v>
      </c>
      <c r="AI364" s="2">
        <f>IF(AND(Games[[#This Row],[Type]]="P",Games[[#This Row],[Round]]=3),IF(Games[[#This Row],[Result]]&gt;0.5,1,0),0)</f>
        <v>0</v>
      </c>
      <c r="AJ364" s="2">
        <f>IF(AND(Games[[#This Row],[Type]]="P",Games[[#This Row],[Round]]=3),IF(Games[[#This Row],[Result]]&lt;0.5,1,0),0)</f>
        <v>0</v>
      </c>
      <c r="AK364" s="2">
        <f>IF(AND(Games[[#This Row],[Type]]="P",Games[[#This Row],[Round]]=4),IF(Games[[#This Row],[Result]]&gt;0.5,1,0),0)</f>
        <v>0</v>
      </c>
      <c r="AL364" s="2">
        <f>IF(AND(Games[[#This Row],[Type]]="P",Games[[#This Row],[Round]]=4),IF(Games[[#This Row],[Result]]&lt;0.5,1,0),0)</f>
        <v>0</v>
      </c>
    </row>
    <row r="365" spans="1:38" x14ac:dyDescent="0.35">
      <c r="A365" s="10">
        <v>37839</v>
      </c>
      <c r="B365" s="2">
        <v>2003</v>
      </c>
      <c r="C365" s="2">
        <f>COUNTIFS(Games[Team],Games[[#This Row],[Team]],Games[Season],Games[[#This Row],[Season]],Games[Date],"&lt;=" &amp; Games[[#This Row],[Date]])</f>
        <v>26</v>
      </c>
      <c r="D365" s="2" t="s">
        <v>23</v>
      </c>
      <c r="E365" s="2" t="s">
        <v>29</v>
      </c>
      <c r="F365" s="1" t="s">
        <v>82</v>
      </c>
      <c r="G365" s="1" t="s">
        <v>71</v>
      </c>
      <c r="H365" s="1" t="s">
        <v>15</v>
      </c>
      <c r="I365" s="2" cm="1">
        <f t="array" ref="I365">IFERROR(
    Games[[#This Row],[Date]]
    - LOOKUP(
        2,
        1/((Games[Team]=Games[[#This Row],[Team]]) * (Games[Date] &lt; Games[[#This Row],[Date]])),
        Games[Date]
    )
    - 1,
Games[[#This Row],[Date]]-$A$2)</f>
        <v>3</v>
      </c>
      <c r="J365" s="2" cm="1">
        <f t="array" ref="J365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65" s="2">
        <f>Games[[#This Row],[DaysOff]]-Games[[#This Row],[OppDaysOff]]</f>
        <v>0</v>
      </c>
      <c r="L365" s="2">
        <f>Games[[#This Row],[OppDaysOff]]-Games[[#This Row],[DaysOff]]</f>
        <v>0</v>
      </c>
      <c r="M365" s="1">
        <f>MAX(-16, MIN(16, Games[[#This Row],[RestDiff]]*8))</f>
        <v>0</v>
      </c>
      <c r="N365" s="1">
        <f>MAX(-16, MIN(16, Games[[#This Row],[OppRestDiff]]*8))</f>
        <v>0</v>
      </c>
      <c r="O365" s="4" cm="1">
        <f t="array" ref="O36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1556.50087079836</v>
      </c>
      <c r="P365" s="4" cm="1">
        <f t="array" ref="P36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1604.261273833318</v>
      </c>
      <c r="Q365" s="4">
        <f>1/(1+10^(((Games[[#This Row],[OppPreGmRate]]+IF(Games[[#This Row],[HomeAway]]="A",HCA,0)+Games[[#This Row],[OppRestAdj]])-(Games[[#This Row],[PreGmRate]]+IF(Games[[#This Row],[HomeAway]]="H",HCA,0)+Games[[#This Row],[RestAdj]]))/400))</f>
        <v>0.55196465508206072</v>
      </c>
      <c r="R365" s="1">
        <v>92</v>
      </c>
      <c r="S365" s="1">
        <v>56</v>
      </c>
      <c r="T365" s="1">
        <v>0</v>
      </c>
      <c r="U365" s="1">
        <f>Games[[#This Row],[PointsFor]]-Games[[#This Row],[PointsAgainst]]</f>
        <v>36</v>
      </c>
      <c r="V365" s="1">
        <f>IF(Games[[#This Row],[MOV]]&gt;0,1,IF(Games[[#This Row],[MOV]]=0,0.5,0))</f>
        <v>1</v>
      </c>
      <c r="W365" s="4">
        <f>((ABS(Games[[#This Row],[MOV]])+5)^0.6)/(12+0.01*(ABS(Games[[#This Row],[PreGmRate]]-Games[[#This Row],[OppPreGmRate]])))*IF(Games[[#This Row],[OT]]=1,0.9,1)</f>
        <v>0.7439420628165756</v>
      </c>
      <c r="X365" s="7" cm="1">
        <f t="array" ref="X36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5" s="9">
        <f>MAX(kmin, kmax - 0.15 * MIN(Games[[#This Row],[GamesPlayed]], 82))</f>
        <v>72.099999999999994</v>
      </c>
      <c r="Z365" s="4">
        <f>Games[[#This Row],[K]]*Games[[#This Row],[POMult]]</f>
        <v>72.099999999999994</v>
      </c>
      <c r="AA365" s="4">
        <f>(Games[[#This Row],[Keff]]*Games[[#This Row],[MOVMult]])*(Games[[#This Row],[Result]]-Games[[#This Row],[ExpectedWin%]])</f>
        <v>24.031819621206409</v>
      </c>
      <c r="AB365" s="4">
        <f>Games[[#This Row],[PreGmRate]]+Games[[#This Row],[RatingChange]]</f>
        <v>1580.5326904195663</v>
      </c>
      <c r="AC365" s="2">
        <f>IF(Games[[#This Row],[Type]]="R",IF(Games[[#This Row],[Result]]&gt;0.5,1,0),0)</f>
        <v>1</v>
      </c>
      <c r="AD365" s="2">
        <f>IF(Games[[#This Row],[Type]]="R",IF(Games[[#This Row],[Result]]&lt;0.5,1,0),0)</f>
        <v>0</v>
      </c>
      <c r="AE365" s="2">
        <f>IF(AND(Games[[#This Row],[Type]]="P",Games[[#This Row],[Round]]=1),IF(Games[[#This Row],[Result]]&gt;0.5,1,0),0)</f>
        <v>0</v>
      </c>
      <c r="AF365" s="2">
        <f>IF(AND(Games[[#This Row],[Type]]="P",Games[[#This Row],[Round]]=1),IF(Games[[#This Row],[Result]]&lt;0.5,1,0),0)</f>
        <v>0</v>
      </c>
      <c r="AG365" s="2">
        <f>IF(AND(Games[[#This Row],[Type]]="P",Games[[#This Row],[Round]]=2),IF(Games[[#This Row],[Result]]&gt;0.5,1,0),0)</f>
        <v>0</v>
      </c>
      <c r="AH365" s="2">
        <f>IF(AND(Games[[#This Row],[Type]]="P",Games[[#This Row],[Round]]=2),IF(Games[[#This Row],[Result]]&lt;0.5,1,0),0)</f>
        <v>0</v>
      </c>
      <c r="AI365" s="2">
        <f>IF(AND(Games[[#This Row],[Type]]="P",Games[[#This Row],[Round]]=3),IF(Games[[#This Row],[Result]]&gt;0.5,1,0),0)</f>
        <v>0</v>
      </c>
      <c r="AJ365" s="2">
        <f>IF(AND(Games[[#This Row],[Type]]="P",Games[[#This Row],[Round]]=3),IF(Games[[#This Row],[Result]]&lt;0.5,1,0),0)</f>
        <v>0</v>
      </c>
      <c r="AK365" s="2">
        <f>IF(AND(Games[[#This Row],[Type]]="P",Games[[#This Row],[Round]]=4),IF(Games[[#This Row],[Result]]&gt;0.5,1,0),0)</f>
        <v>0</v>
      </c>
      <c r="AL365" s="2">
        <f>IF(AND(Games[[#This Row],[Type]]="P",Games[[#This Row],[Round]]=4),IF(Games[[#This Row],[Result]]&lt;0.5,1,0),0)</f>
        <v>0</v>
      </c>
    </row>
    <row r="366" spans="1:38" x14ac:dyDescent="0.35">
      <c r="A366" s="10">
        <v>37839</v>
      </c>
      <c r="B366" s="2">
        <v>2003</v>
      </c>
      <c r="C366" s="2">
        <f>COUNTIFS(Games[Team],Games[[#This Row],[Team]],Games[Season],Games[[#This Row],[Season]],Games[Date],"&lt;=" &amp; Games[[#This Row],[Date]])</f>
        <v>26</v>
      </c>
      <c r="D366" s="2" t="s">
        <v>23</v>
      </c>
      <c r="E366" s="2" t="s">
        <v>29</v>
      </c>
      <c r="F366" s="1" t="s">
        <v>76</v>
      </c>
      <c r="G366" s="1" t="s">
        <v>74</v>
      </c>
      <c r="H366" s="1" t="s">
        <v>16</v>
      </c>
      <c r="I366" s="2" cm="1">
        <f t="array" ref="I366">IFERROR(
    Games[[#This Row],[Date]]
    - LOOKUP(
        2,
        1/((Games[Team]=Games[[#This Row],[Team]]) * (Games[Date] &lt; Games[[#This Row],[Date]])),
        Games[Date]
    )
    - 1,
Games[[#This Row],[Date]]-$A$2)</f>
        <v>0</v>
      </c>
      <c r="J366" s="2" cm="1">
        <f t="array" ref="J36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66" s="2">
        <f>Games[[#This Row],[DaysOff]]-Games[[#This Row],[OppDaysOff]]</f>
        <v>-2</v>
      </c>
      <c r="L366" s="2">
        <f>Games[[#This Row],[OppDaysOff]]-Games[[#This Row],[DaysOff]]</f>
        <v>2</v>
      </c>
      <c r="M366" s="1">
        <f>MAX(-16, MIN(16, Games[[#This Row],[RestDiff]]*8))</f>
        <v>-16</v>
      </c>
      <c r="N366" s="1">
        <f>MAX(-16, MIN(16, Games[[#This Row],[OppRestDiff]]*8))</f>
        <v>16</v>
      </c>
      <c r="O366" s="4" cm="1">
        <f t="array" ref="O36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1613.2122857146635</v>
      </c>
      <c r="P366" s="4" cm="1">
        <f t="array" ref="P36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1379.048980913582</v>
      </c>
      <c r="Q366" s="4">
        <f>1/(1+10^(((Games[[#This Row],[OppPreGmRate]]+IF(Games[[#This Row],[HomeAway]]="A",HCA,0)+Games[[#This Row],[OppRestAdj]])-(Games[[#This Row],[PreGmRate]]+IF(Games[[#This Row],[HomeAway]]="H",HCA,0)+Games[[#This Row],[RestAdj]]))/400))</f>
        <v>0.66378392761256366</v>
      </c>
      <c r="R366" s="1">
        <v>81</v>
      </c>
      <c r="S366" s="1">
        <v>92</v>
      </c>
      <c r="T366" s="1">
        <v>0</v>
      </c>
      <c r="U366" s="1">
        <f>Games[[#This Row],[PointsFor]]-Games[[#This Row],[PointsAgainst]]</f>
        <v>-11</v>
      </c>
      <c r="V366" s="1">
        <f>IF(Games[[#This Row],[MOV]]&gt;0,1,IF(Games[[#This Row],[MOV]]=0,0.5,0))</f>
        <v>0</v>
      </c>
      <c r="W366" s="4">
        <f>((ABS(Games[[#This Row],[MOV]])+5)^0.6)/(12+0.01*(ABS(Games[[#This Row],[PreGmRate]]-Games[[#This Row],[OppPreGmRate]])))*IF(Games[[#This Row],[OT]]=1,0.9,1)</f>
        <v>0.36802166290425625</v>
      </c>
      <c r="X366" s="7" cm="1">
        <f t="array" ref="X36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6" s="9">
        <f>MAX(kmin, kmax - 0.15 * MIN(Games[[#This Row],[GamesPlayed]], 82))</f>
        <v>72.099999999999994</v>
      </c>
      <c r="Z366" s="4">
        <f>Games[[#This Row],[K]]*Games[[#This Row],[POMult]]</f>
        <v>72.099999999999994</v>
      </c>
      <c r="AA366" s="4">
        <f>(Games[[#This Row],[Keff]]*Games[[#This Row],[MOVMult]])*(Games[[#This Row],[Result]]-Games[[#This Row],[ExpectedWin%]])</f>
        <v>-17.613082955619685</v>
      </c>
      <c r="AB366" s="4">
        <f>Games[[#This Row],[PreGmRate]]+Games[[#This Row],[RatingChange]]</f>
        <v>1595.5992027590439</v>
      </c>
      <c r="AC366" s="2">
        <f>IF(Games[[#This Row],[Type]]="R",IF(Games[[#This Row],[Result]]&gt;0.5,1,0),0)</f>
        <v>0</v>
      </c>
      <c r="AD366" s="2">
        <f>IF(Games[[#This Row],[Type]]="R",IF(Games[[#This Row],[Result]]&lt;0.5,1,0),0)</f>
        <v>1</v>
      </c>
      <c r="AE366" s="2">
        <f>IF(AND(Games[[#This Row],[Type]]="P",Games[[#This Row],[Round]]=1),IF(Games[[#This Row],[Result]]&gt;0.5,1,0),0)</f>
        <v>0</v>
      </c>
      <c r="AF366" s="2">
        <f>IF(AND(Games[[#This Row],[Type]]="P",Games[[#This Row],[Round]]=1),IF(Games[[#This Row],[Result]]&lt;0.5,1,0),0)</f>
        <v>0</v>
      </c>
      <c r="AG366" s="2">
        <f>IF(AND(Games[[#This Row],[Type]]="P",Games[[#This Row],[Round]]=2),IF(Games[[#This Row],[Result]]&gt;0.5,1,0),0)</f>
        <v>0</v>
      </c>
      <c r="AH366" s="2">
        <f>IF(AND(Games[[#This Row],[Type]]="P",Games[[#This Row],[Round]]=2),IF(Games[[#This Row],[Result]]&lt;0.5,1,0),0)</f>
        <v>0</v>
      </c>
      <c r="AI366" s="2">
        <f>IF(AND(Games[[#This Row],[Type]]="P",Games[[#This Row],[Round]]=3),IF(Games[[#This Row],[Result]]&gt;0.5,1,0),0)</f>
        <v>0</v>
      </c>
      <c r="AJ366" s="2">
        <f>IF(AND(Games[[#This Row],[Type]]="P",Games[[#This Row],[Round]]=3),IF(Games[[#This Row],[Result]]&lt;0.5,1,0),0)</f>
        <v>0</v>
      </c>
      <c r="AK366" s="2">
        <f>IF(AND(Games[[#This Row],[Type]]="P",Games[[#This Row],[Round]]=4),IF(Games[[#This Row],[Result]]&gt;0.5,1,0),0)</f>
        <v>0</v>
      </c>
      <c r="AL366" s="2">
        <f>IF(AND(Games[[#This Row],[Type]]="P",Games[[#This Row],[Round]]=4),IF(Games[[#This Row],[Result]]&lt;0.5,1,0),0)</f>
        <v>0</v>
      </c>
    </row>
    <row r="367" spans="1:38" x14ac:dyDescent="0.35">
      <c r="A367" s="10">
        <v>37839</v>
      </c>
      <c r="B367" s="2">
        <v>2003</v>
      </c>
      <c r="C367" s="2">
        <f>COUNTIFS(Games[Team],Games[[#This Row],[Team]],Games[Season],Games[[#This Row],[Season]],Games[Date],"&lt;=" &amp; Games[[#This Row],[Date]])</f>
        <v>27</v>
      </c>
      <c r="D367" s="2" t="s">
        <v>23</v>
      </c>
      <c r="E367" s="2" t="s">
        <v>29</v>
      </c>
      <c r="F367" s="1" t="s">
        <v>74</v>
      </c>
      <c r="G367" s="1" t="s">
        <v>76</v>
      </c>
      <c r="H367" s="1" t="s">
        <v>15</v>
      </c>
      <c r="I367" s="2" cm="1">
        <f t="array" ref="I367">IFERROR(
    Games[[#This Row],[Date]]
    - LOOKUP(
        2,
        1/((Games[Team]=Games[[#This Row],[Team]]) * (Games[Date] &lt; Games[[#This Row],[Date]])),
        Games[Date]
    )
    - 1,
Games[[#This Row],[Date]]-$A$2)</f>
        <v>2</v>
      </c>
      <c r="J367" s="2" cm="1">
        <f t="array" ref="J367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67" s="2">
        <f>Games[[#This Row],[DaysOff]]-Games[[#This Row],[OppDaysOff]]</f>
        <v>2</v>
      </c>
      <c r="L367" s="2">
        <f>Games[[#This Row],[OppDaysOff]]-Games[[#This Row],[DaysOff]]</f>
        <v>-2</v>
      </c>
      <c r="M367" s="1">
        <f>MAX(-16, MIN(16, Games[[#This Row],[RestDiff]]*8))</f>
        <v>16</v>
      </c>
      <c r="N367" s="1">
        <f>MAX(-16, MIN(16, Games[[#This Row],[OppRestDiff]]*8))</f>
        <v>-16</v>
      </c>
      <c r="O367" s="4" cm="1">
        <f t="array" ref="O36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1379.048980913582</v>
      </c>
      <c r="P367" s="4" cm="1">
        <f t="array" ref="P36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1613.2122857146635</v>
      </c>
      <c r="Q367" s="4">
        <f>1/(1+10^(((Games[[#This Row],[OppPreGmRate]]+IF(Games[[#This Row],[HomeAway]]="A",HCA,0)+Games[[#This Row],[OppRestAdj]])-(Games[[#This Row],[PreGmRate]]+IF(Games[[#This Row],[HomeAway]]="H",HCA,0)+Games[[#This Row],[RestAdj]]))/400))</f>
        <v>0.33621607238743639</v>
      </c>
      <c r="R367" s="1">
        <v>92</v>
      </c>
      <c r="S367" s="1">
        <v>81</v>
      </c>
      <c r="T367" s="1">
        <v>0</v>
      </c>
      <c r="U367" s="1">
        <f>Games[[#This Row],[PointsFor]]-Games[[#This Row],[PointsAgainst]]</f>
        <v>11</v>
      </c>
      <c r="V367" s="1">
        <f>IF(Games[[#This Row],[MOV]]&gt;0,1,IF(Games[[#This Row],[MOV]]=0,0.5,0))</f>
        <v>1</v>
      </c>
      <c r="W367" s="4">
        <f>((ABS(Games[[#This Row],[MOV]])+5)^0.6)/(12+0.01*(ABS(Games[[#This Row],[PreGmRate]]-Games[[#This Row],[OppPreGmRate]])))*IF(Games[[#This Row],[OT]]=1,0.9,1)</f>
        <v>0.36802166290425625</v>
      </c>
      <c r="X367" s="7" cm="1">
        <f t="array" ref="X36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7" s="9">
        <f>MAX(kmin, kmax - 0.15 * MIN(Games[[#This Row],[GamesPlayed]], 82))</f>
        <v>71.95</v>
      </c>
      <c r="Z367" s="4">
        <f>Games[[#This Row],[K]]*Games[[#This Row],[POMult]]</f>
        <v>71.95</v>
      </c>
      <c r="AA367" s="4">
        <f>(Games[[#This Row],[Keff]]*Games[[#This Row],[MOVMult]])*(Games[[#This Row],[Result]]-Games[[#This Row],[ExpectedWin%]])</f>
        <v>17.576439925892323</v>
      </c>
      <c r="AB367" s="4">
        <f>Games[[#This Row],[PreGmRate]]+Games[[#This Row],[RatingChange]]</f>
        <v>1396.6254208394744</v>
      </c>
      <c r="AC367" s="2">
        <f>IF(Games[[#This Row],[Type]]="R",IF(Games[[#This Row],[Result]]&gt;0.5,1,0),0)</f>
        <v>1</v>
      </c>
      <c r="AD367" s="2">
        <f>IF(Games[[#This Row],[Type]]="R",IF(Games[[#This Row],[Result]]&lt;0.5,1,0),0)</f>
        <v>0</v>
      </c>
      <c r="AE367" s="2">
        <f>IF(AND(Games[[#This Row],[Type]]="P",Games[[#This Row],[Round]]=1),IF(Games[[#This Row],[Result]]&gt;0.5,1,0),0)</f>
        <v>0</v>
      </c>
      <c r="AF367" s="2">
        <f>IF(AND(Games[[#This Row],[Type]]="P",Games[[#This Row],[Round]]=1),IF(Games[[#This Row],[Result]]&lt;0.5,1,0),0)</f>
        <v>0</v>
      </c>
      <c r="AG367" s="2">
        <f>IF(AND(Games[[#This Row],[Type]]="P",Games[[#This Row],[Round]]=2),IF(Games[[#This Row],[Result]]&gt;0.5,1,0),0)</f>
        <v>0</v>
      </c>
      <c r="AH367" s="2">
        <f>IF(AND(Games[[#This Row],[Type]]="P",Games[[#This Row],[Round]]=2),IF(Games[[#This Row],[Result]]&lt;0.5,1,0),0)</f>
        <v>0</v>
      </c>
      <c r="AI367" s="2">
        <f>IF(AND(Games[[#This Row],[Type]]="P",Games[[#This Row],[Round]]=3),IF(Games[[#This Row],[Result]]&gt;0.5,1,0),0)</f>
        <v>0</v>
      </c>
      <c r="AJ367" s="2">
        <f>IF(AND(Games[[#This Row],[Type]]="P",Games[[#This Row],[Round]]=3),IF(Games[[#This Row],[Result]]&lt;0.5,1,0),0)</f>
        <v>0</v>
      </c>
      <c r="AK367" s="2">
        <f>IF(AND(Games[[#This Row],[Type]]="P",Games[[#This Row],[Round]]=4),IF(Games[[#This Row],[Result]]&gt;0.5,1,0),0)</f>
        <v>0</v>
      </c>
      <c r="AL367" s="2">
        <f>IF(AND(Games[[#This Row],[Type]]="P",Games[[#This Row],[Round]]=4),IF(Games[[#This Row],[Result]]&lt;0.5,1,0),0)</f>
        <v>0</v>
      </c>
    </row>
    <row r="368" spans="1:38" x14ac:dyDescent="0.35">
      <c r="A368" s="10">
        <v>37840</v>
      </c>
      <c r="B368" s="2">
        <v>2003</v>
      </c>
      <c r="C368" s="2">
        <f>COUNTIFS(Games[Team],Games[[#This Row],[Team]],Games[Season],Games[[#This Row],[Season]],Games[Date],"&lt;=" &amp; Games[[#This Row],[Date]])</f>
        <v>25</v>
      </c>
      <c r="D368" s="2" t="s">
        <v>23</v>
      </c>
      <c r="E368" s="2" t="s">
        <v>29</v>
      </c>
      <c r="F368" s="1" t="s">
        <v>66</v>
      </c>
      <c r="G368" s="1" t="s">
        <v>64</v>
      </c>
      <c r="H368" s="1" t="s">
        <v>16</v>
      </c>
      <c r="I368" s="2" cm="1">
        <f t="array" ref="I368">IFERROR(
    Games[[#This Row],[Date]]
    - LOOKUP(
        2,
        1/((Games[Team]=Games[[#This Row],[Team]]) * (Games[Date] &lt; Games[[#This Row],[Date]])),
        Games[Date]
    )
    - 1,
Games[[#This Row],[Date]]-$A$2)</f>
        <v>1</v>
      </c>
      <c r="J368" s="2" cm="1">
        <f t="array" ref="J368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68" s="2">
        <f>Games[[#This Row],[DaysOff]]-Games[[#This Row],[OppDaysOff]]</f>
        <v>-2</v>
      </c>
      <c r="L368" s="2">
        <f>Games[[#This Row],[OppDaysOff]]-Games[[#This Row],[DaysOff]]</f>
        <v>2</v>
      </c>
      <c r="M368" s="1">
        <f>MAX(-16, MIN(16, Games[[#This Row],[RestDiff]]*8))</f>
        <v>-16</v>
      </c>
      <c r="N368" s="1">
        <f>MAX(-16, MIN(16, Games[[#This Row],[OppRestDiff]]*8))</f>
        <v>16</v>
      </c>
      <c r="O368" s="4" cm="1">
        <f t="array" ref="O36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1481.9018442459694</v>
      </c>
      <c r="P368" s="4" cm="1">
        <f t="array" ref="P36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1516.383867979411</v>
      </c>
      <c r="Q368" s="4">
        <f>1/(1+10^(((Games[[#This Row],[OppPreGmRate]]+IF(Games[[#This Row],[HomeAway]]="A",HCA,0)+Games[[#This Row],[OppRestAdj]])-(Games[[#This Row],[PreGmRate]]+IF(Games[[#This Row],[HomeAway]]="H",HCA,0)+Games[[#This Row],[RestAdj]]))/400))</f>
        <v>0.29603641438137301</v>
      </c>
      <c r="R368" s="1">
        <v>54</v>
      </c>
      <c r="S368" s="1">
        <v>65</v>
      </c>
      <c r="T368" s="1">
        <v>0</v>
      </c>
      <c r="U368" s="1">
        <f>Games[[#This Row],[PointsFor]]-Games[[#This Row],[PointsAgainst]]</f>
        <v>-11</v>
      </c>
      <c r="V368" s="1">
        <f>IF(Games[[#This Row],[MOV]]&gt;0,1,IF(Games[[#This Row],[MOV]]=0,0.5,0))</f>
        <v>0</v>
      </c>
      <c r="W368" s="4">
        <f>((ABS(Games[[#This Row],[MOV]])+5)^0.6)/(12+0.01*(ABS(Games[[#This Row],[PreGmRate]]-Games[[#This Row],[OppPreGmRate]])))*IF(Games[[#This Row],[OT]]=1,0.9,1)</f>
        <v>0.42755030382129311</v>
      </c>
      <c r="X368" s="7" cm="1">
        <f t="array" ref="X36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8" s="9">
        <f>MAX(kmin, kmax - 0.15 * MIN(Games[[#This Row],[GamesPlayed]], 82))</f>
        <v>72.25</v>
      </c>
      <c r="Z368" s="4">
        <f>Games[[#This Row],[K]]*Games[[#This Row],[POMult]]</f>
        <v>72.25</v>
      </c>
      <c r="AA368" s="4">
        <f>(Games[[#This Row],[Keff]]*Games[[#This Row],[MOVMult]])*(Games[[#This Row],[Result]]-Games[[#This Row],[ExpectedWin%]])</f>
        <v>-9.1447156563141334</v>
      </c>
      <c r="AB368" s="4">
        <f>Games[[#This Row],[PreGmRate]]+Games[[#This Row],[RatingChange]]</f>
        <v>1472.7571285896552</v>
      </c>
      <c r="AC368" s="2">
        <f>IF(Games[[#This Row],[Type]]="R",IF(Games[[#This Row],[Result]]&gt;0.5,1,0),0)</f>
        <v>0</v>
      </c>
      <c r="AD368" s="2">
        <f>IF(Games[[#This Row],[Type]]="R",IF(Games[[#This Row],[Result]]&lt;0.5,1,0),0)</f>
        <v>1</v>
      </c>
      <c r="AE368" s="2">
        <f>IF(AND(Games[[#This Row],[Type]]="P",Games[[#This Row],[Round]]=1),IF(Games[[#This Row],[Result]]&gt;0.5,1,0),0)</f>
        <v>0</v>
      </c>
      <c r="AF368" s="2">
        <f>IF(AND(Games[[#This Row],[Type]]="P",Games[[#This Row],[Round]]=1),IF(Games[[#This Row],[Result]]&lt;0.5,1,0),0)</f>
        <v>0</v>
      </c>
      <c r="AG368" s="2">
        <f>IF(AND(Games[[#This Row],[Type]]="P",Games[[#This Row],[Round]]=2),IF(Games[[#This Row],[Result]]&gt;0.5,1,0),0)</f>
        <v>0</v>
      </c>
      <c r="AH368" s="2">
        <f>IF(AND(Games[[#This Row],[Type]]="P",Games[[#This Row],[Round]]=2),IF(Games[[#This Row],[Result]]&lt;0.5,1,0),0)</f>
        <v>0</v>
      </c>
      <c r="AI368" s="2">
        <f>IF(AND(Games[[#This Row],[Type]]="P",Games[[#This Row],[Round]]=3),IF(Games[[#This Row],[Result]]&gt;0.5,1,0),0)</f>
        <v>0</v>
      </c>
      <c r="AJ368" s="2">
        <f>IF(AND(Games[[#This Row],[Type]]="P",Games[[#This Row],[Round]]=3),IF(Games[[#This Row],[Result]]&lt;0.5,1,0),0)</f>
        <v>0</v>
      </c>
      <c r="AK368" s="2">
        <f>IF(AND(Games[[#This Row],[Type]]="P",Games[[#This Row],[Round]]=4),IF(Games[[#This Row],[Result]]&gt;0.5,1,0),0)</f>
        <v>0</v>
      </c>
      <c r="AL368" s="2">
        <f>IF(AND(Games[[#This Row],[Type]]="P",Games[[#This Row],[Round]]=4),IF(Games[[#This Row],[Result]]&lt;0.5,1,0),0)</f>
        <v>0</v>
      </c>
    </row>
    <row r="369" spans="1:38" x14ac:dyDescent="0.35">
      <c r="A369" s="10">
        <v>37840</v>
      </c>
      <c r="B369" s="2">
        <v>2003</v>
      </c>
      <c r="C369" s="2">
        <f>COUNTIFS(Games[Team],Games[[#This Row],[Team]],Games[Season],Games[[#This Row],[Season]],Games[Date],"&lt;=" &amp; Games[[#This Row],[Date]])</f>
        <v>27</v>
      </c>
      <c r="D369" s="2" t="s">
        <v>23</v>
      </c>
      <c r="E369" s="2" t="s">
        <v>29</v>
      </c>
      <c r="F369" s="1" t="s">
        <v>64</v>
      </c>
      <c r="G369" s="1" t="s">
        <v>66</v>
      </c>
      <c r="H369" s="1" t="s">
        <v>15</v>
      </c>
      <c r="I369" s="2" cm="1">
        <f t="array" ref="I369">IFERROR(
    Games[[#This Row],[Date]]
    - LOOKUP(
        2,
        1/((Games[Team]=Games[[#This Row],[Team]]) * (Games[Date] &lt; Games[[#This Row],[Date]])),
        Games[Date]
    )
    - 1,
Games[[#This Row],[Date]]-$A$2)</f>
        <v>3</v>
      </c>
      <c r="J369" s="2" cm="1">
        <f t="array" ref="J36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69" s="2">
        <f>Games[[#This Row],[DaysOff]]-Games[[#This Row],[OppDaysOff]]</f>
        <v>2</v>
      </c>
      <c r="L369" s="2">
        <f>Games[[#This Row],[OppDaysOff]]-Games[[#This Row],[DaysOff]]</f>
        <v>-2</v>
      </c>
      <c r="M369" s="1">
        <f>MAX(-16, MIN(16, Games[[#This Row],[RestDiff]]*8))</f>
        <v>16</v>
      </c>
      <c r="N369" s="1">
        <f>MAX(-16, MIN(16, Games[[#This Row],[OppRestDiff]]*8))</f>
        <v>-16</v>
      </c>
      <c r="O369" s="4" cm="1">
        <f t="array" ref="O36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1516.383867979411</v>
      </c>
      <c r="P369" s="4" cm="1">
        <f t="array" ref="P36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1481.9018442459694</v>
      </c>
      <c r="Q369" s="4">
        <f>1/(1+10^(((Games[[#This Row],[OppPreGmRate]]+IF(Games[[#This Row],[HomeAway]]="A",HCA,0)+Games[[#This Row],[OppRestAdj]])-(Games[[#This Row],[PreGmRate]]+IF(Games[[#This Row],[HomeAway]]="H",HCA,0)+Games[[#This Row],[RestAdj]]))/400))</f>
        <v>0.70396358561862693</v>
      </c>
      <c r="R369" s="1">
        <v>65</v>
      </c>
      <c r="S369" s="1">
        <v>54</v>
      </c>
      <c r="T369" s="1">
        <v>0</v>
      </c>
      <c r="U369" s="1">
        <f>Games[[#This Row],[PointsFor]]-Games[[#This Row],[PointsAgainst]]</f>
        <v>11</v>
      </c>
      <c r="V369" s="1">
        <f>IF(Games[[#This Row],[MOV]]&gt;0,1,IF(Games[[#This Row],[MOV]]=0,0.5,0))</f>
        <v>1</v>
      </c>
      <c r="W369" s="4">
        <f>((ABS(Games[[#This Row],[MOV]])+5)^0.6)/(12+0.01*(ABS(Games[[#This Row],[PreGmRate]]-Games[[#This Row],[OppPreGmRate]])))*IF(Games[[#This Row],[OT]]=1,0.9,1)</f>
        <v>0.42755030382129311</v>
      </c>
      <c r="X369" s="7" cm="1">
        <f t="array" ref="X36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9" s="9">
        <f>MAX(kmin, kmax - 0.15 * MIN(Games[[#This Row],[GamesPlayed]], 82))</f>
        <v>71.95</v>
      </c>
      <c r="Z369" s="4">
        <f>Games[[#This Row],[K]]*Games[[#This Row],[POMult]]</f>
        <v>71.95</v>
      </c>
      <c r="AA369" s="4">
        <f>(Games[[#This Row],[Keff]]*Games[[#This Row],[MOVMult]])*(Games[[#This Row],[Result]]-Games[[#This Row],[ExpectedWin%]])</f>
        <v>9.1067445186408591</v>
      </c>
      <c r="AB369" s="4">
        <f>Games[[#This Row],[PreGmRate]]+Games[[#This Row],[RatingChange]]</f>
        <v>1525.4906124980519</v>
      </c>
      <c r="AC369" s="2">
        <f>IF(Games[[#This Row],[Type]]="R",IF(Games[[#This Row],[Result]]&gt;0.5,1,0),0)</f>
        <v>1</v>
      </c>
      <c r="AD369" s="2">
        <f>IF(Games[[#This Row],[Type]]="R",IF(Games[[#This Row],[Result]]&lt;0.5,1,0),0)</f>
        <v>0</v>
      </c>
      <c r="AE369" s="2">
        <f>IF(AND(Games[[#This Row],[Type]]="P",Games[[#This Row],[Round]]=1),IF(Games[[#This Row],[Result]]&gt;0.5,1,0),0)</f>
        <v>0</v>
      </c>
      <c r="AF369" s="2">
        <f>IF(AND(Games[[#This Row],[Type]]="P",Games[[#This Row],[Round]]=1),IF(Games[[#This Row],[Result]]&lt;0.5,1,0),0)</f>
        <v>0</v>
      </c>
      <c r="AG369" s="2">
        <f>IF(AND(Games[[#This Row],[Type]]="P",Games[[#This Row],[Round]]=2),IF(Games[[#This Row],[Result]]&gt;0.5,1,0),0)</f>
        <v>0</v>
      </c>
      <c r="AH369" s="2">
        <f>IF(AND(Games[[#This Row],[Type]]="P",Games[[#This Row],[Round]]=2),IF(Games[[#This Row],[Result]]&lt;0.5,1,0),0)</f>
        <v>0</v>
      </c>
      <c r="AI369" s="2">
        <f>IF(AND(Games[[#This Row],[Type]]="P",Games[[#This Row],[Round]]=3),IF(Games[[#This Row],[Result]]&gt;0.5,1,0),0)</f>
        <v>0</v>
      </c>
      <c r="AJ369" s="2">
        <f>IF(AND(Games[[#This Row],[Type]]="P",Games[[#This Row],[Round]]=3),IF(Games[[#This Row],[Result]]&lt;0.5,1,0),0)</f>
        <v>0</v>
      </c>
      <c r="AK369" s="2">
        <f>IF(AND(Games[[#This Row],[Type]]="P",Games[[#This Row],[Round]]=4),IF(Games[[#This Row],[Result]]&gt;0.5,1,0),0)</f>
        <v>0</v>
      </c>
      <c r="AL369" s="2">
        <f>IF(AND(Games[[#This Row],[Type]]="P",Games[[#This Row],[Round]]=4),IF(Games[[#This Row],[Result]]&lt;0.5,1,0),0)</f>
        <v>0</v>
      </c>
    </row>
    <row r="370" spans="1:38" x14ac:dyDescent="0.35">
      <c r="A370" s="10">
        <v>37840</v>
      </c>
      <c r="B370" s="2">
        <v>2003</v>
      </c>
      <c r="C370" s="2">
        <f>COUNTIFS(Games[Team],Games[[#This Row],[Team]],Games[Season],Games[[#This Row],[Season]],Games[Date],"&lt;=" &amp; Games[[#This Row],[Date]])</f>
        <v>26</v>
      </c>
      <c r="D370" s="2" t="s">
        <v>23</v>
      </c>
      <c r="E370" s="2" t="s">
        <v>29</v>
      </c>
      <c r="F370" s="1" t="s">
        <v>2</v>
      </c>
      <c r="G370" s="1" t="s">
        <v>80</v>
      </c>
      <c r="H370" s="1" t="s">
        <v>16</v>
      </c>
      <c r="I370" s="2" cm="1">
        <f t="array" ref="I370">IFERROR(
    Games[[#This Row],[Date]]
    - LOOKUP(
        2,
        1/((Games[Team]=Games[[#This Row],[Team]]) * (Games[Date] &lt; Games[[#This Row],[Date]])),
        Games[Date]
    )
    - 1,
Games[[#This Row],[Date]]-$A$2)</f>
        <v>1</v>
      </c>
      <c r="J370" s="2" cm="1">
        <f t="array" ref="J370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70" s="2">
        <f>Games[[#This Row],[DaysOff]]-Games[[#This Row],[OppDaysOff]]</f>
        <v>-2</v>
      </c>
      <c r="L370" s="2">
        <f>Games[[#This Row],[OppDaysOff]]-Games[[#This Row],[DaysOff]]</f>
        <v>2</v>
      </c>
      <c r="M370" s="1">
        <f>MAX(-16, MIN(16, Games[[#This Row],[RestDiff]]*8))</f>
        <v>-16</v>
      </c>
      <c r="N370" s="1">
        <f>MAX(-16, MIN(16, Games[[#This Row],[OppRestDiff]]*8))</f>
        <v>16</v>
      </c>
      <c r="O370" s="4" cm="1">
        <f t="array" ref="O37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1590.211585305228</v>
      </c>
      <c r="P370" s="4" cm="1">
        <f t="array" ref="P37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1508.3424250676999</v>
      </c>
      <c r="Q370" s="4">
        <f>1/(1+10^(((Games[[#This Row],[OppPreGmRate]]+IF(Games[[#This Row],[HomeAway]]="A",HCA,0)+Games[[#This Row],[OppRestAdj]])-(Games[[#This Row],[PreGmRate]]+IF(Games[[#This Row],[HomeAway]]="H",HCA,0)+Games[[#This Row],[RestAdj]]))/400))</f>
        <v>0.45103916919906012</v>
      </c>
      <c r="R370" s="1">
        <v>68</v>
      </c>
      <c r="S370" s="1">
        <v>55</v>
      </c>
      <c r="T370" s="1">
        <v>0</v>
      </c>
      <c r="U370" s="1">
        <f>Games[[#This Row],[PointsFor]]-Games[[#This Row],[PointsAgainst]]</f>
        <v>13</v>
      </c>
      <c r="V370" s="1">
        <f>IF(Games[[#This Row],[MOV]]&gt;0,1,IF(Games[[#This Row],[MOV]]=0,0.5,0))</f>
        <v>1</v>
      </c>
      <c r="W370" s="4">
        <f>((ABS(Games[[#This Row],[MOV]])+5)^0.6)/(12+0.01*(ABS(Games[[#This Row],[PreGmRate]]-Games[[#This Row],[OppPreGmRate]])))*IF(Games[[#This Row],[OT]]=1,0.9,1)</f>
        <v>0.44189572879027561</v>
      </c>
      <c r="X370" s="7" cm="1">
        <f t="array" ref="X37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0" s="9">
        <f>MAX(kmin, kmax - 0.15 * MIN(Games[[#This Row],[GamesPlayed]], 82))</f>
        <v>72.099999999999994</v>
      </c>
      <c r="Z370" s="4">
        <f>Games[[#This Row],[K]]*Games[[#This Row],[POMult]]</f>
        <v>72.099999999999994</v>
      </c>
      <c r="AA370" s="4">
        <f>(Games[[#This Row],[Keff]]*Games[[#This Row],[MOVMult]])*(Games[[#This Row],[Result]]-Games[[#This Row],[ExpectedWin%]])</f>
        <v>17.490266485735358</v>
      </c>
      <c r="AB370" s="4">
        <f>Games[[#This Row],[PreGmRate]]+Games[[#This Row],[RatingChange]]</f>
        <v>1607.7018517909635</v>
      </c>
      <c r="AC370" s="2">
        <f>IF(Games[[#This Row],[Type]]="R",IF(Games[[#This Row],[Result]]&gt;0.5,1,0),0)</f>
        <v>1</v>
      </c>
      <c r="AD370" s="2">
        <f>IF(Games[[#This Row],[Type]]="R",IF(Games[[#This Row],[Result]]&lt;0.5,1,0),0)</f>
        <v>0</v>
      </c>
      <c r="AE370" s="2">
        <f>IF(AND(Games[[#This Row],[Type]]="P",Games[[#This Row],[Round]]=1),IF(Games[[#This Row],[Result]]&gt;0.5,1,0),0)</f>
        <v>0</v>
      </c>
      <c r="AF370" s="2">
        <f>IF(AND(Games[[#This Row],[Type]]="P",Games[[#This Row],[Round]]=1),IF(Games[[#This Row],[Result]]&lt;0.5,1,0),0)</f>
        <v>0</v>
      </c>
      <c r="AG370" s="2">
        <f>IF(AND(Games[[#This Row],[Type]]="P",Games[[#This Row],[Round]]=2),IF(Games[[#This Row],[Result]]&gt;0.5,1,0),0)</f>
        <v>0</v>
      </c>
      <c r="AH370" s="2">
        <f>IF(AND(Games[[#This Row],[Type]]="P",Games[[#This Row],[Round]]=2),IF(Games[[#This Row],[Result]]&lt;0.5,1,0),0)</f>
        <v>0</v>
      </c>
      <c r="AI370" s="2">
        <f>IF(AND(Games[[#This Row],[Type]]="P",Games[[#This Row],[Round]]=3),IF(Games[[#This Row],[Result]]&gt;0.5,1,0),0)</f>
        <v>0</v>
      </c>
      <c r="AJ370" s="2">
        <f>IF(AND(Games[[#This Row],[Type]]="P",Games[[#This Row],[Round]]=3),IF(Games[[#This Row],[Result]]&lt;0.5,1,0),0)</f>
        <v>0</v>
      </c>
      <c r="AK370" s="2">
        <f>IF(AND(Games[[#This Row],[Type]]="P",Games[[#This Row],[Round]]=4),IF(Games[[#This Row],[Result]]&gt;0.5,1,0),0)</f>
        <v>0</v>
      </c>
      <c r="AL370" s="2">
        <f>IF(AND(Games[[#This Row],[Type]]="P",Games[[#This Row],[Round]]=4),IF(Games[[#This Row],[Result]]&lt;0.5,1,0),0)</f>
        <v>0</v>
      </c>
    </row>
    <row r="371" spans="1:38" x14ac:dyDescent="0.35">
      <c r="A371" s="10">
        <v>37840</v>
      </c>
      <c r="B371" s="2">
        <v>2003</v>
      </c>
      <c r="C371" s="2">
        <f>COUNTIFS(Games[Team],Games[[#This Row],[Team]],Games[Season],Games[[#This Row],[Season]],Games[Date],"&lt;=" &amp; Games[[#This Row],[Date]])</f>
        <v>26</v>
      </c>
      <c r="D371" s="2" t="s">
        <v>23</v>
      </c>
      <c r="E371" s="2" t="s">
        <v>29</v>
      </c>
      <c r="F371" s="1" t="s">
        <v>80</v>
      </c>
      <c r="G371" s="1" t="s">
        <v>2</v>
      </c>
      <c r="H371" s="1" t="s">
        <v>15</v>
      </c>
      <c r="I371" s="2" cm="1">
        <f t="array" ref="I371">IFERROR(
    Games[[#This Row],[Date]]
    - LOOKUP(
        2,
        1/((Games[Team]=Games[[#This Row],[Team]]) * (Games[Date] &lt; Games[[#This Row],[Date]])),
        Games[Date]
    )
    - 1,
Games[[#This Row],[Date]]-$A$2)</f>
        <v>3</v>
      </c>
      <c r="J371" s="2" cm="1">
        <f t="array" ref="J37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71" s="2">
        <f>Games[[#This Row],[DaysOff]]-Games[[#This Row],[OppDaysOff]]</f>
        <v>2</v>
      </c>
      <c r="L371" s="2">
        <f>Games[[#This Row],[OppDaysOff]]-Games[[#This Row],[DaysOff]]</f>
        <v>-2</v>
      </c>
      <c r="M371" s="1">
        <f>MAX(-16, MIN(16, Games[[#This Row],[RestDiff]]*8))</f>
        <v>16</v>
      </c>
      <c r="N371" s="1">
        <f>MAX(-16, MIN(16, Games[[#This Row],[OppRestDiff]]*8))</f>
        <v>-16</v>
      </c>
      <c r="O371" s="4" cm="1">
        <f t="array" ref="O37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1508.3424250676999</v>
      </c>
      <c r="P371" s="4" cm="1">
        <f t="array" ref="P37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1590.211585305228</v>
      </c>
      <c r="Q371" s="4">
        <f>1/(1+10^(((Games[[#This Row],[OppPreGmRate]]+IF(Games[[#This Row],[HomeAway]]="A",HCA,0)+Games[[#This Row],[OppRestAdj]])-(Games[[#This Row],[PreGmRate]]+IF(Games[[#This Row],[HomeAway]]="H",HCA,0)+Games[[#This Row],[RestAdj]]))/400))</f>
        <v>0.54896083080093983</v>
      </c>
      <c r="R371" s="1">
        <v>55</v>
      </c>
      <c r="S371" s="1">
        <v>68</v>
      </c>
      <c r="T371" s="1">
        <v>0</v>
      </c>
      <c r="U371" s="1">
        <f>Games[[#This Row],[PointsFor]]-Games[[#This Row],[PointsAgainst]]</f>
        <v>-13</v>
      </c>
      <c r="V371" s="1">
        <f>IF(Games[[#This Row],[MOV]]&gt;0,1,IF(Games[[#This Row],[MOV]]=0,0.5,0))</f>
        <v>0</v>
      </c>
      <c r="W371" s="4">
        <f>((ABS(Games[[#This Row],[MOV]])+5)^0.6)/(12+0.01*(ABS(Games[[#This Row],[PreGmRate]]-Games[[#This Row],[OppPreGmRate]])))*IF(Games[[#This Row],[OT]]=1,0.9,1)</f>
        <v>0.44189572879027561</v>
      </c>
      <c r="X371" s="7" cm="1">
        <f t="array" ref="X37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1" s="9">
        <f>MAX(kmin, kmax - 0.15 * MIN(Games[[#This Row],[GamesPlayed]], 82))</f>
        <v>72.099999999999994</v>
      </c>
      <c r="Z371" s="4">
        <f>Games[[#This Row],[K]]*Games[[#This Row],[POMult]]</f>
        <v>72.099999999999994</v>
      </c>
      <c r="AA371" s="4">
        <f>(Games[[#This Row],[Keff]]*Games[[#This Row],[MOVMult]])*(Games[[#This Row],[Result]]-Games[[#This Row],[ExpectedWin%]])</f>
        <v>-17.490266485735354</v>
      </c>
      <c r="AB371" s="4">
        <f>Games[[#This Row],[PreGmRate]]+Games[[#This Row],[RatingChange]]</f>
        <v>1490.8521585819644</v>
      </c>
      <c r="AC371" s="2">
        <f>IF(Games[[#This Row],[Type]]="R",IF(Games[[#This Row],[Result]]&gt;0.5,1,0),0)</f>
        <v>0</v>
      </c>
      <c r="AD371" s="2">
        <f>IF(Games[[#This Row],[Type]]="R",IF(Games[[#This Row],[Result]]&lt;0.5,1,0),0)</f>
        <v>1</v>
      </c>
      <c r="AE371" s="2">
        <f>IF(AND(Games[[#This Row],[Type]]="P",Games[[#This Row],[Round]]=1),IF(Games[[#This Row],[Result]]&gt;0.5,1,0),0)</f>
        <v>0</v>
      </c>
      <c r="AF371" s="2">
        <f>IF(AND(Games[[#This Row],[Type]]="P",Games[[#This Row],[Round]]=1),IF(Games[[#This Row],[Result]]&lt;0.5,1,0),0)</f>
        <v>0</v>
      </c>
      <c r="AG371" s="2">
        <f>IF(AND(Games[[#This Row],[Type]]="P",Games[[#This Row],[Round]]=2),IF(Games[[#This Row],[Result]]&gt;0.5,1,0),0)</f>
        <v>0</v>
      </c>
      <c r="AH371" s="2">
        <f>IF(AND(Games[[#This Row],[Type]]="P",Games[[#This Row],[Round]]=2),IF(Games[[#This Row],[Result]]&lt;0.5,1,0),0)</f>
        <v>0</v>
      </c>
      <c r="AI371" s="2">
        <f>IF(AND(Games[[#This Row],[Type]]="P",Games[[#This Row],[Round]]=3),IF(Games[[#This Row],[Result]]&gt;0.5,1,0),0)</f>
        <v>0</v>
      </c>
      <c r="AJ371" s="2">
        <f>IF(AND(Games[[#This Row],[Type]]="P",Games[[#This Row],[Round]]=3),IF(Games[[#This Row],[Result]]&lt;0.5,1,0),0)</f>
        <v>0</v>
      </c>
      <c r="AK371" s="2">
        <f>IF(AND(Games[[#This Row],[Type]]="P",Games[[#This Row],[Round]]=4),IF(Games[[#This Row],[Result]]&gt;0.5,1,0),0)</f>
        <v>0</v>
      </c>
      <c r="AL371" s="2">
        <f>IF(AND(Games[[#This Row],[Type]]="P",Games[[#This Row],[Round]]=4),IF(Games[[#This Row],[Result]]&lt;0.5,1,0),0)</f>
        <v>0</v>
      </c>
    </row>
    <row r="372" spans="1:38" x14ac:dyDescent="0.35">
      <c r="A372" s="10">
        <v>37840</v>
      </c>
      <c r="B372" s="2">
        <v>2003</v>
      </c>
      <c r="C372" s="2">
        <f>COUNTIFS(Games[Team],Games[[#This Row],[Team]],Games[Season],Games[[#This Row],[Season]],Games[Date],"&lt;=" &amp; Games[[#This Row],[Date]])</f>
        <v>28</v>
      </c>
      <c r="D372" s="2" t="s">
        <v>23</v>
      </c>
      <c r="E372" s="2" t="s">
        <v>29</v>
      </c>
      <c r="F372" s="1" t="s">
        <v>45</v>
      </c>
      <c r="G372" s="1" t="s">
        <v>85</v>
      </c>
      <c r="H372" s="1" t="s">
        <v>16</v>
      </c>
      <c r="I372" s="2" cm="1">
        <f t="array" ref="I372">IFERROR(
    Games[[#This Row],[Date]]
    - LOOKUP(
        2,
        1/((Games[Team]=Games[[#This Row],[Team]]) * (Games[Date] &lt; Games[[#This Row],[Date]])),
        Games[Date]
    )
    - 1,
Games[[#This Row],[Date]]-$A$2)</f>
        <v>1</v>
      </c>
      <c r="J372" s="2" cm="1">
        <f t="array" ref="J37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72" s="2">
        <f>Games[[#This Row],[DaysOff]]-Games[[#This Row],[OppDaysOff]]</f>
        <v>0</v>
      </c>
      <c r="L372" s="2">
        <f>Games[[#This Row],[OppDaysOff]]-Games[[#This Row],[DaysOff]]</f>
        <v>0</v>
      </c>
      <c r="M372" s="1">
        <f>MAX(-16, MIN(16, Games[[#This Row],[RestDiff]]*8))</f>
        <v>0</v>
      </c>
      <c r="N372" s="1">
        <f>MAX(-16, MIN(16, Games[[#This Row],[OppRestDiff]]*8))</f>
        <v>0</v>
      </c>
      <c r="O372" s="4" cm="1">
        <f t="array" ref="O37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1539.442001249658</v>
      </c>
      <c r="P372" s="4" cm="1">
        <f t="array" ref="P37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1413.881991612971</v>
      </c>
      <c r="Q372" s="4">
        <f>1/(1+10^(((Games[[#This Row],[OppPreGmRate]]+IF(Games[[#This Row],[HomeAway]]="A",HCA,0)+Games[[#This Row],[OppRestAdj]])-(Games[[#This Row],[PreGmRate]]+IF(Games[[#This Row],[HomeAway]]="H",HCA,0)+Games[[#This Row],[RestAdj]]))/400))</f>
        <v>0.55952601717758144</v>
      </c>
      <c r="R372" s="1">
        <v>86</v>
      </c>
      <c r="S372" s="1">
        <v>61</v>
      </c>
      <c r="T372" s="1">
        <v>0</v>
      </c>
      <c r="U372" s="1">
        <f>Games[[#This Row],[PointsFor]]-Games[[#This Row],[PointsAgainst]]</f>
        <v>25</v>
      </c>
      <c r="V372" s="1">
        <f>IF(Games[[#This Row],[MOV]]&gt;0,1,IF(Games[[#This Row],[MOV]]=0,0.5,0))</f>
        <v>1</v>
      </c>
      <c r="W372" s="4">
        <f>((ABS(Games[[#This Row],[MOV]])+5)^0.6)/(12+0.01*(ABS(Games[[#This Row],[PreGmRate]]-Games[[#This Row],[OppPreGmRate]])))*IF(Games[[#This Row],[OT]]=1,0.9,1)</f>
        <v>0.58059509073719384</v>
      </c>
      <c r="X372" s="7" cm="1">
        <f t="array" ref="X37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2" s="9">
        <f>MAX(kmin, kmax - 0.15 * MIN(Games[[#This Row],[GamesPlayed]], 82))</f>
        <v>71.8</v>
      </c>
      <c r="Z372" s="4">
        <f>Games[[#This Row],[K]]*Games[[#This Row],[POMult]]</f>
        <v>71.8</v>
      </c>
      <c r="AA372" s="4">
        <f>(Games[[#This Row],[Keff]]*Games[[#This Row],[MOVMult]])*(Games[[#This Row],[Result]]-Games[[#This Row],[ExpectedWin%]])</f>
        <v>18.361918899334349</v>
      </c>
      <c r="AB372" s="4">
        <f>Games[[#This Row],[PreGmRate]]+Games[[#This Row],[RatingChange]]</f>
        <v>1557.8039201489923</v>
      </c>
      <c r="AC372" s="2">
        <f>IF(Games[[#This Row],[Type]]="R",IF(Games[[#This Row],[Result]]&gt;0.5,1,0),0)</f>
        <v>1</v>
      </c>
      <c r="AD372" s="2">
        <f>IF(Games[[#This Row],[Type]]="R",IF(Games[[#This Row],[Result]]&lt;0.5,1,0),0)</f>
        <v>0</v>
      </c>
      <c r="AE372" s="2">
        <f>IF(AND(Games[[#This Row],[Type]]="P",Games[[#This Row],[Round]]=1),IF(Games[[#This Row],[Result]]&gt;0.5,1,0),0)</f>
        <v>0</v>
      </c>
      <c r="AF372" s="2">
        <f>IF(AND(Games[[#This Row],[Type]]="P",Games[[#This Row],[Round]]=1),IF(Games[[#This Row],[Result]]&lt;0.5,1,0),0)</f>
        <v>0</v>
      </c>
      <c r="AG372" s="2">
        <f>IF(AND(Games[[#This Row],[Type]]="P",Games[[#This Row],[Round]]=2),IF(Games[[#This Row],[Result]]&gt;0.5,1,0),0)</f>
        <v>0</v>
      </c>
      <c r="AH372" s="2">
        <f>IF(AND(Games[[#This Row],[Type]]="P",Games[[#This Row],[Round]]=2),IF(Games[[#This Row],[Result]]&lt;0.5,1,0),0)</f>
        <v>0</v>
      </c>
      <c r="AI372" s="2">
        <f>IF(AND(Games[[#This Row],[Type]]="P",Games[[#This Row],[Round]]=3),IF(Games[[#This Row],[Result]]&gt;0.5,1,0),0)</f>
        <v>0</v>
      </c>
      <c r="AJ372" s="2">
        <f>IF(AND(Games[[#This Row],[Type]]="P",Games[[#This Row],[Round]]=3),IF(Games[[#This Row],[Result]]&lt;0.5,1,0),0)</f>
        <v>0</v>
      </c>
      <c r="AK372" s="2">
        <f>IF(AND(Games[[#This Row],[Type]]="P",Games[[#This Row],[Round]]=4),IF(Games[[#This Row],[Result]]&gt;0.5,1,0),0)</f>
        <v>0</v>
      </c>
      <c r="AL372" s="2">
        <f>IF(AND(Games[[#This Row],[Type]]="P",Games[[#This Row],[Round]]=4),IF(Games[[#This Row],[Result]]&lt;0.5,1,0),0)</f>
        <v>0</v>
      </c>
    </row>
    <row r="373" spans="1:38" x14ac:dyDescent="0.35">
      <c r="A373" s="10">
        <v>37840</v>
      </c>
      <c r="B373" s="2">
        <v>2003</v>
      </c>
      <c r="C373" s="2">
        <f>COUNTIFS(Games[Team],Games[[#This Row],[Team]],Games[Season],Games[[#This Row],[Season]],Games[Date],"&lt;=" &amp; Games[[#This Row],[Date]])</f>
        <v>28</v>
      </c>
      <c r="D373" s="2" t="s">
        <v>23</v>
      </c>
      <c r="E373" s="2" t="s">
        <v>29</v>
      </c>
      <c r="F373" s="1" t="s">
        <v>85</v>
      </c>
      <c r="G373" s="1" t="s">
        <v>45</v>
      </c>
      <c r="H373" s="1" t="s">
        <v>15</v>
      </c>
      <c r="I373" s="2" cm="1">
        <f t="array" ref="I373">IFERROR(
    Games[[#This Row],[Date]]
    - LOOKUP(
        2,
        1/((Games[Team]=Games[[#This Row],[Team]]) * (Games[Date] &lt; Games[[#This Row],[Date]])),
        Games[Date]
    )
    - 1,
Games[[#This Row],[Date]]-$A$2)</f>
        <v>1</v>
      </c>
      <c r="J373" s="2" cm="1">
        <f t="array" ref="J37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73" s="2">
        <f>Games[[#This Row],[DaysOff]]-Games[[#This Row],[OppDaysOff]]</f>
        <v>0</v>
      </c>
      <c r="L373" s="2">
        <f>Games[[#This Row],[OppDaysOff]]-Games[[#This Row],[DaysOff]]</f>
        <v>0</v>
      </c>
      <c r="M373" s="1">
        <f>MAX(-16, MIN(16, Games[[#This Row],[RestDiff]]*8))</f>
        <v>0</v>
      </c>
      <c r="N373" s="1">
        <f>MAX(-16, MIN(16, Games[[#This Row],[OppRestDiff]]*8))</f>
        <v>0</v>
      </c>
      <c r="O373" s="4" cm="1">
        <f t="array" ref="O37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1413.881991612971</v>
      </c>
      <c r="P373" s="4" cm="1">
        <f t="array" ref="P37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1539.442001249658</v>
      </c>
      <c r="Q373" s="4">
        <f>1/(1+10^(((Games[[#This Row],[OppPreGmRate]]+IF(Games[[#This Row],[HomeAway]]="A",HCA,0)+Games[[#This Row],[OppRestAdj]])-(Games[[#This Row],[PreGmRate]]+IF(Games[[#This Row],[HomeAway]]="H",HCA,0)+Games[[#This Row],[RestAdj]]))/400))</f>
        <v>0.44047398282241851</v>
      </c>
      <c r="R373" s="1">
        <v>61</v>
      </c>
      <c r="S373" s="1">
        <v>86</v>
      </c>
      <c r="T373" s="1">
        <v>0</v>
      </c>
      <c r="U373" s="1">
        <f>Games[[#This Row],[PointsFor]]-Games[[#This Row],[PointsAgainst]]</f>
        <v>-25</v>
      </c>
      <c r="V373" s="1">
        <f>IF(Games[[#This Row],[MOV]]&gt;0,1,IF(Games[[#This Row],[MOV]]=0,0.5,0))</f>
        <v>0</v>
      </c>
      <c r="W373" s="4">
        <f>((ABS(Games[[#This Row],[MOV]])+5)^0.6)/(12+0.01*(ABS(Games[[#This Row],[PreGmRate]]-Games[[#This Row],[OppPreGmRate]])))*IF(Games[[#This Row],[OT]]=1,0.9,1)</f>
        <v>0.58059509073719384</v>
      </c>
      <c r="X373" s="7" cm="1">
        <f t="array" ref="X37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3" s="9">
        <f>MAX(kmin, kmax - 0.15 * MIN(Games[[#This Row],[GamesPlayed]], 82))</f>
        <v>71.8</v>
      </c>
      <c r="Z373" s="4">
        <f>Games[[#This Row],[K]]*Games[[#This Row],[POMult]]</f>
        <v>71.8</v>
      </c>
      <c r="AA373" s="4">
        <f>(Games[[#This Row],[Keff]]*Games[[#This Row],[MOVMult]])*(Games[[#This Row],[Result]]-Games[[#This Row],[ExpectedWin%]])</f>
        <v>-18.361918899334345</v>
      </c>
      <c r="AB373" s="4">
        <f>Games[[#This Row],[PreGmRate]]+Games[[#This Row],[RatingChange]]</f>
        <v>1395.5200727136366</v>
      </c>
      <c r="AC373" s="2">
        <f>IF(Games[[#This Row],[Type]]="R",IF(Games[[#This Row],[Result]]&gt;0.5,1,0),0)</f>
        <v>0</v>
      </c>
      <c r="AD373" s="2">
        <f>IF(Games[[#This Row],[Type]]="R",IF(Games[[#This Row],[Result]]&lt;0.5,1,0),0)</f>
        <v>1</v>
      </c>
      <c r="AE373" s="2">
        <f>IF(AND(Games[[#This Row],[Type]]="P",Games[[#This Row],[Round]]=1),IF(Games[[#This Row],[Result]]&gt;0.5,1,0),0)</f>
        <v>0</v>
      </c>
      <c r="AF373" s="2">
        <f>IF(AND(Games[[#This Row],[Type]]="P",Games[[#This Row],[Round]]=1),IF(Games[[#This Row],[Result]]&lt;0.5,1,0),0)</f>
        <v>0</v>
      </c>
      <c r="AG373" s="2">
        <f>IF(AND(Games[[#This Row],[Type]]="P",Games[[#This Row],[Round]]=2),IF(Games[[#This Row],[Result]]&gt;0.5,1,0),0)</f>
        <v>0</v>
      </c>
      <c r="AH373" s="2">
        <f>IF(AND(Games[[#This Row],[Type]]="P",Games[[#This Row],[Round]]=2),IF(Games[[#This Row],[Result]]&lt;0.5,1,0),0)</f>
        <v>0</v>
      </c>
      <c r="AI373" s="2">
        <f>IF(AND(Games[[#This Row],[Type]]="P",Games[[#This Row],[Round]]=3),IF(Games[[#This Row],[Result]]&gt;0.5,1,0),0)</f>
        <v>0</v>
      </c>
      <c r="AJ373" s="2">
        <f>IF(AND(Games[[#This Row],[Type]]="P",Games[[#This Row],[Round]]=3),IF(Games[[#This Row],[Result]]&lt;0.5,1,0),0)</f>
        <v>0</v>
      </c>
      <c r="AK373" s="2">
        <f>IF(AND(Games[[#This Row],[Type]]="P",Games[[#This Row],[Round]]=4),IF(Games[[#This Row],[Result]]&gt;0.5,1,0),0)</f>
        <v>0</v>
      </c>
      <c r="AL373" s="2">
        <f>IF(AND(Games[[#This Row],[Type]]="P",Games[[#This Row],[Round]]=4),IF(Games[[#This Row],[Result]]&lt;0.5,1,0),0)</f>
        <v>0</v>
      </c>
    </row>
    <row r="374" spans="1:38" x14ac:dyDescent="0.35">
      <c r="A374" s="10">
        <v>37841</v>
      </c>
      <c r="B374" s="2">
        <v>2003</v>
      </c>
      <c r="C374" s="2">
        <f>COUNTIFS(Games[Team],Games[[#This Row],[Team]],Games[Season],Games[[#This Row],[Season]],Games[Date],"&lt;=" &amp; Games[[#This Row],[Date]])</f>
        <v>27</v>
      </c>
      <c r="D374" s="2" t="s">
        <v>23</v>
      </c>
      <c r="E374" s="2" t="s">
        <v>29</v>
      </c>
      <c r="F374" s="1" t="s">
        <v>2</v>
      </c>
      <c r="G374" s="1" t="s">
        <v>76</v>
      </c>
      <c r="H374" s="1" t="s">
        <v>16</v>
      </c>
      <c r="I374" s="2" cm="1">
        <f t="array" ref="I374">IFERROR(
    Games[[#This Row],[Date]]
    - LOOKUP(
        2,
        1/((Games[Team]=Games[[#This Row],[Team]]) * (Games[Date] &lt; Games[[#This Row],[Date]])),
        Games[Date]
    )
    - 1,
Games[[#This Row],[Date]]-$A$2)</f>
        <v>0</v>
      </c>
      <c r="J374" s="2" cm="1">
        <f t="array" ref="J37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74" s="2">
        <f>Games[[#This Row],[DaysOff]]-Games[[#This Row],[OppDaysOff]]</f>
        <v>-1</v>
      </c>
      <c r="L374" s="2">
        <f>Games[[#This Row],[OppDaysOff]]-Games[[#This Row],[DaysOff]]</f>
        <v>1</v>
      </c>
      <c r="M374" s="1">
        <f>MAX(-16, MIN(16, Games[[#This Row],[RestDiff]]*8))</f>
        <v>-8</v>
      </c>
      <c r="N374" s="1">
        <f>MAX(-16, MIN(16, Games[[#This Row],[OppRestDiff]]*8))</f>
        <v>8</v>
      </c>
      <c r="O374" s="4" cm="1">
        <f t="array" ref="O37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1607.7018517909635</v>
      </c>
      <c r="P374" s="4" cm="1">
        <f t="array" ref="P37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1595.5992027590439</v>
      </c>
      <c r="Q374" s="4">
        <f>1/(1+10^(((Games[[#This Row],[OppPreGmRate]]+IF(Games[[#This Row],[HomeAway]]="A",HCA,0)+Games[[#This Row],[OppRestAdj]])-(Games[[#This Row],[PreGmRate]]+IF(Games[[#This Row],[HomeAway]]="H",HCA,0)+Games[[#This Row],[RestAdj]]))/400))</f>
        <v>0.37613688950476709</v>
      </c>
      <c r="R374" s="1">
        <v>66</v>
      </c>
      <c r="S374" s="1">
        <v>56</v>
      </c>
      <c r="T374" s="1">
        <v>0</v>
      </c>
      <c r="U374" s="1">
        <f>Games[[#This Row],[PointsFor]]-Games[[#This Row],[PointsAgainst]]</f>
        <v>10</v>
      </c>
      <c r="V374" s="1">
        <f>IF(Games[[#This Row],[MOV]]&gt;0,1,IF(Games[[#This Row],[MOV]]=0,0.5,0))</f>
        <v>1</v>
      </c>
      <c r="W374" s="4">
        <f>((ABS(Games[[#This Row],[MOV]])+5)^0.6)/(12+0.01*(ABS(Games[[#This Row],[PreGmRate]]-Games[[#This Row],[OppPreGmRate]])))*IF(Games[[#This Row],[OT]]=1,0.9,1)</f>
        <v>0.41890481767717802</v>
      </c>
      <c r="X374" s="7" cm="1">
        <f t="array" ref="X37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4" s="9">
        <f>MAX(kmin, kmax - 0.15 * MIN(Games[[#This Row],[GamesPlayed]], 82))</f>
        <v>71.95</v>
      </c>
      <c r="Z374" s="4">
        <f>Games[[#This Row],[K]]*Games[[#This Row],[POMult]]</f>
        <v>71.95</v>
      </c>
      <c r="AA374" s="4">
        <f>(Games[[#This Row],[Keff]]*Games[[#This Row],[MOVMult]])*(Games[[#This Row],[Result]]-Games[[#This Row],[ExpectedWin%]])</f>
        <v>18.80335994101376</v>
      </c>
      <c r="AB374" s="4">
        <f>Games[[#This Row],[PreGmRate]]+Games[[#This Row],[RatingChange]]</f>
        <v>1626.5052117319772</v>
      </c>
      <c r="AC374" s="2">
        <f>IF(Games[[#This Row],[Type]]="R",IF(Games[[#This Row],[Result]]&gt;0.5,1,0),0)</f>
        <v>1</v>
      </c>
      <c r="AD374" s="2">
        <f>IF(Games[[#This Row],[Type]]="R",IF(Games[[#This Row],[Result]]&lt;0.5,1,0),0)</f>
        <v>0</v>
      </c>
      <c r="AE374" s="2">
        <f>IF(AND(Games[[#This Row],[Type]]="P",Games[[#This Row],[Round]]=1),IF(Games[[#This Row],[Result]]&gt;0.5,1,0),0)</f>
        <v>0</v>
      </c>
      <c r="AF374" s="2">
        <f>IF(AND(Games[[#This Row],[Type]]="P",Games[[#This Row],[Round]]=1),IF(Games[[#This Row],[Result]]&lt;0.5,1,0),0)</f>
        <v>0</v>
      </c>
      <c r="AG374" s="2">
        <f>IF(AND(Games[[#This Row],[Type]]="P",Games[[#This Row],[Round]]=2),IF(Games[[#This Row],[Result]]&gt;0.5,1,0),0)</f>
        <v>0</v>
      </c>
      <c r="AH374" s="2">
        <f>IF(AND(Games[[#This Row],[Type]]="P",Games[[#This Row],[Round]]=2),IF(Games[[#This Row],[Result]]&lt;0.5,1,0),0)</f>
        <v>0</v>
      </c>
      <c r="AI374" s="2">
        <f>IF(AND(Games[[#This Row],[Type]]="P",Games[[#This Row],[Round]]=3),IF(Games[[#This Row],[Result]]&gt;0.5,1,0),0)</f>
        <v>0</v>
      </c>
      <c r="AJ374" s="2">
        <f>IF(AND(Games[[#This Row],[Type]]="P",Games[[#This Row],[Round]]=3),IF(Games[[#This Row],[Result]]&lt;0.5,1,0),0)</f>
        <v>0</v>
      </c>
      <c r="AK374" s="2">
        <f>IF(AND(Games[[#This Row],[Type]]="P",Games[[#This Row],[Round]]=4),IF(Games[[#This Row],[Result]]&gt;0.5,1,0),0)</f>
        <v>0</v>
      </c>
      <c r="AL374" s="2">
        <f>IF(AND(Games[[#This Row],[Type]]="P",Games[[#This Row],[Round]]=4),IF(Games[[#This Row],[Result]]&lt;0.5,1,0),0)</f>
        <v>0</v>
      </c>
    </row>
    <row r="375" spans="1:38" x14ac:dyDescent="0.35">
      <c r="A375" s="10">
        <v>37841</v>
      </c>
      <c r="B375" s="2">
        <v>2003</v>
      </c>
      <c r="C375" s="2">
        <f>COUNTIFS(Games[Team],Games[[#This Row],[Team]],Games[Season],Games[[#This Row],[Season]],Games[Date],"&lt;=" &amp; Games[[#This Row],[Date]])</f>
        <v>27</v>
      </c>
      <c r="D375" s="2" t="s">
        <v>23</v>
      </c>
      <c r="E375" s="2" t="s">
        <v>29</v>
      </c>
      <c r="F375" s="1" t="s">
        <v>76</v>
      </c>
      <c r="G375" s="1" t="s">
        <v>2</v>
      </c>
      <c r="H375" s="1" t="s">
        <v>15</v>
      </c>
      <c r="I375" s="2" cm="1">
        <f t="array" ref="I375">IFERROR(
    Games[[#This Row],[Date]]
    - LOOKUP(
        2,
        1/((Games[Team]=Games[[#This Row],[Team]]) * (Games[Date] &lt; Games[[#This Row],[Date]])),
        Games[Date]
    )
    - 1,
Games[[#This Row],[Date]]-$A$2)</f>
        <v>1</v>
      </c>
      <c r="J375" s="2" cm="1">
        <f t="array" ref="J375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75" s="2">
        <f>Games[[#This Row],[DaysOff]]-Games[[#This Row],[OppDaysOff]]</f>
        <v>1</v>
      </c>
      <c r="L375" s="2">
        <f>Games[[#This Row],[OppDaysOff]]-Games[[#This Row],[DaysOff]]</f>
        <v>-1</v>
      </c>
      <c r="M375" s="1">
        <f>MAX(-16, MIN(16, Games[[#This Row],[RestDiff]]*8))</f>
        <v>8</v>
      </c>
      <c r="N375" s="1">
        <f>MAX(-16, MIN(16, Games[[#This Row],[OppRestDiff]]*8))</f>
        <v>-8</v>
      </c>
      <c r="O375" s="4" cm="1">
        <f t="array" ref="O37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1595.5992027590439</v>
      </c>
      <c r="P375" s="4" cm="1">
        <f t="array" ref="P37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1607.7018517909635</v>
      </c>
      <c r="Q375" s="4">
        <f>1/(1+10^(((Games[[#This Row],[OppPreGmRate]]+IF(Games[[#This Row],[HomeAway]]="A",HCA,0)+Games[[#This Row],[OppRestAdj]])-(Games[[#This Row],[PreGmRate]]+IF(Games[[#This Row],[HomeAway]]="H",HCA,0)+Games[[#This Row],[RestAdj]]))/400))</f>
        <v>0.6238631104952328</v>
      </c>
      <c r="R375" s="1">
        <v>56</v>
      </c>
      <c r="S375" s="1">
        <v>66</v>
      </c>
      <c r="T375" s="1">
        <v>0</v>
      </c>
      <c r="U375" s="1">
        <f>Games[[#This Row],[PointsFor]]-Games[[#This Row],[PointsAgainst]]</f>
        <v>-10</v>
      </c>
      <c r="V375" s="1">
        <f>IF(Games[[#This Row],[MOV]]&gt;0,1,IF(Games[[#This Row],[MOV]]=0,0.5,0))</f>
        <v>0</v>
      </c>
      <c r="W375" s="4">
        <f>((ABS(Games[[#This Row],[MOV]])+5)^0.6)/(12+0.01*(ABS(Games[[#This Row],[PreGmRate]]-Games[[#This Row],[OppPreGmRate]])))*IF(Games[[#This Row],[OT]]=1,0.9,1)</f>
        <v>0.41890481767717802</v>
      </c>
      <c r="X375" s="7" cm="1">
        <f t="array" ref="X37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5" s="9">
        <f>MAX(kmin, kmax - 0.15 * MIN(Games[[#This Row],[GamesPlayed]], 82))</f>
        <v>71.95</v>
      </c>
      <c r="Z375" s="4">
        <f>Games[[#This Row],[K]]*Games[[#This Row],[POMult]]</f>
        <v>71.95</v>
      </c>
      <c r="AA375" s="4">
        <f>(Games[[#This Row],[Keff]]*Games[[#This Row],[MOVMult]])*(Games[[#This Row],[Result]]-Games[[#This Row],[ExpectedWin%]])</f>
        <v>-18.803359941013756</v>
      </c>
      <c r="AB375" s="4">
        <f>Games[[#This Row],[PreGmRate]]+Games[[#This Row],[RatingChange]]</f>
        <v>1576.7958428180302</v>
      </c>
      <c r="AC375" s="2">
        <f>IF(Games[[#This Row],[Type]]="R",IF(Games[[#This Row],[Result]]&gt;0.5,1,0),0)</f>
        <v>0</v>
      </c>
      <c r="AD375" s="2">
        <f>IF(Games[[#This Row],[Type]]="R",IF(Games[[#This Row],[Result]]&lt;0.5,1,0),0)</f>
        <v>1</v>
      </c>
      <c r="AE375" s="2">
        <f>IF(AND(Games[[#This Row],[Type]]="P",Games[[#This Row],[Round]]=1),IF(Games[[#This Row],[Result]]&gt;0.5,1,0),0)</f>
        <v>0</v>
      </c>
      <c r="AF375" s="2">
        <f>IF(AND(Games[[#This Row],[Type]]="P",Games[[#This Row],[Round]]=1),IF(Games[[#This Row],[Result]]&lt;0.5,1,0),0)</f>
        <v>0</v>
      </c>
      <c r="AG375" s="2">
        <f>IF(AND(Games[[#This Row],[Type]]="P",Games[[#This Row],[Round]]=2),IF(Games[[#This Row],[Result]]&gt;0.5,1,0),0)</f>
        <v>0</v>
      </c>
      <c r="AH375" s="2">
        <f>IF(AND(Games[[#This Row],[Type]]="P",Games[[#This Row],[Round]]=2),IF(Games[[#This Row],[Result]]&lt;0.5,1,0),0)</f>
        <v>0</v>
      </c>
      <c r="AI375" s="2">
        <f>IF(AND(Games[[#This Row],[Type]]="P",Games[[#This Row],[Round]]=3),IF(Games[[#This Row],[Result]]&gt;0.5,1,0),0)</f>
        <v>0</v>
      </c>
      <c r="AJ375" s="2">
        <f>IF(AND(Games[[#This Row],[Type]]="P",Games[[#This Row],[Round]]=3),IF(Games[[#This Row],[Result]]&lt;0.5,1,0),0)</f>
        <v>0</v>
      </c>
      <c r="AK375" s="2">
        <f>IF(AND(Games[[#This Row],[Type]]="P",Games[[#This Row],[Round]]=4),IF(Games[[#This Row],[Result]]&gt;0.5,1,0),0)</f>
        <v>0</v>
      </c>
      <c r="AL375" s="2">
        <f>IF(AND(Games[[#This Row],[Type]]="P",Games[[#This Row],[Round]]=4),IF(Games[[#This Row],[Result]]&lt;0.5,1,0),0)</f>
        <v>0</v>
      </c>
    </row>
    <row r="376" spans="1:38" x14ac:dyDescent="0.35">
      <c r="A376" s="10">
        <v>37841</v>
      </c>
      <c r="B376" s="2">
        <v>2003</v>
      </c>
      <c r="C376" s="2">
        <f>COUNTIFS(Games[Team],Games[[#This Row],[Team]],Games[Season],Games[[#This Row],[Season]],Games[Date],"&lt;=" &amp; Games[[#This Row],[Date]])</f>
        <v>28</v>
      </c>
      <c r="D376" s="2" t="s">
        <v>23</v>
      </c>
      <c r="E376" s="2" t="s">
        <v>29</v>
      </c>
      <c r="F376" s="1" t="s">
        <v>71</v>
      </c>
      <c r="G376" s="1" t="s">
        <v>44</v>
      </c>
      <c r="H376" s="1" t="s">
        <v>16</v>
      </c>
      <c r="I376" s="2" cm="1">
        <f t="array" ref="I376">IFERROR(
    Games[[#This Row],[Date]]
    - LOOKUP(
        2,
        1/((Games[Team]=Games[[#This Row],[Team]]) * (Games[Date] &lt; Games[[#This Row],[Date]])),
        Games[Date]
    )
    - 1,
Games[[#This Row],[Date]]-$A$2)</f>
        <v>1</v>
      </c>
      <c r="J376" s="2" cm="1">
        <f t="array" ref="J37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76" s="2">
        <f>Games[[#This Row],[DaysOff]]-Games[[#This Row],[OppDaysOff]]</f>
        <v>0</v>
      </c>
      <c r="L376" s="2">
        <f>Games[[#This Row],[OppDaysOff]]-Games[[#This Row],[DaysOff]]</f>
        <v>0</v>
      </c>
      <c r="M376" s="1">
        <f>MAX(-16, MIN(16, Games[[#This Row],[RestDiff]]*8))</f>
        <v>0</v>
      </c>
      <c r="N376" s="1">
        <f>MAX(-16, MIN(16, Games[[#This Row],[OppRestDiff]]*8))</f>
        <v>0</v>
      </c>
      <c r="O376" s="4" cm="1">
        <f t="array" ref="O37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1580.2794510629185</v>
      </c>
      <c r="P376" s="4" cm="1">
        <f t="array" ref="P37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1362.8571087265823</v>
      </c>
      <c r="Q376" s="4">
        <f>1/(1+10^(((Games[[#This Row],[OppPreGmRate]]+IF(Games[[#This Row],[HomeAway]]="A",HCA,0)+Games[[#This Row],[OppRestAdj]])-(Games[[#This Row],[PreGmRate]]+IF(Games[[#This Row],[HomeAway]]="H",HCA,0)+Games[[#This Row],[RestAdj]]))/400))</f>
        <v>0.68309691443073139</v>
      </c>
      <c r="R376" s="1">
        <v>67</v>
      </c>
      <c r="S376" s="1">
        <v>64</v>
      </c>
      <c r="T376" s="1">
        <v>0</v>
      </c>
      <c r="U376" s="1">
        <f>Games[[#This Row],[PointsFor]]-Games[[#This Row],[PointsAgainst]]</f>
        <v>3</v>
      </c>
      <c r="V376" s="1">
        <f>IF(Games[[#This Row],[MOV]]&gt;0,1,IF(Games[[#This Row],[MOV]]=0,0.5,0))</f>
        <v>1</v>
      </c>
      <c r="W376" s="4">
        <f>((ABS(Games[[#This Row],[MOV]])+5)^0.6)/(12+0.01*(ABS(Games[[#This Row],[PreGmRate]]-Games[[#This Row],[OppPreGmRate]])))*IF(Games[[#This Row],[OT]]=1,0.9,1)</f>
        <v>0.24567146637781828</v>
      </c>
      <c r="X376" s="7" cm="1">
        <f t="array" ref="X37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6" s="9">
        <f>MAX(kmin, kmax - 0.15 * MIN(Games[[#This Row],[GamesPlayed]], 82))</f>
        <v>71.8</v>
      </c>
      <c r="Z376" s="4">
        <f>Games[[#This Row],[K]]*Games[[#This Row],[POMult]]</f>
        <v>71.8</v>
      </c>
      <c r="AA376" s="4">
        <f>(Games[[#This Row],[Keff]]*Games[[#This Row],[MOVMult]])*(Games[[#This Row],[Result]]-Games[[#This Row],[ExpectedWin%]])</f>
        <v>5.589920483518644</v>
      </c>
      <c r="AB376" s="4">
        <f>Games[[#This Row],[PreGmRate]]+Games[[#This Row],[RatingChange]]</f>
        <v>1585.8693715464372</v>
      </c>
      <c r="AC376" s="2">
        <f>IF(Games[[#This Row],[Type]]="R",IF(Games[[#This Row],[Result]]&gt;0.5,1,0),0)</f>
        <v>1</v>
      </c>
      <c r="AD376" s="2">
        <f>IF(Games[[#This Row],[Type]]="R",IF(Games[[#This Row],[Result]]&lt;0.5,1,0),0)</f>
        <v>0</v>
      </c>
      <c r="AE376" s="2">
        <f>IF(AND(Games[[#This Row],[Type]]="P",Games[[#This Row],[Round]]=1),IF(Games[[#This Row],[Result]]&gt;0.5,1,0),0)</f>
        <v>0</v>
      </c>
      <c r="AF376" s="2">
        <f>IF(AND(Games[[#This Row],[Type]]="P",Games[[#This Row],[Round]]=1),IF(Games[[#This Row],[Result]]&lt;0.5,1,0),0)</f>
        <v>0</v>
      </c>
      <c r="AG376" s="2">
        <f>IF(AND(Games[[#This Row],[Type]]="P",Games[[#This Row],[Round]]=2),IF(Games[[#This Row],[Result]]&gt;0.5,1,0),0)</f>
        <v>0</v>
      </c>
      <c r="AH376" s="2">
        <f>IF(AND(Games[[#This Row],[Type]]="P",Games[[#This Row],[Round]]=2),IF(Games[[#This Row],[Result]]&lt;0.5,1,0),0)</f>
        <v>0</v>
      </c>
      <c r="AI376" s="2">
        <f>IF(AND(Games[[#This Row],[Type]]="P",Games[[#This Row],[Round]]=3),IF(Games[[#This Row],[Result]]&gt;0.5,1,0),0)</f>
        <v>0</v>
      </c>
      <c r="AJ376" s="2">
        <f>IF(AND(Games[[#This Row],[Type]]="P",Games[[#This Row],[Round]]=3),IF(Games[[#This Row],[Result]]&lt;0.5,1,0),0)</f>
        <v>0</v>
      </c>
      <c r="AK376" s="2">
        <f>IF(AND(Games[[#This Row],[Type]]="P",Games[[#This Row],[Round]]=4),IF(Games[[#This Row],[Result]]&gt;0.5,1,0),0)</f>
        <v>0</v>
      </c>
      <c r="AL376" s="2">
        <f>IF(AND(Games[[#This Row],[Type]]="P",Games[[#This Row],[Round]]=4),IF(Games[[#This Row],[Result]]&lt;0.5,1,0),0)</f>
        <v>0</v>
      </c>
    </row>
    <row r="377" spans="1:38" x14ac:dyDescent="0.35">
      <c r="A377" s="10">
        <v>37841</v>
      </c>
      <c r="B377" s="2">
        <v>2003</v>
      </c>
      <c r="C377" s="2">
        <f>COUNTIFS(Games[Team],Games[[#This Row],[Team]],Games[Season],Games[[#This Row],[Season]],Games[Date],"&lt;=" &amp; Games[[#This Row],[Date]])</f>
        <v>27</v>
      </c>
      <c r="D377" s="2" t="s">
        <v>23</v>
      </c>
      <c r="E377" s="2" t="s">
        <v>29</v>
      </c>
      <c r="F377" s="1" t="s">
        <v>44</v>
      </c>
      <c r="G377" s="1" t="s">
        <v>71</v>
      </c>
      <c r="H377" s="1" t="s">
        <v>15</v>
      </c>
      <c r="I377" s="2" cm="1">
        <f t="array" ref="I377">IFERROR(
    Games[[#This Row],[Date]]
    - LOOKUP(
        2,
        1/((Games[Team]=Games[[#This Row],[Team]]) * (Games[Date] &lt; Games[[#This Row],[Date]])),
        Games[Date]
    )
    - 1,
Games[[#This Row],[Date]]-$A$2)</f>
        <v>1</v>
      </c>
      <c r="J377" s="2" cm="1">
        <f t="array" ref="J37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77" s="2">
        <f>Games[[#This Row],[DaysOff]]-Games[[#This Row],[OppDaysOff]]</f>
        <v>0</v>
      </c>
      <c r="L377" s="2">
        <f>Games[[#This Row],[OppDaysOff]]-Games[[#This Row],[DaysOff]]</f>
        <v>0</v>
      </c>
      <c r="M377" s="1">
        <f>MAX(-16, MIN(16, Games[[#This Row],[RestDiff]]*8))</f>
        <v>0</v>
      </c>
      <c r="N377" s="1">
        <f>MAX(-16, MIN(16, Games[[#This Row],[OppRestDiff]]*8))</f>
        <v>0</v>
      </c>
      <c r="O377" s="4" cm="1">
        <f t="array" ref="O37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1362.8571087265823</v>
      </c>
      <c r="P377" s="4" cm="1">
        <f t="array" ref="P37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1580.2794510629185</v>
      </c>
      <c r="Q377" s="4">
        <f>1/(1+10^(((Games[[#This Row],[OppPreGmRate]]+IF(Games[[#This Row],[HomeAway]]="A",HCA,0)+Games[[#This Row],[OppRestAdj]])-(Games[[#This Row],[PreGmRate]]+IF(Games[[#This Row],[HomeAway]]="H",HCA,0)+Games[[#This Row],[RestAdj]]))/400))</f>
        <v>0.31690308556926872</v>
      </c>
      <c r="R377" s="1">
        <v>64</v>
      </c>
      <c r="S377" s="1">
        <v>67</v>
      </c>
      <c r="T377" s="1">
        <v>0</v>
      </c>
      <c r="U377" s="1">
        <f>Games[[#This Row],[PointsFor]]-Games[[#This Row],[PointsAgainst]]</f>
        <v>-3</v>
      </c>
      <c r="V377" s="1">
        <f>IF(Games[[#This Row],[MOV]]&gt;0,1,IF(Games[[#This Row],[MOV]]=0,0.5,0))</f>
        <v>0</v>
      </c>
      <c r="W377" s="4">
        <f>((ABS(Games[[#This Row],[MOV]])+5)^0.6)/(12+0.01*(ABS(Games[[#This Row],[PreGmRate]]-Games[[#This Row],[OppPreGmRate]])))*IF(Games[[#This Row],[OT]]=1,0.9,1)</f>
        <v>0.24567146637781828</v>
      </c>
      <c r="X377" s="7" cm="1">
        <f t="array" ref="X37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7" s="9">
        <f>MAX(kmin, kmax - 0.15 * MIN(Games[[#This Row],[GamesPlayed]], 82))</f>
        <v>71.95</v>
      </c>
      <c r="Z377" s="4">
        <f>Games[[#This Row],[K]]*Games[[#This Row],[POMult]]</f>
        <v>71.95</v>
      </c>
      <c r="AA377" s="4">
        <f>(Games[[#This Row],[Keff]]*Games[[#This Row],[MOVMult]])*(Games[[#This Row],[Result]]-Games[[#This Row],[ExpectedWin%]])</f>
        <v>-5.6015985903783658</v>
      </c>
      <c r="AB377" s="4">
        <f>Games[[#This Row],[PreGmRate]]+Games[[#This Row],[RatingChange]]</f>
        <v>1357.2555101362038</v>
      </c>
      <c r="AC377" s="2">
        <f>IF(Games[[#This Row],[Type]]="R",IF(Games[[#This Row],[Result]]&gt;0.5,1,0),0)</f>
        <v>0</v>
      </c>
      <c r="AD377" s="2">
        <f>IF(Games[[#This Row],[Type]]="R",IF(Games[[#This Row],[Result]]&lt;0.5,1,0),0)</f>
        <v>1</v>
      </c>
      <c r="AE377" s="2">
        <f>IF(AND(Games[[#This Row],[Type]]="P",Games[[#This Row],[Round]]=1),IF(Games[[#This Row],[Result]]&gt;0.5,1,0),0)</f>
        <v>0</v>
      </c>
      <c r="AF377" s="2">
        <f>IF(AND(Games[[#This Row],[Type]]="P",Games[[#This Row],[Round]]=1),IF(Games[[#This Row],[Result]]&lt;0.5,1,0),0)</f>
        <v>0</v>
      </c>
      <c r="AG377" s="2">
        <f>IF(AND(Games[[#This Row],[Type]]="P",Games[[#This Row],[Round]]=2),IF(Games[[#This Row],[Result]]&gt;0.5,1,0),0)</f>
        <v>0</v>
      </c>
      <c r="AH377" s="2">
        <f>IF(AND(Games[[#This Row],[Type]]="P",Games[[#This Row],[Round]]=2),IF(Games[[#This Row],[Result]]&lt;0.5,1,0),0)</f>
        <v>0</v>
      </c>
      <c r="AI377" s="2">
        <f>IF(AND(Games[[#This Row],[Type]]="P",Games[[#This Row],[Round]]=3),IF(Games[[#This Row],[Result]]&gt;0.5,1,0),0)</f>
        <v>0</v>
      </c>
      <c r="AJ377" s="2">
        <f>IF(AND(Games[[#This Row],[Type]]="P",Games[[#This Row],[Round]]=3),IF(Games[[#This Row],[Result]]&lt;0.5,1,0),0)</f>
        <v>0</v>
      </c>
      <c r="AK377" s="2">
        <f>IF(AND(Games[[#This Row],[Type]]="P",Games[[#This Row],[Round]]=4),IF(Games[[#This Row],[Result]]&gt;0.5,1,0),0)</f>
        <v>0</v>
      </c>
      <c r="AL377" s="2">
        <f>IF(AND(Games[[#This Row],[Type]]="P",Games[[#This Row],[Round]]=4),IF(Games[[#This Row],[Result]]&lt;0.5,1,0),0)</f>
        <v>0</v>
      </c>
    </row>
    <row r="378" spans="1:38" x14ac:dyDescent="0.35">
      <c r="A378" s="10">
        <v>37841</v>
      </c>
      <c r="B378" s="2">
        <v>2003</v>
      </c>
      <c r="C378" s="2">
        <f>COUNTIFS(Games[Team],Games[[#This Row],[Team]],Games[Season],Games[[#This Row],[Season]],Games[Date],"&lt;=" &amp; Games[[#This Row],[Date]])</f>
        <v>28</v>
      </c>
      <c r="D378" s="2" t="s">
        <v>23</v>
      </c>
      <c r="E378" s="2" t="s">
        <v>29</v>
      </c>
      <c r="F378" s="1" t="s">
        <v>78</v>
      </c>
      <c r="G378" s="1" t="s">
        <v>82</v>
      </c>
      <c r="H378" s="1" t="s">
        <v>16</v>
      </c>
      <c r="I378" s="2" cm="1">
        <f t="array" ref="I378">IFERROR(
    Games[[#This Row],[Date]]
    - LOOKUP(
        2,
        1/((Games[Team]=Games[[#This Row],[Team]]) * (Games[Date] &lt; Games[[#This Row],[Date]])),
        Games[Date]
    )
    - 1,
Games[[#This Row],[Date]]-$A$2)</f>
        <v>1</v>
      </c>
      <c r="J378" s="2" cm="1">
        <f t="array" ref="J37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78" s="2">
        <f>Games[[#This Row],[DaysOff]]-Games[[#This Row],[OppDaysOff]]</f>
        <v>0</v>
      </c>
      <c r="L378" s="2">
        <f>Games[[#This Row],[OppDaysOff]]-Games[[#This Row],[DaysOff]]</f>
        <v>0</v>
      </c>
      <c r="M378" s="1">
        <f>MAX(-16, MIN(16, Games[[#This Row],[RestDiff]]*8))</f>
        <v>0</v>
      </c>
      <c r="N378" s="1">
        <f>MAX(-16, MIN(16, Games[[#This Row],[OppRestDiff]]*8))</f>
        <v>0</v>
      </c>
      <c r="O378" s="4" cm="1">
        <f t="array" ref="O37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1497.3872399985626</v>
      </c>
      <c r="P378" s="4" cm="1">
        <f t="array" ref="P37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1580.5326904195663</v>
      </c>
      <c r="Q378" s="4">
        <f>1/(1+10^(((Games[[#This Row],[OppPreGmRate]]+IF(Games[[#This Row],[HomeAway]]="A",HCA,0)+Games[[#This Row],[OppRestAdj]])-(Games[[#This Row],[PreGmRate]]+IF(Games[[#This Row],[HomeAway]]="H",HCA,0)+Games[[#This Row],[RestAdj]]))/400))</f>
        <v>0.27644462397911901</v>
      </c>
      <c r="R378" s="1">
        <v>65</v>
      </c>
      <c r="S378" s="1">
        <v>68</v>
      </c>
      <c r="T378" s="1">
        <v>0</v>
      </c>
      <c r="U378" s="1">
        <f>Games[[#This Row],[PointsFor]]-Games[[#This Row],[PointsAgainst]]</f>
        <v>-3</v>
      </c>
      <c r="V378" s="1">
        <f>IF(Games[[#This Row],[MOV]]&gt;0,1,IF(Games[[#This Row],[MOV]]=0,0.5,0))</f>
        <v>0</v>
      </c>
      <c r="W378" s="4">
        <f>((ABS(Games[[#This Row],[MOV]])+5)^0.6)/(12+0.01*(ABS(Games[[#This Row],[PreGmRate]]-Games[[#This Row],[OppPreGmRate]])))*IF(Games[[#This Row],[OT]]=1,0.9,1)</f>
        <v>0.2713801659852339</v>
      </c>
      <c r="X378" s="7" cm="1">
        <f t="array" ref="X37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8" s="9">
        <f>MAX(kmin, kmax - 0.15 * MIN(Games[[#This Row],[GamesPlayed]], 82))</f>
        <v>71.8</v>
      </c>
      <c r="Z378" s="4">
        <f>Games[[#This Row],[K]]*Games[[#This Row],[POMult]]</f>
        <v>71.8</v>
      </c>
      <c r="AA378" s="4">
        <f>(Games[[#This Row],[Keff]]*Games[[#This Row],[MOVMult]])*(Games[[#This Row],[Result]]-Games[[#This Row],[ExpectedWin%]])</f>
        <v>-5.3865500141766445</v>
      </c>
      <c r="AB378" s="4">
        <f>Games[[#This Row],[PreGmRate]]+Games[[#This Row],[RatingChange]]</f>
        <v>1492.0006899843859</v>
      </c>
      <c r="AC378" s="2">
        <f>IF(Games[[#This Row],[Type]]="R",IF(Games[[#This Row],[Result]]&gt;0.5,1,0),0)</f>
        <v>0</v>
      </c>
      <c r="AD378" s="2">
        <f>IF(Games[[#This Row],[Type]]="R",IF(Games[[#This Row],[Result]]&lt;0.5,1,0),0)</f>
        <v>1</v>
      </c>
      <c r="AE378" s="2">
        <f>IF(AND(Games[[#This Row],[Type]]="P",Games[[#This Row],[Round]]=1),IF(Games[[#This Row],[Result]]&gt;0.5,1,0),0)</f>
        <v>0</v>
      </c>
      <c r="AF378" s="2">
        <f>IF(AND(Games[[#This Row],[Type]]="P",Games[[#This Row],[Round]]=1),IF(Games[[#This Row],[Result]]&lt;0.5,1,0),0)</f>
        <v>0</v>
      </c>
      <c r="AG378" s="2">
        <f>IF(AND(Games[[#This Row],[Type]]="P",Games[[#This Row],[Round]]=2),IF(Games[[#This Row],[Result]]&gt;0.5,1,0),0)</f>
        <v>0</v>
      </c>
      <c r="AH378" s="2">
        <f>IF(AND(Games[[#This Row],[Type]]="P",Games[[#This Row],[Round]]=2),IF(Games[[#This Row],[Result]]&lt;0.5,1,0),0)</f>
        <v>0</v>
      </c>
      <c r="AI378" s="2">
        <f>IF(AND(Games[[#This Row],[Type]]="P",Games[[#This Row],[Round]]=3),IF(Games[[#This Row],[Result]]&gt;0.5,1,0),0)</f>
        <v>0</v>
      </c>
      <c r="AJ378" s="2">
        <f>IF(AND(Games[[#This Row],[Type]]="P",Games[[#This Row],[Round]]=3),IF(Games[[#This Row],[Result]]&lt;0.5,1,0),0)</f>
        <v>0</v>
      </c>
      <c r="AK378" s="2">
        <f>IF(AND(Games[[#This Row],[Type]]="P",Games[[#This Row],[Round]]=4),IF(Games[[#This Row],[Result]]&gt;0.5,1,0),0)</f>
        <v>0</v>
      </c>
      <c r="AL378" s="2">
        <f>IF(AND(Games[[#This Row],[Type]]="P",Games[[#This Row],[Round]]=4),IF(Games[[#This Row],[Result]]&lt;0.5,1,0),0)</f>
        <v>0</v>
      </c>
    </row>
    <row r="379" spans="1:38" x14ac:dyDescent="0.35">
      <c r="A379" s="10">
        <v>37841</v>
      </c>
      <c r="B379" s="2">
        <v>2003</v>
      </c>
      <c r="C379" s="2">
        <f>COUNTIFS(Games[Team],Games[[#This Row],[Team]],Games[Season],Games[[#This Row],[Season]],Games[Date],"&lt;=" &amp; Games[[#This Row],[Date]])</f>
        <v>27</v>
      </c>
      <c r="D379" s="2" t="s">
        <v>23</v>
      </c>
      <c r="E379" s="2" t="s">
        <v>29</v>
      </c>
      <c r="F379" s="1" t="s">
        <v>82</v>
      </c>
      <c r="G379" s="1" t="s">
        <v>78</v>
      </c>
      <c r="H379" s="1" t="s">
        <v>15</v>
      </c>
      <c r="I379" s="2" cm="1">
        <f t="array" ref="I379">IFERROR(
    Games[[#This Row],[Date]]
    - LOOKUP(
        2,
        1/((Games[Team]=Games[[#This Row],[Team]]) * (Games[Date] &lt; Games[[#This Row],[Date]])),
        Games[Date]
    )
    - 1,
Games[[#This Row],[Date]]-$A$2)</f>
        <v>1</v>
      </c>
      <c r="J379" s="2" cm="1">
        <f t="array" ref="J37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79" s="2">
        <f>Games[[#This Row],[DaysOff]]-Games[[#This Row],[OppDaysOff]]</f>
        <v>0</v>
      </c>
      <c r="L379" s="2">
        <f>Games[[#This Row],[OppDaysOff]]-Games[[#This Row],[DaysOff]]</f>
        <v>0</v>
      </c>
      <c r="M379" s="1">
        <f>MAX(-16, MIN(16, Games[[#This Row],[RestDiff]]*8))</f>
        <v>0</v>
      </c>
      <c r="N379" s="1">
        <f>MAX(-16, MIN(16, Games[[#This Row],[OppRestDiff]]*8))</f>
        <v>0</v>
      </c>
      <c r="O379" s="4" cm="1">
        <f t="array" ref="O37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1580.5326904195663</v>
      </c>
      <c r="P379" s="4" cm="1">
        <f t="array" ref="P37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1497.3872399985626</v>
      </c>
      <c r="Q379" s="4">
        <f>1/(1+10^(((Games[[#This Row],[OppPreGmRate]]+IF(Games[[#This Row],[HomeAway]]="A",HCA,0)+Games[[#This Row],[OppRestAdj]])-(Games[[#This Row],[PreGmRate]]+IF(Games[[#This Row],[HomeAway]]="H",HCA,0)+Games[[#This Row],[RestAdj]]))/400))</f>
        <v>0.72355537602088094</v>
      </c>
      <c r="R379" s="1">
        <v>68</v>
      </c>
      <c r="S379" s="1">
        <v>65</v>
      </c>
      <c r="T379" s="1">
        <v>0</v>
      </c>
      <c r="U379" s="1">
        <f>Games[[#This Row],[PointsFor]]-Games[[#This Row],[PointsAgainst]]</f>
        <v>3</v>
      </c>
      <c r="V379" s="1">
        <f>IF(Games[[#This Row],[MOV]]&gt;0,1,IF(Games[[#This Row],[MOV]]=0,0.5,0))</f>
        <v>1</v>
      </c>
      <c r="W379" s="4">
        <f>((ABS(Games[[#This Row],[MOV]])+5)^0.6)/(12+0.01*(ABS(Games[[#This Row],[PreGmRate]]-Games[[#This Row],[OppPreGmRate]])))*IF(Games[[#This Row],[OT]]=1,0.9,1)</f>
        <v>0.2713801659852339</v>
      </c>
      <c r="X379" s="7" cm="1">
        <f t="array" ref="X37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9" s="9">
        <f>MAX(kmin, kmax - 0.15 * MIN(Games[[#This Row],[GamesPlayed]], 82))</f>
        <v>71.95</v>
      </c>
      <c r="Z379" s="4">
        <f>Games[[#This Row],[K]]*Games[[#This Row],[POMult]]</f>
        <v>71.95</v>
      </c>
      <c r="AA379" s="4">
        <f>(Games[[#This Row],[Keff]]*Games[[#This Row],[MOVMult]])*(Games[[#This Row],[Result]]-Games[[#This Row],[ExpectedWin%]])</f>
        <v>5.3978032523678223</v>
      </c>
      <c r="AB379" s="4">
        <f>Games[[#This Row],[PreGmRate]]+Games[[#This Row],[RatingChange]]</f>
        <v>1585.9304936719341</v>
      </c>
      <c r="AC379" s="2">
        <f>IF(Games[[#This Row],[Type]]="R",IF(Games[[#This Row],[Result]]&gt;0.5,1,0),0)</f>
        <v>1</v>
      </c>
      <c r="AD379" s="2">
        <f>IF(Games[[#This Row],[Type]]="R",IF(Games[[#This Row],[Result]]&lt;0.5,1,0),0)</f>
        <v>0</v>
      </c>
      <c r="AE379" s="2">
        <f>IF(AND(Games[[#This Row],[Type]]="P",Games[[#This Row],[Round]]=1),IF(Games[[#This Row],[Result]]&gt;0.5,1,0),0)</f>
        <v>0</v>
      </c>
      <c r="AF379" s="2">
        <f>IF(AND(Games[[#This Row],[Type]]="P",Games[[#This Row],[Round]]=1),IF(Games[[#This Row],[Result]]&lt;0.5,1,0),0)</f>
        <v>0</v>
      </c>
      <c r="AG379" s="2">
        <f>IF(AND(Games[[#This Row],[Type]]="P",Games[[#This Row],[Round]]=2),IF(Games[[#This Row],[Result]]&gt;0.5,1,0),0)</f>
        <v>0</v>
      </c>
      <c r="AH379" s="2">
        <f>IF(AND(Games[[#This Row],[Type]]="P",Games[[#This Row],[Round]]=2),IF(Games[[#This Row],[Result]]&lt;0.5,1,0),0)</f>
        <v>0</v>
      </c>
      <c r="AI379" s="2">
        <f>IF(AND(Games[[#This Row],[Type]]="P",Games[[#This Row],[Round]]=3),IF(Games[[#This Row],[Result]]&gt;0.5,1,0),0)</f>
        <v>0</v>
      </c>
      <c r="AJ379" s="2">
        <f>IF(AND(Games[[#This Row],[Type]]="P",Games[[#This Row],[Round]]=3),IF(Games[[#This Row],[Result]]&lt;0.5,1,0),0)</f>
        <v>0</v>
      </c>
      <c r="AK379" s="2">
        <f>IF(AND(Games[[#This Row],[Type]]="P",Games[[#This Row],[Round]]=4),IF(Games[[#This Row],[Result]]&gt;0.5,1,0),0)</f>
        <v>0</v>
      </c>
      <c r="AL379" s="2">
        <f>IF(AND(Games[[#This Row],[Type]]="P",Games[[#This Row],[Round]]=4),IF(Games[[#This Row],[Result]]&lt;0.5,1,0),0)</f>
        <v>0</v>
      </c>
    </row>
    <row r="380" spans="1:38" x14ac:dyDescent="0.35">
      <c r="A380" s="10">
        <v>37842</v>
      </c>
      <c r="B380" s="2">
        <v>2003</v>
      </c>
      <c r="C380" s="2">
        <f>COUNTIFS(Games[Team],Games[[#This Row],[Team]],Games[Season],Games[[#This Row],[Season]],Games[Date],"&lt;=" &amp; Games[[#This Row],[Date]])</f>
        <v>28</v>
      </c>
      <c r="D380" s="2" t="s">
        <v>23</v>
      </c>
      <c r="E380" s="2" t="s">
        <v>29</v>
      </c>
      <c r="F380" s="1" t="s">
        <v>87</v>
      </c>
      <c r="G380" s="1" t="s">
        <v>64</v>
      </c>
      <c r="H380" s="1" t="s">
        <v>16</v>
      </c>
      <c r="I380" s="2" cm="1">
        <f t="array" ref="I380">IFERROR(
    Games[[#This Row],[Date]]
    - LOOKUP(
        2,
        1/((Games[Team]=Games[[#This Row],[Team]]) * (Games[Date] &lt; Games[[#This Row],[Date]])),
        Games[Date]
    )
    - 1,
Games[[#This Row],[Date]]-$A$2)</f>
        <v>3</v>
      </c>
      <c r="J380" s="2" cm="1">
        <f t="array" ref="J38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80" s="2">
        <f>Games[[#This Row],[DaysOff]]-Games[[#This Row],[OppDaysOff]]</f>
        <v>2</v>
      </c>
      <c r="L380" s="2">
        <f>Games[[#This Row],[OppDaysOff]]-Games[[#This Row],[DaysOff]]</f>
        <v>-2</v>
      </c>
      <c r="M380" s="1">
        <f>MAX(-16, MIN(16, Games[[#This Row],[RestDiff]]*8))</f>
        <v>16</v>
      </c>
      <c r="N380" s="1">
        <f>MAX(-16, MIN(16, Games[[#This Row],[OppRestDiff]]*8))</f>
        <v>-16</v>
      </c>
      <c r="O380" s="4" cm="1">
        <f t="array" ref="O38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1495.6337321064768</v>
      </c>
      <c r="P380" s="4" cm="1">
        <f t="array" ref="P38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1525.4906124980519</v>
      </c>
      <c r="Q380" s="4">
        <f>1/(1+10^(((Games[[#This Row],[OppPreGmRate]]+IF(Games[[#This Row],[HomeAway]]="A",HCA,0)+Games[[#This Row],[OppRestAdj]])-(Games[[#This Row],[PreGmRate]]+IF(Games[[#This Row],[HomeAway]]="H",HCA,0)+Games[[#This Row],[RestAdj]]))/400))</f>
        <v>0.38433082007797226</v>
      </c>
      <c r="R380" s="1">
        <v>68</v>
      </c>
      <c r="S380" s="1">
        <v>69</v>
      </c>
      <c r="T380" s="1">
        <v>0</v>
      </c>
      <c r="U380" s="1">
        <f>Games[[#This Row],[PointsFor]]-Games[[#This Row],[PointsAgainst]]</f>
        <v>-1</v>
      </c>
      <c r="V380" s="1">
        <f>IF(Games[[#This Row],[MOV]]&gt;0,1,IF(Games[[#This Row],[MOV]]=0,0.5,0))</f>
        <v>0</v>
      </c>
      <c r="W380" s="4">
        <f>((ABS(Games[[#This Row],[MOV]])+5)^0.6)/(12+0.01*(ABS(Games[[#This Row],[PreGmRate]]-Games[[#This Row],[OppPreGmRate]])))*IF(Games[[#This Row],[OT]]=1,0.9,1)</f>
        <v>0.23825179159469245</v>
      </c>
      <c r="X380" s="7" cm="1">
        <f t="array" ref="X38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0" s="9">
        <f>MAX(kmin, kmax - 0.15 * MIN(Games[[#This Row],[GamesPlayed]], 82))</f>
        <v>71.8</v>
      </c>
      <c r="Z380" s="4">
        <f>Games[[#This Row],[K]]*Games[[#This Row],[POMult]]</f>
        <v>71.8</v>
      </c>
      <c r="AA380" s="4">
        <f>(Games[[#This Row],[Keff]]*Games[[#This Row],[MOVMult]])*(Games[[#This Row],[Result]]-Games[[#This Row],[ExpectedWin%]])</f>
        <v>-6.5745469630119411</v>
      </c>
      <c r="AB380" s="4">
        <f>Games[[#This Row],[PreGmRate]]+Games[[#This Row],[RatingChange]]</f>
        <v>1489.0591851434649</v>
      </c>
      <c r="AC380" s="2">
        <f>IF(Games[[#This Row],[Type]]="R",IF(Games[[#This Row],[Result]]&gt;0.5,1,0),0)</f>
        <v>0</v>
      </c>
      <c r="AD380" s="2">
        <f>IF(Games[[#This Row],[Type]]="R",IF(Games[[#This Row],[Result]]&lt;0.5,1,0),0)</f>
        <v>1</v>
      </c>
      <c r="AE380" s="2">
        <f>IF(AND(Games[[#This Row],[Type]]="P",Games[[#This Row],[Round]]=1),IF(Games[[#This Row],[Result]]&gt;0.5,1,0),0)</f>
        <v>0</v>
      </c>
      <c r="AF380" s="2">
        <f>IF(AND(Games[[#This Row],[Type]]="P",Games[[#This Row],[Round]]=1),IF(Games[[#This Row],[Result]]&lt;0.5,1,0),0)</f>
        <v>0</v>
      </c>
      <c r="AG380" s="2">
        <f>IF(AND(Games[[#This Row],[Type]]="P",Games[[#This Row],[Round]]=2),IF(Games[[#This Row],[Result]]&gt;0.5,1,0),0)</f>
        <v>0</v>
      </c>
      <c r="AH380" s="2">
        <f>IF(AND(Games[[#This Row],[Type]]="P",Games[[#This Row],[Round]]=2),IF(Games[[#This Row],[Result]]&lt;0.5,1,0),0)</f>
        <v>0</v>
      </c>
      <c r="AI380" s="2">
        <f>IF(AND(Games[[#This Row],[Type]]="P",Games[[#This Row],[Round]]=3),IF(Games[[#This Row],[Result]]&gt;0.5,1,0),0)</f>
        <v>0</v>
      </c>
      <c r="AJ380" s="2">
        <f>IF(AND(Games[[#This Row],[Type]]="P",Games[[#This Row],[Round]]=3),IF(Games[[#This Row],[Result]]&lt;0.5,1,0),0)</f>
        <v>0</v>
      </c>
      <c r="AK380" s="2">
        <f>IF(AND(Games[[#This Row],[Type]]="P",Games[[#This Row],[Round]]=4),IF(Games[[#This Row],[Result]]&gt;0.5,1,0),0)</f>
        <v>0</v>
      </c>
      <c r="AL380" s="2">
        <f>IF(AND(Games[[#This Row],[Type]]="P",Games[[#This Row],[Round]]=4),IF(Games[[#This Row],[Result]]&lt;0.5,1,0),0)</f>
        <v>0</v>
      </c>
    </row>
    <row r="381" spans="1:38" x14ac:dyDescent="0.35">
      <c r="A381" s="10">
        <v>37842</v>
      </c>
      <c r="B381" s="2">
        <v>2003</v>
      </c>
      <c r="C381" s="2">
        <f>COUNTIFS(Games[Team],Games[[#This Row],[Team]],Games[Season],Games[[#This Row],[Season]],Games[Date],"&lt;=" &amp; Games[[#This Row],[Date]])</f>
        <v>28</v>
      </c>
      <c r="D381" s="2" t="s">
        <v>23</v>
      </c>
      <c r="E381" s="2" t="s">
        <v>29</v>
      </c>
      <c r="F381" s="1" t="s">
        <v>64</v>
      </c>
      <c r="G381" s="1" t="s">
        <v>87</v>
      </c>
      <c r="H381" s="1" t="s">
        <v>15</v>
      </c>
      <c r="I381" s="2" cm="1">
        <f t="array" ref="I381">IFERROR(
    Games[[#This Row],[Date]]
    - LOOKUP(
        2,
        1/((Games[Team]=Games[[#This Row],[Team]]) * (Games[Date] &lt; Games[[#This Row],[Date]])),
        Games[Date]
    )
    - 1,
Games[[#This Row],[Date]]-$A$2)</f>
        <v>1</v>
      </c>
      <c r="J381" s="2" cm="1">
        <f t="array" ref="J381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81" s="2">
        <f>Games[[#This Row],[DaysOff]]-Games[[#This Row],[OppDaysOff]]</f>
        <v>-2</v>
      </c>
      <c r="L381" s="2">
        <f>Games[[#This Row],[OppDaysOff]]-Games[[#This Row],[DaysOff]]</f>
        <v>2</v>
      </c>
      <c r="M381" s="1">
        <f>MAX(-16, MIN(16, Games[[#This Row],[RestDiff]]*8))</f>
        <v>-16</v>
      </c>
      <c r="N381" s="1">
        <f>MAX(-16, MIN(16, Games[[#This Row],[OppRestDiff]]*8))</f>
        <v>16</v>
      </c>
      <c r="O381" s="4" cm="1">
        <f t="array" ref="O38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1525.4906124980519</v>
      </c>
      <c r="P381" s="4" cm="1">
        <f t="array" ref="P38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1495.6337321064768</v>
      </c>
      <c r="Q381" s="4">
        <f>1/(1+10^(((Games[[#This Row],[OppPreGmRate]]+IF(Games[[#This Row],[HomeAway]]="A",HCA,0)+Games[[#This Row],[OppRestAdj]])-(Games[[#This Row],[PreGmRate]]+IF(Games[[#This Row],[HomeAway]]="H",HCA,0)+Games[[#This Row],[RestAdj]]))/400))</f>
        <v>0.61566917992202774</v>
      </c>
      <c r="R381" s="1">
        <v>69</v>
      </c>
      <c r="S381" s="1">
        <v>68</v>
      </c>
      <c r="T381" s="1">
        <v>0</v>
      </c>
      <c r="U381" s="1">
        <f>Games[[#This Row],[PointsFor]]-Games[[#This Row],[PointsAgainst]]</f>
        <v>1</v>
      </c>
      <c r="V381" s="1">
        <f>IF(Games[[#This Row],[MOV]]&gt;0,1,IF(Games[[#This Row],[MOV]]=0,0.5,0))</f>
        <v>1</v>
      </c>
      <c r="W381" s="4">
        <f>((ABS(Games[[#This Row],[MOV]])+5)^0.6)/(12+0.01*(ABS(Games[[#This Row],[PreGmRate]]-Games[[#This Row],[OppPreGmRate]])))*IF(Games[[#This Row],[OT]]=1,0.9,1)</f>
        <v>0.23825179159469245</v>
      </c>
      <c r="X381" s="7" cm="1">
        <f t="array" ref="X38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1" s="9">
        <f>MAX(kmin, kmax - 0.15 * MIN(Games[[#This Row],[GamesPlayed]], 82))</f>
        <v>71.8</v>
      </c>
      <c r="Z381" s="4">
        <f>Games[[#This Row],[K]]*Games[[#This Row],[POMult]]</f>
        <v>71.8</v>
      </c>
      <c r="AA381" s="4">
        <f>(Games[[#This Row],[Keff]]*Games[[#This Row],[MOVMult]])*(Games[[#This Row],[Result]]-Games[[#This Row],[ExpectedWin%]])</f>
        <v>6.5745469630119411</v>
      </c>
      <c r="AB381" s="4">
        <f>Games[[#This Row],[PreGmRate]]+Games[[#This Row],[RatingChange]]</f>
        <v>1532.0651594610638</v>
      </c>
      <c r="AC381" s="2">
        <f>IF(Games[[#This Row],[Type]]="R",IF(Games[[#This Row],[Result]]&gt;0.5,1,0),0)</f>
        <v>1</v>
      </c>
      <c r="AD381" s="2">
        <f>IF(Games[[#This Row],[Type]]="R",IF(Games[[#This Row],[Result]]&lt;0.5,1,0),0)</f>
        <v>0</v>
      </c>
      <c r="AE381" s="2">
        <f>IF(AND(Games[[#This Row],[Type]]="P",Games[[#This Row],[Round]]=1),IF(Games[[#This Row],[Result]]&gt;0.5,1,0),0)</f>
        <v>0</v>
      </c>
      <c r="AF381" s="2">
        <f>IF(AND(Games[[#This Row],[Type]]="P",Games[[#This Row],[Round]]=1),IF(Games[[#This Row],[Result]]&lt;0.5,1,0),0)</f>
        <v>0</v>
      </c>
      <c r="AG381" s="2">
        <f>IF(AND(Games[[#This Row],[Type]]="P",Games[[#This Row],[Round]]=2),IF(Games[[#This Row],[Result]]&gt;0.5,1,0),0)</f>
        <v>0</v>
      </c>
      <c r="AH381" s="2">
        <f>IF(AND(Games[[#This Row],[Type]]="P",Games[[#This Row],[Round]]=2),IF(Games[[#This Row],[Result]]&lt;0.5,1,0),0)</f>
        <v>0</v>
      </c>
      <c r="AI381" s="2">
        <f>IF(AND(Games[[#This Row],[Type]]="P",Games[[#This Row],[Round]]=3),IF(Games[[#This Row],[Result]]&gt;0.5,1,0),0)</f>
        <v>0</v>
      </c>
      <c r="AJ381" s="2">
        <f>IF(AND(Games[[#This Row],[Type]]="P",Games[[#This Row],[Round]]=3),IF(Games[[#This Row],[Result]]&lt;0.5,1,0),0)</f>
        <v>0</v>
      </c>
      <c r="AK381" s="2">
        <f>IF(AND(Games[[#This Row],[Type]]="P",Games[[#This Row],[Round]]=4),IF(Games[[#This Row],[Result]]&gt;0.5,1,0),0)</f>
        <v>0</v>
      </c>
      <c r="AL381" s="2">
        <f>IF(AND(Games[[#This Row],[Type]]="P",Games[[#This Row],[Round]]=4),IF(Games[[#This Row],[Result]]&lt;0.5,1,0),0)</f>
        <v>0</v>
      </c>
    </row>
    <row r="382" spans="1:38" x14ac:dyDescent="0.35">
      <c r="A382" s="10">
        <v>37842</v>
      </c>
      <c r="B382" s="2">
        <v>2003</v>
      </c>
      <c r="C382" s="2">
        <f>COUNTIFS(Games[Team],Games[[#This Row],[Team]],Games[Season],Games[[#This Row],[Season]],Games[Date],"&lt;=" &amp; Games[[#This Row],[Date]])</f>
        <v>27</v>
      </c>
      <c r="D382" s="2" t="s">
        <v>23</v>
      </c>
      <c r="E382" s="2" t="s">
        <v>29</v>
      </c>
      <c r="F382" s="1" t="s">
        <v>1</v>
      </c>
      <c r="G382" s="1" t="s">
        <v>80</v>
      </c>
      <c r="H382" s="1" t="s">
        <v>16</v>
      </c>
      <c r="I382" s="2" cm="1">
        <f t="array" ref="I382">IFERROR(
    Games[[#This Row],[Date]]
    - LOOKUP(
        2,
        1/((Games[Team]=Games[[#This Row],[Team]]) * (Games[Date] &lt; Games[[#This Row],[Date]])),
        Games[Date]
    )
    - 1,
Games[[#This Row],[Date]]-$A$2)</f>
        <v>5</v>
      </c>
      <c r="J382" s="2" cm="1">
        <f t="array" ref="J38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82" s="2">
        <f>Games[[#This Row],[DaysOff]]-Games[[#This Row],[OppDaysOff]]</f>
        <v>4</v>
      </c>
      <c r="L382" s="2">
        <f>Games[[#This Row],[OppDaysOff]]-Games[[#This Row],[DaysOff]]</f>
        <v>-4</v>
      </c>
      <c r="M382" s="1">
        <f>MAX(-16, MIN(16, Games[[#This Row],[RestDiff]]*8))</f>
        <v>16</v>
      </c>
      <c r="N382" s="1">
        <f>MAX(-16, MIN(16, Games[[#This Row],[OppRestDiff]]*8))</f>
        <v>-16</v>
      </c>
      <c r="O382" s="4" cm="1">
        <f t="array" ref="O38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1455.3786583826811</v>
      </c>
      <c r="P382" s="4" cm="1">
        <f t="array" ref="P38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1490.8521585819644</v>
      </c>
      <c r="Q382" s="4">
        <f>1/(1+10^(((Games[[#This Row],[OppPreGmRate]]+IF(Games[[#This Row],[HomeAway]]="A",HCA,0)+Games[[#This Row],[OppRestAdj]])-(Games[[#This Row],[PreGmRate]]+IF(Games[[#This Row],[HomeAway]]="H",HCA,0)+Games[[#This Row],[RestAdj]]))/400))</f>
        <v>0.37670959976101381</v>
      </c>
      <c r="R382" s="1">
        <v>66</v>
      </c>
      <c r="S382" s="1">
        <v>62</v>
      </c>
      <c r="T382" s="1">
        <v>0</v>
      </c>
      <c r="U382" s="1">
        <f>Games[[#This Row],[PointsFor]]-Games[[#This Row],[PointsAgainst]]</f>
        <v>4</v>
      </c>
      <c r="V382" s="1">
        <f>IF(Games[[#This Row],[MOV]]&gt;0,1,IF(Games[[#This Row],[MOV]]=0,0.5,0))</f>
        <v>1</v>
      </c>
      <c r="W382" s="4">
        <f>((ABS(Games[[#This Row],[MOV]])+5)^0.6)/(12+0.01*(ABS(Games[[#This Row],[PreGmRate]]-Games[[#This Row],[OppPreGmRate]])))*IF(Games[[#This Row],[OT]]=1,0.9,1)</f>
        <v>0.30249073073956978</v>
      </c>
      <c r="X382" s="7" cm="1">
        <f t="array" ref="X38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2" s="9">
        <f>MAX(kmin, kmax - 0.15 * MIN(Games[[#This Row],[GamesPlayed]], 82))</f>
        <v>71.95</v>
      </c>
      <c r="Z382" s="4">
        <f>Games[[#This Row],[K]]*Games[[#This Row],[POMult]]</f>
        <v>71.95</v>
      </c>
      <c r="AA382" s="4">
        <f>(Games[[#This Row],[Keff]]*Games[[#This Row],[MOVMult]])*(Games[[#This Row],[Result]]-Games[[#This Row],[ExpectedWin%]])</f>
        <v>13.565421963018428</v>
      </c>
      <c r="AB382" s="4">
        <f>Games[[#This Row],[PreGmRate]]+Games[[#This Row],[RatingChange]]</f>
        <v>1468.9440803456996</v>
      </c>
      <c r="AC382" s="2">
        <f>IF(Games[[#This Row],[Type]]="R",IF(Games[[#This Row],[Result]]&gt;0.5,1,0),0)</f>
        <v>1</v>
      </c>
      <c r="AD382" s="2">
        <f>IF(Games[[#This Row],[Type]]="R",IF(Games[[#This Row],[Result]]&lt;0.5,1,0),0)</f>
        <v>0</v>
      </c>
      <c r="AE382" s="2">
        <f>IF(AND(Games[[#This Row],[Type]]="P",Games[[#This Row],[Round]]=1),IF(Games[[#This Row],[Result]]&gt;0.5,1,0),0)</f>
        <v>0</v>
      </c>
      <c r="AF382" s="2">
        <f>IF(AND(Games[[#This Row],[Type]]="P",Games[[#This Row],[Round]]=1),IF(Games[[#This Row],[Result]]&lt;0.5,1,0),0)</f>
        <v>0</v>
      </c>
      <c r="AG382" s="2">
        <f>IF(AND(Games[[#This Row],[Type]]="P",Games[[#This Row],[Round]]=2),IF(Games[[#This Row],[Result]]&gt;0.5,1,0),0)</f>
        <v>0</v>
      </c>
      <c r="AH382" s="2">
        <f>IF(AND(Games[[#This Row],[Type]]="P",Games[[#This Row],[Round]]=2),IF(Games[[#This Row],[Result]]&lt;0.5,1,0),0)</f>
        <v>0</v>
      </c>
      <c r="AI382" s="2">
        <f>IF(AND(Games[[#This Row],[Type]]="P",Games[[#This Row],[Round]]=3),IF(Games[[#This Row],[Result]]&gt;0.5,1,0),0)</f>
        <v>0</v>
      </c>
      <c r="AJ382" s="2">
        <f>IF(AND(Games[[#This Row],[Type]]="P",Games[[#This Row],[Round]]=3),IF(Games[[#This Row],[Result]]&lt;0.5,1,0),0)</f>
        <v>0</v>
      </c>
      <c r="AK382" s="2">
        <f>IF(AND(Games[[#This Row],[Type]]="P",Games[[#This Row],[Round]]=4),IF(Games[[#This Row],[Result]]&gt;0.5,1,0),0)</f>
        <v>0</v>
      </c>
      <c r="AL382" s="2">
        <f>IF(AND(Games[[#This Row],[Type]]="P",Games[[#This Row],[Round]]=4),IF(Games[[#This Row],[Result]]&lt;0.5,1,0),0)</f>
        <v>0</v>
      </c>
    </row>
    <row r="383" spans="1:38" x14ac:dyDescent="0.35">
      <c r="A383" s="10">
        <v>37842</v>
      </c>
      <c r="B383" s="2">
        <v>2003</v>
      </c>
      <c r="C383" s="2">
        <f>COUNTIFS(Games[Team],Games[[#This Row],[Team]],Games[Season],Games[[#This Row],[Season]],Games[Date],"&lt;=" &amp; Games[[#This Row],[Date]])</f>
        <v>27</v>
      </c>
      <c r="D383" s="2" t="s">
        <v>23</v>
      </c>
      <c r="E383" s="2" t="s">
        <v>29</v>
      </c>
      <c r="F383" s="1" t="s">
        <v>80</v>
      </c>
      <c r="G383" s="1" t="s">
        <v>1</v>
      </c>
      <c r="H383" s="1" t="s">
        <v>15</v>
      </c>
      <c r="I383" s="2" cm="1">
        <f t="array" ref="I383">IFERROR(
    Games[[#This Row],[Date]]
    - LOOKUP(
        2,
        1/((Games[Team]=Games[[#This Row],[Team]]) * (Games[Date] &lt; Games[[#This Row],[Date]])),
        Games[Date]
    )
    - 1,
Games[[#This Row],[Date]]-$A$2)</f>
        <v>1</v>
      </c>
      <c r="J383" s="2" cm="1">
        <f t="array" ref="J383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383" s="2">
        <f>Games[[#This Row],[DaysOff]]-Games[[#This Row],[OppDaysOff]]</f>
        <v>-4</v>
      </c>
      <c r="L383" s="2">
        <f>Games[[#This Row],[OppDaysOff]]-Games[[#This Row],[DaysOff]]</f>
        <v>4</v>
      </c>
      <c r="M383" s="1">
        <f>MAX(-16, MIN(16, Games[[#This Row],[RestDiff]]*8))</f>
        <v>-16</v>
      </c>
      <c r="N383" s="1">
        <f>MAX(-16, MIN(16, Games[[#This Row],[OppRestDiff]]*8))</f>
        <v>16</v>
      </c>
      <c r="O383" s="4" cm="1">
        <f t="array" ref="O38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1490.8521585819644</v>
      </c>
      <c r="P383" s="4" cm="1">
        <f t="array" ref="P38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1455.3786583826811</v>
      </c>
      <c r="Q383" s="4">
        <f>1/(1+10^(((Games[[#This Row],[OppPreGmRate]]+IF(Games[[#This Row],[HomeAway]]="A",HCA,0)+Games[[#This Row],[OppRestAdj]])-(Games[[#This Row],[PreGmRate]]+IF(Games[[#This Row],[HomeAway]]="H",HCA,0)+Games[[#This Row],[RestAdj]]))/400))</f>
        <v>0.62329040023898619</v>
      </c>
      <c r="R383" s="1">
        <v>62</v>
      </c>
      <c r="S383" s="1">
        <v>66</v>
      </c>
      <c r="T383" s="1">
        <v>0</v>
      </c>
      <c r="U383" s="1">
        <f>Games[[#This Row],[PointsFor]]-Games[[#This Row],[PointsAgainst]]</f>
        <v>-4</v>
      </c>
      <c r="V383" s="1">
        <f>IF(Games[[#This Row],[MOV]]&gt;0,1,IF(Games[[#This Row],[MOV]]=0,0.5,0))</f>
        <v>0</v>
      </c>
      <c r="W383" s="4">
        <f>((ABS(Games[[#This Row],[MOV]])+5)^0.6)/(12+0.01*(ABS(Games[[#This Row],[PreGmRate]]-Games[[#This Row],[OppPreGmRate]])))*IF(Games[[#This Row],[OT]]=1,0.9,1)</f>
        <v>0.30249073073956978</v>
      </c>
      <c r="X383" s="7" cm="1">
        <f t="array" ref="X38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3" s="9">
        <f>MAX(kmin, kmax - 0.15 * MIN(Games[[#This Row],[GamesPlayed]], 82))</f>
        <v>71.95</v>
      </c>
      <c r="Z383" s="4">
        <f>Games[[#This Row],[K]]*Games[[#This Row],[POMult]]</f>
        <v>71.95</v>
      </c>
      <c r="AA383" s="4">
        <f>(Games[[#This Row],[Keff]]*Games[[#This Row],[MOVMult]])*(Games[[#This Row],[Result]]-Games[[#This Row],[ExpectedWin%]])</f>
        <v>-13.565421963018428</v>
      </c>
      <c r="AB383" s="4">
        <f>Games[[#This Row],[PreGmRate]]+Games[[#This Row],[RatingChange]]</f>
        <v>1477.286736618946</v>
      </c>
      <c r="AC383" s="2">
        <f>IF(Games[[#This Row],[Type]]="R",IF(Games[[#This Row],[Result]]&gt;0.5,1,0),0)</f>
        <v>0</v>
      </c>
      <c r="AD383" s="2">
        <f>IF(Games[[#This Row],[Type]]="R",IF(Games[[#This Row],[Result]]&lt;0.5,1,0),0)</f>
        <v>1</v>
      </c>
      <c r="AE383" s="2">
        <f>IF(AND(Games[[#This Row],[Type]]="P",Games[[#This Row],[Round]]=1),IF(Games[[#This Row],[Result]]&gt;0.5,1,0),0)</f>
        <v>0</v>
      </c>
      <c r="AF383" s="2">
        <f>IF(AND(Games[[#This Row],[Type]]="P",Games[[#This Row],[Round]]=1),IF(Games[[#This Row],[Result]]&lt;0.5,1,0),0)</f>
        <v>0</v>
      </c>
      <c r="AG383" s="2">
        <f>IF(AND(Games[[#This Row],[Type]]="P",Games[[#This Row],[Round]]=2),IF(Games[[#This Row],[Result]]&gt;0.5,1,0),0)</f>
        <v>0</v>
      </c>
      <c r="AH383" s="2">
        <f>IF(AND(Games[[#This Row],[Type]]="P",Games[[#This Row],[Round]]=2),IF(Games[[#This Row],[Result]]&lt;0.5,1,0),0)</f>
        <v>0</v>
      </c>
      <c r="AI383" s="2">
        <f>IF(AND(Games[[#This Row],[Type]]="P",Games[[#This Row],[Round]]=3),IF(Games[[#This Row],[Result]]&gt;0.5,1,0),0)</f>
        <v>0</v>
      </c>
      <c r="AJ383" s="2">
        <f>IF(AND(Games[[#This Row],[Type]]="P",Games[[#This Row],[Round]]=3),IF(Games[[#This Row],[Result]]&lt;0.5,1,0),0)</f>
        <v>0</v>
      </c>
      <c r="AK383" s="2">
        <f>IF(AND(Games[[#This Row],[Type]]="P",Games[[#This Row],[Round]]=4),IF(Games[[#This Row],[Result]]&gt;0.5,1,0),0)</f>
        <v>0</v>
      </c>
      <c r="AL383" s="2">
        <f>IF(AND(Games[[#This Row],[Type]]="P",Games[[#This Row],[Round]]=4),IF(Games[[#This Row],[Result]]&lt;0.5,1,0),0)</f>
        <v>0</v>
      </c>
    </row>
    <row r="384" spans="1:38" x14ac:dyDescent="0.35">
      <c r="A384" s="10">
        <v>37842</v>
      </c>
      <c r="B384" s="2">
        <v>2003</v>
      </c>
      <c r="C384" s="2">
        <f>COUNTIFS(Games[Team],Games[[#This Row],[Team]],Games[Season],Games[[#This Row],[Season]],Games[Date],"&lt;=" &amp; Games[[#This Row],[Date]])</f>
        <v>29</v>
      </c>
      <c r="D384" s="2" t="s">
        <v>23</v>
      </c>
      <c r="E384" s="2" t="s">
        <v>29</v>
      </c>
      <c r="F384" s="1" t="s">
        <v>78</v>
      </c>
      <c r="G384" s="1" t="s">
        <v>45</v>
      </c>
      <c r="H384" s="1" t="s">
        <v>16</v>
      </c>
      <c r="I384" s="2" cm="1">
        <f t="array" ref="I384">IFERROR(
    Games[[#This Row],[Date]]
    - LOOKUP(
        2,
        1/((Games[Team]=Games[[#This Row],[Team]]) * (Games[Date] &lt; Games[[#This Row],[Date]])),
        Games[Date]
    )
    - 1,
Games[[#This Row],[Date]]-$A$2)</f>
        <v>0</v>
      </c>
      <c r="J384" s="2" cm="1">
        <f t="array" ref="J38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84" s="2">
        <f>Games[[#This Row],[DaysOff]]-Games[[#This Row],[OppDaysOff]]</f>
        <v>-1</v>
      </c>
      <c r="L384" s="2">
        <f>Games[[#This Row],[OppDaysOff]]-Games[[#This Row],[DaysOff]]</f>
        <v>1</v>
      </c>
      <c r="M384" s="1">
        <f>MAX(-16, MIN(16, Games[[#This Row],[RestDiff]]*8))</f>
        <v>-8</v>
      </c>
      <c r="N384" s="1">
        <f>MAX(-16, MIN(16, Games[[#This Row],[OppRestDiff]]*8))</f>
        <v>8</v>
      </c>
      <c r="O384" s="4" cm="1">
        <f t="array" ref="O38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1492.0006899843859</v>
      </c>
      <c r="P384" s="4" cm="1">
        <f t="array" ref="P38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1557.8039201489923</v>
      </c>
      <c r="Q384" s="4">
        <f>1/(1+10^(((Games[[#This Row],[OppPreGmRate]]+IF(Games[[#This Row],[HomeAway]]="A",HCA,0)+Games[[#This Row],[OppRestAdj]])-(Games[[#This Row],[PreGmRate]]+IF(Games[[#This Row],[HomeAway]]="H",HCA,0)+Games[[#This Row],[RestAdj]]))/400))</f>
        <v>0.27799275618427555</v>
      </c>
      <c r="R384" s="1">
        <v>77</v>
      </c>
      <c r="S384" s="1">
        <v>73</v>
      </c>
      <c r="T384" s="1">
        <v>0</v>
      </c>
      <c r="U384" s="1">
        <f>Games[[#This Row],[PointsFor]]-Games[[#This Row],[PointsAgainst]]</f>
        <v>4</v>
      </c>
      <c r="V384" s="1">
        <f>IF(Games[[#This Row],[MOV]]&gt;0,1,IF(Games[[#This Row],[MOV]]=0,0.5,0))</f>
        <v>1</v>
      </c>
      <c r="W384" s="4">
        <f>((ABS(Games[[#This Row],[MOV]])+5)^0.6)/(12+0.01*(ABS(Games[[#This Row],[PreGmRate]]-Games[[#This Row],[OppPreGmRate]])))*IF(Games[[#This Row],[OT]]=1,0.9,1)</f>
        <v>0.29524279364973366</v>
      </c>
      <c r="X384" s="7" cm="1">
        <f t="array" ref="X38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4" s="9">
        <f>MAX(kmin, kmax - 0.15 * MIN(Games[[#This Row],[GamesPlayed]], 82))</f>
        <v>71.650000000000006</v>
      </c>
      <c r="Z384" s="4">
        <f>Games[[#This Row],[K]]*Games[[#This Row],[POMult]]</f>
        <v>71.650000000000006</v>
      </c>
      <c r="AA384" s="4">
        <f>(Games[[#This Row],[Keff]]*Games[[#This Row],[MOVMult]])*(Games[[#This Row],[Result]]-Games[[#This Row],[ExpectedWin%]])</f>
        <v>15.273446767869094</v>
      </c>
      <c r="AB384" s="4">
        <f>Games[[#This Row],[PreGmRate]]+Games[[#This Row],[RatingChange]]</f>
        <v>1507.2741367522549</v>
      </c>
      <c r="AC384" s="2">
        <f>IF(Games[[#This Row],[Type]]="R",IF(Games[[#This Row],[Result]]&gt;0.5,1,0),0)</f>
        <v>1</v>
      </c>
      <c r="AD384" s="2">
        <f>IF(Games[[#This Row],[Type]]="R",IF(Games[[#This Row],[Result]]&lt;0.5,1,0),0)</f>
        <v>0</v>
      </c>
      <c r="AE384" s="2">
        <f>IF(AND(Games[[#This Row],[Type]]="P",Games[[#This Row],[Round]]=1),IF(Games[[#This Row],[Result]]&gt;0.5,1,0),0)</f>
        <v>0</v>
      </c>
      <c r="AF384" s="2">
        <f>IF(AND(Games[[#This Row],[Type]]="P",Games[[#This Row],[Round]]=1),IF(Games[[#This Row],[Result]]&lt;0.5,1,0),0)</f>
        <v>0</v>
      </c>
      <c r="AG384" s="2">
        <f>IF(AND(Games[[#This Row],[Type]]="P",Games[[#This Row],[Round]]=2),IF(Games[[#This Row],[Result]]&gt;0.5,1,0),0)</f>
        <v>0</v>
      </c>
      <c r="AH384" s="2">
        <f>IF(AND(Games[[#This Row],[Type]]="P",Games[[#This Row],[Round]]=2),IF(Games[[#This Row],[Result]]&lt;0.5,1,0),0)</f>
        <v>0</v>
      </c>
      <c r="AI384" s="2">
        <f>IF(AND(Games[[#This Row],[Type]]="P",Games[[#This Row],[Round]]=3),IF(Games[[#This Row],[Result]]&gt;0.5,1,0),0)</f>
        <v>0</v>
      </c>
      <c r="AJ384" s="2">
        <f>IF(AND(Games[[#This Row],[Type]]="P",Games[[#This Row],[Round]]=3),IF(Games[[#This Row],[Result]]&lt;0.5,1,0),0)</f>
        <v>0</v>
      </c>
      <c r="AK384" s="2">
        <f>IF(AND(Games[[#This Row],[Type]]="P",Games[[#This Row],[Round]]=4),IF(Games[[#This Row],[Result]]&gt;0.5,1,0),0)</f>
        <v>0</v>
      </c>
      <c r="AL384" s="2">
        <f>IF(AND(Games[[#This Row],[Type]]="P",Games[[#This Row],[Round]]=4),IF(Games[[#This Row],[Result]]&lt;0.5,1,0),0)</f>
        <v>0</v>
      </c>
    </row>
    <row r="385" spans="1:38" x14ac:dyDescent="0.35">
      <c r="A385" s="10">
        <v>37842</v>
      </c>
      <c r="B385" s="2">
        <v>2003</v>
      </c>
      <c r="C385" s="2">
        <f>COUNTIFS(Games[Team],Games[[#This Row],[Team]],Games[Season],Games[[#This Row],[Season]],Games[Date],"&lt;=" &amp; Games[[#This Row],[Date]])</f>
        <v>29</v>
      </c>
      <c r="D385" s="2" t="s">
        <v>23</v>
      </c>
      <c r="E385" s="2" t="s">
        <v>29</v>
      </c>
      <c r="F385" s="1" t="s">
        <v>45</v>
      </c>
      <c r="G385" s="1" t="s">
        <v>78</v>
      </c>
      <c r="H385" s="1" t="s">
        <v>15</v>
      </c>
      <c r="I385" s="2" cm="1">
        <f t="array" ref="I385">IFERROR(
    Games[[#This Row],[Date]]
    - LOOKUP(
        2,
        1/((Games[Team]=Games[[#This Row],[Team]]) * (Games[Date] &lt; Games[[#This Row],[Date]])),
        Games[Date]
    )
    - 1,
Games[[#This Row],[Date]]-$A$2)</f>
        <v>1</v>
      </c>
      <c r="J385" s="2" cm="1">
        <f t="array" ref="J385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85" s="2">
        <f>Games[[#This Row],[DaysOff]]-Games[[#This Row],[OppDaysOff]]</f>
        <v>1</v>
      </c>
      <c r="L385" s="2">
        <f>Games[[#This Row],[OppDaysOff]]-Games[[#This Row],[DaysOff]]</f>
        <v>-1</v>
      </c>
      <c r="M385" s="1">
        <f>MAX(-16, MIN(16, Games[[#This Row],[RestDiff]]*8))</f>
        <v>8</v>
      </c>
      <c r="N385" s="1">
        <f>MAX(-16, MIN(16, Games[[#This Row],[OppRestDiff]]*8))</f>
        <v>-8</v>
      </c>
      <c r="O385" s="4" cm="1">
        <f t="array" ref="O38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1557.8039201489923</v>
      </c>
      <c r="P385" s="4" cm="1">
        <f t="array" ref="P38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1492.0006899843859</v>
      </c>
      <c r="Q385" s="4">
        <f>1/(1+10^(((Games[[#This Row],[OppPreGmRate]]+IF(Games[[#This Row],[HomeAway]]="A",HCA,0)+Games[[#This Row],[OppRestAdj]])-(Games[[#This Row],[PreGmRate]]+IF(Games[[#This Row],[HomeAway]]="H",HCA,0)+Games[[#This Row],[RestAdj]]))/400))</f>
        <v>0.72200724381572445</v>
      </c>
      <c r="R385" s="1">
        <v>73</v>
      </c>
      <c r="S385" s="1">
        <v>77</v>
      </c>
      <c r="T385" s="1">
        <v>0</v>
      </c>
      <c r="U385" s="1">
        <f>Games[[#This Row],[PointsFor]]-Games[[#This Row],[PointsAgainst]]</f>
        <v>-4</v>
      </c>
      <c r="V385" s="1">
        <f>IF(Games[[#This Row],[MOV]]&gt;0,1,IF(Games[[#This Row],[MOV]]=0,0.5,0))</f>
        <v>0</v>
      </c>
      <c r="W385" s="4">
        <f>((ABS(Games[[#This Row],[MOV]])+5)^0.6)/(12+0.01*(ABS(Games[[#This Row],[PreGmRate]]-Games[[#This Row],[OppPreGmRate]])))*IF(Games[[#This Row],[OT]]=1,0.9,1)</f>
        <v>0.29524279364973366</v>
      </c>
      <c r="X385" s="7" cm="1">
        <f t="array" ref="X38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5" s="9">
        <f>MAX(kmin, kmax - 0.15 * MIN(Games[[#This Row],[GamesPlayed]], 82))</f>
        <v>71.650000000000006</v>
      </c>
      <c r="Z385" s="4">
        <f>Games[[#This Row],[K]]*Games[[#This Row],[POMult]]</f>
        <v>71.650000000000006</v>
      </c>
      <c r="AA385" s="4">
        <f>(Games[[#This Row],[Keff]]*Games[[#This Row],[MOVMult]])*(Games[[#This Row],[Result]]-Games[[#This Row],[ExpectedWin%]])</f>
        <v>-15.273446767869094</v>
      </c>
      <c r="AB385" s="4">
        <f>Games[[#This Row],[PreGmRate]]+Games[[#This Row],[RatingChange]]</f>
        <v>1542.5304733811233</v>
      </c>
      <c r="AC385" s="2">
        <f>IF(Games[[#This Row],[Type]]="R",IF(Games[[#This Row],[Result]]&gt;0.5,1,0),0)</f>
        <v>0</v>
      </c>
      <c r="AD385" s="2">
        <f>IF(Games[[#This Row],[Type]]="R",IF(Games[[#This Row],[Result]]&lt;0.5,1,0),0)</f>
        <v>1</v>
      </c>
      <c r="AE385" s="2">
        <f>IF(AND(Games[[#This Row],[Type]]="P",Games[[#This Row],[Round]]=1),IF(Games[[#This Row],[Result]]&gt;0.5,1,0),0)</f>
        <v>0</v>
      </c>
      <c r="AF385" s="2">
        <f>IF(AND(Games[[#This Row],[Type]]="P",Games[[#This Row],[Round]]=1),IF(Games[[#This Row],[Result]]&lt;0.5,1,0),0)</f>
        <v>0</v>
      </c>
      <c r="AG385" s="2">
        <f>IF(AND(Games[[#This Row],[Type]]="P",Games[[#This Row],[Round]]=2),IF(Games[[#This Row],[Result]]&gt;0.5,1,0),0)</f>
        <v>0</v>
      </c>
      <c r="AH385" s="2">
        <f>IF(AND(Games[[#This Row],[Type]]="P",Games[[#This Row],[Round]]=2),IF(Games[[#This Row],[Result]]&lt;0.5,1,0),0)</f>
        <v>0</v>
      </c>
      <c r="AI385" s="2">
        <f>IF(AND(Games[[#This Row],[Type]]="P",Games[[#This Row],[Round]]=3),IF(Games[[#This Row],[Result]]&gt;0.5,1,0),0)</f>
        <v>0</v>
      </c>
      <c r="AJ385" s="2">
        <f>IF(AND(Games[[#This Row],[Type]]="P",Games[[#This Row],[Round]]=3),IF(Games[[#This Row],[Result]]&lt;0.5,1,0),0)</f>
        <v>0</v>
      </c>
      <c r="AK385" s="2">
        <f>IF(AND(Games[[#This Row],[Type]]="P",Games[[#This Row],[Round]]=4),IF(Games[[#This Row],[Result]]&gt;0.5,1,0),0)</f>
        <v>0</v>
      </c>
      <c r="AL385" s="2">
        <f>IF(AND(Games[[#This Row],[Type]]="P",Games[[#This Row],[Round]]=4),IF(Games[[#This Row],[Result]]&lt;0.5,1,0),0)</f>
        <v>0</v>
      </c>
    </row>
    <row r="386" spans="1:38" x14ac:dyDescent="0.35">
      <c r="A386" s="10">
        <v>37842</v>
      </c>
      <c r="B386" s="2">
        <v>2003</v>
      </c>
      <c r="C386" s="2">
        <f>COUNTIFS(Games[Team],Games[[#This Row],[Team]],Games[Season],Games[[#This Row],[Season]],Games[Date],"&lt;=" &amp; Games[[#This Row],[Date]])</f>
        <v>29</v>
      </c>
      <c r="D386" s="2" t="s">
        <v>23</v>
      </c>
      <c r="E386" s="2" t="s">
        <v>29</v>
      </c>
      <c r="F386" s="1" t="s">
        <v>71</v>
      </c>
      <c r="G386" s="1" t="s">
        <v>85</v>
      </c>
      <c r="H386" s="1" t="s">
        <v>16</v>
      </c>
      <c r="I386" s="2" cm="1">
        <f t="array" ref="I386">IFERROR(
    Games[[#This Row],[Date]]
    - LOOKUP(
        2,
        1/((Games[Team]=Games[[#This Row],[Team]]) * (Games[Date] &lt; Games[[#This Row],[Date]])),
        Games[Date]
    )
    - 1,
Games[[#This Row],[Date]]-$A$2)</f>
        <v>0</v>
      </c>
      <c r="J386" s="2" cm="1">
        <f t="array" ref="J38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86" s="2">
        <f>Games[[#This Row],[DaysOff]]-Games[[#This Row],[OppDaysOff]]</f>
        <v>-1</v>
      </c>
      <c r="L386" s="2">
        <f>Games[[#This Row],[OppDaysOff]]-Games[[#This Row],[DaysOff]]</f>
        <v>1</v>
      </c>
      <c r="M386" s="1">
        <f>MAX(-16, MIN(16, Games[[#This Row],[RestDiff]]*8))</f>
        <v>-8</v>
      </c>
      <c r="N386" s="1">
        <f>MAX(-16, MIN(16, Games[[#This Row],[OppRestDiff]]*8))</f>
        <v>8</v>
      </c>
      <c r="O386" s="4" cm="1">
        <f t="array" ref="O38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1585.8693715464372</v>
      </c>
      <c r="P386" s="4" cm="1">
        <f t="array" ref="P38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1395.5200727136366</v>
      </c>
      <c r="Q386" s="4">
        <f>1/(1+10^(((Games[[#This Row],[OppPreGmRate]]+IF(Games[[#This Row],[HomeAway]]="A",HCA,0)+Games[[#This Row],[OppRestAdj]])-(Games[[#This Row],[PreGmRate]]+IF(Games[[#This Row],[HomeAway]]="H",HCA,0)+Games[[#This Row],[RestAdj]]))/400))</f>
        <v>0.62716936563768899</v>
      </c>
      <c r="R386" s="1">
        <v>52</v>
      </c>
      <c r="S386" s="1">
        <v>69</v>
      </c>
      <c r="T386" s="1">
        <v>0</v>
      </c>
      <c r="U386" s="1">
        <f>Games[[#This Row],[PointsFor]]-Games[[#This Row],[PointsAgainst]]</f>
        <v>-17</v>
      </c>
      <c r="V386" s="1">
        <f>IF(Games[[#This Row],[MOV]]&gt;0,1,IF(Games[[#This Row],[MOV]]=0,0.5,0))</f>
        <v>0</v>
      </c>
      <c r="W386" s="4">
        <f>((ABS(Games[[#This Row],[MOV]])+5)^0.6)/(12+0.01*(ABS(Games[[#This Row],[PreGmRate]]-Games[[#This Row],[OppPreGmRate]])))*IF(Games[[#This Row],[OT]]=1,0.9,1)</f>
        <v>0.45954673651777977</v>
      </c>
      <c r="X386" s="7" cm="1">
        <f t="array" ref="X38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6" s="9">
        <f>MAX(kmin, kmax - 0.15 * MIN(Games[[#This Row],[GamesPlayed]], 82))</f>
        <v>71.650000000000006</v>
      </c>
      <c r="Z386" s="4">
        <f>Games[[#This Row],[K]]*Games[[#This Row],[POMult]]</f>
        <v>71.650000000000006</v>
      </c>
      <c r="AA386" s="4">
        <f>(Games[[#This Row],[Keff]]*Games[[#This Row],[MOVMult]])*(Games[[#This Row],[Result]]-Games[[#This Row],[ExpectedWin%]])</f>
        <v>-20.650506963708327</v>
      </c>
      <c r="AB386" s="4">
        <f>Games[[#This Row],[PreGmRate]]+Games[[#This Row],[RatingChange]]</f>
        <v>1565.2188645827289</v>
      </c>
      <c r="AC386" s="2">
        <f>IF(Games[[#This Row],[Type]]="R",IF(Games[[#This Row],[Result]]&gt;0.5,1,0),0)</f>
        <v>0</v>
      </c>
      <c r="AD386" s="2">
        <f>IF(Games[[#This Row],[Type]]="R",IF(Games[[#This Row],[Result]]&lt;0.5,1,0),0)</f>
        <v>1</v>
      </c>
      <c r="AE386" s="2">
        <f>IF(AND(Games[[#This Row],[Type]]="P",Games[[#This Row],[Round]]=1),IF(Games[[#This Row],[Result]]&gt;0.5,1,0),0)</f>
        <v>0</v>
      </c>
      <c r="AF386" s="2">
        <f>IF(AND(Games[[#This Row],[Type]]="P",Games[[#This Row],[Round]]=1),IF(Games[[#This Row],[Result]]&lt;0.5,1,0),0)</f>
        <v>0</v>
      </c>
      <c r="AG386" s="2">
        <f>IF(AND(Games[[#This Row],[Type]]="P",Games[[#This Row],[Round]]=2),IF(Games[[#This Row],[Result]]&gt;0.5,1,0),0)</f>
        <v>0</v>
      </c>
      <c r="AH386" s="2">
        <f>IF(AND(Games[[#This Row],[Type]]="P",Games[[#This Row],[Round]]=2),IF(Games[[#This Row],[Result]]&lt;0.5,1,0),0)</f>
        <v>0</v>
      </c>
      <c r="AI386" s="2">
        <f>IF(AND(Games[[#This Row],[Type]]="P",Games[[#This Row],[Round]]=3),IF(Games[[#This Row],[Result]]&gt;0.5,1,0),0)</f>
        <v>0</v>
      </c>
      <c r="AJ386" s="2">
        <f>IF(AND(Games[[#This Row],[Type]]="P",Games[[#This Row],[Round]]=3),IF(Games[[#This Row],[Result]]&lt;0.5,1,0),0)</f>
        <v>0</v>
      </c>
      <c r="AK386" s="2">
        <f>IF(AND(Games[[#This Row],[Type]]="P",Games[[#This Row],[Round]]=4),IF(Games[[#This Row],[Result]]&gt;0.5,1,0),0)</f>
        <v>0</v>
      </c>
      <c r="AL386" s="2">
        <f>IF(AND(Games[[#This Row],[Type]]="P",Games[[#This Row],[Round]]=4),IF(Games[[#This Row],[Result]]&lt;0.5,1,0),0)</f>
        <v>0</v>
      </c>
    </row>
    <row r="387" spans="1:38" x14ac:dyDescent="0.35">
      <c r="A387" s="10">
        <v>37842</v>
      </c>
      <c r="B387" s="2">
        <v>2003</v>
      </c>
      <c r="C387" s="2">
        <f>COUNTIFS(Games[Team],Games[[#This Row],[Team]],Games[Season],Games[[#This Row],[Season]],Games[Date],"&lt;=" &amp; Games[[#This Row],[Date]])</f>
        <v>29</v>
      </c>
      <c r="D387" s="2" t="s">
        <v>23</v>
      </c>
      <c r="E387" s="2" t="s">
        <v>29</v>
      </c>
      <c r="F387" s="1" t="s">
        <v>85</v>
      </c>
      <c r="G387" s="1" t="s">
        <v>71</v>
      </c>
      <c r="H387" s="1" t="s">
        <v>15</v>
      </c>
      <c r="I387" s="2" cm="1">
        <f t="array" ref="I387">IFERROR(
    Games[[#This Row],[Date]]
    - LOOKUP(
        2,
        1/((Games[Team]=Games[[#This Row],[Team]]) * (Games[Date] &lt; Games[[#This Row],[Date]])),
        Games[Date]
    )
    - 1,
Games[[#This Row],[Date]]-$A$2)</f>
        <v>1</v>
      </c>
      <c r="J387" s="2" cm="1">
        <f t="array" ref="J387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87" s="2">
        <f>Games[[#This Row],[DaysOff]]-Games[[#This Row],[OppDaysOff]]</f>
        <v>1</v>
      </c>
      <c r="L387" s="2">
        <f>Games[[#This Row],[OppDaysOff]]-Games[[#This Row],[DaysOff]]</f>
        <v>-1</v>
      </c>
      <c r="M387" s="1">
        <f>MAX(-16, MIN(16, Games[[#This Row],[RestDiff]]*8))</f>
        <v>8</v>
      </c>
      <c r="N387" s="1">
        <f>MAX(-16, MIN(16, Games[[#This Row],[OppRestDiff]]*8))</f>
        <v>-8</v>
      </c>
      <c r="O387" s="4" cm="1">
        <f t="array" ref="O38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1395.5200727136366</v>
      </c>
      <c r="P387" s="4" cm="1">
        <f t="array" ref="P38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1585.8693715464372</v>
      </c>
      <c r="Q387" s="4">
        <f>1/(1+10^(((Games[[#This Row],[OppPreGmRate]]+IF(Games[[#This Row],[HomeAway]]="A",HCA,0)+Games[[#This Row],[OppRestAdj]])-(Games[[#This Row],[PreGmRate]]+IF(Games[[#This Row],[HomeAway]]="H",HCA,0)+Games[[#This Row],[RestAdj]]))/400))</f>
        <v>0.37283063436231101</v>
      </c>
      <c r="R387" s="1">
        <v>69</v>
      </c>
      <c r="S387" s="1">
        <v>52</v>
      </c>
      <c r="T387" s="1">
        <v>0</v>
      </c>
      <c r="U387" s="1">
        <f>Games[[#This Row],[PointsFor]]-Games[[#This Row],[PointsAgainst]]</f>
        <v>17</v>
      </c>
      <c r="V387" s="1">
        <f>IF(Games[[#This Row],[MOV]]&gt;0,1,IF(Games[[#This Row],[MOV]]=0,0.5,0))</f>
        <v>1</v>
      </c>
      <c r="W387" s="4">
        <f>((ABS(Games[[#This Row],[MOV]])+5)^0.6)/(12+0.01*(ABS(Games[[#This Row],[PreGmRate]]-Games[[#This Row],[OppPreGmRate]])))*IF(Games[[#This Row],[OT]]=1,0.9,1)</f>
        <v>0.45954673651777977</v>
      </c>
      <c r="X387" s="7" cm="1">
        <f t="array" ref="X38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7" s="9">
        <f>MAX(kmin, kmax - 0.15 * MIN(Games[[#This Row],[GamesPlayed]], 82))</f>
        <v>71.650000000000006</v>
      </c>
      <c r="Z387" s="4">
        <f>Games[[#This Row],[K]]*Games[[#This Row],[POMult]]</f>
        <v>71.650000000000006</v>
      </c>
      <c r="AA387" s="4">
        <f>(Games[[#This Row],[Keff]]*Games[[#This Row],[MOVMult]])*(Games[[#This Row],[Result]]-Games[[#This Row],[ExpectedWin%]])</f>
        <v>20.650506963708327</v>
      </c>
      <c r="AB387" s="4">
        <f>Games[[#This Row],[PreGmRate]]+Games[[#This Row],[RatingChange]]</f>
        <v>1416.1705796773449</v>
      </c>
      <c r="AC387" s="2">
        <f>IF(Games[[#This Row],[Type]]="R",IF(Games[[#This Row],[Result]]&gt;0.5,1,0),0)</f>
        <v>1</v>
      </c>
      <c r="AD387" s="2">
        <f>IF(Games[[#This Row],[Type]]="R",IF(Games[[#This Row],[Result]]&lt;0.5,1,0),0)</f>
        <v>0</v>
      </c>
      <c r="AE387" s="2">
        <f>IF(AND(Games[[#This Row],[Type]]="P",Games[[#This Row],[Round]]=1),IF(Games[[#This Row],[Result]]&gt;0.5,1,0),0)</f>
        <v>0</v>
      </c>
      <c r="AF387" s="2">
        <f>IF(AND(Games[[#This Row],[Type]]="P",Games[[#This Row],[Round]]=1),IF(Games[[#This Row],[Result]]&lt;0.5,1,0),0)</f>
        <v>0</v>
      </c>
      <c r="AG387" s="2">
        <f>IF(AND(Games[[#This Row],[Type]]="P",Games[[#This Row],[Round]]=2),IF(Games[[#This Row],[Result]]&gt;0.5,1,0),0)</f>
        <v>0</v>
      </c>
      <c r="AH387" s="2">
        <f>IF(AND(Games[[#This Row],[Type]]="P",Games[[#This Row],[Round]]=2),IF(Games[[#This Row],[Result]]&lt;0.5,1,0),0)</f>
        <v>0</v>
      </c>
      <c r="AI387" s="2">
        <f>IF(AND(Games[[#This Row],[Type]]="P",Games[[#This Row],[Round]]=3),IF(Games[[#This Row],[Result]]&gt;0.5,1,0),0)</f>
        <v>0</v>
      </c>
      <c r="AJ387" s="2">
        <f>IF(AND(Games[[#This Row],[Type]]="P",Games[[#This Row],[Round]]=3),IF(Games[[#This Row],[Result]]&lt;0.5,1,0),0)</f>
        <v>0</v>
      </c>
      <c r="AK387" s="2">
        <f>IF(AND(Games[[#This Row],[Type]]="P",Games[[#This Row],[Round]]=4),IF(Games[[#This Row],[Result]]&gt;0.5,1,0),0)</f>
        <v>0</v>
      </c>
      <c r="AL387" s="2">
        <f>IF(AND(Games[[#This Row],[Type]]="P",Games[[#This Row],[Round]]=4),IF(Games[[#This Row],[Result]]&lt;0.5,1,0),0)</f>
        <v>0</v>
      </c>
    </row>
    <row r="388" spans="1:38" x14ac:dyDescent="0.35">
      <c r="A388" s="10">
        <v>37842</v>
      </c>
      <c r="B388" s="2">
        <v>2003</v>
      </c>
      <c r="C388" s="2">
        <f>COUNTIFS(Games[Team],Games[[#This Row],[Team]],Games[Season],Games[[#This Row],[Season]],Games[Date],"&lt;=" &amp; Games[[#This Row],[Date]])</f>
        <v>26</v>
      </c>
      <c r="D388" s="2" t="s">
        <v>23</v>
      </c>
      <c r="E388" s="2" t="s">
        <v>29</v>
      </c>
      <c r="F388" s="1" t="s">
        <v>66</v>
      </c>
      <c r="G388" s="1" t="s">
        <v>74</v>
      </c>
      <c r="H388" s="1" t="s">
        <v>16</v>
      </c>
      <c r="I388" s="2" cm="1">
        <f t="array" ref="I388">IFERROR(
    Games[[#This Row],[Date]]
    - LOOKUP(
        2,
        1/((Games[Team]=Games[[#This Row],[Team]]) * (Games[Date] &lt; Games[[#This Row],[Date]])),
        Games[Date]
    )
    - 1,
Games[[#This Row],[Date]]-$A$2)</f>
        <v>1</v>
      </c>
      <c r="J388" s="2" cm="1">
        <f t="array" ref="J38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88" s="2">
        <f>Games[[#This Row],[DaysOff]]-Games[[#This Row],[OppDaysOff]]</f>
        <v>-1</v>
      </c>
      <c r="L388" s="2">
        <f>Games[[#This Row],[OppDaysOff]]-Games[[#This Row],[DaysOff]]</f>
        <v>1</v>
      </c>
      <c r="M388" s="1">
        <f>MAX(-16, MIN(16, Games[[#This Row],[RestDiff]]*8))</f>
        <v>-8</v>
      </c>
      <c r="N388" s="1">
        <f>MAX(-16, MIN(16, Games[[#This Row],[OppRestDiff]]*8))</f>
        <v>8</v>
      </c>
      <c r="O388" s="4" cm="1">
        <f t="array" ref="O38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1472.7571285896552</v>
      </c>
      <c r="P388" s="4" cm="1">
        <f t="array" ref="P38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1396.6254208394744</v>
      </c>
      <c r="Q388" s="4">
        <f>1/(1+10^(((Games[[#This Row],[OppPreGmRate]]+IF(Games[[#This Row],[HomeAway]]="A",HCA,0)+Games[[#This Row],[OppRestAdj]])-(Games[[#This Row],[PreGmRate]]+IF(Games[[#This Row],[HomeAway]]="H",HCA,0)+Games[[#This Row],[RestAdj]]))/400))</f>
        <v>0.46570470131207825</v>
      </c>
      <c r="R388" s="1">
        <v>65</v>
      </c>
      <c r="S388" s="1">
        <v>56</v>
      </c>
      <c r="T388" s="1">
        <v>0</v>
      </c>
      <c r="U388" s="1">
        <f>Games[[#This Row],[PointsFor]]-Games[[#This Row],[PointsAgainst]]</f>
        <v>9</v>
      </c>
      <c r="V388" s="1">
        <f>IF(Games[[#This Row],[MOV]]&gt;0,1,IF(Games[[#This Row],[MOV]]=0,0.5,0))</f>
        <v>1</v>
      </c>
      <c r="W388" s="4">
        <f>((ABS(Games[[#This Row],[MOV]])+5)^0.6)/(12+0.01*(ABS(Games[[#This Row],[PreGmRate]]-Games[[#This Row],[OppPreGmRate]])))*IF(Games[[#This Row],[OT]]=1,0.9,1)</f>
        <v>0.38175200068930532</v>
      </c>
      <c r="X388" s="7" cm="1">
        <f t="array" ref="X38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8" s="9">
        <f>MAX(kmin, kmax - 0.15 * MIN(Games[[#This Row],[GamesPlayed]], 82))</f>
        <v>72.099999999999994</v>
      </c>
      <c r="Z388" s="4">
        <f>Games[[#This Row],[K]]*Games[[#This Row],[POMult]]</f>
        <v>72.099999999999994</v>
      </c>
      <c r="AA388" s="4">
        <f>(Games[[#This Row],[Keff]]*Games[[#This Row],[MOVMult]])*(Games[[#This Row],[Result]]-Games[[#This Row],[ExpectedWin%]])</f>
        <v>14.706114374699593</v>
      </c>
      <c r="AB388" s="4">
        <f>Games[[#This Row],[PreGmRate]]+Games[[#This Row],[RatingChange]]</f>
        <v>1487.4632429643548</v>
      </c>
      <c r="AC388" s="2">
        <f>IF(Games[[#This Row],[Type]]="R",IF(Games[[#This Row],[Result]]&gt;0.5,1,0),0)</f>
        <v>1</v>
      </c>
      <c r="AD388" s="2">
        <f>IF(Games[[#This Row],[Type]]="R",IF(Games[[#This Row],[Result]]&lt;0.5,1,0),0)</f>
        <v>0</v>
      </c>
      <c r="AE388" s="2">
        <f>IF(AND(Games[[#This Row],[Type]]="P",Games[[#This Row],[Round]]=1),IF(Games[[#This Row],[Result]]&gt;0.5,1,0),0)</f>
        <v>0</v>
      </c>
      <c r="AF388" s="2">
        <f>IF(AND(Games[[#This Row],[Type]]="P",Games[[#This Row],[Round]]=1),IF(Games[[#This Row],[Result]]&lt;0.5,1,0),0)</f>
        <v>0</v>
      </c>
      <c r="AG388" s="2">
        <f>IF(AND(Games[[#This Row],[Type]]="P",Games[[#This Row],[Round]]=2),IF(Games[[#This Row],[Result]]&gt;0.5,1,0),0)</f>
        <v>0</v>
      </c>
      <c r="AH388" s="2">
        <f>IF(AND(Games[[#This Row],[Type]]="P",Games[[#This Row],[Round]]=2),IF(Games[[#This Row],[Result]]&lt;0.5,1,0),0)</f>
        <v>0</v>
      </c>
      <c r="AI388" s="2">
        <f>IF(AND(Games[[#This Row],[Type]]="P",Games[[#This Row],[Round]]=3),IF(Games[[#This Row],[Result]]&gt;0.5,1,0),0)</f>
        <v>0</v>
      </c>
      <c r="AJ388" s="2">
        <f>IF(AND(Games[[#This Row],[Type]]="P",Games[[#This Row],[Round]]=3),IF(Games[[#This Row],[Result]]&lt;0.5,1,0),0)</f>
        <v>0</v>
      </c>
      <c r="AK388" s="2">
        <f>IF(AND(Games[[#This Row],[Type]]="P",Games[[#This Row],[Round]]=4),IF(Games[[#This Row],[Result]]&gt;0.5,1,0),0)</f>
        <v>0</v>
      </c>
      <c r="AL388" s="2">
        <f>IF(AND(Games[[#This Row],[Type]]="P",Games[[#This Row],[Round]]=4),IF(Games[[#This Row],[Result]]&lt;0.5,1,0),0)</f>
        <v>0</v>
      </c>
    </row>
    <row r="389" spans="1:38" x14ac:dyDescent="0.35">
      <c r="A389" s="10">
        <v>37842</v>
      </c>
      <c r="B389" s="2">
        <v>2003</v>
      </c>
      <c r="C389" s="2">
        <f>COUNTIFS(Games[Team],Games[[#This Row],[Team]],Games[Season],Games[[#This Row],[Season]],Games[Date],"&lt;=" &amp; Games[[#This Row],[Date]])</f>
        <v>28</v>
      </c>
      <c r="D389" s="2" t="s">
        <v>23</v>
      </c>
      <c r="E389" s="2" t="s">
        <v>29</v>
      </c>
      <c r="F389" s="1" t="s">
        <v>74</v>
      </c>
      <c r="G389" s="1" t="s">
        <v>66</v>
      </c>
      <c r="H389" s="1" t="s">
        <v>15</v>
      </c>
      <c r="I389" s="2" cm="1">
        <f t="array" ref="I389">IFERROR(
    Games[[#This Row],[Date]]
    - LOOKUP(
        2,
        1/((Games[Team]=Games[[#This Row],[Team]]) * (Games[Date] &lt; Games[[#This Row],[Date]])),
        Games[Date]
    )
    - 1,
Games[[#This Row],[Date]]-$A$2)</f>
        <v>2</v>
      </c>
      <c r="J389" s="2" cm="1">
        <f t="array" ref="J38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89" s="2">
        <f>Games[[#This Row],[DaysOff]]-Games[[#This Row],[OppDaysOff]]</f>
        <v>1</v>
      </c>
      <c r="L389" s="2">
        <f>Games[[#This Row],[OppDaysOff]]-Games[[#This Row],[DaysOff]]</f>
        <v>-1</v>
      </c>
      <c r="M389" s="1">
        <f>MAX(-16, MIN(16, Games[[#This Row],[RestDiff]]*8))</f>
        <v>8</v>
      </c>
      <c r="N389" s="1">
        <f>MAX(-16, MIN(16, Games[[#This Row],[OppRestDiff]]*8))</f>
        <v>-8</v>
      </c>
      <c r="O389" s="4" cm="1">
        <f t="array" ref="O38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1396.6254208394744</v>
      </c>
      <c r="P389" s="4" cm="1">
        <f t="array" ref="P38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1472.7571285896552</v>
      </c>
      <c r="Q389" s="4">
        <f>1/(1+10^(((Games[[#This Row],[OppPreGmRate]]+IF(Games[[#This Row],[HomeAway]]="A",HCA,0)+Games[[#This Row],[OppRestAdj]])-(Games[[#This Row],[PreGmRate]]+IF(Games[[#This Row],[HomeAway]]="H",HCA,0)+Games[[#This Row],[RestAdj]]))/400))</f>
        <v>0.53429529868792169</v>
      </c>
      <c r="R389" s="1">
        <v>56</v>
      </c>
      <c r="S389" s="1">
        <v>65</v>
      </c>
      <c r="T389" s="1">
        <v>0</v>
      </c>
      <c r="U389" s="1">
        <f>Games[[#This Row],[PointsFor]]-Games[[#This Row],[PointsAgainst]]</f>
        <v>-9</v>
      </c>
      <c r="V389" s="1">
        <f>IF(Games[[#This Row],[MOV]]&gt;0,1,IF(Games[[#This Row],[MOV]]=0,0.5,0))</f>
        <v>0</v>
      </c>
      <c r="W389" s="4">
        <f>((ABS(Games[[#This Row],[MOV]])+5)^0.6)/(12+0.01*(ABS(Games[[#This Row],[PreGmRate]]-Games[[#This Row],[OppPreGmRate]])))*IF(Games[[#This Row],[OT]]=1,0.9,1)</f>
        <v>0.38175200068930532</v>
      </c>
      <c r="X389" s="7" cm="1">
        <f t="array" ref="X38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9" s="9">
        <f>MAX(kmin, kmax - 0.15 * MIN(Games[[#This Row],[GamesPlayed]], 82))</f>
        <v>71.8</v>
      </c>
      <c r="Z389" s="4">
        <f>Games[[#This Row],[K]]*Games[[#This Row],[POMult]]</f>
        <v>71.8</v>
      </c>
      <c r="AA389" s="4">
        <f>(Games[[#This Row],[Keff]]*Games[[#This Row],[MOVMult]])*(Games[[#This Row],[Result]]-Games[[#This Row],[ExpectedWin%]])</f>
        <v>-14.644923884929691</v>
      </c>
      <c r="AB389" s="4">
        <f>Games[[#This Row],[PreGmRate]]+Games[[#This Row],[RatingChange]]</f>
        <v>1381.9804969545446</v>
      </c>
      <c r="AC389" s="2">
        <f>IF(Games[[#This Row],[Type]]="R",IF(Games[[#This Row],[Result]]&gt;0.5,1,0),0)</f>
        <v>0</v>
      </c>
      <c r="AD389" s="2">
        <f>IF(Games[[#This Row],[Type]]="R",IF(Games[[#This Row],[Result]]&lt;0.5,1,0),0)</f>
        <v>1</v>
      </c>
      <c r="AE389" s="2">
        <f>IF(AND(Games[[#This Row],[Type]]="P",Games[[#This Row],[Round]]=1),IF(Games[[#This Row],[Result]]&gt;0.5,1,0),0)</f>
        <v>0</v>
      </c>
      <c r="AF389" s="2">
        <f>IF(AND(Games[[#This Row],[Type]]="P",Games[[#This Row],[Round]]=1),IF(Games[[#This Row],[Result]]&lt;0.5,1,0),0)</f>
        <v>0</v>
      </c>
      <c r="AG389" s="2">
        <f>IF(AND(Games[[#This Row],[Type]]="P",Games[[#This Row],[Round]]=2),IF(Games[[#This Row],[Result]]&gt;0.5,1,0),0)</f>
        <v>0</v>
      </c>
      <c r="AH389" s="2">
        <f>IF(AND(Games[[#This Row],[Type]]="P",Games[[#This Row],[Round]]=2),IF(Games[[#This Row],[Result]]&lt;0.5,1,0),0)</f>
        <v>0</v>
      </c>
      <c r="AI389" s="2">
        <f>IF(AND(Games[[#This Row],[Type]]="P",Games[[#This Row],[Round]]=3),IF(Games[[#This Row],[Result]]&gt;0.5,1,0),0)</f>
        <v>0</v>
      </c>
      <c r="AJ389" s="2">
        <f>IF(AND(Games[[#This Row],[Type]]="P",Games[[#This Row],[Round]]=3),IF(Games[[#This Row],[Result]]&lt;0.5,1,0),0)</f>
        <v>0</v>
      </c>
      <c r="AK389" s="2">
        <f>IF(AND(Games[[#This Row],[Type]]="P",Games[[#This Row],[Round]]=4),IF(Games[[#This Row],[Result]]&gt;0.5,1,0),0)</f>
        <v>0</v>
      </c>
      <c r="AL389" s="2">
        <f>IF(AND(Games[[#This Row],[Type]]="P",Games[[#This Row],[Round]]=4),IF(Games[[#This Row],[Result]]&lt;0.5,1,0),0)</f>
        <v>0</v>
      </c>
    </row>
    <row r="390" spans="1:38" x14ac:dyDescent="0.35">
      <c r="A390" s="10">
        <v>37843</v>
      </c>
      <c r="B390" s="2">
        <v>2003</v>
      </c>
      <c r="C390" s="2">
        <f>COUNTIFS(Games[Team],Games[[#This Row],[Team]],Games[Season],Games[[#This Row],[Season]],Games[Date],"&lt;=" &amp; Games[[#This Row],[Date]])</f>
        <v>28</v>
      </c>
      <c r="D390" s="2" t="s">
        <v>23</v>
      </c>
      <c r="E390" s="2" t="s">
        <v>29</v>
      </c>
      <c r="F390" s="1" t="s">
        <v>80</v>
      </c>
      <c r="G390" s="1" t="s">
        <v>1</v>
      </c>
      <c r="H390" s="1" t="s">
        <v>16</v>
      </c>
      <c r="I390" s="2" cm="1">
        <f t="array" ref="I390">IFERROR(
    Games[[#This Row],[Date]]
    - LOOKUP(
        2,
        1/((Games[Team]=Games[[#This Row],[Team]]) * (Games[Date] &lt; Games[[#This Row],[Date]])),
        Games[Date]
    )
    - 1,
Games[[#This Row],[Date]]-$A$2)</f>
        <v>0</v>
      </c>
      <c r="J390" s="2" cm="1">
        <f t="array" ref="J390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90" s="2">
        <f>Games[[#This Row],[DaysOff]]-Games[[#This Row],[OppDaysOff]]</f>
        <v>0</v>
      </c>
      <c r="L390" s="2">
        <f>Games[[#This Row],[OppDaysOff]]-Games[[#This Row],[DaysOff]]</f>
        <v>0</v>
      </c>
      <c r="M390" s="1">
        <f>MAX(-16, MIN(16, Games[[#This Row],[RestDiff]]*8))</f>
        <v>0</v>
      </c>
      <c r="N390" s="1">
        <f>MAX(-16, MIN(16, Games[[#This Row],[OppRestDiff]]*8))</f>
        <v>0</v>
      </c>
      <c r="O390" s="4" cm="1">
        <f t="array" ref="O39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1477.286736618946</v>
      </c>
      <c r="P390" s="4" cm="1">
        <f t="array" ref="P39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1468.9440803456996</v>
      </c>
      <c r="Q390" s="4">
        <f>1/(1+10^(((Games[[#This Row],[OppPreGmRate]]+IF(Games[[#This Row],[HomeAway]]="A",HCA,0)+Games[[#This Row],[OppRestAdj]])-(Games[[#This Row],[PreGmRate]]+IF(Games[[#This Row],[HomeAway]]="H",HCA,0)+Games[[#This Row],[RestAdj]]))/400))</f>
        <v>0.39280929470164105</v>
      </c>
      <c r="R390" s="1">
        <v>67</v>
      </c>
      <c r="S390" s="1">
        <v>71</v>
      </c>
      <c r="T390" s="1">
        <v>0</v>
      </c>
      <c r="U390" s="1">
        <f>Games[[#This Row],[PointsFor]]-Games[[#This Row],[PointsAgainst]]</f>
        <v>-4</v>
      </c>
      <c r="V390" s="1">
        <f>IF(Games[[#This Row],[MOV]]&gt;0,1,IF(Games[[#This Row],[MOV]]=0,0.5,0))</f>
        <v>0</v>
      </c>
      <c r="W390" s="4">
        <f>((ABS(Games[[#This Row],[MOV]])+5)^0.6)/(12+0.01*(ABS(Games[[#This Row],[PreGmRate]]-Games[[#This Row],[OppPreGmRate]])))*IF(Games[[#This Row],[OT]]=1,0.9,1)</f>
        <v>0.30928253665833089</v>
      </c>
      <c r="X390" s="7" cm="1">
        <f t="array" ref="X39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0" s="9">
        <f>MAX(kmin, kmax - 0.15 * MIN(Games[[#This Row],[GamesPlayed]], 82))</f>
        <v>71.8</v>
      </c>
      <c r="Z390" s="4">
        <f>Games[[#This Row],[K]]*Games[[#This Row],[POMult]]</f>
        <v>71.8</v>
      </c>
      <c r="AA390" s="4">
        <f>(Games[[#This Row],[Keff]]*Games[[#This Row],[MOVMult]])*(Games[[#This Row],[Result]]-Games[[#This Row],[ExpectedWin%]])</f>
        <v>-8.7229141553394651</v>
      </c>
      <c r="AB390" s="4">
        <f>Games[[#This Row],[PreGmRate]]+Games[[#This Row],[RatingChange]]</f>
        <v>1468.5638224636066</v>
      </c>
      <c r="AC390" s="2">
        <f>IF(Games[[#This Row],[Type]]="R",IF(Games[[#This Row],[Result]]&gt;0.5,1,0),0)</f>
        <v>0</v>
      </c>
      <c r="AD390" s="2">
        <f>IF(Games[[#This Row],[Type]]="R",IF(Games[[#This Row],[Result]]&lt;0.5,1,0),0)</f>
        <v>1</v>
      </c>
      <c r="AE390" s="2">
        <f>IF(AND(Games[[#This Row],[Type]]="P",Games[[#This Row],[Round]]=1),IF(Games[[#This Row],[Result]]&gt;0.5,1,0),0)</f>
        <v>0</v>
      </c>
      <c r="AF390" s="2">
        <f>IF(AND(Games[[#This Row],[Type]]="P",Games[[#This Row],[Round]]=1),IF(Games[[#This Row],[Result]]&lt;0.5,1,0),0)</f>
        <v>0</v>
      </c>
      <c r="AG390" s="2">
        <f>IF(AND(Games[[#This Row],[Type]]="P",Games[[#This Row],[Round]]=2),IF(Games[[#This Row],[Result]]&gt;0.5,1,0),0)</f>
        <v>0</v>
      </c>
      <c r="AH390" s="2">
        <f>IF(AND(Games[[#This Row],[Type]]="P",Games[[#This Row],[Round]]=2),IF(Games[[#This Row],[Result]]&lt;0.5,1,0),0)</f>
        <v>0</v>
      </c>
      <c r="AI390" s="2">
        <f>IF(AND(Games[[#This Row],[Type]]="P",Games[[#This Row],[Round]]=3),IF(Games[[#This Row],[Result]]&gt;0.5,1,0),0)</f>
        <v>0</v>
      </c>
      <c r="AJ390" s="2">
        <f>IF(AND(Games[[#This Row],[Type]]="P",Games[[#This Row],[Round]]=3),IF(Games[[#This Row],[Result]]&lt;0.5,1,0),0)</f>
        <v>0</v>
      </c>
      <c r="AK390" s="2">
        <f>IF(AND(Games[[#This Row],[Type]]="P",Games[[#This Row],[Round]]=4),IF(Games[[#This Row],[Result]]&gt;0.5,1,0),0)</f>
        <v>0</v>
      </c>
      <c r="AL390" s="2">
        <f>IF(AND(Games[[#This Row],[Type]]="P",Games[[#This Row],[Round]]=4),IF(Games[[#This Row],[Result]]&lt;0.5,1,0),0)</f>
        <v>0</v>
      </c>
    </row>
    <row r="391" spans="1:38" x14ac:dyDescent="0.35">
      <c r="A391" s="10">
        <v>37843</v>
      </c>
      <c r="B391" s="2">
        <v>2003</v>
      </c>
      <c r="C391" s="2">
        <f>COUNTIFS(Games[Team],Games[[#This Row],[Team]],Games[Season],Games[[#This Row],[Season]],Games[Date],"&lt;=" &amp; Games[[#This Row],[Date]])</f>
        <v>28</v>
      </c>
      <c r="D391" s="2" t="s">
        <v>23</v>
      </c>
      <c r="E391" s="2" t="s">
        <v>29</v>
      </c>
      <c r="F391" s="1" t="s">
        <v>1</v>
      </c>
      <c r="G391" s="1" t="s">
        <v>80</v>
      </c>
      <c r="H391" s="1" t="s">
        <v>15</v>
      </c>
      <c r="I391" s="2" cm="1">
        <f t="array" ref="I391">IFERROR(
    Games[[#This Row],[Date]]
    - LOOKUP(
        2,
        1/((Games[Team]=Games[[#This Row],[Team]]) * (Games[Date] &lt; Games[[#This Row],[Date]])),
        Games[Date]
    )
    - 1,
Games[[#This Row],[Date]]-$A$2)</f>
        <v>0</v>
      </c>
      <c r="J391" s="2" cm="1">
        <f t="array" ref="J391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91" s="2">
        <f>Games[[#This Row],[DaysOff]]-Games[[#This Row],[OppDaysOff]]</f>
        <v>0</v>
      </c>
      <c r="L391" s="2">
        <f>Games[[#This Row],[OppDaysOff]]-Games[[#This Row],[DaysOff]]</f>
        <v>0</v>
      </c>
      <c r="M391" s="1">
        <f>MAX(-16, MIN(16, Games[[#This Row],[RestDiff]]*8))</f>
        <v>0</v>
      </c>
      <c r="N391" s="1">
        <f>MAX(-16, MIN(16, Games[[#This Row],[OppRestDiff]]*8))</f>
        <v>0</v>
      </c>
      <c r="O391" s="4" cm="1">
        <f t="array" ref="O39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1468.9440803456996</v>
      </c>
      <c r="P391" s="4" cm="1">
        <f t="array" ref="P39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1477.286736618946</v>
      </c>
      <c r="Q391" s="4">
        <f>1/(1+10^(((Games[[#This Row],[OppPreGmRate]]+IF(Games[[#This Row],[HomeAway]]="A",HCA,0)+Games[[#This Row],[OppRestAdj]])-(Games[[#This Row],[PreGmRate]]+IF(Games[[#This Row],[HomeAway]]="H",HCA,0)+Games[[#This Row],[RestAdj]]))/400))</f>
        <v>0.60719070529835895</v>
      </c>
      <c r="R391" s="1">
        <v>71</v>
      </c>
      <c r="S391" s="1">
        <v>67</v>
      </c>
      <c r="T391" s="1">
        <v>0</v>
      </c>
      <c r="U391" s="1">
        <f>Games[[#This Row],[PointsFor]]-Games[[#This Row],[PointsAgainst]]</f>
        <v>4</v>
      </c>
      <c r="V391" s="1">
        <f>IF(Games[[#This Row],[MOV]]&gt;0,1,IF(Games[[#This Row],[MOV]]=0,0.5,0))</f>
        <v>1</v>
      </c>
      <c r="W391" s="4">
        <f>((ABS(Games[[#This Row],[MOV]])+5)^0.6)/(12+0.01*(ABS(Games[[#This Row],[PreGmRate]]-Games[[#This Row],[OppPreGmRate]])))*IF(Games[[#This Row],[OT]]=1,0.9,1)</f>
        <v>0.30928253665833089</v>
      </c>
      <c r="X391" s="7" cm="1">
        <f t="array" ref="X39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1" s="9">
        <f>MAX(kmin, kmax - 0.15 * MIN(Games[[#This Row],[GamesPlayed]], 82))</f>
        <v>71.8</v>
      </c>
      <c r="Z391" s="4">
        <f>Games[[#This Row],[K]]*Games[[#This Row],[POMult]]</f>
        <v>71.8</v>
      </c>
      <c r="AA391" s="4">
        <f>(Games[[#This Row],[Keff]]*Games[[#This Row],[MOVMult]])*(Games[[#This Row],[Result]]-Games[[#This Row],[ExpectedWin%]])</f>
        <v>8.7229141553394651</v>
      </c>
      <c r="AB391" s="4">
        <f>Games[[#This Row],[PreGmRate]]+Games[[#This Row],[RatingChange]]</f>
        <v>1477.666994501039</v>
      </c>
      <c r="AC391" s="2">
        <f>IF(Games[[#This Row],[Type]]="R",IF(Games[[#This Row],[Result]]&gt;0.5,1,0),0)</f>
        <v>1</v>
      </c>
      <c r="AD391" s="2">
        <f>IF(Games[[#This Row],[Type]]="R",IF(Games[[#This Row],[Result]]&lt;0.5,1,0),0)</f>
        <v>0</v>
      </c>
      <c r="AE391" s="2">
        <f>IF(AND(Games[[#This Row],[Type]]="P",Games[[#This Row],[Round]]=1),IF(Games[[#This Row],[Result]]&gt;0.5,1,0),0)</f>
        <v>0</v>
      </c>
      <c r="AF391" s="2">
        <f>IF(AND(Games[[#This Row],[Type]]="P",Games[[#This Row],[Round]]=1),IF(Games[[#This Row],[Result]]&lt;0.5,1,0),0)</f>
        <v>0</v>
      </c>
      <c r="AG391" s="2">
        <f>IF(AND(Games[[#This Row],[Type]]="P",Games[[#This Row],[Round]]=2),IF(Games[[#This Row],[Result]]&gt;0.5,1,0),0)</f>
        <v>0</v>
      </c>
      <c r="AH391" s="2">
        <f>IF(AND(Games[[#This Row],[Type]]="P",Games[[#This Row],[Round]]=2),IF(Games[[#This Row],[Result]]&lt;0.5,1,0),0)</f>
        <v>0</v>
      </c>
      <c r="AI391" s="2">
        <f>IF(AND(Games[[#This Row],[Type]]="P",Games[[#This Row],[Round]]=3),IF(Games[[#This Row],[Result]]&gt;0.5,1,0),0)</f>
        <v>0</v>
      </c>
      <c r="AJ391" s="2">
        <f>IF(AND(Games[[#This Row],[Type]]="P",Games[[#This Row],[Round]]=3),IF(Games[[#This Row],[Result]]&lt;0.5,1,0),0)</f>
        <v>0</v>
      </c>
      <c r="AK391" s="2">
        <f>IF(AND(Games[[#This Row],[Type]]="P",Games[[#This Row],[Round]]=4),IF(Games[[#This Row],[Result]]&gt;0.5,1,0),0)</f>
        <v>0</v>
      </c>
      <c r="AL391" s="2">
        <f>IF(AND(Games[[#This Row],[Type]]="P",Games[[#This Row],[Round]]=4),IF(Games[[#This Row],[Result]]&lt;0.5,1,0),0)</f>
        <v>0</v>
      </c>
    </row>
    <row r="392" spans="1:38" x14ac:dyDescent="0.35">
      <c r="A392" s="10">
        <v>37843</v>
      </c>
      <c r="B392" s="2">
        <v>2003</v>
      </c>
      <c r="C392" s="2">
        <f>COUNTIFS(Games[Team],Games[[#This Row],[Team]],Games[Season],Games[[#This Row],[Season]],Games[Date],"&lt;=" &amp; Games[[#This Row],[Date]])</f>
        <v>27</v>
      </c>
      <c r="D392" s="2" t="s">
        <v>23</v>
      </c>
      <c r="E392" s="2" t="s">
        <v>29</v>
      </c>
      <c r="F392" s="1" t="s">
        <v>66</v>
      </c>
      <c r="G392" s="1" t="s">
        <v>76</v>
      </c>
      <c r="H392" s="1" t="s">
        <v>16</v>
      </c>
      <c r="I392" s="2" cm="1">
        <f t="array" ref="I392">IFERROR(
    Games[[#This Row],[Date]]
    - LOOKUP(
        2,
        1/((Games[Team]=Games[[#This Row],[Team]]) * (Games[Date] &lt; Games[[#This Row],[Date]])),
        Games[Date]
    )
    - 1,
Games[[#This Row],[Date]]-$A$2)</f>
        <v>0</v>
      </c>
      <c r="J392" s="2" cm="1">
        <f t="array" ref="J39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92" s="2">
        <f>Games[[#This Row],[DaysOff]]-Games[[#This Row],[OppDaysOff]]</f>
        <v>-1</v>
      </c>
      <c r="L392" s="2">
        <f>Games[[#This Row],[OppDaysOff]]-Games[[#This Row],[DaysOff]]</f>
        <v>1</v>
      </c>
      <c r="M392" s="1">
        <f>MAX(-16, MIN(16, Games[[#This Row],[RestDiff]]*8))</f>
        <v>-8</v>
      </c>
      <c r="N392" s="1">
        <f>MAX(-16, MIN(16, Games[[#This Row],[OppRestDiff]]*8))</f>
        <v>8</v>
      </c>
      <c r="O392" s="4" cm="1">
        <f t="array" ref="O39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1487.4632429643548</v>
      </c>
      <c r="P392" s="4" cm="1">
        <f t="array" ref="P39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1576.7958428180302</v>
      </c>
      <c r="Q392" s="4">
        <f>1/(1+10^(((Games[[#This Row],[OppPreGmRate]]+IF(Games[[#This Row],[HomeAway]]="A",HCA,0)+Games[[#This Row],[OppRestAdj]])-(Games[[#This Row],[PreGmRate]]+IF(Games[[#This Row],[HomeAway]]="H",HCA,0)+Games[[#This Row],[RestAdj]]))/400))</f>
        <v>0.25163973556740876</v>
      </c>
      <c r="R392" s="1">
        <v>87</v>
      </c>
      <c r="S392" s="1">
        <v>90</v>
      </c>
      <c r="T392" s="1">
        <v>1</v>
      </c>
      <c r="U392" s="1">
        <f>Games[[#This Row],[PointsFor]]-Games[[#This Row],[PointsAgainst]]</f>
        <v>-3</v>
      </c>
      <c r="V392" s="1">
        <f>IF(Games[[#This Row],[MOV]]&gt;0,1,IF(Games[[#This Row],[MOV]]=0,0.5,0))</f>
        <v>0</v>
      </c>
      <c r="W392" s="4">
        <f>((ABS(Games[[#This Row],[MOV]])+5)^0.6)/(12+0.01*(ABS(Games[[#This Row],[PreGmRate]]-Games[[#This Row],[OppPreGmRate]])))*IF(Games[[#This Row],[OT]]=1,0.9,1)</f>
        <v>0.24307009907464672</v>
      </c>
      <c r="X392" s="7" cm="1">
        <f t="array" ref="X39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2" s="9">
        <f>MAX(kmin, kmax - 0.15 * MIN(Games[[#This Row],[GamesPlayed]], 82))</f>
        <v>71.95</v>
      </c>
      <c r="Z392" s="4">
        <f>Games[[#This Row],[K]]*Games[[#This Row],[POMult]]</f>
        <v>71.95</v>
      </c>
      <c r="AA392" s="4">
        <f>(Games[[#This Row],[Keff]]*Games[[#This Row],[MOVMult]])*(Games[[#This Row],[Result]]-Games[[#This Row],[ExpectedWin%]])</f>
        <v>-4.4009005680223581</v>
      </c>
      <c r="AB392" s="4">
        <f>Games[[#This Row],[PreGmRate]]+Games[[#This Row],[RatingChange]]</f>
        <v>1483.0623423963325</v>
      </c>
      <c r="AC392" s="2">
        <f>IF(Games[[#This Row],[Type]]="R",IF(Games[[#This Row],[Result]]&gt;0.5,1,0),0)</f>
        <v>0</v>
      </c>
      <c r="AD392" s="2">
        <f>IF(Games[[#This Row],[Type]]="R",IF(Games[[#This Row],[Result]]&lt;0.5,1,0),0)</f>
        <v>1</v>
      </c>
      <c r="AE392" s="2">
        <f>IF(AND(Games[[#This Row],[Type]]="P",Games[[#This Row],[Round]]=1),IF(Games[[#This Row],[Result]]&gt;0.5,1,0),0)</f>
        <v>0</v>
      </c>
      <c r="AF392" s="2">
        <f>IF(AND(Games[[#This Row],[Type]]="P",Games[[#This Row],[Round]]=1),IF(Games[[#This Row],[Result]]&lt;0.5,1,0),0)</f>
        <v>0</v>
      </c>
      <c r="AG392" s="2">
        <f>IF(AND(Games[[#This Row],[Type]]="P",Games[[#This Row],[Round]]=2),IF(Games[[#This Row],[Result]]&gt;0.5,1,0),0)</f>
        <v>0</v>
      </c>
      <c r="AH392" s="2">
        <f>IF(AND(Games[[#This Row],[Type]]="P",Games[[#This Row],[Round]]=2),IF(Games[[#This Row],[Result]]&lt;0.5,1,0),0)</f>
        <v>0</v>
      </c>
      <c r="AI392" s="2">
        <f>IF(AND(Games[[#This Row],[Type]]="P",Games[[#This Row],[Round]]=3),IF(Games[[#This Row],[Result]]&gt;0.5,1,0),0)</f>
        <v>0</v>
      </c>
      <c r="AJ392" s="2">
        <f>IF(AND(Games[[#This Row],[Type]]="P",Games[[#This Row],[Round]]=3),IF(Games[[#This Row],[Result]]&lt;0.5,1,0),0)</f>
        <v>0</v>
      </c>
      <c r="AK392" s="2">
        <f>IF(AND(Games[[#This Row],[Type]]="P",Games[[#This Row],[Round]]=4),IF(Games[[#This Row],[Result]]&gt;0.5,1,0),0)</f>
        <v>0</v>
      </c>
      <c r="AL392" s="2">
        <f>IF(AND(Games[[#This Row],[Type]]="P",Games[[#This Row],[Round]]=4),IF(Games[[#This Row],[Result]]&lt;0.5,1,0),0)</f>
        <v>0</v>
      </c>
    </row>
    <row r="393" spans="1:38" x14ac:dyDescent="0.35">
      <c r="A393" s="10">
        <v>37843</v>
      </c>
      <c r="B393" s="2">
        <v>2003</v>
      </c>
      <c r="C393" s="2">
        <f>COUNTIFS(Games[Team],Games[[#This Row],[Team]],Games[Season],Games[[#This Row],[Season]],Games[Date],"&lt;=" &amp; Games[[#This Row],[Date]])</f>
        <v>28</v>
      </c>
      <c r="D393" s="2" t="s">
        <v>23</v>
      </c>
      <c r="E393" s="2" t="s">
        <v>29</v>
      </c>
      <c r="F393" s="1" t="s">
        <v>76</v>
      </c>
      <c r="G393" s="1" t="s">
        <v>66</v>
      </c>
      <c r="H393" s="1" t="s">
        <v>15</v>
      </c>
      <c r="I393" s="2" cm="1">
        <f t="array" ref="I393">IFERROR(
    Games[[#This Row],[Date]]
    - LOOKUP(
        2,
        1/((Games[Team]=Games[[#This Row],[Team]]) * (Games[Date] &lt; Games[[#This Row],[Date]])),
        Games[Date]
    )
    - 1,
Games[[#This Row],[Date]]-$A$2)</f>
        <v>1</v>
      </c>
      <c r="J393" s="2" cm="1">
        <f t="array" ref="J393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93" s="2">
        <f>Games[[#This Row],[DaysOff]]-Games[[#This Row],[OppDaysOff]]</f>
        <v>1</v>
      </c>
      <c r="L393" s="2">
        <f>Games[[#This Row],[OppDaysOff]]-Games[[#This Row],[DaysOff]]</f>
        <v>-1</v>
      </c>
      <c r="M393" s="1">
        <f>MAX(-16, MIN(16, Games[[#This Row],[RestDiff]]*8))</f>
        <v>8</v>
      </c>
      <c r="N393" s="1">
        <f>MAX(-16, MIN(16, Games[[#This Row],[OppRestDiff]]*8))</f>
        <v>-8</v>
      </c>
      <c r="O393" s="4" cm="1">
        <f t="array" ref="O39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1576.7958428180302</v>
      </c>
      <c r="P393" s="4" cm="1">
        <f t="array" ref="P39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1487.4632429643548</v>
      </c>
      <c r="Q393" s="4">
        <f>1/(1+10^(((Games[[#This Row],[OppPreGmRate]]+IF(Games[[#This Row],[HomeAway]]="A",HCA,0)+Games[[#This Row],[OppRestAdj]])-(Games[[#This Row],[PreGmRate]]+IF(Games[[#This Row],[HomeAway]]="H",HCA,0)+Games[[#This Row],[RestAdj]]))/400))</f>
        <v>0.74836026443259118</v>
      </c>
      <c r="R393" s="1">
        <v>90</v>
      </c>
      <c r="S393" s="1">
        <v>87</v>
      </c>
      <c r="T393" s="1">
        <v>1</v>
      </c>
      <c r="U393" s="1">
        <f>Games[[#This Row],[PointsFor]]-Games[[#This Row],[PointsAgainst]]</f>
        <v>3</v>
      </c>
      <c r="V393" s="1">
        <f>IF(Games[[#This Row],[MOV]]&gt;0,1,IF(Games[[#This Row],[MOV]]=0,0.5,0))</f>
        <v>1</v>
      </c>
      <c r="W393" s="4">
        <f>((ABS(Games[[#This Row],[MOV]])+5)^0.6)/(12+0.01*(ABS(Games[[#This Row],[PreGmRate]]-Games[[#This Row],[OppPreGmRate]])))*IF(Games[[#This Row],[OT]]=1,0.9,1)</f>
        <v>0.24307009907464672</v>
      </c>
      <c r="X393" s="7" cm="1">
        <f t="array" ref="X39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3" s="9">
        <f>MAX(kmin, kmax - 0.15 * MIN(Games[[#This Row],[GamesPlayed]], 82))</f>
        <v>71.8</v>
      </c>
      <c r="Z393" s="4">
        <f>Games[[#This Row],[K]]*Games[[#This Row],[POMult]]</f>
        <v>71.8</v>
      </c>
      <c r="AA393" s="4">
        <f>(Games[[#This Row],[Keff]]*Games[[#This Row],[MOVMult]])*(Games[[#This Row],[Result]]-Games[[#This Row],[ExpectedWin%]])</f>
        <v>4.391725653704035</v>
      </c>
      <c r="AB393" s="4">
        <f>Games[[#This Row],[PreGmRate]]+Games[[#This Row],[RatingChange]]</f>
        <v>1581.1875684717343</v>
      </c>
      <c r="AC393" s="2">
        <f>IF(Games[[#This Row],[Type]]="R",IF(Games[[#This Row],[Result]]&gt;0.5,1,0),0)</f>
        <v>1</v>
      </c>
      <c r="AD393" s="2">
        <f>IF(Games[[#This Row],[Type]]="R",IF(Games[[#This Row],[Result]]&lt;0.5,1,0),0)</f>
        <v>0</v>
      </c>
      <c r="AE393" s="2">
        <f>IF(AND(Games[[#This Row],[Type]]="P",Games[[#This Row],[Round]]=1),IF(Games[[#This Row],[Result]]&gt;0.5,1,0),0)</f>
        <v>0</v>
      </c>
      <c r="AF393" s="2">
        <f>IF(AND(Games[[#This Row],[Type]]="P",Games[[#This Row],[Round]]=1),IF(Games[[#This Row],[Result]]&lt;0.5,1,0),0)</f>
        <v>0</v>
      </c>
      <c r="AG393" s="2">
        <f>IF(AND(Games[[#This Row],[Type]]="P",Games[[#This Row],[Round]]=2),IF(Games[[#This Row],[Result]]&gt;0.5,1,0),0)</f>
        <v>0</v>
      </c>
      <c r="AH393" s="2">
        <f>IF(AND(Games[[#This Row],[Type]]="P",Games[[#This Row],[Round]]=2),IF(Games[[#This Row],[Result]]&lt;0.5,1,0),0)</f>
        <v>0</v>
      </c>
      <c r="AI393" s="2">
        <f>IF(AND(Games[[#This Row],[Type]]="P",Games[[#This Row],[Round]]=3),IF(Games[[#This Row],[Result]]&gt;0.5,1,0),0)</f>
        <v>0</v>
      </c>
      <c r="AJ393" s="2">
        <f>IF(AND(Games[[#This Row],[Type]]="P",Games[[#This Row],[Round]]=3),IF(Games[[#This Row],[Result]]&lt;0.5,1,0),0)</f>
        <v>0</v>
      </c>
      <c r="AK393" s="2">
        <f>IF(AND(Games[[#This Row],[Type]]="P",Games[[#This Row],[Round]]=4),IF(Games[[#This Row],[Result]]&gt;0.5,1,0),0)</f>
        <v>0</v>
      </c>
      <c r="AL393" s="2">
        <f>IF(AND(Games[[#This Row],[Type]]="P",Games[[#This Row],[Round]]=4),IF(Games[[#This Row],[Result]]&lt;0.5,1,0),0)</f>
        <v>0</v>
      </c>
    </row>
    <row r="394" spans="1:38" x14ac:dyDescent="0.35">
      <c r="A394" s="10">
        <v>37843</v>
      </c>
      <c r="B394" s="2">
        <v>2003</v>
      </c>
      <c r="C394" s="2">
        <f>COUNTIFS(Games[Team],Games[[#This Row],[Team]],Games[Season],Games[[#This Row],[Season]],Games[Date],"&lt;=" &amp; Games[[#This Row],[Date]])</f>
        <v>28</v>
      </c>
      <c r="D394" s="2" t="s">
        <v>23</v>
      </c>
      <c r="E394" s="2" t="s">
        <v>29</v>
      </c>
      <c r="F394" s="1" t="s">
        <v>44</v>
      </c>
      <c r="G394" s="1" t="s">
        <v>2</v>
      </c>
      <c r="H394" s="1" t="s">
        <v>16</v>
      </c>
      <c r="I394" s="2" cm="1">
        <f t="array" ref="I394">IFERROR(
    Games[[#This Row],[Date]]
    - LOOKUP(
        2,
        1/((Games[Team]=Games[[#This Row],[Team]]) * (Games[Date] &lt; Games[[#This Row],[Date]])),
        Games[Date]
    )
    - 1,
Games[[#This Row],[Date]]-$A$2)</f>
        <v>1</v>
      </c>
      <c r="J394" s="2" cm="1">
        <f t="array" ref="J39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94" s="2">
        <f>Games[[#This Row],[DaysOff]]-Games[[#This Row],[OppDaysOff]]</f>
        <v>0</v>
      </c>
      <c r="L394" s="2">
        <f>Games[[#This Row],[OppDaysOff]]-Games[[#This Row],[DaysOff]]</f>
        <v>0</v>
      </c>
      <c r="M394" s="1">
        <f>MAX(-16, MIN(16, Games[[#This Row],[RestDiff]]*8))</f>
        <v>0</v>
      </c>
      <c r="N394" s="1">
        <f>MAX(-16, MIN(16, Games[[#This Row],[OppRestDiff]]*8))</f>
        <v>0</v>
      </c>
      <c r="O394" s="4" cm="1">
        <f t="array" ref="O39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1357.2555101362038</v>
      </c>
      <c r="P394" s="4" cm="1">
        <f t="array" ref="P39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1626.5052117319772</v>
      </c>
      <c r="Q394" s="4">
        <f>1/(1+10^(((Games[[#This Row],[OppPreGmRate]]+IF(Games[[#This Row],[HomeAway]]="A",HCA,0)+Games[[#This Row],[OppRestAdj]])-(Games[[#This Row],[PreGmRate]]+IF(Games[[#This Row],[HomeAway]]="H",HCA,0)+Games[[#This Row],[RestAdj]]))/400))</f>
        <v>0.11573346019883418</v>
      </c>
      <c r="R394" s="1">
        <v>46</v>
      </c>
      <c r="S394" s="1">
        <v>69</v>
      </c>
      <c r="T394" s="1">
        <v>0</v>
      </c>
      <c r="U394" s="1">
        <f>Games[[#This Row],[PointsFor]]-Games[[#This Row],[PointsAgainst]]</f>
        <v>-23</v>
      </c>
      <c r="V394" s="1">
        <f>IF(Games[[#This Row],[MOV]]&gt;0,1,IF(Games[[#This Row],[MOV]]=0,0.5,0))</f>
        <v>0</v>
      </c>
      <c r="W394" s="4">
        <f>((ABS(Games[[#This Row],[MOV]])+5)^0.6)/(12+0.01*(ABS(Games[[#This Row],[PreGmRate]]-Games[[#This Row],[OppPreGmRate]])))*IF(Games[[#This Row],[OT]]=1,0.9,1)</f>
        <v>0.50257306315756223</v>
      </c>
      <c r="X394" s="7" cm="1">
        <f t="array" ref="X39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4" s="9">
        <f>MAX(kmin, kmax - 0.15 * MIN(Games[[#This Row],[GamesPlayed]], 82))</f>
        <v>71.8</v>
      </c>
      <c r="Z394" s="4">
        <f>Games[[#This Row],[K]]*Games[[#This Row],[POMult]]</f>
        <v>71.8</v>
      </c>
      <c r="AA394" s="4">
        <f>(Games[[#This Row],[Keff]]*Games[[#This Row],[MOVMult]])*(Games[[#This Row],[Result]]-Games[[#This Row],[ExpectedWin%]])</f>
        <v>-4.1762125074201473</v>
      </c>
      <c r="AB394" s="4">
        <f>Games[[#This Row],[PreGmRate]]+Games[[#This Row],[RatingChange]]</f>
        <v>1353.0792976287837</v>
      </c>
      <c r="AC394" s="2">
        <f>IF(Games[[#This Row],[Type]]="R",IF(Games[[#This Row],[Result]]&gt;0.5,1,0),0)</f>
        <v>0</v>
      </c>
      <c r="AD394" s="2">
        <f>IF(Games[[#This Row],[Type]]="R",IF(Games[[#This Row],[Result]]&lt;0.5,1,0),0)</f>
        <v>1</v>
      </c>
      <c r="AE394" s="2">
        <f>IF(AND(Games[[#This Row],[Type]]="P",Games[[#This Row],[Round]]=1),IF(Games[[#This Row],[Result]]&gt;0.5,1,0),0)</f>
        <v>0</v>
      </c>
      <c r="AF394" s="2">
        <f>IF(AND(Games[[#This Row],[Type]]="P",Games[[#This Row],[Round]]=1),IF(Games[[#This Row],[Result]]&lt;0.5,1,0),0)</f>
        <v>0</v>
      </c>
      <c r="AG394" s="2">
        <f>IF(AND(Games[[#This Row],[Type]]="P",Games[[#This Row],[Round]]=2),IF(Games[[#This Row],[Result]]&gt;0.5,1,0),0)</f>
        <v>0</v>
      </c>
      <c r="AH394" s="2">
        <f>IF(AND(Games[[#This Row],[Type]]="P",Games[[#This Row],[Round]]=2),IF(Games[[#This Row],[Result]]&lt;0.5,1,0),0)</f>
        <v>0</v>
      </c>
      <c r="AI394" s="2">
        <f>IF(AND(Games[[#This Row],[Type]]="P",Games[[#This Row],[Round]]=3),IF(Games[[#This Row],[Result]]&gt;0.5,1,0),0)</f>
        <v>0</v>
      </c>
      <c r="AJ394" s="2">
        <f>IF(AND(Games[[#This Row],[Type]]="P",Games[[#This Row],[Round]]=3),IF(Games[[#This Row],[Result]]&lt;0.5,1,0),0)</f>
        <v>0</v>
      </c>
      <c r="AK394" s="2">
        <f>IF(AND(Games[[#This Row],[Type]]="P",Games[[#This Row],[Round]]=4),IF(Games[[#This Row],[Result]]&gt;0.5,1,0),0)</f>
        <v>0</v>
      </c>
      <c r="AL394" s="2">
        <f>IF(AND(Games[[#This Row],[Type]]="P",Games[[#This Row],[Round]]=4),IF(Games[[#This Row],[Result]]&lt;0.5,1,0),0)</f>
        <v>0</v>
      </c>
    </row>
    <row r="395" spans="1:38" x14ac:dyDescent="0.35">
      <c r="A395" s="10">
        <v>37843</v>
      </c>
      <c r="B395" s="2">
        <v>2003</v>
      </c>
      <c r="C395" s="2">
        <f>COUNTIFS(Games[Team],Games[[#This Row],[Team]],Games[Season],Games[[#This Row],[Season]],Games[Date],"&lt;=" &amp; Games[[#This Row],[Date]])</f>
        <v>28</v>
      </c>
      <c r="D395" s="2" t="s">
        <v>23</v>
      </c>
      <c r="E395" s="2" t="s">
        <v>29</v>
      </c>
      <c r="F395" s="1" t="s">
        <v>2</v>
      </c>
      <c r="G395" s="1" t="s">
        <v>44</v>
      </c>
      <c r="H395" s="1" t="s">
        <v>15</v>
      </c>
      <c r="I395" s="2" cm="1">
        <f t="array" ref="I395">IFERROR(
    Games[[#This Row],[Date]]
    - LOOKUP(
        2,
        1/((Games[Team]=Games[[#This Row],[Team]]) * (Games[Date] &lt; Games[[#This Row],[Date]])),
        Games[Date]
    )
    - 1,
Games[[#This Row],[Date]]-$A$2)</f>
        <v>1</v>
      </c>
      <c r="J395" s="2" cm="1">
        <f t="array" ref="J39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95" s="2">
        <f>Games[[#This Row],[DaysOff]]-Games[[#This Row],[OppDaysOff]]</f>
        <v>0</v>
      </c>
      <c r="L395" s="2">
        <f>Games[[#This Row],[OppDaysOff]]-Games[[#This Row],[DaysOff]]</f>
        <v>0</v>
      </c>
      <c r="M395" s="1">
        <f>MAX(-16, MIN(16, Games[[#This Row],[RestDiff]]*8))</f>
        <v>0</v>
      </c>
      <c r="N395" s="1">
        <f>MAX(-16, MIN(16, Games[[#This Row],[OppRestDiff]]*8))</f>
        <v>0</v>
      </c>
      <c r="O395" s="4" cm="1">
        <f t="array" ref="O39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1626.5052117319772</v>
      </c>
      <c r="P395" s="4" cm="1">
        <f t="array" ref="P39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1357.2555101362038</v>
      </c>
      <c r="Q395" s="4">
        <f>1/(1+10^(((Games[[#This Row],[OppPreGmRate]]+IF(Games[[#This Row],[HomeAway]]="A",HCA,0)+Games[[#This Row],[OppRestAdj]])-(Games[[#This Row],[PreGmRate]]+IF(Games[[#This Row],[HomeAway]]="H",HCA,0)+Games[[#This Row],[RestAdj]]))/400))</f>
        <v>0.88426653980116587</v>
      </c>
      <c r="R395" s="1">
        <v>69</v>
      </c>
      <c r="S395" s="1">
        <v>46</v>
      </c>
      <c r="T395" s="1">
        <v>0</v>
      </c>
      <c r="U395" s="1">
        <f>Games[[#This Row],[PointsFor]]-Games[[#This Row],[PointsAgainst]]</f>
        <v>23</v>
      </c>
      <c r="V395" s="1">
        <f>IF(Games[[#This Row],[MOV]]&gt;0,1,IF(Games[[#This Row],[MOV]]=0,0.5,0))</f>
        <v>1</v>
      </c>
      <c r="W395" s="4">
        <f>((ABS(Games[[#This Row],[MOV]])+5)^0.6)/(12+0.01*(ABS(Games[[#This Row],[PreGmRate]]-Games[[#This Row],[OppPreGmRate]])))*IF(Games[[#This Row],[OT]]=1,0.9,1)</f>
        <v>0.50257306315756223</v>
      </c>
      <c r="X395" s="7" cm="1">
        <f t="array" ref="X39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5" s="9">
        <f>MAX(kmin, kmax - 0.15 * MIN(Games[[#This Row],[GamesPlayed]], 82))</f>
        <v>71.8</v>
      </c>
      <c r="Z395" s="4">
        <f>Games[[#This Row],[K]]*Games[[#This Row],[POMult]]</f>
        <v>71.8</v>
      </c>
      <c r="AA395" s="4">
        <f>(Games[[#This Row],[Keff]]*Games[[#This Row],[MOVMult]])*(Games[[#This Row],[Result]]-Games[[#This Row],[ExpectedWin%]])</f>
        <v>4.1762125074201446</v>
      </c>
      <c r="AB395" s="4">
        <f>Games[[#This Row],[PreGmRate]]+Games[[#This Row],[RatingChange]]</f>
        <v>1630.6814242393973</v>
      </c>
      <c r="AC395" s="2">
        <f>IF(Games[[#This Row],[Type]]="R",IF(Games[[#This Row],[Result]]&gt;0.5,1,0),0)</f>
        <v>1</v>
      </c>
      <c r="AD395" s="2">
        <f>IF(Games[[#This Row],[Type]]="R",IF(Games[[#This Row],[Result]]&lt;0.5,1,0),0)</f>
        <v>0</v>
      </c>
      <c r="AE395" s="2">
        <f>IF(AND(Games[[#This Row],[Type]]="P",Games[[#This Row],[Round]]=1),IF(Games[[#This Row],[Result]]&gt;0.5,1,0),0)</f>
        <v>0</v>
      </c>
      <c r="AF395" s="2">
        <f>IF(AND(Games[[#This Row],[Type]]="P",Games[[#This Row],[Round]]=1),IF(Games[[#This Row],[Result]]&lt;0.5,1,0),0)</f>
        <v>0</v>
      </c>
      <c r="AG395" s="2">
        <f>IF(AND(Games[[#This Row],[Type]]="P",Games[[#This Row],[Round]]=2),IF(Games[[#This Row],[Result]]&gt;0.5,1,0),0)</f>
        <v>0</v>
      </c>
      <c r="AH395" s="2">
        <f>IF(AND(Games[[#This Row],[Type]]="P",Games[[#This Row],[Round]]=2),IF(Games[[#This Row],[Result]]&lt;0.5,1,0),0)</f>
        <v>0</v>
      </c>
      <c r="AI395" s="2">
        <f>IF(AND(Games[[#This Row],[Type]]="P",Games[[#This Row],[Round]]=3),IF(Games[[#This Row],[Result]]&gt;0.5,1,0),0)</f>
        <v>0</v>
      </c>
      <c r="AJ395" s="2">
        <f>IF(AND(Games[[#This Row],[Type]]="P",Games[[#This Row],[Round]]=3),IF(Games[[#This Row],[Result]]&lt;0.5,1,0),0)</f>
        <v>0</v>
      </c>
      <c r="AK395" s="2">
        <f>IF(AND(Games[[#This Row],[Type]]="P",Games[[#This Row],[Round]]=4),IF(Games[[#This Row],[Result]]&gt;0.5,1,0),0)</f>
        <v>0</v>
      </c>
      <c r="AL395" s="2">
        <f>IF(AND(Games[[#This Row],[Type]]="P",Games[[#This Row],[Round]]=4),IF(Games[[#This Row],[Result]]&lt;0.5,1,0),0)</f>
        <v>0</v>
      </c>
    </row>
    <row r="396" spans="1:38" x14ac:dyDescent="0.35">
      <c r="A396" s="10">
        <v>37845</v>
      </c>
      <c r="B396" s="2">
        <v>2003</v>
      </c>
      <c r="C396" s="2">
        <f>COUNTIFS(Games[Team],Games[[#This Row],[Team]],Games[Season],Games[[#This Row],[Season]],Games[Date],"&lt;=" &amp; Games[[#This Row],[Date]])</f>
        <v>28</v>
      </c>
      <c r="D396" s="2" t="s">
        <v>23</v>
      </c>
      <c r="E396" s="2" t="s">
        <v>29</v>
      </c>
      <c r="F396" s="1" t="s">
        <v>66</v>
      </c>
      <c r="G396" s="1" t="s">
        <v>87</v>
      </c>
      <c r="H396" s="1" t="s">
        <v>16</v>
      </c>
      <c r="I396" s="2" cm="1">
        <f t="array" ref="I396">IFERROR(
    Games[[#This Row],[Date]]
    - LOOKUP(
        2,
        1/((Games[Team]=Games[[#This Row],[Team]]) * (Games[Date] &lt; Games[[#This Row],[Date]])),
        Games[Date]
    )
    - 1,
Games[[#This Row],[Date]]-$A$2)</f>
        <v>1</v>
      </c>
      <c r="J396" s="2" cm="1">
        <f t="array" ref="J39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96" s="2">
        <f>Games[[#This Row],[DaysOff]]-Games[[#This Row],[OppDaysOff]]</f>
        <v>-1</v>
      </c>
      <c r="L396" s="2">
        <f>Games[[#This Row],[OppDaysOff]]-Games[[#This Row],[DaysOff]]</f>
        <v>1</v>
      </c>
      <c r="M396" s="1">
        <f>MAX(-16, MIN(16, Games[[#This Row],[RestDiff]]*8))</f>
        <v>-8</v>
      </c>
      <c r="N396" s="1">
        <f>MAX(-16, MIN(16, Games[[#This Row],[OppRestDiff]]*8))</f>
        <v>8</v>
      </c>
      <c r="O396" s="4" cm="1">
        <f t="array" ref="O39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1483.0623423963325</v>
      </c>
      <c r="P396" s="4" cm="1">
        <f t="array" ref="P39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1489.0591851434649</v>
      </c>
      <c r="Q396" s="4">
        <f>1/(1+10^(((Games[[#This Row],[OppPreGmRate]]+IF(Games[[#This Row],[HomeAway]]="A",HCA,0)+Games[[#This Row],[OppRestAdj]])-(Games[[#This Row],[PreGmRate]]+IF(Games[[#This Row],[HomeAway]]="H",HCA,0)+Games[[#This Row],[RestAdj]]))/400))</f>
        <v>0.35202113240771554</v>
      </c>
      <c r="R396" s="1">
        <v>74</v>
      </c>
      <c r="S396" s="1">
        <v>73</v>
      </c>
      <c r="T396" s="1">
        <v>0</v>
      </c>
      <c r="U396" s="1">
        <f>Games[[#This Row],[PointsFor]]-Games[[#This Row],[PointsAgainst]]</f>
        <v>1</v>
      </c>
      <c r="V396" s="1">
        <f>IF(Games[[#This Row],[MOV]]&gt;0,1,IF(Games[[#This Row],[MOV]]=0,0.5,0))</f>
        <v>1</v>
      </c>
      <c r="W396" s="4">
        <f>((ABS(Games[[#This Row],[MOV]])+5)^0.6)/(12+0.01*(ABS(Games[[#This Row],[PreGmRate]]-Games[[#This Row],[OppPreGmRate]])))*IF(Games[[#This Row],[OT]]=1,0.9,1)</f>
        <v>0.24296548280416205</v>
      </c>
      <c r="X396" s="7" cm="1">
        <f t="array" ref="X39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6" s="9">
        <f>MAX(kmin, kmax - 0.15 * MIN(Games[[#This Row],[GamesPlayed]], 82))</f>
        <v>71.8</v>
      </c>
      <c r="Z396" s="4">
        <f>Games[[#This Row],[K]]*Games[[#This Row],[POMult]]</f>
        <v>71.8</v>
      </c>
      <c r="AA396" s="4">
        <f>(Games[[#This Row],[Keff]]*Games[[#This Row],[MOVMult]])*(Games[[#This Row],[Result]]-Games[[#This Row],[ExpectedWin%]])</f>
        <v>11.303940585942367</v>
      </c>
      <c r="AB396" s="4">
        <f>Games[[#This Row],[PreGmRate]]+Games[[#This Row],[RatingChange]]</f>
        <v>1494.3662829822749</v>
      </c>
      <c r="AC396" s="2">
        <f>IF(Games[[#This Row],[Type]]="R",IF(Games[[#This Row],[Result]]&gt;0.5,1,0),0)</f>
        <v>1</v>
      </c>
      <c r="AD396" s="2">
        <f>IF(Games[[#This Row],[Type]]="R",IF(Games[[#This Row],[Result]]&lt;0.5,1,0),0)</f>
        <v>0</v>
      </c>
      <c r="AE396" s="2">
        <f>IF(AND(Games[[#This Row],[Type]]="P",Games[[#This Row],[Round]]=1),IF(Games[[#This Row],[Result]]&gt;0.5,1,0),0)</f>
        <v>0</v>
      </c>
      <c r="AF396" s="2">
        <f>IF(AND(Games[[#This Row],[Type]]="P",Games[[#This Row],[Round]]=1),IF(Games[[#This Row],[Result]]&lt;0.5,1,0),0)</f>
        <v>0</v>
      </c>
      <c r="AG396" s="2">
        <f>IF(AND(Games[[#This Row],[Type]]="P",Games[[#This Row],[Round]]=2),IF(Games[[#This Row],[Result]]&gt;0.5,1,0),0)</f>
        <v>0</v>
      </c>
      <c r="AH396" s="2">
        <f>IF(AND(Games[[#This Row],[Type]]="P",Games[[#This Row],[Round]]=2),IF(Games[[#This Row],[Result]]&lt;0.5,1,0),0)</f>
        <v>0</v>
      </c>
      <c r="AI396" s="2">
        <f>IF(AND(Games[[#This Row],[Type]]="P",Games[[#This Row],[Round]]=3),IF(Games[[#This Row],[Result]]&gt;0.5,1,0),0)</f>
        <v>0</v>
      </c>
      <c r="AJ396" s="2">
        <f>IF(AND(Games[[#This Row],[Type]]="P",Games[[#This Row],[Round]]=3),IF(Games[[#This Row],[Result]]&lt;0.5,1,0),0)</f>
        <v>0</v>
      </c>
      <c r="AK396" s="2">
        <f>IF(AND(Games[[#This Row],[Type]]="P",Games[[#This Row],[Round]]=4),IF(Games[[#This Row],[Result]]&gt;0.5,1,0),0)</f>
        <v>0</v>
      </c>
      <c r="AL396" s="2">
        <f>IF(AND(Games[[#This Row],[Type]]="P",Games[[#This Row],[Round]]=4),IF(Games[[#This Row],[Result]]&lt;0.5,1,0),0)</f>
        <v>0</v>
      </c>
    </row>
    <row r="397" spans="1:38" x14ac:dyDescent="0.35">
      <c r="A397" s="10">
        <v>37845</v>
      </c>
      <c r="B397" s="2">
        <v>2003</v>
      </c>
      <c r="C397" s="2">
        <f>COUNTIFS(Games[Team],Games[[#This Row],[Team]],Games[Season],Games[[#This Row],[Season]],Games[Date],"&lt;=" &amp; Games[[#This Row],[Date]])</f>
        <v>29</v>
      </c>
      <c r="D397" s="2" t="s">
        <v>23</v>
      </c>
      <c r="E397" s="2" t="s">
        <v>29</v>
      </c>
      <c r="F397" s="1" t="s">
        <v>87</v>
      </c>
      <c r="G397" s="1" t="s">
        <v>66</v>
      </c>
      <c r="H397" s="1" t="s">
        <v>15</v>
      </c>
      <c r="I397" s="2" cm="1">
        <f t="array" ref="I397">IFERROR(
    Games[[#This Row],[Date]]
    - LOOKUP(
        2,
        1/((Games[Team]=Games[[#This Row],[Team]]) * (Games[Date] &lt; Games[[#This Row],[Date]])),
        Games[Date]
    )
    - 1,
Games[[#This Row],[Date]]-$A$2)</f>
        <v>2</v>
      </c>
      <c r="J397" s="2" cm="1">
        <f t="array" ref="J39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97" s="2">
        <f>Games[[#This Row],[DaysOff]]-Games[[#This Row],[OppDaysOff]]</f>
        <v>1</v>
      </c>
      <c r="L397" s="2">
        <f>Games[[#This Row],[OppDaysOff]]-Games[[#This Row],[DaysOff]]</f>
        <v>-1</v>
      </c>
      <c r="M397" s="1">
        <f>MAX(-16, MIN(16, Games[[#This Row],[RestDiff]]*8))</f>
        <v>8</v>
      </c>
      <c r="N397" s="1">
        <f>MAX(-16, MIN(16, Games[[#This Row],[OppRestDiff]]*8))</f>
        <v>-8</v>
      </c>
      <c r="O397" s="4" cm="1">
        <f t="array" ref="O39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1489.0591851434649</v>
      </c>
      <c r="P397" s="4" cm="1">
        <f t="array" ref="P39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1483.0623423963325</v>
      </c>
      <c r="Q397" s="4">
        <f>1/(1+10^(((Games[[#This Row],[OppPreGmRate]]+IF(Games[[#This Row],[HomeAway]]="A",HCA,0)+Games[[#This Row],[OppRestAdj]])-(Games[[#This Row],[PreGmRate]]+IF(Games[[#This Row],[HomeAway]]="H",HCA,0)+Games[[#This Row],[RestAdj]]))/400))</f>
        <v>0.6479788675922844</v>
      </c>
      <c r="R397" s="1">
        <v>73</v>
      </c>
      <c r="S397" s="1">
        <v>74</v>
      </c>
      <c r="T397" s="1">
        <v>0</v>
      </c>
      <c r="U397" s="1">
        <f>Games[[#This Row],[PointsFor]]-Games[[#This Row],[PointsAgainst]]</f>
        <v>-1</v>
      </c>
      <c r="V397" s="1">
        <f>IF(Games[[#This Row],[MOV]]&gt;0,1,IF(Games[[#This Row],[MOV]]=0,0.5,0))</f>
        <v>0</v>
      </c>
      <c r="W397" s="4">
        <f>((ABS(Games[[#This Row],[MOV]])+5)^0.6)/(12+0.01*(ABS(Games[[#This Row],[PreGmRate]]-Games[[#This Row],[OppPreGmRate]])))*IF(Games[[#This Row],[OT]]=1,0.9,1)</f>
        <v>0.24296548280416205</v>
      </c>
      <c r="X397" s="7" cm="1">
        <f t="array" ref="X39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7" s="9">
        <f>MAX(kmin, kmax - 0.15 * MIN(Games[[#This Row],[GamesPlayed]], 82))</f>
        <v>71.650000000000006</v>
      </c>
      <c r="Z397" s="4">
        <f>Games[[#This Row],[K]]*Games[[#This Row],[POMult]]</f>
        <v>71.650000000000006</v>
      </c>
      <c r="AA397" s="4">
        <f>(Games[[#This Row],[Keff]]*Games[[#This Row],[MOVMult]])*(Games[[#This Row],[Result]]-Games[[#This Row],[ExpectedWin%]])</f>
        <v>-11.28032511118065</v>
      </c>
      <c r="AB397" s="4">
        <f>Games[[#This Row],[PreGmRate]]+Games[[#This Row],[RatingChange]]</f>
        <v>1477.7788600322842</v>
      </c>
      <c r="AC397" s="2">
        <f>IF(Games[[#This Row],[Type]]="R",IF(Games[[#This Row],[Result]]&gt;0.5,1,0),0)</f>
        <v>0</v>
      </c>
      <c r="AD397" s="2">
        <f>IF(Games[[#This Row],[Type]]="R",IF(Games[[#This Row],[Result]]&lt;0.5,1,0),0)</f>
        <v>1</v>
      </c>
      <c r="AE397" s="2">
        <f>IF(AND(Games[[#This Row],[Type]]="P",Games[[#This Row],[Round]]=1),IF(Games[[#This Row],[Result]]&gt;0.5,1,0),0)</f>
        <v>0</v>
      </c>
      <c r="AF397" s="2">
        <f>IF(AND(Games[[#This Row],[Type]]="P",Games[[#This Row],[Round]]=1),IF(Games[[#This Row],[Result]]&lt;0.5,1,0),0)</f>
        <v>0</v>
      </c>
      <c r="AG397" s="2">
        <f>IF(AND(Games[[#This Row],[Type]]="P",Games[[#This Row],[Round]]=2),IF(Games[[#This Row],[Result]]&gt;0.5,1,0),0)</f>
        <v>0</v>
      </c>
      <c r="AH397" s="2">
        <f>IF(AND(Games[[#This Row],[Type]]="P",Games[[#This Row],[Round]]=2),IF(Games[[#This Row],[Result]]&lt;0.5,1,0),0)</f>
        <v>0</v>
      </c>
      <c r="AI397" s="2">
        <f>IF(AND(Games[[#This Row],[Type]]="P",Games[[#This Row],[Round]]=3),IF(Games[[#This Row],[Result]]&gt;0.5,1,0),0)</f>
        <v>0</v>
      </c>
      <c r="AJ397" s="2">
        <f>IF(AND(Games[[#This Row],[Type]]="P",Games[[#This Row],[Round]]=3),IF(Games[[#This Row],[Result]]&lt;0.5,1,0),0)</f>
        <v>0</v>
      </c>
      <c r="AK397" s="2">
        <f>IF(AND(Games[[#This Row],[Type]]="P",Games[[#This Row],[Round]]=4),IF(Games[[#This Row],[Result]]&gt;0.5,1,0),0)</f>
        <v>0</v>
      </c>
      <c r="AL397" s="2">
        <f>IF(AND(Games[[#This Row],[Type]]="P",Games[[#This Row],[Round]]=4),IF(Games[[#This Row],[Result]]&lt;0.5,1,0),0)</f>
        <v>0</v>
      </c>
    </row>
    <row r="398" spans="1:38" x14ac:dyDescent="0.35">
      <c r="A398" s="10">
        <v>37845</v>
      </c>
      <c r="B398" s="2">
        <v>2003</v>
      </c>
      <c r="C398" s="2">
        <f>COUNTIFS(Games[Team],Games[[#This Row],[Team]],Games[Season],Games[[#This Row],[Season]],Games[Date],"&lt;=" &amp; Games[[#This Row],[Date]])</f>
        <v>29</v>
      </c>
      <c r="D398" s="2" t="s">
        <v>23</v>
      </c>
      <c r="E398" s="2" t="s">
        <v>29</v>
      </c>
      <c r="F398" s="1" t="s">
        <v>74</v>
      </c>
      <c r="G398" s="1" t="s">
        <v>80</v>
      </c>
      <c r="H398" s="1" t="s">
        <v>16</v>
      </c>
      <c r="I398" s="2" cm="1">
        <f t="array" ref="I398">IFERROR(
    Games[[#This Row],[Date]]
    - LOOKUP(
        2,
        1/((Games[Team]=Games[[#This Row],[Team]]) * (Games[Date] &lt; Games[[#This Row],[Date]])),
        Games[Date]
    )
    - 1,
Games[[#This Row],[Date]]-$A$2)</f>
        <v>2</v>
      </c>
      <c r="J398" s="2" cm="1">
        <f t="array" ref="J39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98" s="2">
        <f>Games[[#This Row],[DaysOff]]-Games[[#This Row],[OppDaysOff]]</f>
        <v>1</v>
      </c>
      <c r="L398" s="2">
        <f>Games[[#This Row],[OppDaysOff]]-Games[[#This Row],[DaysOff]]</f>
        <v>-1</v>
      </c>
      <c r="M398" s="1">
        <f>MAX(-16, MIN(16, Games[[#This Row],[RestDiff]]*8))</f>
        <v>8</v>
      </c>
      <c r="N398" s="1">
        <f>MAX(-16, MIN(16, Games[[#This Row],[OppRestDiff]]*8))</f>
        <v>-8</v>
      </c>
      <c r="O398" s="4" cm="1">
        <f t="array" ref="O39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1381.9804969545446</v>
      </c>
      <c r="P398" s="4" cm="1">
        <f t="array" ref="P39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1468.5638224636066</v>
      </c>
      <c r="Q398" s="4">
        <f>1/(1+10^(((Games[[#This Row],[OppPreGmRate]]+IF(Games[[#This Row],[HomeAway]]="A",HCA,0)+Games[[#This Row],[OppRestAdj]])-(Games[[#This Row],[PreGmRate]]+IF(Games[[#This Row],[HomeAway]]="H",HCA,0)+Games[[#This Row],[RestAdj]]))/400))</f>
        <v>0.2911401325620801</v>
      </c>
      <c r="R398" s="1">
        <v>84</v>
      </c>
      <c r="S398" s="1">
        <v>80</v>
      </c>
      <c r="T398" s="1">
        <v>0</v>
      </c>
      <c r="U398" s="1">
        <f>Games[[#This Row],[PointsFor]]-Games[[#This Row],[PointsAgainst]]</f>
        <v>4</v>
      </c>
      <c r="V398" s="1">
        <f>IF(Games[[#This Row],[MOV]]&gt;0,1,IF(Games[[#This Row],[MOV]]=0,0.5,0))</f>
        <v>1</v>
      </c>
      <c r="W398" s="4">
        <f>((ABS(Games[[#This Row],[MOV]])+5)^0.6)/(12+0.01*(ABS(Games[[#This Row],[PreGmRate]]-Games[[#This Row],[OppPreGmRate]])))*IF(Games[[#This Row],[OT]]=1,0.9,1)</f>
        <v>0.29047421529171913</v>
      </c>
      <c r="X398" s="7" cm="1">
        <f t="array" ref="X39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8" s="9">
        <f>MAX(kmin, kmax - 0.15 * MIN(Games[[#This Row],[GamesPlayed]], 82))</f>
        <v>71.650000000000006</v>
      </c>
      <c r="Z398" s="4">
        <f>Games[[#This Row],[K]]*Games[[#This Row],[POMult]]</f>
        <v>71.650000000000006</v>
      </c>
      <c r="AA398" s="4">
        <f>(Games[[#This Row],[Keff]]*Games[[#This Row],[MOVMult]])*(Games[[#This Row],[Result]]-Games[[#This Row],[ExpectedWin%]])</f>
        <v>14.753130059888134</v>
      </c>
      <c r="AB398" s="4">
        <f>Games[[#This Row],[PreGmRate]]+Games[[#This Row],[RatingChange]]</f>
        <v>1396.7336270144328</v>
      </c>
      <c r="AC398" s="2">
        <f>IF(Games[[#This Row],[Type]]="R",IF(Games[[#This Row],[Result]]&gt;0.5,1,0),0)</f>
        <v>1</v>
      </c>
      <c r="AD398" s="2">
        <f>IF(Games[[#This Row],[Type]]="R",IF(Games[[#This Row],[Result]]&lt;0.5,1,0),0)</f>
        <v>0</v>
      </c>
      <c r="AE398" s="2">
        <f>IF(AND(Games[[#This Row],[Type]]="P",Games[[#This Row],[Round]]=1),IF(Games[[#This Row],[Result]]&gt;0.5,1,0),0)</f>
        <v>0</v>
      </c>
      <c r="AF398" s="2">
        <f>IF(AND(Games[[#This Row],[Type]]="P",Games[[#This Row],[Round]]=1),IF(Games[[#This Row],[Result]]&lt;0.5,1,0),0)</f>
        <v>0</v>
      </c>
      <c r="AG398" s="2">
        <f>IF(AND(Games[[#This Row],[Type]]="P",Games[[#This Row],[Round]]=2),IF(Games[[#This Row],[Result]]&gt;0.5,1,0),0)</f>
        <v>0</v>
      </c>
      <c r="AH398" s="2">
        <f>IF(AND(Games[[#This Row],[Type]]="P",Games[[#This Row],[Round]]=2),IF(Games[[#This Row],[Result]]&lt;0.5,1,0),0)</f>
        <v>0</v>
      </c>
      <c r="AI398" s="2">
        <f>IF(AND(Games[[#This Row],[Type]]="P",Games[[#This Row],[Round]]=3),IF(Games[[#This Row],[Result]]&gt;0.5,1,0),0)</f>
        <v>0</v>
      </c>
      <c r="AJ398" s="2">
        <f>IF(AND(Games[[#This Row],[Type]]="P",Games[[#This Row],[Round]]=3),IF(Games[[#This Row],[Result]]&lt;0.5,1,0),0)</f>
        <v>0</v>
      </c>
      <c r="AK398" s="2">
        <f>IF(AND(Games[[#This Row],[Type]]="P",Games[[#This Row],[Round]]=4),IF(Games[[#This Row],[Result]]&gt;0.5,1,0),0)</f>
        <v>0</v>
      </c>
      <c r="AL398" s="2">
        <f>IF(AND(Games[[#This Row],[Type]]="P",Games[[#This Row],[Round]]=4),IF(Games[[#This Row],[Result]]&lt;0.5,1,0),0)</f>
        <v>0</v>
      </c>
    </row>
    <row r="399" spans="1:38" x14ac:dyDescent="0.35">
      <c r="A399" s="10">
        <v>37845</v>
      </c>
      <c r="B399" s="2">
        <v>2003</v>
      </c>
      <c r="C399" s="2">
        <f>COUNTIFS(Games[Team],Games[[#This Row],[Team]],Games[Season],Games[[#This Row],[Season]],Games[Date],"&lt;=" &amp; Games[[#This Row],[Date]])</f>
        <v>29</v>
      </c>
      <c r="D399" s="2" t="s">
        <v>23</v>
      </c>
      <c r="E399" s="2" t="s">
        <v>29</v>
      </c>
      <c r="F399" s="1" t="s">
        <v>80</v>
      </c>
      <c r="G399" s="1" t="s">
        <v>74</v>
      </c>
      <c r="H399" s="1" t="s">
        <v>15</v>
      </c>
      <c r="I399" s="2" cm="1">
        <f t="array" ref="I399">IFERROR(
    Games[[#This Row],[Date]]
    - LOOKUP(
        2,
        1/((Games[Team]=Games[[#This Row],[Team]]) * (Games[Date] &lt; Games[[#This Row],[Date]])),
        Games[Date]
    )
    - 1,
Games[[#This Row],[Date]]-$A$2)</f>
        <v>1</v>
      </c>
      <c r="J399" s="2" cm="1">
        <f t="array" ref="J39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99" s="2">
        <f>Games[[#This Row],[DaysOff]]-Games[[#This Row],[OppDaysOff]]</f>
        <v>-1</v>
      </c>
      <c r="L399" s="2">
        <f>Games[[#This Row],[OppDaysOff]]-Games[[#This Row],[DaysOff]]</f>
        <v>1</v>
      </c>
      <c r="M399" s="1">
        <f>MAX(-16, MIN(16, Games[[#This Row],[RestDiff]]*8))</f>
        <v>-8</v>
      </c>
      <c r="N399" s="1">
        <f>MAX(-16, MIN(16, Games[[#This Row],[OppRestDiff]]*8))</f>
        <v>8</v>
      </c>
      <c r="O399" s="4" cm="1">
        <f t="array" ref="O39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1468.5638224636066</v>
      </c>
      <c r="P399" s="4" cm="1">
        <f t="array" ref="P39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1381.9804969545446</v>
      </c>
      <c r="Q399" s="4">
        <f>1/(1+10^(((Games[[#This Row],[OppPreGmRate]]+IF(Games[[#This Row],[HomeAway]]="A",HCA,0)+Games[[#This Row],[OppRestAdj]])-(Games[[#This Row],[PreGmRate]]+IF(Games[[#This Row],[HomeAway]]="H",HCA,0)+Games[[#This Row],[RestAdj]]))/400))</f>
        <v>0.70885986743791995</v>
      </c>
      <c r="R399" s="1">
        <v>80</v>
      </c>
      <c r="S399" s="1">
        <v>84</v>
      </c>
      <c r="T399" s="1">
        <v>0</v>
      </c>
      <c r="U399" s="1">
        <f>Games[[#This Row],[PointsFor]]-Games[[#This Row],[PointsAgainst]]</f>
        <v>-4</v>
      </c>
      <c r="V399" s="1">
        <f>IF(Games[[#This Row],[MOV]]&gt;0,1,IF(Games[[#This Row],[MOV]]=0,0.5,0))</f>
        <v>0</v>
      </c>
      <c r="W399" s="4">
        <f>((ABS(Games[[#This Row],[MOV]])+5)^0.6)/(12+0.01*(ABS(Games[[#This Row],[PreGmRate]]-Games[[#This Row],[OppPreGmRate]])))*IF(Games[[#This Row],[OT]]=1,0.9,1)</f>
        <v>0.29047421529171913</v>
      </c>
      <c r="X399" s="7" cm="1">
        <f t="array" ref="X39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9" s="9">
        <f>MAX(kmin, kmax - 0.15 * MIN(Games[[#This Row],[GamesPlayed]], 82))</f>
        <v>71.650000000000006</v>
      </c>
      <c r="Z399" s="4">
        <f>Games[[#This Row],[K]]*Games[[#This Row],[POMult]]</f>
        <v>71.650000000000006</v>
      </c>
      <c r="AA399" s="4">
        <f>(Games[[#This Row],[Keff]]*Games[[#This Row],[MOVMult]])*(Games[[#This Row],[Result]]-Games[[#This Row],[ExpectedWin%]])</f>
        <v>-14.753130059888136</v>
      </c>
      <c r="AB399" s="4">
        <f>Games[[#This Row],[PreGmRate]]+Games[[#This Row],[RatingChange]]</f>
        <v>1453.8106924037183</v>
      </c>
      <c r="AC399" s="2">
        <f>IF(Games[[#This Row],[Type]]="R",IF(Games[[#This Row],[Result]]&gt;0.5,1,0),0)</f>
        <v>0</v>
      </c>
      <c r="AD399" s="2">
        <f>IF(Games[[#This Row],[Type]]="R",IF(Games[[#This Row],[Result]]&lt;0.5,1,0),0)</f>
        <v>1</v>
      </c>
      <c r="AE399" s="2">
        <f>IF(AND(Games[[#This Row],[Type]]="P",Games[[#This Row],[Round]]=1),IF(Games[[#This Row],[Result]]&gt;0.5,1,0),0)</f>
        <v>0</v>
      </c>
      <c r="AF399" s="2">
        <f>IF(AND(Games[[#This Row],[Type]]="P",Games[[#This Row],[Round]]=1),IF(Games[[#This Row],[Result]]&lt;0.5,1,0),0)</f>
        <v>0</v>
      </c>
      <c r="AG399" s="2">
        <f>IF(AND(Games[[#This Row],[Type]]="P",Games[[#This Row],[Round]]=2),IF(Games[[#This Row],[Result]]&gt;0.5,1,0),0)</f>
        <v>0</v>
      </c>
      <c r="AH399" s="2">
        <f>IF(AND(Games[[#This Row],[Type]]="P",Games[[#This Row],[Round]]=2),IF(Games[[#This Row],[Result]]&lt;0.5,1,0),0)</f>
        <v>0</v>
      </c>
      <c r="AI399" s="2">
        <f>IF(AND(Games[[#This Row],[Type]]="P",Games[[#This Row],[Round]]=3),IF(Games[[#This Row],[Result]]&gt;0.5,1,0),0)</f>
        <v>0</v>
      </c>
      <c r="AJ399" s="2">
        <f>IF(AND(Games[[#This Row],[Type]]="P",Games[[#This Row],[Round]]=3),IF(Games[[#This Row],[Result]]&lt;0.5,1,0),0)</f>
        <v>0</v>
      </c>
      <c r="AK399" s="2">
        <f>IF(AND(Games[[#This Row],[Type]]="P",Games[[#This Row],[Round]]=4),IF(Games[[#This Row],[Result]]&gt;0.5,1,0),0)</f>
        <v>0</v>
      </c>
      <c r="AL399" s="2">
        <f>IF(AND(Games[[#This Row],[Type]]="P",Games[[#This Row],[Round]]=4),IF(Games[[#This Row],[Result]]&lt;0.5,1,0),0)</f>
        <v>0</v>
      </c>
    </row>
    <row r="400" spans="1:38" x14ac:dyDescent="0.35">
      <c r="A400" s="10">
        <v>37845</v>
      </c>
      <c r="B400" s="2">
        <v>2003</v>
      </c>
      <c r="C400" s="2">
        <f>COUNTIFS(Games[Team],Games[[#This Row],[Team]],Games[Season],Games[[#This Row],[Season]],Games[Date],"&lt;=" &amp; Games[[#This Row],[Date]])</f>
        <v>30</v>
      </c>
      <c r="D400" s="2" t="s">
        <v>23</v>
      </c>
      <c r="E400" s="2" t="s">
        <v>29</v>
      </c>
      <c r="F400" s="1" t="s">
        <v>85</v>
      </c>
      <c r="G400" s="1" t="s">
        <v>82</v>
      </c>
      <c r="H400" s="1" t="s">
        <v>16</v>
      </c>
      <c r="I400" s="2" cm="1">
        <f t="array" ref="I400">IFERROR(
    Games[[#This Row],[Date]]
    - LOOKUP(
        2,
        1/((Games[Team]=Games[[#This Row],[Team]]) * (Games[Date] &lt; Games[[#This Row],[Date]])),
        Games[Date]
    )
    - 1,
Games[[#This Row],[Date]]-$A$2)</f>
        <v>2</v>
      </c>
      <c r="J400" s="2" cm="1">
        <f t="array" ref="J400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400" s="2">
        <f>Games[[#This Row],[DaysOff]]-Games[[#This Row],[OppDaysOff]]</f>
        <v>-1</v>
      </c>
      <c r="L400" s="2">
        <f>Games[[#This Row],[OppDaysOff]]-Games[[#This Row],[DaysOff]]</f>
        <v>1</v>
      </c>
      <c r="M400" s="1">
        <f>MAX(-16, MIN(16, Games[[#This Row],[RestDiff]]*8))</f>
        <v>-8</v>
      </c>
      <c r="N400" s="1">
        <f>MAX(-16, MIN(16, Games[[#This Row],[OppRestDiff]]*8))</f>
        <v>8</v>
      </c>
      <c r="O400" s="4" cm="1">
        <f t="array" ref="O40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1416.1705796773449</v>
      </c>
      <c r="P400" s="4" cm="1">
        <f t="array" ref="P40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1585.9304936719341</v>
      </c>
      <c r="Q400" s="4">
        <f>1/(1+10^(((Games[[#This Row],[OppPreGmRate]]+IF(Games[[#This Row],[HomeAway]]="A",HCA,0)+Games[[#This Row],[OppRestAdj]])-(Games[[#This Row],[PreGmRate]]+IF(Games[[#This Row],[HomeAway]]="H",HCA,0)+Games[[#This Row],[RestAdj]]))/400))</f>
        <v>0.17467316222218587</v>
      </c>
      <c r="R400" s="1">
        <v>87</v>
      </c>
      <c r="S400" s="1">
        <v>77</v>
      </c>
      <c r="T400" s="1">
        <v>0</v>
      </c>
      <c r="U400" s="1">
        <f>Games[[#This Row],[PointsFor]]-Games[[#This Row],[PointsAgainst]]</f>
        <v>10</v>
      </c>
      <c r="V400" s="1">
        <f>IF(Games[[#This Row],[MOV]]&gt;0,1,IF(Games[[#This Row],[MOV]]=0,0.5,0))</f>
        <v>1</v>
      </c>
      <c r="W400" s="4">
        <f>((ABS(Games[[#This Row],[MOV]])+5)^0.6)/(12+0.01*(ABS(Games[[#This Row],[PreGmRate]]-Games[[#This Row],[OppPreGmRate]])))*IF(Games[[#This Row],[OT]]=1,0.9,1)</f>
        <v>0.37068951574001635</v>
      </c>
      <c r="X400" s="7" cm="1">
        <f t="array" ref="X40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0" s="9">
        <f>MAX(kmin, kmax - 0.15 * MIN(Games[[#This Row],[GamesPlayed]], 82))</f>
        <v>71.5</v>
      </c>
      <c r="Z400" s="4">
        <f>Games[[#This Row],[K]]*Games[[#This Row],[POMult]]</f>
        <v>71.5</v>
      </c>
      <c r="AA400" s="4">
        <f>(Games[[#This Row],[Keff]]*Games[[#This Row],[MOVMult]])*(Games[[#This Row],[Result]]-Games[[#This Row],[ExpectedWin%]])</f>
        <v>21.874710416351434</v>
      </c>
      <c r="AB400" s="4">
        <f>Games[[#This Row],[PreGmRate]]+Games[[#This Row],[RatingChange]]</f>
        <v>1438.0452900936964</v>
      </c>
      <c r="AC400" s="2">
        <f>IF(Games[[#This Row],[Type]]="R",IF(Games[[#This Row],[Result]]&gt;0.5,1,0),0)</f>
        <v>1</v>
      </c>
      <c r="AD400" s="2">
        <f>IF(Games[[#This Row],[Type]]="R",IF(Games[[#This Row],[Result]]&lt;0.5,1,0),0)</f>
        <v>0</v>
      </c>
      <c r="AE400" s="2">
        <f>IF(AND(Games[[#This Row],[Type]]="P",Games[[#This Row],[Round]]=1),IF(Games[[#This Row],[Result]]&gt;0.5,1,0),0)</f>
        <v>0</v>
      </c>
      <c r="AF400" s="2">
        <f>IF(AND(Games[[#This Row],[Type]]="P",Games[[#This Row],[Round]]=1),IF(Games[[#This Row],[Result]]&lt;0.5,1,0),0)</f>
        <v>0</v>
      </c>
      <c r="AG400" s="2">
        <f>IF(AND(Games[[#This Row],[Type]]="P",Games[[#This Row],[Round]]=2),IF(Games[[#This Row],[Result]]&gt;0.5,1,0),0)</f>
        <v>0</v>
      </c>
      <c r="AH400" s="2">
        <f>IF(AND(Games[[#This Row],[Type]]="P",Games[[#This Row],[Round]]=2),IF(Games[[#This Row],[Result]]&lt;0.5,1,0),0)</f>
        <v>0</v>
      </c>
      <c r="AI400" s="2">
        <f>IF(AND(Games[[#This Row],[Type]]="P",Games[[#This Row],[Round]]=3),IF(Games[[#This Row],[Result]]&gt;0.5,1,0),0)</f>
        <v>0</v>
      </c>
      <c r="AJ400" s="2">
        <f>IF(AND(Games[[#This Row],[Type]]="P",Games[[#This Row],[Round]]=3),IF(Games[[#This Row],[Result]]&lt;0.5,1,0),0)</f>
        <v>0</v>
      </c>
      <c r="AK400" s="2">
        <f>IF(AND(Games[[#This Row],[Type]]="P",Games[[#This Row],[Round]]=4),IF(Games[[#This Row],[Result]]&gt;0.5,1,0),0)</f>
        <v>0</v>
      </c>
      <c r="AL400" s="2">
        <f>IF(AND(Games[[#This Row],[Type]]="P",Games[[#This Row],[Round]]=4),IF(Games[[#This Row],[Result]]&lt;0.5,1,0),0)</f>
        <v>0</v>
      </c>
    </row>
    <row r="401" spans="1:38" x14ac:dyDescent="0.35">
      <c r="A401" s="10">
        <v>37845</v>
      </c>
      <c r="B401" s="2">
        <v>2003</v>
      </c>
      <c r="C401" s="2">
        <f>COUNTIFS(Games[Team],Games[[#This Row],[Team]],Games[Season],Games[[#This Row],[Season]],Games[Date],"&lt;=" &amp; Games[[#This Row],[Date]])</f>
        <v>28</v>
      </c>
      <c r="D401" s="2" t="s">
        <v>23</v>
      </c>
      <c r="E401" s="2" t="s">
        <v>29</v>
      </c>
      <c r="F401" s="1" t="s">
        <v>82</v>
      </c>
      <c r="G401" s="1" t="s">
        <v>85</v>
      </c>
      <c r="H401" s="1" t="s">
        <v>15</v>
      </c>
      <c r="I401" s="2" cm="1">
        <f t="array" ref="I401">IFERROR(
    Games[[#This Row],[Date]]
    - LOOKUP(
        2,
        1/((Games[Team]=Games[[#This Row],[Team]]) * (Games[Date] &lt; Games[[#This Row],[Date]])),
        Games[Date]
    )
    - 1,
Games[[#This Row],[Date]]-$A$2)</f>
        <v>3</v>
      </c>
      <c r="J401" s="2" cm="1">
        <f t="array" ref="J40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01" s="2">
        <f>Games[[#This Row],[DaysOff]]-Games[[#This Row],[OppDaysOff]]</f>
        <v>1</v>
      </c>
      <c r="L401" s="2">
        <f>Games[[#This Row],[OppDaysOff]]-Games[[#This Row],[DaysOff]]</f>
        <v>-1</v>
      </c>
      <c r="M401" s="1">
        <f>MAX(-16, MIN(16, Games[[#This Row],[RestDiff]]*8))</f>
        <v>8</v>
      </c>
      <c r="N401" s="1">
        <f>MAX(-16, MIN(16, Games[[#This Row],[OppRestDiff]]*8))</f>
        <v>-8</v>
      </c>
      <c r="O401" s="4" cm="1">
        <f t="array" ref="O40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1585.9304936719341</v>
      </c>
      <c r="P401" s="4" cm="1">
        <f t="array" ref="P40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1416.1705796773449</v>
      </c>
      <c r="Q401" s="4">
        <f>1/(1+10^(((Games[[#This Row],[OppPreGmRate]]+IF(Games[[#This Row],[HomeAway]]="A",HCA,0)+Games[[#This Row],[OppRestAdj]])-(Games[[#This Row],[PreGmRate]]+IF(Games[[#This Row],[HomeAway]]="H",HCA,0)+Games[[#This Row],[RestAdj]]))/400))</f>
        <v>0.82532683777781413</v>
      </c>
      <c r="R401" s="1">
        <v>77</v>
      </c>
      <c r="S401" s="1">
        <v>87</v>
      </c>
      <c r="T401" s="1">
        <v>0</v>
      </c>
      <c r="U401" s="1">
        <f>Games[[#This Row],[PointsFor]]-Games[[#This Row],[PointsAgainst]]</f>
        <v>-10</v>
      </c>
      <c r="V401" s="1">
        <f>IF(Games[[#This Row],[MOV]]&gt;0,1,IF(Games[[#This Row],[MOV]]=0,0.5,0))</f>
        <v>0</v>
      </c>
      <c r="W401" s="4">
        <f>((ABS(Games[[#This Row],[MOV]])+5)^0.6)/(12+0.01*(ABS(Games[[#This Row],[PreGmRate]]-Games[[#This Row],[OppPreGmRate]])))*IF(Games[[#This Row],[OT]]=1,0.9,1)</f>
        <v>0.37068951574001635</v>
      </c>
      <c r="X401" s="7" cm="1">
        <f t="array" ref="X40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1" s="9">
        <f>MAX(kmin, kmax - 0.15 * MIN(Games[[#This Row],[GamesPlayed]], 82))</f>
        <v>71.8</v>
      </c>
      <c r="Z401" s="4">
        <f>Games[[#This Row],[K]]*Games[[#This Row],[POMult]]</f>
        <v>71.8</v>
      </c>
      <c r="AA401" s="4">
        <f>(Games[[#This Row],[Keff]]*Games[[#This Row],[MOVMult]])*(Games[[#This Row],[Result]]-Games[[#This Row],[ExpectedWin%]])</f>
        <v>-21.966492418098358</v>
      </c>
      <c r="AB401" s="4">
        <f>Games[[#This Row],[PreGmRate]]+Games[[#This Row],[RatingChange]]</f>
        <v>1563.9640012538357</v>
      </c>
      <c r="AC401" s="2">
        <f>IF(Games[[#This Row],[Type]]="R",IF(Games[[#This Row],[Result]]&gt;0.5,1,0),0)</f>
        <v>0</v>
      </c>
      <c r="AD401" s="2">
        <f>IF(Games[[#This Row],[Type]]="R",IF(Games[[#This Row],[Result]]&lt;0.5,1,0),0)</f>
        <v>1</v>
      </c>
      <c r="AE401" s="2">
        <f>IF(AND(Games[[#This Row],[Type]]="P",Games[[#This Row],[Round]]=1),IF(Games[[#This Row],[Result]]&gt;0.5,1,0),0)</f>
        <v>0</v>
      </c>
      <c r="AF401" s="2">
        <f>IF(AND(Games[[#This Row],[Type]]="P",Games[[#This Row],[Round]]=1),IF(Games[[#This Row],[Result]]&lt;0.5,1,0),0)</f>
        <v>0</v>
      </c>
      <c r="AG401" s="2">
        <f>IF(AND(Games[[#This Row],[Type]]="P",Games[[#This Row],[Round]]=2),IF(Games[[#This Row],[Result]]&gt;0.5,1,0),0)</f>
        <v>0</v>
      </c>
      <c r="AH401" s="2">
        <f>IF(AND(Games[[#This Row],[Type]]="P",Games[[#This Row],[Round]]=2),IF(Games[[#This Row],[Result]]&lt;0.5,1,0),0)</f>
        <v>0</v>
      </c>
      <c r="AI401" s="2">
        <f>IF(AND(Games[[#This Row],[Type]]="P",Games[[#This Row],[Round]]=3),IF(Games[[#This Row],[Result]]&gt;0.5,1,0),0)</f>
        <v>0</v>
      </c>
      <c r="AJ401" s="2">
        <f>IF(AND(Games[[#This Row],[Type]]="P",Games[[#This Row],[Round]]=3),IF(Games[[#This Row],[Result]]&lt;0.5,1,0),0)</f>
        <v>0</v>
      </c>
      <c r="AK401" s="2">
        <f>IF(AND(Games[[#This Row],[Type]]="P",Games[[#This Row],[Round]]=4),IF(Games[[#This Row],[Result]]&gt;0.5,1,0),0)</f>
        <v>0</v>
      </c>
      <c r="AL401" s="2">
        <f>IF(AND(Games[[#This Row],[Type]]="P",Games[[#This Row],[Round]]=4),IF(Games[[#This Row],[Result]]&lt;0.5,1,0),0)</f>
        <v>0</v>
      </c>
    </row>
    <row r="402" spans="1:38" x14ac:dyDescent="0.35">
      <c r="A402" s="10">
        <v>37846</v>
      </c>
      <c r="B402" s="2">
        <v>2003</v>
      </c>
      <c r="C402" s="2">
        <f>COUNTIFS(Games[Team],Games[[#This Row],[Team]],Games[Season],Games[[#This Row],[Season]],Games[Date],"&lt;=" &amp; Games[[#This Row],[Date]])</f>
        <v>29</v>
      </c>
      <c r="D402" s="2" t="s">
        <v>23</v>
      </c>
      <c r="E402" s="2" t="s">
        <v>29</v>
      </c>
      <c r="F402" s="1" t="s">
        <v>76</v>
      </c>
      <c r="G402" s="1" t="s">
        <v>44</v>
      </c>
      <c r="H402" s="1" t="s">
        <v>16</v>
      </c>
      <c r="I402" s="2" cm="1">
        <f t="array" ref="I402">IFERROR(
    Games[[#This Row],[Date]]
    - LOOKUP(
        2,
        1/((Games[Team]=Games[[#This Row],[Team]]) * (Games[Date] &lt; Games[[#This Row],[Date]])),
        Games[Date]
    )
    - 1,
Games[[#This Row],[Date]]-$A$2)</f>
        <v>2</v>
      </c>
      <c r="J402" s="2" cm="1">
        <f t="array" ref="J40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02" s="2">
        <f>Games[[#This Row],[DaysOff]]-Games[[#This Row],[OppDaysOff]]</f>
        <v>0</v>
      </c>
      <c r="L402" s="2">
        <f>Games[[#This Row],[OppDaysOff]]-Games[[#This Row],[DaysOff]]</f>
        <v>0</v>
      </c>
      <c r="M402" s="1">
        <f>MAX(-16, MIN(16, Games[[#This Row],[RestDiff]]*8))</f>
        <v>0</v>
      </c>
      <c r="N402" s="1">
        <f>MAX(-16, MIN(16, Games[[#This Row],[OppRestDiff]]*8))</f>
        <v>0</v>
      </c>
      <c r="O402" s="4" cm="1">
        <f t="array" ref="O40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1581.1875684717343</v>
      </c>
      <c r="P402" s="4" cm="1">
        <f t="array" ref="P40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1353.0792976287837</v>
      </c>
      <c r="Q402" s="4">
        <f>1/(1+10^(((Games[[#This Row],[OppPreGmRate]]+IF(Games[[#This Row],[HomeAway]]="A",HCA,0)+Games[[#This Row],[OppRestAdj]])-(Games[[#This Row],[PreGmRate]]+IF(Games[[#This Row],[HomeAway]]="H",HCA,0)+Games[[#This Row],[RestAdj]]))/400))</f>
        <v>0.69626059406469909</v>
      </c>
      <c r="R402" s="1">
        <v>78</v>
      </c>
      <c r="S402" s="1">
        <v>76</v>
      </c>
      <c r="T402" s="1">
        <v>0</v>
      </c>
      <c r="U402" s="1">
        <f>Games[[#This Row],[PointsFor]]-Games[[#This Row],[PointsAgainst]]</f>
        <v>2</v>
      </c>
      <c r="V402" s="1">
        <f>IF(Games[[#This Row],[MOV]]&gt;0,1,IF(Games[[#This Row],[MOV]]=0,0.5,0))</f>
        <v>1</v>
      </c>
      <c r="W402" s="4">
        <f>((ABS(Games[[#This Row],[MOV]])+5)^0.6)/(12+0.01*(ABS(Games[[#This Row],[PreGmRate]]-Games[[#This Row],[OppPreGmRate]])))*IF(Games[[#This Row],[OT]]=1,0.9,1)</f>
        <v>0.22505967616999351</v>
      </c>
      <c r="X402" s="7" cm="1">
        <f t="array" ref="X40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2" s="9">
        <f>MAX(kmin, kmax - 0.15 * MIN(Games[[#This Row],[GamesPlayed]], 82))</f>
        <v>71.650000000000006</v>
      </c>
      <c r="Z402" s="4">
        <f>Games[[#This Row],[K]]*Games[[#This Row],[POMult]]</f>
        <v>71.650000000000006</v>
      </c>
      <c r="AA402" s="4">
        <f>(Games[[#This Row],[Keff]]*Games[[#This Row],[MOVMult]])*(Games[[#This Row],[Result]]-Games[[#This Row],[ExpectedWin%]])</f>
        <v>4.8979576261513298</v>
      </c>
      <c r="AB402" s="4">
        <f>Games[[#This Row],[PreGmRate]]+Games[[#This Row],[RatingChange]]</f>
        <v>1586.0855260978856</v>
      </c>
      <c r="AC402" s="2">
        <f>IF(Games[[#This Row],[Type]]="R",IF(Games[[#This Row],[Result]]&gt;0.5,1,0),0)</f>
        <v>1</v>
      </c>
      <c r="AD402" s="2">
        <f>IF(Games[[#This Row],[Type]]="R",IF(Games[[#This Row],[Result]]&lt;0.5,1,0),0)</f>
        <v>0</v>
      </c>
      <c r="AE402" s="2">
        <f>IF(AND(Games[[#This Row],[Type]]="P",Games[[#This Row],[Round]]=1),IF(Games[[#This Row],[Result]]&gt;0.5,1,0),0)</f>
        <v>0</v>
      </c>
      <c r="AF402" s="2">
        <f>IF(AND(Games[[#This Row],[Type]]="P",Games[[#This Row],[Round]]=1),IF(Games[[#This Row],[Result]]&lt;0.5,1,0),0)</f>
        <v>0</v>
      </c>
      <c r="AG402" s="2">
        <f>IF(AND(Games[[#This Row],[Type]]="P",Games[[#This Row],[Round]]=2),IF(Games[[#This Row],[Result]]&gt;0.5,1,0),0)</f>
        <v>0</v>
      </c>
      <c r="AH402" s="2">
        <f>IF(AND(Games[[#This Row],[Type]]="P",Games[[#This Row],[Round]]=2),IF(Games[[#This Row],[Result]]&lt;0.5,1,0),0)</f>
        <v>0</v>
      </c>
      <c r="AI402" s="2">
        <f>IF(AND(Games[[#This Row],[Type]]="P",Games[[#This Row],[Round]]=3),IF(Games[[#This Row],[Result]]&gt;0.5,1,0),0)</f>
        <v>0</v>
      </c>
      <c r="AJ402" s="2">
        <f>IF(AND(Games[[#This Row],[Type]]="P",Games[[#This Row],[Round]]=3),IF(Games[[#This Row],[Result]]&lt;0.5,1,0),0)</f>
        <v>0</v>
      </c>
      <c r="AK402" s="2">
        <f>IF(AND(Games[[#This Row],[Type]]="P",Games[[#This Row],[Round]]=4),IF(Games[[#This Row],[Result]]&gt;0.5,1,0),0)</f>
        <v>0</v>
      </c>
      <c r="AL402" s="2">
        <f>IF(AND(Games[[#This Row],[Type]]="P",Games[[#This Row],[Round]]=4),IF(Games[[#This Row],[Result]]&lt;0.5,1,0),0)</f>
        <v>0</v>
      </c>
    </row>
    <row r="403" spans="1:38" x14ac:dyDescent="0.35">
      <c r="A403" s="10">
        <v>37846</v>
      </c>
      <c r="B403" s="2">
        <v>2003</v>
      </c>
      <c r="C403" s="2">
        <f>COUNTIFS(Games[Team],Games[[#This Row],[Team]],Games[Season],Games[[#This Row],[Season]],Games[Date],"&lt;=" &amp; Games[[#This Row],[Date]])</f>
        <v>29</v>
      </c>
      <c r="D403" s="2" t="s">
        <v>23</v>
      </c>
      <c r="E403" s="2" t="s">
        <v>29</v>
      </c>
      <c r="F403" s="1" t="s">
        <v>44</v>
      </c>
      <c r="G403" s="1" t="s">
        <v>76</v>
      </c>
      <c r="H403" s="1" t="s">
        <v>15</v>
      </c>
      <c r="I403" s="2" cm="1">
        <f t="array" ref="I403">IFERROR(
    Games[[#This Row],[Date]]
    - LOOKUP(
        2,
        1/((Games[Team]=Games[[#This Row],[Team]]) * (Games[Date] &lt; Games[[#This Row],[Date]])),
        Games[Date]
    )
    - 1,
Games[[#This Row],[Date]]-$A$2)</f>
        <v>2</v>
      </c>
      <c r="J403" s="2" cm="1">
        <f t="array" ref="J40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03" s="2">
        <f>Games[[#This Row],[DaysOff]]-Games[[#This Row],[OppDaysOff]]</f>
        <v>0</v>
      </c>
      <c r="L403" s="2">
        <f>Games[[#This Row],[OppDaysOff]]-Games[[#This Row],[DaysOff]]</f>
        <v>0</v>
      </c>
      <c r="M403" s="1">
        <f>MAX(-16, MIN(16, Games[[#This Row],[RestDiff]]*8))</f>
        <v>0</v>
      </c>
      <c r="N403" s="1">
        <f>MAX(-16, MIN(16, Games[[#This Row],[OppRestDiff]]*8))</f>
        <v>0</v>
      </c>
      <c r="O403" s="4" cm="1">
        <f t="array" ref="O40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1353.0792976287837</v>
      </c>
      <c r="P403" s="4" cm="1">
        <f t="array" ref="P40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1581.1875684717343</v>
      </c>
      <c r="Q403" s="4">
        <f>1/(1+10^(((Games[[#This Row],[OppPreGmRate]]+IF(Games[[#This Row],[HomeAway]]="A",HCA,0)+Games[[#This Row],[OppRestAdj]])-(Games[[#This Row],[PreGmRate]]+IF(Games[[#This Row],[HomeAway]]="H",HCA,0)+Games[[#This Row],[RestAdj]]))/400))</f>
        <v>0.30373940593530085</v>
      </c>
      <c r="R403" s="1">
        <v>76</v>
      </c>
      <c r="S403" s="1">
        <v>78</v>
      </c>
      <c r="T403" s="1">
        <v>0</v>
      </c>
      <c r="U403" s="1">
        <f>Games[[#This Row],[PointsFor]]-Games[[#This Row],[PointsAgainst]]</f>
        <v>-2</v>
      </c>
      <c r="V403" s="1">
        <f>IF(Games[[#This Row],[MOV]]&gt;0,1,IF(Games[[#This Row],[MOV]]=0,0.5,0))</f>
        <v>0</v>
      </c>
      <c r="W403" s="4">
        <f>((ABS(Games[[#This Row],[MOV]])+5)^0.6)/(12+0.01*(ABS(Games[[#This Row],[PreGmRate]]-Games[[#This Row],[OppPreGmRate]])))*IF(Games[[#This Row],[OT]]=1,0.9,1)</f>
        <v>0.22505967616999351</v>
      </c>
      <c r="X403" s="7" cm="1">
        <f t="array" ref="X40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3" s="9">
        <f>MAX(kmin, kmax - 0.15 * MIN(Games[[#This Row],[GamesPlayed]], 82))</f>
        <v>71.650000000000006</v>
      </c>
      <c r="Z403" s="4">
        <f>Games[[#This Row],[K]]*Games[[#This Row],[POMult]]</f>
        <v>71.650000000000006</v>
      </c>
      <c r="AA403" s="4">
        <f>(Games[[#This Row],[Keff]]*Games[[#This Row],[MOVMult]])*(Games[[#This Row],[Result]]-Games[[#This Row],[ExpectedWin%]])</f>
        <v>-4.8979576261513289</v>
      </c>
      <c r="AB403" s="4">
        <f>Games[[#This Row],[PreGmRate]]+Games[[#This Row],[RatingChange]]</f>
        <v>1348.1813400026324</v>
      </c>
      <c r="AC403" s="2">
        <f>IF(Games[[#This Row],[Type]]="R",IF(Games[[#This Row],[Result]]&gt;0.5,1,0),0)</f>
        <v>0</v>
      </c>
      <c r="AD403" s="2">
        <f>IF(Games[[#This Row],[Type]]="R",IF(Games[[#This Row],[Result]]&lt;0.5,1,0),0)</f>
        <v>1</v>
      </c>
      <c r="AE403" s="2">
        <f>IF(AND(Games[[#This Row],[Type]]="P",Games[[#This Row],[Round]]=1),IF(Games[[#This Row],[Result]]&gt;0.5,1,0),0)</f>
        <v>0</v>
      </c>
      <c r="AF403" s="2">
        <f>IF(AND(Games[[#This Row],[Type]]="P",Games[[#This Row],[Round]]=1),IF(Games[[#This Row],[Result]]&lt;0.5,1,0),0)</f>
        <v>0</v>
      </c>
      <c r="AG403" s="2">
        <f>IF(AND(Games[[#This Row],[Type]]="P",Games[[#This Row],[Round]]=2),IF(Games[[#This Row],[Result]]&gt;0.5,1,0),0)</f>
        <v>0</v>
      </c>
      <c r="AH403" s="2">
        <f>IF(AND(Games[[#This Row],[Type]]="P",Games[[#This Row],[Round]]=2),IF(Games[[#This Row],[Result]]&lt;0.5,1,0),0)</f>
        <v>0</v>
      </c>
      <c r="AI403" s="2">
        <f>IF(AND(Games[[#This Row],[Type]]="P",Games[[#This Row],[Round]]=3),IF(Games[[#This Row],[Result]]&gt;0.5,1,0),0)</f>
        <v>0</v>
      </c>
      <c r="AJ403" s="2">
        <f>IF(AND(Games[[#This Row],[Type]]="P",Games[[#This Row],[Round]]=3),IF(Games[[#This Row],[Result]]&lt;0.5,1,0),0)</f>
        <v>0</v>
      </c>
      <c r="AK403" s="2">
        <f>IF(AND(Games[[#This Row],[Type]]="P",Games[[#This Row],[Round]]=4),IF(Games[[#This Row],[Result]]&gt;0.5,1,0),0)</f>
        <v>0</v>
      </c>
      <c r="AL403" s="2">
        <f>IF(AND(Games[[#This Row],[Type]]="P",Games[[#This Row],[Round]]=4),IF(Games[[#This Row],[Result]]&lt;0.5,1,0),0)</f>
        <v>0</v>
      </c>
    </row>
    <row r="404" spans="1:38" x14ac:dyDescent="0.35">
      <c r="A404" s="10">
        <v>37847</v>
      </c>
      <c r="B404" s="2">
        <v>2003</v>
      </c>
      <c r="C404" s="2">
        <f>COUNTIFS(Games[Team],Games[[#This Row],[Team]],Games[Season],Games[[#This Row],[Season]],Games[Date],"&lt;=" &amp; Games[[#This Row],[Date]])</f>
        <v>30</v>
      </c>
      <c r="D404" s="2" t="s">
        <v>23</v>
      </c>
      <c r="E404" s="2" t="s">
        <v>29</v>
      </c>
      <c r="F404" s="1" t="s">
        <v>74</v>
      </c>
      <c r="G404" s="1" t="s">
        <v>64</v>
      </c>
      <c r="H404" s="1" t="s">
        <v>16</v>
      </c>
      <c r="I404" s="2" cm="1">
        <f t="array" ref="I404">IFERROR(
    Games[[#This Row],[Date]]
    - LOOKUP(
        2,
        1/((Games[Team]=Games[[#This Row],[Team]]) * (Games[Date] &lt; Games[[#This Row],[Date]])),
        Games[Date]
    )
    - 1,
Games[[#This Row],[Date]]-$A$2)</f>
        <v>1</v>
      </c>
      <c r="J404" s="2" cm="1">
        <f t="array" ref="J404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404" s="2">
        <f>Games[[#This Row],[DaysOff]]-Games[[#This Row],[OppDaysOff]]</f>
        <v>-3</v>
      </c>
      <c r="L404" s="2">
        <f>Games[[#This Row],[OppDaysOff]]-Games[[#This Row],[DaysOff]]</f>
        <v>3</v>
      </c>
      <c r="M404" s="1">
        <f>MAX(-16, MIN(16, Games[[#This Row],[RestDiff]]*8))</f>
        <v>-16</v>
      </c>
      <c r="N404" s="1">
        <f>MAX(-16, MIN(16, Games[[#This Row],[OppRestDiff]]*8))</f>
        <v>16</v>
      </c>
      <c r="O404" s="4" cm="1">
        <f t="array" ref="O40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1396.7336270144328</v>
      </c>
      <c r="P404" s="4" cm="1">
        <f t="array" ref="P40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1532.0651594610638</v>
      </c>
      <c r="Q404" s="4">
        <f>1/(1+10^(((Games[[#This Row],[OppPreGmRate]]+IF(Games[[#This Row],[HomeAway]]="A",HCA,0)+Games[[#This Row],[OppRestAdj]])-(Games[[#This Row],[PreGmRate]]+IF(Games[[#This Row],[HomeAway]]="H",HCA,0)+Games[[#This Row],[RestAdj]]))/400))</f>
        <v>0.19049752934437006</v>
      </c>
      <c r="R404" s="1">
        <v>76</v>
      </c>
      <c r="S404" s="1">
        <v>69</v>
      </c>
      <c r="T404" s="1">
        <v>0</v>
      </c>
      <c r="U404" s="1">
        <f>Games[[#This Row],[PointsFor]]-Games[[#This Row],[PointsAgainst]]</f>
        <v>7</v>
      </c>
      <c r="V404" s="1">
        <f>IF(Games[[#This Row],[MOV]]&gt;0,1,IF(Games[[#This Row],[MOV]]=0,0.5,0))</f>
        <v>1</v>
      </c>
      <c r="W404" s="4">
        <f>((ABS(Games[[#This Row],[MOV]])+5)^0.6)/(12+0.01*(ABS(Games[[#This Row],[PreGmRate]]-Games[[#This Row],[OppPreGmRate]])))*IF(Games[[#This Row],[OT]]=1,0.9,1)</f>
        <v>0.33259800745575102</v>
      </c>
      <c r="X404" s="7" cm="1">
        <f t="array" ref="X40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4" s="9">
        <f>MAX(kmin, kmax - 0.15 * MIN(Games[[#This Row],[GamesPlayed]], 82))</f>
        <v>71.5</v>
      </c>
      <c r="Z404" s="4">
        <f>Games[[#This Row],[K]]*Games[[#This Row],[POMult]]</f>
        <v>71.5</v>
      </c>
      <c r="AA404" s="4">
        <f>(Games[[#This Row],[Keff]]*Games[[#This Row],[MOVMult]])*(Games[[#This Row],[Result]]-Games[[#This Row],[ExpectedWin%]])</f>
        <v>19.250581977095763</v>
      </c>
      <c r="AB404" s="4">
        <f>Games[[#This Row],[PreGmRate]]+Games[[#This Row],[RatingChange]]</f>
        <v>1415.9842089915287</v>
      </c>
      <c r="AC404" s="2">
        <f>IF(Games[[#This Row],[Type]]="R",IF(Games[[#This Row],[Result]]&gt;0.5,1,0),0)</f>
        <v>1</v>
      </c>
      <c r="AD404" s="2">
        <f>IF(Games[[#This Row],[Type]]="R",IF(Games[[#This Row],[Result]]&lt;0.5,1,0),0)</f>
        <v>0</v>
      </c>
      <c r="AE404" s="2">
        <f>IF(AND(Games[[#This Row],[Type]]="P",Games[[#This Row],[Round]]=1),IF(Games[[#This Row],[Result]]&gt;0.5,1,0),0)</f>
        <v>0</v>
      </c>
      <c r="AF404" s="2">
        <f>IF(AND(Games[[#This Row],[Type]]="P",Games[[#This Row],[Round]]=1),IF(Games[[#This Row],[Result]]&lt;0.5,1,0),0)</f>
        <v>0</v>
      </c>
      <c r="AG404" s="2">
        <f>IF(AND(Games[[#This Row],[Type]]="P",Games[[#This Row],[Round]]=2),IF(Games[[#This Row],[Result]]&gt;0.5,1,0),0)</f>
        <v>0</v>
      </c>
      <c r="AH404" s="2">
        <f>IF(AND(Games[[#This Row],[Type]]="P",Games[[#This Row],[Round]]=2),IF(Games[[#This Row],[Result]]&lt;0.5,1,0),0)</f>
        <v>0</v>
      </c>
      <c r="AI404" s="2">
        <f>IF(AND(Games[[#This Row],[Type]]="P",Games[[#This Row],[Round]]=3),IF(Games[[#This Row],[Result]]&gt;0.5,1,0),0)</f>
        <v>0</v>
      </c>
      <c r="AJ404" s="2">
        <f>IF(AND(Games[[#This Row],[Type]]="P",Games[[#This Row],[Round]]=3),IF(Games[[#This Row],[Result]]&lt;0.5,1,0),0)</f>
        <v>0</v>
      </c>
      <c r="AK404" s="2">
        <f>IF(AND(Games[[#This Row],[Type]]="P",Games[[#This Row],[Round]]=4),IF(Games[[#This Row],[Result]]&gt;0.5,1,0),0)</f>
        <v>0</v>
      </c>
      <c r="AL404" s="2">
        <f>IF(AND(Games[[#This Row],[Type]]="P",Games[[#This Row],[Round]]=4),IF(Games[[#This Row],[Result]]&lt;0.5,1,0),0)</f>
        <v>0</v>
      </c>
    </row>
    <row r="405" spans="1:38" x14ac:dyDescent="0.35">
      <c r="A405" s="10">
        <v>37847</v>
      </c>
      <c r="B405" s="2">
        <v>2003</v>
      </c>
      <c r="C405" s="2">
        <f>COUNTIFS(Games[Team],Games[[#This Row],[Team]],Games[Season],Games[[#This Row],[Season]],Games[Date],"&lt;=" &amp; Games[[#This Row],[Date]])</f>
        <v>29</v>
      </c>
      <c r="D405" s="2" t="s">
        <v>23</v>
      </c>
      <c r="E405" s="2" t="s">
        <v>29</v>
      </c>
      <c r="F405" s="1" t="s">
        <v>64</v>
      </c>
      <c r="G405" s="1" t="s">
        <v>74</v>
      </c>
      <c r="H405" s="1" t="s">
        <v>15</v>
      </c>
      <c r="I405" s="2" cm="1">
        <f t="array" ref="I405">IFERROR(
    Games[[#This Row],[Date]]
    - LOOKUP(
        2,
        1/((Games[Team]=Games[[#This Row],[Team]]) * (Games[Date] &lt; Games[[#This Row],[Date]])),
        Games[Date]
    )
    - 1,
Games[[#This Row],[Date]]-$A$2)</f>
        <v>4</v>
      </c>
      <c r="J405" s="2" cm="1">
        <f t="array" ref="J40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05" s="2">
        <f>Games[[#This Row],[DaysOff]]-Games[[#This Row],[OppDaysOff]]</f>
        <v>3</v>
      </c>
      <c r="L405" s="2">
        <f>Games[[#This Row],[OppDaysOff]]-Games[[#This Row],[DaysOff]]</f>
        <v>-3</v>
      </c>
      <c r="M405" s="1">
        <f>MAX(-16, MIN(16, Games[[#This Row],[RestDiff]]*8))</f>
        <v>16</v>
      </c>
      <c r="N405" s="1">
        <f>MAX(-16, MIN(16, Games[[#This Row],[OppRestDiff]]*8))</f>
        <v>-16</v>
      </c>
      <c r="O405" s="4" cm="1">
        <f t="array" ref="O40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1532.0651594610638</v>
      </c>
      <c r="P405" s="4" cm="1">
        <f t="array" ref="P40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1396.7336270144328</v>
      </c>
      <c r="Q405" s="4">
        <f>1/(1+10^(((Games[[#This Row],[OppPreGmRate]]+IF(Games[[#This Row],[HomeAway]]="A",HCA,0)+Games[[#This Row],[OppRestAdj]])-(Games[[#This Row],[PreGmRate]]+IF(Games[[#This Row],[HomeAway]]="H",HCA,0)+Games[[#This Row],[RestAdj]]))/400))</f>
        <v>0.80950247065562986</v>
      </c>
      <c r="R405" s="1">
        <v>69</v>
      </c>
      <c r="S405" s="1">
        <v>76</v>
      </c>
      <c r="T405" s="1">
        <v>0</v>
      </c>
      <c r="U405" s="1">
        <f>Games[[#This Row],[PointsFor]]-Games[[#This Row],[PointsAgainst]]</f>
        <v>-7</v>
      </c>
      <c r="V405" s="1">
        <f>IF(Games[[#This Row],[MOV]]&gt;0,1,IF(Games[[#This Row],[MOV]]=0,0.5,0))</f>
        <v>0</v>
      </c>
      <c r="W405" s="4">
        <f>((ABS(Games[[#This Row],[MOV]])+5)^0.6)/(12+0.01*(ABS(Games[[#This Row],[PreGmRate]]-Games[[#This Row],[OppPreGmRate]])))*IF(Games[[#This Row],[OT]]=1,0.9,1)</f>
        <v>0.33259800745575102</v>
      </c>
      <c r="X405" s="7" cm="1">
        <f t="array" ref="X40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5" s="9">
        <f>MAX(kmin, kmax - 0.15 * MIN(Games[[#This Row],[GamesPlayed]], 82))</f>
        <v>71.650000000000006</v>
      </c>
      <c r="Z405" s="4">
        <f>Games[[#This Row],[K]]*Games[[#This Row],[POMult]]</f>
        <v>71.650000000000006</v>
      </c>
      <c r="AA405" s="4">
        <f>(Games[[#This Row],[Keff]]*Games[[#This Row],[MOVMult]])*(Games[[#This Row],[Result]]-Games[[#This Row],[ExpectedWin%]])</f>
        <v>-19.290967813411346</v>
      </c>
      <c r="AB405" s="4">
        <f>Games[[#This Row],[PreGmRate]]+Games[[#This Row],[RatingChange]]</f>
        <v>1512.7741916476525</v>
      </c>
      <c r="AC405" s="2">
        <f>IF(Games[[#This Row],[Type]]="R",IF(Games[[#This Row],[Result]]&gt;0.5,1,0),0)</f>
        <v>0</v>
      </c>
      <c r="AD405" s="2">
        <f>IF(Games[[#This Row],[Type]]="R",IF(Games[[#This Row],[Result]]&lt;0.5,1,0),0)</f>
        <v>1</v>
      </c>
      <c r="AE405" s="2">
        <f>IF(AND(Games[[#This Row],[Type]]="P",Games[[#This Row],[Round]]=1),IF(Games[[#This Row],[Result]]&gt;0.5,1,0),0)</f>
        <v>0</v>
      </c>
      <c r="AF405" s="2">
        <f>IF(AND(Games[[#This Row],[Type]]="P",Games[[#This Row],[Round]]=1),IF(Games[[#This Row],[Result]]&lt;0.5,1,0),0)</f>
        <v>0</v>
      </c>
      <c r="AG405" s="2">
        <f>IF(AND(Games[[#This Row],[Type]]="P",Games[[#This Row],[Round]]=2),IF(Games[[#This Row],[Result]]&gt;0.5,1,0),0)</f>
        <v>0</v>
      </c>
      <c r="AH405" s="2">
        <f>IF(AND(Games[[#This Row],[Type]]="P",Games[[#This Row],[Round]]=2),IF(Games[[#This Row],[Result]]&lt;0.5,1,0),0)</f>
        <v>0</v>
      </c>
      <c r="AI405" s="2">
        <f>IF(AND(Games[[#This Row],[Type]]="P",Games[[#This Row],[Round]]=3),IF(Games[[#This Row],[Result]]&gt;0.5,1,0),0)</f>
        <v>0</v>
      </c>
      <c r="AJ405" s="2">
        <f>IF(AND(Games[[#This Row],[Type]]="P",Games[[#This Row],[Round]]=3),IF(Games[[#This Row],[Result]]&lt;0.5,1,0),0)</f>
        <v>0</v>
      </c>
      <c r="AK405" s="2">
        <f>IF(AND(Games[[#This Row],[Type]]="P",Games[[#This Row],[Round]]=4),IF(Games[[#This Row],[Result]]&gt;0.5,1,0),0)</f>
        <v>0</v>
      </c>
      <c r="AL405" s="2">
        <f>IF(AND(Games[[#This Row],[Type]]="P",Games[[#This Row],[Round]]=4),IF(Games[[#This Row],[Result]]&lt;0.5,1,0),0)</f>
        <v>0</v>
      </c>
    </row>
    <row r="406" spans="1:38" x14ac:dyDescent="0.35">
      <c r="A406" s="10">
        <v>37847</v>
      </c>
      <c r="B406" s="2">
        <v>2003</v>
      </c>
      <c r="C406" s="2">
        <f>COUNTIFS(Games[Team],Games[[#This Row],[Team]],Games[Season],Games[[#This Row],[Season]],Games[Date],"&lt;=" &amp; Games[[#This Row],[Date]])</f>
        <v>30</v>
      </c>
      <c r="D406" s="2" t="s">
        <v>23</v>
      </c>
      <c r="E406" s="2" t="s">
        <v>29</v>
      </c>
      <c r="F406" s="1" t="s">
        <v>71</v>
      </c>
      <c r="G406" s="1" t="s">
        <v>78</v>
      </c>
      <c r="H406" s="1" t="s">
        <v>16</v>
      </c>
      <c r="I406" s="2" cm="1">
        <f t="array" ref="I406">IFERROR(
    Games[[#This Row],[Date]]
    - LOOKUP(
        2,
        1/((Games[Team]=Games[[#This Row],[Team]]) * (Games[Date] &lt; Games[[#This Row],[Date]])),
        Games[Date]
    )
    - 1,
Games[[#This Row],[Date]]-$A$2)</f>
        <v>4</v>
      </c>
      <c r="J406" s="2" cm="1">
        <f t="array" ref="J406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406" s="2">
        <f>Games[[#This Row],[DaysOff]]-Games[[#This Row],[OppDaysOff]]</f>
        <v>0</v>
      </c>
      <c r="L406" s="2">
        <f>Games[[#This Row],[OppDaysOff]]-Games[[#This Row],[DaysOff]]</f>
        <v>0</v>
      </c>
      <c r="M406" s="1">
        <f>MAX(-16, MIN(16, Games[[#This Row],[RestDiff]]*8))</f>
        <v>0</v>
      </c>
      <c r="N406" s="1">
        <f>MAX(-16, MIN(16, Games[[#This Row],[OppRestDiff]]*8))</f>
        <v>0</v>
      </c>
      <c r="O406" s="4" cm="1">
        <f t="array" ref="O40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1565.2188645827289</v>
      </c>
      <c r="P406" s="4" cm="1">
        <f t="array" ref="P40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1507.2741367522549</v>
      </c>
      <c r="Q406" s="4">
        <f>1/(1+10^(((Games[[#This Row],[OppPreGmRate]]+IF(Games[[#This Row],[HomeAway]]="A",HCA,0)+Games[[#This Row],[OppRestAdj]])-(Games[[#This Row],[PreGmRate]]+IF(Games[[#This Row],[HomeAway]]="H",HCA,0)+Games[[#This Row],[RestAdj]]))/400))</f>
        <v>0.46257358452167879</v>
      </c>
      <c r="R406" s="1">
        <v>87</v>
      </c>
      <c r="S406" s="1">
        <v>83</v>
      </c>
      <c r="T406" s="1">
        <v>0</v>
      </c>
      <c r="U406" s="1">
        <f>Games[[#This Row],[PointsFor]]-Games[[#This Row],[PointsAgainst]]</f>
        <v>4</v>
      </c>
      <c r="V406" s="1">
        <f>IF(Games[[#This Row],[MOV]]&gt;0,1,IF(Games[[#This Row],[MOV]]=0,0.5,0))</f>
        <v>1</v>
      </c>
      <c r="W406" s="4">
        <f>((ABS(Games[[#This Row],[MOV]])+5)^0.6)/(12+0.01*(ABS(Games[[#This Row],[PreGmRate]]-Games[[#This Row],[OppPreGmRate]])))*IF(Games[[#This Row],[OT]]=1,0.9,1)</f>
        <v>0.2970872039260371</v>
      </c>
      <c r="X406" s="7" cm="1">
        <f t="array" ref="X40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6" s="9">
        <f>MAX(kmin, kmax - 0.15 * MIN(Games[[#This Row],[GamesPlayed]], 82))</f>
        <v>71.5</v>
      </c>
      <c r="Z406" s="4">
        <f>Games[[#This Row],[K]]*Games[[#This Row],[POMult]]</f>
        <v>71.5</v>
      </c>
      <c r="AA406" s="4">
        <f>(Games[[#This Row],[Keff]]*Games[[#This Row],[MOVMult]])*(Games[[#This Row],[Result]]-Games[[#This Row],[ExpectedWin%]])</f>
        <v>11.415869542966973</v>
      </c>
      <c r="AB406" s="4">
        <f>Games[[#This Row],[PreGmRate]]+Games[[#This Row],[RatingChange]]</f>
        <v>1576.6347341256958</v>
      </c>
      <c r="AC406" s="2">
        <f>IF(Games[[#This Row],[Type]]="R",IF(Games[[#This Row],[Result]]&gt;0.5,1,0),0)</f>
        <v>1</v>
      </c>
      <c r="AD406" s="2">
        <f>IF(Games[[#This Row],[Type]]="R",IF(Games[[#This Row],[Result]]&lt;0.5,1,0),0)</f>
        <v>0</v>
      </c>
      <c r="AE406" s="2">
        <f>IF(AND(Games[[#This Row],[Type]]="P",Games[[#This Row],[Round]]=1),IF(Games[[#This Row],[Result]]&gt;0.5,1,0),0)</f>
        <v>0</v>
      </c>
      <c r="AF406" s="2">
        <f>IF(AND(Games[[#This Row],[Type]]="P",Games[[#This Row],[Round]]=1),IF(Games[[#This Row],[Result]]&lt;0.5,1,0),0)</f>
        <v>0</v>
      </c>
      <c r="AG406" s="2">
        <f>IF(AND(Games[[#This Row],[Type]]="P",Games[[#This Row],[Round]]=2),IF(Games[[#This Row],[Result]]&gt;0.5,1,0),0)</f>
        <v>0</v>
      </c>
      <c r="AH406" s="2">
        <f>IF(AND(Games[[#This Row],[Type]]="P",Games[[#This Row],[Round]]=2),IF(Games[[#This Row],[Result]]&lt;0.5,1,0),0)</f>
        <v>0</v>
      </c>
      <c r="AI406" s="2">
        <f>IF(AND(Games[[#This Row],[Type]]="P",Games[[#This Row],[Round]]=3),IF(Games[[#This Row],[Result]]&gt;0.5,1,0),0)</f>
        <v>0</v>
      </c>
      <c r="AJ406" s="2">
        <f>IF(AND(Games[[#This Row],[Type]]="P",Games[[#This Row],[Round]]=3),IF(Games[[#This Row],[Result]]&lt;0.5,1,0),0)</f>
        <v>0</v>
      </c>
      <c r="AK406" s="2">
        <f>IF(AND(Games[[#This Row],[Type]]="P",Games[[#This Row],[Round]]=4),IF(Games[[#This Row],[Result]]&gt;0.5,1,0),0)</f>
        <v>0</v>
      </c>
      <c r="AL406" s="2">
        <f>IF(AND(Games[[#This Row],[Type]]="P",Games[[#This Row],[Round]]=4),IF(Games[[#This Row],[Result]]&lt;0.5,1,0),0)</f>
        <v>0</v>
      </c>
    </row>
    <row r="407" spans="1:38" x14ac:dyDescent="0.35">
      <c r="A407" s="10">
        <v>37847</v>
      </c>
      <c r="B407" s="2">
        <v>2003</v>
      </c>
      <c r="C407" s="2">
        <f>COUNTIFS(Games[Team],Games[[#This Row],[Team]],Games[Season],Games[[#This Row],[Season]],Games[Date],"&lt;=" &amp; Games[[#This Row],[Date]])</f>
        <v>30</v>
      </c>
      <c r="D407" s="2" t="s">
        <v>23</v>
      </c>
      <c r="E407" s="2" t="s">
        <v>29</v>
      </c>
      <c r="F407" s="1" t="s">
        <v>78</v>
      </c>
      <c r="G407" s="1" t="s">
        <v>71</v>
      </c>
      <c r="H407" s="1" t="s">
        <v>15</v>
      </c>
      <c r="I407" s="2" cm="1">
        <f t="array" ref="I407">IFERROR(
    Games[[#This Row],[Date]]
    - LOOKUP(
        2,
        1/((Games[Team]=Games[[#This Row],[Team]]) * (Games[Date] &lt; Games[[#This Row],[Date]])),
        Games[Date]
    )
    - 1,
Games[[#This Row],[Date]]-$A$2)</f>
        <v>4</v>
      </c>
      <c r="J407" s="2" cm="1">
        <f t="array" ref="J407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407" s="2">
        <f>Games[[#This Row],[DaysOff]]-Games[[#This Row],[OppDaysOff]]</f>
        <v>0</v>
      </c>
      <c r="L407" s="2">
        <f>Games[[#This Row],[OppDaysOff]]-Games[[#This Row],[DaysOff]]</f>
        <v>0</v>
      </c>
      <c r="M407" s="1">
        <f>MAX(-16, MIN(16, Games[[#This Row],[RestDiff]]*8))</f>
        <v>0</v>
      </c>
      <c r="N407" s="1">
        <f>MAX(-16, MIN(16, Games[[#This Row],[OppRestDiff]]*8))</f>
        <v>0</v>
      </c>
      <c r="O407" s="4" cm="1">
        <f t="array" ref="O40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1507.2741367522549</v>
      </c>
      <c r="P407" s="4" cm="1">
        <f t="array" ref="P40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1565.2188645827289</v>
      </c>
      <c r="Q407" s="4">
        <f>1/(1+10^(((Games[[#This Row],[OppPreGmRate]]+IF(Games[[#This Row],[HomeAway]]="A",HCA,0)+Games[[#This Row],[OppRestAdj]])-(Games[[#This Row],[PreGmRate]]+IF(Games[[#This Row],[HomeAway]]="H",HCA,0)+Games[[#This Row],[RestAdj]]))/400))</f>
        <v>0.53742641547832115</v>
      </c>
      <c r="R407" s="1">
        <v>83</v>
      </c>
      <c r="S407" s="1">
        <v>87</v>
      </c>
      <c r="T407" s="1">
        <v>0</v>
      </c>
      <c r="U407" s="1">
        <f>Games[[#This Row],[PointsFor]]-Games[[#This Row],[PointsAgainst]]</f>
        <v>-4</v>
      </c>
      <c r="V407" s="1">
        <f>IF(Games[[#This Row],[MOV]]&gt;0,1,IF(Games[[#This Row],[MOV]]=0,0.5,0))</f>
        <v>0</v>
      </c>
      <c r="W407" s="4">
        <f>((ABS(Games[[#This Row],[MOV]])+5)^0.6)/(12+0.01*(ABS(Games[[#This Row],[PreGmRate]]-Games[[#This Row],[OppPreGmRate]])))*IF(Games[[#This Row],[OT]]=1,0.9,1)</f>
        <v>0.2970872039260371</v>
      </c>
      <c r="X407" s="7" cm="1">
        <f t="array" ref="X40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7" s="9">
        <f>MAX(kmin, kmax - 0.15 * MIN(Games[[#This Row],[GamesPlayed]], 82))</f>
        <v>71.5</v>
      </c>
      <c r="Z407" s="4">
        <f>Games[[#This Row],[K]]*Games[[#This Row],[POMult]]</f>
        <v>71.5</v>
      </c>
      <c r="AA407" s="4">
        <f>(Games[[#This Row],[Keff]]*Games[[#This Row],[MOVMult]])*(Games[[#This Row],[Result]]-Games[[#This Row],[ExpectedWin%]])</f>
        <v>-11.41586954296697</v>
      </c>
      <c r="AB407" s="4">
        <f>Games[[#This Row],[PreGmRate]]+Games[[#This Row],[RatingChange]]</f>
        <v>1495.858267209288</v>
      </c>
      <c r="AC407" s="2">
        <f>IF(Games[[#This Row],[Type]]="R",IF(Games[[#This Row],[Result]]&gt;0.5,1,0),0)</f>
        <v>0</v>
      </c>
      <c r="AD407" s="2">
        <f>IF(Games[[#This Row],[Type]]="R",IF(Games[[#This Row],[Result]]&lt;0.5,1,0),0)</f>
        <v>1</v>
      </c>
      <c r="AE407" s="2">
        <f>IF(AND(Games[[#This Row],[Type]]="P",Games[[#This Row],[Round]]=1),IF(Games[[#This Row],[Result]]&gt;0.5,1,0),0)</f>
        <v>0</v>
      </c>
      <c r="AF407" s="2">
        <f>IF(AND(Games[[#This Row],[Type]]="P",Games[[#This Row],[Round]]=1),IF(Games[[#This Row],[Result]]&lt;0.5,1,0),0)</f>
        <v>0</v>
      </c>
      <c r="AG407" s="2">
        <f>IF(AND(Games[[#This Row],[Type]]="P",Games[[#This Row],[Round]]=2),IF(Games[[#This Row],[Result]]&gt;0.5,1,0),0)</f>
        <v>0</v>
      </c>
      <c r="AH407" s="2">
        <f>IF(AND(Games[[#This Row],[Type]]="P",Games[[#This Row],[Round]]=2),IF(Games[[#This Row],[Result]]&lt;0.5,1,0),0)</f>
        <v>0</v>
      </c>
      <c r="AI407" s="2">
        <f>IF(AND(Games[[#This Row],[Type]]="P",Games[[#This Row],[Round]]=3),IF(Games[[#This Row],[Result]]&gt;0.5,1,0),0)</f>
        <v>0</v>
      </c>
      <c r="AJ407" s="2">
        <f>IF(AND(Games[[#This Row],[Type]]="P",Games[[#This Row],[Round]]=3),IF(Games[[#This Row],[Result]]&lt;0.5,1,0),0)</f>
        <v>0</v>
      </c>
      <c r="AK407" s="2">
        <f>IF(AND(Games[[#This Row],[Type]]="P",Games[[#This Row],[Round]]=4),IF(Games[[#This Row],[Result]]&gt;0.5,1,0),0)</f>
        <v>0</v>
      </c>
      <c r="AL407" s="2">
        <f>IF(AND(Games[[#This Row],[Type]]="P",Games[[#This Row],[Round]]=4),IF(Games[[#This Row],[Result]]&lt;0.5,1,0),0)</f>
        <v>0</v>
      </c>
    </row>
    <row r="408" spans="1:38" x14ac:dyDescent="0.35">
      <c r="A408" s="10">
        <v>37848</v>
      </c>
      <c r="B408" s="2">
        <v>2003</v>
      </c>
      <c r="C408" s="2">
        <f>COUNTIFS(Games[Team],Games[[#This Row],[Team]],Games[Season],Games[[#This Row],[Season]],Games[Date],"&lt;=" &amp; Games[[#This Row],[Date]])</f>
        <v>29</v>
      </c>
      <c r="D408" s="2" t="s">
        <v>23</v>
      </c>
      <c r="E408" s="2" t="s">
        <v>29</v>
      </c>
      <c r="F408" s="1" t="s">
        <v>82</v>
      </c>
      <c r="G408" s="1" t="s">
        <v>44</v>
      </c>
      <c r="H408" s="1" t="s">
        <v>16</v>
      </c>
      <c r="I408" s="2" cm="1">
        <f t="array" ref="I408">IFERROR(
    Games[[#This Row],[Date]]
    - LOOKUP(
        2,
        1/((Games[Team]=Games[[#This Row],[Team]]) * (Games[Date] &lt; Games[[#This Row],[Date]])),
        Games[Date]
    )
    - 1,
Games[[#This Row],[Date]]-$A$2)</f>
        <v>2</v>
      </c>
      <c r="J408" s="2" cm="1">
        <f t="array" ref="J40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08" s="2">
        <f>Games[[#This Row],[DaysOff]]-Games[[#This Row],[OppDaysOff]]</f>
        <v>1</v>
      </c>
      <c r="L408" s="2">
        <f>Games[[#This Row],[OppDaysOff]]-Games[[#This Row],[DaysOff]]</f>
        <v>-1</v>
      </c>
      <c r="M408" s="1">
        <f>MAX(-16, MIN(16, Games[[#This Row],[RestDiff]]*8))</f>
        <v>8</v>
      </c>
      <c r="N408" s="1">
        <f>MAX(-16, MIN(16, Games[[#This Row],[OppRestDiff]]*8))</f>
        <v>-8</v>
      </c>
      <c r="O408" s="4" cm="1">
        <f t="array" ref="O40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1563.9640012538357</v>
      </c>
      <c r="P408" s="4" cm="1">
        <f t="array" ref="P40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1348.1813400026324</v>
      </c>
      <c r="Q408" s="4">
        <f>1/(1+10^(((Games[[#This Row],[OppPreGmRate]]+IF(Games[[#This Row],[HomeAway]]="A",HCA,0)+Games[[#This Row],[OppRestAdj]])-(Games[[#This Row],[PreGmRate]]+IF(Games[[#This Row],[HomeAway]]="H",HCA,0)+Games[[#This Row],[RestAdj]]))/400))</f>
        <v>0.70071509150881539</v>
      </c>
      <c r="R408" s="1">
        <v>50</v>
      </c>
      <c r="S408" s="1">
        <v>64</v>
      </c>
      <c r="T408" s="1">
        <v>0</v>
      </c>
      <c r="U408" s="1">
        <f>Games[[#This Row],[PointsFor]]-Games[[#This Row],[PointsAgainst]]</f>
        <v>-14</v>
      </c>
      <c r="V408" s="1">
        <f>IF(Games[[#This Row],[MOV]]&gt;0,1,IF(Games[[#This Row],[MOV]]=0,0.5,0))</f>
        <v>0</v>
      </c>
      <c r="W408" s="4">
        <f>((ABS(Games[[#This Row],[MOV]])+5)^0.6)/(12+0.01*(ABS(Games[[#This Row],[PreGmRate]]-Games[[#This Row],[OppPreGmRate]])))*IF(Games[[#This Row],[OT]]=1,0.9,1)</f>
        <v>0.41329064146315431</v>
      </c>
      <c r="X408" s="7" cm="1">
        <f t="array" ref="X40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8" s="9">
        <f>MAX(kmin, kmax - 0.15 * MIN(Games[[#This Row],[GamesPlayed]], 82))</f>
        <v>71.650000000000006</v>
      </c>
      <c r="Z408" s="4">
        <f>Games[[#This Row],[K]]*Games[[#This Row],[POMult]]</f>
        <v>71.650000000000006</v>
      </c>
      <c r="AA408" s="4">
        <f>(Games[[#This Row],[Keff]]*Games[[#This Row],[MOVMult]])*(Games[[#This Row],[Result]]-Games[[#This Row],[ExpectedWin%]])</f>
        <v>-20.74976760860816</v>
      </c>
      <c r="AB408" s="4">
        <f>Games[[#This Row],[PreGmRate]]+Games[[#This Row],[RatingChange]]</f>
        <v>1543.2142336452275</v>
      </c>
      <c r="AC408" s="2">
        <f>IF(Games[[#This Row],[Type]]="R",IF(Games[[#This Row],[Result]]&gt;0.5,1,0),0)</f>
        <v>0</v>
      </c>
      <c r="AD408" s="2">
        <f>IF(Games[[#This Row],[Type]]="R",IF(Games[[#This Row],[Result]]&lt;0.5,1,0),0)</f>
        <v>1</v>
      </c>
      <c r="AE408" s="2">
        <f>IF(AND(Games[[#This Row],[Type]]="P",Games[[#This Row],[Round]]=1),IF(Games[[#This Row],[Result]]&gt;0.5,1,0),0)</f>
        <v>0</v>
      </c>
      <c r="AF408" s="2">
        <f>IF(AND(Games[[#This Row],[Type]]="P",Games[[#This Row],[Round]]=1),IF(Games[[#This Row],[Result]]&lt;0.5,1,0),0)</f>
        <v>0</v>
      </c>
      <c r="AG408" s="2">
        <f>IF(AND(Games[[#This Row],[Type]]="P",Games[[#This Row],[Round]]=2),IF(Games[[#This Row],[Result]]&gt;0.5,1,0),0)</f>
        <v>0</v>
      </c>
      <c r="AH408" s="2">
        <f>IF(AND(Games[[#This Row],[Type]]="P",Games[[#This Row],[Round]]=2),IF(Games[[#This Row],[Result]]&lt;0.5,1,0),0)</f>
        <v>0</v>
      </c>
      <c r="AI408" s="2">
        <f>IF(AND(Games[[#This Row],[Type]]="P",Games[[#This Row],[Round]]=3),IF(Games[[#This Row],[Result]]&gt;0.5,1,0),0)</f>
        <v>0</v>
      </c>
      <c r="AJ408" s="2">
        <f>IF(AND(Games[[#This Row],[Type]]="P",Games[[#This Row],[Round]]=3),IF(Games[[#This Row],[Result]]&lt;0.5,1,0),0)</f>
        <v>0</v>
      </c>
      <c r="AK408" s="2">
        <f>IF(AND(Games[[#This Row],[Type]]="P",Games[[#This Row],[Round]]=4),IF(Games[[#This Row],[Result]]&gt;0.5,1,0),0)</f>
        <v>0</v>
      </c>
      <c r="AL408" s="2">
        <f>IF(AND(Games[[#This Row],[Type]]="P",Games[[#This Row],[Round]]=4),IF(Games[[#This Row],[Result]]&lt;0.5,1,0),0)</f>
        <v>0</v>
      </c>
    </row>
    <row r="409" spans="1:38" x14ac:dyDescent="0.35">
      <c r="A409" s="10">
        <v>37848</v>
      </c>
      <c r="B409" s="2">
        <v>2003</v>
      </c>
      <c r="C409" s="2">
        <f>COUNTIFS(Games[Team],Games[[#This Row],[Team]],Games[Season],Games[[#This Row],[Season]],Games[Date],"&lt;=" &amp; Games[[#This Row],[Date]])</f>
        <v>30</v>
      </c>
      <c r="D409" s="2" t="s">
        <v>23</v>
      </c>
      <c r="E409" s="2" t="s">
        <v>29</v>
      </c>
      <c r="F409" s="1" t="s">
        <v>44</v>
      </c>
      <c r="G409" s="1" t="s">
        <v>82</v>
      </c>
      <c r="H409" s="1" t="s">
        <v>15</v>
      </c>
      <c r="I409" s="2" cm="1">
        <f t="array" ref="I409">IFERROR(
    Games[[#This Row],[Date]]
    - LOOKUP(
        2,
        1/((Games[Team]=Games[[#This Row],[Team]]) * (Games[Date] &lt; Games[[#This Row],[Date]])),
        Games[Date]
    )
    - 1,
Games[[#This Row],[Date]]-$A$2)</f>
        <v>1</v>
      </c>
      <c r="J409" s="2" cm="1">
        <f t="array" ref="J40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09" s="2">
        <f>Games[[#This Row],[DaysOff]]-Games[[#This Row],[OppDaysOff]]</f>
        <v>-1</v>
      </c>
      <c r="L409" s="2">
        <f>Games[[#This Row],[OppDaysOff]]-Games[[#This Row],[DaysOff]]</f>
        <v>1</v>
      </c>
      <c r="M409" s="1">
        <f>MAX(-16, MIN(16, Games[[#This Row],[RestDiff]]*8))</f>
        <v>-8</v>
      </c>
      <c r="N409" s="1">
        <f>MAX(-16, MIN(16, Games[[#This Row],[OppRestDiff]]*8))</f>
        <v>8</v>
      </c>
      <c r="O409" s="4" cm="1">
        <f t="array" ref="O40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1348.1813400026324</v>
      </c>
      <c r="P409" s="4" cm="1">
        <f t="array" ref="P40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1563.9640012538357</v>
      </c>
      <c r="Q409" s="4">
        <f>1/(1+10^(((Games[[#This Row],[OppPreGmRate]]+IF(Games[[#This Row],[HomeAway]]="A",HCA,0)+Games[[#This Row],[OppRestAdj]])-(Games[[#This Row],[PreGmRate]]+IF(Games[[#This Row],[HomeAway]]="H",HCA,0)+Games[[#This Row],[RestAdj]]))/400))</f>
        <v>0.29928490849118461</v>
      </c>
      <c r="R409" s="1">
        <v>64</v>
      </c>
      <c r="S409" s="1">
        <v>50</v>
      </c>
      <c r="T409" s="1">
        <v>0</v>
      </c>
      <c r="U409" s="1">
        <f>Games[[#This Row],[PointsFor]]-Games[[#This Row],[PointsAgainst]]</f>
        <v>14</v>
      </c>
      <c r="V409" s="1">
        <f>IF(Games[[#This Row],[MOV]]&gt;0,1,IF(Games[[#This Row],[MOV]]=0,0.5,0))</f>
        <v>1</v>
      </c>
      <c r="W409" s="4">
        <f>((ABS(Games[[#This Row],[MOV]])+5)^0.6)/(12+0.01*(ABS(Games[[#This Row],[PreGmRate]]-Games[[#This Row],[OppPreGmRate]])))*IF(Games[[#This Row],[OT]]=1,0.9,1)</f>
        <v>0.41329064146315431</v>
      </c>
      <c r="X409" s="7" cm="1">
        <f t="array" ref="X40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9" s="9">
        <f>MAX(kmin, kmax - 0.15 * MIN(Games[[#This Row],[GamesPlayed]], 82))</f>
        <v>71.5</v>
      </c>
      <c r="Z409" s="4">
        <f>Games[[#This Row],[K]]*Games[[#This Row],[POMult]]</f>
        <v>71.5</v>
      </c>
      <c r="AA409" s="4">
        <f>(Games[[#This Row],[Keff]]*Games[[#This Row],[MOVMult]])*(Games[[#This Row],[Result]]-Games[[#This Row],[ExpectedWin%]])</f>
        <v>20.706327760160271</v>
      </c>
      <c r="AB409" s="4">
        <f>Games[[#This Row],[PreGmRate]]+Games[[#This Row],[RatingChange]]</f>
        <v>1368.8876677627927</v>
      </c>
      <c r="AC409" s="2">
        <f>IF(Games[[#This Row],[Type]]="R",IF(Games[[#This Row],[Result]]&gt;0.5,1,0),0)</f>
        <v>1</v>
      </c>
      <c r="AD409" s="2">
        <f>IF(Games[[#This Row],[Type]]="R",IF(Games[[#This Row],[Result]]&lt;0.5,1,0),0)</f>
        <v>0</v>
      </c>
      <c r="AE409" s="2">
        <f>IF(AND(Games[[#This Row],[Type]]="P",Games[[#This Row],[Round]]=1),IF(Games[[#This Row],[Result]]&gt;0.5,1,0),0)</f>
        <v>0</v>
      </c>
      <c r="AF409" s="2">
        <f>IF(AND(Games[[#This Row],[Type]]="P",Games[[#This Row],[Round]]=1),IF(Games[[#This Row],[Result]]&lt;0.5,1,0),0)</f>
        <v>0</v>
      </c>
      <c r="AG409" s="2">
        <f>IF(AND(Games[[#This Row],[Type]]="P",Games[[#This Row],[Round]]=2),IF(Games[[#This Row],[Result]]&gt;0.5,1,0),0)</f>
        <v>0</v>
      </c>
      <c r="AH409" s="2">
        <f>IF(AND(Games[[#This Row],[Type]]="P",Games[[#This Row],[Round]]=2),IF(Games[[#This Row],[Result]]&lt;0.5,1,0),0)</f>
        <v>0</v>
      </c>
      <c r="AI409" s="2">
        <f>IF(AND(Games[[#This Row],[Type]]="P",Games[[#This Row],[Round]]=3),IF(Games[[#This Row],[Result]]&gt;0.5,1,0),0)</f>
        <v>0</v>
      </c>
      <c r="AJ409" s="2">
        <f>IF(AND(Games[[#This Row],[Type]]="P",Games[[#This Row],[Round]]=3),IF(Games[[#This Row],[Result]]&lt;0.5,1,0),0)</f>
        <v>0</v>
      </c>
      <c r="AK409" s="2">
        <f>IF(AND(Games[[#This Row],[Type]]="P",Games[[#This Row],[Round]]=4),IF(Games[[#This Row],[Result]]&gt;0.5,1,0),0)</f>
        <v>0</v>
      </c>
      <c r="AL409" s="2">
        <f>IF(AND(Games[[#This Row],[Type]]="P",Games[[#This Row],[Round]]=4),IF(Games[[#This Row],[Result]]&lt;0.5,1,0),0)</f>
        <v>0</v>
      </c>
    </row>
    <row r="410" spans="1:38" x14ac:dyDescent="0.35">
      <c r="A410" s="10">
        <v>37848</v>
      </c>
      <c r="B410" s="2">
        <v>2003</v>
      </c>
      <c r="C410" s="2">
        <f>COUNTIFS(Games[Team],Games[[#This Row],[Team]],Games[Season],Games[[#This Row],[Season]],Games[Date],"&lt;=" &amp; Games[[#This Row],[Date]])</f>
        <v>30</v>
      </c>
      <c r="D410" s="2" t="s">
        <v>23</v>
      </c>
      <c r="E410" s="2" t="s">
        <v>29</v>
      </c>
      <c r="F410" s="1" t="s">
        <v>76</v>
      </c>
      <c r="G410" s="1" t="s">
        <v>45</v>
      </c>
      <c r="H410" s="1" t="s">
        <v>16</v>
      </c>
      <c r="I410" s="2" cm="1">
        <f t="array" ref="I410">IFERROR(
    Games[[#This Row],[Date]]
    - LOOKUP(
        2,
        1/((Games[Team]=Games[[#This Row],[Team]]) * (Games[Date] &lt; Games[[#This Row],[Date]])),
        Games[Date]
    )
    - 1,
Games[[#This Row],[Date]]-$A$2)</f>
        <v>1</v>
      </c>
      <c r="J410" s="2" cm="1">
        <f t="array" ref="J410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410" s="2">
        <f>Games[[#This Row],[DaysOff]]-Games[[#This Row],[OppDaysOff]]</f>
        <v>-4</v>
      </c>
      <c r="L410" s="2">
        <f>Games[[#This Row],[OppDaysOff]]-Games[[#This Row],[DaysOff]]</f>
        <v>4</v>
      </c>
      <c r="M410" s="1">
        <f>MAX(-16, MIN(16, Games[[#This Row],[RestDiff]]*8))</f>
        <v>-16</v>
      </c>
      <c r="N410" s="1">
        <f>MAX(-16, MIN(16, Games[[#This Row],[OppRestDiff]]*8))</f>
        <v>16</v>
      </c>
      <c r="O410" s="4" cm="1">
        <f t="array" ref="O41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1586.0855260978856</v>
      </c>
      <c r="P410" s="4" cm="1">
        <f t="array" ref="P41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1542.5304733811233</v>
      </c>
      <c r="Q410" s="4">
        <f>1/(1+10^(((Games[[#This Row],[OppPreGmRate]]+IF(Games[[#This Row],[HomeAway]]="A",HCA,0)+Games[[#This Row],[OppRestAdj]])-(Games[[#This Row],[PreGmRate]]+IF(Games[[#This Row],[HomeAway]]="H",HCA,0)+Games[[#This Row],[RestAdj]]))/400))</f>
        <v>0.39722846772759818</v>
      </c>
      <c r="R410" s="1">
        <v>63</v>
      </c>
      <c r="S410" s="1">
        <v>75</v>
      </c>
      <c r="T410" s="1">
        <v>0</v>
      </c>
      <c r="U410" s="1">
        <f>Games[[#This Row],[PointsFor]]-Games[[#This Row],[PointsAgainst]]</f>
        <v>-12</v>
      </c>
      <c r="V410" s="1">
        <f>IF(Games[[#This Row],[MOV]]&gt;0,1,IF(Games[[#This Row],[MOV]]=0,0.5,0))</f>
        <v>0</v>
      </c>
      <c r="W410" s="4">
        <f>((ABS(Games[[#This Row],[MOV]])+5)^0.6)/(12+0.01*(ABS(Games[[#This Row],[PreGmRate]]-Games[[#This Row],[OppPreGmRate]])))*IF(Games[[#This Row],[OT]]=1,0.9,1)</f>
        <v>0.4401536791604489</v>
      </c>
      <c r="X410" s="7" cm="1">
        <f t="array" ref="X41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10" s="9">
        <f>MAX(kmin, kmax - 0.15 * MIN(Games[[#This Row],[GamesPlayed]], 82))</f>
        <v>71.5</v>
      </c>
      <c r="Z410" s="4">
        <f>Games[[#This Row],[K]]*Games[[#This Row],[POMult]]</f>
        <v>71.5</v>
      </c>
      <c r="AA410" s="4">
        <f>(Games[[#This Row],[Keff]]*Games[[#This Row],[MOVMult]])*(Games[[#This Row],[Result]]-Games[[#This Row],[ExpectedWin%]])</f>
        <v>-12.501172364936254</v>
      </c>
      <c r="AB410" s="4">
        <f>Games[[#This Row],[PreGmRate]]+Games[[#This Row],[RatingChange]]</f>
        <v>1573.5843537329492</v>
      </c>
      <c r="AC410" s="2">
        <f>IF(Games[[#This Row],[Type]]="R",IF(Games[[#This Row],[Result]]&gt;0.5,1,0),0)</f>
        <v>0</v>
      </c>
      <c r="AD410" s="2">
        <f>IF(Games[[#This Row],[Type]]="R",IF(Games[[#This Row],[Result]]&lt;0.5,1,0),0)</f>
        <v>1</v>
      </c>
      <c r="AE410" s="2">
        <f>IF(AND(Games[[#This Row],[Type]]="P",Games[[#This Row],[Round]]=1),IF(Games[[#This Row],[Result]]&gt;0.5,1,0),0)</f>
        <v>0</v>
      </c>
      <c r="AF410" s="2">
        <f>IF(AND(Games[[#This Row],[Type]]="P",Games[[#This Row],[Round]]=1),IF(Games[[#This Row],[Result]]&lt;0.5,1,0),0)</f>
        <v>0</v>
      </c>
      <c r="AG410" s="2">
        <f>IF(AND(Games[[#This Row],[Type]]="P",Games[[#This Row],[Round]]=2),IF(Games[[#This Row],[Result]]&gt;0.5,1,0),0)</f>
        <v>0</v>
      </c>
      <c r="AH410" s="2">
        <f>IF(AND(Games[[#This Row],[Type]]="P",Games[[#This Row],[Round]]=2),IF(Games[[#This Row],[Result]]&lt;0.5,1,0),0)</f>
        <v>0</v>
      </c>
      <c r="AI410" s="2">
        <f>IF(AND(Games[[#This Row],[Type]]="P",Games[[#This Row],[Round]]=3),IF(Games[[#This Row],[Result]]&gt;0.5,1,0),0)</f>
        <v>0</v>
      </c>
      <c r="AJ410" s="2">
        <f>IF(AND(Games[[#This Row],[Type]]="P",Games[[#This Row],[Round]]=3),IF(Games[[#This Row],[Result]]&lt;0.5,1,0),0)</f>
        <v>0</v>
      </c>
      <c r="AK410" s="2">
        <f>IF(AND(Games[[#This Row],[Type]]="P",Games[[#This Row],[Round]]=4),IF(Games[[#This Row],[Result]]&gt;0.5,1,0),0)</f>
        <v>0</v>
      </c>
      <c r="AL410" s="2">
        <f>IF(AND(Games[[#This Row],[Type]]="P",Games[[#This Row],[Round]]=4),IF(Games[[#This Row],[Result]]&lt;0.5,1,0),0)</f>
        <v>0</v>
      </c>
    </row>
    <row r="411" spans="1:38" x14ac:dyDescent="0.35">
      <c r="A411" s="10">
        <v>37848</v>
      </c>
      <c r="B411" s="2">
        <v>2003</v>
      </c>
      <c r="C411" s="2">
        <f>COUNTIFS(Games[Team],Games[[#This Row],[Team]],Games[Season],Games[[#This Row],[Season]],Games[Date],"&lt;=" &amp; Games[[#This Row],[Date]])</f>
        <v>30</v>
      </c>
      <c r="D411" s="2" t="s">
        <v>23</v>
      </c>
      <c r="E411" s="2" t="s">
        <v>29</v>
      </c>
      <c r="F411" s="1" t="s">
        <v>45</v>
      </c>
      <c r="G411" s="1" t="s">
        <v>76</v>
      </c>
      <c r="H411" s="1" t="s">
        <v>15</v>
      </c>
      <c r="I411" s="2" cm="1">
        <f t="array" ref="I411">IFERROR(
    Games[[#This Row],[Date]]
    - LOOKUP(
        2,
        1/((Games[Team]=Games[[#This Row],[Team]]) * (Games[Date] &lt; Games[[#This Row],[Date]])),
        Games[Date]
    )
    - 1,
Games[[#This Row],[Date]]-$A$2)</f>
        <v>5</v>
      </c>
      <c r="J411" s="2" cm="1">
        <f t="array" ref="J41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11" s="2">
        <f>Games[[#This Row],[DaysOff]]-Games[[#This Row],[OppDaysOff]]</f>
        <v>4</v>
      </c>
      <c r="L411" s="2">
        <f>Games[[#This Row],[OppDaysOff]]-Games[[#This Row],[DaysOff]]</f>
        <v>-4</v>
      </c>
      <c r="M411" s="1">
        <f>MAX(-16, MIN(16, Games[[#This Row],[RestDiff]]*8))</f>
        <v>16</v>
      </c>
      <c r="N411" s="1">
        <f>MAX(-16, MIN(16, Games[[#This Row],[OppRestDiff]]*8))</f>
        <v>-16</v>
      </c>
      <c r="O411" s="4" cm="1">
        <f t="array" ref="O41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1542.5304733811233</v>
      </c>
      <c r="P411" s="4" cm="1">
        <f t="array" ref="P41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1586.0855260978856</v>
      </c>
      <c r="Q411" s="4">
        <f>1/(1+10^(((Games[[#This Row],[OppPreGmRate]]+IF(Games[[#This Row],[HomeAway]]="A",HCA,0)+Games[[#This Row],[OppRestAdj]])-(Games[[#This Row],[PreGmRate]]+IF(Games[[#This Row],[HomeAway]]="H",HCA,0)+Games[[#This Row],[RestAdj]]))/400))</f>
        <v>0.60277153227240188</v>
      </c>
      <c r="R411" s="1">
        <v>75</v>
      </c>
      <c r="S411" s="1">
        <v>63</v>
      </c>
      <c r="T411" s="1">
        <v>0</v>
      </c>
      <c r="U411" s="1">
        <f>Games[[#This Row],[PointsFor]]-Games[[#This Row],[PointsAgainst]]</f>
        <v>12</v>
      </c>
      <c r="V411" s="1">
        <f>IF(Games[[#This Row],[MOV]]&gt;0,1,IF(Games[[#This Row],[MOV]]=0,0.5,0))</f>
        <v>1</v>
      </c>
      <c r="W411" s="4">
        <f>((ABS(Games[[#This Row],[MOV]])+5)^0.6)/(12+0.01*(ABS(Games[[#This Row],[PreGmRate]]-Games[[#This Row],[OppPreGmRate]])))*IF(Games[[#This Row],[OT]]=1,0.9,1)</f>
        <v>0.4401536791604489</v>
      </c>
      <c r="X411" s="7" cm="1">
        <f t="array" ref="X41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11" s="9">
        <f>MAX(kmin, kmax - 0.15 * MIN(Games[[#This Row],[GamesPlayed]], 82))</f>
        <v>71.5</v>
      </c>
      <c r="Z411" s="4">
        <f>Games[[#This Row],[K]]*Games[[#This Row],[POMult]]</f>
        <v>71.5</v>
      </c>
      <c r="AA411" s="4">
        <f>(Games[[#This Row],[Keff]]*Games[[#This Row],[MOVMult]])*(Games[[#This Row],[Result]]-Games[[#This Row],[ExpectedWin%]])</f>
        <v>12.501172364936252</v>
      </c>
      <c r="AB411" s="4">
        <f>Games[[#This Row],[PreGmRate]]+Games[[#This Row],[RatingChange]]</f>
        <v>1555.0316457460597</v>
      </c>
      <c r="AC411" s="2">
        <f>IF(Games[[#This Row],[Type]]="R",IF(Games[[#This Row],[Result]]&gt;0.5,1,0),0)</f>
        <v>1</v>
      </c>
      <c r="AD411" s="2">
        <f>IF(Games[[#This Row],[Type]]="R",IF(Games[[#This Row],[Result]]&lt;0.5,1,0),0)</f>
        <v>0</v>
      </c>
      <c r="AE411" s="2">
        <f>IF(AND(Games[[#This Row],[Type]]="P",Games[[#This Row],[Round]]=1),IF(Games[[#This Row],[Result]]&gt;0.5,1,0),0)</f>
        <v>0</v>
      </c>
      <c r="AF411" s="2">
        <f>IF(AND(Games[[#This Row],[Type]]="P",Games[[#This Row],[Round]]=1),IF(Games[[#This Row],[Result]]&lt;0.5,1,0),0)</f>
        <v>0</v>
      </c>
      <c r="AG411" s="2">
        <f>IF(AND(Games[[#This Row],[Type]]="P",Games[[#This Row],[Round]]=2),IF(Games[[#This Row],[Result]]&gt;0.5,1,0),0)</f>
        <v>0</v>
      </c>
      <c r="AH411" s="2">
        <f>IF(AND(Games[[#This Row],[Type]]="P",Games[[#This Row],[Round]]=2),IF(Games[[#This Row],[Result]]&lt;0.5,1,0),0)</f>
        <v>0</v>
      </c>
      <c r="AI411" s="2">
        <f>IF(AND(Games[[#This Row],[Type]]="P",Games[[#This Row],[Round]]=3),IF(Games[[#This Row],[Result]]&gt;0.5,1,0),0)</f>
        <v>0</v>
      </c>
      <c r="AJ411" s="2">
        <f>IF(AND(Games[[#This Row],[Type]]="P",Games[[#This Row],[Round]]=3),IF(Games[[#This Row],[Result]]&lt;0.5,1,0),0)</f>
        <v>0</v>
      </c>
      <c r="AK411" s="2">
        <f>IF(AND(Games[[#This Row],[Type]]="P",Games[[#This Row],[Round]]=4),IF(Games[[#This Row],[Result]]&gt;0.5,1,0),0)</f>
        <v>0</v>
      </c>
      <c r="AL411" s="2">
        <f>IF(AND(Games[[#This Row],[Type]]="P",Games[[#This Row],[Round]]=4),IF(Games[[#This Row],[Result]]&lt;0.5,1,0),0)</f>
        <v>0</v>
      </c>
    </row>
    <row r="412" spans="1:38" x14ac:dyDescent="0.35">
      <c r="A412" s="10">
        <v>37849</v>
      </c>
      <c r="B412" s="2">
        <v>2003</v>
      </c>
      <c r="C412" s="2">
        <f>COUNTIFS(Games[Team],Games[[#This Row],[Team]],Games[Season],Games[[#This Row],[Season]],Games[Date],"&lt;=" &amp; Games[[#This Row],[Date]])</f>
        <v>31</v>
      </c>
      <c r="D412" s="2" t="s">
        <v>23</v>
      </c>
      <c r="E412" s="2" t="s">
        <v>29</v>
      </c>
      <c r="F412" s="1" t="s">
        <v>71</v>
      </c>
      <c r="G412" s="1" t="s">
        <v>2</v>
      </c>
      <c r="H412" s="1" t="s">
        <v>16</v>
      </c>
      <c r="I412" s="2" cm="1">
        <f t="array" ref="I412">IFERROR(
    Games[[#This Row],[Date]]
    - LOOKUP(
        2,
        1/((Games[Team]=Games[[#This Row],[Team]]) * (Games[Date] &lt; Games[[#This Row],[Date]])),
        Games[Date]
    )
    - 1,
Games[[#This Row],[Date]]-$A$2)</f>
        <v>1</v>
      </c>
      <c r="J412" s="2" cm="1">
        <f t="array" ref="J412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412" s="2">
        <f>Games[[#This Row],[DaysOff]]-Games[[#This Row],[OppDaysOff]]</f>
        <v>-4</v>
      </c>
      <c r="L412" s="2">
        <f>Games[[#This Row],[OppDaysOff]]-Games[[#This Row],[DaysOff]]</f>
        <v>4</v>
      </c>
      <c r="M412" s="1">
        <f>MAX(-16, MIN(16, Games[[#This Row],[RestDiff]]*8))</f>
        <v>-16</v>
      </c>
      <c r="N412" s="1">
        <f>MAX(-16, MIN(16, Games[[#This Row],[OppRestDiff]]*8))</f>
        <v>16</v>
      </c>
      <c r="O412" s="4" cm="1">
        <f t="array" ref="O41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1576.6347341256958</v>
      </c>
      <c r="P412" s="4" cm="1">
        <f t="array" ref="P41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1630.6814242393973</v>
      </c>
      <c r="Q412" s="4">
        <f>1/(1+10^(((Games[[#This Row],[OppPreGmRate]]+IF(Games[[#This Row],[HomeAway]]="A",HCA,0)+Games[[#This Row],[OppRestAdj]])-(Games[[#This Row],[PreGmRate]]+IF(Games[[#This Row],[HomeAway]]="H",HCA,0)+Games[[#This Row],[RestAdj]]))/400))</f>
        <v>0.27311656721891431</v>
      </c>
      <c r="R412" s="1">
        <v>64</v>
      </c>
      <c r="S412" s="1">
        <v>63</v>
      </c>
      <c r="T412" s="1">
        <v>0</v>
      </c>
      <c r="U412" s="1">
        <f>Games[[#This Row],[PointsFor]]-Games[[#This Row],[PointsAgainst]]</f>
        <v>1</v>
      </c>
      <c r="V412" s="1">
        <f>IF(Games[[#This Row],[MOV]]&gt;0,1,IF(Games[[#This Row],[MOV]]=0,0.5,0))</f>
        <v>1</v>
      </c>
      <c r="W412" s="4">
        <f>((ABS(Games[[#This Row],[MOV]])+5)^0.6)/(12+0.01*(ABS(Games[[#This Row],[PreGmRate]]-Games[[#This Row],[OppPreGmRate]])))*IF(Games[[#This Row],[OT]]=1,0.9,1)</f>
        <v>0.2336560572013352</v>
      </c>
      <c r="X412" s="7" cm="1">
        <f t="array" ref="X41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12" s="9">
        <f>MAX(kmin, kmax - 0.15 * MIN(Games[[#This Row],[GamesPlayed]], 82))</f>
        <v>71.349999999999994</v>
      </c>
      <c r="Z412" s="4">
        <f>Games[[#This Row],[K]]*Games[[#This Row],[POMult]]</f>
        <v>71.349999999999994</v>
      </c>
      <c r="AA412" s="4">
        <f>(Games[[#This Row],[Keff]]*Games[[#This Row],[MOVMult]])*(Games[[#This Row],[Result]]-Games[[#This Row],[ExpectedWin%]])</f>
        <v>12.118135154282628</v>
      </c>
      <c r="AB412" s="4">
        <f>Games[[#This Row],[PreGmRate]]+Games[[#This Row],[RatingChange]]</f>
        <v>1588.7528692799783</v>
      </c>
      <c r="AC412" s="2">
        <f>IF(Games[[#This Row],[Type]]="R",IF(Games[[#This Row],[Result]]&gt;0.5,1,0),0)</f>
        <v>1</v>
      </c>
      <c r="AD412" s="2">
        <f>IF(Games[[#This Row],[Type]]="R",IF(Games[[#This Row],[Result]]&lt;0.5,1,0),0)</f>
        <v>0</v>
      </c>
      <c r="AE412" s="2">
        <f>IF(AND(Games[[#This Row],[Type]]="P",Games[[#This Row],[Round]]=1),IF(Games[[#This Row],[Result]]&gt;0.5,1,0),0)</f>
        <v>0</v>
      </c>
      <c r="AF412" s="2">
        <f>IF(AND(Games[[#This Row],[Type]]="P",Games[[#This Row],[Round]]=1),IF(Games[[#This Row],[Result]]&lt;0.5,1,0),0)</f>
        <v>0</v>
      </c>
      <c r="AG412" s="2">
        <f>IF(AND(Games[[#This Row],[Type]]="P",Games[[#This Row],[Round]]=2),IF(Games[[#This Row],[Result]]&gt;0.5,1,0),0)</f>
        <v>0</v>
      </c>
      <c r="AH412" s="2">
        <f>IF(AND(Games[[#This Row],[Type]]="P",Games[[#This Row],[Round]]=2),IF(Games[[#This Row],[Result]]&lt;0.5,1,0),0)</f>
        <v>0</v>
      </c>
      <c r="AI412" s="2">
        <f>IF(AND(Games[[#This Row],[Type]]="P",Games[[#This Row],[Round]]=3),IF(Games[[#This Row],[Result]]&gt;0.5,1,0),0)</f>
        <v>0</v>
      </c>
      <c r="AJ412" s="2">
        <f>IF(AND(Games[[#This Row],[Type]]="P",Games[[#This Row],[Round]]=3),IF(Games[[#This Row],[Result]]&lt;0.5,1,0),0)</f>
        <v>0</v>
      </c>
      <c r="AK412" s="2">
        <f>IF(AND(Games[[#This Row],[Type]]="P",Games[[#This Row],[Round]]=4),IF(Games[[#This Row],[Result]]&gt;0.5,1,0),0)</f>
        <v>0</v>
      </c>
      <c r="AL412" s="2">
        <f>IF(AND(Games[[#This Row],[Type]]="P",Games[[#This Row],[Round]]=4),IF(Games[[#This Row],[Result]]&lt;0.5,1,0),0)</f>
        <v>0</v>
      </c>
    </row>
    <row r="413" spans="1:38" x14ac:dyDescent="0.35">
      <c r="A413" s="10">
        <v>37849</v>
      </c>
      <c r="B413" s="2">
        <v>2003</v>
      </c>
      <c r="C413" s="2">
        <f>COUNTIFS(Games[Team],Games[[#This Row],[Team]],Games[Season],Games[[#This Row],[Season]],Games[Date],"&lt;=" &amp; Games[[#This Row],[Date]])</f>
        <v>29</v>
      </c>
      <c r="D413" s="2" t="s">
        <v>23</v>
      </c>
      <c r="E413" s="2" t="s">
        <v>29</v>
      </c>
      <c r="F413" s="1" t="s">
        <v>2</v>
      </c>
      <c r="G413" s="1" t="s">
        <v>71</v>
      </c>
      <c r="H413" s="1" t="s">
        <v>15</v>
      </c>
      <c r="I413" s="2" cm="1">
        <f t="array" ref="I413">IFERROR(
    Games[[#This Row],[Date]]
    - LOOKUP(
        2,
        1/((Games[Team]=Games[[#This Row],[Team]]) * (Games[Date] &lt; Games[[#This Row],[Date]])),
        Games[Date]
    )
    - 1,
Games[[#This Row],[Date]]-$A$2)</f>
        <v>5</v>
      </c>
      <c r="J413" s="2" cm="1">
        <f t="array" ref="J41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13" s="2">
        <f>Games[[#This Row],[DaysOff]]-Games[[#This Row],[OppDaysOff]]</f>
        <v>4</v>
      </c>
      <c r="L413" s="2">
        <f>Games[[#This Row],[OppDaysOff]]-Games[[#This Row],[DaysOff]]</f>
        <v>-4</v>
      </c>
      <c r="M413" s="1">
        <f>MAX(-16, MIN(16, Games[[#This Row],[RestDiff]]*8))</f>
        <v>16</v>
      </c>
      <c r="N413" s="1">
        <f>MAX(-16, MIN(16, Games[[#This Row],[OppRestDiff]]*8))</f>
        <v>-16</v>
      </c>
      <c r="O413" s="4" cm="1">
        <f t="array" ref="O41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1630.6814242393973</v>
      </c>
      <c r="P413" s="4" cm="1">
        <f t="array" ref="P41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1576.6347341256958</v>
      </c>
      <c r="Q413" s="4">
        <f>1/(1+10^(((Games[[#This Row],[OppPreGmRate]]+IF(Games[[#This Row],[HomeAway]]="A",HCA,0)+Games[[#This Row],[OppRestAdj]])-(Games[[#This Row],[PreGmRate]]+IF(Games[[#This Row],[HomeAway]]="H",HCA,0)+Games[[#This Row],[RestAdj]]))/400))</f>
        <v>0.72688343278108569</v>
      </c>
      <c r="R413" s="1">
        <v>63</v>
      </c>
      <c r="S413" s="1">
        <v>64</v>
      </c>
      <c r="T413" s="1">
        <v>0</v>
      </c>
      <c r="U413" s="1">
        <f>Games[[#This Row],[PointsFor]]-Games[[#This Row],[PointsAgainst]]</f>
        <v>-1</v>
      </c>
      <c r="V413" s="1">
        <f>IF(Games[[#This Row],[MOV]]&gt;0,1,IF(Games[[#This Row],[MOV]]=0,0.5,0))</f>
        <v>0</v>
      </c>
      <c r="W413" s="4">
        <f>((ABS(Games[[#This Row],[MOV]])+5)^0.6)/(12+0.01*(ABS(Games[[#This Row],[PreGmRate]]-Games[[#This Row],[OppPreGmRate]])))*IF(Games[[#This Row],[OT]]=1,0.9,1)</f>
        <v>0.2336560572013352</v>
      </c>
      <c r="X413" s="7" cm="1">
        <f t="array" ref="X41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13" s="9">
        <f>MAX(kmin, kmax - 0.15 * MIN(Games[[#This Row],[GamesPlayed]], 82))</f>
        <v>71.650000000000006</v>
      </c>
      <c r="Z413" s="4">
        <f>Games[[#This Row],[K]]*Games[[#This Row],[POMult]]</f>
        <v>71.650000000000006</v>
      </c>
      <c r="AA413" s="4">
        <f>(Games[[#This Row],[Keff]]*Games[[#This Row],[MOVMult]])*(Games[[#This Row],[Result]]-Games[[#This Row],[ExpectedWin%]])</f>
        <v>-12.169087369367208</v>
      </c>
      <c r="AB413" s="4">
        <f>Games[[#This Row],[PreGmRate]]+Games[[#This Row],[RatingChange]]</f>
        <v>1618.5123368700301</v>
      </c>
      <c r="AC413" s="2">
        <f>IF(Games[[#This Row],[Type]]="R",IF(Games[[#This Row],[Result]]&gt;0.5,1,0),0)</f>
        <v>0</v>
      </c>
      <c r="AD413" s="2">
        <f>IF(Games[[#This Row],[Type]]="R",IF(Games[[#This Row],[Result]]&lt;0.5,1,0),0)</f>
        <v>1</v>
      </c>
      <c r="AE413" s="2">
        <f>IF(AND(Games[[#This Row],[Type]]="P",Games[[#This Row],[Round]]=1),IF(Games[[#This Row],[Result]]&gt;0.5,1,0),0)</f>
        <v>0</v>
      </c>
      <c r="AF413" s="2">
        <f>IF(AND(Games[[#This Row],[Type]]="P",Games[[#This Row],[Round]]=1),IF(Games[[#This Row],[Result]]&lt;0.5,1,0),0)</f>
        <v>0</v>
      </c>
      <c r="AG413" s="2">
        <f>IF(AND(Games[[#This Row],[Type]]="P",Games[[#This Row],[Round]]=2),IF(Games[[#This Row],[Result]]&gt;0.5,1,0),0)</f>
        <v>0</v>
      </c>
      <c r="AH413" s="2">
        <f>IF(AND(Games[[#This Row],[Type]]="P",Games[[#This Row],[Round]]=2),IF(Games[[#This Row],[Result]]&lt;0.5,1,0),0)</f>
        <v>0</v>
      </c>
      <c r="AI413" s="2">
        <f>IF(AND(Games[[#This Row],[Type]]="P",Games[[#This Row],[Round]]=3),IF(Games[[#This Row],[Result]]&gt;0.5,1,0),0)</f>
        <v>0</v>
      </c>
      <c r="AJ413" s="2">
        <f>IF(AND(Games[[#This Row],[Type]]="P",Games[[#This Row],[Round]]=3),IF(Games[[#This Row],[Result]]&lt;0.5,1,0),0)</f>
        <v>0</v>
      </c>
      <c r="AK413" s="2">
        <f>IF(AND(Games[[#This Row],[Type]]="P",Games[[#This Row],[Round]]=4),IF(Games[[#This Row],[Result]]&gt;0.5,1,0),0)</f>
        <v>0</v>
      </c>
      <c r="AL413" s="2">
        <f>IF(AND(Games[[#This Row],[Type]]="P",Games[[#This Row],[Round]]=4),IF(Games[[#This Row],[Result]]&lt;0.5,1,0),0)</f>
        <v>0</v>
      </c>
    </row>
    <row r="414" spans="1:38" x14ac:dyDescent="0.35">
      <c r="A414" s="10">
        <v>37849</v>
      </c>
      <c r="B414" s="2">
        <v>2003</v>
      </c>
      <c r="C414" s="2">
        <f>COUNTIFS(Games[Team],Games[[#This Row],[Team]],Games[Season],Games[[#This Row],[Season]],Games[Date],"&lt;=" &amp; Games[[#This Row],[Date]])</f>
        <v>30</v>
      </c>
      <c r="D414" s="2" t="s">
        <v>23</v>
      </c>
      <c r="E414" s="2" t="s">
        <v>29</v>
      </c>
      <c r="F414" s="1" t="s">
        <v>64</v>
      </c>
      <c r="G414" s="1" t="s">
        <v>80</v>
      </c>
      <c r="H414" s="1" t="s">
        <v>16</v>
      </c>
      <c r="I414" s="2" cm="1">
        <f t="array" ref="I414">IFERROR(
    Games[[#This Row],[Date]]
    - LOOKUP(
        2,
        1/((Games[Team]=Games[[#This Row],[Team]]) * (Games[Date] &lt; Games[[#This Row],[Date]])),
        Games[Date]
    )
    - 1,
Games[[#This Row],[Date]]-$A$2)</f>
        <v>1</v>
      </c>
      <c r="J414" s="2" cm="1">
        <f t="array" ref="J414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414" s="2">
        <f>Games[[#This Row],[DaysOff]]-Games[[#This Row],[OppDaysOff]]</f>
        <v>-2</v>
      </c>
      <c r="L414" s="2">
        <f>Games[[#This Row],[OppDaysOff]]-Games[[#This Row],[DaysOff]]</f>
        <v>2</v>
      </c>
      <c r="M414" s="1">
        <f>MAX(-16, MIN(16, Games[[#This Row],[RestDiff]]*8))</f>
        <v>-16</v>
      </c>
      <c r="N414" s="1">
        <f>MAX(-16, MIN(16, Games[[#This Row],[OppRestDiff]]*8))</f>
        <v>16</v>
      </c>
      <c r="O414" s="4" cm="1">
        <f t="array" ref="O41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1512.7741916476525</v>
      </c>
      <c r="P414" s="4" cm="1">
        <f t="array" ref="P41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1453.8106924037183</v>
      </c>
      <c r="Q414" s="4">
        <f>1/(1+10^(((Games[[#This Row],[OppPreGmRate]]+IF(Games[[#This Row],[HomeAway]]="A",HCA,0)+Games[[#This Row],[OppRestAdj]])-(Games[[#This Row],[PreGmRate]]+IF(Games[[#This Row],[HomeAway]]="H",HCA,0)+Games[[#This Row],[RestAdj]]))/400))</f>
        <v>0.41864738254148826</v>
      </c>
      <c r="R414" s="1">
        <v>63</v>
      </c>
      <c r="S414" s="1">
        <v>69</v>
      </c>
      <c r="T414" s="1">
        <v>0</v>
      </c>
      <c r="U414" s="1">
        <f>Games[[#This Row],[PointsFor]]-Games[[#This Row],[PointsAgainst]]</f>
        <v>-6</v>
      </c>
      <c r="V414" s="1">
        <f>IF(Games[[#This Row],[MOV]]&gt;0,1,IF(Games[[#This Row],[MOV]]=0,0.5,0))</f>
        <v>0</v>
      </c>
      <c r="W414" s="4">
        <f>((ABS(Games[[#This Row],[MOV]])+5)^0.6)/(12+0.01*(ABS(Games[[#This Row],[PreGmRate]]-Games[[#This Row],[OppPreGmRate]])))*IF(Games[[#This Row],[OT]]=1,0.9,1)</f>
        <v>0.3348285423384732</v>
      </c>
      <c r="X414" s="7" cm="1">
        <f t="array" ref="X41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14" s="9">
        <f>MAX(kmin, kmax - 0.15 * MIN(Games[[#This Row],[GamesPlayed]], 82))</f>
        <v>71.5</v>
      </c>
      <c r="Z414" s="4">
        <f>Games[[#This Row],[K]]*Games[[#This Row],[POMult]]</f>
        <v>71.5</v>
      </c>
      <c r="AA414" s="4">
        <f>(Games[[#This Row],[Keff]]*Games[[#This Row],[MOVMult]])*(Games[[#This Row],[Result]]-Games[[#This Row],[ExpectedWin%]])</f>
        <v>-10.022519138788134</v>
      </c>
      <c r="AB414" s="4">
        <f>Games[[#This Row],[PreGmRate]]+Games[[#This Row],[RatingChange]]</f>
        <v>1502.7516725088644</v>
      </c>
      <c r="AC414" s="2">
        <f>IF(Games[[#This Row],[Type]]="R",IF(Games[[#This Row],[Result]]&gt;0.5,1,0),0)</f>
        <v>0</v>
      </c>
      <c r="AD414" s="2">
        <f>IF(Games[[#This Row],[Type]]="R",IF(Games[[#This Row],[Result]]&lt;0.5,1,0),0)</f>
        <v>1</v>
      </c>
      <c r="AE414" s="2">
        <f>IF(AND(Games[[#This Row],[Type]]="P",Games[[#This Row],[Round]]=1),IF(Games[[#This Row],[Result]]&gt;0.5,1,0),0)</f>
        <v>0</v>
      </c>
      <c r="AF414" s="2">
        <f>IF(AND(Games[[#This Row],[Type]]="P",Games[[#This Row],[Round]]=1),IF(Games[[#This Row],[Result]]&lt;0.5,1,0),0)</f>
        <v>0</v>
      </c>
      <c r="AG414" s="2">
        <f>IF(AND(Games[[#This Row],[Type]]="P",Games[[#This Row],[Round]]=2),IF(Games[[#This Row],[Result]]&gt;0.5,1,0),0)</f>
        <v>0</v>
      </c>
      <c r="AH414" s="2">
        <f>IF(AND(Games[[#This Row],[Type]]="P",Games[[#This Row],[Round]]=2),IF(Games[[#This Row],[Result]]&lt;0.5,1,0),0)</f>
        <v>0</v>
      </c>
      <c r="AI414" s="2">
        <f>IF(AND(Games[[#This Row],[Type]]="P",Games[[#This Row],[Round]]=3),IF(Games[[#This Row],[Result]]&gt;0.5,1,0),0)</f>
        <v>0</v>
      </c>
      <c r="AJ414" s="2">
        <f>IF(AND(Games[[#This Row],[Type]]="P",Games[[#This Row],[Round]]=3),IF(Games[[#This Row],[Result]]&lt;0.5,1,0),0)</f>
        <v>0</v>
      </c>
      <c r="AK414" s="2">
        <f>IF(AND(Games[[#This Row],[Type]]="P",Games[[#This Row],[Round]]=4),IF(Games[[#This Row],[Result]]&gt;0.5,1,0),0)</f>
        <v>0</v>
      </c>
      <c r="AL414" s="2">
        <f>IF(AND(Games[[#This Row],[Type]]="P",Games[[#This Row],[Round]]=4),IF(Games[[#This Row],[Result]]&lt;0.5,1,0),0)</f>
        <v>0</v>
      </c>
    </row>
    <row r="415" spans="1:38" x14ac:dyDescent="0.35">
      <c r="A415" s="10">
        <v>37849</v>
      </c>
      <c r="B415" s="2">
        <v>2003</v>
      </c>
      <c r="C415" s="2">
        <f>COUNTIFS(Games[Team],Games[[#This Row],[Team]],Games[Season],Games[[#This Row],[Season]],Games[Date],"&lt;=" &amp; Games[[#This Row],[Date]])</f>
        <v>30</v>
      </c>
      <c r="D415" s="2" t="s">
        <v>23</v>
      </c>
      <c r="E415" s="2" t="s">
        <v>29</v>
      </c>
      <c r="F415" s="1" t="s">
        <v>80</v>
      </c>
      <c r="G415" s="1" t="s">
        <v>64</v>
      </c>
      <c r="H415" s="1" t="s">
        <v>15</v>
      </c>
      <c r="I415" s="2" cm="1">
        <f t="array" ref="I415">IFERROR(
    Games[[#This Row],[Date]]
    - LOOKUP(
        2,
        1/((Games[Team]=Games[[#This Row],[Team]]) * (Games[Date] &lt; Games[[#This Row],[Date]])),
        Games[Date]
    )
    - 1,
Games[[#This Row],[Date]]-$A$2)</f>
        <v>3</v>
      </c>
      <c r="J415" s="2" cm="1">
        <f t="array" ref="J41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15" s="2">
        <f>Games[[#This Row],[DaysOff]]-Games[[#This Row],[OppDaysOff]]</f>
        <v>2</v>
      </c>
      <c r="L415" s="2">
        <f>Games[[#This Row],[OppDaysOff]]-Games[[#This Row],[DaysOff]]</f>
        <v>-2</v>
      </c>
      <c r="M415" s="1">
        <f>MAX(-16, MIN(16, Games[[#This Row],[RestDiff]]*8))</f>
        <v>16</v>
      </c>
      <c r="N415" s="1">
        <f>MAX(-16, MIN(16, Games[[#This Row],[OppRestDiff]]*8))</f>
        <v>-16</v>
      </c>
      <c r="O415" s="4" cm="1">
        <f t="array" ref="O41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1453.8106924037183</v>
      </c>
      <c r="P415" s="4" cm="1">
        <f t="array" ref="P41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1512.7741916476525</v>
      </c>
      <c r="Q415" s="4">
        <f>1/(1+10^(((Games[[#This Row],[OppPreGmRate]]+IF(Games[[#This Row],[HomeAway]]="A",HCA,0)+Games[[#This Row],[OppRestAdj]])-(Games[[#This Row],[PreGmRate]]+IF(Games[[#This Row],[HomeAway]]="H",HCA,0)+Games[[#This Row],[RestAdj]]))/400))</f>
        <v>0.58135261745851174</v>
      </c>
      <c r="R415" s="1">
        <v>69</v>
      </c>
      <c r="S415" s="1">
        <v>63</v>
      </c>
      <c r="T415" s="1">
        <v>0</v>
      </c>
      <c r="U415" s="1">
        <f>Games[[#This Row],[PointsFor]]-Games[[#This Row],[PointsAgainst]]</f>
        <v>6</v>
      </c>
      <c r="V415" s="1">
        <f>IF(Games[[#This Row],[MOV]]&gt;0,1,IF(Games[[#This Row],[MOV]]=0,0.5,0))</f>
        <v>1</v>
      </c>
      <c r="W415" s="4">
        <f>((ABS(Games[[#This Row],[MOV]])+5)^0.6)/(12+0.01*(ABS(Games[[#This Row],[PreGmRate]]-Games[[#This Row],[OppPreGmRate]])))*IF(Games[[#This Row],[OT]]=1,0.9,1)</f>
        <v>0.3348285423384732</v>
      </c>
      <c r="X415" s="7" cm="1">
        <f t="array" ref="X41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15" s="9">
        <f>MAX(kmin, kmax - 0.15 * MIN(Games[[#This Row],[GamesPlayed]], 82))</f>
        <v>71.5</v>
      </c>
      <c r="Z415" s="4">
        <f>Games[[#This Row],[K]]*Games[[#This Row],[POMult]]</f>
        <v>71.5</v>
      </c>
      <c r="AA415" s="4">
        <f>(Games[[#This Row],[Keff]]*Games[[#This Row],[MOVMult]])*(Games[[#This Row],[Result]]-Games[[#This Row],[ExpectedWin%]])</f>
        <v>10.022519138788134</v>
      </c>
      <c r="AB415" s="4">
        <f>Games[[#This Row],[PreGmRate]]+Games[[#This Row],[RatingChange]]</f>
        <v>1463.8332115425064</v>
      </c>
      <c r="AC415" s="2">
        <f>IF(Games[[#This Row],[Type]]="R",IF(Games[[#This Row],[Result]]&gt;0.5,1,0),0)</f>
        <v>1</v>
      </c>
      <c r="AD415" s="2">
        <f>IF(Games[[#This Row],[Type]]="R",IF(Games[[#This Row],[Result]]&lt;0.5,1,0),0)</f>
        <v>0</v>
      </c>
      <c r="AE415" s="2">
        <f>IF(AND(Games[[#This Row],[Type]]="P",Games[[#This Row],[Round]]=1),IF(Games[[#This Row],[Result]]&gt;0.5,1,0),0)</f>
        <v>0</v>
      </c>
      <c r="AF415" s="2">
        <f>IF(AND(Games[[#This Row],[Type]]="P",Games[[#This Row],[Round]]=1),IF(Games[[#This Row],[Result]]&lt;0.5,1,0),0)</f>
        <v>0</v>
      </c>
      <c r="AG415" s="2">
        <f>IF(AND(Games[[#This Row],[Type]]="P",Games[[#This Row],[Round]]=2),IF(Games[[#This Row],[Result]]&gt;0.5,1,0),0)</f>
        <v>0</v>
      </c>
      <c r="AH415" s="2">
        <f>IF(AND(Games[[#This Row],[Type]]="P",Games[[#This Row],[Round]]=2),IF(Games[[#This Row],[Result]]&lt;0.5,1,0),0)</f>
        <v>0</v>
      </c>
      <c r="AI415" s="2">
        <f>IF(AND(Games[[#This Row],[Type]]="P",Games[[#This Row],[Round]]=3),IF(Games[[#This Row],[Result]]&gt;0.5,1,0),0)</f>
        <v>0</v>
      </c>
      <c r="AJ415" s="2">
        <f>IF(AND(Games[[#This Row],[Type]]="P",Games[[#This Row],[Round]]=3),IF(Games[[#This Row],[Result]]&lt;0.5,1,0),0)</f>
        <v>0</v>
      </c>
      <c r="AK415" s="2">
        <f>IF(AND(Games[[#This Row],[Type]]="P",Games[[#This Row],[Round]]=4),IF(Games[[#This Row],[Result]]&gt;0.5,1,0),0)</f>
        <v>0</v>
      </c>
      <c r="AL415" s="2">
        <f>IF(AND(Games[[#This Row],[Type]]="P",Games[[#This Row],[Round]]=4),IF(Games[[#This Row],[Result]]&lt;0.5,1,0),0)</f>
        <v>0</v>
      </c>
    </row>
    <row r="416" spans="1:38" x14ac:dyDescent="0.35">
      <c r="A416" s="10">
        <v>37849</v>
      </c>
      <c r="B416" s="2">
        <v>2003</v>
      </c>
      <c r="C416" s="2">
        <f>COUNTIFS(Games[Team],Games[[#This Row],[Team]],Games[Season],Games[[#This Row],[Season]],Games[Date],"&lt;=" &amp; Games[[#This Row],[Date]])</f>
        <v>30</v>
      </c>
      <c r="D416" s="2" t="s">
        <v>23</v>
      </c>
      <c r="E416" s="2" t="s">
        <v>29</v>
      </c>
      <c r="F416" s="1" t="s">
        <v>87</v>
      </c>
      <c r="G416" s="1" t="s">
        <v>66</v>
      </c>
      <c r="H416" s="1" t="s">
        <v>16</v>
      </c>
      <c r="I416" s="2" cm="1">
        <f t="array" ref="I416">IFERROR(
    Games[[#This Row],[Date]]
    - LOOKUP(
        2,
        1/((Games[Team]=Games[[#This Row],[Team]]) * (Games[Date] &lt; Games[[#This Row],[Date]])),
        Games[Date]
    )
    - 1,
Games[[#This Row],[Date]]-$A$2)</f>
        <v>3</v>
      </c>
      <c r="J416" s="2" cm="1">
        <f t="array" ref="J416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416" s="2">
        <f>Games[[#This Row],[DaysOff]]-Games[[#This Row],[OppDaysOff]]</f>
        <v>0</v>
      </c>
      <c r="L416" s="2">
        <f>Games[[#This Row],[OppDaysOff]]-Games[[#This Row],[DaysOff]]</f>
        <v>0</v>
      </c>
      <c r="M416" s="1">
        <f>MAX(-16, MIN(16, Games[[#This Row],[RestDiff]]*8))</f>
        <v>0</v>
      </c>
      <c r="N416" s="1">
        <f>MAX(-16, MIN(16, Games[[#This Row],[OppRestDiff]]*8))</f>
        <v>0</v>
      </c>
      <c r="O416" s="4" cm="1">
        <f t="array" ref="O41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1477.7788600322842</v>
      </c>
      <c r="P416" s="4" cm="1">
        <f t="array" ref="P41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1494.3662829822749</v>
      </c>
      <c r="Q416" s="4">
        <f>1/(1+10^(((Games[[#This Row],[OppPreGmRate]]+IF(Games[[#This Row],[HomeAway]]="A",HCA,0)+Games[[#This Row],[OppRestAdj]])-(Games[[#This Row],[PreGmRate]]+IF(Games[[#This Row],[HomeAway]]="H",HCA,0)+Games[[#This Row],[RestAdj]]))/400))</f>
        <v>0.3591563386861209</v>
      </c>
      <c r="R416" s="1">
        <v>84</v>
      </c>
      <c r="S416" s="1">
        <v>71</v>
      </c>
      <c r="T416" s="1">
        <v>0</v>
      </c>
      <c r="U416" s="1">
        <f>Games[[#This Row],[PointsFor]]-Games[[#This Row],[PointsAgainst]]</f>
        <v>13</v>
      </c>
      <c r="V416" s="1">
        <f>IF(Games[[#This Row],[MOV]]&gt;0,1,IF(Games[[#This Row],[MOV]]=0,0.5,0))</f>
        <v>1</v>
      </c>
      <c r="W416" s="4">
        <f>((ABS(Games[[#This Row],[MOV]])+5)^0.6)/(12+0.01*(ABS(Games[[#This Row],[PreGmRate]]-Games[[#This Row],[OppPreGmRate]])))*IF(Games[[#This Row],[OT]]=1,0.9,1)</f>
        <v>0.46560772871003597</v>
      </c>
      <c r="X416" s="7" cm="1">
        <f t="array" ref="X41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16" s="9">
        <f>MAX(kmin, kmax - 0.15 * MIN(Games[[#This Row],[GamesPlayed]], 82))</f>
        <v>71.5</v>
      </c>
      <c r="Z416" s="4">
        <f>Games[[#This Row],[K]]*Games[[#This Row],[POMult]]</f>
        <v>71.5</v>
      </c>
      <c r="AA416" s="4">
        <f>(Games[[#This Row],[Keff]]*Games[[#This Row],[MOVMult]])*(Games[[#This Row],[Result]]-Games[[#This Row],[ExpectedWin%]])</f>
        <v>21.334295954584384</v>
      </c>
      <c r="AB416" s="4">
        <f>Games[[#This Row],[PreGmRate]]+Games[[#This Row],[RatingChange]]</f>
        <v>1499.1131559868686</v>
      </c>
      <c r="AC416" s="2">
        <f>IF(Games[[#This Row],[Type]]="R",IF(Games[[#This Row],[Result]]&gt;0.5,1,0),0)</f>
        <v>1</v>
      </c>
      <c r="AD416" s="2">
        <f>IF(Games[[#This Row],[Type]]="R",IF(Games[[#This Row],[Result]]&lt;0.5,1,0),0)</f>
        <v>0</v>
      </c>
      <c r="AE416" s="2">
        <f>IF(AND(Games[[#This Row],[Type]]="P",Games[[#This Row],[Round]]=1),IF(Games[[#This Row],[Result]]&gt;0.5,1,0),0)</f>
        <v>0</v>
      </c>
      <c r="AF416" s="2">
        <f>IF(AND(Games[[#This Row],[Type]]="P",Games[[#This Row],[Round]]=1),IF(Games[[#This Row],[Result]]&lt;0.5,1,0),0)</f>
        <v>0</v>
      </c>
      <c r="AG416" s="2">
        <f>IF(AND(Games[[#This Row],[Type]]="P",Games[[#This Row],[Round]]=2),IF(Games[[#This Row],[Result]]&gt;0.5,1,0),0)</f>
        <v>0</v>
      </c>
      <c r="AH416" s="2">
        <f>IF(AND(Games[[#This Row],[Type]]="P",Games[[#This Row],[Round]]=2),IF(Games[[#This Row],[Result]]&lt;0.5,1,0),0)</f>
        <v>0</v>
      </c>
      <c r="AI416" s="2">
        <f>IF(AND(Games[[#This Row],[Type]]="P",Games[[#This Row],[Round]]=3),IF(Games[[#This Row],[Result]]&gt;0.5,1,0),0)</f>
        <v>0</v>
      </c>
      <c r="AJ416" s="2">
        <f>IF(AND(Games[[#This Row],[Type]]="P",Games[[#This Row],[Round]]=3),IF(Games[[#This Row],[Result]]&lt;0.5,1,0),0)</f>
        <v>0</v>
      </c>
      <c r="AK416" s="2">
        <f>IF(AND(Games[[#This Row],[Type]]="P",Games[[#This Row],[Round]]=4),IF(Games[[#This Row],[Result]]&gt;0.5,1,0),0)</f>
        <v>0</v>
      </c>
      <c r="AL416" s="2">
        <f>IF(AND(Games[[#This Row],[Type]]="P",Games[[#This Row],[Round]]=4),IF(Games[[#This Row],[Result]]&lt;0.5,1,0),0)</f>
        <v>0</v>
      </c>
    </row>
    <row r="417" spans="1:38" x14ac:dyDescent="0.35">
      <c r="A417" s="10">
        <v>37849</v>
      </c>
      <c r="B417" s="2">
        <v>2003</v>
      </c>
      <c r="C417" s="2">
        <f>COUNTIFS(Games[Team],Games[[#This Row],[Team]],Games[Season],Games[[#This Row],[Season]],Games[Date],"&lt;=" &amp; Games[[#This Row],[Date]])</f>
        <v>29</v>
      </c>
      <c r="D417" s="2" t="s">
        <v>23</v>
      </c>
      <c r="E417" s="2" t="s">
        <v>29</v>
      </c>
      <c r="F417" s="1" t="s">
        <v>66</v>
      </c>
      <c r="G417" s="1" t="s">
        <v>87</v>
      </c>
      <c r="H417" s="1" t="s">
        <v>15</v>
      </c>
      <c r="I417" s="2" cm="1">
        <f t="array" ref="I417">IFERROR(
    Games[[#This Row],[Date]]
    - LOOKUP(
        2,
        1/((Games[Team]=Games[[#This Row],[Team]]) * (Games[Date] &lt; Games[[#This Row],[Date]])),
        Games[Date]
    )
    - 1,
Games[[#This Row],[Date]]-$A$2)</f>
        <v>3</v>
      </c>
      <c r="J417" s="2" cm="1">
        <f t="array" ref="J417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417" s="2">
        <f>Games[[#This Row],[DaysOff]]-Games[[#This Row],[OppDaysOff]]</f>
        <v>0</v>
      </c>
      <c r="L417" s="2">
        <f>Games[[#This Row],[OppDaysOff]]-Games[[#This Row],[DaysOff]]</f>
        <v>0</v>
      </c>
      <c r="M417" s="1">
        <f>MAX(-16, MIN(16, Games[[#This Row],[RestDiff]]*8))</f>
        <v>0</v>
      </c>
      <c r="N417" s="1">
        <f>MAX(-16, MIN(16, Games[[#This Row],[OppRestDiff]]*8))</f>
        <v>0</v>
      </c>
      <c r="O417" s="4" cm="1">
        <f t="array" ref="O41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1494.3662829822749</v>
      </c>
      <c r="P417" s="4" cm="1">
        <f t="array" ref="P41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1477.7788600322842</v>
      </c>
      <c r="Q417" s="4">
        <f>1/(1+10^(((Games[[#This Row],[OppPreGmRate]]+IF(Games[[#This Row],[HomeAway]]="A",HCA,0)+Games[[#This Row],[OppRestAdj]])-(Games[[#This Row],[PreGmRate]]+IF(Games[[#This Row],[HomeAway]]="H",HCA,0)+Games[[#This Row],[RestAdj]]))/400))</f>
        <v>0.64084366131387904</v>
      </c>
      <c r="R417" s="1">
        <v>71</v>
      </c>
      <c r="S417" s="1">
        <v>84</v>
      </c>
      <c r="T417" s="1">
        <v>0</v>
      </c>
      <c r="U417" s="1">
        <f>Games[[#This Row],[PointsFor]]-Games[[#This Row],[PointsAgainst]]</f>
        <v>-13</v>
      </c>
      <c r="V417" s="1">
        <f>IF(Games[[#This Row],[MOV]]&gt;0,1,IF(Games[[#This Row],[MOV]]=0,0.5,0))</f>
        <v>0</v>
      </c>
      <c r="W417" s="4">
        <f>((ABS(Games[[#This Row],[MOV]])+5)^0.6)/(12+0.01*(ABS(Games[[#This Row],[PreGmRate]]-Games[[#This Row],[OppPreGmRate]])))*IF(Games[[#This Row],[OT]]=1,0.9,1)</f>
        <v>0.46560772871003597</v>
      </c>
      <c r="X417" s="7" cm="1">
        <f t="array" ref="X41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17" s="9">
        <f>MAX(kmin, kmax - 0.15 * MIN(Games[[#This Row],[GamesPlayed]], 82))</f>
        <v>71.650000000000006</v>
      </c>
      <c r="Z417" s="4">
        <f>Games[[#This Row],[K]]*Games[[#This Row],[POMult]]</f>
        <v>71.650000000000006</v>
      </c>
      <c r="AA417" s="4">
        <f>(Games[[#This Row],[Keff]]*Games[[#This Row],[MOVMult]])*(Games[[#This Row],[Result]]-Games[[#This Row],[ExpectedWin%]])</f>
        <v>-21.379053218824772</v>
      </c>
      <c r="AB417" s="4">
        <f>Games[[#This Row],[PreGmRate]]+Games[[#This Row],[RatingChange]]</f>
        <v>1472.9872297634502</v>
      </c>
      <c r="AC417" s="2">
        <f>IF(Games[[#This Row],[Type]]="R",IF(Games[[#This Row],[Result]]&gt;0.5,1,0),0)</f>
        <v>0</v>
      </c>
      <c r="AD417" s="2">
        <f>IF(Games[[#This Row],[Type]]="R",IF(Games[[#This Row],[Result]]&lt;0.5,1,0),0)</f>
        <v>1</v>
      </c>
      <c r="AE417" s="2">
        <f>IF(AND(Games[[#This Row],[Type]]="P",Games[[#This Row],[Round]]=1),IF(Games[[#This Row],[Result]]&gt;0.5,1,0),0)</f>
        <v>0</v>
      </c>
      <c r="AF417" s="2">
        <f>IF(AND(Games[[#This Row],[Type]]="P",Games[[#This Row],[Round]]=1),IF(Games[[#This Row],[Result]]&lt;0.5,1,0),0)</f>
        <v>0</v>
      </c>
      <c r="AG417" s="2">
        <f>IF(AND(Games[[#This Row],[Type]]="P",Games[[#This Row],[Round]]=2),IF(Games[[#This Row],[Result]]&gt;0.5,1,0),0)</f>
        <v>0</v>
      </c>
      <c r="AH417" s="2">
        <f>IF(AND(Games[[#This Row],[Type]]="P",Games[[#This Row],[Round]]=2),IF(Games[[#This Row],[Result]]&lt;0.5,1,0),0)</f>
        <v>0</v>
      </c>
      <c r="AI417" s="2">
        <f>IF(AND(Games[[#This Row],[Type]]="P",Games[[#This Row],[Round]]=3),IF(Games[[#This Row],[Result]]&gt;0.5,1,0),0)</f>
        <v>0</v>
      </c>
      <c r="AJ417" s="2">
        <f>IF(AND(Games[[#This Row],[Type]]="P",Games[[#This Row],[Round]]=3),IF(Games[[#This Row],[Result]]&lt;0.5,1,0),0)</f>
        <v>0</v>
      </c>
      <c r="AK417" s="2">
        <f>IF(AND(Games[[#This Row],[Type]]="P",Games[[#This Row],[Round]]=4),IF(Games[[#This Row],[Result]]&gt;0.5,1,0),0)</f>
        <v>0</v>
      </c>
      <c r="AL417" s="2">
        <f>IF(AND(Games[[#This Row],[Type]]="P",Games[[#This Row],[Round]]=4),IF(Games[[#This Row],[Result]]&lt;0.5,1,0),0)</f>
        <v>0</v>
      </c>
    </row>
    <row r="418" spans="1:38" x14ac:dyDescent="0.35">
      <c r="A418" s="10">
        <v>37849</v>
      </c>
      <c r="B418" s="2">
        <v>2003</v>
      </c>
      <c r="C418" s="2">
        <f>COUNTIFS(Games[Team],Games[[#This Row],[Team]],Games[Season],Games[[#This Row],[Season]],Games[Date],"&lt;=" &amp; Games[[#This Row],[Date]])</f>
        <v>31</v>
      </c>
      <c r="D418" s="2" t="s">
        <v>23</v>
      </c>
      <c r="E418" s="2" t="s">
        <v>29</v>
      </c>
      <c r="F418" s="1" t="s">
        <v>45</v>
      </c>
      <c r="G418" s="1" t="s">
        <v>44</v>
      </c>
      <c r="H418" s="1" t="s">
        <v>16</v>
      </c>
      <c r="I418" s="2" cm="1">
        <f t="array" ref="I418">IFERROR(
    Games[[#This Row],[Date]]
    - LOOKUP(
        2,
        1/((Games[Team]=Games[[#This Row],[Team]]) * (Games[Date] &lt; Games[[#This Row],[Date]])),
        Games[Date]
    )
    - 1,
Games[[#This Row],[Date]]-$A$2)</f>
        <v>0</v>
      </c>
      <c r="J418" s="2" cm="1">
        <f t="array" ref="J418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418" s="2">
        <f>Games[[#This Row],[DaysOff]]-Games[[#This Row],[OppDaysOff]]</f>
        <v>0</v>
      </c>
      <c r="L418" s="2">
        <f>Games[[#This Row],[OppDaysOff]]-Games[[#This Row],[DaysOff]]</f>
        <v>0</v>
      </c>
      <c r="M418" s="1">
        <f>MAX(-16, MIN(16, Games[[#This Row],[RestDiff]]*8))</f>
        <v>0</v>
      </c>
      <c r="N418" s="1">
        <f>MAX(-16, MIN(16, Games[[#This Row],[OppRestDiff]]*8))</f>
        <v>0</v>
      </c>
      <c r="O418" s="4" cm="1">
        <f t="array" ref="O41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1555.0316457460597</v>
      </c>
      <c r="P418" s="4" cm="1">
        <f t="array" ref="P41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1368.8876677627927</v>
      </c>
      <c r="Q418" s="4">
        <f>1/(1+10^(((Games[[#This Row],[OppPreGmRate]]+IF(Games[[#This Row],[HomeAway]]="A",HCA,0)+Games[[#This Row],[OppRestAdj]])-(Games[[#This Row],[PreGmRate]]+IF(Games[[#This Row],[HomeAway]]="H",HCA,0)+Games[[#This Row],[RestAdj]]))/400))</f>
        <v>0.64290336702126483</v>
      </c>
      <c r="R418" s="1">
        <v>65</v>
      </c>
      <c r="S418" s="1">
        <v>61</v>
      </c>
      <c r="T418" s="1">
        <v>1</v>
      </c>
      <c r="U418" s="1">
        <f>Games[[#This Row],[PointsFor]]-Games[[#This Row],[PointsAgainst]]</f>
        <v>4</v>
      </c>
      <c r="V418" s="1">
        <f>IF(Games[[#This Row],[MOV]]&gt;0,1,IF(Games[[#This Row],[MOV]]=0,0.5,0))</f>
        <v>1</v>
      </c>
      <c r="W418" s="4">
        <f>((ABS(Games[[#This Row],[MOV]])+5)^0.6)/(12+0.01*(ABS(Games[[#This Row],[PreGmRate]]-Games[[#This Row],[OppPreGmRate]])))*IF(Games[[#This Row],[OT]]=1,0.9,1)</f>
        <v>0.24264965186772966</v>
      </c>
      <c r="X418" s="7" cm="1">
        <f t="array" ref="X41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18" s="9">
        <f>MAX(kmin, kmax - 0.15 * MIN(Games[[#This Row],[GamesPlayed]], 82))</f>
        <v>71.349999999999994</v>
      </c>
      <c r="Z418" s="4">
        <f>Games[[#This Row],[K]]*Games[[#This Row],[POMult]]</f>
        <v>71.349999999999994</v>
      </c>
      <c r="AA418" s="4">
        <f>(Games[[#This Row],[Keff]]*Games[[#This Row],[MOVMult]])*(Games[[#This Row],[Result]]-Games[[#This Row],[ExpectedWin%]])</f>
        <v>6.1824328117418244</v>
      </c>
      <c r="AB418" s="4">
        <f>Games[[#This Row],[PreGmRate]]+Games[[#This Row],[RatingChange]]</f>
        <v>1561.2140785578015</v>
      </c>
      <c r="AC418" s="2">
        <f>IF(Games[[#This Row],[Type]]="R",IF(Games[[#This Row],[Result]]&gt;0.5,1,0),0)</f>
        <v>1</v>
      </c>
      <c r="AD418" s="2">
        <f>IF(Games[[#This Row],[Type]]="R",IF(Games[[#This Row],[Result]]&lt;0.5,1,0),0)</f>
        <v>0</v>
      </c>
      <c r="AE418" s="2">
        <f>IF(AND(Games[[#This Row],[Type]]="P",Games[[#This Row],[Round]]=1),IF(Games[[#This Row],[Result]]&gt;0.5,1,0),0)</f>
        <v>0</v>
      </c>
      <c r="AF418" s="2">
        <f>IF(AND(Games[[#This Row],[Type]]="P",Games[[#This Row],[Round]]=1),IF(Games[[#This Row],[Result]]&lt;0.5,1,0),0)</f>
        <v>0</v>
      </c>
      <c r="AG418" s="2">
        <f>IF(AND(Games[[#This Row],[Type]]="P",Games[[#This Row],[Round]]=2),IF(Games[[#This Row],[Result]]&gt;0.5,1,0),0)</f>
        <v>0</v>
      </c>
      <c r="AH418" s="2">
        <f>IF(AND(Games[[#This Row],[Type]]="P",Games[[#This Row],[Round]]=2),IF(Games[[#This Row],[Result]]&lt;0.5,1,0),0)</f>
        <v>0</v>
      </c>
      <c r="AI418" s="2">
        <f>IF(AND(Games[[#This Row],[Type]]="P",Games[[#This Row],[Round]]=3),IF(Games[[#This Row],[Result]]&gt;0.5,1,0),0)</f>
        <v>0</v>
      </c>
      <c r="AJ418" s="2">
        <f>IF(AND(Games[[#This Row],[Type]]="P",Games[[#This Row],[Round]]=3),IF(Games[[#This Row],[Result]]&lt;0.5,1,0),0)</f>
        <v>0</v>
      </c>
      <c r="AK418" s="2">
        <f>IF(AND(Games[[#This Row],[Type]]="P",Games[[#This Row],[Round]]=4),IF(Games[[#This Row],[Result]]&gt;0.5,1,0),0)</f>
        <v>0</v>
      </c>
      <c r="AL418" s="2">
        <f>IF(AND(Games[[#This Row],[Type]]="P",Games[[#This Row],[Round]]=4),IF(Games[[#This Row],[Result]]&lt;0.5,1,0),0)</f>
        <v>0</v>
      </c>
    </row>
    <row r="419" spans="1:38" x14ac:dyDescent="0.35">
      <c r="A419" s="10">
        <v>37849</v>
      </c>
      <c r="B419" s="2">
        <v>2003</v>
      </c>
      <c r="C419" s="2">
        <f>COUNTIFS(Games[Team],Games[[#This Row],[Team]],Games[Season],Games[[#This Row],[Season]],Games[Date],"&lt;=" &amp; Games[[#This Row],[Date]])</f>
        <v>31</v>
      </c>
      <c r="D419" s="2" t="s">
        <v>23</v>
      </c>
      <c r="E419" s="2" t="s">
        <v>29</v>
      </c>
      <c r="F419" s="1" t="s">
        <v>44</v>
      </c>
      <c r="G419" s="1" t="s">
        <v>45</v>
      </c>
      <c r="H419" s="1" t="s">
        <v>15</v>
      </c>
      <c r="I419" s="2" cm="1">
        <f t="array" ref="I419">IFERROR(
    Games[[#This Row],[Date]]
    - LOOKUP(
        2,
        1/((Games[Team]=Games[[#This Row],[Team]]) * (Games[Date] &lt; Games[[#This Row],[Date]])),
        Games[Date]
    )
    - 1,
Games[[#This Row],[Date]]-$A$2)</f>
        <v>0</v>
      </c>
      <c r="J419" s="2" cm="1">
        <f t="array" ref="J419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419" s="2">
        <f>Games[[#This Row],[DaysOff]]-Games[[#This Row],[OppDaysOff]]</f>
        <v>0</v>
      </c>
      <c r="L419" s="2">
        <f>Games[[#This Row],[OppDaysOff]]-Games[[#This Row],[DaysOff]]</f>
        <v>0</v>
      </c>
      <c r="M419" s="1">
        <f>MAX(-16, MIN(16, Games[[#This Row],[RestDiff]]*8))</f>
        <v>0</v>
      </c>
      <c r="N419" s="1">
        <f>MAX(-16, MIN(16, Games[[#This Row],[OppRestDiff]]*8))</f>
        <v>0</v>
      </c>
      <c r="O419" s="4" cm="1">
        <f t="array" ref="O41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1368.8876677627927</v>
      </c>
      <c r="P419" s="4" cm="1">
        <f t="array" ref="P41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1555.0316457460597</v>
      </c>
      <c r="Q419" s="4">
        <f>1/(1+10^(((Games[[#This Row],[OppPreGmRate]]+IF(Games[[#This Row],[HomeAway]]="A",HCA,0)+Games[[#This Row],[OppRestAdj]])-(Games[[#This Row],[PreGmRate]]+IF(Games[[#This Row],[HomeAway]]="H",HCA,0)+Games[[#This Row],[RestAdj]]))/400))</f>
        <v>0.35709663297873523</v>
      </c>
      <c r="R419" s="1">
        <v>61</v>
      </c>
      <c r="S419" s="1">
        <v>65</v>
      </c>
      <c r="T419" s="1">
        <v>1</v>
      </c>
      <c r="U419" s="1">
        <f>Games[[#This Row],[PointsFor]]-Games[[#This Row],[PointsAgainst]]</f>
        <v>-4</v>
      </c>
      <c r="V419" s="1">
        <f>IF(Games[[#This Row],[MOV]]&gt;0,1,IF(Games[[#This Row],[MOV]]=0,0.5,0))</f>
        <v>0</v>
      </c>
      <c r="W419" s="4">
        <f>((ABS(Games[[#This Row],[MOV]])+5)^0.6)/(12+0.01*(ABS(Games[[#This Row],[PreGmRate]]-Games[[#This Row],[OppPreGmRate]])))*IF(Games[[#This Row],[OT]]=1,0.9,1)</f>
        <v>0.24264965186772966</v>
      </c>
      <c r="X419" s="7" cm="1">
        <f t="array" ref="X41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19" s="9">
        <f>MAX(kmin, kmax - 0.15 * MIN(Games[[#This Row],[GamesPlayed]], 82))</f>
        <v>71.349999999999994</v>
      </c>
      <c r="Z419" s="4">
        <f>Games[[#This Row],[K]]*Games[[#This Row],[POMult]]</f>
        <v>71.349999999999994</v>
      </c>
      <c r="AA419" s="4">
        <f>(Games[[#This Row],[Keff]]*Games[[#This Row],[MOVMult]])*(Games[[#This Row],[Result]]-Games[[#This Row],[ExpectedWin%]])</f>
        <v>-6.1824328117418252</v>
      </c>
      <c r="AB419" s="4">
        <f>Games[[#This Row],[PreGmRate]]+Games[[#This Row],[RatingChange]]</f>
        <v>1362.7052349510509</v>
      </c>
      <c r="AC419" s="2">
        <f>IF(Games[[#This Row],[Type]]="R",IF(Games[[#This Row],[Result]]&gt;0.5,1,0),0)</f>
        <v>0</v>
      </c>
      <c r="AD419" s="2">
        <f>IF(Games[[#This Row],[Type]]="R",IF(Games[[#This Row],[Result]]&lt;0.5,1,0),0)</f>
        <v>1</v>
      </c>
      <c r="AE419" s="2">
        <f>IF(AND(Games[[#This Row],[Type]]="P",Games[[#This Row],[Round]]=1),IF(Games[[#This Row],[Result]]&gt;0.5,1,0),0)</f>
        <v>0</v>
      </c>
      <c r="AF419" s="2">
        <f>IF(AND(Games[[#This Row],[Type]]="P",Games[[#This Row],[Round]]=1),IF(Games[[#This Row],[Result]]&lt;0.5,1,0),0)</f>
        <v>0</v>
      </c>
      <c r="AG419" s="2">
        <f>IF(AND(Games[[#This Row],[Type]]="P",Games[[#This Row],[Round]]=2),IF(Games[[#This Row],[Result]]&gt;0.5,1,0),0)</f>
        <v>0</v>
      </c>
      <c r="AH419" s="2">
        <f>IF(AND(Games[[#This Row],[Type]]="P",Games[[#This Row],[Round]]=2),IF(Games[[#This Row],[Result]]&lt;0.5,1,0),0)</f>
        <v>0</v>
      </c>
      <c r="AI419" s="2">
        <f>IF(AND(Games[[#This Row],[Type]]="P",Games[[#This Row],[Round]]=3),IF(Games[[#This Row],[Result]]&gt;0.5,1,0),0)</f>
        <v>0</v>
      </c>
      <c r="AJ419" s="2">
        <f>IF(AND(Games[[#This Row],[Type]]="P",Games[[#This Row],[Round]]=3),IF(Games[[#This Row],[Result]]&lt;0.5,1,0),0)</f>
        <v>0</v>
      </c>
      <c r="AK419" s="2">
        <f>IF(AND(Games[[#This Row],[Type]]="P",Games[[#This Row],[Round]]=4),IF(Games[[#This Row],[Result]]&gt;0.5,1,0),0)</f>
        <v>0</v>
      </c>
      <c r="AL419" s="2">
        <f>IF(AND(Games[[#This Row],[Type]]="P",Games[[#This Row],[Round]]=4),IF(Games[[#This Row],[Result]]&lt;0.5,1,0),0)</f>
        <v>0</v>
      </c>
    </row>
    <row r="420" spans="1:38" x14ac:dyDescent="0.35">
      <c r="A420" s="10">
        <v>37849</v>
      </c>
      <c r="B420" s="2">
        <v>2003</v>
      </c>
      <c r="C420" s="2">
        <f>COUNTIFS(Games[Team],Games[[#This Row],[Team]],Games[Season],Games[[#This Row],[Season]],Games[Date],"&lt;=" &amp; Games[[#This Row],[Date]])</f>
        <v>31</v>
      </c>
      <c r="D420" s="2" t="s">
        <v>23</v>
      </c>
      <c r="E420" s="2" t="s">
        <v>29</v>
      </c>
      <c r="F420" s="1" t="s">
        <v>78</v>
      </c>
      <c r="G420" s="1" t="s">
        <v>85</v>
      </c>
      <c r="H420" s="1" t="s">
        <v>16</v>
      </c>
      <c r="I420" s="2" cm="1">
        <f t="array" ref="I420">IFERROR(
    Games[[#This Row],[Date]]
    - LOOKUP(
        2,
        1/((Games[Team]=Games[[#This Row],[Team]]) * (Games[Date] &lt; Games[[#This Row],[Date]])),
        Games[Date]
    )
    - 1,
Games[[#This Row],[Date]]-$A$2)</f>
        <v>1</v>
      </c>
      <c r="J420" s="2" cm="1">
        <f t="array" ref="J420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420" s="2">
        <f>Games[[#This Row],[DaysOff]]-Games[[#This Row],[OppDaysOff]]</f>
        <v>-2</v>
      </c>
      <c r="L420" s="2">
        <f>Games[[#This Row],[OppDaysOff]]-Games[[#This Row],[DaysOff]]</f>
        <v>2</v>
      </c>
      <c r="M420" s="1">
        <f>MAX(-16, MIN(16, Games[[#This Row],[RestDiff]]*8))</f>
        <v>-16</v>
      </c>
      <c r="N420" s="1">
        <f>MAX(-16, MIN(16, Games[[#This Row],[OppRestDiff]]*8))</f>
        <v>16</v>
      </c>
      <c r="O420" s="4" cm="1">
        <f t="array" ref="O42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1495.858267209288</v>
      </c>
      <c r="P420" s="4" cm="1">
        <f t="array" ref="P42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1438.0452900936964</v>
      </c>
      <c r="Q420" s="4">
        <f>1/(1+10^(((Games[[#This Row],[OppPreGmRate]]+IF(Games[[#This Row],[HomeAway]]="A",HCA,0)+Games[[#This Row],[OppRestAdj]])-(Games[[#This Row],[PreGmRate]]+IF(Games[[#This Row],[HomeAway]]="H",HCA,0)+Games[[#This Row],[RestAdj]]))/400))</f>
        <v>0.41703635424982666</v>
      </c>
      <c r="R420" s="1">
        <v>73</v>
      </c>
      <c r="S420" s="1">
        <v>64</v>
      </c>
      <c r="T420" s="1">
        <v>0</v>
      </c>
      <c r="U420" s="1">
        <f>Games[[#This Row],[PointsFor]]-Games[[#This Row],[PointsAgainst]]</f>
        <v>9</v>
      </c>
      <c r="V420" s="1">
        <f>IF(Games[[#This Row],[MOV]]&gt;0,1,IF(Games[[#This Row],[MOV]]=0,0.5,0))</f>
        <v>1</v>
      </c>
      <c r="W420" s="4">
        <f>((ABS(Games[[#This Row],[MOV]])+5)^0.6)/(12+0.01*(ABS(Games[[#This Row],[PreGmRate]]-Games[[#This Row],[OppPreGmRate]])))*IF(Games[[#This Row],[OT]]=1,0.9,1)</f>
        <v>0.38731181935636955</v>
      </c>
      <c r="X420" s="7" cm="1">
        <f t="array" ref="X42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20" s="9">
        <f>MAX(kmin, kmax - 0.15 * MIN(Games[[#This Row],[GamesPlayed]], 82))</f>
        <v>71.349999999999994</v>
      </c>
      <c r="Z420" s="4">
        <f>Games[[#This Row],[K]]*Games[[#This Row],[POMult]]</f>
        <v>71.349999999999994</v>
      </c>
      <c r="AA420" s="4">
        <f>(Games[[#This Row],[Keff]]*Games[[#This Row],[MOVMult]])*(Games[[#This Row],[Result]]-Games[[#This Row],[ExpectedWin%]])</f>
        <v>16.110024476631583</v>
      </c>
      <c r="AB420" s="4">
        <f>Games[[#This Row],[PreGmRate]]+Games[[#This Row],[RatingChange]]</f>
        <v>1511.9682916859197</v>
      </c>
      <c r="AC420" s="2">
        <f>IF(Games[[#This Row],[Type]]="R",IF(Games[[#This Row],[Result]]&gt;0.5,1,0),0)</f>
        <v>1</v>
      </c>
      <c r="AD420" s="2">
        <f>IF(Games[[#This Row],[Type]]="R",IF(Games[[#This Row],[Result]]&lt;0.5,1,0),0)</f>
        <v>0</v>
      </c>
      <c r="AE420" s="2">
        <f>IF(AND(Games[[#This Row],[Type]]="P",Games[[#This Row],[Round]]=1),IF(Games[[#This Row],[Result]]&gt;0.5,1,0),0)</f>
        <v>0</v>
      </c>
      <c r="AF420" s="2">
        <f>IF(AND(Games[[#This Row],[Type]]="P",Games[[#This Row],[Round]]=1),IF(Games[[#This Row],[Result]]&lt;0.5,1,0),0)</f>
        <v>0</v>
      </c>
      <c r="AG420" s="2">
        <f>IF(AND(Games[[#This Row],[Type]]="P",Games[[#This Row],[Round]]=2),IF(Games[[#This Row],[Result]]&gt;0.5,1,0),0)</f>
        <v>0</v>
      </c>
      <c r="AH420" s="2">
        <f>IF(AND(Games[[#This Row],[Type]]="P",Games[[#This Row],[Round]]=2),IF(Games[[#This Row],[Result]]&lt;0.5,1,0),0)</f>
        <v>0</v>
      </c>
      <c r="AI420" s="2">
        <f>IF(AND(Games[[#This Row],[Type]]="P",Games[[#This Row],[Round]]=3),IF(Games[[#This Row],[Result]]&gt;0.5,1,0),0)</f>
        <v>0</v>
      </c>
      <c r="AJ420" s="2">
        <f>IF(AND(Games[[#This Row],[Type]]="P",Games[[#This Row],[Round]]=3),IF(Games[[#This Row],[Result]]&lt;0.5,1,0),0)</f>
        <v>0</v>
      </c>
      <c r="AK420" s="2">
        <f>IF(AND(Games[[#This Row],[Type]]="P",Games[[#This Row],[Round]]=4),IF(Games[[#This Row],[Result]]&gt;0.5,1,0),0)</f>
        <v>0</v>
      </c>
      <c r="AL420" s="2">
        <f>IF(AND(Games[[#This Row],[Type]]="P",Games[[#This Row],[Round]]=4),IF(Games[[#This Row],[Result]]&lt;0.5,1,0),0)</f>
        <v>0</v>
      </c>
    </row>
    <row r="421" spans="1:38" x14ac:dyDescent="0.35">
      <c r="A421" s="10">
        <v>37849</v>
      </c>
      <c r="B421" s="2">
        <v>2003</v>
      </c>
      <c r="C421" s="2">
        <f>COUNTIFS(Games[Team],Games[[#This Row],[Team]],Games[Season],Games[[#This Row],[Season]],Games[Date],"&lt;=" &amp; Games[[#This Row],[Date]])</f>
        <v>31</v>
      </c>
      <c r="D421" s="2" t="s">
        <v>23</v>
      </c>
      <c r="E421" s="2" t="s">
        <v>29</v>
      </c>
      <c r="F421" s="1" t="s">
        <v>85</v>
      </c>
      <c r="G421" s="1" t="s">
        <v>78</v>
      </c>
      <c r="H421" s="1" t="s">
        <v>15</v>
      </c>
      <c r="I421" s="2" cm="1">
        <f t="array" ref="I421">IFERROR(
    Games[[#This Row],[Date]]
    - LOOKUP(
        2,
        1/((Games[Team]=Games[[#This Row],[Team]]) * (Games[Date] &lt; Games[[#This Row],[Date]])),
        Games[Date]
    )
    - 1,
Games[[#This Row],[Date]]-$A$2)</f>
        <v>3</v>
      </c>
      <c r="J421" s="2" cm="1">
        <f t="array" ref="J42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21" s="2">
        <f>Games[[#This Row],[DaysOff]]-Games[[#This Row],[OppDaysOff]]</f>
        <v>2</v>
      </c>
      <c r="L421" s="2">
        <f>Games[[#This Row],[OppDaysOff]]-Games[[#This Row],[DaysOff]]</f>
        <v>-2</v>
      </c>
      <c r="M421" s="1">
        <f>MAX(-16, MIN(16, Games[[#This Row],[RestDiff]]*8))</f>
        <v>16</v>
      </c>
      <c r="N421" s="1">
        <f>MAX(-16, MIN(16, Games[[#This Row],[OppRestDiff]]*8))</f>
        <v>-16</v>
      </c>
      <c r="O421" s="4" cm="1">
        <f t="array" ref="O42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1438.0452900936964</v>
      </c>
      <c r="P421" s="4" cm="1">
        <f t="array" ref="P42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1495.858267209288</v>
      </c>
      <c r="Q421" s="4">
        <f>1/(1+10^(((Games[[#This Row],[OppPreGmRate]]+IF(Games[[#This Row],[HomeAway]]="A",HCA,0)+Games[[#This Row],[OppRestAdj]])-(Games[[#This Row],[PreGmRate]]+IF(Games[[#This Row],[HomeAway]]="H",HCA,0)+Games[[#This Row],[RestAdj]]))/400))</f>
        <v>0.58296364575017334</v>
      </c>
      <c r="R421" s="1">
        <v>64</v>
      </c>
      <c r="S421" s="1">
        <v>73</v>
      </c>
      <c r="T421" s="1">
        <v>0</v>
      </c>
      <c r="U421" s="1">
        <f>Games[[#This Row],[PointsFor]]-Games[[#This Row],[PointsAgainst]]</f>
        <v>-9</v>
      </c>
      <c r="V421" s="1">
        <f>IF(Games[[#This Row],[MOV]]&gt;0,1,IF(Games[[#This Row],[MOV]]=0,0.5,0))</f>
        <v>0</v>
      </c>
      <c r="W421" s="4">
        <f>((ABS(Games[[#This Row],[MOV]])+5)^0.6)/(12+0.01*(ABS(Games[[#This Row],[PreGmRate]]-Games[[#This Row],[OppPreGmRate]])))*IF(Games[[#This Row],[OT]]=1,0.9,1)</f>
        <v>0.38731181935636955</v>
      </c>
      <c r="X421" s="7" cm="1">
        <f t="array" ref="X42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21" s="9">
        <f>MAX(kmin, kmax - 0.15 * MIN(Games[[#This Row],[GamesPlayed]], 82))</f>
        <v>71.349999999999994</v>
      </c>
      <c r="Z421" s="4">
        <f>Games[[#This Row],[K]]*Games[[#This Row],[POMult]]</f>
        <v>71.349999999999994</v>
      </c>
      <c r="AA421" s="4">
        <f>(Games[[#This Row],[Keff]]*Games[[#This Row],[MOVMult]])*(Games[[#This Row],[Result]]-Games[[#This Row],[ExpectedWin%]])</f>
        <v>-16.110024476631583</v>
      </c>
      <c r="AB421" s="4">
        <f>Games[[#This Row],[PreGmRate]]+Games[[#This Row],[RatingChange]]</f>
        <v>1421.9352656170647</v>
      </c>
      <c r="AC421" s="2">
        <f>IF(Games[[#This Row],[Type]]="R",IF(Games[[#This Row],[Result]]&gt;0.5,1,0),0)</f>
        <v>0</v>
      </c>
      <c r="AD421" s="2">
        <f>IF(Games[[#This Row],[Type]]="R",IF(Games[[#This Row],[Result]]&lt;0.5,1,0),0)</f>
        <v>1</v>
      </c>
      <c r="AE421" s="2">
        <f>IF(AND(Games[[#This Row],[Type]]="P",Games[[#This Row],[Round]]=1),IF(Games[[#This Row],[Result]]&gt;0.5,1,0),0)</f>
        <v>0</v>
      </c>
      <c r="AF421" s="2">
        <f>IF(AND(Games[[#This Row],[Type]]="P",Games[[#This Row],[Round]]=1),IF(Games[[#This Row],[Result]]&lt;0.5,1,0),0)</f>
        <v>0</v>
      </c>
      <c r="AG421" s="2">
        <f>IF(AND(Games[[#This Row],[Type]]="P",Games[[#This Row],[Round]]=2),IF(Games[[#This Row],[Result]]&gt;0.5,1,0),0)</f>
        <v>0</v>
      </c>
      <c r="AH421" s="2">
        <f>IF(AND(Games[[#This Row],[Type]]="P",Games[[#This Row],[Round]]=2),IF(Games[[#This Row],[Result]]&lt;0.5,1,0),0)</f>
        <v>0</v>
      </c>
      <c r="AI421" s="2">
        <f>IF(AND(Games[[#This Row],[Type]]="P",Games[[#This Row],[Round]]=3),IF(Games[[#This Row],[Result]]&gt;0.5,1,0),0)</f>
        <v>0</v>
      </c>
      <c r="AJ421" s="2">
        <f>IF(AND(Games[[#This Row],[Type]]="P",Games[[#This Row],[Round]]=3),IF(Games[[#This Row],[Result]]&lt;0.5,1,0),0)</f>
        <v>0</v>
      </c>
      <c r="AK421" s="2">
        <f>IF(AND(Games[[#This Row],[Type]]="P",Games[[#This Row],[Round]]=4),IF(Games[[#This Row],[Result]]&gt;0.5,1,0),0)</f>
        <v>0</v>
      </c>
      <c r="AL421" s="2">
        <f>IF(AND(Games[[#This Row],[Type]]="P",Games[[#This Row],[Round]]=4),IF(Games[[#This Row],[Result]]&lt;0.5,1,0),0)</f>
        <v>0</v>
      </c>
    </row>
    <row r="422" spans="1:38" x14ac:dyDescent="0.35">
      <c r="A422" s="10">
        <v>37849</v>
      </c>
      <c r="B422" s="2">
        <v>2003</v>
      </c>
      <c r="C422" s="2">
        <f>COUNTIFS(Games[Team],Games[[#This Row],[Team]],Games[Season],Games[[#This Row],[Season]],Games[Date],"&lt;=" &amp; Games[[#This Row],[Date]])</f>
        <v>29</v>
      </c>
      <c r="D422" s="2" t="s">
        <v>23</v>
      </c>
      <c r="E422" s="2" t="s">
        <v>29</v>
      </c>
      <c r="F422" s="1" t="s">
        <v>1</v>
      </c>
      <c r="G422" s="1" t="s">
        <v>74</v>
      </c>
      <c r="H422" s="1" t="s">
        <v>16</v>
      </c>
      <c r="I422" s="2" cm="1">
        <f t="array" ref="I422">IFERROR(
    Games[[#This Row],[Date]]
    - LOOKUP(
        2,
        1/((Games[Team]=Games[[#This Row],[Team]]) * (Games[Date] &lt; Games[[#This Row],[Date]])),
        Games[Date]
    )
    - 1,
Games[[#This Row],[Date]]-$A$2)</f>
        <v>5</v>
      </c>
      <c r="J422" s="2" cm="1">
        <f t="array" ref="J42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22" s="2">
        <f>Games[[#This Row],[DaysOff]]-Games[[#This Row],[OppDaysOff]]</f>
        <v>4</v>
      </c>
      <c r="L422" s="2">
        <f>Games[[#This Row],[OppDaysOff]]-Games[[#This Row],[DaysOff]]</f>
        <v>-4</v>
      </c>
      <c r="M422" s="1">
        <f>MAX(-16, MIN(16, Games[[#This Row],[RestDiff]]*8))</f>
        <v>16</v>
      </c>
      <c r="N422" s="1">
        <f>MAX(-16, MIN(16, Games[[#This Row],[OppRestDiff]]*8))</f>
        <v>-16</v>
      </c>
      <c r="O422" s="4" cm="1">
        <f t="array" ref="O42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1477.666994501039</v>
      </c>
      <c r="P422" s="4" cm="1">
        <f t="array" ref="P42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1415.9842089915287</v>
      </c>
      <c r="Q422" s="4">
        <f>1/(1+10^(((Games[[#This Row],[OppPreGmRate]]+IF(Games[[#This Row],[HomeAway]]="A",HCA,0)+Games[[#This Row],[OppRestAdj]])-(Games[[#This Row],[PreGmRate]]+IF(Games[[#This Row],[HomeAway]]="H",HCA,0)+Games[[#This Row],[RestAdj]]))/400))</f>
        <v>0.51393104193363981</v>
      </c>
      <c r="R422" s="1">
        <v>72</v>
      </c>
      <c r="S422" s="1">
        <v>68</v>
      </c>
      <c r="T422" s="1">
        <v>0</v>
      </c>
      <c r="U422" s="1">
        <f>Games[[#This Row],[PointsFor]]-Games[[#This Row],[PointsAgainst]]</f>
        <v>4</v>
      </c>
      <c r="V422" s="1">
        <f>IF(Games[[#This Row],[MOV]]&gt;0,1,IF(Games[[#This Row],[MOV]]=0,0.5,0))</f>
        <v>1</v>
      </c>
      <c r="W422" s="4">
        <f>((ABS(Games[[#This Row],[MOV]])+5)^0.6)/(12+0.01*(ABS(Games[[#This Row],[PreGmRate]]-Games[[#This Row],[OppPreGmRate]])))*IF(Games[[#This Row],[OT]]=1,0.9,1)</f>
        <v>0.29620700716284615</v>
      </c>
      <c r="X422" s="7" cm="1">
        <f t="array" ref="X42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22" s="9">
        <f>MAX(kmin, kmax - 0.15 * MIN(Games[[#This Row],[GamesPlayed]], 82))</f>
        <v>71.650000000000006</v>
      </c>
      <c r="Z422" s="4">
        <f>Games[[#This Row],[K]]*Games[[#This Row],[POMult]]</f>
        <v>71.650000000000006</v>
      </c>
      <c r="AA422" s="4">
        <f>(Games[[#This Row],[Keff]]*Games[[#This Row],[MOVMult]])*(Games[[#This Row],[Result]]-Games[[#This Row],[ExpectedWin%]])</f>
        <v>10.315954295768906</v>
      </c>
      <c r="AB422" s="4">
        <f>Games[[#This Row],[PreGmRate]]+Games[[#This Row],[RatingChange]]</f>
        <v>1487.9829487968079</v>
      </c>
      <c r="AC422" s="2">
        <f>IF(Games[[#This Row],[Type]]="R",IF(Games[[#This Row],[Result]]&gt;0.5,1,0),0)</f>
        <v>1</v>
      </c>
      <c r="AD422" s="2">
        <f>IF(Games[[#This Row],[Type]]="R",IF(Games[[#This Row],[Result]]&lt;0.5,1,0),0)</f>
        <v>0</v>
      </c>
      <c r="AE422" s="2">
        <f>IF(AND(Games[[#This Row],[Type]]="P",Games[[#This Row],[Round]]=1),IF(Games[[#This Row],[Result]]&gt;0.5,1,0),0)</f>
        <v>0</v>
      </c>
      <c r="AF422" s="2">
        <f>IF(AND(Games[[#This Row],[Type]]="P",Games[[#This Row],[Round]]=1),IF(Games[[#This Row],[Result]]&lt;0.5,1,0),0)</f>
        <v>0</v>
      </c>
      <c r="AG422" s="2">
        <f>IF(AND(Games[[#This Row],[Type]]="P",Games[[#This Row],[Round]]=2),IF(Games[[#This Row],[Result]]&gt;0.5,1,0),0)</f>
        <v>0</v>
      </c>
      <c r="AH422" s="2">
        <f>IF(AND(Games[[#This Row],[Type]]="P",Games[[#This Row],[Round]]=2),IF(Games[[#This Row],[Result]]&lt;0.5,1,0),0)</f>
        <v>0</v>
      </c>
      <c r="AI422" s="2">
        <f>IF(AND(Games[[#This Row],[Type]]="P",Games[[#This Row],[Round]]=3),IF(Games[[#This Row],[Result]]&gt;0.5,1,0),0)</f>
        <v>0</v>
      </c>
      <c r="AJ422" s="2">
        <f>IF(AND(Games[[#This Row],[Type]]="P",Games[[#This Row],[Round]]=3),IF(Games[[#This Row],[Result]]&lt;0.5,1,0),0)</f>
        <v>0</v>
      </c>
      <c r="AK422" s="2">
        <f>IF(AND(Games[[#This Row],[Type]]="P",Games[[#This Row],[Round]]=4),IF(Games[[#This Row],[Result]]&gt;0.5,1,0),0)</f>
        <v>0</v>
      </c>
      <c r="AL422" s="2">
        <f>IF(AND(Games[[#This Row],[Type]]="P",Games[[#This Row],[Round]]=4),IF(Games[[#This Row],[Result]]&lt;0.5,1,0),0)</f>
        <v>0</v>
      </c>
    </row>
    <row r="423" spans="1:38" x14ac:dyDescent="0.35">
      <c r="A423" s="10">
        <v>37849</v>
      </c>
      <c r="B423" s="2">
        <v>2003</v>
      </c>
      <c r="C423" s="2">
        <f>COUNTIFS(Games[Team],Games[[#This Row],[Team]],Games[Season],Games[[#This Row],[Season]],Games[Date],"&lt;=" &amp; Games[[#This Row],[Date]])</f>
        <v>31</v>
      </c>
      <c r="D423" s="2" t="s">
        <v>23</v>
      </c>
      <c r="E423" s="2" t="s">
        <v>29</v>
      </c>
      <c r="F423" s="1" t="s">
        <v>74</v>
      </c>
      <c r="G423" s="1" t="s">
        <v>1</v>
      </c>
      <c r="H423" s="1" t="s">
        <v>15</v>
      </c>
      <c r="I423" s="2" cm="1">
        <f t="array" ref="I423">IFERROR(
    Games[[#This Row],[Date]]
    - LOOKUP(
        2,
        1/((Games[Team]=Games[[#This Row],[Team]]) * (Games[Date] &lt; Games[[#This Row],[Date]])),
        Games[Date]
    )
    - 1,
Games[[#This Row],[Date]]-$A$2)</f>
        <v>1</v>
      </c>
      <c r="J423" s="2" cm="1">
        <f t="array" ref="J423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423" s="2">
        <f>Games[[#This Row],[DaysOff]]-Games[[#This Row],[OppDaysOff]]</f>
        <v>-4</v>
      </c>
      <c r="L423" s="2">
        <f>Games[[#This Row],[OppDaysOff]]-Games[[#This Row],[DaysOff]]</f>
        <v>4</v>
      </c>
      <c r="M423" s="1">
        <f>MAX(-16, MIN(16, Games[[#This Row],[RestDiff]]*8))</f>
        <v>-16</v>
      </c>
      <c r="N423" s="1">
        <f>MAX(-16, MIN(16, Games[[#This Row],[OppRestDiff]]*8))</f>
        <v>16</v>
      </c>
      <c r="O423" s="4" cm="1">
        <f t="array" ref="O42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1415.9842089915287</v>
      </c>
      <c r="P423" s="4" cm="1">
        <f t="array" ref="P42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1477.666994501039</v>
      </c>
      <c r="Q423" s="4">
        <f>1/(1+10^(((Games[[#This Row],[OppPreGmRate]]+IF(Games[[#This Row],[HomeAway]]="A",HCA,0)+Games[[#This Row],[OppRestAdj]])-(Games[[#This Row],[PreGmRate]]+IF(Games[[#This Row],[HomeAway]]="H",HCA,0)+Games[[#This Row],[RestAdj]]))/400))</f>
        <v>0.48606895806636019</v>
      </c>
      <c r="R423" s="1">
        <v>68</v>
      </c>
      <c r="S423" s="1">
        <v>72</v>
      </c>
      <c r="T423" s="1">
        <v>0</v>
      </c>
      <c r="U423" s="1">
        <f>Games[[#This Row],[PointsFor]]-Games[[#This Row],[PointsAgainst]]</f>
        <v>-4</v>
      </c>
      <c r="V423" s="1">
        <f>IF(Games[[#This Row],[MOV]]&gt;0,1,IF(Games[[#This Row],[MOV]]=0,0.5,0))</f>
        <v>0</v>
      </c>
      <c r="W423" s="4">
        <f>((ABS(Games[[#This Row],[MOV]])+5)^0.6)/(12+0.01*(ABS(Games[[#This Row],[PreGmRate]]-Games[[#This Row],[OppPreGmRate]])))*IF(Games[[#This Row],[OT]]=1,0.9,1)</f>
        <v>0.29620700716284615</v>
      </c>
      <c r="X423" s="7" cm="1">
        <f t="array" ref="X42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23" s="9">
        <f>MAX(kmin, kmax - 0.15 * MIN(Games[[#This Row],[GamesPlayed]], 82))</f>
        <v>71.349999999999994</v>
      </c>
      <c r="Z423" s="4">
        <f>Games[[#This Row],[K]]*Games[[#This Row],[POMult]]</f>
        <v>71.349999999999994</v>
      </c>
      <c r="AA423" s="4">
        <f>(Games[[#This Row],[Keff]]*Games[[#This Row],[MOVMult]])*(Games[[#This Row],[Result]]-Games[[#This Row],[ExpectedWin%]])</f>
        <v>-10.272761186365823</v>
      </c>
      <c r="AB423" s="4">
        <f>Games[[#This Row],[PreGmRate]]+Games[[#This Row],[RatingChange]]</f>
        <v>1405.7114478051628</v>
      </c>
      <c r="AC423" s="2">
        <f>IF(Games[[#This Row],[Type]]="R",IF(Games[[#This Row],[Result]]&gt;0.5,1,0),0)</f>
        <v>0</v>
      </c>
      <c r="AD423" s="2">
        <f>IF(Games[[#This Row],[Type]]="R",IF(Games[[#This Row],[Result]]&lt;0.5,1,0),0)</f>
        <v>1</v>
      </c>
      <c r="AE423" s="2">
        <f>IF(AND(Games[[#This Row],[Type]]="P",Games[[#This Row],[Round]]=1),IF(Games[[#This Row],[Result]]&gt;0.5,1,0),0)</f>
        <v>0</v>
      </c>
      <c r="AF423" s="2">
        <f>IF(AND(Games[[#This Row],[Type]]="P",Games[[#This Row],[Round]]=1),IF(Games[[#This Row],[Result]]&lt;0.5,1,0),0)</f>
        <v>0</v>
      </c>
      <c r="AG423" s="2">
        <f>IF(AND(Games[[#This Row],[Type]]="P",Games[[#This Row],[Round]]=2),IF(Games[[#This Row],[Result]]&gt;0.5,1,0),0)</f>
        <v>0</v>
      </c>
      <c r="AH423" s="2">
        <f>IF(AND(Games[[#This Row],[Type]]="P",Games[[#This Row],[Round]]=2),IF(Games[[#This Row],[Result]]&lt;0.5,1,0),0)</f>
        <v>0</v>
      </c>
      <c r="AI423" s="2">
        <f>IF(AND(Games[[#This Row],[Type]]="P",Games[[#This Row],[Round]]=3),IF(Games[[#This Row],[Result]]&gt;0.5,1,0),0)</f>
        <v>0</v>
      </c>
      <c r="AJ423" s="2">
        <f>IF(AND(Games[[#This Row],[Type]]="P",Games[[#This Row],[Round]]=3),IF(Games[[#This Row],[Result]]&lt;0.5,1,0),0)</f>
        <v>0</v>
      </c>
      <c r="AK423" s="2">
        <f>IF(AND(Games[[#This Row],[Type]]="P",Games[[#This Row],[Round]]=4),IF(Games[[#This Row],[Result]]&gt;0.5,1,0),0)</f>
        <v>0</v>
      </c>
      <c r="AL423" s="2">
        <f>IF(AND(Games[[#This Row],[Type]]="P",Games[[#This Row],[Round]]=4),IF(Games[[#This Row],[Result]]&lt;0.5,1,0),0)</f>
        <v>0</v>
      </c>
    </row>
    <row r="424" spans="1:38" x14ac:dyDescent="0.35">
      <c r="A424" s="10">
        <v>37850</v>
      </c>
      <c r="B424" s="2">
        <v>2003</v>
      </c>
      <c r="C424" s="2">
        <f>COUNTIFS(Games[Team],Games[[#This Row],[Team]],Games[Season],Games[[#This Row],[Season]],Games[Date],"&lt;=" &amp; Games[[#This Row],[Date]])</f>
        <v>30</v>
      </c>
      <c r="D424" s="2" t="s">
        <v>23</v>
      </c>
      <c r="E424" s="2" t="s">
        <v>29</v>
      </c>
      <c r="F424" s="1" t="s">
        <v>66</v>
      </c>
      <c r="G424" s="1" t="s">
        <v>1</v>
      </c>
      <c r="H424" s="1" t="s">
        <v>16</v>
      </c>
      <c r="I424" s="2" cm="1">
        <f t="array" ref="I424">IFERROR(
    Games[[#This Row],[Date]]
    - LOOKUP(
        2,
        1/((Games[Team]=Games[[#This Row],[Team]]) * (Games[Date] &lt; Games[[#This Row],[Date]])),
        Games[Date]
    )
    - 1,
Games[[#This Row],[Date]]-$A$2)</f>
        <v>0</v>
      </c>
      <c r="J424" s="2" cm="1">
        <f t="array" ref="J424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424" s="2">
        <f>Games[[#This Row],[DaysOff]]-Games[[#This Row],[OppDaysOff]]</f>
        <v>0</v>
      </c>
      <c r="L424" s="2">
        <f>Games[[#This Row],[OppDaysOff]]-Games[[#This Row],[DaysOff]]</f>
        <v>0</v>
      </c>
      <c r="M424" s="1">
        <f>MAX(-16, MIN(16, Games[[#This Row],[RestDiff]]*8))</f>
        <v>0</v>
      </c>
      <c r="N424" s="1">
        <f>MAX(-16, MIN(16, Games[[#This Row],[OppRestDiff]]*8))</f>
        <v>0</v>
      </c>
      <c r="O424" s="4" cm="1">
        <f t="array" ref="O42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1472.9872297634502</v>
      </c>
      <c r="P424" s="4" cm="1">
        <f t="array" ref="P42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1487.9829487968079</v>
      </c>
      <c r="Q424" s="4">
        <f>1/(1+10^(((Games[[#This Row],[OppPreGmRate]]+IF(Games[[#This Row],[HomeAway]]="A",HCA,0)+Games[[#This Row],[OppRestAdj]])-(Games[[#This Row],[PreGmRate]]+IF(Games[[#This Row],[HomeAway]]="H",HCA,0)+Games[[#This Row],[RestAdj]]))/400))</f>
        <v>0.3612679373771393</v>
      </c>
      <c r="R424" s="1">
        <v>71</v>
      </c>
      <c r="S424" s="1">
        <v>54</v>
      </c>
      <c r="T424" s="1">
        <v>0</v>
      </c>
      <c r="U424" s="1">
        <f>Games[[#This Row],[PointsFor]]-Games[[#This Row],[PointsAgainst]]</f>
        <v>17</v>
      </c>
      <c r="V424" s="1">
        <f>IF(Games[[#This Row],[MOV]]&gt;0,1,IF(Games[[#This Row],[MOV]]=0,0.5,0))</f>
        <v>1</v>
      </c>
      <c r="W424" s="4">
        <f>((ABS(Games[[#This Row],[MOV]])+5)^0.6)/(12+0.01*(ABS(Games[[#This Row],[PreGmRate]]-Games[[#This Row],[OppPreGmRate]])))*IF(Games[[#This Row],[OT]]=1,0.9,1)</f>
        <v>0.52587056307221025</v>
      </c>
      <c r="X424" s="7" cm="1">
        <f t="array" ref="X42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24" s="9">
        <f>MAX(kmin, kmax - 0.15 * MIN(Games[[#This Row],[GamesPlayed]], 82))</f>
        <v>71.5</v>
      </c>
      <c r="Z424" s="4">
        <f>Games[[#This Row],[K]]*Games[[#This Row],[POMult]]</f>
        <v>71.5</v>
      </c>
      <c r="AA424" s="4">
        <f>(Games[[#This Row],[Keff]]*Games[[#This Row],[MOVMult]])*(Games[[#This Row],[Result]]-Games[[#This Row],[ExpectedWin%]])</f>
        <v>24.0161628437987</v>
      </c>
      <c r="AB424" s="4">
        <f>Games[[#This Row],[PreGmRate]]+Games[[#This Row],[RatingChange]]</f>
        <v>1497.0033926072488</v>
      </c>
      <c r="AC424" s="2">
        <f>IF(Games[[#This Row],[Type]]="R",IF(Games[[#This Row],[Result]]&gt;0.5,1,0),0)</f>
        <v>1</v>
      </c>
      <c r="AD424" s="2">
        <f>IF(Games[[#This Row],[Type]]="R",IF(Games[[#This Row],[Result]]&lt;0.5,1,0),0)</f>
        <v>0</v>
      </c>
      <c r="AE424" s="2">
        <f>IF(AND(Games[[#This Row],[Type]]="P",Games[[#This Row],[Round]]=1),IF(Games[[#This Row],[Result]]&gt;0.5,1,0),0)</f>
        <v>0</v>
      </c>
      <c r="AF424" s="2">
        <f>IF(AND(Games[[#This Row],[Type]]="P",Games[[#This Row],[Round]]=1),IF(Games[[#This Row],[Result]]&lt;0.5,1,0),0)</f>
        <v>0</v>
      </c>
      <c r="AG424" s="2">
        <f>IF(AND(Games[[#This Row],[Type]]="P",Games[[#This Row],[Round]]=2),IF(Games[[#This Row],[Result]]&gt;0.5,1,0),0)</f>
        <v>0</v>
      </c>
      <c r="AH424" s="2">
        <f>IF(AND(Games[[#This Row],[Type]]="P",Games[[#This Row],[Round]]=2),IF(Games[[#This Row],[Result]]&lt;0.5,1,0),0)</f>
        <v>0</v>
      </c>
      <c r="AI424" s="2">
        <f>IF(AND(Games[[#This Row],[Type]]="P",Games[[#This Row],[Round]]=3),IF(Games[[#This Row],[Result]]&gt;0.5,1,0),0)</f>
        <v>0</v>
      </c>
      <c r="AJ424" s="2">
        <f>IF(AND(Games[[#This Row],[Type]]="P",Games[[#This Row],[Round]]=3),IF(Games[[#This Row],[Result]]&lt;0.5,1,0),0)</f>
        <v>0</v>
      </c>
      <c r="AK424" s="2">
        <f>IF(AND(Games[[#This Row],[Type]]="P",Games[[#This Row],[Round]]=4),IF(Games[[#This Row],[Result]]&gt;0.5,1,0),0)</f>
        <v>0</v>
      </c>
      <c r="AL424" s="2">
        <f>IF(AND(Games[[#This Row],[Type]]="P",Games[[#This Row],[Round]]=4),IF(Games[[#This Row],[Result]]&lt;0.5,1,0),0)</f>
        <v>0</v>
      </c>
    </row>
    <row r="425" spans="1:38" x14ac:dyDescent="0.35">
      <c r="A425" s="10">
        <v>37850</v>
      </c>
      <c r="B425" s="2">
        <v>2003</v>
      </c>
      <c r="C425" s="2">
        <f>COUNTIFS(Games[Team],Games[[#This Row],[Team]],Games[Season],Games[[#This Row],[Season]],Games[Date],"&lt;=" &amp; Games[[#This Row],[Date]])</f>
        <v>30</v>
      </c>
      <c r="D425" s="2" t="s">
        <v>23</v>
      </c>
      <c r="E425" s="2" t="s">
        <v>29</v>
      </c>
      <c r="F425" s="1" t="s">
        <v>1</v>
      </c>
      <c r="G425" s="1" t="s">
        <v>66</v>
      </c>
      <c r="H425" s="1" t="s">
        <v>15</v>
      </c>
      <c r="I425" s="2" cm="1">
        <f t="array" ref="I425">IFERROR(
    Games[[#This Row],[Date]]
    - LOOKUP(
        2,
        1/((Games[Team]=Games[[#This Row],[Team]]) * (Games[Date] &lt; Games[[#This Row],[Date]])),
        Games[Date]
    )
    - 1,
Games[[#This Row],[Date]]-$A$2)</f>
        <v>0</v>
      </c>
      <c r="J425" s="2" cm="1">
        <f t="array" ref="J425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425" s="2">
        <f>Games[[#This Row],[DaysOff]]-Games[[#This Row],[OppDaysOff]]</f>
        <v>0</v>
      </c>
      <c r="L425" s="2">
        <f>Games[[#This Row],[OppDaysOff]]-Games[[#This Row],[DaysOff]]</f>
        <v>0</v>
      </c>
      <c r="M425" s="1">
        <f>MAX(-16, MIN(16, Games[[#This Row],[RestDiff]]*8))</f>
        <v>0</v>
      </c>
      <c r="N425" s="1">
        <f>MAX(-16, MIN(16, Games[[#This Row],[OppRestDiff]]*8))</f>
        <v>0</v>
      </c>
      <c r="O425" s="4" cm="1">
        <f t="array" ref="O42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1487.9829487968079</v>
      </c>
      <c r="P425" s="4" cm="1">
        <f t="array" ref="P42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1472.9872297634502</v>
      </c>
      <c r="Q425" s="4">
        <f>1/(1+10^(((Games[[#This Row],[OppPreGmRate]]+IF(Games[[#This Row],[HomeAway]]="A",HCA,0)+Games[[#This Row],[OppRestAdj]])-(Games[[#This Row],[PreGmRate]]+IF(Games[[#This Row],[HomeAway]]="H",HCA,0)+Games[[#This Row],[RestAdj]]))/400))</f>
        <v>0.63873206262286064</v>
      </c>
      <c r="R425" s="1">
        <v>54</v>
      </c>
      <c r="S425" s="1">
        <v>71</v>
      </c>
      <c r="T425" s="1">
        <v>0</v>
      </c>
      <c r="U425" s="1">
        <f>Games[[#This Row],[PointsFor]]-Games[[#This Row],[PointsAgainst]]</f>
        <v>-17</v>
      </c>
      <c r="V425" s="1">
        <f>IF(Games[[#This Row],[MOV]]&gt;0,1,IF(Games[[#This Row],[MOV]]=0,0.5,0))</f>
        <v>0</v>
      </c>
      <c r="W425" s="4">
        <f>((ABS(Games[[#This Row],[MOV]])+5)^0.6)/(12+0.01*(ABS(Games[[#This Row],[PreGmRate]]-Games[[#This Row],[OppPreGmRate]])))*IF(Games[[#This Row],[OT]]=1,0.9,1)</f>
        <v>0.52587056307221025</v>
      </c>
      <c r="X425" s="7" cm="1">
        <f t="array" ref="X42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25" s="9">
        <f>MAX(kmin, kmax - 0.15 * MIN(Games[[#This Row],[GamesPlayed]], 82))</f>
        <v>71.5</v>
      </c>
      <c r="Z425" s="4">
        <f>Games[[#This Row],[K]]*Games[[#This Row],[POMult]]</f>
        <v>71.5</v>
      </c>
      <c r="AA425" s="4">
        <f>(Games[[#This Row],[Keff]]*Games[[#This Row],[MOVMult]])*(Games[[#This Row],[Result]]-Games[[#This Row],[ExpectedWin%]])</f>
        <v>-24.016162843798696</v>
      </c>
      <c r="AB425" s="4">
        <f>Games[[#This Row],[PreGmRate]]+Games[[#This Row],[RatingChange]]</f>
        <v>1463.9667859530093</v>
      </c>
      <c r="AC425" s="2">
        <f>IF(Games[[#This Row],[Type]]="R",IF(Games[[#This Row],[Result]]&gt;0.5,1,0),0)</f>
        <v>0</v>
      </c>
      <c r="AD425" s="2">
        <f>IF(Games[[#This Row],[Type]]="R",IF(Games[[#This Row],[Result]]&lt;0.5,1,0),0)</f>
        <v>1</v>
      </c>
      <c r="AE425" s="2">
        <f>IF(AND(Games[[#This Row],[Type]]="P",Games[[#This Row],[Round]]=1),IF(Games[[#This Row],[Result]]&gt;0.5,1,0),0)</f>
        <v>0</v>
      </c>
      <c r="AF425" s="2">
        <f>IF(AND(Games[[#This Row],[Type]]="P",Games[[#This Row],[Round]]=1),IF(Games[[#This Row],[Result]]&lt;0.5,1,0),0)</f>
        <v>0</v>
      </c>
      <c r="AG425" s="2">
        <f>IF(AND(Games[[#This Row],[Type]]="P",Games[[#This Row],[Round]]=2),IF(Games[[#This Row],[Result]]&gt;0.5,1,0),0)</f>
        <v>0</v>
      </c>
      <c r="AH425" s="2">
        <f>IF(AND(Games[[#This Row],[Type]]="P",Games[[#This Row],[Round]]=2),IF(Games[[#This Row],[Result]]&lt;0.5,1,0),0)</f>
        <v>0</v>
      </c>
      <c r="AI425" s="2">
        <f>IF(AND(Games[[#This Row],[Type]]="P",Games[[#This Row],[Round]]=3),IF(Games[[#This Row],[Result]]&gt;0.5,1,0),0)</f>
        <v>0</v>
      </c>
      <c r="AJ425" s="2">
        <f>IF(AND(Games[[#This Row],[Type]]="P",Games[[#This Row],[Round]]=3),IF(Games[[#This Row],[Result]]&lt;0.5,1,0),0)</f>
        <v>0</v>
      </c>
      <c r="AK425" s="2">
        <f>IF(AND(Games[[#This Row],[Type]]="P",Games[[#This Row],[Round]]=4),IF(Games[[#This Row],[Result]]&gt;0.5,1,0),0)</f>
        <v>0</v>
      </c>
      <c r="AL425" s="2">
        <f>IF(AND(Games[[#This Row],[Type]]="P",Games[[#This Row],[Round]]=4),IF(Games[[#This Row],[Result]]&lt;0.5,1,0),0)</f>
        <v>0</v>
      </c>
    </row>
    <row r="426" spans="1:38" x14ac:dyDescent="0.35">
      <c r="A426" s="10">
        <v>37850</v>
      </c>
      <c r="B426" s="2">
        <v>2003</v>
      </c>
      <c r="C426" s="2">
        <f>COUNTIFS(Games[Team],Games[[#This Row],[Team]],Games[Season],Games[[#This Row],[Season]],Games[Date],"&lt;=" &amp; Games[[#This Row],[Date]])</f>
        <v>31</v>
      </c>
      <c r="D426" s="2" t="s">
        <v>23</v>
      </c>
      <c r="E426" s="2" t="s">
        <v>29</v>
      </c>
      <c r="F426" s="1" t="s">
        <v>76</v>
      </c>
      <c r="G426" s="1" t="s">
        <v>82</v>
      </c>
      <c r="H426" s="1" t="s">
        <v>16</v>
      </c>
      <c r="I426" s="2" cm="1">
        <f t="array" ref="I426">IFERROR(
    Games[[#This Row],[Date]]
    - LOOKUP(
        2,
        1/((Games[Team]=Games[[#This Row],[Team]]) * (Games[Date] &lt; Games[[#This Row],[Date]])),
        Games[Date]
    )
    - 1,
Games[[#This Row],[Date]]-$A$2)</f>
        <v>1</v>
      </c>
      <c r="J426" s="2" cm="1">
        <f t="array" ref="J42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26" s="2">
        <f>Games[[#This Row],[DaysOff]]-Games[[#This Row],[OppDaysOff]]</f>
        <v>0</v>
      </c>
      <c r="L426" s="2">
        <f>Games[[#This Row],[OppDaysOff]]-Games[[#This Row],[DaysOff]]</f>
        <v>0</v>
      </c>
      <c r="M426" s="1">
        <f>MAX(-16, MIN(16, Games[[#This Row],[RestDiff]]*8))</f>
        <v>0</v>
      </c>
      <c r="N426" s="1">
        <f>MAX(-16, MIN(16, Games[[#This Row],[OppRestDiff]]*8))</f>
        <v>0</v>
      </c>
      <c r="O426" s="4" cm="1">
        <f t="array" ref="O42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1573.5843537329492</v>
      </c>
      <c r="P426" s="4" cm="1">
        <f t="array" ref="P42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1543.2142336452275</v>
      </c>
      <c r="Q426" s="4">
        <f>1/(1+10^(((Games[[#This Row],[OppPreGmRate]]+IF(Games[[#This Row],[HomeAway]]="A",HCA,0)+Games[[#This Row],[OppRestAdj]])-(Games[[#This Row],[PreGmRate]]+IF(Games[[#This Row],[HomeAway]]="H",HCA,0)+Games[[#This Row],[RestAdj]]))/400))</f>
        <v>0.42342759243897876</v>
      </c>
      <c r="R426" s="1">
        <v>95</v>
      </c>
      <c r="S426" s="1">
        <v>86</v>
      </c>
      <c r="T426" s="1">
        <v>0</v>
      </c>
      <c r="U426" s="1">
        <f>Games[[#This Row],[PointsFor]]-Games[[#This Row],[PointsAgainst]]</f>
        <v>9</v>
      </c>
      <c r="V426" s="1">
        <f>IF(Games[[#This Row],[MOV]]&gt;0,1,IF(Games[[#This Row],[MOV]]=0,0.5,0))</f>
        <v>1</v>
      </c>
      <c r="W426" s="4">
        <f>((ABS(Games[[#This Row],[MOV]])+5)^0.6)/(12+0.01*(ABS(Games[[#This Row],[PreGmRate]]-Games[[#This Row],[OppPreGmRate]])))*IF(Games[[#This Row],[OT]]=1,0.9,1)</f>
        <v>0.39595063682297316</v>
      </c>
      <c r="X426" s="7" cm="1">
        <f t="array" ref="X42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26" s="9">
        <f>MAX(kmin, kmax - 0.15 * MIN(Games[[#This Row],[GamesPlayed]], 82))</f>
        <v>71.349999999999994</v>
      </c>
      <c r="Z426" s="4">
        <f>Games[[#This Row],[K]]*Games[[#This Row],[POMult]]</f>
        <v>71.349999999999994</v>
      </c>
      <c r="AA426" s="4">
        <f>(Games[[#This Row],[Keff]]*Games[[#This Row],[MOVMult]])*(Games[[#This Row],[Result]]-Games[[#This Row],[ExpectedWin%]])</f>
        <v>16.288792022514141</v>
      </c>
      <c r="AB426" s="4">
        <f>Games[[#This Row],[PreGmRate]]+Games[[#This Row],[RatingChange]]</f>
        <v>1589.8731457554634</v>
      </c>
      <c r="AC426" s="2">
        <f>IF(Games[[#This Row],[Type]]="R",IF(Games[[#This Row],[Result]]&gt;0.5,1,0),0)</f>
        <v>1</v>
      </c>
      <c r="AD426" s="2">
        <f>IF(Games[[#This Row],[Type]]="R",IF(Games[[#This Row],[Result]]&lt;0.5,1,0),0)</f>
        <v>0</v>
      </c>
      <c r="AE426" s="2">
        <f>IF(AND(Games[[#This Row],[Type]]="P",Games[[#This Row],[Round]]=1),IF(Games[[#This Row],[Result]]&gt;0.5,1,0),0)</f>
        <v>0</v>
      </c>
      <c r="AF426" s="2">
        <f>IF(AND(Games[[#This Row],[Type]]="P",Games[[#This Row],[Round]]=1),IF(Games[[#This Row],[Result]]&lt;0.5,1,0),0)</f>
        <v>0</v>
      </c>
      <c r="AG426" s="2">
        <f>IF(AND(Games[[#This Row],[Type]]="P",Games[[#This Row],[Round]]=2),IF(Games[[#This Row],[Result]]&gt;0.5,1,0),0)</f>
        <v>0</v>
      </c>
      <c r="AH426" s="2">
        <f>IF(AND(Games[[#This Row],[Type]]="P",Games[[#This Row],[Round]]=2),IF(Games[[#This Row],[Result]]&lt;0.5,1,0),0)</f>
        <v>0</v>
      </c>
      <c r="AI426" s="2">
        <f>IF(AND(Games[[#This Row],[Type]]="P",Games[[#This Row],[Round]]=3),IF(Games[[#This Row],[Result]]&gt;0.5,1,0),0)</f>
        <v>0</v>
      </c>
      <c r="AJ426" s="2">
        <f>IF(AND(Games[[#This Row],[Type]]="P",Games[[#This Row],[Round]]=3),IF(Games[[#This Row],[Result]]&lt;0.5,1,0),0)</f>
        <v>0</v>
      </c>
      <c r="AK426" s="2">
        <f>IF(AND(Games[[#This Row],[Type]]="P",Games[[#This Row],[Round]]=4),IF(Games[[#This Row],[Result]]&gt;0.5,1,0),0)</f>
        <v>0</v>
      </c>
      <c r="AL426" s="2">
        <f>IF(AND(Games[[#This Row],[Type]]="P",Games[[#This Row],[Round]]=4),IF(Games[[#This Row],[Result]]&lt;0.5,1,0),0)</f>
        <v>0</v>
      </c>
    </row>
    <row r="427" spans="1:38" x14ac:dyDescent="0.35">
      <c r="A427" s="10">
        <v>37850</v>
      </c>
      <c r="B427" s="2">
        <v>2003</v>
      </c>
      <c r="C427" s="2">
        <f>COUNTIFS(Games[Team],Games[[#This Row],[Team]],Games[Season],Games[[#This Row],[Season]],Games[Date],"&lt;=" &amp; Games[[#This Row],[Date]])</f>
        <v>30</v>
      </c>
      <c r="D427" s="2" t="s">
        <v>23</v>
      </c>
      <c r="E427" s="2" t="s">
        <v>29</v>
      </c>
      <c r="F427" s="1" t="s">
        <v>82</v>
      </c>
      <c r="G427" s="1" t="s">
        <v>76</v>
      </c>
      <c r="H427" s="1" t="s">
        <v>15</v>
      </c>
      <c r="I427" s="2" cm="1">
        <f t="array" ref="I427">IFERROR(
    Games[[#This Row],[Date]]
    - LOOKUP(
        2,
        1/((Games[Team]=Games[[#This Row],[Team]]) * (Games[Date] &lt; Games[[#This Row],[Date]])),
        Games[Date]
    )
    - 1,
Games[[#This Row],[Date]]-$A$2)</f>
        <v>1</v>
      </c>
      <c r="J427" s="2" cm="1">
        <f t="array" ref="J42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27" s="2">
        <f>Games[[#This Row],[DaysOff]]-Games[[#This Row],[OppDaysOff]]</f>
        <v>0</v>
      </c>
      <c r="L427" s="2">
        <f>Games[[#This Row],[OppDaysOff]]-Games[[#This Row],[DaysOff]]</f>
        <v>0</v>
      </c>
      <c r="M427" s="1">
        <f>MAX(-16, MIN(16, Games[[#This Row],[RestDiff]]*8))</f>
        <v>0</v>
      </c>
      <c r="N427" s="1">
        <f>MAX(-16, MIN(16, Games[[#This Row],[OppRestDiff]]*8))</f>
        <v>0</v>
      </c>
      <c r="O427" s="4" cm="1">
        <f t="array" ref="O42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1543.2142336452275</v>
      </c>
      <c r="P427" s="4" cm="1">
        <f t="array" ref="P42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1573.5843537329492</v>
      </c>
      <c r="Q427" s="4">
        <f>1/(1+10^(((Games[[#This Row],[OppPreGmRate]]+IF(Games[[#This Row],[HomeAway]]="A",HCA,0)+Games[[#This Row],[OppRestAdj]])-(Games[[#This Row],[PreGmRate]]+IF(Games[[#This Row],[HomeAway]]="H",HCA,0)+Games[[#This Row],[RestAdj]]))/400))</f>
        <v>0.57657240756102113</v>
      </c>
      <c r="R427" s="1">
        <v>86</v>
      </c>
      <c r="S427" s="1">
        <v>95</v>
      </c>
      <c r="T427" s="1">
        <v>0</v>
      </c>
      <c r="U427" s="1">
        <f>Games[[#This Row],[PointsFor]]-Games[[#This Row],[PointsAgainst]]</f>
        <v>-9</v>
      </c>
      <c r="V427" s="1">
        <f>IF(Games[[#This Row],[MOV]]&gt;0,1,IF(Games[[#This Row],[MOV]]=0,0.5,0))</f>
        <v>0</v>
      </c>
      <c r="W427" s="4">
        <f>((ABS(Games[[#This Row],[MOV]])+5)^0.6)/(12+0.01*(ABS(Games[[#This Row],[PreGmRate]]-Games[[#This Row],[OppPreGmRate]])))*IF(Games[[#This Row],[OT]]=1,0.9,1)</f>
        <v>0.39595063682297316</v>
      </c>
      <c r="X427" s="7" cm="1">
        <f t="array" ref="X42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27" s="9">
        <f>MAX(kmin, kmax - 0.15 * MIN(Games[[#This Row],[GamesPlayed]], 82))</f>
        <v>71.5</v>
      </c>
      <c r="Z427" s="4">
        <f>Games[[#This Row],[K]]*Games[[#This Row],[POMult]]</f>
        <v>71.5</v>
      </c>
      <c r="AA427" s="4">
        <f>(Games[[#This Row],[Keff]]*Games[[#This Row],[MOVMult]])*(Games[[#This Row],[Result]]-Games[[#This Row],[ExpectedWin%]])</f>
        <v>-16.32303615430639</v>
      </c>
      <c r="AB427" s="4">
        <f>Games[[#This Row],[PreGmRate]]+Games[[#This Row],[RatingChange]]</f>
        <v>1526.8911974909211</v>
      </c>
      <c r="AC427" s="2">
        <f>IF(Games[[#This Row],[Type]]="R",IF(Games[[#This Row],[Result]]&gt;0.5,1,0),0)</f>
        <v>0</v>
      </c>
      <c r="AD427" s="2">
        <f>IF(Games[[#This Row],[Type]]="R",IF(Games[[#This Row],[Result]]&lt;0.5,1,0),0)</f>
        <v>1</v>
      </c>
      <c r="AE427" s="2">
        <f>IF(AND(Games[[#This Row],[Type]]="P",Games[[#This Row],[Round]]=1),IF(Games[[#This Row],[Result]]&gt;0.5,1,0),0)</f>
        <v>0</v>
      </c>
      <c r="AF427" s="2">
        <f>IF(AND(Games[[#This Row],[Type]]="P",Games[[#This Row],[Round]]=1),IF(Games[[#This Row],[Result]]&lt;0.5,1,0),0)</f>
        <v>0</v>
      </c>
      <c r="AG427" s="2">
        <f>IF(AND(Games[[#This Row],[Type]]="P",Games[[#This Row],[Round]]=2),IF(Games[[#This Row],[Result]]&gt;0.5,1,0),0)</f>
        <v>0</v>
      </c>
      <c r="AH427" s="2">
        <f>IF(AND(Games[[#This Row],[Type]]="P",Games[[#This Row],[Round]]=2),IF(Games[[#This Row],[Result]]&lt;0.5,1,0),0)</f>
        <v>0</v>
      </c>
      <c r="AI427" s="2">
        <f>IF(AND(Games[[#This Row],[Type]]="P",Games[[#This Row],[Round]]=3),IF(Games[[#This Row],[Result]]&gt;0.5,1,0),0)</f>
        <v>0</v>
      </c>
      <c r="AJ427" s="2">
        <f>IF(AND(Games[[#This Row],[Type]]="P",Games[[#This Row],[Round]]=3),IF(Games[[#This Row],[Result]]&lt;0.5,1,0),0)</f>
        <v>0</v>
      </c>
      <c r="AK427" s="2">
        <f>IF(AND(Games[[#This Row],[Type]]="P",Games[[#This Row],[Round]]=4),IF(Games[[#This Row],[Result]]&gt;0.5,1,0),0)</f>
        <v>0</v>
      </c>
      <c r="AL427" s="2">
        <f>IF(AND(Games[[#This Row],[Type]]="P",Games[[#This Row],[Round]]=4),IF(Games[[#This Row],[Result]]&lt;0.5,1,0),0)</f>
        <v>0</v>
      </c>
    </row>
    <row r="428" spans="1:38" x14ac:dyDescent="0.35">
      <c r="A428" s="10">
        <v>37851</v>
      </c>
      <c r="B428" s="2">
        <v>2003</v>
      </c>
      <c r="C428" s="2">
        <f>COUNTIFS(Games[Team],Games[[#This Row],[Team]],Games[Season],Games[[#This Row],[Season]],Games[Date],"&lt;=" &amp; Games[[#This Row],[Date]])</f>
        <v>30</v>
      </c>
      <c r="D428" s="2" t="s">
        <v>23</v>
      </c>
      <c r="E428" s="2" t="s">
        <v>29</v>
      </c>
      <c r="F428" s="1" t="s">
        <v>2</v>
      </c>
      <c r="G428" s="1" t="s">
        <v>66</v>
      </c>
      <c r="H428" s="1" t="s">
        <v>16</v>
      </c>
      <c r="I428" s="2" cm="1">
        <f t="array" ref="I428">IFERROR(
    Games[[#This Row],[Date]]
    - LOOKUP(
        2,
        1/((Games[Team]=Games[[#This Row],[Team]]) * (Games[Date] &lt; Games[[#This Row],[Date]])),
        Games[Date]
    )
    - 1,
Games[[#This Row],[Date]]-$A$2)</f>
        <v>1</v>
      </c>
      <c r="J428" s="2" cm="1">
        <f t="array" ref="J428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428" s="2">
        <f>Games[[#This Row],[DaysOff]]-Games[[#This Row],[OppDaysOff]]</f>
        <v>1</v>
      </c>
      <c r="L428" s="2">
        <f>Games[[#This Row],[OppDaysOff]]-Games[[#This Row],[DaysOff]]</f>
        <v>-1</v>
      </c>
      <c r="M428" s="1">
        <f>MAX(-16, MIN(16, Games[[#This Row],[RestDiff]]*8))</f>
        <v>8</v>
      </c>
      <c r="N428" s="1">
        <f>MAX(-16, MIN(16, Games[[#This Row],[OppRestDiff]]*8))</f>
        <v>-8</v>
      </c>
      <c r="O428" s="4" cm="1">
        <f t="array" ref="O42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1618.5123368700301</v>
      </c>
      <c r="P428" s="4" cm="1">
        <f t="array" ref="P42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1497.0033926072488</v>
      </c>
      <c r="Q428" s="4">
        <f>1/(1+10^(((Games[[#This Row],[OppPreGmRate]]+IF(Games[[#This Row],[HomeAway]]="A",HCA,0)+Games[[#This Row],[OppRestAdj]])-(Games[[#This Row],[PreGmRate]]+IF(Games[[#This Row],[HomeAway]]="H",HCA,0)+Games[[#This Row],[RestAdj]]))/400))</f>
        <v>0.57640243994508389</v>
      </c>
      <c r="R428" s="1">
        <v>64</v>
      </c>
      <c r="S428" s="1">
        <v>67</v>
      </c>
      <c r="T428" s="1">
        <v>0</v>
      </c>
      <c r="U428" s="1">
        <f>Games[[#This Row],[PointsFor]]-Games[[#This Row],[PointsAgainst]]</f>
        <v>-3</v>
      </c>
      <c r="V428" s="1">
        <f>IF(Games[[#This Row],[MOV]]&gt;0,1,IF(Games[[#This Row],[MOV]]=0,0.5,0))</f>
        <v>0</v>
      </c>
      <c r="W428" s="4">
        <f>((ABS(Games[[#This Row],[MOV]])+5)^0.6)/(12+0.01*(ABS(Games[[#This Row],[PreGmRate]]-Games[[#This Row],[OppPreGmRate]])))*IF(Games[[#This Row],[OT]]=1,0.9,1)</f>
        <v>0.26350198145099063</v>
      </c>
      <c r="X428" s="7" cm="1">
        <f t="array" ref="X42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28" s="9">
        <f>MAX(kmin, kmax - 0.15 * MIN(Games[[#This Row],[GamesPlayed]], 82))</f>
        <v>71.5</v>
      </c>
      <c r="Z428" s="4">
        <f>Games[[#This Row],[K]]*Games[[#This Row],[POMult]]</f>
        <v>71.5</v>
      </c>
      <c r="AA428" s="4">
        <f>(Games[[#This Row],[Keff]]*Games[[#This Row],[MOVMult]])*(Games[[#This Row],[Result]]-Games[[#This Row],[ExpectedWin%]])</f>
        <v>-10.85964773026814</v>
      </c>
      <c r="AB428" s="4">
        <f>Games[[#This Row],[PreGmRate]]+Games[[#This Row],[RatingChange]]</f>
        <v>1607.6526891397621</v>
      </c>
      <c r="AC428" s="2">
        <f>IF(Games[[#This Row],[Type]]="R",IF(Games[[#This Row],[Result]]&gt;0.5,1,0),0)</f>
        <v>0</v>
      </c>
      <c r="AD428" s="2">
        <f>IF(Games[[#This Row],[Type]]="R",IF(Games[[#This Row],[Result]]&lt;0.5,1,0),0)</f>
        <v>1</v>
      </c>
      <c r="AE428" s="2">
        <f>IF(AND(Games[[#This Row],[Type]]="P",Games[[#This Row],[Round]]=1),IF(Games[[#This Row],[Result]]&gt;0.5,1,0),0)</f>
        <v>0</v>
      </c>
      <c r="AF428" s="2">
        <f>IF(AND(Games[[#This Row],[Type]]="P",Games[[#This Row],[Round]]=1),IF(Games[[#This Row],[Result]]&lt;0.5,1,0),0)</f>
        <v>0</v>
      </c>
      <c r="AG428" s="2">
        <f>IF(AND(Games[[#This Row],[Type]]="P",Games[[#This Row],[Round]]=2),IF(Games[[#This Row],[Result]]&gt;0.5,1,0),0)</f>
        <v>0</v>
      </c>
      <c r="AH428" s="2">
        <f>IF(AND(Games[[#This Row],[Type]]="P",Games[[#This Row],[Round]]=2),IF(Games[[#This Row],[Result]]&lt;0.5,1,0),0)</f>
        <v>0</v>
      </c>
      <c r="AI428" s="2">
        <f>IF(AND(Games[[#This Row],[Type]]="P",Games[[#This Row],[Round]]=3),IF(Games[[#This Row],[Result]]&gt;0.5,1,0),0)</f>
        <v>0</v>
      </c>
      <c r="AJ428" s="2">
        <f>IF(AND(Games[[#This Row],[Type]]="P",Games[[#This Row],[Round]]=3),IF(Games[[#This Row],[Result]]&lt;0.5,1,0),0)</f>
        <v>0</v>
      </c>
      <c r="AK428" s="2">
        <f>IF(AND(Games[[#This Row],[Type]]="P",Games[[#This Row],[Round]]=4),IF(Games[[#This Row],[Result]]&gt;0.5,1,0),0)</f>
        <v>0</v>
      </c>
      <c r="AL428" s="2">
        <f>IF(AND(Games[[#This Row],[Type]]="P",Games[[#This Row],[Round]]=4),IF(Games[[#This Row],[Result]]&lt;0.5,1,0),0)</f>
        <v>0</v>
      </c>
    </row>
    <row r="429" spans="1:38" x14ac:dyDescent="0.35">
      <c r="A429" s="10">
        <v>37851</v>
      </c>
      <c r="B429" s="2">
        <v>2003</v>
      </c>
      <c r="C429" s="2">
        <f>COUNTIFS(Games[Team],Games[[#This Row],[Team]],Games[Season],Games[[#This Row],[Season]],Games[Date],"&lt;=" &amp; Games[[#This Row],[Date]])</f>
        <v>31</v>
      </c>
      <c r="D429" s="2" t="s">
        <v>23</v>
      </c>
      <c r="E429" s="2" t="s">
        <v>29</v>
      </c>
      <c r="F429" s="1" t="s">
        <v>66</v>
      </c>
      <c r="G429" s="1" t="s">
        <v>2</v>
      </c>
      <c r="H429" s="1" t="s">
        <v>15</v>
      </c>
      <c r="I429" s="2" cm="1">
        <f t="array" ref="I429">IFERROR(
    Games[[#This Row],[Date]]
    - LOOKUP(
        2,
        1/((Games[Team]=Games[[#This Row],[Team]]) * (Games[Date] &lt; Games[[#This Row],[Date]])),
        Games[Date]
    )
    - 1,
Games[[#This Row],[Date]]-$A$2)</f>
        <v>0</v>
      </c>
      <c r="J429" s="2" cm="1">
        <f t="array" ref="J42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29" s="2">
        <f>Games[[#This Row],[DaysOff]]-Games[[#This Row],[OppDaysOff]]</f>
        <v>-1</v>
      </c>
      <c r="L429" s="2">
        <f>Games[[#This Row],[OppDaysOff]]-Games[[#This Row],[DaysOff]]</f>
        <v>1</v>
      </c>
      <c r="M429" s="1">
        <f>MAX(-16, MIN(16, Games[[#This Row],[RestDiff]]*8))</f>
        <v>-8</v>
      </c>
      <c r="N429" s="1">
        <f>MAX(-16, MIN(16, Games[[#This Row],[OppRestDiff]]*8))</f>
        <v>8</v>
      </c>
      <c r="O429" s="4" cm="1">
        <f t="array" ref="O42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1497.0033926072488</v>
      </c>
      <c r="P429" s="4" cm="1">
        <f t="array" ref="P42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1618.5123368700301</v>
      </c>
      <c r="Q429" s="4">
        <f>1/(1+10^(((Games[[#This Row],[OppPreGmRate]]+IF(Games[[#This Row],[HomeAway]]="A",HCA,0)+Games[[#This Row],[OppRestAdj]])-(Games[[#This Row],[PreGmRate]]+IF(Games[[#This Row],[HomeAway]]="H",HCA,0)+Games[[#This Row],[RestAdj]]))/400))</f>
        <v>0.42359756005491606</v>
      </c>
      <c r="R429" s="1">
        <v>67</v>
      </c>
      <c r="S429" s="1">
        <v>64</v>
      </c>
      <c r="T429" s="1">
        <v>0</v>
      </c>
      <c r="U429" s="1">
        <f>Games[[#This Row],[PointsFor]]-Games[[#This Row],[PointsAgainst]]</f>
        <v>3</v>
      </c>
      <c r="V429" s="1">
        <f>IF(Games[[#This Row],[MOV]]&gt;0,1,IF(Games[[#This Row],[MOV]]=0,0.5,0))</f>
        <v>1</v>
      </c>
      <c r="W429" s="4">
        <f>((ABS(Games[[#This Row],[MOV]])+5)^0.6)/(12+0.01*(ABS(Games[[#This Row],[PreGmRate]]-Games[[#This Row],[OppPreGmRate]])))*IF(Games[[#This Row],[OT]]=1,0.9,1)</f>
        <v>0.26350198145099063</v>
      </c>
      <c r="X429" s="7" cm="1">
        <f t="array" ref="X42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29" s="9">
        <f>MAX(kmin, kmax - 0.15 * MIN(Games[[#This Row],[GamesPlayed]], 82))</f>
        <v>71.349999999999994</v>
      </c>
      <c r="Z429" s="4">
        <f>Games[[#This Row],[K]]*Games[[#This Row],[POMult]]</f>
        <v>71.349999999999994</v>
      </c>
      <c r="AA429" s="4">
        <f>(Games[[#This Row],[Keff]]*Games[[#This Row],[MOVMult]])*(Games[[#This Row],[Result]]-Games[[#This Row],[ExpectedWin%]])</f>
        <v>10.836865252512334</v>
      </c>
      <c r="AB429" s="4">
        <f>Games[[#This Row],[PreGmRate]]+Games[[#This Row],[RatingChange]]</f>
        <v>1507.8402578597611</v>
      </c>
      <c r="AC429" s="2">
        <f>IF(Games[[#This Row],[Type]]="R",IF(Games[[#This Row],[Result]]&gt;0.5,1,0),0)</f>
        <v>1</v>
      </c>
      <c r="AD429" s="2">
        <f>IF(Games[[#This Row],[Type]]="R",IF(Games[[#This Row],[Result]]&lt;0.5,1,0),0)</f>
        <v>0</v>
      </c>
      <c r="AE429" s="2">
        <f>IF(AND(Games[[#This Row],[Type]]="P",Games[[#This Row],[Round]]=1),IF(Games[[#This Row],[Result]]&gt;0.5,1,0),0)</f>
        <v>0</v>
      </c>
      <c r="AF429" s="2">
        <f>IF(AND(Games[[#This Row],[Type]]="P",Games[[#This Row],[Round]]=1),IF(Games[[#This Row],[Result]]&lt;0.5,1,0),0)</f>
        <v>0</v>
      </c>
      <c r="AG429" s="2">
        <f>IF(AND(Games[[#This Row],[Type]]="P",Games[[#This Row],[Round]]=2),IF(Games[[#This Row],[Result]]&gt;0.5,1,0),0)</f>
        <v>0</v>
      </c>
      <c r="AH429" s="2">
        <f>IF(AND(Games[[#This Row],[Type]]="P",Games[[#This Row],[Round]]=2),IF(Games[[#This Row],[Result]]&lt;0.5,1,0),0)</f>
        <v>0</v>
      </c>
      <c r="AI429" s="2">
        <f>IF(AND(Games[[#This Row],[Type]]="P",Games[[#This Row],[Round]]=3),IF(Games[[#This Row],[Result]]&gt;0.5,1,0),0)</f>
        <v>0</v>
      </c>
      <c r="AJ429" s="2">
        <f>IF(AND(Games[[#This Row],[Type]]="P",Games[[#This Row],[Round]]=3),IF(Games[[#This Row],[Result]]&lt;0.5,1,0),0)</f>
        <v>0</v>
      </c>
      <c r="AK429" s="2">
        <f>IF(AND(Games[[#This Row],[Type]]="P",Games[[#This Row],[Round]]=4),IF(Games[[#This Row],[Result]]&gt;0.5,1,0),0)</f>
        <v>0</v>
      </c>
      <c r="AL429" s="2">
        <f>IF(AND(Games[[#This Row],[Type]]="P",Games[[#This Row],[Round]]=4),IF(Games[[#This Row],[Result]]&lt;0.5,1,0),0)</f>
        <v>0</v>
      </c>
    </row>
    <row r="430" spans="1:38" x14ac:dyDescent="0.35">
      <c r="A430" s="10">
        <v>37852</v>
      </c>
      <c r="B430" s="2">
        <v>2003</v>
      </c>
      <c r="C430" s="2">
        <f>COUNTIFS(Games[Team],Games[[#This Row],[Team]],Games[Season],Games[[#This Row],[Season]],Games[Date],"&lt;=" &amp; Games[[#This Row],[Date]])</f>
        <v>31</v>
      </c>
      <c r="D430" s="2" t="s">
        <v>23</v>
      </c>
      <c r="E430" s="2" t="s">
        <v>29</v>
      </c>
      <c r="F430" s="1" t="s">
        <v>87</v>
      </c>
      <c r="G430" s="1" t="s">
        <v>1</v>
      </c>
      <c r="H430" s="1" t="s">
        <v>16</v>
      </c>
      <c r="I430" s="2" cm="1">
        <f t="array" ref="I430">IFERROR(
    Games[[#This Row],[Date]]
    - LOOKUP(
        2,
        1/((Games[Team]=Games[[#This Row],[Team]]) * (Games[Date] &lt; Games[[#This Row],[Date]])),
        Games[Date]
    )
    - 1,
Games[[#This Row],[Date]]-$A$2)</f>
        <v>2</v>
      </c>
      <c r="J430" s="2" cm="1">
        <f t="array" ref="J43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30" s="2">
        <f>Games[[#This Row],[DaysOff]]-Games[[#This Row],[OppDaysOff]]</f>
        <v>1</v>
      </c>
      <c r="L430" s="2">
        <f>Games[[#This Row],[OppDaysOff]]-Games[[#This Row],[DaysOff]]</f>
        <v>-1</v>
      </c>
      <c r="M430" s="1">
        <f>MAX(-16, MIN(16, Games[[#This Row],[RestDiff]]*8))</f>
        <v>8</v>
      </c>
      <c r="N430" s="1">
        <f>MAX(-16, MIN(16, Games[[#This Row],[OppRestDiff]]*8))</f>
        <v>-8</v>
      </c>
      <c r="O430" s="4" cm="1">
        <f t="array" ref="O43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1499.1131559868686</v>
      </c>
      <c r="P430" s="4" cm="1">
        <f t="array" ref="P43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1463.9667859530093</v>
      </c>
      <c r="Q430" s="4">
        <f>1/(1+10^(((Games[[#This Row],[OppPreGmRate]]+IF(Games[[#This Row],[HomeAway]]="A",HCA,0)+Games[[#This Row],[OppRestAdj]])-(Games[[#This Row],[PreGmRate]]+IF(Games[[#This Row],[HomeAway]]="H",HCA,0)+Games[[#This Row],[RestAdj]]))/400))</f>
        <v>0.45286024473073666</v>
      </c>
      <c r="R430" s="1">
        <v>52</v>
      </c>
      <c r="S430" s="1">
        <v>69</v>
      </c>
      <c r="T430" s="1">
        <v>0</v>
      </c>
      <c r="U430" s="1">
        <f>Games[[#This Row],[PointsFor]]-Games[[#This Row],[PointsAgainst]]</f>
        <v>-17</v>
      </c>
      <c r="V430" s="1">
        <f>IF(Games[[#This Row],[MOV]]&gt;0,1,IF(Games[[#This Row],[MOV]]=0,0.5,0))</f>
        <v>0</v>
      </c>
      <c r="W430" s="4">
        <f>((ABS(Games[[#This Row],[MOV]])+5)^0.6)/(12+0.01*(ABS(Games[[#This Row],[PreGmRate]]-Games[[#This Row],[OppPreGmRate]])))*IF(Games[[#This Row],[OT]]=1,0.9,1)</f>
        <v>0.51729130927282863</v>
      </c>
      <c r="X430" s="7" cm="1">
        <f t="array" ref="X43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30" s="9">
        <f>MAX(kmin, kmax - 0.15 * MIN(Games[[#This Row],[GamesPlayed]], 82))</f>
        <v>71.349999999999994</v>
      </c>
      <c r="Z430" s="4">
        <f>Games[[#This Row],[K]]*Games[[#This Row],[POMult]]</f>
        <v>71.349999999999994</v>
      </c>
      <c r="AA430" s="4">
        <f>(Games[[#This Row],[Keff]]*Games[[#This Row],[MOVMult]])*(Games[[#This Row],[Result]]-Games[[#This Row],[ExpectedWin%]])</f>
        <v>-16.714498727040752</v>
      </c>
      <c r="AB430" s="4">
        <f>Games[[#This Row],[PreGmRate]]+Games[[#This Row],[RatingChange]]</f>
        <v>1482.3986572598278</v>
      </c>
      <c r="AC430" s="2">
        <f>IF(Games[[#This Row],[Type]]="R",IF(Games[[#This Row],[Result]]&gt;0.5,1,0),0)</f>
        <v>0</v>
      </c>
      <c r="AD430" s="2">
        <f>IF(Games[[#This Row],[Type]]="R",IF(Games[[#This Row],[Result]]&lt;0.5,1,0),0)</f>
        <v>1</v>
      </c>
      <c r="AE430" s="2">
        <f>IF(AND(Games[[#This Row],[Type]]="P",Games[[#This Row],[Round]]=1),IF(Games[[#This Row],[Result]]&gt;0.5,1,0),0)</f>
        <v>0</v>
      </c>
      <c r="AF430" s="2">
        <f>IF(AND(Games[[#This Row],[Type]]="P",Games[[#This Row],[Round]]=1),IF(Games[[#This Row],[Result]]&lt;0.5,1,0),0)</f>
        <v>0</v>
      </c>
      <c r="AG430" s="2">
        <f>IF(AND(Games[[#This Row],[Type]]="P",Games[[#This Row],[Round]]=2),IF(Games[[#This Row],[Result]]&gt;0.5,1,0),0)</f>
        <v>0</v>
      </c>
      <c r="AH430" s="2">
        <f>IF(AND(Games[[#This Row],[Type]]="P",Games[[#This Row],[Round]]=2),IF(Games[[#This Row],[Result]]&lt;0.5,1,0),0)</f>
        <v>0</v>
      </c>
      <c r="AI430" s="2">
        <f>IF(AND(Games[[#This Row],[Type]]="P",Games[[#This Row],[Round]]=3),IF(Games[[#This Row],[Result]]&gt;0.5,1,0),0)</f>
        <v>0</v>
      </c>
      <c r="AJ430" s="2">
        <f>IF(AND(Games[[#This Row],[Type]]="P",Games[[#This Row],[Round]]=3),IF(Games[[#This Row],[Result]]&lt;0.5,1,0),0)</f>
        <v>0</v>
      </c>
      <c r="AK430" s="2">
        <f>IF(AND(Games[[#This Row],[Type]]="P",Games[[#This Row],[Round]]=4),IF(Games[[#This Row],[Result]]&gt;0.5,1,0),0)</f>
        <v>0</v>
      </c>
      <c r="AL430" s="2">
        <f>IF(AND(Games[[#This Row],[Type]]="P",Games[[#This Row],[Round]]=4),IF(Games[[#This Row],[Result]]&lt;0.5,1,0),0)</f>
        <v>0</v>
      </c>
    </row>
    <row r="431" spans="1:38" x14ac:dyDescent="0.35">
      <c r="A431" s="10">
        <v>37852</v>
      </c>
      <c r="B431" s="2">
        <v>2003</v>
      </c>
      <c r="C431" s="2">
        <f>COUNTIFS(Games[Team],Games[[#This Row],[Team]],Games[Season],Games[[#This Row],[Season]],Games[Date],"&lt;=" &amp; Games[[#This Row],[Date]])</f>
        <v>31</v>
      </c>
      <c r="D431" s="2" t="s">
        <v>23</v>
      </c>
      <c r="E431" s="2" t="s">
        <v>29</v>
      </c>
      <c r="F431" s="1" t="s">
        <v>1</v>
      </c>
      <c r="G431" s="1" t="s">
        <v>87</v>
      </c>
      <c r="H431" s="1" t="s">
        <v>15</v>
      </c>
      <c r="I431" s="2" cm="1">
        <f t="array" ref="I431">IFERROR(
    Games[[#This Row],[Date]]
    - LOOKUP(
        2,
        1/((Games[Team]=Games[[#This Row],[Team]]) * (Games[Date] &lt; Games[[#This Row],[Date]])),
        Games[Date]
    )
    - 1,
Games[[#This Row],[Date]]-$A$2)</f>
        <v>1</v>
      </c>
      <c r="J431" s="2" cm="1">
        <f t="array" ref="J43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31" s="2">
        <f>Games[[#This Row],[DaysOff]]-Games[[#This Row],[OppDaysOff]]</f>
        <v>-1</v>
      </c>
      <c r="L431" s="2">
        <f>Games[[#This Row],[OppDaysOff]]-Games[[#This Row],[DaysOff]]</f>
        <v>1</v>
      </c>
      <c r="M431" s="1">
        <f>MAX(-16, MIN(16, Games[[#This Row],[RestDiff]]*8))</f>
        <v>-8</v>
      </c>
      <c r="N431" s="1">
        <f>MAX(-16, MIN(16, Games[[#This Row],[OppRestDiff]]*8))</f>
        <v>8</v>
      </c>
      <c r="O431" s="4" cm="1">
        <f t="array" ref="O43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1463.9667859530093</v>
      </c>
      <c r="P431" s="4" cm="1">
        <f t="array" ref="P43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1499.1131559868686</v>
      </c>
      <c r="Q431" s="4">
        <f>1/(1+10^(((Games[[#This Row],[OppPreGmRate]]+IF(Games[[#This Row],[HomeAway]]="A",HCA,0)+Games[[#This Row],[OppRestAdj]])-(Games[[#This Row],[PreGmRate]]+IF(Games[[#This Row],[HomeAway]]="H",HCA,0)+Games[[#This Row],[RestAdj]]))/400))</f>
        <v>0.54713975526926339</v>
      </c>
      <c r="R431" s="1">
        <v>69</v>
      </c>
      <c r="S431" s="1">
        <v>52</v>
      </c>
      <c r="T431" s="1">
        <v>0</v>
      </c>
      <c r="U431" s="1">
        <f>Games[[#This Row],[PointsFor]]-Games[[#This Row],[PointsAgainst]]</f>
        <v>17</v>
      </c>
      <c r="V431" s="1">
        <f>IF(Games[[#This Row],[MOV]]&gt;0,1,IF(Games[[#This Row],[MOV]]=0,0.5,0))</f>
        <v>1</v>
      </c>
      <c r="W431" s="4">
        <f>((ABS(Games[[#This Row],[MOV]])+5)^0.6)/(12+0.01*(ABS(Games[[#This Row],[PreGmRate]]-Games[[#This Row],[OppPreGmRate]])))*IF(Games[[#This Row],[OT]]=1,0.9,1)</f>
        <v>0.51729130927282863</v>
      </c>
      <c r="X431" s="7" cm="1">
        <f t="array" ref="X43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31" s="9">
        <f>MAX(kmin, kmax - 0.15 * MIN(Games[[#This Row],[GamesPlayed]], 82))</f>
        <v>71.349999999999994</v>
      </c>
      <c r="Z431" s="4">
        <f>Games[[#This Row],[K]]*Games[[#This Row],[POMult]]</f>
        <v>71.349999999999994</v>
      </c>
      <c r="AA431" s="4">
        <f>(Games[[#This Row],[Keff]]*Games[[#This Row],[MOVMult]])*(Games[[#This Row],[Result]]-Games[[#This Row],[ExpectedWin%]])</f>
        <v>16.714498727040748</v>
      </c>
      <c r="AB431" s="4">
        <f>Games[[#This Row],[PreGmRate]]+Games[[#This Row],[RatingChange]]</f>
        <v>1480.6812846800501</v>
      </c>
      <c r="AC431" s="2">
        <f>IF(Games[[#This Row],[Type]]="R",IF(Games[[#This Row],[Result]]&gt;0.5,1,0),0)</f>
        <v>1</v>
      </c>
      <c r="AD431" s="2">
        <f>IF(Games[[#This Row],[Type]]="R",IF(Games[[#This Row],[Result]]&lt;0.5,1,0),0)</f>
        <v>0</v>
      </c>
      <c r="AE431" s="2">
        <f>IF(AND(Games[[#This Row],[Type]]="P",Games[[#This Row],[Round]]=1),IF(Games[[#This Row],[Result]]&gt;0.5,1,0),0)</f>
        <v>0</v>
      </c>
      <c r="AF431" s="2">
        <f>IF(AND(Games[[#This Row],[Type]]="P",Games[[#This Row],[Round]]=1),IF(Games[[#This Row],[Result]]&lt;0.5,1,0),0)</f>
        <v>0</v>
      </c>
      <c r="AG431" s="2">
        <f>IF(AND(Games[[#This Row],[Type]]="P",Games[[#This Row],[Round]]=2),IF(Games[[#This Row],[Result]]&gt;0.5,1,0),0)</f>
        <v>0</v>
      </c>
      <c r="AH431" s="2">
        <f>IF(AND(Games[[#This Row],[Type]]="P",Games[[#This Row],[Round]]=2),IF(Games[[#This Row],[Result]]&lt;0.5,1,0),0)</f>
        <v>0</v>
      </c>
      <c r="AI431" s="2">
        <f>IF(AND(Games[[#This Row],[Type]]="P",Games[[#This Row],[Round]]=3),IF(Games[[#This Row],[Result]]&gt;0.5,1,0),0)</f>
        <v>0</v>
      </c>
      <c r="AJ431" s="2">
        <f>IF(AND(Games[[#This Row],[Type]]="P",Games[[#This Row],[Round]]=3),IF(Games[[#This Row],[Result]]&lt;0.5,1,0),0)</f>
        <v>0</v>
      </c>
      <c r="AK431" s="2">
        <f>IF(AND(Games[[#This Row],[Type]]="P",Games[[#This Row],[Round]]=4),IF(Games[[#This Row],[Result]]&gt;0.5,1,0),0)</f>
        <v>0</v>
      </c>
      <c r="AL431" s="2">
        <f>IF(AND(Games[[#This Row],[Type]]="P",Games[[#This Row],[Round]]=4),IF(Games[[#This Row],[Result]]&lt;0.5,1,0),0)</f>
        <v>0</v>
      </c>
    </row>
    <row r="432" spans="1:38" x14ac:dyDescent="0.35">
      <c r="A432" s="10">
        <v>37852</v>
      </c>
      <c r="B432" s="2">
        <v>2003</v>
      </c>
      <c r="C432" s="2">
        <f>COUNTIFS(Games[Team],Games[[#This Row],[Team]],Games[Season],Games[[#This Row],[Season]],Games[Date],"&lt;=" &amp; Games[[#This Row],[Date]])</f>
        <v>31</v>
      </c>
      <c r="D432" s="2" t="s">
        <v>23</v>
      </c>
      <c r="E432" s="2" t="s">
        <v>29</v>
      </c>
      <c r="F432" s="1" t="s">
        <v>82</v>
      </c>
      <c r="G432" s="1" t="s">
        <v>2</v>
      </c>
      <c r="H432" s="1" t="s">
        <v>16</v>
      </c>
      <c r="I432" s="2" cm="1">
        <f t="array" ref="I432">IFERROR(
    Games[[#This Row],[Date]]
    - LOOKUP(
        2,
        1/((Games[Team]=Games[[#This Row],[Team]]) * (Games[Date] &lt; Games[[#This Row],[Date]])),
        Games[Date]
    )
    - 1,
Games[[#This Row],[Date]]-$A$2)</f>
        <v>1</v>
      </c>
      <c r="J432" s="2" cm="1">
        <f t="array" ref="J432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432" s="2">
        <f>Games[[#This Row],[DaysOff]]-Games[[#This Row],[OppDaysOff]]</f>
        <v>1</v>
      </c>
      <c r="L432" s="2">
        <f>Games[[#This Row],[OppDaysOff]]-Games[[#This Row],[DaysOff]]</f>
        <v>-1</v>
      </c>
      <c r="M432" s="1">
        <f>MAX(-16, MIN(16, Games[[#This Row],[RestDiff]]*8))</f>
        <v>8</v>
      </c>
      <c r="N432" s="1">
        <f>MAX(-16, MIN(16, Games[[#This Row],[OppRestDiff]]*8))</f>
        <v>-8</v>
      </c>
      <c r="O432" s="4" cm="1">
        <f t="array" ref="O43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1526.8911974909211</v>
      </c>
      <c r="P432" s="4" cm="1">
        <f t="array" ref="P43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1607.6526891397621</v>
      </c>
      <c r="Q432" s="4">
        <f>1/(1+10^(((Games[[#This Row],[OppPreGmRate]]+IF(Games[[#This Row],[HomeAway]]="A",HCA,0)+Games[[#This Row],[OppRestAdj]])-(Games[[#This Row],[PreGmRate]]+IF(Games[[#This Row],[HomeAway]]="H",HCA,0)+Games[[#This Row],[RestAdj]]))/400))</f>
        <v>0.29810459492408153</v>
      </c>
      <c r="R432" s="1">
        <v>47</v>
      </c>
      <c r="S432" s="1">
        <v>52</v>
      </c>
      <c r="T432" s="1">
        <v>0</v>
      </c>
      <c r="U432" s="1">
        <f>Games[[#This Row],[PointsFor]]-Games[[#This Row],[PointsAgainst]]</f>
        <v>-5</v>
      </c>
      <c r="V432" s="1">
        <f>IF(Games[[#This Row],[MOV]]&gt;0,1,IF(Games[[#This Row],[MOV]]=0,0.5,0))</f>
        <v>0</v>
      </c>
      <c r="W432" s="4">
        <f>((ABS(Games[[#This Row],[MOV]])+5)^0.6)/(12+0.01*(ABS(Games[[#This Row],[PreGmRate]]-Games[[#This Row],[OppPreGmRate]])))*IF(Games[[#This Row],[OT]]=1,0.9,1)</f>
        <v>0.31083630570511428</v>
      </c>
      <c r="X432" s="7" cm="1">
        <f t="array" ref="X43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32" s="9">
        <f>MAX(kmin, kmax - 0.15 * MIN(Games[[#This Row],[GamesPlayed]], 82))</f>
        <v>71.349999999999994</v>
      </c>
      <c r="Z432" s="4">
        <f>Games[[#This Row],[K]]*Games[[#This Row],[POMult]]</f>
        <v>71.349999999999994</v>
      </c>
      <c r="AA432" s="4">
        <f>(Games[[#This Row],[Keff]]*Games[[#This Row],[MOVMult]])*(Games[[#This Row],[Result]]-Games[[#This Row],[ExpectedWin%]])</f>
        <v>-6.6114145068443673</v>
      </c>
      <c r="AB432" s="4">
        <f>Games[[#This Row],[PreGmRate]]+Games[[#This Row],[RatingChange]]</f>
        <v>1520.2797829840767</v>
      </c>
      <c r="AC432" s="2">
        <f>IF(Games[[#This Row],[Type]]="R",IF(Games[[#This Row],[Result]]&gt;0.5,1,0),0)</f>
        <v>0</v>
      </c>
      <c r="AD432" s="2">
        <f>IF(Games[[#This Row],[Type]]="R",IF(Games[[#This Row],[Result]]&lt;0.5,1,0),0)</f>
        <v>1</v>
      </c>
      <c r="AE432" s="2">
        <f>IF(AND(Games[[#This Row],[Type]]="P",Games[[#This Row],[Round]]=1),IF(Games[[#This Row],[Result]]&gt;0.5,1,0),0)</f>
        <v>0</v>
      </c>
      <c r="AF432" s="2">
        <f>IF(AND(Games[[#This Row],[Type]]="P",Games[[#This Row],[Round]]=1),IF(Games[[#This Row],[Result]]&lt;0.5,1,0),0)</f>
        <v>0</v>
      </c>
      <c r="AG432" s="2">
        <f>IF(AND(Games[[#This Row],[Type]]="P",Games[[#This Row],[Round]]=2),IF(Games[[#This Row],[Result]]&gt;0.5,1,0),0)</f>
        <v>0</v>
      </c>
      <c r="AH432" s="2">
        <f>IF(AND(Games[[#This Row],[Type]]="P",Games[[#This Row],[Round]]=2),IF(Games[[#This Row],[Result]]&lt;0.5,1,0),0)</f>
        <v>0</v>
      </c>
      <c r="AI432" s="2">
        <f>IF(AND(Games[[#This Row],[Type]]="P",Games[[#This Row],[Round]]=3),IF(Games[[#This Row],[Result]]&gt;0.5,1,0),0)</f>
        <v>0</v>
      </c>
      <c r="AJ432" s="2">
        <f>IF(AND(Games[[#This Row],[Type]]="P",Games[[#This Row],[Round]]=3),IF(Games[[#This Row],[Result]]&lt;0.5,1,0),0)</f>
        <v>0</v>
      </c>
      <c r="AK432" s="2">
        <f>IF(AND(Games[[#This Row],[Type]]="P",Games[[#This Row],[Round]]=4),IF(Games[[#This Row],[Result]]&gt;0.5,1,0),0)</f>
        <v>0</v>
      </c>
      <c r="AL432" s="2">
        <f>IF(AND(Games[[#This Row],[Type]]="P",Games[[#This Row],[Round]]=4),IF(Games[[#This Row],[Result]]&lt;0.5,1,0),0)</f>
        <v>0</v>
      </c>
    </row>
    <row r="433" spans="1:38" x14ac:dyDescent="0.35">
      <c r="A433" s="10">
        <v>37852</v>
      </c>
      <c r="B433" s="2">
        <v>2003</v>
      </c>
      <c r="C433" s="2">
        <f>COUNTIFS(Games[Team],Games[[#This Row],[Team]],Games[Season],Games[[#This Row],[Season]],Games[Date],"&lt;=" &amp; Games[[#This Row],[Date]])</f>
        <v>31</v>
      </c>
      <c r="D433" s="2" t="s">
        <v>23</v>
      </c>
      <c r="E433" s="2" t="s">
        <v>29</v>
      </c>
      <c r="F433" s="1" t="s">
        <v>2</v>
      </c>
      <c r="G433" s="1" t="s">
        <v>82</v>
      </c>
      <c r="H433" s="1" t="s">
        <v>15</v>
      </c>
      <c r="I433" s="2" cm="1">
        <f t="array" ref="I433">IFERROR(
    Games[[#This Row],[Date]]
    - LOOKUP(
        2,
        1/((Games[Team]=Games[[#This Row],[Team]]) * (Games[Date] &lt; Games[[#This Row],[Date]])),
        Games[Date]
    )
    - 1,
Games[[#This Row],[Date]]-$A$2)</f>
        <v>0</v>
      </c>
      <c r="J433" s="2" cm="1">
        <f t="array" ref="J43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33" s="2">
        <f>Games[[#This Row],[DaysOff]]-Games[[#This Row],[OppDaysOff]]</f>
        <v>-1</v>
      </c>
      <c r="L433" s="2">
        <f>Games[[#This Row],[OppDaysOff]]-Games[[#This Row],[DaysOff]]</f>
        <v>1</v>
      </c>
      <c r="M433" s="1">
        <f>MAX(-16, MIN(16, Games[[#This Row],[RestDiff]]*8))</f>
        <v>-8</v>
      </c>
      <c r="N433" s="1">
        <f>MAX(-16, MIN(16, Games[[#This Row],[OppRestDiff]]*8))</f>
        <v>8</v>
      </c>
      <c r="O433" s="4" cm="1">
        <f t="array" ref="O43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1607.6526891397621</v>
      </c>
      <c r="P433" s="4" cm="1">
        <f t="array" ref="P43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1526.8911974909211</v>
      </c>
      <c r="Q433" s="4">
        <f>1/(1+10^(((Games[[#This Row],[OppPreGmRate]]+IF(Games[[#This Row],[HomeAway]]="A",HCA,0)+Games[[#This Row],[OppRestAdj]])-(Games[[#This Row],[PreGmRate]]+IF(Games[[#This Row],[HomeAway]]="H",HCA,0)+Games[[#This Row],[RestAdj]]))/400))</f>
        <v>0.70189540507591841</v>
      </c>
      <c r="R433" s="1">
        <v>52</v>
      </c>
      <c r="S433" s="1">
        <v>47</v>
      </c>
      <c r="T433" s="1">
        <v>0</v>
      </c>
      <c r="U433" s="1">
        <f>Games[[#This Row],[PointsFor]]-Games[[#This Row],[PointsAgainst]]</f>
        <v>5</v>
      </c>
      <c r="V433" s="1">
        <f>IF(Games[[#This Row],[MOV]]&gt;0,1,IF(Games[[#This Row],[MOV]]=0,0.5,0))</f>
        <v>1</v>
      </c>
      <c r="W433" s="4">
        <f>((ABS(Games[[#This Row],[MOV]])+5)^0.6)/(12+0.01*(ABS(Games[[#This Row],[PreGmRate]]-Games[[#This Row],[OppPreGmRate]])))*IF(Games[[#This Row],[OT]]=1,0.9,1)</f>
        <v>0.31083630570511428</v>
      </c>
      <c r="X433" s="7" cm="1">
        <f t="array" ref="X43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33" s="9">
        <f>MAX(kmin, kmax - 0.15 * MIN(Games[[#This Row],[GamesPlayed]], 82))</f>
        <v>71.349999999999994</v>
      </c>
      <c r="Z433" s="4">
        <f>Games[[#This Row],[K]]*Games[[#This Row],[POMult]]</f>
        <v>71.349999999999994</v>
      </c>
      <c r="AA433" s="4">
        <f>(Games[[#This Row],[Keff]]*Games[[#This Row],[MOVMult]])*(Games[[#This Row],[Result]]-Games[[#This Row],[ExpectedWin%]])</f>
        <v>6.611414506844369</v>
      </c>
      <c r="AB433" s="4">
        <f>Games[[#This Row],[PreGmRate]]+Games[[#This Row],[RatingChange]]</f>
        <v>1614.2641036466064</v>
      </c>
      <c r="AC433" s="2">
        <f>IF(Games[[#This Row],[Type]]="R",IF(Games[[#This Row],[Result]]&gt;0.5,1,0),0)</f>
        <v>1</v>
      </c>
      <c r="AD433" s="2">
        <f>IF(Games[[#This Row],[Type]]="R",IF(Games[[#This Row],[Result]]&lt;0.5,1,0),0)</f>
        <v>0</v>
      </c>
      <c r="AE433" s="2">
        <f>IF(AND(Games[[#This Row],[Type]]="P",Games[[#This Row],[Round]]=1),IF(Games[[#This Row],[Result]]&gt;0.5,1,0),0)</f>
        <v>0</v>
      </c>
      <c r="AF433" s="2">
        <f>IF(AND(Games[[#This Row],[Type]]="P",Games[[#This Row],[Round]]=1),IF(Games[[#This Row],[Result]]&lt;0.5,1,0),0)</f>
        <v>0</v>
      </c>
      <c r="AG433" s="2">
        <f>IF(AND(Games[[#This Row],[Type]]="P",Games[[#This Row],[Round]]=2),IF(Games[[#This Row],[Result]]&gt;0.5,1,0),0)</f>
        <v>0</v>
      </c>
      <c r="AH433" s="2">
        <f>IF(AND(Games[[#This Row],[Type]]="P",Games[[#This Row],[Round]]=2),IF(Games[[#This Row],[Result]]&lt;0.5,1,0),0)</f>
        <v>0</v>
      </c>
      <c r="AI433" s="2">
        <f>IF(AND(Games[[#This Row],[Type]]="P",Games[[#This Row],[Round]]=3),IF(Games[[#This Row],[Result]]&gt;0.5,1,0),0)</f>
        <v>0</v>
      </c>
      <c r="AJ433" s="2">
        <f>IF(AND(Games[[#This Row],[Type]]="P",Games[[#This Row],[Round]]=3),IF(Games[[#This Row],[Result]]&lt;0.5,1,0),0)</f>
        <v>0</v>
      </c>
      <c r="AK433" s="2">
        <f>IF(AND(Games[[#This Row],[Type]]="P",Games[[#This Row],[Round]]=4),IF(Games[[#This Row],[Result]]&gt;0.5,1,0),0)</f>
        <v>0</v>
      </c>
      <c r="AL433" s="2">
        <f>IF(AND(Games[[#This Row],[Type]]="P",Games[[#This Row],[Round]]=4),IF(Games[[#This Row],[Result]]&lt;0.5,1,0),0)</f>
        <v>0</v>
      </c>
    </row>
    <row r="434" spans="1:38" x14ac:dyDescent="0.35">
      <c r="A434" s="10">
        <v>37853</v>
      </c>
      <c r="B434" s="2">
        <v>2003</v>
      </c>
      <c r="C434" s="2">
        <f>COUNTIFS(Games[Team],Games[[#This Row],[Team]],Games[Season],Games[[#This Row],[Season]],Games[Date],"&lt;=" &amp; Games[[#This Row],[Date]])</f>
        <v>31</v>
      </c>
      <c r="D434" s="2" t="s">
        <v>23</v>
      </c>
      <c r="E434" s="2" t="s">
        <v>29</v>
      </c>
      <c r="F434" s="1" t="s">
        <v>80</v>
      </c>
      <c r="G434" s="1" t="s">
        <v>64</v>
      </c>
      <c r="H434" s="1" t="s">
        <v>16</v>
      </c>
      <c r="I434" s="2" cm="1">
        <f t="array" ref="I434">IFERROR(
    Games[[#This Row],[Date]]
    - LOOKUP(
        2,
        1/((Games[Team]=Games[[#This Row],[Team]]) * (Games[Date] &lt; Games[[#This Row],[Date]])),
        Games[Date]
    )
    - 1,
Games[[#This Row],[Date]]-$A$2)</f>
        <v>3</v>
      </c>
      <c r="J434" s="2" cm="1">
        <f t="array" ref="J434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434" s="2">
        <f>Games[[#This Row],[DaysOff]]-Games[[#This Row],[OppDaysOff]]</f>
        <v>0</v>
      </c>
      <c r="L434" s="2">
        <f>Games[[#This Row],[OppDaysOff]]-Games[[#This Row],[DaysOff]]</f>
        <v>0</v>
      </c>
      <c r="M434" s="1">
        <f>MAX(-16, MIN(16, Games[[#This Row],[RestDiff]]*8))</f>
        <v>0</v>
      </c>
      <c r="N434" s="1">
        <f>MAX(-16, MIN(16, Games[[#This Row],[OppRestDiff]]*8))</f>
        <v>0</v>
      </c>
      <c r="O434" s="4" cm="1">
        <f t="array" ref="O43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1463.8332115425064</v>
      </c>
      <c r="P434" s="4" cm="1">
        <f t="array" ref="P43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1502.7516725088644</v>
      </c>
      <c r="Q434" s="4">
        <f>1/(1+10^(((Games[[#This Row],[OppPreGmRate]]+IF(Games[[#This Row],[HomeAway]]="A",HCA,0)+Games[[#This Row],[OppRestAdj]])-(Games[[#This Row],[PreGmRate]]+IF(Games[[#This Row],[HomeAway]]="H",HCA,0)+Games[[#This Row],[RestAdj]]))/400))</f>
        <v>0.33013477844356293</v>
      </c>
      <c r="R434" s="1">
        <v>50</v>
      </c>
      <c r="S434" s="1">
        <v>80</v>
      </c>
      <c r="T434" s="1">
        <v>0</v>
      </c>
      <c r="U434" s="1">
        <f>Games[[#This Row],[PointsFor]]-Games[[#This Row],[PointsAgainst]]</f>
        <v>-30</v>
      </c>
      <c r="V434" s="1">
        <f>IF(Games[[#This Row],[MOV]]&gt;0,1,IF(Games[[#This Row],[MOV]]=0,0.5,0))</f>
        <v>0</v>
      </c>
      <c r="W434" s="4">
        <f>((ABS(Games[[#This Row],[MOV]])+5)^0.6)/(12+0.01*(ABS(Games[[#This Row],[PreGmRate]]-Games[[#This Row],[OppPreGmRate]])))*IF(Games[[#This Row],[OT]]=1,0.9,1)</f>
        <v>0.6813936817692765</v>
      </c>
      <c r="X434" s="7" cm="1">
        <f t="array" ref="X43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34" s="9">
        <f>MAX(kmin, kmax - 0.15 * MIN(Games[[#This Row],[GamesPlayed]], 82))</f>
        <v>71.349999999999994</v>
      </c>
      <c r="Z434" s="4">
        <f>Games[[#This Row],[K]]*Games[[#This Row],[POMult]]</f>
        <v>71.349999999999994</v>
      </c>
      <c r="AA434" s="4">
        <f>(Games[[#This Row],[Keff]]*Games[[#This Row],[MOVMult]])*(Games[[#This Row],[Result]]-Games[[#This Row],[ExpectedWin%]])</f>
        <v>-16.050307516883112</v>
      </c>
      <c r="AB434" s="4">
        <f>Games[[#This Row],[PreGmRate]]+Games[[#This Row],[RatingChange]]</f>
        <v>1447.7829040256233</v>
      </c>
      <c r="AC434" s="2">
        <f>IF(Games[[#This Row],[Type]]="R",IF(Games[[#This Row],[Result]]&gt;0.5,1,0),0)</f>
        <v>0</v>
      </c>
      <c r="AD434" s="2">
        <f>IF(Games[[#This Row],[Type]]="R",IF(Games[[#This Row],[Result]]&lt;0.5,1,0),0)</f>
        <v>1</v>
      </c>
      <c r="AE434" s="2">
        <f>IF(AND(Games[[#This Row],[Type]]="P",Games[[#This Row],[Round]]=1),IF(Games[[#This Row],[Result]]&gt;0.5,1,0),0)</f>
        <v>0</v>
      </c>
      <c r="AF434" s="2">
        <f>IF(AND(Games[[#This Row],[Type]]="P",Games[[#This Row],[Round]]=1),IF(Games[[#This Row],[Result]]&lt;0.5,1,0),0)</f>
        <v>0</v>
      </c>
      <c r="AG434" s="2">
        <f>IF(AND(Games[[#This Row],[Type]]="P",Games[[#This Row],[Round]]=2),IF(Games[[#This Row],[Result]]&gt;0.5,1,0),0)</f>
        <v>0</v>
      </c>
      <c r="AH434" s="2">
        <f>IF(AND(Games[[#This Row],[Type]]="P",Games[[#This Row],[Round]]=2),IF(Games[[#This Row],[Result]]&lt;0.5,1,0),0)</f>
        <v>0</v>
      </c>
      <c r="AI434" s="2">
        <f>IF(AND(Games[[#This Row],[Type]]="P",Games[[#This Row],[Round]]=3),IF(Games[[#This Row],[Result]]&gt;0.5,1,0),0)</f>
        <v>0</v>
      </c>
      <c r="AJ434" s="2">
        <f>IF(AND(Games[[#This Row],[Type]]="P",Games[[#This Row],[Round]]=3),IF(Games[[#This Row],[Result]]&lt;0.5,1,0),0)</f>
        <v>0</v>
      </c>
      <c r="AK434" s="2">
        <f>IF(AND(Games[[#This Row],[Type]]="P",Games[[#This Row],[Round]]=4),IF(Games[[#This Row],[Result]]&gt;0.5,1,0),0)</f>
        <v>0</v>
      </c>
      <c r="AL434" s="2">
        <f>IF(AND(Games[[#This Row],[Type]]="P",Games[[#This Row],[Round]]=4),IF(Games[[#This Row],[Result]]&lt;0.5,1,0),0)</f>
        <v>0</v>
      </c>
    </row>
    <row r="435" spans="1:38" x14ac:dyDescent="0.35">
      <c r="A435" s="10">
        <v>37853</v>
      </c>
      <c r="B435" s="2">
        <v>2003</v>
      </c>
      <c r="C435" s="2">
        <f>COUNTIFS(Games[Team],Games[[#This Row],[Team]],Games[Season],Games[[#This Row],[Season]],Games[Date],"&lt;=" &amp; Games[[#This Row],[Date]])</f>
        <v>31</v>
      </c>
      <c r="D435" s="2" t="s">
        <v>23</v>
      </c>
      <c r="E435" s="2" t="s">
        <v>29</v>
      </c>
      <c r="F435" s="1" t="s">
        <v>64</v>
      </c>
      <c r="G435" s="1" t="s">
        <v>80</v>
      </c>
      <c r="H435" s="1" t="s">
        <v>15</v>
      </c>
      <c r="I435" s="2" cm="1">
        <f t="array" ref="I435">IFERROR(
    Games[[#This Row],[Date]]
    - LOOKUP(
        2,
        1/((Games[Team]=Games[[#This Row],[Team]]) * (Games[Date] &lt; Games[[#This Row],[Date]])),
        Games[Date]
    )
    - 1,
Games[[#This Row],[Date]]-$A$2)</f>
        <v>3</v>
      </c>
      <c r="J435" s="2" cm="1">
        <f t="array" ref="J435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435" s="2">
        <f>Games[[#This Row],[DaysOff]]-Games[[#This Row],[OppDaysOff]]</f>
        <v>0</v>
      </c>
      <c r="L435" s="2">
        <f>Games[[#This Row],[OppDaysOff]]-Games[[#This Row],[DaysOff]]</f>
        <v>0</v>
      </c>
      <c r="M435" s="1">
        <f>MAX(-16, MIN(16, Games[[#This Row],[RestDiff]]*8))</f>
        <v>0</v>
      </c>
      <c r="N435" s="1">
        <f>MAX(-16, MIN(16, Games[[#This Row],[OppRestDiff]]*8))</f>
        <v>0</v>
      </c>
      <c r="O435" s="4" cm="1">
        <f t="array" ref="O43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1502.7516725088644</v>
      </c>
      <c r="P435" s="4" cm="1">
        <f t="array" ref="P43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1463.8332115425064</v>
      </c>
      <c r="Q435" s="4">
        <f>1/(1+10^(((Games[[#This Row],[OppPreGmRate]]+IF(Games[[#This Row],[HomeAway]]="A",HCA,0)+Games[[#This Row],[OppRestAdj]])-(Games[[#This Row],[PreGmRate]]+IF(Games[[#This Row],[HomeAway]]="H",HCA,0)+Games[[#This Row],[RestAdj]]))/400))</f>
        <v>0.66986522155643713</v>
      </c>
      <c r="R435" s="1">
        <v>80</v>
      </c>
      <c r="S435" s="1">
        <v>50</v>
      </c>
      <c r="T435" s="1">
        <v>0</v>
      </c>
      <c r="U435" s="1">
        <f>Games[[#This Row],[PointsFor]]-Games[[#This Row],[PointsAgainst]]</f>
        <v>30</v>
      </c>
      <c r="V435" s="1">
        <f>IF(Games[[#This Row],[MOV]]&gt;0,1,IF(Games[[#This Row],[MOV]]=0,0.5,0))</f>
        <v>1</v>
      </c>
      <c r="W435" s="4">
        <f>((ABS(Games[[#This Row],[MOV]])+5)^0.6)/(12+0.01*(ABS(Games[[#This Row],[PreGmRate]]-Games[[#This Row],[OppPreGmRate]])))*IF(Games[[#This Row],[OT]]=1,0.9,1)</f>
        <v>0.6813936817692765</v>
      </c>
      <c r="X435" s="7" cm="1">
        <f t="array" ref="X43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35" s="9">
        <f>MAX(kmin, kmax - 0.15 * MIN(Games[[#This Row],[GamesPlayed]], 82))</f>
        <v>71.349999999999994</v>
      </c>
      <c r="Z435" s="4">
        <f>Games[[#This Row],[K]]*Games[[#This Row],[POMult]]</f>
        <v>71.349999999999994</v>
      </c>
      <c r="AA435" s="4">
        <f>(Games[[#This Row],[Keff]]*Games[[#This Row],[MOVMult]])*(Games[[#This Row],[Result]]-Games[[#This Row],[ExpectedWin%]])</f>
        <v>16.050307516883109</v>
      </c>
      <c r="AB435" s="4">
        <f>Games[[#This Row],[PreGmRate]]+Games[[#This Row],[RatingChange]]</f>
        <v>1518.8019800257475</v>
      </c>
      <c r="AC435" s="2">
        <f>IF(Games[[#This Row],[Type]]="R",IF(Games[[#This Row],[Result]]&gt;0.5,1,0),0)</f>
        <v>1</v>
      </c>
      <c r="AD435" s="2">
        <f>IF(Games[[#This Row],[Type]]="R",IF(Games[[#This Row],[Result]]&lt;0.5,1,0),0)</f>
        <v>0</v>
      </c>
      <c r="AE435" s="2">
        <f>IF(AND(Games[[#This Row],[Type]]="P",Games[[#This Row],[Round]]=1),IF(Games[[#This Row],[Result]]&gt;0.5,1,0),0)</f>
        <v>0</v>
      </c>
      <c r="AF435" s="2">
        <f>IF(AND(Games[[#This Row],[Type]]="P",Games[[#This Row],[Round]]=1),IF(Games[[#This Row],[Result]]&lt;0.5,1,0),0)</f>
        <v>0</v>
      </c>
      <c r="AG435" s="2">
        <f>IF(AND(Games[[#This Row],[Type]]="P",Games[[#This Row],[Round]]=2),IF(Games[[#This Row],[Result]]&gt;0.5,1,0),0)</f>
        <v>0</v>
      </c>
      <c r="AH435" s="2">
        <f>IF(AND(Games[[#This Row],[Type]]="P",Games[[#This Row],[Round]]=2),IF(Games[[#This Row],[Result]]&lt;0.5,1,0),0)</f>
        <v>0</v>
      </c>
      <c r="AI435" s="2">
        <f>IF(AND(Games[[#This Row],[Type]]="P",Games[[#This Row],[Round]]=3),IF(Games[[#This Row],[Result]]&gt;0.5,1,0),0)</f>
        <v>0</v>
      </c>
      <c r="AJ435" s="2">
        <f>IF(AND(Games[[#This Row],[Type]]="P",Games[[#This Row],[Round]]=3),IF(Games[[#This Row],[Result]]&lt;0.5,1,0),0)</f>
        <v>0</v>
      </c>
      <c r="AK435" s="2">
        <f>IF(AND(Games[[#This Row],[Type]]="P",Games[[#This Row],[Round]]=4),IF(Games[[#This Row],[Result]]&gt;0.5,1,0),0)</f>
        <v>0</v>
      </c>
      <c r="AL435" s="2">
        <f>IF(AND(Games[[#This Row],[Type]]="P",Games[[#This Row],[Round]]=4),IF(Games[[#This Row],[Result]]&lt;0.5,1,0),0)</f>
        <v>0</v>
      </c>
    </row>
    <row r="436" spans="1:38" x14ac:dyDescent="0.35">
      <c r="A436" s="10">
        <v>37853</v>
      </c>
      <c r="B436" s="2">
        <v>2003</v>
      </c>
      <c r="C436" s="2">
        <f>COUNTIFS(Games[Team],Games[[#This Row],[Team]],Games[Season],Games[[#This Row],[Season]],Games[Date],"&lt;=" &amp; Games[[#This Row],[Date]])</f>
        <v>32</v>
      </c>
      <c r="D436" s="2" t="s">
        <v>23</v>
      </c>
      <c r="E436" s="2" t="s">
        <v>29</v>
      </c>
      <c r="F436" s="1" t="s">
        <v>78</v>
      </c>
      <c r="G436" s="1" t="s">
        <v>44</v>
      </c>
      <c r="H436" s="1" t="s">
        <v>16</v>
      </c>
      <c r="I436" s="2" cm="1">
        <f t="array" ref="I436">IFERROR(
    Games[[#This Row],[Date]]
    - LOOKUP(
        2,
        1/((Games[Team]=Games[[#This Row],[Team]]) * (Games[Date] &lt; Games[[#This Row],[Date]])),
        Games[Date]
    )
    - 1,
Games[[#This Row],[Date]]-$A$2)</f>
        <v>3</v>
      </c>
      <c r="J436" s="2" cm="1">
        <f t="array" ref="J436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436" s="2">
        <f>Games[[#This Row],[DaysOff]]-Games[[#This Row],[OppDaysOff]]</f>
        <v>0</v>
      </c>
      <c r="L436" s="2">
        <f>Games[[#This Row],[OppDaysOff]]-Games[[#This Row],[DaysOff]]</f>
        <v>0</v>
      </c>
      <c r="M436" s="1">
        <f>MAX(-16, MIN(16, Games[[#This Row],[RestDiff]]*8))</f>
        <v>0</v>
      </c>
      <c r="N436" s="1">
        <f>MAX(-16, MIN(16, Games[[#This Row],[OppRestDiff]]*8))</f>
        <v>0</v>
      </c>
      <c r="O436" s="4" cm="1">
        <f t="array" ref="O43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1511.9682916859197</v>
      </c>
      <c r="P436" s="4" cm="1">
        <f t="array" ref="P43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1362.7052349510509</v>
      </c>
      <c r="Q436" s="4">
        <f>1/(1+10^(((Games[[#This Row],[OppPreGmRate]]+IF(Games[[#This Row],[HomeAway]]="A",HCA,0)+Games[[#This Row],[OppRestAdj]])-(Games[[#This Row],[PreGmRate]]+IF(Games[[#This Row],[HomeAway]]="H",HCA,0)+Games[[#This Row],[RestAdj]]))/400))</f>
        <v>0.59283180133213409</v>
      </c>
      <c r="R436" s="1">
        <v>69</v>
      </c>
      <c r="S436" s="1">
        <v>66</v>
      </c>
      <c r="T436" s="1">
        <v>0</v>
      </c>
      <c r="U436" s="1">
        <f>Games[[#This Row],[PointsFor]]-Games[[#This Row],[PointsAgainst]]</f>
        <v>3</v>
      </c>
      <c r="V436" s="1">
        <f>IF(Games[[#This Row],[MOV]]&gt;0,1,IF(Games[[#This Row],[MOV]]=0,0.5,0))</f>
        <v>1</v>
      </c>
      <c r="W436" s="4">
        <f>((ABS(Games[[#This Row],[MOV]])+5)^0.6)/(12+0.01*(ABS(Games[[#This Row],[PreGmRate]]-Games[[#This Row],[OppPreGmRate]])))*IF(Games[[#This Row],[OT]]=1,0.9,1)</f>
        <v>0.25808179033754958</v>
      </c>
      <c r="X436" s="7" cm="1">
        <f t="array" ref="X43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36" s="9">
        <f>MAX(kmin, kmax - 0.15 * MIN(Games[[#This Row],[GamesPlayed]], 82))</f>
        <v>71.2</v>
      </c>
      <c r="Z436" s="4">
        <f>Games[[#This Row],[K]]*Games[[#This Row],[POMult]]</f>
        <v>71.2</v>
      </c>
      <c r="AA436" s="4">
        <f>(Games[[#This Row],[Keff]]*Games[[#This Row],[MOVMult]])*(Games[[#This Row],[Result]]-Games[[#This Row],[ExpectedWin%]])</f>
        <v>7.4818880748671157</v>
      </c>
      <c r="AB436" s="4">
        <f>Games[[#This Row],[PreGmRate]]+Games[[#This Row],[RatingChange]]</f>
        <v>1519.4501797607868</v>
      </c>
      <c r="AC436" s="2">
        <f>IF(Games[[#This Row],[Type]]="R",IF(Games[[#This Row],[Result]]&gt;0.5,1,0),0)</f>
        <v>1</v>
      </c>
      <c r="AD436" s="2">
        <f>IF(Games[[#This Row],[Type]]="R",IF(Games[[#This Row],[Result]]&lt;0.5,1,0),0)</f>
        <v>0</v>
      </c>
      <c r="AE436" s="2">
        <f>IF(AND(Games[[#This Row],[Type]]="P",Games[[#This Row],[Round]]=1),IF(Games[[#This Row],[Result]]&gt;0.5,1,0),0)</f>
        <v>0</v>
      </c>
      <c r="AF436" s="2">
        <f>IF(AND(Games[[#This Row],[Type]]="P",Games[[#This Row],[Round]]=1),IF(Games[[#This Row],[Result]]&lt;0.5,1,0),0)</f>
        <v>0</v>
      </c>
      <c r="AG436" s="2">
        <f>IF(AND(Games[[#This Row],[Type]]="P",Games[[#This Row],[Round]]=2),IF(Games[[#This Row],[Result]]&gt;0.5,1,0),0)</f>
        <v>0</v>
      </c>
      <c r="AH436" s="2">
        <f>IF(AND(Games[[#This Row],[Type]]="P",Games[[#This Row],[Round]]=2),IF(Games[[#This Row],[Result]]&lt;0.5,1,0),0)</f>
        <v>0</v>
      </c>
      <c r="AI436" s="2">
        <f>IF(AND(Games[[#This Row],[Type]]="P",Games[[#This Row],[Round]]=3),IF(Games[[#This Row],[Result]]&gt;0.5,1,0),0)</f>
        <v>0</v>
      </c>
      <c r="AJ436" s="2">
        <f>IF(AND(Games[[#This Row],[Type]]="P",Games[[#This Row],[Round]]=3),IF(Games[[#This Row],[Result]]&lt;0.5,1,0),0)</f>
        <v>0</v>
      </c>
      <c r="AK436" s="2">
        <f>IF(AND(Games[[#This Row],[Type]]="P",Games[[#This Row],[Round]]=4),IF(Games[[#This Row],[Result]]&gt;0.5,1,0),0)</f>
        <v>0</v>
      </c>
      <c r="AL436" s="2">
        <f>IF(AND(Games[[#This Row],[Type]]="P",Games[[#This Row],[Round]]=4),IF(Games[[#This Row],[Result]]&lt;0.5,1,0),0)</f>
        <v>0</v>
      </c>
    </row>
    <row r="437" spans="1:38" x14ac:dyDescent="0.35">
      <c r="A437" s="10">
        <v>37853</v>
      </c>
      <c r="B437" s="2">
        <v>2003</v>
      </c>
      <c r="C437" s="2">
        <f>COUNTIFS(Games[Team],Games[[#This Row],[Team]],Games[Season],Games[[#This Row],[Season]],Games[Date],"&lt;=" &amp; Games[[#This Row],[Date]])</f>
        <v>32</v>
      </c>
      <c r="D437" s="2" t="s">
        <v>23</v>
      </c>
      <c r="E437" s="2" t="s">
        <v>29</v>
      </c>
      <c r="F437" s="1" t="s">
        <v>44</v>
      </c>
      <c r="G437" s="1" t="s">
        <v>78</v>
      </c>
      <c r="H437" s="1" t="s">
        <v>15</v>
      </c>
      <c r="I437" s="2" cm="1">
        <f t="array" ref="I437">IFERROR(
    Games[[#This Row],[Date]]
    - LOOKUP(
        2,
        1/((Games[Team]=Games[[#This Row],[Team]]) * (Games[Date] &lt; Games[[#This Row],[Date]])),
        Games[Date]
    )
    - 1,
Games[[#This Row],[Date]]-$A$2)</f>
        <v>3</v>
      </c>
      <c r="J437" s="2" cm="1">
        <f t="array" ref="J437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437" s="2">
        <f>Games[[#This Row],[DaysOff]]-Games[[#This Row],[OppDaysOff]]</f>
        <v>0</v>
      </c>
      <c r="L437" s="2">
        <f>Games[[#This Row],[OppDaysOff]]-Games[[#This Row],[DaysOff]]</f>
        <v>0</v>
      </c>
      <c r="M437" s="1">
        <f>MAX(-16, MIN(16, Games[[#This Row],[RestDiff]]*8))</f>
        <v>0</v>
      </c>
      <c r="N437" s="1">
        <f>MAX(-16, MIN(16, Games[[#This Row],[OppRestDiff]]*8))</f>
        <v>0</v>
      </c>
      <c r="O437" s="4" cm="1">
        <f t="array" ref="O43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1362.7052349510509</v>
      </c>
      <c r="P437" s="4" cm="1">
        <f t="array" ref="P43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1511.9682916859197</v>
      </c>
      <c r="Q437" s="4">
        <f>1/(1+10^(((Games[[#This Row],[OppPreGmRate]]+IF(Games[[#This Row],[HomeAway]]="A",HCA,0)+Games[[#This Row],[OppRestAdj]])-(Games[[#This Row],[PreGmRate]]+IF(Games[[#This Row],[HomeAway]]="H",HCA,0)+Games[[#This Row],[RestAdj]]))/400))</f>
        <v>0.40716819866786602</v>
      </c>
      <c r="R437" s="1">
        <v>66</v>
      </c>
      <c r="S437" s="1">
        <v>69</v>
      </c>
      <c r="T437" s="1">
        <v>0</v>
      </c>
      <c r="U437" s="1">
        <f>Games[[#This Row],[PointsFor]]-Games[[#This Row],[PointsAgainst]]</f>
        <v>-3</v>
      </c>
      <c r="V437" s="1">
        <f>IF(Games[[#This Row],[MOV]]&gt;0,1,IF(Games[[#This Row],[MOV]]=0,0.5,0))</f>
        <v>0</v>
      </c>
      <c r="W437" s="4">
        <f>((ABS(Games[[#This Row],[MOV]])+5)^0.6)/(12+0.01*(ABS(Games[[#This Row],[PreGmRate]]-Games[[#This Row],[OppPreGmRate]])))*IF(Games[[#This Row],[OT]]=1,0.9,1)</f>
        <v>0.25808179033754958</v>
      </c>
      <c r="X437" s="7" cm="1">
        <f t="array" ref="X43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37" s="9">
        <f>MAX(kmin, kmax - 0.15 * MIN(Games[[#This Row],[GamesPlayed]], 82))</f>
        <v>71.2</v>
      </c>
      <c r="Z437" s="4">
        <f>Games[[#This Row],[K]]*Games[[#This Row],[POMult]]</f>
        <v>71.2</v>
      </c>
      <c r="AA437" s="4">
        <f>(Games[[#This Row],[Keff]]*Games[[#This Row],[MOVMult]])*(Games[[#This Row],[Result]]-Games[[#This Row],[ExpectedWin%]])</f>
        <v>-7.4818880748671175</v>
      </c>
      <c r="AB437" s="4">
        <f>Games[[#This Row],[PreGmRate]]+Games[[#This Row],[RatingChange]]</f>
        <v>1355.2233468761838</v>
      </c>
      <c r="AC437" s="2">
        <f>IF(Games[[#This Row],[Type]]="R",IF(Games[[#This Row],[Result]]&gt;0.5,1,0),0)</f>
        <v>0</v>
      </c>
      <c r="AD437" s="2">
        <f>IF(Games[[#This Row],[Type]]="R",IF(Games[[#This Row],[Result]]&lt;0.5,1,0),0)</f>
        <v>1</v>
      </c>
      <c r="AE437" s="2">
        <f>IF(AND(Games[[#This Row],[Type]]="P",Games[[#This Row],[Round]]=1),IF(Games[[#This Row],[Result]]&gt;0.5,1,0),0)</f>
        <v>0</v>
      </c>
      <c r="AF437" s="2">
        <f>IF(AND(Games[[#This Row],[Type]]="P",Games[[#This Row],[Round]]=1),IF(Games[[#This Row],[Result]]&lt;0.5,1,0),0)</f>
        <v>0</v>
      </c>
      <c r="AG437" s="2">
        <f>IF(AND(Games[[#This Row],[Type]]="P",Games[[#This Row],[Round]]=2),IF(Games[[#This Row],[Result]]&gt;0.5,1,0),0)</f>
        <v>0</v>
      </c>
      <c r="AH437" s="2">
        <f>IF(AND(Games[[#This Row],[Type]]="P",Games[[#This Row],[Round]]=2),IF(Games[[#This Row],[Result]]&lt;0.5,1,0),0)</f>
        <v>0</v>
      </c>
      <c r="AI437" s="2">
        <f>IF(AND(Games[[#This Row],[Type]]="P",Games[[#This Row],[Round]]=3),IF(Games[[#This Row],[Result]]&gt;0.5,1,0),0)</f>
        <v>0</v>
      </c>
      <c r="AJ437" s="2">
        <f>IF(AND(Games[[#This Row],[Type]]="P",Games[[#This Row],[Round]]=3),IF(Games[[#This Row],[Result]]&lt;0.5,1,0),0)</f>
        <v>0</v>
      </c>
      <c r="AK437" s="2">
        <f>IF(AND(Games[[#This Row],[Type]]="P",Games[[#This Row],[Round]]=4),IF(Games[[#This Row],[Result]]&gt;0.5,1,0),0)</f>
        <v>0</v>
      </c>
      <c r="AL437" s="2">
        <f>IF(AND(Games[[#This Row],[Type]]="P",Games[[#This Row],[Round]]=4),IF(Games[[#This Row],[Result]]&lt;0.5,1,0),0)</f>
        <v>0</v>
      </c>
    </row>
    <row r="438" spans="1:38" x14ac:dyDescent="0.35">
      <c r="A438" s="10">
        <v>37853</v>
      </c>
      <c r="B438" s="2">
        <v>2003</v>
      </c>
      <c r="C438" s="2">
        <f>COUNTIFS(Games[Team],Games[[#This Row],[Team]],Games[Season],Games[[#This Row],[Season]],Games[Date],"&lt;=" &amp; Games[[#This Row],[Date]])</f>
        <v>32</v>
      </c>
      <c r="D438" s="2" t="s">
        <v>23</v>
      </c>
      <c r="E438" s="2" t="s">
        <v>29</v>
      </c>
      <c r="F438" s="1" t="s">
        <v>82</v>
      </c>
      <c r="G438" s="1" t="s">
        <v>85</v>
      </c>
      <c r="H438" s="1" t="s">
        <v>16</v>
      </c>
      <c r="I438" s="2" cm="1">
        <f t="array" ref="I438">IFERROR(
    Games[[#This Row],[Date]]
    - LOOKUP(
        2,
        1/((Games[Team]=Games[[#This Row],[Team]]) * (Games[Date] &lt; Games[[#This Row],[Date]])),
        Games[Date]
    )
    - 1,
Games[[#This Row],[Date]]-$A$2)</f>
        <v>0</v>
      </c>
      <c r="J438" s="2" cm="1">
        <f t="array" ref="J438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438" s="2">
        <f>Games[[#This Row],[DaysOff]]-Games[[#This Row],[OppDaysOff]]</f>
        <v>-3</v>
      </c>
      <c r="L438" s="2">
        <f>Games[[#This Row],[OppDaysOff]]-Games[[#This Row],[DaysOff]]</f>
        <v>3</v>
      </c>
      <c r="M438" s="1">
        <f>MAX(-16, MIN(16, Games[[#This Row],[RestDiff]]*8))</f>
        <v>-16</v>
      </c>
      <c r="N438" s="1">
        <f>MAX(-16, MIN(16, Games[[#This Row],[OppRestDiff]]*8))</f>
        <v>16</v>
      </c>
      <c r="O438" s="4" cm="1">
        <f t="array" ref="O43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1520.2797829840767</v>
      </c>
      <c r="P438" s="4" cm="1">
        <f t="array" ref="P43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1421.9352656170647</v>
      </c>
      <c r="Q438" s="4">
        <f>1/(1+10^(((Games[[#This Row],[OppPreGmRate]]+IF(Games[[#This Row],[HomeAway]]="A",HCA,0)+Games[[#This Row],[OppRestAdj]])-(Games[[#This Row],[PreGmRate]]+IF(Games[[#This Row],[HomeAway]]="H",HCA,0)+Games[[#This Row],[RestAdj]]))/400))</f>
        <v>0.47461356628076012</v>
      </c>
      <c r="R438" s="1">
        <v>70</v>
      </c>
      <c r="S438" s="1">
        <v>78</v>
      </c>
      <c r="T438" s="1">
        <v>1</v>
      </c>
      <c r="U438" s="1">
        <f>Games[[#This Row],[PointsFor]]-Games[[#This Row],[PointsAgainst]]</f>
        <v>-8</v>
      </c>
      <c r="V438" s="1">
        <f>IF(Games[[#This Row],[MOV]]&gt;0,1,IF(Games[[#This Row],[MOV]]=0,0.5,0))</f>
        <v>0</v>
      </c>
      <c r="W438" s="4">
        <f>((ABS(Games[[#This Row],[MOV]])+5)^0.6)/(12+0.01*(ABS(Games[[#This Row],[PreGmRate]]-Games[[#This Row],[OppPreGmRate]])))*IF(Games[[#This Row],[OT]]=1,0.9,1)</f>
        <v>0.32301193727357708</v>
      </c>
      <c r="X438" s="7" cm="1">
        <f t="array" ref="X43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38" s="9">
        <f>MAX(kmin, kmax - 0.15 * MIN(Games[[#This Row],[GamesPlayed]], 82))</f>
        <v>71.2</v>
      </c>
      <c r="Z438" s="4">
        <f>Games[[#This Row],[K]]*Games[[#This Row],[POMult]]</f>
        <v>71.2</v>
      </c>
      <c r="AA438" s="4">
        <f>(Games[[#This Row],[Keff]]*Games[[#This Row],[MOVMult]])*(Games[[#This Row],[Result]]-Games[[#This Row],[ExpectedWin%]])</f>
        <v>-10.915376342047676</v>
      </c>
      <c r="AB438" s="4">
        <f>Games[[#This Row],[PreGmRate]]+Games[[#This Row],[RatingChange]]</f>
        <v>1509.3644066420291</v>
      </c>
      <c r="AC438" s="2">
        <f>IF(Games[[#This Row],[Type]]="R",IF(Games[[#This Row],[Result]]&gt;0.5,1,0),0)</f>
        <v>0</v>
      </c>
      <c r="AD438" s="2">
        <f>IF(Games[[#This Row],[Type]]="R",IF(Games[[#This Row],[Result]]&lt;0.5,1,0),0)</f>
        <v>1</v>
      </c>
      <c r="AE438" s="2">
        <f>IF(AND(Games[[#This Row],[Type]]="P",Games[[#This Row],[Round]]=1),IF(Games[[#This Row],[Result]]&gt;0.5,1,0),0)</f>
        <v>0</v>
      </c>
      <c r="AF438" s="2">
        <f>IF(AND(Games[[#This Row],[Type]]="P",Games[[#This Row],[Round]]=1),IF(Games[[#This Row],[Result]]&lt;0.5,1,0),0)</f>
        <v>0</v>
      </c>
      <c r="AG438" s="2">
        <f>IF(AND(Games[[#This Row],[Type]]="P",Games[[#This Row],[Round]]=2),IF(Games[[#This Row],[Result]]&gt;0.5,1,0),0)</f>
        <v>0</v>
      </c>
      <c r="AH438" s="2">
        <f>IF(AND(Games[[#This Row],[Type]]="P",Games[[#This Row],[Round]]=2),IF(Games[[#This Row],[Result]]&lt;0.5,1,0),0)</f>
        <v>0</v>
      </c>
      <c r="AI438" s="2">
        <f>IF(AND(Games[[#This Row],[Type]]="P",Games[[#This Row],[Round]]=3),IF(Games[[#This Row],[Result]]&gt;0.5,1,0),0)</f>
        <v>0</v>
      </c>
      <c r="AJ438" s="2">
        <f>IF(AND(Games[[#This Row],[Type]]="P",Games[[#This Row],[Round]]=3),IF(Games[[#This Row],[Result]]&lt;0.5,1,0),0)</f>
        <v>0</v>
      </c>
      <c r="AK438" s="2">
        <f>IF(AND(Games[[#This Row],[Type]]="P",Games[[#This Row],[Round]]=4),IF(Games[[#This Row],[Result]]&gt;0.5,1,0),0)</f>
        <v>0</v>
      </c>
      <c r="AL438" s="2">
        <f>IF(AND(Games[[#This Row],[Type]]="P",Games[[#This Row],[Round]]=4),IF(Games[[#This Row],[Result]]&lt;0.5,1,0),0)</f>
        <v>0</v>
      </c>
    </row>
    <row r="439" spans="1:38" x14ac:dyDescent="0.35">
      <c r="A439" s="10">
        <v>37853</v>
      </c>
      <c r="B439" s="2">
        <v>2003</v>
      </c>
      <c r="C439" s="2">
        <f>COUNTIFS(Games[Team],Games[[#This Row],[Team]],Games[Season],Games[[#This Row],[Season]],Games[Date],"&lt;=" &amp; Games[[#This Row],[Date]])</f>
        <v>32</v>
      </c>
      <c r="D439" s="2" t="s">
        <v>23</v>
      </c>
      <c r="E439" s="2" t="s">
        <v>29</v>
      </c>
      <c r="F439" s="1" t="s">
        <v>85</v>
      </c>
      <c r="G439" s="1" t="s">
        <v>82</v>
      </c>
      <c r="H439" s="1" t="s">
        <v>15</v>
      </c>
      <c r="I439" s="2" cm="1">
        <f t="array" ref="I439">IFERROR(
    Games[[#This Row],[Date]]
    - LOOKUP(
        2,
        1/((Games[Team]=Games[[#This Row],[Team]]) * (Games[Date] &lt; Games[[#This Row],[Date]])),
        Games[Date]
    )
    - 1,
Games[[#This Row],[Date]]-$A$2)</f>
        <v>3</v>
      </c>
      <c r="J439" s="2" cm="1">
        <f t="array" ref="J439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439" s="2">
        <f>Games[[#This Row],[DaysOff]]-Games[[#This Row],[OppDaysOff]]</f>
        <v>3</v>
      </c>
      <c r="L439" s="2">
        <f>Games[[#This Row],[OppDaysOff]]-Games[[#This Row],[DaysOff]]</f>
        <v>-3</v>
      </c>
      <c r="M439" s="1">
        <f>MAX(-16, MIN(16, Games[[#This Row],[RestDiff]]*8))</f>
        <v>16</v>
      </c>
      <c r="N439" s="1">
        <f>MAX(-16, MIN(16, Games[[#This Row],[OppRestDiff]]*8))</f>
        <v>-16</v>
      </c>
      <c r="O439" s="4" cm="1">
        <f t="array" ref="O43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1421.9352656170647</v>
      </c>
      <c r="P439" s="4" cm="1">
        <f t="array" ref="P43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1520.2797829840767</v>
      </c>
      <c r="Q439" s="4">
        <f>1/(1+10^(((Games[[#This Row],[OppPreGmRate]]+IF(Games[[#This Row],[HomeAway]]="A",HCA,0)+Games[[#This Row],[OppRestAdj]])-(Games[[#This Row],[PreGmRate]]+IF(Games[[#This Row],[HomeAway]]="H",HCA,0)+Games[[#This Row],[RestAdj]]))/400))</f>
        <v>0.52538643371923988</v>
      </c>
      <c r="R439" s="1">
        <v>78</v>
      </c>
      <c r="S439" s="1">
        <v>70</v>
      </c>
      <c r="T439" s="1">
        <v>1</v>
      </c>
      <c r="U439" s="1">
        <f>Games[[#This Row],[PointsFor]]-Games[[#This Row],[PointsAgainst]]</f>
        <v>8</v>
      </c>
      <c r="V439" s="1">
        <f>IF(Games[[#This Row],[MOV]]&gt;0,1,IF(Games[[#This Row],[MOV]]=0,0.5,0))</f>
        <v>1</v>
      </c>
      <c r="W439" s="4">
        <f>((ABS(Games[[#This Row],[MOV]])+5)^0.6)/(12+0.01*(ABS(Games[[#This Row],[PreGmRate]]-Games[[#This Row],[OppPreGmRate]])))*IF(Games[[#This Row],[OT]]=1,0.9,1)</f>
        <v>0.32301193727357708</v>
      </c>
      <c r="X439" s="7" cm="1">
        <f t="array" ref="X43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39" s="9">
        <f>MAX(kmin, kmax - 0.15 * MIN(Games[[#This Row],[GamesPlayed]], 82))</f>
        <v>71.2</v>
      </c>
      <c r="Z439" s="4">
        <f>Games[[#This Row],[K]]*Games[[#This Row],[POMult]]</f>
        <v>71.2</v>
      </c>
      <c r="AA439" s="4">
        <f>(Games[[#This Row],[Keff]]*Games[[#This Row],[MOVMult]])*(Games[[#This Row],[Result]]-Games[[#This Row],[ExpectedWin%]])</f>
        <v>10.915376342047676</v>
      </c>
      <c r="AB439" s="4">
        <f>Games[[#This Row],[PreGmRate]]+Games[[#This Row],[RatingChange]]</f>
        <v>1432.8506419591124</v>
      </c>
      <c r="AC439" s="2">
        <f>IF(Games[[#This Row],[Type]]="R",IF(Games[[#This Row],[Result]]&gt;0.5,1,0),0)</f>
        <v>1</v>
      </c>
      <c r="AD439" s="2">
        <f>IF(Games[[#This Row],[Type]]="R",IF(Games[[#This Row],[Result]]&lt;0.5,1,0),0)</f>
        <v>0</v>
      </c>
      <c r="AE439" s="2">
        <f>IF(AND(Games[[#This Row],[Type]]="P",Games[[#This Row],[Round]]=1),IF(Games[[#This Row],[Result]]&gt;0.5,1,0),0)</f>
        <v>0</v>
      </c>
      <c r="AF439" s="2">
        <f>IF(AND(Games[[#This Row],[Type]]="P",Games[[#This Row],[Round]]=1),IF(Games[[#This Row],[Result]]&lt;0.5,1,0),0)</f>
        <v>0</v>
      </c>
      <c r="AG439" s="2">
        <f>IF(AND(Games[[#This Row],[Type]]="P",Games[[#This Row],[Round]]=2),IF(Games[[#This Row],[Result]]&gt;0.5,1,0),0)</f>
        <v>0</v>
      </c>
      <c r="AH439" s="2">
        <f>IF(AND(Games[[#This Row],[Type]]="P",Games[[#This Row],[Round]]=2),IF(Games[[#This Row],[Result]]&lt;0.5,1,0),0)</f>
        <v>0</v>
      </c>
      <c r="AI439" s="2">
        <f>IF(AND(Games[[#This Row],[Type]]="P",Games[[#This Row],[Round]]=3),IF(Games[[#This Row],[Result]]&gt;0.5,1,0),0)</f>
        <v>0</v>
      </c>
      <c r="AJ439" s="2">
        <f>IF(AND(Games[[#This Row],[Type]]="P",Games[[#This Row],[Round]]=3),IF(Games[[#This Row],[Result]]&lt;0.5,1,0),0)</f>
        <v>0</v>
      </c>
      <c r="AK439" s="2">
        <f>IF(AND(Games[[#This Row],[Type]]="P",Games[[#This Row],[Round]]=4),IF(Games[[#This Row],[Result]]&gt;0.5,1,0),0)</f>
        <v>0</v>
      </c>
      <c r="AL439" s="2">
        <f>IF(AND(Games[[#This Row],[Type]]="P",Games[[#This Row],[Round]]=4),IF(Games[[#This Row],[Result]]&lt;0.5,1,0),0)</f>
        <v>0</v>
      </c>
    </row>
    <row r="440" spans="1:38" x14ac:dyDescent="0.35">
      <c r="A440" s="10">
        <v>37854</v>
      </c>
      <c r="B440" s="2">
        <v>2003</v>
      </c>
      <c r="C440" s="2">
        <f>COUNTIFS(Games[Team],Games[[#This Row],[Team]],Games[Season],Games[[#This Row],[Season]],Games[Date],"&lt;=" &amp; Games[[#This Row],[Date]])</f>
        <v>32</v>
      </c>
      <c r="D440" s="2" t="s">
        <v>23</v>
      </c>
      <c r="E440" s="2" t="s">
        <v>29</v>
      </c>
      <c r="F440" s="1" t="s">
        <v>1</v>
      </c>
      <c r="G440" s="1" t="s">
        <v>76</v>
      </c>
      <c r="H440" s="1" t="s">
        <v>16</v>
      </c>
      <c r="I440" s="2" cm="1">
        <f t="array" ref="I440">IFERROR(
    Games[[#This Row],[Date]]
    - LOOKUP(
        2,
        1/((Games[Team]=Games[[#This Row],[Team]]) * (Games[Date] &lt; Games[[#This Row],[Date]])),
        Games[Date]
    )
    - 1,
Games[[#This Row],[Date]]-$A$2)</f>
        <v>1</v>
      </c>
      <c r="J440" s="2" cm="1">
        <f t="array" ref="J440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440" s="2">
        <f>Games[[#This Row],[DaysOff]]-Games[[#This Row],[OppDaysOff]]</f>
        <v>-2</v>
      </c>
      <c r="L440" s="2">
        <f>Games[[#This Row],[OppDaysOff]]-Games[[#This Row],[DaysOff]]</f>
        <v>2</v>
      </c>
      <c r="M440" s="1">
        <f>MAX(-16, MIN(16, Games[[#This Row],[RestDiff]]*8))</f>
        <v>-16</v>
      </c>
      <c r="N440" s="1">
        <f>MAX(-16, MIN(16, Games[[#This Row],[OppRestDiff]]*8))</f>
        <v>16</v>
      </c>
      <c r="O440" s="4" cm="1">
        <f t="array" ref="O44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1480.6812846800501</v>
      </c>
      <c r="P440" s="4" cm="1">
        <f t="array" ref="P44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1589.8731457554634</v>
      </c>
      <c r="Q440" s="4">
        <f>1/(1+10^(((Games[[#This Row],[OppPreGmRate]]+IF(Games[[#This Row],[HomeAway]]="A",HCA,0)+Games[[#This Row],[OppRestAdj]])-(Games[[#This Row],[PreGmRate]]+IF(Games[[#This Row],[HomeAway]]="H",HCA,0)+Games[[#This Row],[RestAdj]]))/400))</f>
        <v>0.21478693645626173</v>
      </c>
      <c r="R440" s="1">
        <v>56</v>
      </c>
      <c r="S440" s="1">
        <v>71</v>
      </c>
      <c r="T440" s="1">
        <v>0</v>
      </c>
      <c r="U440" s="1">
        <f>Games[[#This Row],[PointsFor]]-Games[[#This Row],[PointsAgainst]]</f>
        <v>-15</v>
      </c>
      <c r="V440" s="1">
        <f>IF(Games[[#This Row],[MOV]]&gt;0,1,IF(Games[[#This Row],[MOV]]=0,0.5,0))</f>
        <v>0</v>
      </c>
      <c r="W440" s="4">
        <f>((ABS(Games[[#This Row],[MOV]])+5)^0.6)/(12+0.01*(ABS(Games[[#This Row],[PreGmRate]]-Games[[#This Row],[OppPreGmRate]])))*IF(Games[[#This Row],[OT]]=1,0.9,1)</f>
        <v>0.46090848224403796</v>
      </c>
      <c r="X440" s="7" cm="1">
        <f t="array" ref="X44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40" s="9">
        <f>MAX(kmin, kmax - 0.15 * MIN(Games[[#This Row],[GamesPlayed]], 82))</f>
        <v>71.2</v>
      </c>
      <c r="Z440" s="4">
        <f>Games[[#This Row],[K]]*Games[[#This Row],[POMult]]</f>
        <v>71.2</v>
      </c>
      <c r="AA440" s="4">
        <f>(Games[[#This Row],[Keff]]*Games[[#This Row],[MOVMult]])*(Games[[#This Row],[Result]]-Games[[#This Row],[ExpectedWin%]])</f>
        <v>-7.0485950072186379</v>
      </c>
      <c r="AB440" s="4">
        <f>Games[[#This Row],[PreGmRate]]+Games[[#This Row],[RatingChange]]</f>
        <v>1473.6326896728315</v>
      </c>
      <c r="AC440" s="2">
        <f>IF(Games[[#This Row],[Type]]="R",IF(Games[[#This Row],[Result]]&gt;0.5,1,0),0)</f>
        <v>0</v>
      </c>
      <c r="AD440" s="2">
        <f>IF(Games[[#This Row],[Type]]="R",IF(Games[[#This Row],[Result]]&lt;0.5,1,0),0)</f>
        <v>1</v>
      </c>
      <c r="AE440" s="2">
        <f>IF(AND(Games[[#This Row],[Type]]="P",Games[[#This Row],[Round]]=1),IF(Games[[#This Row],[Result]]&gt;0.5,1,0),0)</f>
        <v>0</v>
      </c>
      <c r="AF440" s="2">
        <f>IF(AND(Games[[#This Row],[Type]]="P",Games[[#This Row],[Round]]=1),IF(Games[[#This Row],[Result]]&lt;0.5,1,0),0)</f>
        <v>0</v>
      </c>
      <c r="AG440" s="2">
        <f>IF(AND(Games[[#This Row],[Type]]="P",Games[[#This Row],[Round]]=2),IF(Games[[#This Row],[Result]]&gt;0.5,1,0),0)</f>
        <v>0</v>
      </c>
      <c r="AH440" s="2">
        <f>IF(AND(Games[[#This Row],[Type]]="P",Games[[#This Row],[Round]]=2),IF(Games[[#This Row],[Result]]&lt;0.5,1,0),0)</f>
        <v>0</v>
      </c>
      <c r="AI440" s="2">
        <f>IF(AND(Games[[#This Row],[Type]]="P",Games[[#This Row],[Round]]=3),IF(Games[[#This Row],[Result]]&gt;0.5,1,0),0)</f>
        <v>0</v>
      </c>
      <c r="AJ440" s="2">
        <f>IF(AND(Games[[#This Row],[Type]]="P",Games[[#This Row],[Round]]=3),IF(Games[[#This Row],[Result]]&lt;0.5,1,0),0)</f>
        <v>0</v>
      </c>
      <c r="AK440" s="2">
        <f>IF(AND(Games[[#This Row],[Type]]="P",Games[[#This Row],[Round]]=4),IF(Games[[#This Row],[Result]]&gt;0.5,1,0),0)</f>
        <v>0</v>
      </c>
      <c r="AL440" s="2">
        <f>IF(AND(Games[[#This Row],[Type]]="P",Games[[#This Row],[Round]]=4),IF(Games[[#This Row],[Result]]&lt;0.5,1,0),0)</f>
        <v>0</v>
      </c>
    </row>
    <row r="441" spans="1:38" x14ac:dyDescent="0.35">
      <c r="A441" s="10">
        <v>37854</v>
      </c>
      <c r="B441" s="2">
        <v>2003</v>
      </c>
      <c r="C441" s="2">
        <f>COUNTIFS(Games[Team],Games[[#This Row],[Team]],Games[Season],Games[[#This Row],[Season]],Games[Date],"&lt;=" &amp; Games[[#This Row],[Date]])</f>
        <v>32</v>
      </c>
      <c r="D441" s="2" t="s">
        <v>23</v>
      </c>
      <c r="E441" s="2" t="s">
        <v>29</v>
      </c>
      <c r="F441" s="1" t="s">
        <v>76</v>
      </c>
      <c r="G441" s="1" t="s">
        <v>1</v>
      </c>
      <c r="H441" s="1" t="s">
        <v>15</v>
      </c>
      <c r="I441" s="2" cm="1">
        <f t="array" ref="I441">IFERROR(
    Games[[#This Row],[Date]]
    - LOOKUP(
        2,
        1/((Games[Team]=Games[[#This Row],[Team]]) * (Games[Date] &lt; Games[[#This Row],[Date]])),
        Games[Date]
    )
    - 1,
Games[[#This Row],[Date]]-$A$2)</f>
        <v>3</v>
      </c>
      <c r="J441" s="2" cm="1">
        <f t="array" ref="J44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41" s="2">
        <f>Games[[#This Row],[DaysOff]]-Games[[#This Row],[OppDaysOff]]</f>
        <v>2</v>
      </c>
      <c r="L441" s="2">
        <f>Games[[#This Row],[OppDaysOff]]-Games[[#This Row],[DaysOff]]</f>
        <v>-2</v>
      </c>
      <c r="M441" s="1">
        <f>MAX(-16, MIN(16, Games[[#This Row],[RestDiff]]*8))</f>
        <v>16</v>
      </c>
      <c r="N441" s="1">
        <f>MAX(-16, MIN(16, Games[[#This Row],[OppRestDiff]]*8))</f>
        <v>-16</v>
      </c>
      <c r="O441" s="4" cm="1">
        <f t="array" ref="O44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1589.8731457554634</v>
      </c>
      <c r="P441" s="4" cm="1">
        <f t="array" ref="P44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1480.6812846800501</v>
      </c>
      <c r="Q441" s="4">
        <f>1/(1+10^(((Games[[#This Row],[OppPreGmRate]]+IF(Games[[#This Row],[HomeAway]]="A",HCA,0)+Games[[#This Row],[OppRestAdj]])-(Games[[#This Row],[PreGmRate]]+IF(Games[[#This Row],[HomeAway]]="H",HCA,0)+Games[[#This Row],[RestAdj]]))/400))</f>
        <v>0.78521306354373832</v>
      </c>
      <c r="R441" s="1">
        <v>71</v>
      </c>
      <c r="S441" s="1">
        <v>56</v>
      </c>
      <c r="T441" s="1">
        <v>0</v>
      </c>
      <c r="U441" s="1">
        <f>Games[[#This Row],[PointsFor]]-Games[[#This Row],[PointsAgainst]]</f>
        <v>15</v>
      </c>
      <c r="V441" s="1">
        <f>IF(Games[[#This Row],[MOV]]&gt;0,1,IF(Games[[#This Row],[MOV]]=0,0.5,0))</f>
        <v>1</v>
      </c>
      <c r="W441" s="4">
        <f>((ABS(Games[[#This Row],[MOV]])+5)^0.6)/(12+0.01*(ABS(Games[[#This Row],[PreGmRate]]-Games[[#This Row],[OppPreGmRate]])))*IF(Games[[#This Row],[OT]]=1,0.9,1)</f>
        <v>0.46090848224403796</v>
      </c>
      <c r="X441" s="7" cm="1">
        <f t="array" ref="X44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41" s="9">
        <f>MAX(kmin, kmax - 0.15 * MIN(Games[[#This Row],[GamesPlayed]], 82))</f>
        <v>71.2</v>
      </c>
      <c r="Z441" s="4">
        <f>Games[[#This Row],[K]]*Games[[#This Row],[POMult]]</f>
        <v>71.2</v>
      </c>
      <c r="AA441" s="4">
        <f>(Games[[#This Row],[Keff]]*Games[[#This Row],[MOVMult]])*(Games[[#This Row],[Result]]-Games[[#This Row],[ExpectedWin%]])</f>
        <v>7.0485950072186361</v>
      </c>
      <c r="AB441" s="4">
        <f>Games[[#This Row],[PreGmRate]]+Games[[#This Row],[RatingChange]]</f>
        <v>1596.921740762682</v>
      </c>
      <c r="AC441" s="2">
        <f>IF(Games[[#This Row],[Type]]="R",IF(Games[[#This Row],[Result]]&gt;0.5,1,0),0)</f>
        <v>1</v>
      </c>
      <c r="AD441" s="2">
        <f>IF(Games[[#This Row],[Type]]="R",IF(Games[[#This Row],[Result]]&lt;0.5,1,0),0)</f>
        <v>0</v>
      </c>
      <c r="AE441" s="2">
        <f>IF(AND(Games[[#This Row],[Type]]="P",Games[[#This Row],[Round]]=1),IF(Games[[#This Row],[Result]]&gt;0.5,1,0),0)</f>
        <v>0</v>
      </c>
      <c r="AF441" s="2">
        <f>IF(AND(Games[[#This Row],[Type]]="P",Games[[#This Row],[Round]]=1),IF(Games[[#This Row],[Result]]&lt;0.5,1,0),0)</f>
        <v>0</v>
      </c>
      <c r="AG441" s="2">
        <f>IF(AND(Games[[#This Row],[Type]]="P",Games[[#This Row],[Round]]=2),IF(Games[[#This Row],[Result]]&gt;0.5,1,0),0)</f>
        <v>0</v>
      </c>
      <c r="AH441" s="2">
        <f>IF(AND(Games[[#This Row],[Type]]="P",Games[[#This Row],[Round]]=2),IF(Games[[#This Row],[Result]]&lt;0.5,1,0),0)</f>
        <v>0</v>
      </c>
      <c r="AI441" s="2">
        <f>IF(AND(Games[[#This Row],[Type]]="P",Games[[#This Row],[Round]]=3),IF(Games[[#This Row],[Result]]&gt;0.5,1,0),0)</f>
        <v>0</v>
      </c>
      <c r="AJ441" s="2">
        <f>IF(AND(Games[[#This Row],[Type]]="P",Games[[#This Row],[Round]]=3),IF(Games[[#This Row],[Result]]&lt;0.5,1,0),0)</f>
        <v>0</v>
      </c>
      <c r="AK441" s="2">
        <f>IF(AND(Games[[#This Row],[Type]]="P",Games[[#This Row],[Round]]=4),IF(Games[[#This Row],[Result]]&gt;0.5,1,0),0)</f>
        <v>0</v>
      </c>
      <c r="AL441" s="2">
        <f>IF(AND(Games[[#This Row],[Type]]="P",Games[[#This Row],[Round]]=4),IF(Games[[#This Row],[Result]]&lt;0.5,1,0),0)</f>
        <v>0</v>
      </c>
    </row>
    <row r="442" spans="1:38" x14ac:dyDescent="0.35">
      <c r="A442" s="10">
        <v>37854</v>
      </c>
      <c r="B442" s="2">
        <v>2003</v>
      </c>
      <c r="C442" s="2">
        <f>COUNTIFS(Games[Team],Games[[#This Row],[Team]],Games[Season],Games[[#This Row],[Season]],Games[Date],"&lt;=" &amp; Games[[#This Row],[Date]])</f>
        <v>33</v>
      </c>
      <c r="D442" s="2" t="s">
        <v>23</v>
      </c>
      <c r="E442" s="2" t="s">
        <v>29</v>
      </c>
      <c r="F442" s="1" t="s">
        <v>78</v>
      </c>
      <c r="G442" s="1" t="s">
        <v>71</v>
      </c>
      <c r="H442" s="1" t="s">
        <v>16</v>
      </c>
      <c r="I442" s="2" cm="1">
        <f t="array" ref="I442">IFERROR(
    Games[[#This Row],[Date]]
    - LOOKUP(
        2,
        1/((Games[Team]=Games[[#This Row],[Team]]) * (Games[Date] &lt; Games[[#This Row],[Date]])),
        Games[Date]
    )
    - 1,
Games[[#This Row],[Date]]-$A$2)</f>
        <v>0</v>
      </c>
      <c r="J442" s="2" cm="1">
        <f t="array" ref="J442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442" s="2">
        <f>Games[[#This Row],[DaysOff]]-Games[[#This Row],[OppDaysOff]]</f>
        <v>-4</v>
      </c>
      <c r="L442" s="2">
        <f>Games[[#This Row],[OppDaysOff]]-Games[[#This Row],[DaysOff]]</f>
        <v>4</v>
      </c>
      <c r="M442" s="1">
        <f>MAX(-16, MIN(16, Games[[#This Row],[RestDiff]]*8))</f>
        <v>-16</v>
      </c>
      <c r="N442" s="1">
        <f>MAX(-16, MIN(16, Games[[#This Row],[OppRestDiff]]*8))</f>
        <v>16</v>
      </c>
      <c r="O442" s="4" cm="1">
        <f t="array" ref="O44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1519.4501797607868</v>
      </c>
      <c r="P442" s="4" cm="1">
        <f t="array" ref="P44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1588.7528692799783</v>
      </c>
      <c r="Q442" s="4">
        <f>1/(1+10^(((Games[[#This Row],[OppPreGmRate]]+IF(Games[[#This Row],[HomeAway]]="A",HCA,0)+Games[[#This Row],[OppRestAdj]])-(Games[[#This Row],[PreGmRate]]+IF(Games[[#This Row],[HomeAway]]="H",HCA,0)+Games[[#This Row],[RestAdj]]))/400))</f>
        <v>0.25603344003639589</v>
      </c>
      <c r="R442" s="1">
        <v>65</v>
      </c>
      <c r="S442" s="1">
        <v>88</v>
      </c>
      <c r="T442" s="1">
        <v>0</v>
      </c>
      <c r="U442" s="1">
        <f>Games[[#This Row],[PointsFor]]-Games[[#This Row],[PointsAgainst]]</f>
        <v>-23</v>
      </c>
      <c r="V442" s="1">
        <f>IF(Games[[#This Row],[MOV]]&gt;0,1,IF(Games[[#This Row],[MOV]]=0,0.5,0))</f>
        <v>0</v>
      </c>
      <c r="W442" s="4">
        <f>((ABS(Games[[#This Row],[MOV]])+5)^0.6)/(12+0.01*(ABS(Games[[#This Row],[PreGmRate]]-Games[[#This Row],[OppPreGmRate]])))*IF(Games[[#This Row],[OT]]=1,0.9,1)</f>
        <v>0.5817409268659377</v>
      </c>
      <c r="X442" s="7" cm="1">
        <f t="array" ref="X44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42" s="9">
        <f>MAX(kmin, kmax - 0.15 * MIN(Games[[#This Row],[GamesPlayed]], 82))</f>
        <v>71.05</v>
      </c>
      <c r="Z442" s="4">
        <f>Games[[#This Row],[K]]*Games[[#This Row],[POMult]]</f>
        <v>71.05</v>
      </c>
      <c r="AA442" s="4">
        <f>(Games[[#This Row],[Keff]]*Games[[#This Row],[MOVMult]])*(Games[[#This Row],[Result]]-Games[[#This Row],[ExpectedWin%]])</f>
        <v>-10.58255153733254</v>
      </c>
      <c r="AB442" s="4">
        <f>Games[[#This Row],[PreGmRate]]+Games[[#This Row],[RatingChange]]</f>
        <v>1508.8676282234542</v>
      </c>
      <c r="AC442" s="2">
        <f>IF(Games[[#This Row],[Type]]="R",IF(Games[[#This Row],[Result]]&gt;0.5,1,0),0)</f>
        <v>0</v>
      </c>
      <c r="AD442" s="2">
        <f>IF(Games[[#This Row],[Type]]="R",IF(Games[[#This Row],[Result]]&lt;0.5,1,0),0)</f>
        <v>1</v>
      </c>
      <c r="AE442" s="2">
        <f>IF(AND(Games[[#This Row],[Type]]="P",Games[[#This Row],[Round]]=1),IF(Games[[#This Row],[Result]]&gt;0.5,1,0),0)</f>
        <v>0</v>
      </c>
      <c r="AF442" s="2">
        <f>IF(AND(Games[[#This Row],[Type]]="P",Games[[#This Row],[Round]]=1),IF(Games[[#This Row],[Result]]&lt;0.5,1,0),0)</f>
        <v>0</v>
      </c>
      <c r="AG442" s="2">
        <f>IF(AND(Games[[#This Row],[Type]]="P",Games[[#This Row],[Round]]=2),IF(Games[[#This Row],[Result]]&gt;0.5,1,0),0)</f>
        <v>0</v>
      </c>
      <c r="AH442" s="2">
        <f>IF(AND(Games[[#This Row],[Type]]="P",Games[[#This Row],[Round]]=2),IF(Games[[#This Row],[Result]]&lt;0.5,1,0),0)</f>
        <v>0</v>
      </c>
      <c r="AI442" s="2">
        <f>IF(AND(Games[[#This Row],[Type]]="P",Games[[#This Row],[Round]]=3),IF(Games[[#This Row],[Result]]&gt;0.5,1,0),0)</f>
        <v>0</v>
      </c>
      <c r="AJ442" s="2">
        <f>IF(AND(Games[[#This Row],[Type]]="P",Games[[#This Row],[Round]]=3),IF(Games[[#This Row],[Result]]&lt;0.5,1,0),0)</f>
        <v>0</v>
      </c>
      <c r="AK442" s="2">
        <f>IF(AND(Games[[#This Row],[Type]]="P",Games[[#This Row],[Round]]=4),IF(Games[[#This Row],[Result]]&gt;0.5,1,0),0)</f>
        <v>0</v>
      </c>
      <c r="AL442" s="2">
        <f>IF(AND(Games[[#This Row],[Type]]="P",Games[[#This Row],[Round]]=4),IF(Games[[#This Row],[Result]]&lt;0.5,1,0),0)</f>
        <v>0</v>
      </c>
    </row>
    <row r="443" spans="1:38" x14ac:dyDescent="0.35">
      <c r="A443" s="10">
        <v>37854</v>
      </c>
      <c r="B443" s="2">
        <v>2003</v>
      </c>
      <c r="C443" s="2">
        <f>COUNTIFS(Games[Team],Games[[#This Row],[Team]],Games[Season],Games[[#This Row],[Season]],Games[Date],"&lt;=" &amp; Games[[#This Row],[Date]])</f>
        <v>32</v>
      </c>
      <c r="D443" s="2" t="s">
        <v>23</v>
      </c>
      <c r="E443" s="2" t="s">
        <v>29</v>
      </c>
      <c r="F443" s="1" t="s">
        <v>71</v>
      </c>
      <c r="G443" s="1" t="s">
        <v>78</v>
      </c>
      <c r="H443" s="1" t="s">
        <v>15</v>
      </c>
      <c r="I443" s="2" cm="1">
        <f t="array" ref="I443">IFERROR(
    Games[[#This Row],[Date]]
    - LOOKUP(
        2,
        1/((Games[Team]=Games[[#This Row],[Team]]) * (Games[Date] &lt; Games[[#This Row],[Date]])),
        Games[Date]
    )
    - 1,
Games[[#This Row],[Date]]-$A$2)</f>
        <v>4</v>
      </c>
      <c r="J443" s="2" cm="1">
        <f t="array" ref="J443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443" s="2">
        <f>Games[[#This Row],[DaysOff]]-Games[[#This Row],[OppDaysOff]]</f>
        <v>4</v>
      </c>
      <c r="L443" s="2">
        <f>Games[[#This Row],[OppDaysOff]]-Games[[#This Row],[DaysOff]]</f>
        <v>-4</v>
      </c>
      <c r="M443" s="1">
        <f>MAX(-16, MIN(16, Games[[#This Row],[RestDiff]]*8))</f>
        <v>16</v>
      </c>
      <c r="N443" s="1">
        <f>MAX(-16, MIN(16, Games[[#This Row],[OppRestDiff]]*8))</f>
        <v>-16</v>
      </c>
      <c r="O443" s="4" cm="1">
        <f t="array" ref="O44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1588.7528692799783</v>
      </c>
      <c r="P443" s="4" cm="1">
        <f t="array" ref="P44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1519.4501797607868</v>
      </c>
      <c r="Q443" s="4">
        <f>1/(1+10^(((Games[[#This Row],[OppPreGmRate]]+IF(Games[[#This Row],[HomeAway]]="A",HCA,0)+Games[[#This Row],[OppRestAdj]])-(Games[[#This Row],[PreGmRate]]+IF(Games[[#This Row],[HomeAway]]="H",HCA,0)+Games[[#This Row],[RestAdj]]))/400))</f>
        <v>0.74396655996360417</v>
      </c>
      <c r="R443" s="1">
        <v>88</v>
      </c>
      <c r="S443" s="1">
        <v>65</v>
      </c>
      <c r="T443" s="1">
        <v>0</v>
      </c>
      <c r="U443" s="1">
        <f>Games[[#This Row],[PointsFor]]-Games[[#This Row],[PointsAgainst]]</f>
        <v>23</v>
      </c>
      <c r="V443" s="1">
        <f>IF(Games[[#This Row],[MOV]]&gt;0,1,IF(Games[[#This Row],[MOV]]=0,0.5,0))</f>
        <v>1</v>
      </c>
      <c r="W443" s="4">
        <f>((ABS(Games[[#This Row],[MOV]])+5)^0.6)/(12+0.01*(ABS(Games[[#This Row],[PreGmRate]]-Games[[#This Row],[OppPreGmRate]])))*IF(Games[[#This Row],[OT]]=1,0.9,1)</f>
        <v>0.5817409268659377</v>
      </c>
      <c r="X443" s="7" cm="1">
        <f t="array" ref="X44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43" s="9">
        <f>MAX(kmin, kmax - 0.15 * MIN(Games[[#This Row],[GamesPlayed]], 82))</f>
        <v>71.2</v>
      </c>
      <c r="Z443" s="4">
        <f>Games[[#This Row],[K]]*Games[[#This Row],[POMult]]</f>
        <v>71.2</v>
      </c>
      <c r="AA443" s="4">
        <f>(Games[[#This Row],[Keff]]*Games[[#This Row],[MOVMult]])*(Games[[#This Row],[Result]]-Games[[#This Row],[ExpectedWin%]])</f>
        <v>10.604893306939855</v>
      </c>
      <c r="AB443" s="4">
        <f>Games[[#This Row],[PreGmRate]]+Games[[#This Row],[RatingChange]]</f>
        <v>1599.3577625869182</v>
      </c>
      <c r="AC443" s="2">
        <f>IF(Games[[#This Row],[Type]]="R",IF(Games[[#This Row],[Result]]&gt;0.5,1,0),0)</f>
        <v>1</v>
      </c>
      <c r="AD443" s="2">
        <f>IF(Games[[#This Row],[Type]]="R",IF(Games[[#This Row],[Result]]&lt;0.5,1,0),0)</f>
        <v>0</v>
      </c>
      <c r="AE443" s="2">
        <f>IF(AND(Games[[#This Row],[Type]]="P",Games[[#This Row],[Round]]=1),IF(Games[[#This Row],[Result]]&gt;0.5,1,0),0)</f>
        <v>0</v>
      </c>
      <c r="AF443" s="2">
        <f>IF(AND(Games[[#This Row],[Type]]="P",Games[[#This Row],[Round]]=1),IF(Games[[#This Row],[Result]]&lt;0.5,1,0),0)</f>
        <v>0</v>
      </c>
      <c r="AG443" s="2">
        <f>IF(AND(Games[[#This Row],[Type]]="P",Games[[#This Row],[Round]]=2),IF(Games[[#This Row],[Result]]&gt;0.5,1,0),0)</f>
        <v>0</v>
      </c>
      <c r="AH443" s="2">
        <f>IF(AND(Games[[#This Row],[Type]]="P",Games[[#This Row],[Round]]=2),IF(Games[[#This Row],[Result]]&lt;0.5,1,0),0)</f>
        <v>0</v>
      </c>
      <c r="AI443" s="2">
        <f>IF(AND(Games[[#This Row],[Type]]="P",Games[[#This Row],[Round]]=3),IF(Games[[#This Row],[Result]]&gt;0.5,1,0),0)</f>
        <v>0</v>
      </c>
      <c r="AJ443" s="2">
        <f>IF(AND(Games[[#This Row],[Type]]="P",Games[[#This Row],[Round]]=3),IF(Games[[#This Row],[Result]]&lt;0.5,1,0),0)</f>
        <v>0</v>
      </c>
      <c r="AK443" s="2">
        <f>IF(AND(Games[[#This Row],[Type]]="P",Games[[#This Row],[Round]]=4),IF(Games[[#This Row],[Result]]&gt;0.5,1,0),0)</f>
        <v>0</v>
      </c>
      <c r="AL443" s="2">
        <f>IF(AND(Games[[#This Row],[Type]]="P",Games[[#This Row],[Round]]=4),IF(Games[[#This Row],[Result]]&lt;0.5,1,0),0)</f>
        <v>0</v>
      </c>
    </row>
    <row r="444" spans="1:38" x14ac:dyDescent="0.35">
      <c r="A444" s="10">
        <v>37854</v>
      </c>
      <c r="B444" s="2">
        <v>2003</v>
      </c>
      <c r="C444" s="2">
        <f>COUNTIFS(Games[Team],Games[[#This Row],[Team]],Games[Season],Games[[#This Row],[Season]],Games[Date],"&lt;=" &amp; Games[[#This Row],[Date]])</f>
        <v>32</v>
      </c>
      <c r="D444" s="2" t="s">
        <v>23</v>
      </c>
      <c r="E444" s="2" t="s">
        <v>29</v>
      </c>
      <c r="F444" s="1" t="s">
        <v>2</v>
      </c>
      <c r="G444" s="1" t="s">
        <v>45</v>
      </c>
      <c r="H444" s="1" t="s">
        <v>16</v>
      </c>
      <c r="I444" s="2" cm="1">
        <f t="array" ref="I444">IFERROR(
    Games[[#This Row],[Date]]
    - LOOKUP(
        2,
        1/((Games[Team]=Games[[#This Row],[Team]]) * (Games[Date] &lt; Games[[#This Row],[Date]])),
        Games[Date]
    )
    - 1,
Games[[#This Row],[Date]]-$A$2)</f>
        <v>1</v>
      </c>
      <c r="J444" s="2" cm="1">
        <f t="array" ref="J444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444" s="2">
        <f>Games[[#This Row],[DaysOff]]-Games[[#This Row],[OppDaysOff]]</f>
        <v>-3</v>
      </c>
      <c r="L444" s="2">
        <f>Games[[#This Row],[OppDaysOff]]-Games[[#This Row],[DaysOff]]</f>
        <v>3</v>
      </c>
      <c r="M444" s="1">
        <f>MAX(-16, MIN(16, Games[[#This Row],[RestDiff]]*8))</f>
        <v>-16</v>
      </c>
      <c r="N444" s="1">
        <f>MAX(-16, MIN(16, Games[[#This Row],[OppRestDiff]]*8))</f>
        <v>16</v>
      </c>
      <c r="O444" s="4" cm="1">
        <f t="array" ref="O44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1614.2641036466064</v>
      </c>
      <c r="P444" s="4" cm="1">
        <f t="array" ref="P44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1561.2140785578015</v>
      </c>
      <c r="Q444" s="4">
        <f>1/(1+10^(((Games[[#This Row],[OppPreGmRate]]+IF(Games[[#This Row],[HomeAway]]="A",HCA,0)+Games[[#This Row],[OppRestAdj]])-(Games[[#This Row],[PreGmRate]]+IF(Games[[#This Row],[HomeAway]]="H",HCA,0)+Games[[#This Row],[RestAdj]]))/400))</f>
        <v>0.41038617438817687</v>
      </c>
      <c r="R444" s="1">
        <v>54</v>
      </c>
      <c r="S444" s="1">
        <v>62</v>
      </c>
      <c r="T444" s="1">
        <v>0</v>
      </c>
      <c r="U444" s="1">
        <f>Games[[#This Row],[PointsFor]]-Games[[#This Row],[PointsAgainst]]</f>
        <v>-8</v>
      </c>
      <c r="V444" s="1">
        <f>IF(Games[[#This Row],[MOV]]&gt;0,1,IF(Games[[#This Row],[MOV]]=0,0.5,0))</f>
        <v>0</v>
      </c>
      <c r="W444" s="4">
        <f>((ABS(Games[[#This Row],[MOV]])+5)^0.6)/(12+0.01*(ABS(Games[[#This Row],[PreGmRate]]-Games[[#This Row],[OppPreGmRate]])))*IF(Games[[#This Row],[OT]]=1,0.9,1)</f>
        <v>0.37187552984613065</v>
      </c>
      <c r="X444" s="7" cm="1">
        <f t="array" ref="X44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44" s="9">
        <f>MAX(kmin, kmax - 0.15 * MIN(Games[[#This Row],[GamesPlayed]], 82))</f>
        <v>71.2</v>
      </c>
      <c r="Z444" s="4">
        <f>Games[[#This Row],[K]]*Games[[#This Row],[POMult]]</f>
        <v>71.2</v>
      </c>
      <c r="AA444" s="4">
        <f>(Games[[#This Row],[Keff]]*Games[[#This Row],[MOVMult]])*(Games[[#This Row],[Result]]-Games[[#This Row],[ExpectedWin%]])</f>
        <v>-10.866015414199644</v>
      </c>
      <c r="AB444" s="4">
        <f>Games[[#This Row],[PreGmRate]]+Games[[#This Row],[RatingChange]]</f>
        <v>1603.3980882324067</v>
      </c>
      <c r="AC444" s="2">
        <f>IF(Games[[#This Row],[Type]]="R",IF(Games[[#This Row],[Result]]&gt;0.5,1,0),0)</f>
        <v>0</v>
      </c>
      <c r="AD444" s="2">
        <f>IF(Games[[#This Row],[Type]]="R",IF(Games[[#This Row],[Result]]&lt;0.5,1,0),0)</f>
        <v>1</v>
      </c>
      <c r="AE444" s="2">
        <f>IF(AND(Games[[#This Row],[Type]]="P",Games[[#This Row],[Round]]=1),IF(Games[[#This Row],[Result]]&gt;0.5,1,0),0)</f>
        <v>0</v>
      </c>
      <c r="AF444" s="2">
        <f>IF(AND(Games[[#This Row],[Type]]="P",Games[[#This Row],[Round]]=1),IF(Games[[#This Row],[Result]]&lt;0.5,1,0),0)</f>
        <v>0</v>
      </c>
      <c r="AG444" s="2">
        <f>IF(AND(Games[[#This Row],[Type]]="P",Games[[#This Row],[Round]]=2),IF(Games[[#This Row],[Result]]&gt;0.5,1,0),0)</f>
        <v>0</v>
      </c>
      <c r="AH444" s="2">
        <f>IF(AND(Games[[#This Row],[Type]]="P",Games[[#This Row],[Round]]=2),IF(Games[[#This Row],[Result]]&lt;0.5,1,0),0)</f>
        <v>0</v>
      </c>
      <c r="AI444" s="2">
        <f>IF(AND(Games[[#This Row],[Type]]="P",Games[[#This Row],[Round]]=3),IF(Games[[#This Row],[Result]]&gt;0.5,1,0),0)</f>
        <v>0</v>
      </c>
      <c r="AJ444" s="2">
        <f>IF(AND(Games[[#This Row],[Type]]="P",Games[[#This Row],[Round]]=3),IF(Games[[#This Row],[Result]]&lt;0.5,1,0),0)</f>
        <v>0</v>
      </c>
      <c r="AK444" s="2">
        <f>IF(AND(Games[[#This Row],[Type]]="P",Games[[#This Row],[Round]]=4),IF(Games[[#This Row],[Result]]&gt;0.5,1,0),0)</f>
        <v>0</v>
      </c>
      <c r="AL444" s="2">
        <f>IF(AND(Games[[#This Row],[Type]]="P",Games[[#This Row],[Round]]=4),IF(Games[[#This Row],[Result]]&lt;0.5,1,0),0)</f>
        <v>0</v>
      </c>
    </row>
    <row r="445" spans="1:38" x14ac:dyDescent="0.35">
      <c r="A445" s="10">
        <v>37854</v>
      </c>
      <c r="B445" s="2">
        <v>2003</v>
      </c>
      <c r="C445" s="2">
        <f>COUNTIFS(Games[Team],Games[[#This Row],[Team]],Games[Season],Games[[#This Row],[Season]],Games[Date],"&lt;=" &amp; Games[[#This Row],[Date]])</f>
        <v>32</v>
      </c>
      <c r="D445" s="2" t="s">
        <v>23</v>
      </c>
      <c r="E445" s="2" t="s">
        <v>29</v>
      </c>
      <c r="F445" s="1" t="s">
        <v>45</v>
      </c>
      <c r="G445" s="1" t="s">
        <v>2</v>
      </c>
      <c r="H445" s="1" t="s">
        <v>15</v>
      </c>
      <c r="I445" s="2" cm="1">
        <f t="array" ref="I445">IFERROR(
    Games[[#This Row],[Date]]
    - LOOKUP(
        2,
        1/((Games[Team]=Games[[#This Row],[Team]]) * (Games[Date] &lt; Games[[#This Row],[Date]])),
        Games[Date]
    )
    - 1,
Games[[#This Row],[Date]]-$A$2)</f>
        <v>4</v>
      </c>
      <c r="J445" s="2" cm="1">
        <f t="array" ref="J44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45" s="2">
        <f>Games[[#This Row],[DaysOff]]-Games[[#This Row],[OppDaysOff]]</f>
        <v>3</v>
      </c>
      <c r="L445" s="2">
        <f>Games[[#This Row],[OppDaysOff]]-Games[[#This Row],[DaysOff]]</f>
        <v>-3</v>
      </c>
      <c r="M445" s="1">
        <f>MAX(-16, MIN(16, Games[[#This Row],[RestDiff]]*8))</f>
        <v>16</v>
      </c>
      <c r="N445" s="1">
        <f>MAX(-16, MIN(16, Games[[#This Row],[OppRestDiff]]*8))</f>
        <v>-16</v>
      </c>
      <c r="O445" s="4" cm="1">
        <f t="array" ref="O44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1561.2140785578015</v>
      </c>
      <c r="P445" s="4" cm="1">
        <f t="array" ref="P44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1614.2641036466064</v>
      </c>
      <c r="Q445" s="4">
        <f>1/(1+10^(((Games[[#This Row],[OppPreGmRate]]+IF(Games[[#This Row],[HomeAway]]="A",HCA,0)+Games[[#This Row],[OppRestAdj]])-(Games[[#This Row],[PreGmRate]]+IF(Games[[#This Row],[HomeAway]]="H",HCA,0)+Games[[#This Row],[RestAdj]]))/400))</f>
        <v>0.58961382561182307</v>
      </c>
      <c r="R445" s="1">
        <v>62</v>
      </c>
      <c r="S445" s="1">
        <v>54</v>
      </c>
      <c r="T445" s="1">
        <v>0</v>
      </c>
      <c r="U445" s="1">
        <f>Games[[#This Row],[PointsFor]]-Games[[#This Row],[PointsAgainst]]</f>
        <v>8</v>
      </c>
      <c r="V445" s="1">
        <f>IF(Games[[#This Row],[MOV]]&gt;0,1,IF(Games[[#This Row],[MOV]]=0,0.5,0))</f>
        <v>1</v>
      </c>
      <c r="W445" s="4">
        <f>((ABS(Games[[#This Row],[MOV]])+5)^0.6)/(12+0.01*(ABS(Games[[#This Row],[PreGmRate]]-Games[[#This Row],[OppPreGmRate]])))*IF(Games[[#This Row],[OT]]=1,0.9,1)</f>
        <v>0.37187552984613065</v>
      </c>
      <c r="X445" s="7" cm="1">
        <f t="array" ref="X44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45" s="9">
        <f>MAX(kmin, kmax - 0.15 * MIN(Games[[#This Row],[GamesPlayed]], 82))</f>
        <v>71.2</v>
      </c>
      <c r="Z445" s="4">
        <f>Games[[#This Row],[K]]*Games[[#This Row],[POMult]]</f>
        <v>71.2</v>
      </c>
      <c r="AA445" s="4">
        <f>(Games[[#This Row],[Keff]]*Games[[#This Row],[MOVMult]])*(Games[[#This Row],[Result]]-Games[[#This Row],[ExpectedWin%]])</f>
        <v>10.866015414199646</v>
      </c>
      <c r="AB445" s="4">
        <f>Games[[#This Row],[PreGmRate]]+Games[[#This Row],[RatingChange]]</f>
        <v>1572.0800939720011</v>
      </c>
      <c r="AC445" s="2">
        <f>IF(Games[[#This Row],[Type]]="R",IF(Games[[#This Row],[Result]]&gt;0.5,1,0),0)</f>
        <v>1</v>
      </c>
      <c r="AD445" s="2">
        <f>IF(Games[[#This Row],[Type]]="R",IF(Games[[#This Row],[Result]]&lt;0.5,1,0),0)</f>
        <v>0</v>
      </c>
      <c r="AE445" s="2">
        <f>IF(AND(Games[[#This Row],[Type]]="P",Games[[#This Row],[Round]]=1),IF(Games[[#This Row],[Result]]&gt;0.5,1,0),0)</f>
        <v>0</v>
      </c>
      <c r="AF445" s="2">
        <f>IF(AND(Games[[#This Row],[Type]]="P",Games[[#This Row],[Round]]=1),IF(Games[[#This Row],[Result]]&lt;0.5,1,0),0)</f>
        <v>0</v>
      </c>
      <c r="AG445" s="2">
        <f>IF(AND(Games[[#This Row],[Type]]="P",Games[[#This Row],[Round]]=2),IF(Games[[#This Row],[Result]]&gt;0.5,1,0),0)</f>
        <v>0</v>
      </c>
      <c r="AH445" s="2">
        <f>IF(AND(Games[[#This Row],[Type]]="P",Games[[#This Row],[Round]]=2),IF(Games[[#This Row],[Result]]&lt;0.5,1,0),0)</f>
        <v>0</v>
      </c>
      <c r="AI445" s="2">
        <f>IF(AND(Games[[#This Row],[Type]]="P",Games[[#This Row],[Round]]=3),IF(Games[[#This Row],[Result]]&gt;0.5,1,0),0)</f>
        <v>0</v>
      </c>
      <c r="AJ445" s="2">
        <f>IF(AND(Games[[#This Row],[Type]]="P",Games[[#This Row],[Round]]=3),IF(Games[[#This Row],[Result]]&lt;0.5,1,0),0)</f>
        <v>0</v>
      </c>
      <c r="AK445" s="2">
        <f>IF(AND(Games[[#This Row],[Type]]="P",Games[[#This Row],[Round]]=4),IF(Games[[#This Row],[Result]]&gt;0.5,1,0),0)</f>
        <v>0</v>
      </c>
      <c r="AL445" s="2">
        <f>IF(AND(Games[[#This Row],[Type]]="P",Games[[#This Row],[Round]]=4),IF(Games[[#This Row],[Result]]&lt;0.5,1,0),0)</f>
        <v>0</v>
      </c>
    </row>
    <row r="446" spans="1:38" x14ac:dyDescent="0.35">
      <c r="A446" s="10">
        <v>37854</v>
      </c>
      <c r="B446" s="2">
        <v>2003</v>
      </c>
      <c r="C446" s="2">
        <f>COUNTIFS(Games[Team],Games[[#This Row],[Team]],Games[Season],Games[[#This Row],[Season]],Games[Date],"&lt;=" &amp; Games[[#This Row],[Date]])</f>
        <v>32</v>
      </c>
      <c r="D446" s="2" t="s">
        <v>23</v>
      </c>
      <c r="E446" s="2" t="s">
        <v>29</v>
      </c>
      <c r="F446" s="1" t="s">
        <v>66</v>
      </c>
      <c r="G446" s="1" t="s">
        <v>74</v>
      </c>
      <c r="H446" s="1" t="s">
        <v>16</v>
      </c>
      <c r="I446" s="2" cm="1">
        <f t="array" ref="I446">IFERROR(
    Games[[#This Row],[Date]]
    - LOOKUP(
        2,
        1/((Games[Team]=Games[[#This Row],[Team]]) * (Games[Date] &lt; Games[[#This Row],[Date]])),
        Games[Date]
    )
    - 1,
Games[[#This Row],[Date]]-$A$2)</f>
        <v>2</v>
      </c>
      <c r="J446" s="2" cm="1">
        <f t="array" ref="J446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446" s="2">
        <f>Games[[#This Row],[DaysOff]]-Games[[#This Row],[OppDaysOff]]</f>
        <v>-2</v>
      </c>
      <c r="L446" s="2">
        <f>Games[[#This Row],[OppDaysOff]]-Games[[#This Row],[DaysOff]]</f>
        <v>2</v>
      </c>
      <c r="M446" s="1">
        <f>MAX(-16, MIN(16, Games[[#This Row],[RestDiff]]*8))</f>
        <v>-16</v>
      </c>
      <c r="N446" s="1">
        <f>MAX(-16, MIN(16, Games[[#This Row],[OppRestDiff]]*8))</f>
        <v>16</v>
      </c>
      <c r="O446" s="4" cm="1">
        <f t="array" ref="O44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1507.8402578597611</v>
      </c>
      <c r="P446" s="4" cm="1">
        <f t="array" ref="P44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1405.7114478051628</v>
      </c>
      <c r="Q446" s="4">
        <f>1/(1+10^(((Games[[#This Row],[OppPreGmRate]]+IF(Games[[#This Row],[HomeAway]]="A",HCA,0)+Games[[#This Row],[OppRestAdj]])-(Games[[#This Row],[PreGmRate]]+IF(Games[[#This Row],[HomeAway]]="H",HCA,0)+Games[[#This Row],[RestAdj]]))/400))</f>
        <v>0.48004835262370904</v>
      </c>
      <c r="R446" s="1">
        <v>65</v>
      </c>
      <c r="S446" s="1">
        <v>60</v>
      </c>
      <c r="T446" s="1">
        <v>0</v>
      </c>
      <c r="U446" s="1">
        <f>Games[[#This Row],[PointsFor]]-Games[[#This Row],[PointsAgainst]]</f>
        <v>5</v>
      </c>
      <c r="V446" s="1">
        <f>IF(Games[[#This Row],[MOV]]&gt;0,1,IF(Games[[#This Row],[MOV]]=0,0.5,0))</f>
        <v>1</v>
      </c>
      <c r="W446" s="4">
        <f>((ABS(Games[[#This Row],[MOV]])+5)^0.6)/(12+0.01*(ABS(Games[[#This Row],[PreGmRate]]-Games[[#This Row],[OppPreGmRate]])))*IF(Games[[#This Row],[OT]]=1,0.9,1)</f>
        <v>0.30573562882523475</v>
      </c>
      <c r="X446" s="7" cm="1">
        <f t="array" ref="X44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46" s="9">
        <f>MAX(kmin, kmax - 0.15 * MIN(Games[[#This Row],[GamesPlayed]], 82))</f>
        <v>71.2</v>
      </c>
      <c r="Z446" s="4">
        <f>Games[[#This Row],[K]]*Games[[#This Row],[POMult]]</f>
        <v>71.2</v>
      </c>
      <c r="AA446" s="4">
        <f>(Games[[#This Row],[Keff]]*Games[[#This Row],[MOVMult]])*(Games[[#This Row],[Result]]-Games[[#This Row],[ExpectedWin%]])</f>
        <v>11.31850336349466</v>
      </c>
      <c r="AB446" s="4">
        <f>Games[[#This Row],[PreGmRate]]+Games[[#This Row],[RatingChange]]</f>
        <v>1519.1587612232559</v>
      </c>
      <c r="AC446" s="2">
        <f>IF(Games[[#This Row],[Type]]="R",IF(Games[[#This Row],[Result]]&gt;0.5,1,0),0)</f>
        <v>1</v>
      </c>
      <c r="AD446" s="2">
        <f>IF(Games[[#This Row],[Type]]="R",IF(Games[[#This Row],[Result]]&lt;0.5,1,0),0)</f>
        <v>0</v>
      </c>
      <c r="AE446" s="2">
        <f>IF(AND(Games[[#This Row],[Type]]="P",Games[[#This Row],[Round]]=1),IF(Games[[#This Row],[Result]]&gt;0.5,1,0),0)</f>
        <v>0</v>
      </c>
      <c r="AF446" s="2">
        <f>IF(AND(Games[[#This Row],[Type]]="P",Games[[#This Row],[Round]]=1),IF(Games[[#This Row],[Result]]&lt;0.5,1,0),0)</f>
        <v>0</v>
      </c>
      <c r="AG446" s="2">
        <f>IF(AND(Games[[#This Row],[Type]]="P",Games[[#This Row],[Round]]=2),IF(Games[[#This Row],[Result]]&gt;0.5,1,0),0)</f>
        <v>0</v>
      </c>
      <c r="AH446" s="2">
        <f>IF(AND(Games[[#This Row],[Type]]="P",Games[[#This Row],[Round]]=2),IF(Games[[#This Row],[Result]]&lt;0.5,1,0),0)</f>
        <v>0</v>
      </c>
      <c r="AI446" s="2">
        <f>IF(AND(Games[[#This Row],[Type]]="P",Games[[#This Row],[Round]]=3),IF(Games[[#This Row],[Result]]&gt;0.5,1,0),0)</f>
        <v>0</v>
      </c>
      <c r="AJ446" s="2">
        <f>IF(AND(Games[[#This Row],[Type]]="P",Games[[#This Row],[Round]]=3),IF(Games[[#This Row],[Result]]&lt;0.5,1,0),0)</f>
        <v>0</v>
      </c>
      <c r="AK446" s="2">
        <f>IF(AND(Games[[#This Row],[Type]]="P",Games[[#This Row],[Round]]=4),IF(Games[[#This Row],[Result]]&gt;0.5,1,0),0)</f>
        <v>0</v>
      </c>
      <c r="AL446" s="2">
        <f>IF(AND(Games[[#This Row],[Type]]="P",Games[[#This Row],[Round]]=4),IF(Games[[#This Row],[Result]]&lt;0.5,1,0),0)</f>
        <v>0</v>
      </c>
    </row>
    <row r="447" spans="1:38" x14ac:dyDescent="0.35">
      <c r="A447" s="10">
        <v>37854</v>
      </c>
      <c r="B447" s="2">
        <v>2003</v>
      </c>
      <c r="C447" s="2">
        <f>COUNTIFS(Games[Team],Games[[#This Row],[Team]],Games[Season],Games[[#This Row],[Season]],Games[Date],"&lt;=" &amp; Games[[#This Row],[Date]])</f>
        <v>32</v>
      </c>
      <c r="D447" s="2" t="s">
        <v>23</v>
      </c>
      <c r="E447" s="2" t="s">
        <v>29</v>
      </c>
      <c r="F447" s="1" t="s">
        <v>74</v>
      </c>
      <c r="G447" s="1" t="s">
        <v>66</v>
      </c>
      <c r="H447" s="1" t="s">
        <v>15</v>
      </c>
      <c r="I447" s="2" cm="1">
        <f t="array" ref="I447">IFERROR(
    Games[[#This Row],[Date]]
    - LOOKUP(
        2,
        1/((Games[Team]=Games[[#This Row],[Team]]) * (Games[Date] &lt; Games[[#This Row],[Date]])),
        Games[Date]
    )
    - 1,
Games[[#This Row],[Date]]-$A$2)</f>
        <v>4</v>
      </c>
      <c r="J447" s="2" cm="1">
        <f t="array" ref="J44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47" s="2">
        <f>Games[[#This Row],[DaysOff]]-Games[[#This Row],[OppDaysOff]]</f>
        <v>2</v>
      </c>
      <c r="L447" s="2">
        <f>Games[[#This Row],[OppDaysOff]]-Games[[#This Row],[DaysOff]]</f>
        <v>-2</v>
      </c>
      <c r="M447" s="1">
        <f>MAX(-16, MIN(16, Games[[#This Row],[RestDiff]]*8))</f>
        <v>16</v>
      </c>
      <c r="N447" s="1">
        <f>MAX(-16, MIN(16, Games[[#This Row],[OppRestDiff]]*8))</f>
        <v>-16</v>
      </c>
      <c r="O447" s="4" cm="1">
        <f t="array" ref="O44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1405.7114478051628</v>
      </c>
      <c r="P447" s="4" cm="1">
        <f t="array" ref="P44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1507.8402578597611</v>
      </c>
      <c r="Q447" s="4">
        <f>1/(1+10^(((Games[[#This Row],[OppPreGmRate]]+IF(Games[[#This Row],[HomeAway]]="A",HCA,0)+Games[[#This Row],[OppRestAdj]])-(Games[[#This Row],[PreGmRate]]+IF(Games[[#This Row],[HomeAway]]="H",HCA,0)+Games[[#This Row],[RestAdj]]))/400))</f>
        <v>0.51995164737629096</v>
      </c>
      <c r="R447" s="1">
        <v>60</v>
      </c>
      <c r="S447" s="1">
        <v>65</v>
      </c>
      <c r="T447" s="1">
        <v>0</v>
      </c>
      <c r="U447" s="1">
        <f>Games[[#This Row],[PointsFor]]-Games[[#This Row],[PointsAgainst]]</f>
        <v>-5</v>
      </c>
      <c r="V447" s="1">
        <f>IF(Games[[#This Row],[MOV]]&gt;0,1,IF(Games[[#This Row],[MOV]]=0,0.5,0))</f>
        <v>0</v>
      </c>
      <c r="W447" s="4">
        <f>((ABS(Games[[#This Row],[MOV]])+5)^0.6)/(12+0.01*(ABS(Games[[#This Row],[PreGmRate]]-Games[[#This Row],[OppPreGmRate]])))*IF(Games[[#This Row],[OT]]=1,0.9,1)</f>
        <v>0.30573562882523475</v>
      </c>
      <c r="X447" s="7" cm="1">
        <f t="array" ref="X44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47" s="9">
        <f>MAX(kmin, kmax - 0.15 * MIN(Games[[#This Row],[GamesPlayed]], 82))</f>
        <v>71.2</v>
      </c>
      <c r="Z447" s="4">
        <f>Games[[#This Row],[K]]*Games[[#This Row],[POMult]]</f>
        <v>71.2</v>
      </c>
      <c r="AA447" s="4">
        <f>(Games[[#This Row],[Keff]]*Games[[#This Row],[MOVMult]])*(Games[[#This Row],[Result]]-Games[[#This Row],[ExpectedWin%]])</f>
        <v>-11.31850336349466</v>
      </c>
      <c r="AB447" s="4">
        <f>Games[[#This Row],[PreGmRate]]+Games[[#This Row],[RatingChange]]</f>
        <v>1394.3929444416681</v>
      </c>
      <c r="AC447" s="2">
        <f>IF(Games[[#This Row],[Type]]="R",IF(Games[[#This Row],[Result]]&gt;0.5,1,0),0)</f>
        <v>0</v>
      </c>
      <c r="AD447" s="2">
        <f>IF(Games[[#This Row],[Type]]="R",IF(Games[[#This Row],[Result]]&lt;0.5,1,0),0)</f>
        <v>1</v>
      </c>
      <c r="AE447" s="2">
        <f>IF(AND(Games[[#This Row],[Type]]="P",Games[[#This Row],[Round]]=1),IF(Games[[#This Row],[Result]]&gt;0.5,1,0),0)</f>
        <v>0</v>
      </c>
      <c r="AF447" s="2">
        <f>IF(AND(Games[[#This Row],[Type]]="P",Games[[#This Row],[Round]]=1),IF(Games[[#This Row],[Result]]&lt;0.5,1,0),0)</f>
        <v>0</v>
      </c>
      <c r="AG447" s="2">
        <f>IF(AND(Games[[#This Row],[Type]]="P",Games[[#This Row],[Round]]=2),IF(Games[[#This Row],[Result]]&gt;0.5,1,0),0)</f>
        <v>0</v>
      </c>
      <c r="AH447" s="2">
        <f>IF(AND(Games[[#This Row],[Type]]="P",Games[[#This Row],[Round]]=2),IF(Games[[#This Row],[Result]]&lt;0.5,1,0),0)</f>
        <v>0</v>
      </c>
      <c r="AI447" s="2">
        <f>IF(AND(Games[[#This Row],[Type]]="P",Games[[#This Row],[Round]]=3),IF(Games[[#This Row],[Result]]&gt;0.5,1,0),0)</f>
        <v>0</v>
      </c>
      <c r="AJ447" s="2">
        <f>IF(AND(Games[[#This Row],[Type]]="P",Games[[#This Row],[Round]]=3),IF(Games[[#This Row],[Result]]&lt;0.5,1,0),0)</f>
        <v>0</v>
      </c>
      <c r="AK447" s="2">
        <f>IF(AND(Games[[#This Row],[Type]]="P",Games[[#This Row],[Round]]=4),IF(Games[[#This Row],[Result]]&gt;0.5,1,0),0)</f>
        <v>0</v>
      </c>
      <c r="AL447" s="2">
        <f>IF(AND(Games[[#This Row],[Type]]="P",Games[[#This Row],[Round]]=4),IF(Games[[#This Row],[Result]]&lt;0.5,1,0),0)</f>
        <v>0</v>
      </c>
    </row>
    <row r="448" spans="1:38" x14ac:dyDescent="0.35">
      <c r="A448" s="10">
        <v>37855</v>
      </c>
      <c r="B448" s="2">
        <v>2003</v>
      </c>
      <c r="C448" s="2">
        <f>COUNTIFS(Games[Team],Games[[#This Row],[Team]],Games[Season],Games[[#This Row],[Season]],Games[Date],"&lt;=" &amp; Games[[#This Row],[Date]])</f>
        <v>32</v>
      </c>
      <c r="D448" s="2" t="s">
        <v>23</v>
      </c>
      <c r="E448" s="2" t="s">
        <v>29</v>
      </c>
      <c r="F448" s="1" t="s">
        <v>64</v>
      </c>
      <c r="G448" s="1" t="s">
        <v>87</v>
      </c>
      <c r="H448" s="1" t="s">
        <v>16</v>
      </c>
      <c r="I448" s="2" cm="1">
        <f t="array" ref="I448">IFERROR(
    Games[[#This Row],[Date]]
    - LOOKUP(
        2,
        1/((Games[Team]=Games[[#This Row],[Team]]) * (Games[Date] &lt; Games[[#This Row],[Date]])),
        Games[Date]
    )
    - 1,
Games[[#This Row],[Date]]-$A$2)</f>
        <v>1</v>
      </c>
      <c r="J448" s="2" cm="1">
        <f t="array" ref="J44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48" s="2">
        <f>Games[[#This Row],[DaysOff]]-Games[[#This Row],[OppDaysOff]]</f>
        <v>-1</v>
      </c>
      <c r="L448" s="2">
        <f>Games[[#This Row],[OppDaysOff]]-Games[[#This Row],[DaysOff]]</f>
        <v>1</v>
      </c>
      <c r="M448" s="1">
        <f>MAX(-16, MIN(16, Games[[#This Row],[RestDiff]]*8))</f>
        <v>-8</v>
      </c>
      <c r="N448" s="1">
        <f>MAX(-16, MIN(16, Games[[#This Row],[OppRestDiff]]*8))</f>
        <v>8</v>
      </c>
      <c r="O448" s="4" cm="1">
        <f t="array" ref="O44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1518.8019800257475</v>
      </c>
      <c r="P448" s="4" cm="1">
        <f t="array" ref="P44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1482.3986572598278</v>
      </c>
      <c r="Q448" s="4">
        <f>1/(1+10^(((Games[[#This Row],[OppPreGmRate]]+IF(Games[[#This Row],[HomeAway]]="A",HCA,0)+Games[[#This Row],[OppRestAdj]])-(Games[[#This Row],[PreGmRate]]+IF(Games[[#This Row],[HomeAway]]="H",HCA,0)+Games[[#This Row],[RestAdj]]))/400))</f>
        <v>0.40948569217834047</v>
      </c>
      <c r="R448" s="1">
        <v>55</v>
      </c>
      <c r="S448" s="1">
        <v>63</v>
      </c>
      <c r="T448" s="1">
        <v>0</v>
      </c>
      <c r="U448" s="1">
        <f>Games[[#This Row],[PointsFor]]-Games[[#This Row],[PointsAgainst]]</f>
        <v>-8</v>
      </c>
      <c r="V448" s="1">
        <f>IF(Games[[#This Row],[MOV]]&gt;0,1,IF(Games[[#This Row],[MOV]]=0,0.5,0))</f>
        <v>0</v>
      </c>
      <c r="W448" s="4">
        <f>((ABS(Games[[#This Row],[MOV]])+5)^0.6)/(12+0.01*(ABS(Games[[#This Row],[PreGmRate]]-Games[[#This Row],[OppPreGmRate]])))*IF(Games[[#This Row],[OT]]=1,0.9,1)</f>
        <v>0.37688239219640735</v>
      </c>
      <c r="X448" s="7" cm="1">
        <f t="array" ref="X44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48" s="9">
        <f>MAX(kmin, kmax - 0.15 * MIN(Games[[#This Row],[GamesPlayed]], 82))</f>
        <v>71.2</v>
      </c>
      <c r="Z448" s="4">
        <f>Games[[#This Row],[K]]*Games[[#This Row],[POMult]]</f>
        <v>71.2</v>
      </c>
      <c r="AA448" s="4">
        <f>(Games[[#This Row],[Keff]]*Games[[#This Row],[MOVMult]])*(Games[[#This Row],[Result]]-Games[[#This Row],[ExpectedWin%]])</f>
        <v>-10.988149843372275</v>
      </c>
      <c r="AB448" s="4">
        <f>Games[[#This Row],[PreGmRate]]+Games[[#This Row],[RatingChange]]</f>
        <v>1507.8138301823753</v>
      </c>
      <c r="AC448" s="2">
        <f>IF(Games[[#This Row],[Type]]="R",IF(Games[[#This Row],[Result]]&gt;0.5,1,0),0)</f>
        <v>0</v>
      </c>
      <c r="AD448" s="2">
        <f>IF(Games[[#This Row],[Type]]="R",IF(Games[[#This Row],[Result]]&lt;0.5,1,0),0)</f>
        <v>1</v>
      </c>
      <c r="AE448" s="2">
        <f>IF(AND(Games[[#This Row],[Type]]="P",Games[[#This Row],[Round]]=1),IF(Games[[#This Row],[Result]]&gt;0.5,1,0),0)</f>
        <v>0</v>
      </c>
      <c r="AF448" s="2">
        <f>IF(AND(Games[[#This Row],[Type]]="P",Games[[#This Row],[Round]]=1),IF(Games[[#This Row],[Result]]&lt;0.5,1,0),0)</f>
        <v>0</v>
      </c>
      <c r="AG448" s="2">
        <f>IF(AND(Games[[#This Row],[Type]]="P",Games[[#This Row],[Round]]=2),IF(Games[[#This Row],[Result]]&gt;0.5,1,0),0)</f>
        <v>0</v>
      </c>
      <c r="AH448" s="2">
        <f>IF(AND(Games[[#This Row],[Type]]="P",Games[[#This Row],[Round]]=2),IF(Games[[#This Row],[Result]]&lt;0.5,1,0),0)</f>
        <v>0</v>
      </c>
      <c r="AI448" s="2">
        <f>IF(AND(Games[[#This Row],[Type]]="P",Games[[#This Row],[Round]]=3),IF(Games[[#This Row],[Result]]&gt;0.5,1,0),0)</f>
        <v>0</v>
      </c>
      <c r="AJ448" s="2">
        <f>IF(AND(Games[[#This Row],[Type]]="P",Games[[#This Row],[Round]]=3),IF(Games[[#This Row],[Result]]&lt;0.5,1,0),0)</f>
        <v>0</v>
      </c>
      <c r="AK448" s="2">
        <f>IF(AND(Games[[#This Row],[Type]]="P",Games[[#This Row],[Round]]=4),IF(Games[[#This Row],[Result]]&gt;0.5,1,0),0)</f>
        <v>0</v>
      </c>
      <c r="AL448" s="2">
        <f>IF(AND(Games[[#This Row],[Type]]="P",Games[[#This Row],[Round]]=4),IF(Games[[#This Row],[Result]]&lt;0.5,1,0),0)</f>
        <v>0</v>
      </c>
    </row>
    <row r="449" spans="1:38" x14ac:dyDescent="0.35">
      <c r="A449" s="10">
        <v>37855</v>
      </c>
      <c r="B449" s="2">
        <v>2003</v>
      </c>
      <c r="C449" s="2">
        <f>COUNTIFS(Games[Team],Games[[#This Row],[Team]],Games[Season],Games[[#This Row],[Season]],Games[Date],"&lt;=" &amp; Games[[#This Row],[Date]])</f>
        <v>32</v>
      </c>
      <c r="D449" s="2" t="s">
        <v>23</v>
      </c>
      <c r="E449" s="2" t="s">
        <v>29</v>
      </c>
      <c r="F449" s="1" t="s">
        <v>87</v>
      </c>
      <c r="G449" s="1" t="s">
        <v>64</v>
      </c>
      <c r="H449" s="1" t="s">
        <v>15</v>
      </c>
      <c r="I449" s="2" cm="1">
        <f t="array" ref="I449">IFERROR(
    Games[[#This Row],[Date]]
    - LOOKUP(
        2,
        1/((Games[Team]=Games[[#This Row],[Team]]) * (Games[Date] &lt; Games[[#This Row],[Date]])),
        Games[Date]
    )
    - 1,
Games[[#This Row],[Date]]-$A$2)</f>
        <v>2</v>
      </c>
      <c r="J449" s="2" cm="1">
        <f t="array" ref="J44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49" s="2">
        <f>Games[[#This Row],[DaysOff]]-Games[[#This Row],[OppDaysOff]]</f>
        <v>1</v>
      </c>
      <c r="L449" s="2">
        <f>Games[[#This Row],[OppDaysOff]]-Games[[#This Row],[DaysOff]]</f>
        <v>-1</v>
      </c>
      <c r="M449" s="1">
        <f>MAX(-16, MIN(16, Games[[#This Row],[RestDiff]]*8))</f>
        <v>8</v>
      </c>
      <c r="N449" s="1">
        <f>MAX(-16, MIN(16, Games[[#This Row],[OppRestDiff]]*8))</f>
        <v>-8</v>
      </c>
      <c r="O449" s="4" cm="1">
        <f t="array" ref="O44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1482.3986572598278</v>
      </c>
      <c r="P449" s="4" cm="1">
        <f t="array" ref="P44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1518.8019800257475</v>
      </c>
      <c r="Q449" s="4">
        <f>1/(1+10^(((Games[[#This Row],[OppPreGmRate]]+IF(Games[[#This Row],[HomeAway]]="A",HCA,0)+Games[[#This Row],[OppRestAdj]])-(Games[[#This Row],[PreGmRate]]+IF(Games[[#This Row],[HomeAway]]="H",HCA,0)+Games[[#This Row],[RestAdj]]))/400))</f>
        <v>0.59051430782165948</v>
      </c>
      <c r="R449" s="1">
        <v>63</v>
      </c>
      <c r="S449" s="1">
        <v>55</v>
      </c>
      <c r="T449" s="1">
        <v>0</v>
      </c>
      <c r="U449" s="1">
        <f>Games[[#This Row],[PointsFor]]-Games[[#This Row],[PointsAgainst]]</f>
        <v>8</v>
      </c>
      <c r="V449" s="1">
        <f>IF(Games[[#This Row],[MOV]]&gt;0,1,IF(Games[[#This Row],[MOV]]=0,0.5,0))</f>
        <v>1</v>
      </c>
      <c r="W449" s="4">
        <f>((ABS(Games[[#This Row],[MOV]])+5)^0.6)/(12+0.01*(ABS(Games[[#This Row],[PreGmRate]]-Games[[#This Row],[OppPreGmRate]])))*IF(Games[[#This Row],[OT]]=1,0.9,1)</f>
        <v>0.37688239219640735</v>
      </c>
      <c r="X449" s="7" cm="1">
        <f t="array" ref="X44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49" s="9">
        <f>MAX(kmin, kmax - 0.15 * MIN(Games[[#This Row],[GamesPlayed]], 82))</f>
        <v>71.2</v>
      </c>
      <c r="Z449" s="4">
        <f>Games[[#This Row],[K]]*Games[[#This Row],[POMult]]</f>
        <v>71.2</v>
      </c>
      <c r="AA449" s="4">
        <f>(Games[[#This Row],[Keff]]*Games[[#This Row],[MOVMult]])*(Games[[#This Row],[Result]]-Games[[#This Row],[ExpectedWin%]])</f>
        <v>10.988149843372277</v>
      </c>
      <c r="AB449" s="4">
        <f>Games[[#This Row],[PreGmRate]]+Games[[#This Row],[RatingChange]]</f>
        <v>1493.3868071032</v>
      </c>
      <c r="AC449" s="2">
        <f>IF(Games[[#This Row],[Type]]="R",IF(Games[[#This Row],[Result]]&gt;0.5,1,0),0)</f>
        <v>1</v>
      </c>
      <c r="AD449" s="2">
        <f>IF(Games[[#This Row],[Type]]="R",IF(Games[[#This Row],[Result]]&lt;0.5,1,0),0)</f>
        <v>0</v>
      </c>
      <c r="AE449" s="2">
        <f>IF(AND(Games[[#This Row],[Type]]="P",Games[[#This Row],[Round]]=1),IF(Games[[#This Row],[Result]]&gt;0.5,1,0),0)</f>
        <v>0</v>
      </c>
      <c r="AF449" s="2">
        <f>IF(AND(Games[[#This Row],[Type]]="P",Games[[#This Row],[Round]]=1),IF(Games[[#This Row],[Result]]&lt;0.5,1,0),0)</f>
        <v>0</v>
      </c>
      <c r="AG449" s="2">
        <f>IF(AND(Games[[#This Row],[Type]]="P",Games[[#This Row],[Round]]=2),IF(Games[[#This Row],[Result]]&gt;0.5,1,0),0)</f>
        <v>0</v>
      </c>
      <c r="AH449" s="2">
        <f>IF(AND(Games[[#This Row],[Type]]="P",Games[[#This Row],[Round]]=2),IF(Games[[#This Row],[Result]]&lt;0.5,1,0),0)</f>
        <v>0</v>
      </c>
      <c r="AI449" s="2">
        <f>IF(AND(Games[[#This Row],[Type]]="P",Games[[#This Row],[Round]]=3),IF(Games[[#This Row],[Result]]&gt;0.5,1,0),0)</f>
        <v>0</v>
      </c>
      <c r="AJ449" s="2">
        <f>IF(AND(Games[[#This Row],[Type]]="P",Games[[#This Row],[Round]]=3),IF(Games[[#This Row],[Result]]&lt;0.5,1,0),0)</f>
        <v>0</v>
      </c>
      <c r="AK449" s="2">
        <f>IF(AND(Games[[#This Row],[Type]]="P",Games[[#This Row],[Round]]=4),IF(Games[[#This Row],[Result]]&gt;0.5,1,0),0)</f>
        <v>0</v>
      </c>
      <c r="AL449" s="2">
        <f>IF(AND(Games[[#This Row],[Type]]="P",Games[[#This Row],[Round]]=4),IF(Games[[#This Row],[Result]]&lt;0.5,1,0),0)</f>
        <v>0</v>
      </c>
    </row>
    <row r="450" spans="1:38" x14ac:dyDescent="0.35">
      <c r="A450" s="10">
        <v>37855</v>
      </c>
      <c r="B450" s="2">
        <v>2003</v>
      </c>
      <c r="C450" s="2">
        <f>COUNTIFS(Games[Team],Games[[#This Row],[Team]],Games[Season],Games[[#This Row],[Season]],Games[Date],"&lt;=" &amp; Games[[#This Row],[Date]])</f>
        <v>32</v>
      </c>
      <c r="D450" s="2" t="s">
        <v>23</v>
      </c>
      <c r="E450" s="2" t="s">
        <v>29</v>
      </c>
      <c r="F450" s="1" t="s">
        <v>80</v>
      </c>
      <c r="G450" s="1" t="s">
        <v>66</v>
      </c>
      <c r="H450" s="1" t="s">
        <v>16</v>
      </c>
      <c r="I450" s="2" cm="1">
        <f t="array" ref="I450">IFERROR(
    Games[[#This Row],[Date]]
    - LOOKUP(
        2,
        1/((Games[Team]=Games[[#This Row],[Team]]) * (Games[Date] &lt; Games[[#This Row],[Date]])),
        Games[Date]
    )
    - 1,
Games[[#This Row],[Date]]-$A$2)</f>
        <v>1</v>
      </c>
      <c r="J450" s="2" cm="1">
        <f t="array" ref="J450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450" s="2">
        <f>Games[[#This Row],[DaysOff]]-Games[[#This Row],[OppDaysOff]]</f>
        <v>1</v>
      </c>
      <c r="L450" s="2">
        <f>Games[[#This Row],[OppDaysOff]]-Games[[#This Row],[DaysOff]]</f>
        <v>-1</v>
      </c>
      <c r="M450" s="1">
        <f>MAX(-16, MIN(16, Games[[#This Row],[RestDiff]]*8))</f>
        <v>8</v>
      </c>
      <c r="N450" s="1">
        <f>MAX(-16, MIN(16, Games[[#This Row],[OppRestDiff]]*8))</f>
        <v>-8</v>
      </c>
      <c r="O450" s="4" cm="1">
        <f t="array" ref="O45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1447.7829040256233</v>
      </c>
      <c r="P450" s="4" cm="1">
        <f t="array" ref="P45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1519.1587612232559</v>
      </c>
      <c r="Q450" s="4">
        <f>1/(1+10^(((Games[[#This Row],[OppPreGmRate]]+IF(Games[[#This Row],[HomeAway]]="A",HCA,0)+Games[[#This Row],[OppRestAdj]])-(Games[[#This Row],[PreGmRate]]+IF(Games[[#This Row],[HomeAway]]="H",HCA,0)+Games[[#This Row],[RestAdj]]))/400))</f>
        <v>0.30953119243746269</v>
      </c>
      <c r="R450" s="1">
        <v>64</v>
      </c>
      <c r="S450" s="1">
        <v>51</v>
      </c>
      <c r="T450" s="1">
        <v>0</v>
      </c>
      <c r="U450" s="1">
        <f>Games[[#This Row],[PointsFor]]-Games[[#This Row],[PointsAgainst]]</f>
        <v>13</v>
      </c>
      <c r="V450" s="1">
        <f>IF(Games[[#This Row],[MOV]]&gt;0,1,IF(Games[[#This Row],[MOV]]=0,0.5,0))</f>
        <v>1</v>
      </c>
      <c r="W450" s="4">
        <f>((ABS(Games[[#This Row],[MOV]])+5)^0.6)/(12+0.01*(ABS(Games[[#This Row],[PreGmRate]]-Games[[#This Row],[OppPreGmRate]])))*IF(Games[[#This Row],[OT]]=1,0.9,1)</f>
        <v>0.44554291602289514</v>
      </c>
      <c r="X450" s="7" cm="1">
        <f t="array" ref="X45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50" s="9">
        <f>MAX(kmin, kmax - 0.15 * MIN(Games[[#This Row],[GamesPlayed]], 82))</f>
        <v>71.2</v>
      </c>
      <c r="Z450" s="4">
        <f>Games[[#This Row],[K]]*Games[[#This Row],[POMult]]</f>
        <v>71.2</v>
      </c>
      <c r="AA450" s="4">
        <f>(Games[[#This Row],[Keff]]*Games[[#This Row],[MOVMult]])*(Games[[#This Row],[Result]]-Games[[#This Row],[ExpectedWin%]])</f>
        <v>21.903504199231609</v>
      </c>
      <c r="AB450" s="4">
        <f>Games[[#This Row],[PreGmRate]]+Games[[#This Row],[RatingChange]]</f>
        <v>1469.6864082248549</v>
      </c>
      <c r="AC450" s="2">
        <f>IF(Games[[#This Row],[Type]]="R",IF(Games[[#This Row],[Result]]&gt;0.5,1,0),0)</f>
        <v>1</v>
      </c>
      <c r="AD450" s="2">
        <f>IF(Games[[#This Row],[Type]]="R",IF(Games[[#This Row],[Result]]&lt;0.5,1,0),0)</f>
        <v>0</v>
      </c>
      <c r="AE450" s="2">
        <f>IF(AND(Games[[#This Row],[Type]]="P",Games[[#This Row],[Round]]=1),IF(Games[[#This Row],[Result]]&gt;0.5,1,0),0)</f>
        <v>0</v>
      </c>
      <c r="AF450" s="2">
        <f>IF(AND(Games[[#This Row],[Type]]="P",Games[[#This Row],[Round]]=1),IF(Games[[#This Row],[Result]]&lt;0.5,1,0),0)</f>
        <v>0</v>
      </c>
      <c r="AG450" s="2">
        <f>IF(AND(Games[[#This Row],[Type]]="P",Games[[#This Row],[Round]]=2),IF(Games[[#This Row],[Result]]&gt;0.5,1,0),0)</f>
        <v>0</v>
      </c>
      <c r="AH450" s="2">
        <f>IF(AND(Games[[#This Row],[Type]]="P",Games[[#This Row],[Round]]=2),IF(Games[[#This Row],[Result]]&lt;0.5,1,0),0)</f>
        <v>0</v>
      </c>
      <c r="AI450" s="2">
        <f>IF(AND(Games[[#This Row],[Type]]="P",Games[[#This Row],[Round]]=3),IF(Games[[#This Row],[Result]]&gt;0.5,1,0),0)</f>
        <v>0</v>
      </c>
      <c r="AJ450" s="2">
        <f>IF(AND(Games[[#This Row],[Type]]="P",Games[[#This Row],[Round]]=3),IF(Games[[#This Row],[Result]]&lt;0.5,1,0),0)</f>
        <v>0</v>
      </c>
      <c r="AK450" s="2">
        <f>IF(AND(Games[[#This Row],[Type]]="P",Games[[#This Row],[Round]]=4),IF(Games[[#This Row],[Result]]&gt;0.5,1,0),0)</f>
        <v>0</v>
      </c>
      <c r="AL450" s="2">
        <f>IF(AND(Games[[#This Row],[Type]]="P",Games[[#This Row],[Round]]=4),IF(Games[[#This Row],[Result]]&lt;0.5,1,0),0)</f>
        <v>0</v>
      </c>
    </row>
    <row r="451" spans="1:38" x14ac:dyDescent="0.35">
      <c r="A451" s="10">
        <v>37855</v>
      </c>
      <c r="B451" s="2">
        <v>2003</v>
      </c>
      <c r="C451" s="2">
        <f>COUNTIFS(Games[Team],Games[[#This Row],[Team]],Games[Season],Games[[#This Row],[Season]],Games[Date],"&lt;=" &amp; Games[[#This Row],[Date]])</f>
        <v>33</v>
      </c>
      <c r="D451" s="2" t="s">
        <v>23</v>
      </c>
      <c r="E451" s="2" t="s">
        <v>29</v>
      </c>
      <c r="F451" s="1" t="s">
        <v>66</v>
      </c>
      <c r="G451" s="1" t="s">
        <v>80</v>
      </c>
      <c r="H451" s="1" t="s">
        <v>15</v>
      </c>
      <c r="I451" s="2" cm="1">
        <f t="array" ref="I451">IFERROR(
    Games[[#This Row],[Date]]
    - LOOKUP(
        2,
        1/((Games[Team]=Games[[#This Row],[Team]]) * (Games[Date] &lt; Games[[#This Row],[Date]])),
        Games[Date]
    )
    - 1,
Games[[#This Row],[Date]]-$A$2)</f>
        <v>0</v>
      </c>
      <c r="J451" s="2" cm="1">
        <f t="array" ref="J45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51" s="2">
        <f>Games[[#This Row],[DaysOff]]-Games[[#This Row],[OppDaysOff]]</f>
        <v>-1</v>
      </c>
      <c r="L451" s="2">
        <f>Games[[#This Row],[OppDaysOff]]-Games[[#This Row],[DaysOff]]</f>
        <v>1</v>
      </c>
      <c r="M451" s="1">
        <f>MAX(-16, MIN(16, Games[[#This Row],[RestDiff]]*8))</f>
        <v>-8</v>
      </c>
      <c r="N451" s="1">
        <f>MAX(-16, MIN(16, Games[[#This Row],[OppRestDiff]]*8))</f>
        <v>8</v>
      </c>
      <c r="O451" s="4" cm="1">
        <f t="array" ref="O45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1519.1587612232559</v>
      </c>
      <c r="P451" s="4" cm="1">
        <f t="array" ref="P45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1447.7829040256233</v>
      </c>
      <c r="Q451" s="4">
        <f>1/(1+10^(((Games[[#This Row],[OppPreGmRate]]+IF(Games[[#This Row],[HomeAway]]="A",HCA,0)+Games[[#This Row],[OppRestAdj]])-(Games[[#This Row],[PreGmRate]]+IF(Games[[#This Row],[HomeAway]]="H",HCA,0)+Games[[#This Row],[RestAdj]]))/400))</f>
        <v>0.69046880756253726</v>
      </c>
      <c r="R451" s="1">
        <v>51</v>
      </c>
      <c r="S451" s="1">
        <v>64</v>
      </c>
      <c r="T451" s="1">
        <v>0</v>
      </c>
      <c r="U451" s="1">
        <f>Games[[#This Row],[PointsFor]]-Games[[#This Row],[PointsAgainst]]</f>
        <v>-13</v>
      </c>
      <c r="V451" s="1">
        <f>IF(Games[[#This Row],[MOV]]&gt;0,1,IF(Games[[#This Row],[MOV]]=0,0.5,0))</f>
        <v>0</v>
      </c>
      <c r="W451" s="4">
        <f>((ABS(Games[[#This Row],[MOV]])+5)^0.6)/(12+0.01*(ABS(Games[[#This Row],[PreGmRate]]-Games[[#This Row],[OppPreGmRate]])))*IF(Games[[#This Row],[OT]]=1,0.9,1)</f>
        <v>0.44554291602289514</v>
      </c>
      <c r="X451" s="7" cm="1">
        <f t="array" ref="X45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51" s="9">
        <f>MAX(kmin, kmax - 0.15 * MIN(Games[[#This Row],[GamesPlayed]], 82))</f>
        <v>71.05</v>
      </c>
      <c r="Z451" s="4">
        <f>Games[[#This Row],[K]]*Games[[#This Row],[POMult]]</f>
        <v>71.05</v>
      </c>
      <c r="AA451" s="4">
        <f>(Games[[#This Row],[Keff]]*Games[[#This Row],[MOVMult]])*(Games[[#This Row],[Result]]-Games[[#This Row],[ExpectedWin%]])</f>
        <v>-21.857359176339962</v>
      </c>
      <c r="AB451" s="4">
        <f>Games[[#This Row],[PreGmRate]]+Games[[#This Row],[RatingChange]]</f>
        <v>1497.3014020469159</v>
      </c>
      <c r="AC451" s="2">
        <f>IF(Games[[#This Row],[Type]]="R",IF(Games[[#This Row],[Result]]&gt;0.5,1,0),0)</f>
        <v>0</v>
      </c>
      <c r="AD451" s="2">
        <f>IF(Games[[#This Row],[Type]]="R",IF(Games[[#This Row],[Result]]&lt;0.5,1,0),0)</f>
        <v>1</v>
      </c>
      <c r="AE451" s="2">
        <f>IF(AND(Games[[#This Row],[Type]]="P",Games[[#This Row],[Round]]=1),IF(Games[[#This Row],[Result]]&gt;0.5,1,0),0)</f>
        <v>0</v>
      </c>
      <c r="AF451" s="2">
        <f>IF(AND(Games[[#This Row],[Type]]="P",Games[[#This Row],[Round]]=1),IF(Games[[#This Row],[Result]]&lt;0.5,1,0),0)</f>
        <v>0</v>
      </c>
      <c r="AG451" s="2">
        <f>IF(AND(Games[[#This Row],[Type]]="P",Games[[#This Row],[Round]]=2),IF(Games[[#This Row],[Result]]&gt;0.5,1,0),0)</f>
        <v>0</v>
      </c>
      <c r="AH451" s="2">
        <f>IF(AND(Games[[#This Row],[Type]]="P",Games[[#This Row],[Round]]=2),IF(Games[[#This Row],[Result]]&lt;0.5,1,0),0)</f>
        <v>0</v>
      </c>
      <c r="AI451" s="2">
        <f>IF(AND(Games[[#This Row],[Type]]="P",Games[[#This Row],[Round]]=3),IF(Games[[#This Row],[Result]]&gt;0.5,1,0),0)</f>
        <v>0</v>
      </c>
      <c r="AJ451" s="2">
        <f>IF(AND(Games[[#This Row],[Type]]="P",Games[[#This Row],[Round]]=3),IF(Games[[#This Row],[Result]]&lt;0.5,1,0),0)</f>
        <v>0</v>
      </c>
      <c r="AK451" s="2">
        <f>IF(AND(Games[[#This Row],[Type]]="P",Games[[#This Row],[Round]]=4),IF(Games[[#This Row],[Result]]&gt;0.5,1,0),0)</f>
        <v>0</v>
      </c>
      <c r="AL451" s="2">
        <f>IF(AND(Games[[#This Row],[Type]]="P",Games[[#This Row],[Round]]=4),IF(Games[[#This Row],[Result]]&lt;0.5,1,0),0)</f>
        <v>0</v>
      </c>
    </row>
    <row r="452" spans="1:38" x14ac:dyDescent="0.35">
      <c r="A452" s="10">
        <v>37855</v>
      </c>
      <c r="B452" s="2">
        <v>2003</v>
      </c>
      <c r="C452" s="2">
        <f>COUNTIFS(Games[Team],Games[[#This Row],[Team]],Games[Season],Games[[#This Row],[Season]],Games[Date],"&lt;=" &amp; Games[[#This Row],[Date]])</f>
        <v>33</v>
      </c>
      <c r="D452" s="2" t="s">
        <v>23</v>
      </c>
      <c r="E452" s="2" t="s">
        <v>29</v>
      </c>
      <c r="F452" s="1" t="s">
        <v>85</v>
      </c>
      <c r="G452" s="1" t="s">
        <v>44</v>
      </c>
      <c r="H452" s="1" t="s">
        <v>16</v>
      </c>
      <c r="I452" s="2" cm="1">
        <f t="array" ref="I452">IFERROR(
    Games[[#This Row],[Date]]
    - LOOKUP(
        2,
        1/((Games[Team]=Games[[#This Row],[Team]]) * (Games[Date] &lt; Games[[#This Row],[Date]])),
        Games[Date]
    )
    - 1,
Games[[#This Row],[Date]]-$A$2)</f>
        <v>1</v>
      </c>
      <c r="J452" s="2" cm="1">
        <f t="array" ref="J45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52" s="2">
        <f>Games[[#This Row],[DaysOff]]-Games[[#This Row],[OppDaysOff]]</f>
        <v>0</v>
      </c>
      <c r="L452" s="2">
        <f>Games[[#This Row],[OppDaysOff]]-Games[[#This Row],[DaysOff]]</f>
        <v>0</v>
      </c>
      <c r="M452" s="1">
        <f>MAX(-16, MIN(16, Games[[#This Row],[RestDiff]]*8))</f>
        <v>0</v>
      </c>
      <c r="N452" s="1">
        <f>MAX(-16, MIN(16, Games[[#This Row],[OppRestDiff]]*8))</f>
        <v>0</v>
      </c>
      <c r="O452" s="4" cm="1">
        <f t="array" ref="O45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1432.8506419591124</v>
      </c>
      <c r="P452" s="4" cm="1">
        <f t="array" ref="P45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1355.2233468761838</v>
      </c>
      <c r="Q452" s="4">
        <f>1/(1+10^(((Games[[#This Row],[OppPreGmRate]]+IF(Games[[#This Row],[HomeAway]]="A",HCA,0)+Games[[#This Row],[OppRestAdj]])-(Games[[#This Row],[PreGmRate]]+IF(Games[[#This Row],[HomeAway]]="H",HCA,0)+Games[[#This Row],[RestAdj]]))/400))</f>
        <v>0.49082996875494178</v>
      </c>
      <c r="R452" s="1">
        <v>62</v>
      </c>
      <c r="S452" s="1">
        <v>89</v>
      </c>
      <c r="T452" s="1">
        <v>0</v>
      </c>
      <c r="U452" s="1">
        <f>Games[[#This Row],[PointsFor]]-Games[[#This Row],[PointsAgainst]]</f>
        <v>-27</v>
      </c>
      <c r="V452" s="1">
        <f>IF(Games[[#This Row],[MOV]]&gt;0,1,IF(Games[[#This Row],[MOV]]=0,0.5,0))</f>
        <v>0</v>
      </c>
      <c r="W452" s="4">
        <f>((ABS(Games[[#This Row],[MOV]])+5)^0.6)/(12+0.01*(ABS(Games[[#This Row],[PreGmRate]]-Games[[#This Row],[OppPreGmRate]])))*IF(Games[[#This Row],[OT]]=1,0.9,1)</f>
        <v>0.62616069888212056</v>
      </c>
      <c r="X452" s="7" cm="1">
        <f t="array" ref="X45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52" s="9">
        <f>MAX(kmin, kmax - 0.15 * MIN(Games[[#This Row],[GamesPlayed]], 82))</f>
        <v>71.05</v>
      </c>
      <c r="Z452" s="4">
        <f>Games[[#This Row],[K]]*Games[[#This Row],[POMult]]</f>
        <v>71.05</v>
      </c>
      <c r="AA452" s="4">
        <f>(Games[[#This Row],[Keff]]*Games[[#This Row],[MOVMult]])*(Games[[#This Row],[Result]]-Games[[#This Row],[ExpectedWin%]])</f>
        <v>-21.836395896833139</v>
      </c>
      <c r="AB452" s="4">
        <f>Games[[#This Row],[PreGmRate]]+Games[[#This Row],[RatingChange]]</f>
        <v>1411.0142460622792</v>
      </c>
      <c r="AC452" s="2">
        <f>IF(Games[[#This Row],[Type]]="R",IF(Games[[#This Row],[Result]]&gt;0.5,1,0),0)</f>
        <v>0</v>
      </c>
      <c r="AD452" s="2">
        <f>IF(Games[[#This Row],[Type]]="R",IF(Games[[#This Row],[Result]]&lt;0.5,1,0),0)</f>
        <v>1</v>
      </c>
      <c r="AE452" s="2">
        <f>IF(AND(Games[[#This Row],[Type]]="P",Games[[#This Row],[Round]]=1),IF(Games[[#This Row],[Result]]&gt;0.5,1,0),0)</f>
        <v>0</v>
      </c>
      <c r="AF452" s="2">
        <f>IF(AND(Games[[#This Row],[Type]]="P",Games[[#This Row],[Round]]=1),IF(Games[[#This Row],[Result]]&lt;0.5,1,0),0)</f>
        <v>0</v>
      </c>
      <c r="AG452" s="2">
        <f>IF(AND(Games[[#This Row],[Type]]="P",Games[[#This Row],[Round]]=2),IF(Games[[#This Row],[Result]]&gt;0.5,1,0),0)</f>
        <v>0</v>
      </c>
      <c r="AH452" s="2">
        <f>IF(AND(Games[[#This Row],[Type]]="P",Games[[#This Row],[Round]]=2),IF(Games[[#This Row],[Result]]&lt;0.5,1,0),0)</f>
        <v>0</v>
      </c>
      <c r="AI452" s="2">
        <f>IF(AND(Games[[#This Row],[Type]]="P",Games[[#This Row],[Round]]=3),IF(Games[[#This Row],[Result]]&gt;0.5,1,0),0)</f>
        <v>0</v>
      </c>
      <c r="AJ452" s="2">
        <f>IF(AND(Games[[#This Row],[Type]]="P",Games[[#This Row],[Round]]=3),IF(Games[[#This Row],[Result]]&lt;0.5,1,0),0)</f>
        <v>0</v>
      </c>
      <c r="AK452" s="2">
        <f>IF(AND(Games[[#This Row],[Type]]="P",Games[[#This Row],[Round]]=4),IF(Games[[#This Row],[Result]]&gt;0.5,1,0),0)</f>
        <v>0</v>
      </c>
      <c r="AL452" s="2">
        <f>IF(AND(Games[[#This Row],[Type]]="P",Games[[#This Row],[Round]]=4),IF(Games[[#This Row],[Result]]&lt;0.5,1,0),0)</f>
        <v>0</v>
      </c>
    </row>
    <row r="453" spans="1:38" x14ac:dyDescent="0.35">
      <c r="A453" s="10">
        <v>37855</v>
      </c>
      <c r="B453" s="2">
        <v>2003</v>
      </c>
      <c r="C453" s="2">
        <f>COUNTIFS(Games[Team],Games[[#This Row],[Team]],Games[Season],Games[[#This Row],[Season]],Games[Date],"&lt;=" &amp; Games[[#This Row],[Date]])</f>
        <v>33</v>
      </c>
      <c r="D453" s="2" t="s">
        <v>23</v>
      </c>
      <c r="E453" s="2" t="s">
        <v>29</v>
      </c>
      <c r="F453" s="1" t="s">
        <v>44</v>
      </c>
      <c r="G453" s="1" t="s">
        <v>85</v>
      </c>
      <c r="H453" s="1" t="s">
        <v>15</v>
      </c>
      <c r="I453" s="2" cm="1">
        <f t="array" ref="I453">IFERROR(
    Games[[#This Row],[Date]]
    - LOOKUP(
        2,
        1/((Games[Team]=Games[[#This Row],[Team]]) * (Games[Date] &lt; Games[[#This Row],[Date]])),
        Games[Date]
    )
    - 1,
Games[[#This Row],[Date]]-$A$2)</f>
        <v>1</v>
      </c>
      <c r="J453" s="2" cm="1">
        <f t="array" ref="J45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53" s="2">
        <f>Games[[#This Row],[DaysOff]]-Games[[#This Row],[OppDaysOff]]</f>
        <v>0</v>
      </c>
      <c r="L453" s="2">
        <f>Games[[#This Row],[OppDaysOff]]-Games[[#This Row],[DaysOff]]</f>
        <v>0</v>
      </c>
      <c r="M453" s="1">
        <f>MAX(-16, MIN(16, Games[[#This Row],[RestDiff]]*8))</f>
        <v>0</v>
      </c>
      <c r="N453" s="1">
        <f>MAX(-16, MIN(16, Games[[#This Row],[OppRestDiff]]*8))</f>
        <v>0</v>
      </c>
      <c r="O453" s="4" cm="1">
        <f t="array" ref="O45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1355.2233468761838</v>
      </c>
      <c r="P453" s="4" cm="1">
        <f t="array" ref="P45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1432.8506419591124</v>
      </c>
      <c r="Q453" s="4">
        <f>1/(1+10^(((Games[[#This Row],[OppPreGmRate]]+IF(Games[[#This Row],[HomeAway]]="A",HCA,0)+Games[[#This Row],[OppRestAdj]])-(Games[[#This Row],[PreGmRate]]+IF(Games[[#This Row],[HomeAway]]="H",HCA,0)+Games[[#This Row],[RestAdj]]))/400))</f>
        <v>0.50917003124505822</v>
      </c>
      <c r="R453" s="1">
        <v>89</v>
      </c>
      <c r="S453" s="1">
        <v>62</v>
      </c>
      <c r="T453" s="1">
        <v>0</v>
      </c>
      <c r="U453" s="1">
        <f>Games[[#This Row],[PointsFor]]-Games[[#This Row],[PointsAgainst]]</f>
        <v>27</v>
      </c>
      <c r="V453" s="1">
        <f>IF(Games[[#This Row],[MOV]]&gt;0,1,IF(Games[[#This Row],[MOV]]=0,0.5,0))</f>
        <v>1</v>
      </c>
      <c r="W453" s="4">
        <f>((ABS(Games[[#This Row],[MOV]])+5)^0.6)/(12+0.01*(ABS(Games[[#This Row],[PreGmRate]]-Games[[#This Row],[OppPreGmRate]])))*IF(Games[[#This Row],[OT]]=1,0.9,1)</f>
        <v>0.62616069888212056</v>
      </c>
      <c r="X453" s="7" cm="1">
        <f t="array" ref="X45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53" s="9">
        <f>MAX(kmin, kmax - 0.15 * MIN(Games[[#This Row],[GamesPlayed]], 82))</f>
        <v>71.05</v>
      </c>
      <c r="Z453" s="4">
        <f>Games[[#This Row],[K]]*Games[[#This Row],[POMult]]</f>
        <v>71.05</v>
      </c>
      <c r="AA453" s="4">
        <f>(Games[[#This Row],[Keff]]*Games[[#This Row],[MOVMult]])*(Games[[#This Row],[Result]]-Games[[#This Row],[ExpectedWin%]])</f>
        <v>21.836395896833139</v>
      </c>
      <c r="AB453" s="4">
        <f>Games[[#This Row],[PreGmRate]]+Games[[#This Row],[RatingChange]]</f>
        <v>1377.059742773017</v>
      </c>
      <c r="AC453" s="2">
        <f>IF(Games[[#This Row],[Type]]="R",IF(Games[[#This Row],[Result]]&gt;0.5,1,0),0)</f>
        <v>1</v>
      </c>
      <c r="AD453" s="2">
        <f>IF(Games[[#This Row],[Type]]="R",IF(Games[[#This Row],[Result]]&lt;0.5,1,0),0)</f>
        <v>0</v>
      </c>
      <c r="AE453" s="2">
        <f>IF(AND(Games[[#This Row],[Type]]="P",Games[[#This Row],[Round]]=1),IF(Games[[#This Row],[Result]]&gt;0.5,1,0),0)</f>
        <v>0</v>
      </c>
      <c r="AF453" s="2">
        <f>IF(AND(Games[[#This Row],[Type]]="P",Games[[#This Row],[Round]]=1),IF(Games[[#This Row],[Result]]&lt;0.5,1,0),0)</f>
        <v>0</v>
      </c>
      <c r="AG453" s="2">
        <f>IF(AND(Games[[#This Row],[Type]]="P",Games[[#This Row],[Round]]=2),IF(Games[[#This Row],[Result]]&gt;0.5,1,0),0)</f>
        <v>0</v>
      </c>
      <c r="AH453" s="2">
        <f>IF(AND(Games[[#This Row],[Type]]="P",Games[[#This Row],[Round]]=2),IF(Games[[#This Row],[Result]]&lt;0.5,1,0),0)</f>
        <v>0</v>
      </c>
      <c r="AI453" s="2">
        <f>IF(AND(Games[[#This Row],[Type]]="P",Games[[#This Row],[Round]]=3),IF(Games[[#This Row],[Result]]&gt;0.5,1,0),0)</f>
        <v>0</v>
      </c>
      <c r="AJ453" s="2">
        <f>IF(AND(Games[[#This Row],[Type]]="P",Games[[#This Row],[Round]]=3),IF(Games[[#This Row],[Result]]&lt;0.5,1,0),0)</f>
        <v>0</v>
      </c>
      <c r="AK453" s="2">
        <f>IF(AND(Games[[#This Row],[Type]]="P",Games[[#This Row],[Round]]=4),IF(Games[[#This Row],[Result]]&gt;0.5,1,0),0)</f>
        <v>0</v>
      </c>
      <c r="AL453" s="2">
        <f>IF(AND(Games[[#This Row],[Type]]="P",Games[[#This Row],[Round]]=4),IF(Games[[#This Row],[Result]]&lt;0.5,1,0),0)</f>
        <v>0</v>
      </c>
    </row>
    <row r="454" spans="1:38" x14ac:dyDescent="0.35">
      <c r="A454" s="10">
        <v>37856</v>
      </c>
      <c r="B454" s="2">
        <v>2003</v>
      </c>
      <c r="C454" s="2">
        <f>COUNTIFS(Games[Team],Games[[#This Row],[Team]],Games[Season],Games[[#This Row],[Season]],Games[Date],"&lt;=" &amp; Games[[#This Row],[Date]])</f>
        <v>33</v>
      </c>
      <c r="D454" s="2" t="s">
        <v>23</v>
      </c>
      <c r="E454" s="2" t="s">
        <v>29</v>
      </c>
      <c r="F454" s="1" t="s">
        <v>1</v>
      </c>
      <c r="G454" s="1" t="s">
        <v>80</v>
      </c>
      <c r="H454" s="1" t="s">
        <v>16</v>
      </c>
      <c r="I454" s="2" cm="1">
        <f t="array" ref="I454">IFERROR(
    Games[[#This Row],[Date]]
    - LOOKUP(
        2,
        1/((Games[Team]=Games[[#This Row],[Team]]) * (Games[Date] &lt; Games[[#This Row],[Date]])),
        Games[Date]
    )
    - 1,
Games[[#This Row],[Date]]-$A$2)</f>
        <v>1</v>
      </c>
      <c r="J454" s="2" cm="1">
        <f t="array" ref="J454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454" s="2">
        <f>Games[[#This Row],[DaysOff]]-Games[[#This Row],[OppDaysOff]]</f>
        <v>1</v>
      </c>
      <c r="L454" s="2">
        <f>Games[[#This Row],[OppDaysOff]]-Games[[#This Row],[DaysOff]]</f>
        <v>-1</v>
      </c>
      <c r="M454" s="1">
        <f>MAX(-16, MIN(16, Games[[#This Row],[RestDiff]]*8))</f>
        <v>8</v>
      </c>
      <c r="N454" s="1">
        <f>MAX(-16, MIN(16, Games[[#This Row],[OppRestDiff]]*8))</f>
        <v>-8</v>
      </c>
      <c r="O454" s="4" cm="1">
        <f t="array" ref="O45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1473.6326896728315</v>
      </c>
      <c r="P454" s="4" cm="1">
        <f t="array" ref="P45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1469.6864082248549</v>
      </c>
      <c r="Q454" s="4">
        <f>1/(1+10^(((Games[[#This Row],[OppPreGmRate]]+IF(Games[[#This Row],[HomeAway]]="A",HCA,0)+Games[[#This Row],[OppRestAdj]])-(Games[[#This Row],[PreGmRate]]+IF(Games[[#This Row],[HomeAway]]="H",HCA,0)+Games[[#This Row],[RestAdj]]))/400))</f>
        <v>0.40884966356023023</v>
      </c>
      <c r="R454" s="1">
        <v>46</v>
      </c>
      <c r="S454" s="1">
        <v>59</v>
      </c>
      <c r="T454" s="1">
        <v>0</v>
      </c>
      <c r="U454" s="1">
        <f>Games[[#This Row],[PointsFor]]-Games[[#This Row],[PointsAgainst]]</f>
        <v>-13</v>
      </c>
      <c r="V454" s="1">
        <f>IF(Games[[#This Row],[MOV]]&gt;0,1,IF(Games[[#This Row],[MOV]]=0,0.5,0))</f>
        <v>0</v>
      </c>
      <c r="W454" s="4">
        <f>((ABS(Games[[#This Row],[MOV]])+5)^0.6)/(12+0.01*(ABS(Games[[#This Row],[PreGmRate]]-Games[[#This Row],[OppPreGmRate]])))*IF(Games[[#This Row],[OT]]=1,0.9,1)</f>
        <v>0.47049649598624382</v>
      </c>
      <c r="X454" s="7" cm="1">
        <f t="array" ref="X45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54" s="9">
        <f>MAX(kmin, kmax - 0.15 * MIN(Games[[#This Row],[GamesPlayed]], 82))</f>
        <v>71.05</v>
      </c>
      <c r="Z454" s="4">
        <f>Games[[#This Row],[K]]*Games[[#This Row],[POMult]]</f>
        <v>71.05</v>
      </c>
      <c r="AA454" s="4">
        <f>(Games[[#This Row],[Keff]]*Games[[#This Row],[MOVMult]])*(Games[[#This Row],[Result]]-Games[[#This Row],[ExpectedWin%]])</f>
        <v>-13.667343837111764</v>
      </c>
      <c r="AB454" s="4">
        <f>Games[[#This Row],[PreGmRate]]+Games[[#This Row],[RatingChange]]</f>
        <v>1459.9653458357197</v>
      </c>
      <c r="AC454" s="2">
        <f>IF(Games[[#This Row],[Type]]="R",IF(Games[[#This Row],[Result]]&gt;0.5,1,0),0)</f>
        <v>0</v>
      </c>
      <c r="AD454" s="2">
        <f>IF(Games[[#This Row],[Type]]="R",IF(Games[[#This Row],[Result]]&lt;0.5,1,0),0)</f>
        <v>1</v>
      </c>
      <c r="AE454" s="2">
        <f>IF(AND(Games[[#This Row],[Type]]="P",Games[[#This Row],[Round]]=1),IF(Games[[#This Row],[Result]]&gt;0.5,1,0),0)</f>
        <v>0</v>
      </c>
      <c r="AF454" s="2">
        <f>IF(AND(Games[[#This Row],[Type]]="P",Games[[#This Row],[Round]]=1),IF(Games[[#This Row],[Result]]&lt;0.5,1,0),0)</f>
        <v>0</v>
      </c>
      <c r="AG454" s="2">
        <f>IF(AND(Games[[#This Row],[Type]]="P",Games[[#This Row],[Round]]=2),IF(Games[[#This Row],[Result]]&gt;0.5,1,0),0)</f>
        <v>0</v>
      </c>
      <c r="AH454" s="2">
        <f>IF(AND(Games[[#This Row],[Type]]="P",Games[[#This Row],[Round]]=2),IF(Games[[#This Row],[Result]]&lt;0.5,1,0),0)</f>
        <v>0</v>
      </c>
      <c r="AI454" s="2">
        <f>IF(AND(Games[[#This Row],[Type]]="P",Games[[#This Row],[Round]]=3),IF(Games[[#This Row],[Result]]&gt;0.5,1,0),0)</f>
        <v>0</v>
      </c>
      <c r="AJ454" s="2">
        <f>IF(AND(Games[[#This Row],[Type]]="P",Games[[#This Row],[Round]]=3),IF(Games[[#This Row],[Result]]&lt;0.5,1,0),0)</f>
        <v>0</v>
      </c>
      <c r="AK454" s="2">
        <f>IF(AND(Games[[#This Row],[Type]]="P",Games[[#This Row],[Round]]=4),IF(Games[[#This Row],[Result]]&gt;0.5,1,0),0)</f>
        <v>0</v>
      </c>
      <c r="AL454" s="2">
        <f>IF(AND(Games[[#This Row],[Type]]="P",Games[[#This Row],[Round]]=4),IF(Games[[#This Row],[Result]]&lt;0.5,1,0),0)</f>
        <v>0</v>
      </c>
    </row>
    <row r="455" spans="1:38" x14ac:dyDescent="0.35">
      <c r="A455" s="10">
        <v>37856</v>
      </c>
      <c r="B455" s="2">
        <v>2003</v>
      </c>
      <c r="C455" s="2">
        <f>COUNTIFS(Games[Team],Games[[#This Row],[Team]],Games[Season],Games[[#This Row],[Season]],Games[Date],"&lt;=" &amp; Games[[#This Row],[Date]])</f>
        <v>33</v>
      </c>
      <c r="D455" s="2" t="s">
        <v>23</v>
      </c>
      <c r="E455" s="2" t="s">
        <v>29</v>
      </c>
      <c r="F455" s="1" t="s">
        <v>80</v>
      </c>
      <c r="G455" s="1" t="s">
        <v>1</v>
      </c>
      <c r="H455" s="1" t="s">
        <v>15</v>
      </c>
      <c r="I455" s="2" cm="1">
        <f t="array" ref="I455">IFERROR(
    Games[[#This Row],[Date]]
    - LOOKUP(
        2,
        1/((Games[Team]=Games[[#This Row],[Team]]) * (Games[Date] &lt; Games[[#This Row],[Date]])),
        Games[Date]
    )
    - 1,
Games[[#This Row],[Date]]-$A$2)</f>
        <v>0</v>
      </c>
      <c r="J455" s="2" cm="1">
        <f t="array" ref="J45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55" s="2">
        <f>Games[[#This Row],[DaysOff]]-Games[[#This Row],[OppDaysOff]]</f>
        <v>-1</v>
      </c>
      <c r="L455" s="2">
        <f>Games[[#This Row],[OppDaysOff]]-Games[[#This Row],[DaysOff]]</f>
        <v>1</v>
      </c>
      <c r="M455" s="1">
        <f>MAX(-16, MIN(16, Games[[#This Row],[RestDiff]]*8))</f>
        <v>-8</v>
      </c>
      <c r="N455" s="1">
        <f>MAX(-16, MIN(16, Games[[#This Row],[OppRestDiff]]*8))</f>
        <v>8</v>
      </c>
      <c r="O455" s="4" cm="1">
        <f t="array" ref="O45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1469.6864082248549</v>
      </c>
      <c r="P455" s="4" cm="1">
        <f t="array" ref="P45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1473.6326896728315</v>
      </c>
      <c r="Q455" s="4">
        <f>1/(1+10^(((Games[[#This Row],[OppPreGmRate]]+IF(Games[[#This Row],[HomeAway]]="A",HCA,0)+Games[[#This Row],[OppRestAdj]])-(Games[[#This Row],[PreGmRate]]+IF(Games[[#This Row],[HomeAway]]="H",HCA,0)+Games[[#This Row],[RestAdj]]))/400))</f>
        <v>0.59115033643976977</v>
      </c>
      <c r="R455" s="1">
        <v>59</v>
      </c>
      <c r="S455" s="1">
        <v>46</v>
      </c>
      <c r="T455" s="1">
        <v>0</v>
      </c>
      <c r="U455" s="1">
        <f>Games[[#This Row],[PointsFor]]-Games[[#This Row],[PointsAgainst]]</f>
        <v>13</v>
      </c>
      <c r="V455" s="1">
        <f>IF(Games[[#This Row],[MOV]]&gt;0,1,IF(Games[[#This Row],[MOV]]=0,0.5,0))</f>
        <v>1</v>
      </c>
      <c r="W455" s="4">
        <f>((ABS(Games[[#This Row],[MOV]])+5)^0.6)/(12+0.01*(ABS(Games[[#This Row],[PreGmRate]]-Games[[#This Row],[OppPreGmRate]])))*IF(Games[[#This Row],[OT]]=1,0.9,1)</f>
        <v>0.47049649598624382</v>
      </c>
      <c r="X455" s="7" cm="1">
        <f t="array" ref="X45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55" s="9">
        <f>MAX(kmin, kmax - 0.15 * MIN(Games[[#This Row],[GamesPlayed]], 82))</f>
        <v>71.05</v>
      </c>
      <c r="Z455" s="4">
        <f>Games[[#This Row],[K]]*Games[[#This Row],[POMult]]</f>
        <v>71.05</v>
      </c>
      <c r="AA455" s="4">
        <f>(Games[[#This Row],[Keff]]*Games[[#This Row],[MOVMult]])*(Games[[#This Row],[Result]]-Games[[#This Row],[ExpectedWin%]])</f>
        <v>13.667343837111764</v>
      </c>
      <c r="AB455" s="4">
        <f>Games[[#This Row],[PreGmRate]]+Games[[#This Row],[RatingChange]]</f>
        <v>1483.3537520619666</v>
      </c>
      <c r="AC455" s="2">
        <f>IF(Games[[#This Row],[Type]]="R",IF(Games[[#This Row],[Result]]&gt;0.5,1,0),0)</f>
        <v>1</v>
      </c>
      <c r="AD455" s="2">
        <f>IF(Games[[#This Row],[Type]]="R",IF(Games[[#This Row],[Result]]&lt;0.5,1,0),0)</f>
        <v>0</v>
      </c>
      <c r="AE455" s="2">
        <f>IF(AND(Games[[#This Row],[Type]]="P",Games[[#This Row],[Round]]=1),IF(Games[[#This Row],[Result]]&gt;0.5,1,0),0)</f>
        <v>0</v>
      </c>
      <c r="AF455" s="2">
        <f>IF(AND(Games[[#This Row],[Type]]="P",Games[[#This Row],[Round]]=1),IF(Games[[#This Row],[Result]]&lt;0.5,1,0),0)</f>
        <v>0</v>
      </c>
      <c r="AG455" s="2">
        <f>IF(AND(Games[[#This Row],[Type]]="P",Games[[#This Row],[Round]]=2),IF(Games[[#This Row],[Result]]&gt;0.5,1,0),0)</f>
        <v>0</v>
      </c>
      <c r="AH455" s="2">
        <f>IF(AND(Games[[#This Row],[Type]]="P",Games[[#This Row],[Round]]=2),IF(Games[[#This Row],[Result]]&lt;0.5,1,0),0)</f>
        <v>0</v>
      </c>
      <c r="AI455" s="2">
        <f>IF(AND(Games[[#This Row],[Type]]="P",Games[[#This Row],[Round]]=3),IF(Games[[#This Row],[Result]]&gt;0.5,1,0),0)</f>
        <v>0</v>
      </c>
      <c r="AJ455" s="2">
        <f>IF(AND(Games[[#This Row],[Type]]="P",Games[[#This Row],[Round]]=3),IF(Games[[#This Row],[Result]]&lt;0.5,1,0),0)</f>
        <v>0</v>
      </c>
      <c r="AK455" s="2">
        <f>IF(AND(Games[[#This Row],[Type]]="P",Games[[#This Row],[Round]]=4),IF(Games[[#This Row],[Result]]&gt;0.5,1,0),0)</f>
        <v>0</v>
      </c>
      <c r="AL455" s="2">
        <f>IF(AND(Games[[#This Row],[Type]]="P",Games[[#This Row],[Round]]=4),IF(Games[[#This Row],[Result]]&lt;0.5,1,0),0)</f>
        <v>0</v>
      </c>
    </row>
    <row r="456" spans="1:38" x14ac:dyDescent="0.35">
      <c r="A456" s="10">
        <v>37856</v>
      </c>
      <c r="B456" s="2">
        <v>2003</v>
      </c>
      <c r="C456" s="2">
        <f>COUNTIFS(Games[Team],Games[[#This Row],[Team]],Games[Season],Games[[#This Row],[Season]],Games[Date],"&lt;=" &amp; Games[[#This Row],[Date]])</f>
        <v>34</v>
      </c>
      <c r="D456" s="2" t="s">
        <v>23</v>
      </c>
      <c r="E456" s="2" t="s">
        <v>29</v>
      </c>
      <c r="F456" s="1" t="s">
        <v>85</v>
      </c>
      <c r="G456" s="1" t="s">
        <v>71</v>
      </c>
      <c r="H456" s="1" t="s">
        <v>16</v>
      </c>
      <c r="I456" s="2" cm="1">
        <f t="array" ref="I456">IFERROR(
    Games[[#This Row],[Date]]
    - LOOKUP(
        2,
        1/((Games[Team]=Games[[#This Row],[Team]]) * (Games[Date] &lt; Games[[#This Row],[Date]])),
        Games[Date]
    )
    - 1,
Games[[#This Row],[Date]]-$A$2)</f>
        <v>0</v>
      </c>
      <c r="J456" s="2" cm="1">
        <f t="array" ref="J45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56" s="2">
        <f>Games[[#This Row],[DaysOff]]-Games[[#This Row],[OppDaysOff]]</f>
        <v>-1</v>
      </c>
      <c r="L456" s="2">
        <f>Games[[#This Row],[OppDaysOff]]-Games[[#This Row],[DaysOff]]</f>
        <v>1</v>
      </c>
      <c r="M456" s="1">
        <f>MAX(-16, MIN(16, Games[[#This Row],[RestDiff]]*8))</f>
        <v>-8</v>
      </c>
      <c r="N456" s="1">
        <f>MAX(-16, MIN(16, Games[[#This Row],[OppRestDiff]]*8))</f>
        <v>8</v>
      </c>
      <c r="O456" s="4" cm="1">
        <f t="array" ref="O45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1411.0142460622792</v>
      </c>
      <c r="P456" s="4" cm="1">
        <f t="array" ref="P45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1599.3577625869182</v>
      </c>
      <c r="Q456" s="4">
        <f>1/(1+10^(((Games[[#This Row],[OppPreGmRate]]+IF(Games[[#This Row],[HomeAway]]="A",HCA,0)+Games[[#This Row],[OppRestAdj]])-(Games[[#This Row],[PreGmRate]]+IF(Games[[#This Row],[HomeAway]]="H",HCA,0)+Games[[#This Row],[RestAdj]]))/400))</f>
        <v>0.15978364979422585</v>
      </c>
      <c r="R456" s="1">
        <v>70</v>
      </c>
      <c r="S456" s="1">
        <v>83</v>
      </c>
      <c r="T456" s="1">
        <v>0</v>
      </c>
      <c r="U456" s="1">
        <f>Games[[#This Row],[PointsFor]]-Games[[#This Row],[PointsAgainst]]</f>
        <v>-13</v>
      </c>
      <c r="V456" s="1">
        <f>IF(Games[[#This Row],[MOV]]&gt;0,1,IF(Games[[#This Row],[MOV]]=0,0.5,0))</f>
        <v>0</v>
      </c>
      <c r="W456" s="4">
        <f>((ABS(Games[[#This Row],[MOV]])+5)^0.6)/(12+0.01*(ABS(Games[[#This Row],[PreGmRate]]-Games[[#This Row],[OppPreGmRate]])))*IF(Games[[#This Row],[OT]]=1,0.9,1)</f>
        <v>0.40800601582734314</v>
      </c>
      <c r="X456" s="7" cm="1">
        <f t="array" ref="X45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56" s="9">
        <f>MAX(kmin, kmax - 0.15 * MIN(Games[[#This Row],[GamesPlayed]], 82))</f>
        <v>70.900000000000006</v>
      </c>
      <c r="Z456" s="4">
        <f>Games[[#This Row],[K]]*Games[[#This Row],[POMult]]</f>
        <v>70.900000000000006</v>
      </c>
      <c r="AA456" s="4">
        <f>(Games[[#This Row],[Keff]]*Games[[#This Row],[MOVMult]])*(Games[[#This Row],[Result]]-Games[[#This Row],[ExpectedWin%]])</f>
        <v>-4.6221617455947541</v>
      </c>
      <c r="AB456" s="4">
        <f>Games[[#This Row],[PreGmRate]]+Games[[#This Row],[RatingChange]]</f>
        <v>1406.3920843166845</v>
      </c>
      <c r="AC456" s="2">
        <f>IF(Games[[#This Row],[Type]]="R",IF(Games[[#This Row],[Result]]&gt;0.5,1,0),0)</f>
        <v>0</v>
      </c>
      <c r="AD456" s="2">
        <f>IF(Games[[#This Row],[Type]]="R",IF(Games[[#This Row],[Result]]&lt;0.5,1,0),0)</f>
        <v>1</v>
      </c>
      <c r="AE456" s="2">
        <f>IF(AND(Games[[#This Row],[Type]]="P",Games[[#This Row],[Round]]=1),IF(Games[[#This Row],[Result]]&gt;0.5,1,0),0)</f>
        <v>0</v>
      </c>
      <c r="AF456" s="2">
        <f>IF(AND(Games[[#This Row],[Type]]="P",Games[[#This Row],[Round]]=1),IF(Games[[#This Row],[Result]]&lt;0.5,1,0),0)</f>
        <v>0</v>
      </c>
      <c r="AG456" s="2">
        <f>IF(AND(Games[[#This Row],[Type]]="P",Games[[#This Row],[Round]]=2),IF(Games[[#This Row],[Result]]&gt;0.5,1,0),0)</f>
        <v>0</v>
      </c>
      <c r="AH456" s="2">
        <f>IF(AND(Games[[#This Row],[Type]]="P",Games[[#This Row],[Round]]=2),IF(Games[[#This Row],[Result]]&lt;0.5,1,0),0)</f>
        <v>0</v>
      </c>
      <c r="AI456" s="2">
        <f>IF(AND(Games[[#This Row],[Type]]="P",Games[[#This Row],[Round]]=3),IF(Games[[#This Row],[Result]]&gt;0.5,1,0),0)</f>
        <v>0</v>
      </c>
      <c r="AJ456" s="2">
        <f>IF(AND(Games[[#This Row],[Type]]="P",Games[[#This Row],[Round]]=3),IF(Games[[#This Row],[Result]]&lt;0.5,1,0),0)</f>
        <v>0</v>
      </c>
      <c r="AK456" s="2">
        <f>IF(AND(Games[[#This Row],[Type]]="P",Games[[#This Row],[Round]]=4),IF(Games[[#This Row],[Result]]&gt;0.5,1,0),0)</f>
        <v>0</v>
      </c>
      <c r="AL456" s="2">
        <f>IF(AND(Games[[#This Row],[Type]]="P",Games[[#This Row],[Round]]=4),IF(Games[[#This Row],[Result]]&lt;0.5,1,0),0)</f>
        <v>0</v>
      </c>
    </row>
    <row r="457" spans="1:38" x14ac:dyDescent="0.35">
      <c r="A457" s="10">
        <v>37856</v>
      </c>
      <c r="B457" s="2">
        <v>2003</v>
      </c>
      <c r="C457" s="2">
        <f>COUNTIFS(Games[Team],Games[[#This Row],[Team]],Games[Season],Games[[#This Row],[Season]],Games[Date],"&lt;=" &amp; Games[[#This Row],[Date]])</f>
        <v>33</v>
      </c>
      <c r="D457" s="2" t="s">
        <v>23</v>
      </c>
      <c r="E457" s="2" t="s">
        <v>29</v>
      </c>
      <c r="F457" s="1" t="s">
        <v>71</v>
      </c>
      <c r="G457" s="1" t="s">
        <v>85</v>
      </c>
      <c r="H457" s="1" t="s">
        <v>15</v>
      </c>
      <c r="I457" s="2" cm="1">
        <f t="array" ref="I457">IFERROR(
    Games[[#This Row],[Date]]
    - LOOKUP(
        2,
        1/((Games[Team]=Games[[#This Row],[Team]]) * (Games[Date] &lt; Games[[#This Row],[Date]])),
        Games[Date]
    )
    - 1,
Games[[#This Row],[Date]]-$A$2)</f>
        <v>1</v>
      </c>
      <c r="J457" s="2" cm="1">
        <f t="array" ref="J457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457" s="2">
        <f>Games[[#This Row],[DaysOff]]-Games[[#This Row],[OppDaysOff]]</f>
        <v>1</v>
      </c>
      <c r="L457" s="2">
        <f>Games[[#This Row],[OppDaysOff]]-Games[[#This Row],[DaysOff]]</f>
        <v>-1</v>
      </c>
      <c r="M457" s="1">
        <f>MAX(-16, MIN(16, Games[[#This Row],[RestDiff]]*8))</f>
        <v>8</v>
      </c>
      <c r="N457" s="1">
        <f>MAX(-16, MIN(16, Games[[#This Row],[OppRestDiff]]*8))</f>
        <v>-8</v>
      </c>
      <c r="O457" s="4" cm="1">
        <f t="array" ref="O45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1599.3577625869182</v>
      </c>
      <c r="P457" s="4" cm="1">
        <f t="array" ref="P45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1411.0142460622792</v>
      </c>
      <c r="Q457" s="4">
        <f>1/(1+10^(((Games[[#This Row],[OppPreGmRate]]+IF(Games[[#This Row],[HomeAway]]="A",HCA,0)+Games[[#This Row],[OppRestAdj]])-(Games[[#This Row],[PreGmRate]]+IF(Games[[#This Row],[HomeAway]]="H",HCA,0)+Games[[#This Row],[RestAdj]]))/400))</f>
        <v>0.84021635020577412</v>
      </c>
      <c r="R457" s="1">
        <v>83</v>
      </c>
      <c r="S457" s="1">
        <v>70</v>
      </c>
      <c r="T457" s="1">
        <v>0</v>
      </c>
      <c r="U457" s="1">
        <f>Games[[#This Row],[PointsFor]]-Games[[#This Row],[PointsAgainst]]</f>
        <v>13</v>
      </c>
      <c r="V457" s="1">
        <f>IF(Games[[#This Row],[MOV]]&gt;0,1,IF(Games[[#This Row],[MOV]]=0,0.5,0))</f>
        <v>1</v>
      </c>
      <c r="W457" s="4">
        <f>((ABS(Games[[#This Row],[MOV]])+5)^0.6)/(12+0.01*(ABS(Games[[#This Row],[PreGmRate]]-Games[[#This Row],[OppPreGmRate]])))*IF(Games[[#This Row],[OT]]=1,0.9,1)</f>
        <v>0.40800601582734314</v>
      </c>
      <c r="X457" s="7" cm="1">
        <f t="array" ref="X45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57" s="9">
        <f>MAX(kmin, kmax - 0.15 * MIN(Games[[#This Row],[GamesPlayed]], 82))</f>
        <v>71.05</v>
      </c>
      <c r="Z457" s="4">
        <f>Games[[#This Row],[K]]*Games[[#This Row],[POMult]]</f>
        <v>71.05</v>
      </c>
      <c r="AA457" s="4">
        <f>(Games[[#This Row],[Keff]]*Games[[#This Row],[MOVMult]])*(Games[[#This Row],[Result]]-Games[[#This Row],[ExpectedWin%]])</f>
        <v>4.6319406491467889</v>
      </c>
      <c r="AB457" s="4">
        <f>Games[[#This Row],[PreGmRate]]+Games[[#This Row],[RatingChange]]</f>
        <v>1603.989703236065</v>
      </c>
      <c r="AC457" s="2">
        <f>IF(Games[[#This Row],[Type]]="R",IF(Games[[#This Row],[Result]]&gt;0.5,1,0),0)</f>
        <v>1</v>
      </c>
      <c r="AD457" s="2">
        <f>IF(Games[[#This Row],[Type]]="R",IF(Games[[#This Row],[Result]]&lt;0.5,1,0),0)</f>
        <v>0</v>
      </c>
      <c r="AE457" s="2">
        <f>IF(AND(Games[[#This Row],[Type]]="P",Games[[#This Row],[Round]]=1),IF(Games[[#This Row],[Result]]&gt;0.5,1,0),0)</f>
        <v>0</v>
      </c>
      <c r="AF457" s="2">
        <f>IF(AND(Games[[#This Row],[Type]]="P",Games[[#This Row],[Round]]=1),IF(Games[[#This Row],[Result]]&lt;0.5,1,0),0)</f>
        <v>0</v>
      </c>
      <c r="AG457" s="2">
        <f>IF(AND(Games[[#This Row],[Type]]="P",Games[[#This Row],[Round]]=2),IF(Games[[#This Row],[Result]]&gt;0.5,1,0),0)</f>
        <v>0</v>
      </c>
      <c r="AH457" s="2">
        <f>IF(AND(Games[[#This Row],[Type]]="P",Games[[#This Row],[Round]]=2),IF(Games[[#This Row],[Result]]&lt;0.5,1,0),0)</f>
        <v>0</v>
      </c>
      <c r="AI457" s="2">
        <f>IF(AND(Games[[#This Row],[Type]]="P",Games[[#This Row],[Round]]=3),IF(Games[[#This Row],[Result]]&gt;0.5,1,0),0)</f>
        <v>0</v>
      </c>
      <c r="AJ457" s="2">
        <f>IF(AND(Games[[#This Row],[Type]]="P",Games[[#This Row],[Round]]=3),IF(Games[[#This Row],[Result]]&lt;0.5,1,0),0)</f>
        <v>0</v>
      </c>
      <c r="AK457" s="2">
        <f>IF(AND(Games[[#This Row],[Type]]="P",Games[[#This Row],[Round]]=4),IF(Games[[#This Row],[Result]]&gt;0.5,1,0),0)</f>
        <v>0</v>
      </c>
      <c r="AL457" s="2">
        <f>IF(AND(Games[[#This Row],[Type]]="P",Games[[#This Row],[Round]]=4),IF(Games[[#This Row],[Result]]&lt;0.5,1,0),0)</f>
        <v>0</v>
      </c>
    </row>
    <row r="458" spans="1:38" x14ac:dyDescent="0.35">
      <c r="A458" s="10">
        <v>37856</v>
      </c>
      <c r="B458" s="2">
        <v>2003</v>
      </c>
      <c r="C458" s="2">
        <f>COUNTIFS(Games[Team],Games[[#This Row],[Team]],Games[Season],Games[[#This Row],[Season]],Games[Date],"&lt;=" &amp; Games[[#This Row],[Date]])</f>
        <v>33</v>
      </c>
      <c r="D458" s="2" t="s">
        <v>23</v>
      </c>
      <c r="E458" s="2" t="s">
        <v>29</v>
      </c>
      <c r="F458" s="1" t="s">
        <v>76</v>
      </c>
      <c r="G458" s="1" t="s">
        <v>78</v>
      </c>
      <c r="H458" s="1" t="s">
        <v>16</v>
      </c>
      <c r="I458" s="2" cm="1">
        <f t="array" ref="I458">IFERROR(
    Games[[#This Row],[Date]]
    - LOOKUP(
        2,
        1/((Games[Team]=Games[[#This Row],[Team]]) * (Games[Date] &lt; Games[[#This Row],[Date]])),
        Games[Date]
    )
    - 1,
Games[[#This Row],[Date]]-$A$2)</f>
        <v>1</v>
      </c>
      <c r="J458" s="2" cm="1">
        <f t="array" ref="J45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58" s="2">
        <f>Games[[#This Row],[DaysOff]]-Games[[#This Row],[OppDaysOff]]</f>
        <v>0</v>
      </c>
      <c r="L458" s="2">
        <f>Games[[#This Row],[OppDaysOff]]-Games[[#This Row],[DaysOff]]</f>
        <v>0</v>
      </c>
      <c r="M458" s="1">
        <f>MAX(-16, MIN(16, Games[[#This Row],[RestDiff]]*8))</f>
        <v>0</v>
      </c>
      <c r="N458" s="1">
        <f>MAX(-16, MIN(16, Games[[#This Row],[OppRestDiff]]*8))</f>
        <v>0</v>
      </c>
      <c r="O458" s="4" cm="1">
        <f t="array" ref="O45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1596.921740762682</v>
      </c>
      <c r="P458" s="4" cm="1">
        <f t="array" ref="P45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1508.8676282234542</v>
      </c>
      <c r="Q458" s="4">
        <f>1/(1+10^(((Games[[#This Row],[OppPreGmRate]]+IF(Games[[#This Row],[HomeAway]]="A",HCA,0)+Games[[#This Row],[OppRestAdj]])-(Games[[#This Row],[PreGmRate]]+IF(Games[[#This Row],[HomeAway]]="H",HCA,0)+Games[[#This Row],[RestAdj]]))/400))</f>
        <v>0.50583407215364351</v>
      </c>
      <c r="R458" s="1">
        <v>86</v>
      </c>
      <c r="S458" s="1">
        <v>77</v>
      </c>
      <c r="T458" s="1">
        <v>1</v>
      </c>
      <c r="U458" s="1">
        <f>Games[[#This Row],[PointsFor]]-Games[[#This Row],[PointsAgainst]]</f>
        <v>9</v>
      </c>
      <c r="V458" s="1">
        <f>IF(Games[[#This Row],[MOV]]&gt;0,1,IF(Games[[#This Row],[MOV]]=0,0.5,0))</f>
        <v>1</v>
      </c>
      <c r="W458" s="4">
        <f>((ABS(Games[[#This Row],[MOV]])+5)^0.6)/(12+0.01*(ABS(Games[[#This Row],[PreGmRate]]-Games[[#This Row],[OppPreGmRate]])))*IF(Games[[#This Row],[OT]]=1,0.9,1)</f>
        <v>0.34039660682785888</v>
      </c>
      <c r="X458" s="7" cm="1">
        <f t="array" ref="X45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58" s="9">
        <f>MAX(kmin, kmax - 0.15 * MIN(Games[[#This Row],[GamesPlayed]], 82))</f>
        <v>71.05</v>
      </c>
      <c r="Z458" s="4">
        <f>Games[[#This Row],[K]]*Games[[#This Row],[POMult]]</f>
        <v>71.05</v>
      </c>
      <c r="AA458" s="4">
        <f>(Games[[#This Row],[Keff]]*Games[[#This Row],[MOVMult]])*(Games[[#This Row],[Result]]-Games[[#This Row],[ExpectedWin%]])</f>
        <v>11.951491378720103</v>
      </c>
      <c r="AB458" s="4">
        <f>Games[[#This Row],[PreGmRate]]+Games[[#This Row],[RatingChange]]</f>
        <v>1608.873232141402</v>
      </c>
      <c r="AC458" s="2">
        <f>IF(Games[[#This Row],[Type]]="R",IF(Games[[#This Row],[Result]]&gt;0.5,1,0),0)</f>
        <v>1</v>
      </c>
      <c r="AD458" s="2">
        <f>IF(Games[[#This Row],[Type]]="R",IF(Games[[#This Row],[Result]]&lt;0.5,1,0),0)</f>
        <v>0</v>
      </c>
      <c r="AE458" s="2">
        <f>IF(AND(Games[[#This Row],[Type]]="P",Games[[#This Row],[Round]]=1),IF(Games[[#This Row],[Result]]&gt;0.5,1,0),0)</f>
        <v>0</v>
      </c>
      <c r="AF458" s="2">
        <f>IF(AND(Games[[#This Row],[Type]]="P",Games[[#This Row],[Round]]=1),IF(Games[[#This Row],[Result]]&lt;0.5,1,0),0)</f>
        <v>0</v>
      </c>
      <c r="AG458" s="2">
        <f>IF(AND(Games[[#This Row],[Type]]="P",Games[[#This Row],[Round]]=2),IF(Games[[#This Row],[Result]]&gt;0.5,1,0),0)</f>
        <v>0</v>
      </c>
      <c r="AH458" s="2">
        <f>IF(AND(Games[[#This Row],[Type]]="P",Games[[#This Row],[Round]]=2),IF(Games[[#This Row],[Result]]&lt;0.5,1,0),0)</f>
        <v>0</v>
      </c>
      <c r="AI458" s="2">
        <f>IF(AND(Games[[#This Row],[Type]]="P",Games[[#This Row],[Round]]=3),IF(Games[[#This Row],[Result]]&gt;0.5,1,0),0)</f>
        <v>0</v>
      </c>
      <c r="AJ458" s="2">
        <f>IF(AND(Games[[#This Row],[Type]]="P",Games[[#This Row],[Round]]=3),IF(Games[[#This Row],[Result]]&lt;0.5,1,0),0)</f>
        <v>0</v>
      </c>
      <c r="AK458" s="2">
        <f>IF(AND(Games[[#This Row],[Type]]="P",Games[[#This Row],[Round]]=4),IF(Games[[#This Row],[Result]]&gt;0.5,1,0),0)</f>
        <v>0</v>
      </c>
      <c r="AL458" s="2">
        <f>IF(AND(Games[[#This Row],[Type]]="P",Games[[#This Row],[Round]]=4),IF(Games[[#This Row],[Result]]&lt;0.5,1,0),0)</f>
        <v>0</v>
      </c>
    </row>
    <row r="459" spans="1:38" x14ac:dyDescent="0.35">
      <c r="A459" s="10">
        <v>37856</v>
      </c>
      <c r="B459" s="2">
        <v>2003</v>
      </c>
      <c r="C459" s="2">
        <f>COUNTIFS(Games[Team],Games[[#This Row],[Team]],Games[Season],Games[[#This Row],[Season]],Games[Date],"&lt;=" &amp; Games[[#This Row],[Date]])</f>
        <v>34</v>
      </c>
      <c r="D459" s="2" t="s">
        <v>23</v>
      </c>
      <c r="E459" s="2" t="s">
        <v>29</v>
      </c>
      <c r="F459" s="1" t="s">
        <v>78</v>
      </c>
      <c r="G459" s="1" t="s">
        <v>76</v>
      </c>
      <c r="H459" s="1" t="s">
        <v>15</v>
      </c>
      <c r="I459" s="2" cm="1">
        <f t="array" ref="I459">IFERROR(
    Games[[#This Row],[Date]]
    - LOOKUP(
        2,
        1/((Games[Team]=Games[[#This Row],[Team]]) * (Games[Date] &lt; Games[[#This Row],[Date]])),
        Games[Date]
    )
    - 1,
Games[[#This Row],[Date]]-$A$2)</f>
        <v>1</v>
      </c>
      <c r="J459" s="2" cm="1">
        <f t="array" ref="J45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59" s="2">
        <f>Games[[#This Row],[DaysOff]]-Games[[#This Row],[OppDaysOff]]</f>
        <v>0</v>
      </c>
      <c r="L459" s="2">
        <f>Games[[#This Row],[OppDaysOff]]-Games[[#This Row],[DaysOff]]</f>
        <v>0</v>
      </c>
      <c r="M459" s="1">
        <f>MAX(-16, MIN(16, Games[[#This Row],[RestDiff]]*8))</f>
        <v>0</v>
      </c>
      <c r="N459" s="1">
        <f>MAX(-16, MIN(16, Games[[#This Row],[OppRestDiff]]*8))</f>
        <v>0</v>
      </c>
      <c r="O459" s="4" cm="1">
        <f t="array" ref="O45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1508.8676282234542</v>
      </c>
      <c r="P459" s="4" cm="1">
        <f t="array" ref="P45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1596.921740762682</v>
      </c>
      <c r="Q459" s="4">
        <f>1/(1+10^(((Games[[#This Row],[OppPreGmRate]]+IF(Games[[#This Row],[HomeAway]]="A",HCA,0)+Games[[#This Row],[OppRestAdj]])-(Games[[#This Row],[PreGmRate]]+IF(Games[[#This Row],[HomeAway]]="H",HCA,0)+Games[[#This Row],[RestAdj]]))/400))</f>
        <v>0.49416592784635655</v>
      </c>
      <c r="R459" s="1">
        <v>77</v>
      </c>
      <c r="S459" s="1">
        <v>86</v>
      </c>
      <c r="T459" s="1">
        <v>1</v>
      </c>
      <c r="U459" s="1">
        <f>Games[[#This Row],[PointsFor]]-Games[[#This Row],[PointsAgainst]]</f>
        <v>-9</v>
      </c>
      <c r="V459" s="1">
        <f>IF(Games[[#This Row],[MOV]]&gt;0,1,IF(Games[[#This Row],[MOV]]=0,0.5,0))</f>
        <v>0</v>
      </c>
      <c r="W459" s="4">
        <f>((ABS(Games[[#This Row],[MOV]])+5)^0.6)/(12+0.01*(ABS(Games[[#This Row],[PreGmRate]]-Games[[#This Row],[OppPreGmRate]])))*IF(Games[[#This Row],[OT]]=1,0.9,1)</f>
        <v>0.34039660682785888</v>
      </c>
      <c r="X459" s="7" cm="1">
        <f t="array" ref="X45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59" s="9">
        <f>MAX(kmin, kmax - 0.15 * MIN(Games[[#This Row],[GamesPlayed]], 82))</f>
        <v>70.900000000000006</v>
      </c>
      <c r="Z459" s="4">
        <f>Games[[#This Row],[K]]*Games[[#This Row],[POMult]]</f>
        <v>70.900000000000006</v>
      </c>
      <c r="AA459" s="4">
        <f>(Games[[#This Row],[Keff]]*Games[[#This Row],[MOVMult]])*(Games[[#This Row],[Result]]-Games[[#This Row],[ExpectedWin%]])</f>
        <v>-11.926259517962778</v>
      </c>
      <c r="AB459" s="4">
        <f>Games[[#This Row],[PreGmRate]]+Games[[#This Row],[RatingChange]]</f>
        <v>1496.9413687054914</v>
      </c>
      <c r="AC459" s="2">
        <f>IF(Games[[#This Row],[Type]]="R",IF(Games[[#This Row],[Result]]&gt;0.5,1,0),0)</f>
        <v>0</v>
      </c>
      <c r="AD459" s="2">
        <f>IF(Games[[#This Row],[Type]]="R",IF(Games[[#This Row],[Result]]&lt;0.5,1,0),0)</f>
        <v>1</v>
      </c>
      <c r="AE459" s="2">
        <f>IF(AND(Games[[#This Row],[Type]]="P",Games[[#This Row],[Round]]=1),IF(Games[[#This Row],[Result]]&gt;0.5,1,0),0)</f>
        <v>0</v>
      </c>
      <c r="AF459" s="2">
        <f>IF(AND(Games[[#This Row],[Type]]="P",Games[[#This Row],[Round]]=1),IF(Games[[#This Row],[Result]]&lt;0.5,1,0),0)</f>
        <v>0</v>
      </c>
      <c r="AG459" s="2">
        <f>IF(AND(Games[[#This Row],[Type]]="P",Games[[#This Row],[Round]]=2),IF(Games[[#This Row],[Result]]&gt;0.5,1,0),0)</f>
        <v>0</v>
      </c>
      <c r="AH459" s="2">
        <f>IF(AND(Games[[#This Row],[Type]]="P",Games[[#This Row],[Round]]=2),IF(Games[[#This Row],[Result]]&lt;0.5,1,0),0)</f>
        <v>0</v>
      </c>
      <c r="AI459" s="2">
        <f>IF(AND(Games[[#This Row],[Type]]="P",Games[[#This Row],[Round]]=3),IF(Games[[#This Row],[Result]]&gt;0.5,1,0),0)</f>
        <v>0</v>
      </c>
      <c r="AJ459" s="2">
        <f>IF(AND(Games[[#This Row],[Type]]="P",Games[[#This Row],[Round]]=3),IF(Games[[#This Row],[Result]]&lt;0.5,1,0),0)</f>
        <v>0</v>
      </c>
      <c r="AK459" s="2">
        <f>IF(AND(Games[[#This Row],[Type]]="P",Games[[#This Row],[Round]]=4),IF(Games[[#This Row],[Result]]&gt;0.5,1,0),0)</f>
        <v>0</v>
      </c>
      <c r="AL459" s="2">
        <f>IF(AND(Games[[#This Row],[Type]]="P",Games[[#This Row],[Round]]=4),IF(Games[[#This Row],[Result]]&lt;0.5,1,0),0)</f>
        <v>0</v>
      </c>
    </row>
    <row r="460" spans="1:38" x14ac:dyDescent="0.35">
      <c r="A460" s="10">
        <v>37856</v>
      </c>
      <c r="B460" s="2">
        <v>2003</v>
      </c>
      <c r="C460" s="2">
        <f>COUNTIFS(Games[Team],Games[[#This Row],[Team]],Games[Season],Games[[#This Row],[Season]],Games[Date],"&lt;=" &amp; Games[[#This Row],[Date]])</f>
        <v>34</v>
      </c>
      <c r="D460" s="2" t="s">
        <v>23</v>
      </c>
      <c r="E460" s="2" t="s">
        <v>29</v>
      </c>
      <c r="F460" s="1" t="s">
        <v>44</v>
      </c>
      <c r="G460" s="1" t="s">
        <v>45</v>
      </c>
      <c r="H460" s="1" t="s">
        <v>16</v>
      </c>
      <c r="I460" s="2" cm="1">
        <f t="array" ref="I460">IFERROR(
    Games[[#This Row],[Date]]
    - LOOKUP(
        2,
        1/((Games[Team]=Games[[#This Row],[Team]]) * (Games[Date] &lt; Games[[#This Row],[Date]])),
        Games[Date]
    )
    - 1,
Games[[#This Row],[Date]]-$A$2)</f>
        <v>0</v>
      </c>
      <c r="J460" s="2" cm="1">
        <f t="array" ref="J46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60" s="2">
        <f>Games[[#This Row],[DaysOff]]-Games[[#This Row],[OppDaysOff]]</f>
        <v>-1</v>
      </c>
      <c r="L460" s="2">
        <f>Games[[#This Row],[OppDaysOff]]-Games[[#This Row],[DaysOff]]</f>
        <v>1</v>
      </c>
      <c r="M460" s="1">
        <f>MAX(-16, MIN(16, Games[[#This Row],[RestDiff]]*8))</f>
        <v>-8</v>
      </c>
      <c r="N460" s="1">
        <f>MAX(-16, MIN(16, Games[[#This Row],[OppRestDiff]]*8))</f>
        <v>8</v>
      </c>
      <c r="O460" s="4" cm="1">
        <f t="array" ref="O46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1377.059742773017</v>
      </c>
      <c r="P460" s="4" cm="1">
        <f t="array" ref="P46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1572.0800939720011</v>
      </c>
      <c r="Q460" s="4">
        <f>1/(1+10^(((Games[[#This Row],[OppPreGmRate]]+IF(Games[[#This Row],[HomeAway]]="A",HCA,0)+Games[[#This Row],[OppRestAdj]])-(Games[[#This Row],[PreGmRate]]+IF(Games[[#This Row],[HomeAway]]="H",HCA,0)+Games[[#This Row],[RestAdj]]))/400))</f>
        <v>0.15469086992020045</v>
      </c>
      <c r="R460" s="1">
        <v>54</v>
      </c>
      <c r="S460" s="1">
        <v>61</v>
      </c>
      <c r="T460" s="1">
        <v>0</v>
      </c>
      <c r="U460" s="1">
        <f>Games[[#This Row],[PointsFor]]-Games[[#This Row],[PointsAgainst]]</f>
        <v>-7</v>
      </c>
      <c r="V460" s="1">
        <f>IF(Games[[#This Row],[MOV]]&gt;0,1,IF(Games[[#This Row],[MOV]]=0,0.5,0))</f>
        <v>0</v>
      </c>
      <c r="W460" s="4">
        <f>((ABS(Games[[#This Row],[MOV]])+5)^0.6)/(12+0.01*(ABS(Games[[#This Row],[PreGmRate]]-Games[[#This Row],[OppPreGmRate]])))*IF(Games[[#This Row],[OT]]=1,0.9,1)</f>
        <v>0.31836711672547779</v>
      </c>
      <c r="X460" s="7" cm="1">
        <f t="array" ref="X46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60" s="9">
        <f>MAX(kmin, kmax - 0.15 * MIN(Games[[#This Row],[GamesPlayed]], 82))</f>
        <v>70.900000000000006</v>
      </c>
      <c r="Z460" s="4">
        <f>Games[[#This Row],[K]]*Games[[#This Row],[POMult]]</f>
        <v>70.900000000000006</v>
      </c>
      <c r="AA460" s="4">
        <f>(Games[[#This Row],[Keff]]*Games[[#This Row],[MOVMult]])*(Games[[#This Row],[Result]]-Games[[#This Row],[ExpectedWin%]])</f>
        <v>-3.4917176744337364</v>
      </c>
      <c r="AB460" s="4">
        <f>Games[[#This Row],[PreGmRate]]+Games[[#This Row],[RatingChange]]</f>
        <v>1373.5680250985833</v>
      </c>
      <c r="AC460" s="2">
        <f>IF(Games[[#This Row],[Type]]="R",IF(Games[[#This Row],[Result]]&gt;0.5,1,0),0)</f>
        <v>0</v>
      </c>
      <c r="AD460" s="2">
        <f>IF(Games[[#This Row],[Type]]="R",IF(Games[[#This Row],[Result]]&lt;0.5,1,0),0)</f>
        <v>1</v>
      </c>
      <c r="AE460" s="2">
        <f>IF(AND(Games[[#This Row],[Type]]="P",Games[[#This Row],[Round]]=1),IF(Games[[#This Row],[Result]]&gt;0.5,1,0),0)</f>
        <v>0</v>
      </c>
      <c r="AF460" s="2">
        <f>IF(AND(Games[[#This Row],[Type]]="P",Games[[#This Row],[Round]]=1),IF(Games[[#This Row],[Result]]&lt;0.5,1,0),0)</f>
        <v>0</v>
      </c>
      <c r="AG460" s="2">
        <f>IF(AND(Games[[#This Row],[Type]]="P",Games[[#This Row],[Round]]=2),IF(Games[[#This Row],[Result]]&gt;0.5,1,0),0)</f>
        <v>0</v>
      </c>
      <c r="AH460" s="2">
        <f>IF(AND(Games[[#This Row],[Type]]="P",Games[[#This Row],[Round]]=2),IF(Games[[#This Row],[Result]]&lt;0.5,1,0),0)</f>
        <v>0</v>
      </c>
      <c r="AI460" s="2">
        <f>IF(AND(Games[[#This Row],[Type]]="P",Games[[#This Row],[Round]]=3),IF(Games[[#This Row],[Result]]&gt;0.5,1,0),0)</f>
        <v>0</v>
      </c>
      <c r="AJ460" s="2">
        <f>IF(AND(Games[[#This Row],[Type]]="P",Games[[#This Row],[Round]]=3),IF(Games[[#This Row],[Result]]&lt;0.5,1,0),0)</f>
        <v>0</v>
      </c>
      <c r="AK460" s="2">
        <f>IF(AND(Games[[#This Row],[Type]]="P",Games[[#This Row],[Round]]=4),IF(Games[[#This Row],[Result]]&gt;0.5,1,0),0)</f>
        <v>0</v>
      </c>
      <c r="AL460" s="2">
        <f>IF(AND(Games[[#This Row],[Type]]="P",Games[[#This Row],[Round]]=4),IF(Games[[#This Row],[Result]]&lt;0.5,1,0),0)</f>
        <v>0</v>
      </c>
    </row>
    <row r="461" spans="1:38" x14ac:dyDescent="0.35">
      <c r="A461" s="10">
        <v>37856</v>
      </c>
      <c r="B461" s="2">
        <v>2003</v>
      </c>
      <c r="C461" s="2">
        <f>COUNTIFS(Games[Team],Games[[#This Row],[Team]],Games[Season],Games[[#This Row],[Season]],Games[Date],"&lt;=" &amp; Games[[#This Row],[Date]])</f>
        <v>33</v>
      </c>
      <c r="D461" s="2" t="s">
        <v>23</v>
      </c>
      <c r="E461" s="2" t="s">
        <v>29</v>
      </c>
      <c r="F461" s="1" t="s">
        <v>45</v>
      </c>
      <c r="G461" s="1" t="s">
        <v>44</v>
      </c>
      <c r="H461" s="1" t="s">
        <v>15</v>
      </c>
      <c r="I461" s="2" cm="1">
        <f t="array" ref="I461">IFERROR(
    Games[[#This Row],[Date]]
    - LOOKUP(
        2,
        1/((Games[Team]=Games[[#This Row],[Team]]) * (Games[Date] &lt; Games[[#This Row],[Date]])),
        Games[Date]
    )
    - 1,
Games[[#This Row],[Date]]-$A$2)</f>
        <v>1</v>
      </c>
      <c r="J461" s="2" cm="1">
        <f t="array" ref="J461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461" s="2">
        <f>Games[[#This Row],[DaysOff]]-Games[[#This Row],[OppDaysOff]]</f>
        <v>1</v>
      </c>
      <c r="L461" s="2">
        <f>Games[[#This Row],[OppDaysOff]]-Games[[#This Row],[DaysOff]]</f>
        <v>-1</v>
      </c>
      <c r="M461" s="1">
        <f>MAX(-16, MIN(16, Games[[#This Row],[RestDiff]]*8))</f>
        <v>8</v>
      </c>
      <c r="N461" s="1">
        <f>MAX(-16, MIN(16, Games[[#This Row],[OppRestDiff]]*8))</f>
        <v>-8</v>
      </c>
      <c r="O461" s="4" cm="1">
        <f t="array" ref="O46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1572.0800939720011</v>
      </c>
      <c r="P461" s="4" cm="1">
        <f t="array" ref="P46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1377.059742773017</v>
      </c>
      <c r="Q461" s="4">
        <f>1/(1+10^(((Games[[#This Row],[OppPreGmRate]]+IF(Games[[#This Row],[HomeAway]]="A",HCA,0)+Games[[#This Row],[OppRestAdj]])-(Games[[#This Row],[PreGmRate]]+IF(Games[[#This Row],[HomeAway]]="H",HCA,0)+Games[[#This Row],[RestAdj]]))/400))</f>
        <v>0.84530913007979946</v>
      </c>
      <c r="R461" s="1">
        <v>61</v>
      </c>
      <c r="S461" s="1">
        <v>54</v>
      </c>
      <c r="T461" s="1">
        <v>0</v>
      </c>
      <c r="U461" s="1">
        <f>Games[[#This Row],[PointsFor]]-Games[[#This Row],[PointsAgainst]]</f>
        <v>7</v>
      </c>
      <c r="V461" s="1">
        <f>IF(Games[[#This Row],[MOV]]&gt;0,1,IF(Games[[#This Row],[MOV]]=0,0.5,0))</f>
        <v>1</v>
      </c>
      <c r="W461" s="4">
        <f>((ABS(Games[[#This Row],[MOV]])+5)^0.6)/(12+0.01*(ABS(Games[[#This Row],[PreGmRate]]-Games[[#This Row],[OppPreGmRate]])))*IF(Games[[#This Row],[OT]]=1,0.9,1)</f>
        <v>0.31836711672547779</v>
      </c>
      <c r="X461" s="7" cm="1">
        <f t="array" ref="X46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61" s="9">
        <f>MAX(kmin, kmax - 0.15 * MIN(Games[[#This Row],[GamesPlayed]], 82))</f>
        <v>71.05</v>
      </c>
      <c r="Z461" s="4">
        <f>Games[[#This Row],[K]]*Games[[#This Row],[POMult]]</f>
        <v>71.05</v>
      </c>
      <c r="AA461" s="4">
        <f>(Games[[#This Row],[Keff]]*Games[[#This Row],[MOVMult]])*(Games[[#This Row],[Result]]-Games[[#This Row],[ExpectedWin%]])</f>
        <v>3.4991049473697755</v>
      </c>
      <c r="AB461" s="4">
        <f>Games[[#This Row],[PreGmRate]]+Games[[#This Row],[RatingChange]]</f>
        <v>1575.5791989193708</v>
      </c>
      <c r="AC461" s="2">
        <f>IF(Games[[#This Row],[Type]]="R",IF(Games[[#This Row],[Result]]&gt;0.5,1,0),0)</f>
        <v>1</v>
      </c>
      <c r="AD461" s="2">
        <f>IF(Games[[#This Row],[Type]]="R",IF(Games[[#This Row],[Result]]&lt;0.5,1,0),0)</f>
        <v>0</v>
      </c>
      <c r="AE461" s="2">
        <f>IF(AND(Games[[#This Row],[Type]]="P",Games[[#This Row],[Round]]=1),IF(Games[[#This Row],[Result]]&gt;0.5,1,0),0)</f>
        <v>0</v>
      </c>
      <c r="AF461" s="2">
        <f>IF(AND(Games[[#This Row],[Type]]="P",Games[[#This Row],[Round]]=1),IF(Games[[#This Row],[Result]]&lt;0.5,1,0),0)</f>
        <v>0</v>
      </c>
      <c r="AG461" s="2">
        <f>IF(AND(Games[[#This Row],[Type]]="P",Games[[#This Row],[Round]]=2),IF(Games[[#This Row],[Result]]&gt;0.5,1,0),0)</f>
        <v>0</v>
      </c>
      <c r="AH461" s="2">
        <f>IF(AND(Games[[#This Row],[Type]]="P",Games[[#This Row],[Round]]=2),IF(Games[[#This Row],[Result]]&lt;0.5,1,0),0)</f>
        <v>0</v>
      </c>
      <c r="AI461" s="2">
        <f>IF(AND(Games[[#This Row],[Type]]="P",Games[[#This Row],[Round]]=3),IF(Games[[#This Row],[Result]]&gt;0.5,1,0),0)</f>
        <v>0</v>
      </c>
      <c r="AJ461" s="2">
        <f>IF(AND(Games[[#This Row],[Type]]="P",Games[[#This Row],[Round]]=3),IF(Games[[#This Row],[Result]]&lt;0.5,1,0),0)</f>
        <v>0</v>
      </c>
      <c r="AK461" s="2">
        <f>IF(AND(Games[[#This Row],[Type]]="P",Games[[#This Row],[Round]]=4),IF(Games[[#This Row],[Result]]&gt;0.5,1,0),0)</f>
        <v>0</v>
      </c>
      <c r="AL461" s="2">
        <f>IF(AND(Games[[#This Row],[Type]]="P",Games[[#This Row],[Round]]=4),IF(Games[[#This Row],[Result]]&lt;0.5,1,0),0)</f>
        <v>0</v>
      </c>
    </row>
    <row r="462" spans="1:38" x14ac:dyDescent="0.35">
      <c r="A462" s="10">
        <v>37856</v>
      </c>
      <c r="B462" s="2">
        <v>2003</v>
      </c>
      <c r="C462" s="2">
        <f>COUNTIFS(Games[Team],Games[[#This Row],[Team]],Games[Season],Games[[#This Row],[Season]],Games[Date],"&lt;=" &amp; Games[[#This Row],[Date]])</f>
        <v>33</v>
      </c>
      <c r="D462" s="2" t="s">
        <v>23</v>
      </c>
      <c r="E462" s="2" t="s">
        <v>29</v>
      </c>
      <c r="F462" s="1" t="s">
        <v>2</v>
      </c>
      <c r="G462" s="1" t="s">
        <v>82</v>
      </c>
      <c r="H462" s="1" t="s">
        <v>16</v>
      </c>
      <c r="I462" s="2" cm="1">
        <f t="array" ref="I462">IFERROR(
    Games[[#This Row],[Date]]
    - LOOKUP(
        2,
        1/((Games[Team]=Games[[#This Row],[Team]]) * (Games[Date] &lt; Games[[#This Row],[Date]])),
        Games[Date]
    )
    - 1,
Games[[#This Row],[Date]]-$A$2)</f>
        <v>1</v>
      </c>
      <c r="J462" s="2" cm="1">
        <f t="array" ref="J46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62" s="2">
        <f>Games[[#This Row],[DaysOff]]-Games[[#This Row],[OppDaysOff]]</f>
        <v>-1</v>
      </c>
      <c r="L462" s="2">
        <f>Games[[#This Row],[OppDaysOff]]-Games[[#This Row],[DaysOff]]</f>
        <v>1</v>
      </c>
      <c r="M462" s="1">
        <f>MAX(-16, MIN(16, Games[[#This Row],[RestDiff]]*8))</f>
        <v>-8</v>
      </c>
      <c r="N462" s="1">
        <f>MAX(-16, MIN(16, Games[[#This Row],[OppRestDiff]]*8))</f>
        <v>8</v>
      </c>
      <c r="O462" s="4" cm="1">
        <f t="array" ref="O46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1603.3980882324067</v>
      </c>
      <c r="P462" s="4" cm="1">
        <f t="array" ref="P46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1509.3644066420291</v>
      </c>
      <c r="Q462" s="4">
        <f>1/(1+10^(((Games[[#This Row],[OppPreGmRate]]+IF(Games[[#This Row],[HomeAway]]="A",HCA,0)+Games[[#This Row],[OppRestAdj]])-(Games[[#This Row],[PreGmRate]]+IF(Games[[#This Row],[HomeAway]]="H",HCA,0)+Games[[#This Row],[RestAdj]]))/400))</f>
        <v>0.49141462151189874</v>
      </c>
      <c r="R462" s="1">
        <v>64</v>
      </c>
      <c r="S462" s="1">
        <v>71</v>
      </c>
      <c r="T462" s="1">
        <v>0</v>
      </c>
      <c r="U462" s="1">
        <f>Games[[#This Row],[PointsFor]]-Games[[#This Row],[PointsAgainst]]</f>
        <v>-7</v>
      </c>
      <c r="V462" s="1">
        <f>IF(Games[[#This Row],[MOV]]&gt;0,1,IF(Games[[#This Row],[MOV]]=0,0.5,0))</f>
        <v>0</v>
      </c>
      <c r="W462" s="4">
        <f>((ABS(Games[[#This Row],[MOV]])+5)^0.6)/(12+0.01*(ABS(Games[[#This Row],[PreGmRate]]-Games[[#This Row],[OppPreGmRate]])))*IF(Games[[#This Row],[OT]]=1,0.9,1)</f>
        <v>0.34321255567223447</v>
      </c>
      <c r="X462" s="7" cm="1">
        <f t="array" ref="X46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62" s="9">
        <f>MAX(kmin, kmax - 0.15 * MIN(Games[[#This Row],[GamesPlayed]], 82))</f>
        <v>71.05</v>
      </c>
      <c r="Z462" s="4">
        <f>Games[[#This Row],[K]]*Games[[#This Row],[POMult]]</f>
        <v>71.05</v>
      </c>
      <c r="AA462" s="4">
        <f>(Games[[#This Row],[Keff]]*Games[[#This Row],[MOVMult]])*(Games[[#This Row],[Result]]-Games[[#This Row],[ExpectedWin%]])</f>
        <v>-11.983269421617173</v>
      </c>
      <c r="AB462" s="4">
        <f>Games[[#This Row],[PreGmRate]]+Games[[#This Row],[RatingChange]]</f>
        <v>1591.4148188107895</v>
      </c>
      <c r="AC462" s="2">
        <f>IF(Games[[#This Row],[Type]]="R",IF(Games[[#This Row],[Result]]&gt;0.5,1,0),0)</f>
        <v>0</v>
      </c>
      <c r="AD462" s="2">
        <f>IF(Games[[#This Row],[Type]]="R",IF(Games[[#This Row],[Result]]&lt;0.5,1,0),0)</f>
        <v>1</v>
      </c>
      <c r="AE462" s="2">
        <f>IF(AND(Games[[#This Row],[Type]]="P",Games[[#This Row],[Round]]=1),IF(Games[[#This Row],[Result]]&gt;0.5,1,0),0)</f>
        <v>0</v>
      </c>
      <c r="AF462" s="2">
        <f>IF(AND(Games[[#This Row],[Type]]="P",Games[[#This Row],[Round]]=1),IF(Games[[#This Row],[Result]]&lt;0.5,1,0),0)</f>
        <v>0</v>
      </c>
      <c r="AG462" s="2">
        <f>IF(AND(Games[[#This Row],[Type]]="P",Games[[#This Row],[Round]]=2),IF(Games[[#This Row],[Result]]&gt;0.5,1,0),0)</f>
        <v>0</v>
      </c>
      <c r="AH462" s="2">
        <f>IF(AND(Games[[#This Row],[Type]]="P",Games[[#This Row],[Round]]=2),IF(Games[[#This Row],[Result]]&lt;0.5,1,0),0)</f>
        <v>0</v>
      </c>
      <c r="AI462" s="2">
        <f>IF(AND(Games[[#This Row],[Type]]="P",Games[[#This Row],[Round]]=3),IF(Games[[#This Row],[Result]]&gt;0.5,1,0),0)</f>
        <v>0</v>
      </c>
      <c r="AJ462" s="2">
        <f>IF(AND(Games[[#This Row],[Type]]="P",Games[[#This Row],[Round]]=3),IF(Games[[#This Row],[Result]]&lt;0.5,1,0),0)</f>
        <v>0</v>
      </c>
      <c r="AK462" s="2">
        <f>IF(AND(Games[[#This Row],[Type]]="P",Games[[#This Row],[Round]]=4),IF(Games[[#This Row],[Result]]&gt;0.5,1,0),0)</f>
        <v>0</v>
      </c>
      <c r="AL462" s="2">
        <f>IF(AND(Games[[#This Row],[Type]]="P",Games[[#This Row],[Round]]=4),IF(Games[[#This Row],[Result]]&lt;0.5,1,0),0)</f>
        <v>0</v>
      </c>
    </row>
    <row r="463" spans="1:38" x14ac:dyDescent="0.35">
      <c r="A463" s="10">
        <v>37856</v>
      </c>
      <c r="B463" s="2">
        <v>2003</v>
      </c>
      <c r="C463" s="2">
        <f>COUNTIFS(Games[Team],Games[[#This Row],[Team]],Games[Season],Games[[#This Row],[Season]],Games[Date],"&lt;=" &amp; Games[[#This Row],[Date]])</f>
        <v>33</v>
      </c>
      <c r="D463" s="2" t="s">
        <v>23</v>
      </c>
      <c r="E463" s="2" t="s">
        <v>29</v>
      </c>
      <c r="F463" s="1" t="s">
        <v>82</v>
      </c>
      <c r="G463" s="1" t="s">
        <v>2</v>
      </c>
      <c r="H463" s="1" t="s">
        <v>15</v>
      </c>
      <c r="I463" s="2" cm="1">
        <f t="array" ref="I463">IFERROR(
    Games[[#This Row],[Date]]
    - LOOKUP(
        2,
        1/((Games[Team]=Games[[#This Row],[Team]]) * (Games[Date] &lt; Games[[#This Row],[Date]])),
        Games[Date]
    )
    - 1,
Games[[#This Row],[Date]]-$A$2)</f>
        <v>2</v>
      </c>
      <c r="J463" s="2" cm="1">
        <f t="array" ref="J46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63" s="2">
        <f>Games[[#This Row],[DaysOff]]-Games[[#This Row],[OppDaysOff]]</f>
        <v>1</v>
      </c>
      <c r="L463" s="2">
        <f>Games[[#This Row],[OppDaysOff]]-Games[[#This Row],[DaysOff]]</f>
        <v>-1</v>
      </c>
      <c r="M463" s="1">
        <f>MAX(-16, MIN(16, Games[[#This Row],[RestDiff]]*8))</f>
        <v>8</v>
      </c>
      <c r="N463" s="1">
        <f>MAX(-16, MIN(16, Games[[#This Row],[OppRestDiff]]*8))</f>
        <v>-8</v>
      </c>
      <c r="O463" s="4" cm="1">
        <f t="array" ref="O46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1509.3644066420291</v>
      </c>
      <c r="P463" s="4" cm="1">
        <f t="array" ref="P46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1603.3980882324067</v>
      </c>
      <c r="Q463" s="4">
        <f>1/(1+10^(((Games[[#This Row],[OppPreGmRate]]+IF(Games[[#This Row],[HomeAway]]="A",HCA,0)+Games[[#This Row],[OppRestAdj]])-(Games[[#This Row],[PreGmRate]]+IF(Games[[#This Row],[HomeAway]]="H",HCA,0)+Games[[#This Row],[RestAdj]]))/400))</f>
        <v>0.50858537848810115</v>
      </c>
      <c r="R463" s="1">
        <v>71</v>
      </c>
      <c r="S463" s="1">
        <v>64</v>
      </c>
      <c r="T463" s="1">
        <v>0</v>
      </c>
      <c r="U463" s="1">
        <f>Games[[#This Row],[PointsFor]]-Games[[#This Row],[PointsAgainst]]</f>
        <v>7</v>
      </c>
      <c r="V463" s="1">
        <f>IF(Games[[#This Row],[MOV]]&gt;0,1,IF(Games[[#This Row],[MOV]]=0,0.5,0))</f>
        <v>1</v>
      </c>
      <c r="W463" s="4">
        <f>((ABS(Games[[#This Row],[MOV]])+5)^0.6)/(12+0.01*(ABS(Games[[#This Row],[PreGmRate]]-Games[[#This Row],[OppPreGmRate]])))*IF(Games[[#This Row],[OT]]=1,0.9,1)</f>
        <v>0.34321255567223447</v>
      </c>
      <c r="X463" s="7" cm="1">
        <f t="array" ref="X46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63" s="9">
        <f>MAX(kmin, kmax - 0.15 * MIN(Games[[#This Row],[GamesPlayed]], 82))</f>
        <v>71.05</v>
      </c>
      <c r="Z463" s="4">
        <f>Games[[#This Row],[K]]*Games[[#This Row],[POMult]]</f>
        <v>71.05</v>
      </c>
      <c r="AA463" s="4">
        <f>(Games[[#This Row],[Keff]]*Games[[#This Row],[MOVMult]])*(Games[[#This Row],[Result]]-Games[[#This Row],[ExpectedWin%]])</f>
        <v>11.983269421617177</v>
      </c>
      <c r="AB463" s="4">
        <f>Games[[#This Row],[PreGmRate]]+Games[[#This Row],[RatingChange]]</f>
        <v>1521.3476760636463</v>
      </c>
      <c r="AC463" s="2">
        <f>IF(Games[[#This Row],[Type]]="R",IF(Games[[#This Row],[Result]]&gt;0.5,1,0),0)</f>
        <v>1</v>
      </c>
      <c r="AD463" s="2">
        <f>IF(Games[[#This Row],[Type]]="R",IF(Games[[#This Row],[Result]]&lt;0.5,1,0),0)</f>
        <v>0</v>
      </c>
      <c r="AE463" s="2">
        <f>IF(AND(Games[[#This Row],[Type]]="P",Games[[#This Row],[Round]]=1),IF(Games[[#This Row],[Result]]&gt;0.5,1,0),0)</f>
        <v>0</v>
      </c>
      <c r="AF463" s="2">
        <f>IF(AND(Games[[#This Row],[Type]]="P",Games[[#This Row],[Round]]=1),IF(Games[[#This Row],[Result]]&lt;0.5,1,0),0)</f>
        <v>0</v>
      </c>
      <c r="AG463" s="2">
        <f>IF(AND(Games[[#This Row],[Type]]="P",Games[[#This Row],[Round]]=2),IF(Games[[#This Row],[Result]]&gt;0.5,1,0),0)</f>
        <v>0</v>
      </c>
      <c r="AH463" s="2">
        <f>IF(AND(Games[[#This Row],[Type]]="P",Games[[#This Row],[Round]]=2),IF(Games[[#This Row],[Result]]&lt;0.5,1,0),0)</f>
        <v>0</v>
      </c>
      <c r="AI463" s="2">
        <f>IF(AND(Games[[#This Row],[Type]]="P",Games[[#This Row],[Round]]=3),IF(Games[[#This Row],[Result]]&gt;0.5,1,0),0)</f>
        <v>0</v>
      </c>
      <c r="AJ463" s="2">
        <f>IF(AND(Games[[#This Row],[Type]]="P",Games[[#This Row],[Round]]=3),IF(Games[[#This Row],[Result]]&lt;0.5,1,0),0)</f>
        <v>0</v>
      </c>
      <c r="AK463" s="2">
        <f>IF(AND(Games[[#This Row],[Type]]="P",Games[[#This Row],[Round]]=4),IF(Games[[#This Row],[Result]]&gt;0.5,1,0),0)</f>
        <v>0</v>
      </c>
      <c r="AL463" s="2">
        <f>IF(AND(Games[[#This Row],[Type]]="P",Games[[#This Row],[Round]]=4),IF(Games[[#This Row],[Result]]&lt;0.5,1,0),0)</f>
        <v>0</v>
      </c>
    </row>
    <row r="464" spans="1:38" x14ac:dyDescent="0.35">
      <c r="A464" s="10">
        <v>37856</v>
      </c>
      <c r="B464" s="2">
        <v>2003</v>
      </c>
      <c r="C464" s="2">
        <f>COUNTIFS(Games[Team],Games[[#This Row],[Team]],Games[Season],Games[[#This Row],[Season]],Games[Date],"&lt;=" &amp; Games[[#This Row],[Date]])</f>
        <v>33</v>
      </c>
      <c r="D464" s="2" t="s">
        <v>23</v>
      </c>
      <c r="E464" s="2" t="s">
        <v>29</v>
      </c>
      <c r="F464" s="1" t="s">
        <v>87</v>
      </c>
      <c r="G464" s="1" t="s">
        <v>74</v>
      </c>
      <c r="H464" s="1" t="s">
        <v>16</v>
      </c>
      <c r="I464" s="2" cm="1">
        <f t="array" ref="I464">IFERROR(
    Games[[#This Row],[Date]]
    - LOOKUP(
        2,
        1/((Games[Team]=Games[[#This Row],[Team]]) * (Games[Date] &lt; Games[[#This Row],[Date]])),
        Games[Date]
    )
    - 1,
Games[[#This Row],[Date]]-$A$2)</f>
        <v>0</v>
      </c>
      <c r="J464" s="2" cm="1">
        <f t="array" ref="J46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64" s="2">
        <f>Games[[#This Row],[DaysOff]]-Games[[#This Row],[OppDaysOff]]</f>
        <v>-1</v>
      </c>
      <c r="L464" s="2">
        <f>Games[[#This Row],[OppDaysOff]]-Games[[#This Row],[DaysOff]]</f>
        <v>1</v>
      </c>
      <c r="M464" s="1">
        <f>MAX(-16, MIN(16, Games[[#This Row],[RestDiff]]*8))</f>
        <v>-8</v>
      </c>
      <c r="N464" s="1">
        <f>MAX(-16, MIN(16, Games[[#This Row],[OppRestDiff]]*8))</f>
        <v>8</v>
      </c>
      <c r="O464" s="4" cm="1">
        <f t="array" ref="O46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1493.3868071032</v>
      </c>
      <c r="P464" s="4" cm="1">
        <f t="array" ref="P46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1394.3929444416681</v>
      </c>
      <c r="Q464" s="4">
        <f>1/(1+10^(((Games[[#This Row],[OppPreGmRate]]+IF(Games[[#This Row],[HomeAway]]="A",HCA,0)+Games[[#This Row],[OppRestAdj]])-(Games[[#This Row],[PreGmRate]]+IF(Games[[#This Row],[HomeAway]]="H",HCA,0)+Games[[#This Row],[RestAdj]]))/400))</f>
        <v>0.49855205602442371</v>
      </c>
      <c r="R464" s="1">
        <v>74</v>
      </c>
      <c r="S464" s="1">
        <v>67</v>
      </c>
      <c r="T464" s="1">
        <v>0</v>
      </c>
      <c r="U464" s="1">
        <f>Games[[#This Row],[PointsFor]]-Games[[#This Row],[PointsAgainst]]</f>
        <v>7</v>
      </c>
      <c r="V464" s="1">
        <f>IF(Games[[#This Row],[MOV]]&gt;0,1,IF(Games[[#This Row],[MOV]]=0,0.5,0))</f>
        <v>1</v>
      </c>
      <c r="W464" s="4">
        <f>((ABS(Games[[#This Row],[MOV]])+5)^0.6)/(12+0.01*(ABS(Games[[#This Row],[PreGmRate]]-Games[[#This Row],[OppPreGmRate]])))*IF(Games[[#This Row],[OT]]=1,0.9,1)</f>
        <v>0.34190200566044315</v>
      </c>
      <c r="X464" s="7" cm="1">
        <f t="array" ref="X46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64" s="9">
        <f>MAX(kmin, kmax - 0.15 * MIN(Games[[#This Row],[GamesPlayed]], 82))</f>
        <v>71.05</v>
      </c>
      <c r="Z464" s="4">
        <f>Games[[#This Row],[K]]*Games[[#This Row],[POMult]]</f>
        <v>71.05</v>
      </c>
      <c r="AA464" s="4">
        <f>(Games[[#This Row],[Keff]]*Games[[#This Row],[MOVMult]])*(Games[[#This Row],[Result]]-Games[[#This Row],[ExpectedWin%]])</f>
        <v>12.181242405237388</v>
      </c>
      <c r="AB464" s="4">
        <f>Games[[#This Row],[PreGmRate]]+Games[[#This Row],[RatingChange]]</f>
        <v>1505.5680495084373</v>
      </c>
      <c r="AC464" s="2">
        <f>IF(Games[[#This Row],[Type]]="R",IF(Games[[#This Row],[Result]]&gt;0.5,1,0),0)</f>
        <v>1</v>
      </c>
      <c r="AD464" s="2">
        <f>IF(Games[[#This Row],[Type]]="R",IF(Games[[#This Row],[Result]]&lt;0.5,1,0),0)</f>
        <v>0</v>
      </c>
      <c r="AE464" s="2">
        <f>IF(AND(Games[[#This Row],[Type]]="P",Games[[#This Row],[Round]]=1),IF(Games[[#This Row],[Result]]&gt;0.5,1,0),0)</f>
        <v>0</v>
      </c>
      <c r="AF464" s="2">
        <f>IF(AND(Games[[#This Row],[Type]]="P",Games[[#This Row],[Round]]=1),IF(Games[[#This Row],[Result]]&lt;0.5,1,0),0)</f>
        <v>0</v>
      </c>
      <c r="AG464" s="2">
        <f>IF(AND(Games[[#This Row],[Type]]="P",Games[[#This Row],[Round]]=2),IF(Games[[#This Row],[Result]]&gt;0.5,1,0),0)</f>
        <v>0</v>
      </c>
      <c r="AH464" s="2">
        <f>IF(AND(Games[[#This Row],[Type]]="P",Games[[#This Row],[Round]]=2),IF(Games[[#This Row],[Result]]&lt;0.5,1,0),0)</f>
        <v>0</v>
      </c>
      <c r="AI464" s="2">
        <f>IF(AND(Games[[#This Row],[Type]]="P",Games[[#This Row],[Round]]=3),IF(Games[[#This Row],[Result]]&gt;0.5,1,0),0)</f>
        <v>0</v>
      </c>
      <c r="AJ464" s="2">
        <f>IF(AND(Games[[#This Row],[Type]]="P",Games[[#This Row],[Round]]=3),IF(Games[[#This Row],[Result]]&lt;0.5,1,0),0)</f>
        <v>0</v>
      </c>
      <c r="AK464" s="2">
        <f>IF(AND(Games[[#This Row],[Type]]="P",Games[[#This Row],[Round]]=4),IF(Games[[#This Row],[Result]]&gt;0.5,1,0),0)</f>
        <v>0</v>
      </c>
      <c r="AL464" s="2">
        <f>IF(AND(Games[[#This Row],[Type]]="P",Games[[#This Row],[Round]]=4),IF(Games[[#This Row],[Result]]&lt;0.5,1,0),0)</f>
        <v>0</v>
      </c>
    </row>
    <row r="465" spans="1:38" x14ac:dyDescent="0.35">
      <c r="A465" s="10">
        <v>37856</v>
      </c>
      <c r="B465" s="2">
        <v>2003</v>
      </c>
      <c r="C465" s="2">
        <f>COUNTIFS(Games[Team],Games[[#This Row],[Team]],Games[Season],Games[[#This Row],[Season]],Games[Date],"&lt;=" &amp; Games[[#This Row],[Date]])</f>
        <v>33</v>
      </c>
      <c r="D465" s="2" t="s">
        <v>23</v>
      </c>
      <c r="E465" s="2" t="s">
        <v>29</v>
      </c>
      <c r="F465" s="1" t="s">
        <v>74</v>
      </c>
      <c r="G465" s="1" t="s">
        <v>87</v>
      </c>
      <c r="H465" s="1" t="s">
        <v>15</v>
      </c>
      <c r="I465" s="2" cm="1">
        <f t="array" ref="I465">IFERROR(
    Games[[#This Row],[Date]]
    - LOOKUP(
        2,
        1/((Games[Team]=Games[[#This Row],[Team]]) * (Games[Date] &lt; Games[[#This Row],[Date]])),
        Games[Date]
    )
    - 1,
Games[[#This Row],[Date]]-$A$2)</f>
        <v>1</v>
      </c>
      <c r="J465" s="2" cm="1">
        <f t="array" ref="J465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465" s="2">
        <f>Games[[#This Row],[DaysOff]]-Games[[#This Row],[OppDaysOff]]</f>
        <v>1</v>
      </c>
      <c r="L465" s="2">
        <f>Games[[#This Row],[OppDaysOff]]-Games[[#This Row],[DaysOff]]</f>
        <v>-1</v>
      </c>
      <c r="M465" s="1">
        <f>MAX(-16, MIN(16, Games[[#This Row],[RestDiff]]*8))</f>
        <v>8</v>
      </c>
      <c r="N465" s="1">
        <f>MAX(-16, MIN(16, Games[[#This Row],[OppRestDiff]]*8))</f>
        <v>-8</v>
      </c>
      <c r="O465" s="4" cm="1">
        <f t="array" ref="O46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1394.3929444416681</v>
      </c>
      <c r="P465" s="4" cm="1">
        <f t="array" ref="P46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1493.3868071032</v>
      </c>
      <c r="Q465" s="4">
        <f>1/(1+10^(((Games[[#This Row],[OppPreGmRate]]+IF(Games[[#This Row],[HomeAway]]="A",HCA,0)+Games[[#This Row],[OppRestAdj]])-(Games[[#This Row],[PreGmRate]]+IF(Games[[#This Row],[HomeAway]]="H",HCA,0)+Games[[#This Row],[RestAdj]]))/400))</f>
        <v>0.50144794397557624</v>
      </c>
      <c r="R465" s="1">
        <v>67</v>
      </c>
      <c r="S465" s="1">
        <v>74</v>
      </c>
      <c r="T465" s="1">
        <v>0</v>
      </c>
      <c r="U465" s="1">
        <f>Games[[#This Row],[PointsFor]]-Games[[#This Row],[PointsAgainst]]</f>
        <v>-7</v>
      </c>
      <c r="V465" s="1">
        <f>IF(Games[[#This Row],[MOV]]&gt;0,1,IF(Games[[#This Row],[MOV]]=0,0.5,0))</f>
        <v>0</v>
      </c>
      <c r="W465" s="4">
        <f>((ABS(Games[[#This Row],[MOV]])+5)^0.6)/(12+0.01*(ABS(Games[[#This Row],[PreGmRate]]-Games[[#This Row],[OppPreGmRate]])))*IF(Games[[#This Row],[OT]]=1,0.9,1)</f>
        <v>0.34190200566044315</v>
      </c>
      <c r="X465" s="7" cm="1">
        <f t="array" ref="X46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65" s="9">
        <f>MAX(kmin, kmax - 0.15 * MIN(Games[[#This Row],[GamesPlayed]], 82))</f>
        <v>71.05</v>
      </c>
      <c r="Z465" s="4">
        <f>Games[[#This Row],[K]]*Games[[#This Row],[POMult]]</f>
        <v>71.05</v>
      </c>
      <c r="AA465" s="4">
        <f>(Games[[#This Row],[Keff]]*Games[[#This Row],[MOVMult]])*(Games[[#This Row],[Result]]-Games[[#This Row],[ExpectedWin%]])</f>
        <v>-12.181242405237384</v>
      </c>
      <c r="AB465" s="4">
        <f>Games[[#This Row],[PreGmRate]]+Games[[#This Row],[RatingChange]]</f>
        <v>1382.2117020364308</v>
      </c>
      <c r="AC465" s="2">
        <f>IF(Games[[#This Row],[Type]]="R",IF(Games[[#This Row],[Result]]&gt;0.5,1,0),0)</f>
        <v>0</v>
      </c>
      <c r="AD465" s="2">
        <f>IF(Games[[#This Row],[Type]]="R",IF(Games[[#This Row],[Result]]&lt;0.5,1,0),0)</f>
        <v>1</v>
      </c>
      <c r="AE465" s="2">
        <f>IF(AND(Games[[#This Row],[Type]]="P",Games[[#This Row],[Round]]=1),IF(Games[[#This Row],[Result]]&gt;0.5,1,0),0)</f>
        <v>0</v>
      </c>
      <c r="AF465" s="2">
        <f>IF(AND(Games[[#This Row],[Type]]="P",Games[[#This Row],[Round]]=1),IF(Games[[#This Row],[Result]]&lt;0.5,1,0),0)</f>
        <v>0</v>
      </c>
      <c r="AG465" s="2">
        <f>IF(AND(Games[[#This Row],[Type]]="P",Games[[#This Row],[Round]]=2),IF(Games[[#This Row],[Result]]&gt;0.5,1,0),0)</f>
        <v>0</v>
      </c>
      <c r="AH465" s="2">
        <f>IF(AND(Games[[#This Row],[Type]]="P",Games[[#This Row],[Round]]=2),IF(Games[[#This Row],[Result]]&lt;0.5,1,0),0)</f>
        <v>0</v>
      </c>
      <c r="AI465" s="2">
        <f>IF(AND(Games[[#This Row],[Type]]="P",Games[[#This Row],[Round]]=3),IF(Games[[#This Row],[Result]]&gt;0.5,1,0),0)</f>
        <v>0</v>
      </c>
      <c r="AJ465" s="2">
        <f>IF(AND(Games[[#This Row],[Type]]="P",Games[[#This Row],[Round]]=3),IF(Games[[#This Row],[Result]]&lt;0.5,1,0),0)</f>
        <v>0</v>
      </c>
      <c r="AK465" s="2">
        <f>IF(AND(Games[[#This Row],[Type]]="P",Games[[#This Row],[Round]]=4),IF(Games[[#This Row],[Result]]&gt;0.5,1,0),0)</f>
        <v>0</v>
      </c>
      <c r="AL465" s="2">
        <f>IF(AND(Games[[#This Row],[Type]]="P",Games[[#This Row],[Round]]=4),IF(Games[[#This Row],[Result]]&lt;0.5,1,0),0)</f>
        <v>0</v>
      </c>
    </row>
    <row r="466" spans="1:38" x14ac:dyDescent="0.35">
      <c r="A466" s="10">
        <v>37857</v>
      </c>
      <c r="B466" s="2">
        <v>2003</v>
      </c>
      <c r="C466" s="2">
        <f>COUNTIFS(Games[Team],Games[[#This Row],[Team]],Games[Season],Games[[#This Row],[Season]],Games[Date],"&lt;=" &amp; Games[[#This Row],[Date]])</f>
        <v>34</v>
      </c>
      <c r="D466" s="2" t="s">
        <v>23</v>
      </c>
      <c r="E466" s="2" t="s">
        <v>29</v>
      </c>
      <c r="F466" s="1" t="s">
        <v>66</v>
      </c>
      <c r="G466" s="1" t="s">
        <v>64</v>
      </c>
      <c r="H466" s="1" t="s">
        <v>16</v>
      </c>
      <c r="I466" s="2" cm="1">
        <f t="array" ref="I466">IFERROR(
    Games[[#This Row],[Date]]
    - LOOKUP(
        2,
        1/((Games[Team]=Games[[#This Row],[Team]]) * (Games[Date] &lt; Games[[#This Row],[Date]])),
        Games[Date]
    )
    - 1,
Games[[#This Row],[Date]]-$A$2)</f>
        <v>1</v>
      </c>
      <c r="J466" s="2" cm="1">
        <f t="array" ref="J46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66" s="2">
        <f>Games[[#This Row],[DaysOff]]-Games[[#This Row],[OppDaysOff]]</f>
        <v>0</v>
      </c>
      <c r="L466" s="2">
        <f>Games[[#This Row],[OppDaysOff]]-Games[[#This Row],[DaysOff]]</f>
        <v>0</v>
      </c>
      <c r="M466" s="1">
        <f>MAX(-16, MIN(16, Games[[#This Row],[RestDiff]]*8))</f>
        <v>0</v>
      </c>
      <c r="N466" s="1">
        <f>MAX(-16, MIN(16, Games[[#This Row],[OppRestDiff]]*8))</f>
        <v>0</v>
      </c>
      <c r="O466" s="4" cm="1">
        <f t="array" ref="O46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1497.3014020469159</v>
      </c>
      <c r="P466" s="4" cm="1">
        <f t="array" ref="P46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1507.8138301823753</v>
      </c>
      <c r="Q466" s="4">
        <f>1/(1+10^(((Games[[#This Row],[OppPreGmRate]]+IF(Games[[#This Row],[HomeAway]]="A",HCA,0)+Games[[#This Row],[OppRestAdj]])-(Games[[#This Row],[PreGmRate]]+IF(Games[[#This Row],[HomeAway]]="H",HCA,0)+Games[[#This Row],[RestAdj]]))/400))</f>
        <v>0.36724426356164558</v>
      </c>
      <c r="R466" s="1">
        <v>59</v>
      </c>
      <c r="S466" s="1">
        <v>61</v>
      </c>
      <c r="T466" s="1">
        <v>1</v>
      </c>
      <c r="U466" s="1">
        <f>Games[[#This Row],[PointsFor]]-Games[[#This Row],[PointsAgainst]]</f>
        <v>-2</v>
      </c>
      <c r="V466" s="1">
        <f>IF(Games[[#This Row],[MOV]]&gt;0,1,IF(Games[[#This Row],[MOV]]=0,0.5,0))</f>
        <v>0</v>
      </c>
      <c r="W466" s="4">
        <f>((ABS(Games[[#This Row],[MOV]])+5)^0.6)/(12+0.01*(ABS(Games[[#This Row],[PreGmRate]]-Games[[#This Row],[OppPreGmRate]])))*IF(Games[[#This Row],[OT]]=1,0.9,1)</f>
        <v>0.23896378075192595</v>
      </c>
      <c r="X466" s="7" cm="1">
        <f t="array" ref="X46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66" s="9">
        <f>MAX(kmin, kmax - 0.15 * MIN(Games[[#This Row],[GamesPlayed]], 82))</f>
        <v>70.900000000000006</v>
      </c>
      <c r="Z466" s="4">
        <f>Games[[#This Row],[K]]*Games[[#This Row],[POMult]]</f>
        <v>70.900000000000006</v>
      </c>
      <c r="AA466" s="4">
        <f>(Games[[#This Row],[Keff]]*Games[[#This Row],[MOVMult]])*(Games[[#This Row],[Result]]-Games[[#This Row],[ExpectedWin%]])</f>
        <v>-6.2220477075224645</v>
      </c>
      <c r="AB466" s="4">
        <f>Games[[#This Row],[PreGmRate]]+Games[[#This Row],[RatingChange]]</f>
        <v>1491.0793543393934</v>
      </c>
      <c r="AC466" s="2">
        <f>IF(Games[[#This Row],[Type]]="R",IF(Games[[#This Row],[Result]]&gt;0.5,1,0),0)</f>
        <v>0</v>
      </c>
      <c r="AD466" s="2">
        <f>IF(Games[[#This Row],[Type]]="R",IF(Games[[#This Row],[Result]]&lt;0.5,1,0),0)</f>
        <v>1</v>
      </c>
      <c r="AE466" s="2">
        <f>IF(AND(Games[[#This Row],[Type]]="P",Games[[#This Row],[Round]]=1),IF(Games[[#This Row],[Result]]&gt;0.5,1,0),0)</f>
        <v>0</v>
      </c>
      <c r="AF466" s="2">
        <f>IF(AND(Games[[#This Row],[Type]]="P",Games[[#This Row],[Round]]=1),IF(Games[[#This Row],[Result]]&lt;0.5,1,0),0)</f>
        <v>0</v>
      </c>
      <c r="AG466" s="2">
        <f>IF(AND(Games[[#This Row],[Type]]="P",Games[[#This Row],[Round]]=2),IF(Games[[#This Row],[Result]]&gt;0.5,1,0),0)</f>
        <v>0</v>
      </c>
      <c r="AH466" s="2">
        <f>IF(AND(Games[[#This Row],[Type]]="P",Games[[#This Row],[Round]]=2),IF(Games[[#This Row],[Result]]&lt;0.5,1,0),0)</f>
        <v>0</v>
      </c>
      <c r="AI466" s="2">
        <f>IF(AND(Games[[#This Row],[Type]]="P",Games[[#This Row],[Round]]=3),IF(Games[[#This Row],[Result]]&gt;0.5,1,0),0)</f>
        <v>0</v>
      </c>
      <c r="AJ466" s="2">
        <f>IF(AND(Games[[#This Row],[Type]]="P",Games[[#This Row],[Round]]=3),IF(Games[[#This Row],[Result]]&lt;0.5,1,0),0)</f>
        <v>0</v>
      </c>
      <c r="AK466" s="2">
        <f>IF(AND(Games[[#This Row],[Type]]="P",Games[[#This Row],[Round]]=4),IF(Games[[#This Row],[Result]]&gt;0.5,1,0),0)</f>
        <v>0</v>
      </c>
      <c r="AL466" s="2">
        <f>IF(AND(Games[[#This Row],[Type]]="P",Games[[#This Row],[Round]]=4),IF(Games[[#This Row],[Result]]&lt;0.5,1,0),0)</f>
        <v>0</v>
      </c>
    </row>
    <row r="467" spans="1:38" x14ac:dyDescent="0.35">
      <c r="A467" s="10">
        <v>37857</v>
      </c>
      <c r="B467" s="2">
        <v>2003</v>
      </c>
      <c r="C467" s="2">
        <f>COUNTIFS(Games[Team],Games[[#This Row],[Team]],Games[Season],Games[[#This Row],[Season]],Games[Date],"&lt;=" &amp; Games[[#This Row],[Date]])</f>
        <v>33</v>
      </c>
      <c r="D467" s="2" t="s">
        <v>23</v>
      </c>
      <c r="E467" s="2" t="s">
        <v>29</v>
      </c>
      <c r="F467" s="1" t="s">
        <v>64</v>
      </c>
      <c r="G467" s="1" t="s">
        <v>66</v>
      </c>
      <c r="H467" s="1" t="s">
        <v>15</v>
      </c>
      <c r="I467" s="2" cm="1">
        <f t="array" ref="I467">IFERROR(
    Games[[#This Row],[Date]]
    - LOOKUP(
        2,
        1/((Games[Team]=Games[[#This Row],[Team]]) * (Games[Date] &lt; Games[[#This Row],[Date]])),
        Games[Date]
    )
    - 1,
Games[[#This Row],[Date]]-$A$2)</f>
        <v>1</v>
      </c>
      <c r="J467" s="2" cm="1">
        <f t="array" ref="J46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67" s="2">
        <f>Games[[#This Row],[DaysOff]]-Games[[#This Row],[OppDaysOff]]</f>
        <v>0</v>
      </c>
      <c r="L467" s="2">
        <f>Games[[#This Row],[OppDaysOff]]-Games[[#This Row],[DaysOff]]</f>
        <v>0</v>
      </c>
      <c r="M467" s="1">
        <f>MAX(-16, MIN(16, Games[[#This Row],[RestDiff]]*8))</f>
        <v>0</v>
      </c>
      <c r="N467" s="1">
        <f>MAX(-16, MIN(16, Games[[#This Row],[OppRestDiff]]*8))</f>
        <v>0</v>
      </c>
      <c r="O467" s="4" cm="1">
        <f t="array" ref="O46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1507.8138301823753</v>
      </c>
      <c r="P467" s="4" cm="1">
        <f t="array" ref="P46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1497.3014020469159</v>
      </c>
      <c r="Q467" s="4">
        <f>1/(1+10^(((Games[[#This Row],[OppPreGmRate]]+IF(Games[[#This Row],[HomeAway]]="A",HCA,0)+Games[[#This Row],[OppRestAdj]])-(Games[[#This Row],[PreGmRate]]+IF(Games[[#This Row],[HomeAway]]="H",HCA,0)+Games[[#This Row],[RestAdj]]))/400))</f>
        <v>0.63275573643835448</v>
      </c>
      <c r="R467" s="1">
        <v>61</v>
      </c>
      <c r="S467" s="1">
        <v>59</v>
      </c>
      <c r="T467" s="1">
        <v>1</v>
      </c>
      <c r="U467" s="1">
        <f>Games[[#This Row],[PointsFor]]-Games[[#This Row],[PointsAgainst]]</f>
        <v>2</v>
      </c>
      <c r="V467" s="1">
        <f>IF(Games[[#This Row],[MOV]]&gt;0,1,IF(Games[[#This Row],[MOV]]=0,0.5,0))</f>
        <v>1</v>
      </c>
      <c r="W467" s="4">
        <f>((ABS(Games[[#This Row],[MOV]])+5)^0.6)/(12+0.01*(ABS(Games[[#This Row],[PreGmRate]]-Games[[#This Row],[OppPreGmRate]])))*IF(Games[[#This Row],[OT]]=1,0.9,1)</f>
        <v>0.23896378075192595</v>
      </c>
      <c r="X467" s="7" cm="1">
        <f t="array" ref="X46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67" s="9">
        <f>MAX(kmin, kmax - 0.15 * MIN(Games[[#This Row],[GamesPlayed]], 82))</f>
        <v>71.05</v>
      </c>
      <c r="Z467" s="4">
        <f>Games[[#This Row],[K]]*Games[[#This Row],[POMult]]</f>
        <v>71.05</v>
      </c>
      <c r="AA467" s="4">
        <f>(Games[[#This Row],[Keff]]*Games[[#This Row],[MOVMult]])*(Games[[#This Row],[Result]]-Games[[#This Row],[ExpectedWin%]])</f>
        <v>6.235211419174485</v>
      </c>
      <c r="AB467" s="4">
        <f>Games[[#This Row],[PreGmRate]]+Games[[#This Row],[RatingChange]]</f>
        <v>1514.0490416015498</v>
      </c>
      <c r="AC467" s="2">
        <f>IF(Games[[#This Row],[Type]]="R",IF(Games[[#This Row],[Result]]&gt;0.5,1,0),0)</f>
        <v>1</v>
      </c>
      <c r="AD467" s="2">
        <f>IF(Games[[#This Row],[Type]]="R",IF(Games[[#This Row],[Result]]&lt;0.5,1,0),0)</f>
        <v>0</v>
      </c>
      <c r="AE467" s="2">
        <f>IF(AND(Games[[#This Row],[Type]]="P",Games[[#This Row],[Round]]=1),IF(Games[[#This Row],[Result]]&gt;0.5,1,0),0)</f>
        <v>0</v>
      </c>
      <c r="AF467" s="2">
        <f>IF(AND(Games[[#This Row],[Type]]="P",Games[[#This Row],[Round]]=1),IF(Games[[#This Row],[Result]]&lt;0.5,1,0),0)</f>
        <v>0</v>
      </c>
      <c r="AG467" s="2">
        <f>IF(AND(Games[[#This Row],[Type]]="P",Games[[#This Row],[Round]]=2),IF(Games[[#This Row],[Result]]&gt;0.5,1,0),0)</f>
        <v>0</v>
      </c>
      <c r="AH467" s="2">
        <f>IF(AND(Games[[#This Row],[Type]]="P",Games[[#This Row],[Round]]=2),IF(Games[[#This Row],[Result]]&lt;0.5,1,0),0)</f>
        <v>0</v>
      </c>
      <c r="AI467" s="2">
        <f>IF(AND(Games[[#This Row],[Type]]="P",Games[[#This Row],[Round]]=3),IF(Games[[#This Row],[Result]]&gt;0.5,1,0),0)</f>
        <v>0</v>
      </c>
      <c r="AJ467" s="2">
        <f>IF(AND(Games[[#This Row],[Type]]="P",Games[[#This Row],[Round]]=3),IF(Games[[#This Row],[Result]]&lt;0.5,1,0),0)</f>
        <v>0</v>
      </c>
      <c r="AK467" s="2">
        <f>IF(AND(Games[[#This Row],[Type]]="P",Games[[#This Row],[Round]]=4),IF(Games[[#This Row],[Result]]&gt;0.5,1,0),0)</f>
        <v>0</v>
      </c>
      <c r="AL467" s="2">
        <f>IF(AND(Games[[#This Row],[Type]]="P",Games[[#This Row],[Round]]=4),IF(Games[[#This Row],[Result]]&lt;0.5,1,0),0)</f>
        <v>0</v>
      </c>
    </row>
    <row r="468" spans="1:38" x14ac:dyDescent="0.35">
      <c r="A468" s="10">
        <v>37858</v>
      </c>
      <c r="B468" s="2">
        <v>2003</v>
      </c>
      <c r="C468" s="2">
        <f>COUNTIFS(Games[Team],Games[[#This Row],[Team]],Games[Season],Games[[#This Row],[Season]],Games[Date],"&lt;=" &amp; Games[[#This Row],[Date]])</f>
        <v>34</v>
      </c>
      <c r="D468" s="2" t="s">
        <v>23</v>
      </c>
      <c r="E468" s="2" t="s">
        <v>29</v>
      </c>
      <c r="F468" s="1" t="s">
        <v>64</v>
      </c>
      <c r="G468" s="1" t="s">
        <v>1</v>
      </c>
      <c r="H468" s="1" t="s">
        <v>16</v>
      </c>
      <c r="I468" s="2" cm="1">
        <f t="array" ref="I468">IFERROR(
    Games[[#This Row],[Date]]
    - LOOKUP(
        2,
        1/((Games[Team]=Games[[#This Row],[Team]]) * (Games[Date] &lt; Games[[#This Row],[Date]])),
        Games[Date]
    )
    - 1,
Games[[#This Row],[Date]]-$A$2)</f>
        <v>0</v>
      </c>
      <c r="J468" s="2" cm="1">
        <f t="array" ref="J46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68" s="2">
        <f>Games[[#This Row],[DaysOff]]-Games[[#This Row],[OppDaysOff]]</f>
        <v>-1</v>
      </c>
      <c r="L468" s="2">
        <f>Games[[#This Row],[OppDaysOff]]-Games[[#This Row],[DaysOff]]</f>
        <v>1</v>
      </c>
      <c r="M468" s="1">
        <f>MAX(-16, MIN(16, Games[[#This Row],[RestDiff]]*8))</f>
        <v>-8</v>
      </c>
      <c r="N468" s="1">
        <f>MAX(-16, MIN(16, Games[[#This Row],[OppRestDiff]]*8))</f>
        <v>8</v>
      </c>
      <c r="O468" s="4" cm="1">
        <f t="array" ref="O46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1514.0490416015498</v>
      </c>
      <c r="P468" s="4" cm="1">
        <f t="array" ref="P46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1459.9653458357197</v>
      </c>
      <c r="Q468" s="4">
        <f>1/(1+10^(((Games[[#This Row],[OppPreGmRate]]+IF(Games[[#This Row],[HomeAway]]="A",HCA,0)+Games[[#This Row],[OppRestAdj]])-(Games[[#This Row],[PreGmRate]]+IF(Games[[#This Row],[HomeAway]]="H",HCA,0)+Games[[#This Row],[RestAdj]]))/400))</f>
        <v>0.43430316162290533</v>
      </c>
      <c r="R468" s="1">
        <v>66</v>
      </c>
      <c r="S468" s="1">
        <v>75</v>
      </c>
      <c r="T468" s="1">
        <v>0</v>
      </c>
      <c r="U468" s="1">
        <f>Games[[#This Row],[PointsFor]]-Games[[#This Row],[PointsAgainst]]</f>
        <v>-9</v>
      </c>
      <c r="V468" s="1">
        <f>IF(Games[[#This Row],[MOV]]&gt;0,1,IF(Games[[#This Row],[MOV]]=0,0.5,0))</f>
        <v>0</v>
      </c>
      <c r="W468" s="4">
        <f>((ABS(Games[[#This Row],[MOV]])+5)^0.6)/(12+0.01*(ABS(Games[[#This Row],[PreGmRate]]-Games[[#This Row],[OppPreGmRate]])))*IF(Games[[#This Row],[OT]]=1,0.9,1)</f>
        <v>0.38846357242464136</v>
      </c>
      <c r="X468" s="7" cm="1">
        <f t="array" ref="X46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68" s="9">
        <f>MAX(kmin, kmax - 0.15 * MIN(Games[[#This Row],[GamesPlayed]], 82))</f>
        <v>70.900000000000006</v>
      </c>
      <c r="Z468" s="4">
        <f>Games[[#This Row],[K]]*Games[[#This Row],[POMult]]</f>
        <v>70.900000000000006</v>
      </c>
      <c r="AA468" s="4">
        <f>(Games[[#This Row],[Keff]]*Games[[#This Row],[MOVMult]])*(Games[[#This Row],[Result]]-Games[[#This Row],[ExpectedWin%]])</f>
        <v>-11.961606899465931</v>
      </c>
      <c r="AB468" s="4">
        <f>Games[[#This Row],[PreGmRate]]+Games[[#This Row],[RatingChange]]</f>
        <v>1502.0874347020838</v>
      </c>
      <c r="AC468" s="2">
        <f>IF(Games[[#This Row],[Type]]="R",IF(Games[[#This Row],[Result]]&gt;0.5,1,0),0)</f>
        <v>0</v>
      </c>
      <c r="AD468" s="2">
        <f>IF(Games[[#This Row],[Type]]="R",IF(Games[[#This Row],[Result]]&lt;0.5,1,0),0)</f>
        <v>1</v>
      </c>
      <c r="AE468" s="2">
        <f>IF(AND(Games[[#This Row],[Type]]="P",Games[[#This Row],[Round]]=1),IF(Games[[#This Row],[Result]]&gt;0.5,1,0),0)</f>
        <v>0</v>
      </c>
      <c r="AF468" s="2">
        <f>IF(AND(Games[[#This Row],[Type]]="P",Games[[#This Row],[Round]]=1),IF(Games[[#This Row],[Result]]&lt;0.5,1,0),0)</f>
        <v>0</v>
      </c>
      <c r="AG468" s="2">
        <f>IF(AND(Games[[#This Row],[Type]]="P",Games[[#This Row],[Round]]=2),IF(Games[[#This Row],[Result]]&gt;0.5,1,0),0)</f>
        <v>0</v>
      </c>
      <c r="AH468" s="2">
        <f>IF(AND(Games[[#This Row],[Type]]="P",Games[[#This Row],[Round]]=2),IF(Games[[#This Row],[Result]]&lt;0.5,1,0),0)</f>
        <v>0</v>
      </c>
      <c r="AI468" s="2">
        <f>IF(AND(Games[[#This Row],[Type]]="P",Games[[#This Row],[Round]]=3),IF(Games[[#This Row],[Result]]&gt;0.5,1,0),0)</f>
        <v>0</v>
      </c>
      <c r="AJ468" s="2">
        <f>IF(AND(Games[[#This Row],[Type]]="P",Games[[#This Row],[Round]]=3),IF(Games[[#This Row],[Result]]&lt;0.5,1,0),0)</f>
        <v>0</v>
      </c>
      <c r="AK468" s="2">
        <f>IF(AND(Games[[#This Row],[Type]]="P",Games[[#This Row],[Round]]=4),IF(Games[[#This Row],[Result]]&gt;0.5,1,0),0)</f>
        <v>0</v>
      </c>
      <c r="AL468" s="2">
        <f>IF(AND(Games[[#This Row],[Type]]="P",Games[[#This Row],[Round]]=4),IF(Games[[#This Row],[Result]]&lt;0.5,1,0),0)</f>
        <v>0</v>
      </c>
    </row>
    <row r="469" spans="1:38" x14ac:dyDescent="0.35">
      <c r="A469" s="10">
        <v>37858</v>
      </c>
      <c r="B469" s="2">
        <v>2003</v>
      </c>
      <c r="C469" s="2">
        <f>COUNTIFS(Games[Team],Games[[#This Row],[Team]],Games[Season],Games[[#This Row],[Season]],Games[Date],"&lt;=" &amp; Games[[#This Row],[Date]])</f>
        <v>34</v>
      </c>
      <c r="D469" s="2" t="s">
        <v>23</v>
      </c>
      <c r="E469" s="2" t="s">
        <v>29</v>
      </c>
      <c r="F469" s="1" t="s">
        <v>1</v>
      </c>
      <c r="G469" s="1" t="s">
        <v>64</v>
      </c>
      <c r="H469" s="1" t="s">
        <v>15</v>
      </c>
      <c r="I469" s="2" cm="1">
        <f t="array" ref="I469">IFERROR(
    Games[[#This Row],[Date]]
    - LOOKUP(
        2,
        1/((Games[Team]=Games[[#This Row],[Team]]) * (Games[Date] &lt; Games[[#This Row],[Date]])),
        Games[Date]
    )
    - 1,
Games[[#This Row],[Date]]-$A$2)</f>
        <v>1</v>
      </c>
      <c r="J469" s="2" cm="1">
        <f t="array" ref="J469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469" s="2">
        <f>Games[[#This Row],[DaysOff]]-Games[[#This Row],[OppDaysOff]]</f>
        <v>1</v>
      </c>
      <c r="L469" s="2">
        <f>Games[[#This Row],[OppDaysOff]]-Games[[#This Row],[DaysOff]]</f>
        <v>-1</v>
      </c>
      <c r="M469" s="1">
        <f>MAX(-16, MIN(16, Games[[#This Row],[RestDiff]]*8))</f>
        <v>8</v>
      </c>
      <c r="N469" s="1">
        <f>MAX(-16, MIN(16, Games[[#This Row],[OppRestDiff]]*8))</f>
        <v>-8</v>
      </c>
      <c r="O469" s="4" cm="1">
        <f t="array" ref="O46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1459.9653458357197</v>
      </c>
      <c r="P469" s="4" cm="1">
        <f t="array" ref="P46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1514.0490416015498</v>
      </c>
      <c r="Q469" s="4">
        <f>1/(1+10^(((Games[[#This Row],[OppPreGmRate]]+IF(Games[[#This Row],[HomeAway]]="A",HCA,0)+Games[[#This Row],[OppRestAdj]])-(Games[[#This Row],[PreGmRate]]+IF(Games[[#This Row],[HomeAway]]="H",HCA,0)+Games[[#This Row],[RestAdj]]))/400))</f>
        <v>0.56569683837709461</v>
      </c>
      <c r="R469" s="1">
        <v>75</v>
      </c>
      <c r="S469" s="1">
        <v>66</v>
      </c>
      <c r="T469" s="1">
        <v>0</v>
      </c>
      <c r="U469" s="1">
        <f>Games[[#This Row],[PointsFor]]-Games[[#This Row],[PointsAgainst]]</f>
        <v>9</v>
      </c>
      <c r="V469" s="1">
        <f>IF(Games[[#This Row],[MOV]]&gt;0,1,IF(Games[[#This Row],[MOV]]=0,0.5,0))</f>
        <v>1</v>
      </c>
      <c r="W469" s="4">
        <f>((ABS(Games[[#This Row],[MOV]])+5)^0.6)/(12+0.01*(ABS(Games[[#This Row],[PreGmRate]]-Games[[#This Row],[OppPreGmRate]])))*IF(Games[[#This Row],[OT]]=1,0.9,1)</f>
        <v>0.38846357242464136</v>
      </c>
      <c r="X469" s="7" cm="1">
        <f t="array" ref="X46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69" s="9">
        <f>MAX(kmin, kmax - 0.15 * MIN(Games[[#This Row],[GamesPlayed]], 82))</f>
        <v>70.900000000000006</v>
      </c>
      <c r="Z469" s="4">
        <f>Games[[#This Row],[K]]*Games[[#This Row],[POMult]]</f>
        <v>70.900000000000006</v>
      </c>
      <c r="AA469" s="4">
        <f>(Games[[#This Row],[Keff]]*Games[[#This Row],[MOVMult]])*(Games[[#This Row],[Result]]-Games[[#This Row],[ExpectedWin%]])</f>
        <v>11.961606899465931</v>
      </c>
      <c r="AB469" s="4">
        <f>Games[[#This Row],[PreGmRate]]+Games[[#This Row],[RatingChange]]</f>
        <v>1471.9269527351858</v>
      </c>
      <c r="AC469" s="2">
        <f>IF(Games[[#This Row],[Type]]="R",IF(Games[[#This Row],[Result]]&gt;0.5,1,0),0)</f>
        <v>1</v>
      </c>
      <c r="AD469" s="2">
        <f>IF(Games[[#This Row],[Type]]="R",IF(Games[[#This Row],[Result]]&lt;0.5,1,0),0)</f>
        <v>0</v>
      </c>
      <c r="AE469" s="2">
        <f>IF(AND(Games[[#This Row],[Type]]="P",Games[[#This Row],[Round]]=1),IF(Games[[#This Row],[Result]]&gt;0.5,1,0),0)</f>
        <v>0</v>
      </c>
      <c r="AF469" s="2">
        <f>IF(AND(Games[[#This Row],[Type]]="P",Games[[#This Row],[Round]]=1),IF(Games[[#This Row],[Result]]&lt;0.5,1,0),0)</f>
        <v>0</v>
      </c>
      <c r="AG469" s="2">
        <f>IF(AND(Games[[#This Row],[Type]]="P",Games[[#This Row],[Round]]=2),IF(Games[[#This Row],[Result]]&gt;0.5,1,0),0)</f>
        <v>0</v>
      </c>
      <c r="AH469" s="2">
        <f>IF(AND(Games[[#This Row],[Type]]="P",Games[[#This Row],[Round]]=2),IF(Games[[#This Row],[Result]]&lt;0.5,1,0),0)</f>
        <v>0</v>
      </c>
      <c r="AI469" s="2">
        <f>IF(AND(Games[[#This Row],[Type]]="P",Games[[#This Row],[Round]]=3),IF(Games[[#This Row],[Result]]&gt;0.5,1,0),0)</f>
        <v>0</v>
      </c>
      <c r="AJ469" s="2">
        <f>IF(AND(Games[[#This Row],[Type]]="P",Games[[#This Row],[Round]]=3),IF(Games[[#This Row],[Result]]&lt;0.5,1,0),0)</f>
        <v>0</v>
      </c>
      <c r="AK469" s="2">
        <f>IF(AND(Games[[#This Row],[Type]]="P",Games[[#This Row],[Round]]=4),IF(Games[[#This Row],[Result]]&gt;0.5,1,0),0)</f>
        <v>0</v>
      </c>
      <c r="AL469" s="2">
        <f>IF(AND(Games[[#This Row],[Type]]="P",Games[[#This Row],[Round]]=4),IF(Games[[#This Row],[Result]]&lt;0.5,1,0),0)</f>
        <v>0</v>
      </c>
    </row>
    <row r="470" spans="1:38" x14ac:dyDescent="0.35">
      <c r="A470" s="10">
        <v>37858</v>
      </c>
      <c r="B470" s="2">
        <v>2003</v>
      </c>
      <c r="C470" s="2">
        <f>COUNTIFS(Games[Team],Games[[#This Row],[Team]],Games[Season],Games[[#This Row],[Season]],Games[Date],"&lt;=" &amp; Games[[#This Row],[Date]])</f>
        <v>34</v>
      </c>
      <c r="D470" s="2" t="s">
        <v>23</v>
      </c>
      <c r="E470" s="2" t="s">
        <v>29</v>
      </c>
      <c r="F470" s="1" t="s">
        <v>74</v>
      </c>
      <c r="G470" s="1" t="s">
        <v>76</v>
      </c>
      <c r="H470" s="1" t="s">
        <v>16</v>
      </c>
      <c r="I470" s="2" cm="1">
        <f t="array" ref="I470">IFERROR(
    Games[[#This Row],[Date]]
    - LOOKUP(
        2,
        1/((Games[Team]=Games[[#This Row],[Team]]) * (Games[Date] &lt; Games[[#This Row],[Date]])),
        Games[Date]
    )
    - 1,
Games[[#This Row],[Date]]-$A$2)</f>
        <v>1</v>
      </c>
      <c r="J470" s="2" cm="1">
        <f t="array" ref="J47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70" s="2">
        <f>Games[[#This Row],[DaysOff]]-Games[[#This Row],[OppDaysOff]]</f>
        <v>0</v>
      </c>
      <c r="L470" s="2">
        <f>Games[[#This Row],[OppDaysOff]]-Games[[#This Row],[DaysOff]]</f>
        <v>0</v>
      </c>
      <c r="M470" s="1">
        <f>MAX(-16, MIN(16, Games[[#This Row],[RestDiff]]*8))</f>
        <v>0</v>
      </c>
      <c r="N470" s="1">
        <f>MAX(-16, MIN(16, Games[[#This Row],[OppRestDiff]]*8))</f>
        <v>0</v>
      </c>
      <c r="O470" s="4" cm="1">
        <f t="array" ref="O47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1382.2117020364308</v>
      </c>
      <c r="P470" s="4" cm="1">
        <f t="array" ref="P47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1608.873232141402</v>
      </c>
      <c r="Q470" s="4">
        <f>1/(1+10^(((Games[[#This Row],[OppPreGmRate]]+IF(Games[[#This Row],[HomeAway]]="A",HCA,0)+Games[[#This Row],[OppRestAdj]])-(Games[[#This Row],[PreGmRate]]+IF(Games[[#This Row],[HomeAway]]="H",HCA,0)+Games[[#This Row],[RestAdj]]))/400))</f>
        <v>0.14327986078514685</v>
      </c>
      <c r="R470" s="1">
        <v>60</v>
      </c>
      <c r="S470" s="1">
        <v>68</v>
      </c>
      <c r="T470" s="1">
        <v>0</v>
      </c>
      <c r="U470" s="1">
        <f>Games[[#This Row],[PointsFor]]-Games[[#This Row],[PointsAgainst]]</f>
        <v>-8</v>
      </c>
      <c r="V470" s="1">
        <f>IF(Games[[#This Row],[MOV]]&gt;0,1,IF(Games[[#This Row],[MOV]]=0,0.5,0))</f>
        <v>0</v>
      </c>
      <c r="W470" s="4">
        <f>((ABS(Games[[#This Row],[MOV]])+5)^0.6)/(12+0.01*(ABS(Games[[#This Row],[PreGmRate]]-Games[[#This Row],[OppPreGmRate]])))*IF(Games[[#This Row],[OT]]=1,0.9,1)</f>
        <v>0.32662171942725665</v>
      </c>
      <c r="X470" s="7" cm="1">
        <f t="array" ref="X47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70" s="9">
        <f>MAX(kmin, kmax - 0.15 * MIN(Games[[#This Row],[GamesPlayed]], 82))</f>
        <v>70.900000000000006</v>
      </c>
      <c r="Z470" s="4">
        <f>Games[[#This Row],[K]]*Games[[#This Row],[POMult]]</f>
        <v>70.900000000000006</v>
      </c>
      <c r="AA470" s="4">
        <f>(Games[[#This Row],[Keff]]*Games[[#This Row],[MOVMult]])*(Games[[#This Row],[Result]]-Games[[#This Row],[ExpectedWin%]])</f>
        <v>-3.3180004972660324</v>
      </c>
      <c r="AB470" s="4">
        <f>Games[[#This Row],[PreGmRate]]+Games[[#This Row],[RatingChange]]</f>
        <v>1378.8937015391648</v>
      </c>
      <c r="AC470" s="2">
        <f>IF(Games[[#This Row],[Type]]="R",IF(Games[[#This Row],[Result]]&gt;0.5,1,0),0)</f>
        <v>0</v>
      </c>
      <c r="AD470" s="2">
        <f>IF(Games[[#This Row],[Type]]="R",IF(Games[[#This Row],[Result]]&lt;0.5,1,0),0)</f>
        <v>1</v>
      </c>
      <c r="AE470" s="2">
        <f>IF(AND(Games[[#This Row],[Type]]="P",Games[[#This Row],[Round]]=1),IF(Games[[#This Row],[Result]]&gt;0.5,1,0),0)</f>
        <v>0</v>
      </c>
      <c r="AF470" s="2">
        <f>IF(AND(Games[[#This Row],[Type]]="P",Games[[#This Row],[Round]]=1),IF(Games[[#This Row],[Result]]&lt;0.5,1,0),0)</f>
        <v>0</v>
      </c>
      <c r="AG470" s="2">
        <f>IF(AND(Games[[#This Row],[Type]]="P",Games[[#This Row],[Round]]=2),IF(Games[[#This Row],[Result]]&gt;0.5,1,0),0)</f>
        <v>0</v>
      </c>
      <c r="AH470" s="2">
        <f>IF(AND(Games[[#This Row],[Type]]="P",Games[[#This Row],[Round]]=2),IF(Games[[#This Row],[Result]]&lt;0.5,1,0),0)</f>
        <v>0</v>
      </c>
      <c r="AI470" s="2">
        <f>IF(AND(Games[[#This Row],[Type]]="P",Games[[#This Row],[Round]]=3),IF(Games[[#This Row],[Result]]&gt;0.5,1,0),0)</f>
        <v>0</v>
      </c>
      <c r="AJ470" s="2">
        <f>IF(AND(Games[[#This Row],[Type]]="P",Games[[#This Row],[Round]]=3),IF(Games[[#This Row],[Result]]&lt;0.5,1,0),0)</f>
        <v>0</v>
      </c>
      <c r="AK470" s="2">
        <f>IF(AND(Games[[#This Row],[Type]]="P",Games[[#This Row],[Round]]=4),IF(Games[[#This Row],[Result]]&gt;0.5,1,0),0)</f>
        <v>0</v>
      </c>
      <c r="AL470" s="2">
        <f>IF(AND(Games[[#This Row],[Type]]="P",Games[[#This Row],[Round]]=4),IF(Games[[#This Row],[Result]]&lt;0.5,1,0),0)</f>
        <v>0</v>
      </c>
    </row>
    <row r="471" spans="1:38" x14ac:dyDescent="0.35">
      <c r="A471" s="10">
        <v>37858</v>
      </c>
      <c r="B471" s="2">
        <v>2003</v>
      </c>
      <c r="C471" s="2">
        <f>COUNTIFS(Games[Team],Games[[#This Row],[Team]],Games[Season],Games[[#This Row],[Season]],Games[Date],"&lt;=" &amp; Games[[#This Row],[Date]])</f>
        <v>34</v>
      </c>
      <c r="D471" s="2" t="s">
        <v>23</v>
      </c>
      <c r="E471" s="2" t="s">
        <v>29</v>
      </c>
      <c r="F471" s="1" t="s">
        <v>76</v>
      </c>
      <c r="G471" s="1" t="s">
        <v>74</v>
      </c>
      <c r="H471" s="1" t="s">
        <v>15</v>
      </c>
      <c r="I471" s="2" cm="1">
        <f t="array" ref="I471">IFERROR(
    Games[[#This Row],[Date]]
    - LOOKUP(
        2,
        1/((Games[Team]=Games[[#This Row],[Team]]) * (Games[Date] &lt; Games[[#This Row],[Date]])),
        Games[Date]
    )
    - 1,
Games[[#This Row],[Date]]-$A$2)</f>
        <v>1</v>
      </c>
      <c r="J471" s="2" cm="1">
        <f t="array" ref="J47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71" s="2">
        <f>Games[[#This Row],[DaysOff]]-Games[[#This Row],[OppDaysOff]]</f>
        <v>0</v>
      </c>
      <c r="L471" s="2">
        <f>Games[[#This Row],[OppDaysOff]]-Games[[#This Row],[DaysOff]]</f>
        <v>0</v>
      </c>
      <c r="M471" s="1">
        <f>MAX(-16, MIN(16, Games[[#This Row],[RestDiff]]*8))</f>
        <v>0</v>
      </c>
      <c r="N471" s="1">
        <f>MAX(-16, MIN(16, Games[[#This Row],[OppRestDiff]]*8))</f>
        <v>0</v>
      </c>
      <c r="O471" s="4" cm="1">
        <f t="array" ref="O47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1608.873232141402</v>
      </c>
      <c r="P471" s="4" cm="1">
        <f t="array" ref="P47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1382.2117020364308</v>
      </c>
      <c r="Q471" s="4">
        <f>1/(1+10^(((Games[[#This Row],[OppPreGmRate]]+IF(Games[[#This Row],[HomeAway]]="A",HCA,0)+Games[[#This Row],[OppRestAdj]])-(Games[[#This Row],[PreGmRate]]+IF(Games[[#This Row],[HomeAway]]="H",HCA,0)+Games[[#This Row],[RestAdj]]))/400))</f>
        <v>0.85672013921485313</v>
      </c>
      <c r="R471" s="1">
        <v>68</v>
      </c>
      <c r="S471" s="1">
        <v>60</v>
      </c>
      <c r="T471" s="1">
        <v>0</v>
      </c>
      <c r="U471" s="1">
        <f>Games[[#This Row],[PointsFor]]-Games[[#This Row],[PointsAgainst]]</f>
        <v>8</v>
      </c>
      <c r="V471" s="1">
        <f>IF(Games[[#This Row],[MOV]]&gt;0,1,IF(Games[[#This Row],[MOV]]=0,0.5,0))</f>
        <v>1</v>
      </c>
      <c r="W471" s="4">
        <f>((ABS(Games[[#This Row],[MOV]])+5)^0.6)/(12+0.01*(ABS(Games[[#This Row],[PreGmRate]]-Games[[#This Row],[OppPreGmRate]])))*IF(Games[[#This Row],[OT]]=1,0.9,1)</f>
        <v>0.32662171942725665</v>
      </c>
      <c r="X471" s="7" cm="1">
        <f t="array" ref="X47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71" s="9">
        <f>MAX(kmin, kmax - 0.15 * MIN(Games[[#This Row],[GamesPlayed]], 82))</f>
        <v>70.900000000000006</v>
      </c>
      <c r="Z471" s="4">
        <f>Games[[#This Row],[K]]*Games[[#This Row],[POMult]]</f>
        <v>70.900000000000006</v>
      </c>
      <c r="AA471" s="4">
        <f>(Games[[#This Row],[Keff]]*Games[[#This Row],[MOVMult]])*(Games[[#This Row],[Result]]-Games[[#This Row],[ExpectedWin%]])</f>
        <v>3.3180004972660333</v>
      </c>
      <c r="AB471" s="4">
        <f>Games[[#This Row],[PreGmRate]]+Games[[#This Row],[RatingChange]]</f>
        <v>1612.191232638668</v>
      </c>
      <c r="AC471" s="2">
        <f>IF(Games[[#This Row],[Type]]="R",IF(Games[[#This Row],[Result]]&gt;0.5,1,0),0)</f>
        <v>1</v>
      </c>
      <c r="AD471" s="2">
        <f>IF(Games[[#This Row],[Type]]="R",IF(Games[[#This Row],[Result]]&lt;0.5,1,0),0)</f>
        <v>0</v>
      </c>
      <c r="AE471" s="2">
        <f>IF(AND(Games[[#This Row],[Type]]="P",Games[[#This Row],[Round]]=1),IF(Games[[#This Row],[Result]]&gt;0.5,1,0),0)</f>
        <v>0</v>
      </c>
      <c r="AF471" s="2">
        <f>IF(AND(Games[[#This Row],[Type]]="P",Games[[#This Row],[Round]]=1),IF(Games[[#This Row],[Result]]&lt;0.5,1,0),0)</f>
        <v>0</v>
      </c>
      <c r="AG471" s="2">
        <f>IF(AND(Games[[#This Row],[Type]]="P",Games[[#This Row],[Round]]=2),IF(Games[[#This Row],[Result]]&gt;0.5,1,0),0)</f>
        <v>0</v>
      </c>
      <c r="AH471" s="2">
        <f>IF(AND(Games[[#This Row],[Type]]="P",Games[[#This Row],[Round]]=2),IF(Games[[#This Row],[Result]]&lt;0.5,1,0),0)</f>
        <v>0</v>
      </c>
      <c r="AI471" s="2">
        <f>IF(AND(Games[[#This Row],[Type]]="P",Games[[#This Row],[Round]]=3),IF(Games[[#This Row],[Result]]&gt;0.5,1,0),0)</f>
        <v>0</v>
      </c>
      <c r="AJ471" s="2">
        <f>IF(AND(Games[[#This Row],[Type]]="P",Games[[#This Row],[Round]]=3),IF(Games[[#This Row],[Result]]&lt;0.5,1,0),0)</f>
        <v>0</v>
      </c>
      <c r="AK471" s="2">
        <f>IF(AND(Games[[#This Row],[Type]]="P",Games[[#This Row],[Round]]=4),IF(Games[[#This Row],[Result]]&gt;0.5,1,0),0)</f>
        <v>0</v>
      </c>
      <c r="AL471" s="2">
        <f>IF(AND(Games[[#This Row],[Type]]="P",Games[[#This Row],[Round]]=4),IF(Games[[#This Row],[Result]]&lt;0.5,1,0),0)</f>
        <v>0</v>
      </c>
    </row>
    <row r="472" spans="1:38" x14ac:dyDescent="0.35">
      <c r="A472" s="10">
        <v>37858</v>
      </c>
      <c r="B472" s="2">
        <v>2003</v>
      </c>
      <c r="C472" s="2">
        <f>COUNTIFS(Games[Team],Games[[#This Row],[Team]],Games[Season],Games[[#This Row],[Season]],Games[Date],"&lt;=" &amp; Games[[#This Row],[Date]])</f>
        <v>34</v>
      </c>
      <c r="D472" s="2" t="s">
        <v>23</v>
      </c>
      <c r="E472" s="2" t="s">
        <v>29</v>
      </c>
      <c r="F472" s="1" t="s">
        <v>87</v>
      </c>
      <c r="G472" s="1" t="s">
        <v>80</v>
      </c>
      <c r="H472" s="1" t="s">
        <v>16</v>
      </c>
      <c r="I472" s="2" cm="1">
        <f t="array" ref="I472">IFERROR(
    Games[[#This Row],[Date]]
    - LOOKUP(
        2,
        1/((Games[Team]=Games[[#This Row],[Team]]) * (Games[Date] &lt; Games[[#This Row],[Date]])),
        Games[Date]
    )
    - 1,
Games[[#This Row],[Date]]-$A$2)</f>
        <v>1</v>
      </c>
      <c r="J472" s="2" cm="1">
        <f t="array" ref="J47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72" s="2">
        <f>Games[[#This Row],[DaysOff]]-Games[[#This Row],[OppDaysOff]]</f>
        <v>0</v>
      </c>
      <c r="L472" s="2">
        <f>Games[[#This Row],[OppDaysOff]]-Games[[#This Row],[DaysOff]]</f>
        <v>0</v>
      </c>
      <c r="M472" s="1">
        <f>MAX(-16, MIN(16, Games[[#This Row],[RestDiff]]*8))</f>
        <v>0</v>
      </c>
      <c r="N472" s="1">
        <f>MAX(-16, MIN(16, Games[[#This Row],[OppRestDiff]]*8))</f>
        <v>0</v>
      </c>
      <c r="O472" s="4" cm="1">
        <f t="array" ref="O47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1505.5680495084373</v>
      </c>
      <c r="P472" s="4" cm="1">
        <f t="array" ref="P47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1483.3537520619666</v>
      </c>
      <c r="Q472" s="4">
        <f>1/(1+10^(((Games[[#This Row],[OppPreGmRate]]+IF(Games[[#This Row],[HomeAway]]="A",HCA,0)+Games[[#This Row],[OppRestAdj]])-(Games[[#This Row],[PreGmRate]]+IF(Games[[#This Row],[HomeAway]]="H",HCA,0)+Games[[#This Row],[RestAdj]]))/400))</f>
        <v>0.41200884343816413</v>
      </c>
      <c r="R472" s="1">
        <v>72</v>
      </c>
      <c r="S472" s="1">
        <v>62</v>
      </c>
      <c r="T472" s="1">
        <v>0</v>
      </c>
      <c r="U472" s="1">
        <f>Games[[#This Row],[PointsFor]]-Games[[#This Row],[PointsAgainst]]</f>
        <v>10</v>
      </c>
      <c r="V472" s="1">
        <f>IF(Games[[#This Row],[MOV]]&gt;0,1,IF(Games[[#This Row],[MOV]]=0,0.5,0))</f>
        <v>1</v>
      </c>
      <c r="W472" s="4">
        <f>((ABS(Games[[#This Row],[MOV]])+5)^0.6)/(12+0.01*(ABS(Games[[#This Row],[PreGmRate]]-Games[[#This Row],[OppPreGmRate]])))*IF(Games[[#This Row],[OT]]=1,0.9,1)</f>
        <v>0.41543912574053232</v>
      </c>
      <c r="X472" s="7" cm="1">
        <f t="array" ref="X47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72" s="9">
        <f>MAX(kmin, kmax - 0.15 * MIN(Games[[#This Row],[GamesPlayed]], 82))</f>
        <v>70.900000000000006</v>
      </c>
      <c r="Z472" s="4">
        <f>Games[[#This Row],[K]]*Games[[#This Row],[POMult]]</f>
        <v>70.900000000000006</v>
      </c>
      <c r="AA472" s="4">
        <f>(Games[[#This Row],[Keff]]*Games[[#This Row],[MOVMult]])*(Games[[#This Row],[Result]]-Games[[#This Row],[ExpectedWin%]])</f>
        <v>17.319064320587643</v>
      </c>
      <c r="AB472" s="4">
        <f>Games[[#This Row],[PreGmRate]]+Games[[#This Row],[RatingChange]]</f>
        <v>1522.8871138290249</v>
      </c>
      <c r="AC472" s="2">
        <f>IF(Games[[#This Row],[Type]]="R",IF(Games[[#This Row],[Result]]&gt;0.5,1,0),0)</f>
        <v>1</v>
      </c>
      <c r="AD472" s="2">
        <f>IF(Games[[#This Row],[Type]]="R",IF(Games[[#This Row],[Result]]&lt;0.5,1,0),0)</f>
        <v>0</v>
      </c>
      <c r="AE472" s="2">
        <f>IF(AND(Games[[#This Row],[Type]]="P",Games[[#This Row],[Round]]=1),IF(Games[[#This Row],[Result]]&gt;0.5,1,0),0)</f>
        <v>0</v>
      </c>
      <c r="AF472" s="2">
        <f>IF(AND(Games[[#This Row],[Type]]="P",Games[[#This Row],[Round]]=1),IF(Games[[#This Row],[Result]]&lt;0.5,1,0),0)</f>
        <v>0</v>
      </c>
      <c r="AG472" s="2">
        <f>IF(AND(Games[[#This Row],[Type]]="P",Games[[#This Row],[Round]]=2),IF(Games[[#This Row],[Result]]&gt;0.5,1,0),0)</f>
        <v>0</v>
      </c>
      <c r="AH472" s="2">
        <f>IF(AND(Games[[#This Row],[Type]]="P",Games[[#This Row],[Round]]=2),IF(Games[[#This Row],[Result]]&lt;0.5,1,0),0)</f>
        <v>0</v>
      </c>
      <c r="AI472" s="2">
        <f>IF(AND(Games[[#This Row],[Type]]="P",Games[[#This Row],[Round]]=3),IF(Games[[#This Row],[Result]]&gt;0.5,1,0),0)</f>
        <v>0</v>
      </c>
      <c r="AJ472" s="2">
        <f>IF(AND(Games[[#This Row],[Type]]="P",Games[[#This Row],[Round]]=3),IF(Games[[#This Row],[Result]]&lt;0.5,1,0),0)</f>
        <v>0</v>
      </c>
      <c r="AK472" s="2">
        <f>IF(AND(Games[[#This Row],[Type]]="P",Games[[#This Row],[Round]]=4),IF(Games[[#This Row],[Result]]&gt;0.5,1,0),0)</f>
        <v>0</v>
      </c>
      <c r="AL472" s="2">
        <f>IF(AND(Games[[#This Row],[Type]]="P",Games[[#This Row],[Round]]=4),IF(Games[[#This Row],[Result]]&lt;0.5,1,0),0)</f>
        <v>0</v>
      </c>
    </row>
    <row r="473" spans="1:38" x14ac:dyDescent="0.35">
      <c r="A473" s="10">
        <v>37858</v>
      </c>
      <c r="B473" s="2">
        <v>2003</v>
      </c>
      <c r="C473" s="2">
        <f>COUNTIFS(Games[Team],Games[[#This Row],[Team]],Games[Season],Games[[#This Row],[Season]],Games[Date],"&lt;=" &amp; Games[[#This Row],[Date]])</f>
        <v>34</v>
      </c>
      <c r="D473" s="2" t="s">
        <v>23</v>
      </c>
      <c r="E473" s="2" t="s">
        <v>29</v>
      </c>
      <c r="F473" s="1" t="s">
        <v>80</v>
      </c>
      <c r="G473" s="1" t="s">
        <v>87</v>
      </c>
      <c r="H473" s="1" t="s">
        <v>15</v>
      </c>
      <c r="I473" s="2" cm="1">
        <f t="array" ref="I473">IFERROR(
    Games[[#This Row],[Date]]
    - LOOKUP(
        2,
        1/((Games[Team]=Games[[#This Row],[Team]]) * (Games[Date] &lt; Games[[#This Row],[Date]])),
        Games[Date]
    )
    - 1,
Games[[#This Row],[Date]]-$A$2)</f>
        <v>1</v>
      </c>
      <c r="J473" s="2" cm="1">
        <f t="array" ref="J47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73" s="2">
        <f>Games[[#This Row],[DaysOff]]-Games[[#This Row],[OppDaysOff]]</f>
        <v>0</v>
      </c>
      <c r="L473" s="2">
        <f>Games[[#This Row],[OppDaysOff]]-Games[[#This Row],[DaysOff]]</f>
        <v>0</v>
      </c>
      <c r="M473" s="1">
        <f>MAX(-16, MIN(16, Games[[#This Row],[RestDiff]]*8))</f>
        <v>0</v>
      </c>
      <c r="N473" s="1">
        <f>MAX(-16, MIN(16, Games[[#This Row],[OppRestDiff]]*8))</f>
        <v>0</v>
      </c>
      <c r="O473" s="4" cm="1">
        <f t="array" ref="O47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1483.3537520619666</v>
      </c>
      <c r="P473" s="4" cm="1">
        <f t="array" ref="P47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1505.5680495084373</v>
      </c>
      <c r="Q473" s="4">
        <f>1/(1+10^(((Games[[#This Row],[OppPreGmRate]]+IF(Games[[#This Row],[HomeAway]]="A",HCA,0)+Games[[#This Row],[OppRestAdj]])-(Games[[#This Row],[PreGmRate]]+IF(Games[[#This Row],[HomeAway]]="H",HCA,0)+Games[[#This Row],[RestAdj]]))/400))</f>
        <v>0.58799115656183598</v>
      </c>
      <c r="R473" s="1">
        <v>62</v>
      </c>
      <c r="S473" s="1">
        <v>72</v>
      </c>
      <c r="T473" s="1">
        <v>0</v>
      </c>
      <c r="U473" s="1">
        <f>Games[[#This Row],[PointsFor]]-Games[[#This Row],[PointsAgainst]]</f>
        <v>-10</v>
      </c>
      <c r="V473" s="1">
        <f>IF(Games[[#This Row],[MOV]]&gt;0,1,IF(Games[[#This Row],[MOV]]=0,0.5,0))</f>
        <v>0</v>
      </c>
      <c r="W473" s="4">
        <f>((ABS(Games[[#This Row],[MOV]])+5)^0.6)/(12+0.01*(ABS(Games[[#This Row],[PreGmRate]]-Games[[#This Row],[OppPreGmRate]])))*IF(Games[[#This Row],[OT]]=1,0.9,1)</f>
        <v>0.41543912574053232</v>
      </c>
      <c r="X473" s="7" cm="1">
        <f t="array" ref="X47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73" s="9">
        <f>MAX(kmin, kmax - 0.15 * MIN(Games[[#This Row],[GamesPlayed]], 82))</f>
        <v>70.900000000000006</v>
      </c>
      <c r="Z473" s="4">
        <f>Games[[#This Row],[K]]*Games[[#This Row],[POMult]]</f>
        <v>70.900000000000006</v>
      </c>
      <c r="AA473" s="4">
        <f>(Games[[#This Row],[Keff]]*Games[[#This Row],[MOVMult]])*(Games[[#This Row],[Result]]-Games[[#This Row],[ExpectedWin%]])</f>
        <v>-17.319064320587646</v>
      </c>
      <c r="AB473" s="4">
        <f>Games[[#This Row],[PreGmRate]]+Games[[#This Row],[RatingChange]]</f>
        <v>1466.034687741379</v>
      </c>
      <c r="AC473" s="2">
        <f>IF(Games[[#This Row],[Type]]="R",IF(Games[[#This Row],[Result]]&gt;0.5,1,0),0)</f>
        <v>0</v>
      </c>
      <c r="AD473" s="2">
        <f>IF(Games[[#This Row],[Type]]="R",IF(Games[[#This Row],[Result]]&lt;0.5,1,0),0)</f>
        <v>1</v>
      </c>
      <c r="AE473" s="2">
        <f>IF(AND(Games[[#This Row],[Type]]="P",Games[[#This Row],[Round]]=1),IF(Games[[#This Row],[Result]]&gt;0.5,1,0),0)</f>
        <v>0</v>
      </c>
      <c r="AF473" s="2">
        <f>IF(AND(Games[[#This Row],[Type]]="P",Games[[#This Row],[Round]]=1),IF(Games[[#This Row],[Result]]&lt;0.5,1,0),0)</f>
        <v>0</v>
      </c>
      <c r="AG473" s="2">
        <f>IF(AND(Games[[#This Row],[Type]]="P",Games[[#This Row],[Round]]=2),IF(Games[[#This Row],[Result]]&gt;0.5,1,0),0)</f>
        <v>0</v>
      </c>
      <c r="AH473" s="2">
        <f>IF(AND(Games[[#This Row],[Type]]="P",Games[[#This Row],[Round]]=2),IF(Games[[#This Row],[Result]]&lt;0.5,1,0),0)</f>
        <v>0</v>
      </c>
      <c r="AI473" s="2">
        <f>IF(AND(Games[[#This Row],[Type]]="P",Games[[#This Row],[Round]]=3),IF(Games[[#This Row],[Result]]&gt;0.5,1,0),0)</f>
        <v>0</v>
      </c>
      <c r="AJ473" s="2">
        <f>IF(AND(Games[[#This Row],[Type]]="P",Games[[#This Row],[Round]]=3),IF(Games[[#This Row],[Result]]&lt;0.5,1,0),0)</f>
        <v>0</v>
      </c>
      <c r="AK473" s="2">
        <f>IF(AND(Games[[#This Row],[Type]]="P",Games[[#This Row],[Round]]=4),IF(Games[[#This Row],[Result]]&gt;0.5,1,0),0)</f>
        <v>0</v>
      </c>
      <c r="AL473" s="2">
        <f>IF(AND(Games[[#This Row],[Type]]="P",Games[[#This Row],[Round]]=4),IF(Games[[#This Row],[Result]]&lt;0.5,1,0),0)</f>
        <v>0</v>
      </c>
    </row>
    <row r="474" spans="1:38" x14ac:dyDescent="0.35">
      <c r="A474" s="10">
        <v>37858</v>
      </c>
      <c r="B474" s="2">
        <v>2003</v>
      </c>
      <c r="C474" s="2">
        <f>COUNTIFS(Games[Team],Games[[#This Row],[Team]],Games[Season],Games[[#This Row],[Season]],Games[Date],"&lt;=" &amp; Games[[#This Row],[Date]])</f>
        <v>34</v>
      </c>
      <c r="D474" s="2" t="s">
        <v>23</v>
      </c>
      <c r="E474" s="2" t="s">
        <v>29</v>
      </c>
      <c r="F474" s="1" t="s">
        <v>2</v>
      </c>
      <c r="G474" s="1" t="s">
        <v>71</v>
      </c>
      <c r="H474" s="1" t="s">
        <v>16</v>
      </c>
      <c r="I474" s="2" cm="1">
        <f t="array" ref="I474">IFERROR(
    Games[[#This Row],[Date]]
    - LOOKUP(
        2,
        1/((Games[Team]=Games[[#This Row],[Team]]) * (Games[Date] &lt; Games[[#This Row],[Date]])),
        Games[Date]
    )
    - 1,
Games[[#This Row],[Date]]-$A$2)</f>
        <v>1</v>
      </c>
      <c r="J474" s="2" cm="1">
        <f t="array" ref="J47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74" s="2">
        <f>Games[[#This Row],[DaysOff]]-Games[[#This Row],[OppDaysOff]]</f>
        <v>0</v>
      </c>
      <c r="L474" s="2">
        <f>Games[[#This Row],[OppDaysOff]]-Games[[#This Row],[DaysOff]]</f>
        <v>0</v>
      </c>
      <c r="M474" s="1">
        <f>MAX(-16, MIN(16, Games[[#This Row],[RestDiff]]*8))</f>
        <v>0</v>
      </c>
      <c r="N474" s="1">
        <f>MAX(-16, MIN(16, Games[[#This Row],[OppRestDiff]]*8))</f>
        <v>0</v>
      </c>
      <c r="O474" s="4" cm="1">
        <f t="array" ref="O47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1591.4148188107895</v>
      </c>
      <c r="P474" s="4" cm="1">
        <f t="array" ref="P47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1603.989703236065</v>
      </c>
      <c r="Q474" s="4">
        <f>1/(1+10^(((Games[[#This Row],[OppPreGmRate]]+IF(Games[[#This Row],[HomeAway]]="A",HCA,0)+Games[[#This Row],[OppRestAdj]])-(Games[[#This Row],[PreGmRate]]+IF(Games[[#This Row],[HomeAway]]="H",HCA,0)+Games[[#This Row],[RestAdj]]))/400))</f>
        <v>0.36448976531202104</v>
      </c>
      <c r="R474" s="1">
        <v>64</v>
      </c>
      <c r="S474" s="1">
        <v>67</v>
      </c>
      <c r="T474" s="1">
        <v>0</v>
      </c>
      <c r="U474" s="1">
        <f>Games[[#This Row],[PointsFor]]-Games[[#This Row],[PointsAgainst]]</f>
        <v>-3</v>
      </c>
      <c r="V474" s="1">
        <f>IF(Games[[#This Row],[MOV]]&gt;0,1,IF(Games[[#This Row],[MOV]]=0,0.5,0))</f>
        <v>0</v>
      </c>
      <c r="W474" s="4">
        <f>((ABS(Games[[#This Row],[MOV]])+5)^0.6)/(12+0.01*(ABS(Games[[#This Row],[PreGmRate]]-Games[[#This Row],[OppPreGmRate]])))*IF(Games[[#This Row],[OT]]=1,0.9,1)</f>
        <v>0.28717420242750263</v>
      </c>
      <c r="X474" s="7" cm="1">
        <f t="array" ref="X47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74" s="9">
        <f>MAX(kmin, kmax - 0.15 * MIN(Games[[#This Row],[GamesPlayed]], 82))</f>
        <v>70.900000000000006</v>
      </c>
      <c r="Z474" s="4">
        <f>Games[[#This Row],[K]]*Games[[#This Row],[POMult]]</f>
        <v>70.900000000000006</v>
      </c>
      <c r="AA474" s="4">
        <f>(Games[[#This Row],[Keff]]*Games[[#This Row],[MOVMult]])*(Games[[#This Row],[Result]]-Games[[#This Row],[ExpectedWin%]])</f>
        <v>-7.4212488871345297</v>
      </c>
      <c r="AB474" s="4">
        <f>Games[[#This Row],[PreGmRate]]+Games[[#This Row],[RatingChange]]</f>
        <v>1583.9935699236551</v>
      </c>
      <c r="AC474" s="2">
        <f>IF(Games[[#This Row],[Type]]="R",IF(Games[[#This Row],[Result]]&gt;0.5,1,0),0)</f>
        <v>0</v>
      </c>
      <c r="AD474" s="2">
        <f>IF(Games[[#This Row],[Type]]="R",IF(Games[[#This Row],[Result]]&lt;0.5,1,0),0)</f>
        <v>1</v>
      </c>
      <c r="AE474" s="2">
        <f>IF(AND(Games[[#This Row],[Type]]="P",Games[[#This Row],[Round]]=1),IF(Games[[#This Row],[Result]]&gt;0.5,1,0),0)</f>
        <v>0</v>
      </c>
      <c r="AF474" s="2">
        <f>IF(AND(Games[[#This Row],[Type]]="P",Games[[#This Row],[Round]]=1),IF(Games[[#This Row],[Result]]&lt;0.5,1,0),0)</f>
        <v>0</v>
      </c>
      <c r="AG474" s="2">
        <f>IF(AND(Games[[#This Row],[Type]]="P",Games[[#This Row],[Round]]=2),IF(Games[[#This Row],[Result]]&gt;0.5,1,0),0)</f>
        <v>0</v>
      </c>
      <c r="AH474" s="2">
        <f>IF(AND(Games[[#This Row],[Type]]="P",Games[[#This Row],[Round]]=2),IF(Games[[#This Row],[Result]]&lt;0.5,1,0),0)</f>
        <v>0</v>
      </c>
      <c r="AI474" s="2">
        <f>IF(AND(Games[[#This Row],[Type]]="P",Games[[#This Row],[Round]]=3),IF(Games[[#This Row],[Result]]&gt;0.5,1,0),0)</f>
        <v>0</v>
      </c>
      <c r="AJ474" s="2">
        <f>IF(AND(Games[[#This Row],[Type]]="P",Games[[#This Row],[Round]]=3),IF(Games[[#This Row],[Result]]&lt;0.5,1,0),0)</f>
        <v>0</v>
      </c>
      <c r="AK474" s="2">
        <f>IF(AND(Games[[#This Row],[Type]]="P",Games[[#This Row],[Round]]=4),IF(Games[[#This Row],[Result]]&gt;0.5,1,0),0)</f>
        <v>0</v>
      </c>
      <c r="AL474" s="2">
        <f>IF(AND(Games[[#This Row],[Type]]="P",Games[[#This Row],[Round]]=4),IF(Games[[#This Row],[Result]]&lt;0.5,1,0),0)</f>
        <v>0</v>
      </c>
    </row>
    <row r="475" spans="1:38" x14ac:dyDescent="0.35">
      <c r="A475" s="10">
        <v>37858</v>
      </c>
      <c r="B475" s="2">
        <v>2003</v>
      </c>
      <c r="C475" s="2">
        <f>COUNTIFS(Games[Team],Games[[#This Row],[Team]],Games[Season],Games[[#This Row],[Season]],Games[Date],"&lt;=" &amp; Games[[#This Row],[Date]])</f>
        <v>34</v>
      </c>
      <c r="D475" s="2" t="s">
        <v>23</v>
      </c>
      <c r="E475" s="2" t="s">
        <v>29</v>
      </c>
      <c r="F475" s="1" t="s">
        <v>71</v>
      </c>
      <c r="G475" s="1" t="s">
        <v>2</v>
      </c>
      <c r="H475" s="1" t="s">
        <v>15</v>
      </c>
      <c r="I475" s="2" cm="1">
        <f t="array" ref="I475">IFERROR(
    Games[[#This Row],[Date]]
    - LOOKUP(
        2,
        1/((Games[Team]=Games[[#This Row],[Team]]) * (Games[Date] &lt; Games[[#This Row],[Date]])),
        Games[Date]
    )
    - 1,
Games[[#This Row],[Date]]-$A$2)</f>
        <v>1</v>
      </c>
      <c r="J475" s="2" cm="1">
        <f t="array" ref="J47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75" s="2">
        <f>Games[[#This Row],[DaysOff]]-Games[[#This Row],[OppDaysOff]]</f>
        <v>0</v>
      </c>
      <c r="L475" s="2">
        <f>Games[[#This Row],[OppDaysOff]]-Games[[#This Row],[DaysOff]]</f>
        <v>0</v>
      </c>
      <c r="M475" s="1">
        <f>MAX(-16, MIN(16, Games[[#This Row],[RestDiff]]*8))</f>
        <v>0</v>
      </c>
      <c r="N475" s="1">
        <f>MAX(-16, MIN(16, Games[[#This Row],[OppRestDiff]]*8))</f>
        <v>0</v>
      </c>
      <c r="O475" s="4" cm="1">
        <f t="array" ref="O47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1603.989703236065</v>
      </c>
      <c r="P475" s="4" cm="1">
        <f t="array" ref="P47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1591.4148188107895</v>
      </c>
      <c r="Q475" s="4">
        <f>1/(1+10^(((Games[[#This Row],[OppPreGmRate]]+IF(Games[[#This Row],[HomeAway]]="A",HCA,0)+Games[[#This Row],[OppRestAdj]])-(Games[[#This Row],[PreGmRate]]+IF(Games[[#This Row],[HomeAway]]="H",HCA,0)+Games[[#This Row],[RestAdj]]))/400))</f>
        <v>0.63551023468797896</v>
      </c>
      <c r="R475" s="1">
        <v>67</v>
      </c>
      <c r="S475" s="1">
        <v>64</v>
      </c>
      <c r="T475" s="1">
        <v>0</v>
      </c>
      <c r="U475" s="1">
        <f>Games[[#This Row],[PointsFor]]-Games[[#This Row],[PointsAgainst]]</f>
        <v>3</v>
      </c>
      <c r="V475" s="1">
        <f>IF(Games[[#This Row],[MOV]]&gt;0,1,IF(Games[[#This Row],[MOV]]=0,0.5,0))</f>
        <v>1</v>
      </c>
      <c r="W475" s="4">
        <f>((ABS(Games[[#This Row],[MOV]])+5)^0.6)/(12+0.01*(ABS(Games[[#This Row],[PreGmRate]]-Games[[#This Row],[OppPreGmRate]])))*IF(Games[[#This Row],[OT]]=1,0.9,1)</f>
        <v>0.28717420242750263</v>
      </c>
      <c r="X475" s="7" cm="1">
        <f t="array" ref="X47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75" s="9">
        <f>MAX(kmin, kmax - 0.15 * MIN(Games[[#This Row],[GamesPlayed]], 82))</f>
        <v>70.900000000000006</v>
      </c>
      <c r="Z475" s="4">
        <f>Games[[#This Row],[K]]*Games[[#This Row],[POMult]]</f>
        <v>70.900000000000006</v>
      </c>
      <c r="AA475" s="4">
        <f>(Games[[#This Row],[Keff]]*Games[[#This Row],[MOVMult]])*(Games[[#This Row],[Result]]-Games[[#This Row],[ExpectedWin%]])</f>
        <v>7.4212488871345297</v>
      </c>
      <c r="AB475" s="4">
        <f>Games[[#This Row],[PreGmRate]]+Games[[#This Row],[RatingChange]]</f>
        <v>1611.4109521231994</v>
      </c>
      <c r="AC475" s="2">
        <f>IF(Games[[#This Row],[Type]]="R",IF(Games[[#This Row],[Result]]&gt;0.5,1,0),0)</f>
        <v>1</v>
      </c>
      <c r="AD475" s="2">
        <f>IF(Games[[#This Row],[Type]]="R",IF(Games[[#This Row],[Result]]&lt;0.5,1,0),0)</f>
        <v>0</v>
      </c>
      <c r="AE475" s="2">
        <f>IF(AND(Games[[#This Row],[Type]]="P",Games[[#This Row],[Round]]=1),IF(Games[[#This Row],[Result]]&gt;0.5,1,0),0)</f>
        <v>0</v>
      </c>
      <c r="AF475" s="2">
        <f>IF(AND(Games[[#This Row],[Type]]="P",Games[[#This Row],[Round]]=1),IF(Games[[#This Row],[Result]]&lt;0.5,1,0),0)</f>
        <v>0</v>
      </c>
      <c r="AG475" s="2">
        <f>IF(AND(Games[[#This Row],[Type]]="P",Games[[#This Row],[Round]]=2),IF(Games[[#This Row],[Result]]&gt;0.5,1,0),0)</f>
        <v>0</v>
      </c>
      <c r="AH475" s="2">
        <f>IF(AND(Games[[#This Row],[Type]]="P",Games[[#This Row],[Round]]=2),IF(Games[[#This Row],[Result]]&lt;0.5,1,0),0)</f>
        <v>0</v>
      </c>
      <c r="AI475" s="2">
        <f>IF(AND(Games[[#This Row],[Type]]="P",Games[[#This Row],[Round]]=3),IF(Games[[#This Row],[Result]]&gt;0.5,1,0),0)</f>
        <v>0</v>
      </c>
      <c r="AJ475" s="2">
        <f>IF(AND(Games[[#This Row],[Type]]="P",Games[[#This Row],[Round]]=3),IF(Games[[#This Row],[Result]]&lt;0.5,1,0),0)</f>
        <v>0</v>
      </c>
      <c r="AK475" s="2">
        <f>IF(AND(Games[[#This Row],[Type]]="P",Games[[#This Row],[Round]]=4),IF(Games[[#This Row],[Result]]&gt;0.5,1,0),0)</f>
        <v>0</v>
      </c>
      <c r="AL475" s="2">
        <f>IF(AND(Games[[#This Row],[Type]]="P",Games[[#This Row],[Round]]=4),IF(Games[[#This Row],[Result]]&lt;0.5,1,0),0)</f>
        <v>0</v>
      </c>
    </row>
    <row r="476" spans="1:38" x14ac:dyDescent="0.35">
      <c r="A476" s="10">
        <v>37858</v>
      </c>
      <c r="B476" s="2">
        <v>2003</v>
      </c>
      <c r="C476" s="2">
        <f>COUNTIFS(Games[Team],Games[[#This Row],[Team]],Games[Season],Games[[#This Row],[Season]],Games[Date],"&lt;=" &amp; Games[[#This Row],[Date]])</f>
        <v>34</v>
      </c>
      <c r="D476" s="2" t="s">
        <v>23</v>
      </c>
      <c r="E476" s="2" t="s">
        <v>29</v>
      </c>
      <c r="F476" s="1" t="s">
        <v>45</v>
      </c>
      <c r="G476" s="1" t="s">
        <v>82</v>
      </c>
      <c r="H476" s="1" t="s">
        <v>16</v>
      </c>
      <c r="I476" s="2" cm="1">
        <f t="array" ref="I476">IFERROR(
    Games[[#This Row],[Date]]
    - LOOKUP(
        2,
        1/((Games[Team]=Games[[#This Row],[Team]]) * (Games[Date] &lt; Games[[#This Row],[Date]])),
        Games[Date]
    )
    - 1,
Games[[#This Row],[Date]]-$A$2)</f>
        <v>1</v>
      </c>
      <c r="J476" s="2" cm="1">
        <f t="array" ref="J47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76" s="2">
        <f>Games[[#This Row],[DaysOff]]-Games[[#This Row],[OppDaysOff]]</f>
        <v>0</v>
      </c>
      <c r="L476" s="2">
        <f>Games[[#This Row],[OppDaysOff]]-Games[[#This Row],[DaysOff]]</f>
        <v>0</v>
      </c>
      <c r="M476" s="1">
        <f>MAX(-16, MIN(16, Games[[#This Row],[RestDiff]]*8))</f>
        <v>0</v>
      </c>
      <c r="N476" s="1">
        <f>MAX(-16, MIN(16, Games[[#This Row],[OppRestDiff]]*8))</f>
        <v>0</v>
      </c>
      <c r="O476" s="4" cm="1">
        <f t="array" ref="O47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1575.5791989193708</v>
      </c>
      <c r="P476" s="4" cm="1">
        <f t="array" ref="P47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1521.3476760636463</v>
      </c>
      <c r="Q476" s="4">
        <f>1/(1+10^(((Games[[#This Row],[OppPreGmRate]]+IF(Games[[#This Row],[HomeAway]]="A",HCA,0)+Games[[#This Row],[OppRestAdj]])-(Games[[#This Row],[PreGmRate]]+IF(Games[[#This Row],[HomeAway]]="H",HCA,0)+Games[[#This Row],[RestAdj]]))/400))</f>
        <v>0.45726424319799536</v>
      </c>
      <c r="R476" s="1">
        <v>57</v>
      </c>
      <c r="S476" s="1">
        <v>70</v>
      </c>
      <c r="T476" s="1">
        <v>0</v>
      </c>
      <c r="U476" s="1">
        <f>Games[[#This Row],[PointsFor]]-Games[[#This Row],[PointsAgainst]]</f>
        <v>-13</v>
      </c>
      <c r="V476" s="1">
        <f>IF(Games[[#This Row],[MOV]]&gt;0,1,IF(Games[[#This Row],[MOV]]=0,0.5,0))</f>
        <v>0</v>
      </c>
      <c r="W476" s="4">
        <f>((ABS(Games[[#This Row],[MOV]])+5)^0.6)/(12+0.01*(ABS(Games[[#This Row],[PreGmRate]]-Games[[#This Row],[OppPreGmRate]])))*IF(Games[[#This Row],[OT]]=1,0.9,1)</f>
        <v>0.45163312869636807</v>
      </c>
      <c r="X476" s="7" cm="1">
        <f t="array" ref="X47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76" s="9">
        <f>MAX(kmin, kmax - 0.15 * MIN(Games[[#This Row],[GamesPlayed]], 82))</f>
        <v>70.900000000000006</v>
      </c>
      <c r="Z476" s="4">
        <f>Games[[#This Row],[K]]*Games[[#This Row],[POMult]]</f>
        <v>70.900000000000006</v>
      </c>
      <c r="AA476" s="4">
        <f>(Games[[#This Row],[Keff]]*Games[[#This Row],[MOVMult]])*(Games[[#This Row],[Result]]-Games[[#This Row],[ExpectedWin%]])</f>
        <v>-14.641961768470971</v>
      </c>
      <c r="AB476" s="4">
        <f>Games[[#This Row],[PreGmRate]]+Games[[#This Row],[RatingChange]]</f>
        <v>1560.9372371508998</v>
      </c>
      <c r="AC476" s="2">
        <f>IF(Games[[#This Row],[Type]]="R",IF(Games[[#This Row],[Result]]&gt;0.5,1,0),0)</f>
        <v>0</v>
      </c>
      <c r="AD476" s="2">
        <f>IF(Games[[#This Row],[Type]]="R",IF(Games[[#This Row],[Result]]&lt;0.5,1,0),0)</f>
        <v>1</v>
      </c>
      <c r="AE476" s="2">
        <f>IF(AND(Games[[#This Row],[Type]]="P",Games[[#This Row],[Round]]=1),IF(Games[[#This Row],[Result]]&gt;0.5,1,0),0)</f>
        <v>0</v>
      </c>
      <c r="AF476" s="2">
        <f>IF(AND(Games[[#This Row],[Type]]="P",Games[[#This Row],[Round]]=1),IF(Games[[#This Row],[Result]]&lt;0.5,1,0),0)</f>
        <v>0</v>
      </c>
      <c r="AG476" s="2">
        <f>IF(AND(Games[[#This Row],[Type]]="P",Games[[#This Row],[Round]]=2),IF(Games[[#This Row],[Result]]&gt;0.5,1,0),0)</f>
        <v>0</v>
      </c>
      <c r="AH476" s="2">
        <f>IF(AND(Games[[#This Row],[Type]]="P",Games[[#This Row],[Round]]=2),IF(Games[[#This Row],[Result]]&lt;0.5,1,0),0)</f>
        <v>0</v>
      </c>
      <c r="AI476" s="2">
        <f>IF(AND(Games[[#This Row],[Type]]="P",Games[[#This Row],[Round]]=3),IF(Games[[#This Row],[Result]]&gt;0.5,1,0),0)</f>
        <v>0</v>
      </c>
      <c r="AJ476" s="2">
        <f>IF(AND(Games[[#This Row],[Type]]="P",Games[[#This Row],[Round]]=3),IF(Games[[#This Row],[Result]]&lt;0.5,1,0),0)</f>
        <v>0</v>
      </c>
      <c r="AK476" s="2">
        <f>IF(AND(Games[[#This Row],[Type]]="P",Games[[#This Row],[Round]]=4),IF(Games[[#This Row],[Result]]&gt;0.5,1,0),0)</f>
        <v>0</v>
      </c>
      <c r="AL476" s="2">
        <f>IF(AND(Games[[#This Row],[Type]]="P",Games[[#This Row],[Round]]=4),IF(Games[[#This Row],[Result]]&lt;0.5,1,0),0)</f>
        <v>0</v>
      </c>
    </row>
    <row r="477" spans="1:38" x14ac:dyDescent="0.35">
      <c r="A477" s="10">
        <v>37858</v>
      </c>
      <c r="B477" s="2">
        <v>2003</v>
      </c>
      <c r="C477" s="2">
        <f>COUNTIFS(Games[Team],Games[[#This Row],[Team]],Games[Season],Games[[#This Row],[Season]],Games[Date],"&lt;=" &amp; Games[[#This Row],[Date]])</f>
        <v>34</v>
      </c>
      <c r="D477" s="2" t="s">
        <v>23</v>
      </c>
      <c r="E477" s="2" t="s">
        <v>29</v>
      </c>
      <c r="F477" s="1" t="s">
        <v>82</v>
      </c>
      <c r="G477" s="1" t="s">
        <v>45</v>
      </c>
      <c r="H477" s="1" t="s">
        <v>15</v>
      </c>
      <c r="I477" s="2" cm="1">
        <f t="array" ref="I477">IFERROR(
    Games[[#This Row],[Date]]
    - LOOKUP(
        2,
        1/((Games[Team]=Games[[#This Row],[Team]]) * (Games[Date] &lt; Games[[#This Row],[Date]])),
        Games[Date]
    )
    - 1,
Games[[#This Row],[Date]]-$A$2)</f>
        <v>1</v>
      </c>
      <c r="J477" s="2" cm="1">
        <f t="array" ref="J47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77" s="2">
        <f>Games[[#This Row],[DaysOff]]-Games[[#This Row],[OppDaysOff]]</f>
        <v>0</v>
      </c>
      <c r="L477" s="2">
        <f>Games[[#This Row],[OppDaysOff]]-Games[[#This Row],[DaysOff]]</f>
        <v>0</v>
      </c>
      <c r="M477" s="1">
        <f>MAX(-16, MIN(16, Games[[#This Row],[RestDiff]]*8))</f>
        <v>0</v>
      </c>
      <c r="N477" s="1">
        <f>MAX(-16, MIN(16, Games[[#This Row],[OppRestDiff]]*8))</f>
        <v>0</v>
      </c>
      <c r="O477" s="4" cm="1">
        <f t="array" ref="O47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1521.3476760636463</v>
      </c>
      <c r="P477" s="4" cm="1">
        <f t="array" ref="P47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1575.5791989193708</v>
      </c>
      <c r="Q477" s="4">
        <f>1/(1+10^(((Games[[#This Row],[OppPreGmRate]]+IF(Games[[#This Row],[HomeAway]]="A",HCA,0)+Games[[#This Row],[OppRestAdj]])-(Games[[#This Row],[PreGmRate]]+IF(Games[[#This Row],[HomeAway]]="H",HCA,0)+Games[[#This Row],[RestAdj]]))/400))</f>
        <v>0.54273575680200459</v>
      </c>
      <c r="R477" s="1">
        <v>70</v>
      </c>
      <c r="S477" s="1">
        <v>57</v>
      </c>
      <c r="T477" s="1">
        <v>0</v>
      </c>
      <c r="U477" s="1">
        <f>Games[[#This Row],[PointsFor]]-Games[[#This Row],[PointsAgainst]]</f>
        <v>13</v>
      </c>
      <c r="V477" s="1">
        <f>IF(Games[[#This Row],[MOV]]&gt;0,1,IF(Games[[#This Row],[MOV]]=0,0.5,0))</f>
        <v>1</v>
      </c>
      <c r="W477" s="4">
        <f>((ABS(Games[[#This Row],[MOV]])+5)^0.6)/(12+0.01*(ABS(Games[[#This Row],[PreGmRate]]-Games[[#This Row],[OppPreGmRate]])))*IF(Games[[#This Row],[OT]]=1,0.9,1)</f>
        <v>0.45163312869636807</v>
      </c>
      <c r="X477" s="7" cm="1">
        <f t="array" ref="X47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77" s="9">
        <f>MAX(kmin, kmax - 0.15 * MIN(Games[[#This Row],[GamesPlayed]], 82))</f>
        <v>70.900000000000006</v>
      </c>
      <c r="Z477" s="4">
        <f>Games[[#This Row],[K]]*Games[[#This Row],[POMult]]</f>
        <v>70.900000000000006</v>
      </c>
      <c r="AA477" s="4">
        <f>(Games[[#This Row],[Keff]]*Games[[#This Row],[MOVMult]])*(Games[[#This Row],[Result]]-Games[[#This Row],[ExpectedWin%]])</f>
        <v>14.641961768470972</v>
      </c>
      <c r="AB477" s="4">
        <f>Games[[#This Row],[PreGmRate]]+Games[[#This Row],[RatingChange]]</f>
        <v>1535.9896378321173</v>
      </c>
      <c r="AC477" s="2">
        <f>IF(Games[[#This Row],[Type]]="R",IF(Games[[#This Row],[Result]]&gt;0.5,1,0),0)</f>
        <v>1</v>
      </c>
      <c r="AD477" s="2">
        <f>IF(Games[[#This Row],[Type]]="R",IF(Games[[#This Row],[Result]]&lt;0.5,1,0),0)</f>
        <v>0</v>
      </c>
      <c r="AE477" s="2">
        <f>IF(AND(Games[[#This Row],[Type]]="P",Games[[#This Row],[Round]]=1),IF(Games[[#This Row],[Result]]&gt;0.5,1,0),0)</f>
        <v>0</v>
      </c>
      <c r="AF477" s="2">
        <f>IF(AND(Games[[#This Row],[Type]]="P",Games[[#This Row],[Round]]=1),IF(Games[[#This Row],[Result]]&lt;0.5,1,0),0)</f>
        <v>0</v>
      </c>
      <c r="AG477" s="2">
        <f>IF(AND(Games[[#This Row],[Type]]="P",Games[[#This Row],[Round]]=2),IF(Games[[#This Row],[Result]]&gt;0.5,1,0),0)</f>
        <v>0</v>
      </c>
      <c r="AH477" s="2">
        <f>IF(AND(Games[[#This Row],[Type]]="P",Games[[#This Row],[Round]]=2),IF(Games[[#This Row],[Result]]&lt;0.5,1,0),0)</f>
        <v>0</v>
      </c>
      <c r="AI477" s="2">
        <f>IF(AND(Games[[#This Row],[Type]]="P",Games[[#This Row],[Round]]=3),IF(Games[[#This Row],[Result]]&gt;0.5,1,0),0)</f>
        <v>0</v>
      </c>
      <c r="AJ477" s="2">
        <f>IF(AND(Games[[#This Row],[Type]]="P",Games[[#This Row],[Round]]=3),IF(Games[[#This Row],[Result]]&lt;0.5,1,0),0)</f>
        <v>0</v>
      </c>
      <c r="AK477" s="2">
        <f>IF(AND(Games[[#This Row],[Type]]="P",Games[[#This Row],[Round]]=4),IF(Games[[#This Row],[Result]]&gt;0.5,1,0),0)</f>
        <v>0</v>
      </c>
      <c r="AL477" s="2">
        <f>IF(AND(Games[[#This Row],[Type]]="P",Games[[#This Row],[Round]]=4),IF(Games[[#This Row],[Result]]&lt;0.5,1,0),0)</f>
        <v>0</v>
      </c>
    </row>
    <row r="478" spans="1:38" x14ac:dyDescent="0.35">
      <c r="A478" s="10">
        <v>37861</v>
      </c>
      <c r="B478" s="2">
        <v>2003</v>
      </c>
      <c r="C478" s="2">
        <f>COUNTIFS(Games[Team],Games[[#This Row],[Team]],Games[Season],Games[[#This Row],[Season]],Games[Date],"&lt;=" &amp; Games[[#This Row],[Date]])</f>
        <v>35</v>
      </c>
      <c r="D478" s="2" t="s">
        <v>46</v>
      </c>
      <c r="E478" s="2">
        <v>1</v>
      </c>
      <c r="F478" s="1" t="s">
        <v>64</v>
      </c>
      <c r="G478" s="1" t="s">
        <v>87</v>
      </c>
      <c r="H478" s="1" t="s">
        <v>16</v>
      </c>
      <c r="I478" s="2" cm="1">
        <f t="array" ref="I478">IFERROR(
    Games[[#This Row],[Date]]
    - LOOKUP(
        2,
        1/((Games[Team]=Games[[#This Row],[Team]]) * (Games[Date] &lt; Games[[#This Row],[Date]])),
        Games[Date]
    )
    - 1,
Games[[#This Row],[Date]]-$A$2)</f>
        <v>2</v>
      </c>
      <c r="J478" s="2" cm="1">
        <f t="array" ref="J47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78" s="2">
        <f>Games[[#This Row],[DaysOff]]-Games[[#This Row],[OppDaysOff]]</f>
        <v>0</v>
      </c>
      <c r="L478" s="2">
        <f>Games[[#This Row],[OppDaysOff]]-Games[[#This Row],[DaysOff]]</f>
        <v>0</v>
      </c>
      <c r="M478" s="1">
        <f>MAX(-16, MIN(16, Games[[#This Row],[RestDiff]]*8))</f>
        <v>0</v>
      </c>
      <c r="N478" s="1">
        <f>MAX(-16, MIN(16, Games[[#This Row],[OppRestDiff]]*8))</f>
        <v>0</v>
      </c>
      <c r="O478" s="4" cm="1">
        <f t="array" ref="O47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1502.0874347020838</v>
      </c>
      <c r="P478" s="4" cm="1">
        <f t="array" ref="P47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1522.8871138290249</v>
      </c>
      <c r="Q478" s="4">
        <f>1/(1+10^(((Games[[#This Row],[OppPreGmRate]]+IF(Games[[#This Row],[HomeAway]]="A",HCA,0)+Games[[#This Row],[OppRestAdj]])-(Games[[#This Row],[PreGmRate]]+IF(Games[[#This Row],[HomeAway]]="H",HCA,0)+Games[[#This Row],[RestAdj]]))/400))</f>
        <v>0.35359468107402103</v>
      </c>
      <c r="R478" s="1">
        <v>66</v>
      </c>
      <c r="S478" s="1">
        <v>68</v>
      </c>
      <c r="T478" s="1">
        <v>0</v>
      </c>
      <c r="U478" s="1">
        <f>Games[[#This Row],[PointsFor]]-Games[[#This Row],[PointsAgainst]]</f>
        <v>-2</v>
      </c>
      <c r="V478" s="1">
        <f>IF(Games[[#This Row],[MOV]]&gt;0,1,IF(Games[[#This Row],[MOV]]=0,0.5,0))</f>
        <v>0</v>
      </c>
      <c r="W478" s="4">
        <f>((ABS(Games[[#This Row],[MOV]])+5)^0.6)/(12+0.01*(ABS(Games[[#This Row],[PreGmRate]]-Games[[#This Row],[OppPreGmRate]])))*IF(Games[[#This Row],[OT]]=1,0.9,1)</f>
        <v>0.26327790747902308</v>
      </c>
      <c r="X478" s="7" cm="1">
        <f t="array" ref="X47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78" s="9">
        <f>MAX(kmin, kmax - 0.15 * MIN(Games[[#This Row],[GamesPlayed]], 82))</f>
        <v>70.75</v>
      </c>
      <c r="Z478" s="4">
        <f>Games[[#This Row],[K]]*Games[[#This Row],[POMult]]</f>
        <v>77.825000000000003</v>
      </c>
      <c r="AA478" s="4">
        <f>(Games[[#This Row],[Keff]]*Games[[#This Row],[MOVMult]])*(Games[[#This Row],[Result]]-Games[[#This Row],[ExpectedWin%]])</f>
        <v>-7.2450146910001463</v>
      </c>
      <c r="AB478" s="4">
        <f>Games[[#This Row],[PreGmRate]]+Games[[#This Row],[RatingChange]]</f>
        <v>1494.8424200110837</v>
      </c>
      <c r="AC478" s="2">
        <f>IF(Games[[#This Row],[Type]]="R",IF(Games[[#This Row],[Result]]&gt;0.5,1,0),0)</f>
        <v>0</v>
      </c>
      <c r="AD478" s="2">
        <f>IF(Games[[#This Row],[Type]]="R",IF(Games[[#This Row],[Result]]&lt;0.5,1,0),0)</f>
        <v>0</v>
      </c>
      <c r="AE478" s="2">
        <f>IF(AND(Games[[#This Row],[Type]]="P",Games[[#This Row],[Round]]=1),IF(Games[[#This Row],[Result]]&gt;0.5,1,0),0)</f>
        <v>0</v>
      </c>
      <c r="AF478" s="2">
        <f>IF(AND(Games[[#This Row],[Type]]="P",Games[[#This Row],[Round]]=1),IF(Games[[#This Row],[Result]]&lt;0.5,1,0),0)</f>
        <v>1</v>
      </c>
      <c r="AG478" s="2">
        <f>IF(AND(Games[[#This Row],[Type]]="P",Games[[#This Row],[Round]]=2),IF(Games[[#This Row],[Result]]&gt;0.5,1,0),0)</f>
        <v>0</v>
      </c>
      <c r="AH478" s="2">
        <f>IF(AND(Games[[#This Row],[Type]]="P",Games[[#This Row],[Round]]=2),IF(Games[[#This Row],[Result]]&lt;0.5,1,0),0)</f>
        <v>0</v>
      </c>
      <c r="AI478" s="2">
        <f>IF(AND(Games[[#This Row],[Type]]="P",Games[[#This Row],[Round]]=3),IF(Games[[#This Row],[Result]]&gt;0.5,1,0),0)</f>
        <v>0</v>
      </c>
      <c r="AJ478" s="2">
        <f>IF(AND(Games[[#This Row],[Type]]="P",Games[[#This Row],[Round]]=3),IF(Games[[#This Row],[Result]]&lt;0.5,1,0),0)</f>
        <v>0</v>
      </c>
      <c r="AK478" s="2">
        <f>IF(AND(Games[[#This Row],[Type]]="P",Games[[#This Row],[Round]]=4),IF(Games[[#This Row],[Result]]&gt;0.5,1,0),0)</f>
        <v>0</v>
      </c>
      <c r="AL478" s="2">
        <f>IF(AND(Games[[#This Row],[Type]]="P",Games[[#This Row],[Round]]=4),IF(Games[[#This Row],[Result]]&lt;0.5,1,0),0)</f>
        <v>0</v>
      </c>
    </row>
    <row r="479" spans="1:38" x14ac:dyDescent="0.35">
      <c r="A479" s="10">
        <v>37861</v>
      </c>
      <c r="B479" s="2">
        <v>2003</v>
      </c>
      <c r="C479" s="2">
        <f>COUNTIFS(Games[Team],Games[[#This Row],[Team]],Games[Season],Games[[#This Row],[Season]],Games[Date],"&lt;=" &amp; Games[[#This Row],[Date]])</f>
        <v>35</v>
      </c>
      <c r="D479" s="2" t="s">
        <v>46</v>
      </c>
      <c r="E479" s="2">
        <v>1</v>
      </c>
      <c r="F479" s="1" t="s">
        <v>87</v>
      </c>
      <c r="G479" s="1" t="s">
        <v>64</v>
      </c>
      <c r="H479" s="1" t="s">
        <v>15</v>
      </c>
      <c r="I479" s="2" cm="1">
        <f t="array" ref="I479">IFERROR(
    Games[[#This Row],[Date]]
    - LOOKUP(
        2,
        1/((Games[Team]=Games[[#This Row],[Team]]) * (Games[Date] &lt; Games[[#This Row],[Date]])),
        Games[Date]
    )
    - 1,
Games[[#This Row],[Date]]-$A$2)</f>
        <v>2</v>
      </c>
      <c r="J479" s="2" cm="1">
        <f t="array" ref="J47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79" s="2">
        <f>Games[[#This Row],[DaysOff]]-Games[[#This Row],[OppDaysOff]]</f>
        <v>0</v>
      </c>
      <c r="L479" s="2">
        <f>Games[[#This Row],[OppDaysOff]]-Games[[#This Row],[DaysOff]]</f>
        <v>0</v>
      </c>
      <c r="M479" s="1">
        <f>MAX(-16, MIN(16, Games[[#This Row],[RestDiff]]*8))</f>
        <v>0</v>
      </c>
      <c r="N479" s="1">
        <f>MAX(-16, MIN(16, Games[[#This Row],[OppRestDiff]]*8))</f>
        <v>0</v>
      </c>
      <c r="O479" s="4" cm="1">
        <f t="array" ref="O47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1522.8871138290249</v>
      </c>
      <c r="P479" s="4" cm="1">
        <f t="array" ref="P47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1502.0874347020838</v>
      </c>
      <c r="Q479" s="4">
        <f>1/(1+10^(((Games[[#This Row],[OppPreGmRate]]+IF(Games[[#This Row],[HomeAway]]="A",HCA,0)+Games[[#This Row],[OppRestAdj]])-(Games[[#This Row],[PreGmRate]]+IF(Games[[#This Row],[HomeAway]]="H",HCA,0)+Games[[#This Row],[RestAdj]]))/400))</f>
        <v>0.64640531892597897</v>
      </c>
      <c r="R479" s="1">
        <v>68</v>
      </c>
      <c r="S479" s="1">
        <v>66</v>
      </c>
      <c r="T479" s="1">
        <v>0</v>
      </c>
      <c r="U479" s="1">
        <f>Games[[#This Row],[PointsFor]]-Games[[#This Row],[PointsAgainst]]</f>
        <v>2</v>
      </c>
      <c r="V479" s="1">
        <f>IF(Games[[#This Row],[MOV]]&gt;0,1,IF(Games[[#This Row],[MOV]]=0,0.5,0))</f>
        <v>1</v>
      </c>
      <c r="W479" s="4">
        <f>((ABS(Games[[#This Row],[MOV]])+5)^0.6)/(12+0.01*(ABS(Games[[#This Row],[PreGmRate]]-Games[[#This Row],[OppPreGmRate]])))*IF(Games[[#This Row],[OT]]=1,0.9,1)</f>
        <v>0.26327790747902308</v>
      </c>
      <c r="X479" s="7" cm="1">
        <f t="array" ref="X47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79" s="9">
        <f>MAX(kmin, kmax - 0.15 * MIN(Games[[#This Row],[GamesPlayed]], 82))</f>
        <v>70.75</v>
      </c>
      <c r="Z479" s="4">
        <f>Games[[#This Row],[K]]*Games[[#This Row],[POMult]]</f>
        <v>77.825000000000003</v>
      </c>
      <c r="AA479" s="4">
        <f>(Games[[#This Row],[Keff]]*Games[[#This Row],[MOVMult]])*(Games[[#This Row],[Result]]-Games[[#This Row],[ExpectedWin%]])</f>
        <v>7.2450146910001463</v>
      </c>
      <c r="AB479" s="4">
        <f>Games[[#This Row],[PreGmRate]]+Games[[#This Row],[RatingChange]]</f>
        <v>1530.1321285200249</v>
      </c>
      <c r="AC479" s="2">
        <f>IF(Games[[#This Row],[Type]]="R",IF(Games[[#This Row],[Result]]&gt;0.5,1,0),0)</f>
        <v>0</v>
      </c>
      <c r="AD479" s="2">
        <f>IF(Games[[#This Row],[Type]]="R",IF(Games[[#This Row],[Result]]&lt;0.5,1,0),0)</f>
        <v>0</v>
      </c>
      <c r="AE479" s="2">
        <f>IF(AND(Games[[#This Row],[Type]]="P",Games[[#This Row],[Round]]=1),IF(Games[[#This Row],[Result]]&gt;0.5,1,0),0)</f>
        <v>1</v>
      </c>
      <c r="AF479" s="2">
        <f>IF(AND(Games[[#This Row],[Type]]="P",Games[[#This Row],[Round]]=1),IF(Games[[#This Row],[Result]]&lt;0.5,1,0),0)</f>
        <v>0</v>
      </c>
      <c r="AG479" s="2">
        <f>IF(AND(Games[[#This Row],[Type]]="P",Games[[#This Row],[Round]]=2),IF(Games[[#This Row],[Result]]&gt;0.5,1,0),0)</f>
        <v>0</v>
      </c>
      <c r="AH479" s="2">
        <f>IF(AND(Games[[#This Row],[Type]]="P",Games[[#This Row],[Round]]=2),IF(Games[[#This Row],[Result]]&lt;0.5,1,0),0)</f>
        <v>0</v>
      </c>
      <c r="AI479" s="2">
        <f>IF(AND(Games[[#This Row],[Type]]="P",Games[[#This Row],[Round]]=3),IF(Games[[#This Row],[Result]]&gt;0.5,1,0),0)</f>
        <v>0</v>
      </c>
      <c r="AJ479" s="2">
        <f>IF(AND(Games[[#This Row],[Type]]="P",Games[[#This Row],[Round]]=3),IF(Games[[#This Row],[Result]]&lt;0.5,1,0),0)</f>
        <v>0</v>
      </c>
      <c r="AK479" s="2">
        <f>IF(AND(Games[[#This Row],[Type]]="P",Games[[#This Row],[Round]]=4),IF(Games[[#This Row],[Result]]&gt;0.5,1,0),0)</f>
        <v>0</v>
      </c>
      <c r="AL479" s="2">
        <f>IF(AND(Games[[#This Row],[Type]]="P",Games[[#This Row],[Round]]=4),IF(Games[[#This Row],[Result]]&lt;0.5,1,0),0)</f>
        <v>0</v>
      </c>
    </row>
    <row r="480" spans="1:38" x14ac:dyDescent="0.35">
      <c r="A480" s="10">
        <v>37861</v>
      </c>
      <c r="B480" s="2">
        <v>2003</v>
      </c>
      <c r="C480" s="2">
        <f>COUNTIFS(Games[Team],Games[[#This Row],[Team]],Games[Season],Games[[#This Row],[Season]],Games[Date],"&lt;=" &amp; Games[[#This Row],[Date]])</f>
        <v>35</v>
      </c>
      <c r="D480" s="2" t="s">
        <v>46</v>
      </c>
      <c r="E480" s="2">
        <v>1</v>
      </c>
      <c r="F480" s="1" t="s">
        <v>71</v>
      </c>
      <c r="G480" s="1" t="s">
        <v>78</v>
      </c>
      <c r="H480" s="1" t="s">
        <v>16</v>
      </c>
      <c r="I480" s="2" cm="1">
        <f t="array" ref="I480">IFERROR(
    Games[[#This Row],[Date]]
    - LOOKUP(
        2,
        1/((Games[Team]=Games[[#This Row],[Team]]) * (Games[Date] &lt; Games[[#This Row],[Date]])),
        Games[Date]
    )
    - 1,
Games[[#This Row],[Date]]-$A$2)</f>
        <v>2</v>
      </c>
      <c r="J480" s="2" cm="1">
        <f t="array" ref="J480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480" s="2">
        <f>Games[[#This Row],[DaysOff]]-Games[[#This Row],[OppDaysOff]]</f>
        <v>-2</v>
      </c>
      <c r="L480" s="2">
        <f>Games[[#This Row],[OppDaysOff]]-Games[[#This Row],[DaysOff]]</f>
        <v>2</v>
      </c>
      <c r="M480" s="1">
        <f>MAX(-16, MIN(16, Games[[#This Row],[RestDiff]]*8))</f>
        <v>-16</v>
      </c>
      <c r="N480" s="1">
        <f>MAX(-16, MIN(16, Games[[#This Row],[OppRestDiff]]*8))</f>
        <v>16</v>
      </c>
      <c r="O480" s="4" cm="1">
        <f t="array" ref="O48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1611.4109521231994</v>
      </c>
      <c r="P480" s="4" cm="1">
        <f t="array" ref="P48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1496.9413687054914</v>
      </c>
      <c r="Q480" s="4">
        <f>1/(1+10^(((Games[[#This Row],[OppPreGmRate]]+IF(Games[[#This Row],[HomeAway]]="A",HCA,0)+Games[[#This Row],[OppRestAdj]])-(Games[[#This Row],[PreGmRate]]+IF(Games[[#This Row],[HomeAway]]="H",HCA,0)+Games[[#This Row],[RestAdj]]))/400))</f>
        <v>0.49779756773935452</v>
      </c>
      <c r="R480" s="1">
        <v>72</v>
      </c>
      <c r="S480" s="1">
        <v>74</v>
      </c>
      <c r="T480" s="1">
        <v>0</v>
      </c>
      <c r="U480" s="1">
        <f>Games[[#This Row],[PointsFor]]-Games[[#This Row],[PointsAgainst]]</f>
        <v>-2</v>
      </c>
      <c r="V480" s="1">
        <f>IF(Games[[#This Row],[MOV]]&gt;0,1,IF(Games[[#This Row],[MOV]]=0,0.5,0))</f>
        <v>0</v>
      </c>
      <c r="W480" s="4">
        <f>((ABS(Games[[#This Row],[MOV]])+5)^0.6)/(12+0.01*(ABS(Games[[#This Row],[PreGmRate]]-Games[[#This Row],[OppPreGmRate]])))*IF(Games[[#This Row],[OT]]=1,0.9,1)</f>
        <v>0.2445165632025639</v>
      </c>
      <c r="X480" s="7" cm="1">
        <f t="array" ref="X48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80" s="9">
        <f>MAX(kmin, kmax - 0.15 * MIN(Games[[#This Row],[GamesPlayed]], 82))</f>
        <v>70.75</v>
      </c>
      <c r="Z480" s="4">
        <f>Games[[#This Row],[K]]*Games[[#This Row],[POMult]]</f>
        <v>77.825000000000003</v>
      </c>
      <c r="AA480" s="4">
        <f>(Games[[#This Row],[Keff]]*Games[[#This Row],[MOVMult]])*(Games[[#This Row],[Result]]-Games[[#This Row],[ExpectedWin%]])</f>
        <v>-9.4728395775433629</v>
      </c>
      <c r="AB480" s="4">
        <f>Games[[#This Row],[PreGmRate]]+Games[[#This Row],[RatingChange]]</f>
        <v>1601.9381125456562</v>
      </c>
      <c r="AC480" s="2">
        <f>IF(Games[[#This Row],[Type]]="R",IF(Games[[#This Row],[Result]]&gt;0.5,1,0),0)</f>
        <v>0</v>
      </c>
      <c r="AD480" s="2">
        <f>IF(Games[[#This Row],[Type]]="R",IF(Games[[#This Row],[Result]]&lt;0.5,1,0),0)</f>
        <v>0</v>
      </c>
      <c r="AE480" s="2">
        <f>IF(AND(Games[[#This Row],[Type]]="P",Games[[#This Row],[Round]]=1),IF(Games[[#This Row],[Result]]&gt;0.5,1,0),0)</f>
        <v>0</v>
      </c>
      <c r="AF480" s="2">
        <f>IF(AND(Games[[#This Row],[Type]]="P",Games[[#This Row],[Round]]=1),IF(Games[[#This Row],[Result]]&lt;0.5,1,0),0)</f>
        <v>1</v>
      </c>
      <c r="AG480" s="2">
        <f>IF(AND(Games[[#This Row],[Type]]="P",Games[[#This Row],[Round]]=2),IF(Games[[#This Row],[Result]]&gt;0.5,1,0),0)</f>
        <v>0</v>
      </c>
      <c r="AH480" s="2">
        <f>IF(AND(Games[[#This Row],[Type]]="P",Games[[#This Row],[Round]]=2),IF(Games[[#This Row],[Result]]&lt;0.5,1,0),0)</f>
        <v>0</v>
      </c>
      <c r="AI480" s="2">
        <f>IF(AND(Games[[#This Row],[Type]]="P",Games[[#This Row],[Round]]=3),IF(Games[[#This Row],[Result]]&gt;0.5,1,0),0)</f>
        <v>0</v>
      </c>
      <c r="AJ480" s="2">
        <f>IF(AND(Games[[#This Row],[Type]]="P",Games[[#This Row],[Round]]=3),IF(Games[[#This Row],[Result]]&lt;0.5,1,0),0)</f>
        <v>0</v>
      </c>
      <c r="AK480" s="2">
        <f>IF(AND(Games[[#This Row],[Type]]="P",Games[[#This Row],[Round]]=4),IF(Games[[#This Row],[Result]]&gt;0.5,1,0),0)</f>
        <v>0</v>
      </c>
      <c r="AL480" s="2">
        <f>IF(AND(Games[[#This Row],[Type]]="P",Games[[#This Row],[Round]]=4),IF(Games[[#This Row],[Result]]&lt;0.5,1,0),0)</f>
        <v>0</v>
      </c>
    </row>
    <row r="481" spans="1:38" x14ac:dyDescent="0.35">
      <c r="A481" s="10">
        <v>37861</v>
      </c>
      <c r="B481" s="2">
        <v>2003</v>
      </c>
      <c r="C481" s="2">
        <f>COUNTIFS(Games[Team],Games[[#This Row],[Team]],Games[Season],Games[[#This Row],[Season]],Games[Date],"&lt;=" &amp; Games[[#This Row],[Date]])</f>
        <v>35</v>
      </c>
      <c r="D481" s="2" t="s">
        <v>46</v>
      </c>
      <c r="E481" s="2">
        <v>1</v>
      </c>
      <c r="F481" s="1" t="s">
        <v>78</v>
      </c>
      <c r="G481" s="1" t="s">
        <v>71</v>
      </c>
      <c r="H481" s="1" t="s">
        <v>15</v>
      </c>
      <c r="I481" s="2" cm="1">
        <f t="array" ref="I481">IFERROR(
    Games[[#This Row],[Date]]
    - LOOKUP(
        2,
        1/((Games[Team]=Games[[#This Row],[Team]]) * (Games[Date] &lt; Games[[#This Row],[Date]])),
        Games[Date]
    )
    - 1,
Games[[#This Row],[Date]]-$A$2)</f>
        <v>4</v>
      </c>
      <c r="J481" s="2" cm="1">
        <f t="array" ref="J48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81" s="2">
        <f>Games[[#This Row],[DaysOff]]-Games[[#This Row],[OppDaysOff]]</f>
        <v>2</v>
      </c>
      <c r="L481" s="2">
        <f>Games[[#This Row],[OppDaysOff]]-Games[[#This Row],[DaysOff]]</f>
        <v>-2</v>
      </c>
      <c r="M481" s="1">
        <f>MAX(-16, MIN(16, Games[[#This Row],[RestDiff]]*8))</f>
        <v>16</v>
      </c>
      <c r="N481" s="1">
        <f>MAX(-16, MIN(16, Games[[#This Row],[OppRestDiff]]*8))</f>
        <v>-16</v>
      </c>
      <c r="O481" s="4" cm="1">
        <f t="array" ref="O48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1496.9413687054914</v>
      </c>
      <c r="P481" s="4" cm="1">
        <f t="array" ref="P48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1611.4109521231994</v>
      </c>
      <c r="Q481" s="4">
        <f>1/(1+10^(((Games[[#This Row],[OppPreGmRate]]+IF(Games[[#This Row],[HomeAway]]="A",HCA,0)+Games[[#This Row],[OppRestAdj]])-(Games[[#This Row],[PreGmRate]]+IF(Games[[#This Row],[HomeAway]]="H",HCA,0)+Games[[#This Row],[RestAdj]]))/400))</f>
        <v>0.50220243226064554</v>
      </c>
      <c r="R481" s="1">
        <v>74</v>
      </c>
      <c r="S481" s="1">
        <v>72</v>
      </c>
      <c r="T481" s="1">
        <v>0</v>
      </c>
      <c r="U481" s="1">
        <f>Games[[#This Row],[PointsFor]]-Games[[#This Row],[PointsAgainst]]</f>
        <v>2</v>
      </c>
      <c r="V481" s="1">
        <f>IF(Games[[#This Row],[MOV]]&gt;0,1,IF(Games[[#This Row],[MOV]]=0,0.5,0))</f>
        <v>1</v>
      </c>
      <c r="W481" s="4">
        <f>((ABS(Games[[#This Row],[MOV]])+5)^0.6)/(12+0.01*(ABS(Games[[#This Row],[PreGmRate]]-Games[[#This Row],[OppPreGmRate]])))*IF(Games[[#This Row],[OT]]=1,0.9,1)</f>
        <v>0.2445165632025639</v>
      </c>
      <c r="X481" s="7" cm="1">
        <f t="array" ref="X48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81" s="9">
        <f>MAX(kmin, kmax - 0.15 * MIN(Games[[#This Row],[GamesPlayed]], 82))</f>
        <v>70.75</v>
      </c>
      <c r="Z481" s="4">
        <f>Games[[#This Row],[K]]*Games[[#This Row],[POMult]]</f>
        <v>77.825000000000003</v>
      </c>
      <c r="AA481" s="4">
        <f>(Games[[#This Row],[Keff]]*Games[[#This Row],[MOVMult]])*(Games[[#This Row],[Result]]-Games[[#This Row],[ExpectedWin%]])</f>
        <v>9.4728395775433629</v>
      </c>
      <c r="AB481" s="4">
        <f>Games[[#This Row],[PreGmRate]]+Games[[#This Row],[RatingChange]]</f>
        <v>1506.4142082830347</v>
      </c>
      <c r="AC481" s="2">
        <f>IF(Games[[#This Row],[Type]]="R",IF(Games[[#This Row],[Result]]&gt;0.5,1,0),0)</f>
        <v>0</v>
      </c>
      <c r="AD481" s="2">
        <f>IF(Games[[#This Row],[Type]]="R",IF(Games[[#This Row],[Result]]&lt;0.5,1,0),0)</f>
        <v>0</v>
      </c>
      <c r="AE481" s="2">
        <f>IF(AND(Games[[#This Row],[Type]]="P",Games[[#This Row],[Round]]=1),IF(Games[[#This Row],[Result]]&gt;0.5,1,0),0)</f>
        <v>1</v>
      </c>
      <c r="AF481" s="2">
        <f>IF(AND(Games[[#This Row],[Type]]="P",Games[[#This Row],[Round]]=1),IF(Games[[#This Row],[Result]]&lt;0.5,1,0),0)</f>
        <v>0</v>
      </c>
      <c r="AG481" s="2">
        <f>IF(AND(Games[[#This Row],[Type]]="P",Games[[#This Row],[Round]]=2),IF(Games[[#This Row],[Result]]&gt;0.5,1,0),0)</f>
        <v>0</v>
      </c>
      <c r="AH481" s="2">
        <f>IF(AND(Games[[#This Row],[Type]]="P",Games[[#This Row],[Round]]=2),IF(Games[[#This Row],[Result]]&lt;0.5,1,0),0)</f>
        <v>0</v>
      </c>
      <c r="AI481" s="2">
        <f>IF(AND(Games[[#This Row],[Type]]="P",Games[[#This Row],[Round]]=3),IF(Games[[#This Row],[Result]]&gt;0.5,1,0),0)</f>
        <v>0</v>
      </c>
      <c r="AJ481" s="2">
        <f>IF(AND(Games[[#This Row],[Type]]="P",Games[[#This Row],[Round]]=3),IF(Games[[#This Row],[Result]]&lt;0.5,1,0),0)</f>
        <v>0</v>
      </c>
      <c r="AK481" s="2">
        <f>IF(AND(Games[[#This Row],[Type]]="P",Games[[#This Row],[Round]]=4),IF(Games[[#This Row],[Result]]&gt;0.5,1,0),0)</f>
        <v>0</v>
      </c>
      <c r="AL481" s="2">
        <f>IF(AND(Games[[#This Row],[Type]]="P",Games[[#This Row],[Round]]=4),IF(Games[[#This Row],[Result]]&lt;0.5,1,0),0)</f>
        <v>0</v>
      </c>
    </row>
    <row r="482" spans="1:38" x14ac:dyDescent="0.35">
      <c r="A482" s="10">
        <v>37862</v>
      </c>
      <c r="B482" s="2">
        <v>2003</v>
      </c>
      <c r="C482" s="2">
        <f>COUNTIFS(Games[Team],Games[[#This Row],[Team]],Games[Season],Games[[#This Row],[Season]],Games[Date],"&lt;=" &amp; Games[[#This Row],[Date]])</f>
        <v>35</v>
      </c>
      <c r="D482" s="2" t="s">
        <v>46</v>
      </c>
      <c r="E482" s="2">
        <v>1</v>
      </c>
      <c r="F482" s="1" t="s">
        <v>76</v>
      </c>
      <c r="G482" s="1" t="s">
        <v>1</v>
      </c>
      <c r="H482" s="1" t="s">
        <v>16</v>
      </c>
      <c r="I482" s="2" cm="1">
        <f t="array" ref="I482">IFERROR(
    Games[[#This Row],[Date]]
    - LOOKUP(
        2,
        1/((Games[Team]=Games[[#This Row],[Team]]) * (Games[Date] &lt; Games[[#This Row],[Date]])),
        Games[Date]
    )
    - 1,
Games[[#This Row],[Date]]-$A$2)</f>
        <v>3</v>
      </c>
      <c r="J482" s="2" cm="1">
        <f t="array" ref="J482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482" s="2">
        <f>Games[[#This Row],[DaysOff]]-Games[[#This Row],[OppDaysOff]]</f>
        <v>0</v>
      </c>
      <c r="L482" s="2">
        <f>Games[[#This Row],[OppDaysOff]]-Games[[#This Row],[DaysOff]]</f>
        <v>0</v>
      </c>
      <c r="M482" s="1">
        <f>MAX(-16, MIN(16, Games[[#This Row],[RestDiff]]*8))</f>
        <v>0</v>
      </c>
      <c r="N482" s="1">
        <f>MAX(-16, MIN(16, Games[[#This Row],[OppRestDiff]]*8))</f>
        <v>0</v>
      </c>
      <c r="O482" s="4" cm="1">
        <f t="array" ref="O48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1612.191232638668</v>
      </c>
      <c r="P482" s="4" cm="1">
        <f t="array" ref="P48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1471.9269527351858</v>
      </c>
      <c r="Q482" s="4">
        <f>1/(1+10^(((Games[[#This Row],[OppPreGmRate]]+IF(Games[[#This Row],[HomeAway]]="A",HCA,0)+Games[[#This Row],[OppRestAdj]])-(Games[[#This Row],[PreGmRate]]+IF(Games[[#This Row],[HomeAway]]="H",HCA,0)+Games[[#This Row],[RestAdj]]))/400))</f>
        <v>0.58027033254878779</v>
      </c>
      <c r="R482" s="1">
        <v>76</v>
      </c>
      <c r="S482" s="1">
        <v>74</v>
      </c>
      <c r="T482" s="1">
        <v>0</v>
      </c>
      <c r="U482" s="1">
        <f>Games[[#This Row],[PointsFor]]-Games[[#This Row],[PointsAgainst]]</f>
        <v>2</v>
      </c>
      <c r="V482" s="1">
        <f>IF(Games[[#This Row],[MOV]]&gt;0,1,IF(Games[[#This Row],[MOV]]=0,0.5,0))</f>
        <v>1</v>
      </c>
      <c r="W482" s="4">
        <f>((ABS(Games[[#This Row],[MOV]])+5)^0.6)/(12+0.01*(ABS(Games[[#This Row],[PreGmRate]]-Games[[#This Row],[OppPreGmRate]])))*IF(Games[[#This Row],[OT]]=1,0.9,1)</f>
        <v>0.23981060287210654</v>
      </c>
      <c r="X482" s="7" cm="1">
        <f t="array" ref="X48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82" s="9">
        <f>MAX(kmin, kmax - 0.15 * MIN(Games[[#This Row],[GamesPlayed]], 82))</f>
        <v>70.75</v>
      </c>
      <c r="Z482" s="4">
        <f>Games[[#This Row],[K]]*Games[[#This Row],[POMult]]</f>
        <v>77.825000000000003</v>
      </c>
      <c r="AA482" s="4">
        <f>(Games[[#This Row],[Keff]]*Games[[#This Row],[MOVMult]])*(Games[[#This Row],[Result]]-Games[[#This Row],[ExpectedWin%]])</f>
        <v>7.833523984089064</v>
      </c>
      <c r="AB482" s="4">
        <f>Games[[#This Row],[PreGmRate]]+Games[[#This Row],[RatingChange]]</f>
        <v>1620.024756622757</v>
      </c>
      <c r="AC482" s="2">
        <f>IF(Games[[#This Row],[Type]]="R",IF(Games[[#This Row],[Result]]&gt;0.5,1,0),0)</f>
        <v>0</v>
      </c>
      <c r="AD482" s="2">
        <f>IF(Games[[#This Row],[Type]]="R",IF(Games[[#This Row],[Result]]&lt;0.5,1,0),0)</f>
        <v>0</v>
      </c>
      <c r="AE482" s="2">
        <f>IF(AND(Games[[#This Row],[Type]]="P",Games[[#This Row],[Round]]=1),IF(Games[[#This Row],[Result]]&gt;0.5,1,0),0)</f>
        <v>1</v>
      </c>
      <c r="AF482" s="2">
        <f>IF(AND(Games[[#This Row],[Type]]="P",Games[[#This Row],[Round]]=1),IF(Games[[#This Row],[Result]]&lt;0.5,1,0),0)</f>
        <v>0</v>
      </c>
      <c r="AG482" s="2">
        <f>IF(AND(Games[[#This Row],[Type]]="P",Games[[#This Row],[Round]]=2),IF(Games[[#This Row],[Result]]&gt;0.5,1,0),0)</f>
        <v>0</v>
      </c>
      <c r="AH482" s="2">
        <f>IF(AND(Games[[#This Row],[Type]]="P",Games[[#This Row],[Round]]=2),IF(Games[[#This Row],[Result]]&lt;0.5,1,0),0)</f>
        <v>0</v>
      </c>
      <c r="AI482" s="2">
        <f>IF(AND(Games[[#This Row],[Type]]="P",Games[[#This Row],[Round]]=3),IF(Games[[#This Row],[Result]]&gt;0.5,1,0),0)</f>
        <v>0</v>
      </c>
      <c r="AJ482" s="2">
        <f>IF(AND(Games[[#This Row],[Type]]="P",Games[[#This Row],[Round]]=3),IF(Games[[#This Row],[Result]]&lt;0.5,1,0),0)</f>
        <v>0</v>
      </c>
      <c r="AK482" s="2">
        <f>IF(AND(Games[[#This Row],[Type]]="P",Games[[#This Row],[Round]]=4),IF(Games[[#This Row],[Result]]&gt;0.5,1,0),0)</f>
        <v>0</v>
      </c>
      <c r="AL482" s="2">
        <f>IF(AND(Games[[#This Row],[Type]]="P",Games[[#This Row],[Round]]=4),IF(Games[[#This Row],[Result]]&lt;0.5,1,0),0)</f>
        <v>0</v>
      </c>
    </row>
    <row r="483" spans="1:38" x14ac:dyDescent="0.35">
      <c r="A483" s="10">
        <v>37862</v>
      </c>
      <c r="B483" s="2">
        <v>2003</v>
      </c>
      <c r="C483" s="2">
        <f>COUNTIFS(Games[Team],Games[[#This Row],[Team]],Games[Season],Games[[#This Row],[Season]],Games[Date],"&lt;=" &amp; Games[[#This Row],[Date]])</f>
        <v>35</v>
      </c>
      <c r="D483" s="2" t="s">
        <v>46</v>
      </c>
      <c r="E483" s="2">
        <v>1</v>
      </c>
      <c r="F483" s="1" t="s">
        <v>1</v>
      </c>
      <c r="G483" s="1" t="s">
        <v>76</v>
      </c>
      <c r="H483" s="1" t="s">
        <v>15</v>
      </c>
      <c r="I483" s="2" cm="1">
        <f t="array" ref="I483">IFERROR(
    Games[[#This Row],[Date]]
    - LOOKUP(
        2,
        1/((Games[Team]=Games[[#This Row],[Team]]) * (Games[Date] &lt; Games[[#This Row],[Date]])),
        Games[Date]
    )
    - 1,
Games[[#This Row],[Date]]-$A$2)</f>
        <v>3</v>
      </c>
      <c r="J483" s="2" cm="1">
        <f t="array" ref="J483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483" s="2">
        <f>Games[[#This Row],[DaysOff]]-Games[[#This Row],[OppDaysOff]]</f>
        <v>0</v>
      </c>
      <c r="L483" s="2">
        <f>Games[[#This Row],[OppDaysOff]]-Games[[#This Row],[DaysOff]]</f>
        <v>0</v>
      </c>
      <c r="M483" s="1">
        <f>MAX(-16, MIN(16, Games[[#This Row],[RestDiff]]*8))</f>
        <v>0</v>
      </c>
      <c r="N483" s="1">
        <f>MAX(-16, MIN(16, Games[[#This Row],[OppRestDiff]]*8))</f>
        <v>0</v>
      </c>
      <c r="O483" s="4" cm="1">
        <f t="array" ref="O48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1471.9269527351858</v>
      </c>
      <c r="P483" s="4" cm="1">
        <f t="array" ref="P48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1612.191232638668</v>
      </c>
      <c r="Q483" s="4">
        <f>1/(1+10^(((Games[[#This Row],[OppPreGmRate]]+IF(Games[[#This Row],[HomeAway]]="A",HCA,0)+Games[[#This Row],[OppRestAdj]])-(Games[[#This Row],[PreGmRate]]+IF(Games[[#This Row],[HomeAway]]="H",HCA,0)+Games[[#This Row],[RestAdj]]))/400))</f>
        <v>0.41972966745121226</v>
      </c>
      <c r="R483" s="1">
        <v>74</v>
      </c>
      <c r="S483" s="1">
        <v>76</v>
      </c>
      <c r="T483" s="1">
        <v>0</v>
      </c>
      <c r="U483" s="1">
        <f>Games[[#This Row],[PointsFor]]-Games[[#This Row],[PointsAgainst]]</f>
        <v>-2</v>
      </c>
      <c r="V483" s="1">
        <f>IF(Games[[#This Row],[MOV]]&gt;0,1,IF(Games[[#This Row],[MOV]]=0,0.5,0))</f>
        <v>0</v>
      </c>
      <c r="W483" s="4">
        <f>((ABS(Games[[#This Row],[MOV]])+5)^0.6)/(12+0.01*(ABS(Games[[#This Row],[PreGmRate]]-Games[[#This Row],[OppPreGmRate]])))*IF(Games[[#This Row],[OT]]=1,0.9,1)</f>
        <v>0.23981060287210654</v>
      </c>
      <c r="X483" s="7" cm="1">
        <f t="array" ref="X48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83" s="9">
        <f>MAX(kmin, kmax - 0.15 * MIN(Games[[#This Row],[GamesPlayed]], 82))</f>
        <v>70.75</v>
      </c>
      <c r="Z483" s="4">
        <f>Games[[#This Row],[K]]*Games[[#This Row],[POMult]]</f>
        <v>77.825000000000003</v>
      </c>
      <c r="AA483" s="4">
        <f>(Games[[#This Row],[Keff]]*Games[[#This Row],[MOVMult]])*(Games[[#This Row],[Result]]-Games[[#This Row],[ExpectedWin%]])</f>
        <v>-7.8335239840890658</v>
      </c>
      <c r="AB483" s="4">
        <f>Games[[#This Row],[PreGmRate]]+Games[[#This Row],[RatingChange]]</f>
        <v>1464.0934287510968</v>
      </c>
      <c r="AC483" s="2">
        <f>IF(Games[[#This Row],[Type]]="R",IF(Games[[#This Row],[Result]]&gt;0.5,1,0),0)</f>
        <v>0</v>
      </c>
      <c r="AD483" s="2">
        <f>IF(Games[[#This Row],[Type]]="R",IF(Games[[#This Row],[Result]]&lt;0.5,1,0),0)</f>
        <v>0</v>
      </c>
      <c r="AE483" s="2">
        <f>IF(AND(Games[[#This Row],[Type]]="P",Games[[#This Row],[Round]]=1),IF(Games[[#This Row],[Result]]&gt;0.5,1,0),0)</f>
        <v>0</v>
      </c>
      <c r="AF483" s="2">
        <f>IF(AND(Games[[#This Row],[Type]]="P",Games[[#This Row],[Round]]=1),IF(Games[[#This Row],[Result]]&lt;0.5,1,0),0)</f>
        <v>1</v>
      </c>
      <c r="AG483" s="2">
        <f>IF(AND(Games[[#This Row],[Type]]="P",Games[[#This Row],[Round]]=2),IF(Games[[#This Row],[Result]]&gt;0.5,1,0),0)</f>
        <v>0</v>
      </c>
      <c r="AH483" s="2">
        <f>IF(AND(Games[[#This Row],[Type]]="P",Games[[#This Row],[Round]]=2),IF(Games[[#This Row],[Result]]&lt;0.5,1,0),0)</f>
        <v>0</v>
      </c>
      <c r="AI483" s="2">
        <f>IF(AND(Games[[#This Row],[Type]]="P",Games[[#This Row],[Round]]=3),IF(Games[[#This Row],[Result]]&gt;0.5,1,0),0)</f>
        <v>0</v>
      </c>
      <c r="AJ483" s="2">
        <f>IF(AND(Games[[#This Row],[Type]]="P",Games[[#This Row],[Round]]=3),IF(Games[[#This Row],[Result]]&lt;0.5,1,0),0)</f>
        <v>0</v>
      </c>
      <c r="AK483" s="2">
        <f>IF(AND(Games[[#This Row],[Type]]="P",Games[[#This Row],[Round]]=4),IF(Games[[#This Row],[Result]]&gt;0.5,1,0),0)</f>
        <v>0</v>
      </c>
      <c r="AL483" s="2">
        <f>IF(AND(Games[[#This Row],[Type]]="P",Games[[#This Row],[Round]]=4),IF(Games[[#This Row],[Result]]&lt;0.5,1,0),0)</f>
        <v>0</v>
      </c>
    </row>
    <row r="484" spans="1:38" x14ac:dyDescent="0.35">
      <c r="A484" s="10">
        <v>37862</v>
      </c>
      <c r="B484" s="2">
        <v>2003</v>
      </c>
      <c r="C484" s="2">
        <f>COUNTIFS(Games[Team],Games[[#This Row],[Team]],Games[Season],Games[[#This Row],[Season]],Games[Date],"&lt;=" &amp; Games[[#This Row],[Date]])</f>
        <v>35</v>
      </c>
      <c r="D484" s="2" t="s">
        <v>46</v>
      </c>
      <c r="E484" s="2">
        <v>1</v>
      </c>
      <c r="F484" s="1" t="s">
        <v>2</v>
      </c>
      <c r="G484" s="1" t="s">
        <v>45</v>
      </c>
      <c r="H484" s="1" t="s">
        <v>16</v>
      </c>
      <c r="I484" s="2" cm="1">
        <f t="array" ref="I484">IFERROR(
    Games[[#This Row],[Date]]
    - LOOKUP(
        2,
        1/((Games[Team]=Games[[#This Row],[Team]]) * (Games[Date] &lt; Games[[#This Row],[Date]])),
        Games[Date]
    )
    - 1,
Games[[#This Row],[Date]]-$A$2)</f>
        <v>3</v>
      </c>
      <c r="J484" s="2" cm="1">
        <f t="array" ref="J484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484" s="2">
        <f>Games[[#This Row],[DaysOff]]-Games[[#This Row],[OppDaysOff]]</f>
        <v>0</v>
      </c>
      <c r="L484" s="2">
        <f>Games[[#This Row],[OppDaysOff]]-Games[[#This Row],[DaysOff]]</f>
        <v>0</v>
      </c>
      <c r="M484" s="1">
        <f>MAX(-16, MIN(16, Games[[#This Row],[RestDiff]]*8))</f>
        <v>0</v>
      </c>
      <c r="N484" s="1">
        <f>MAX(-16, MIN(16, Games[[#This Row],[OppRestDiff]]*8))</f>
        <v>0</v>
      </c>
      <c r="O484" s="4" cm="1">
        <f t="array" ref="O48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1583.9935699236551</v>
      </c>
      <c r="P484" s="4" cm="1">
        <f t="array" ref="P48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1560.9372371508998</v>
      </c>
      <c r="Q484" s="4">
        <f>1/(1+10^(((Games[[#This Row],[OppPreGmRate]]+IF(Games[[#This Row],[HomeAway]]="A",HCA,0)+Games[[#This Row],[OppRestAdj]])-(Games[[#This Row],[PreGmRate]]+IF(Games[[#This Row],[HomeAway]]="H",HCA,0)+Games[[#This Row],[RestAdj]]))/400))</f>
        <v>0.41318359967561208</v>
      </c>
      <c r="R484" s="1">
        <v>59</v>
      </c>
      <c r="S484" s="1">
        <v>65</v>
      </c>
      <c r="T484" s="1">
        <v>0</v>
      </c>
      <c r="U484" s="1">
        <f>Games[[#This Row],[PointsFor]]-Games[[#This Row],[PointsAgainst]]</f>
        <v>-6</v>
      </c>
      <c r="V484" s="1">
        <f>IF(Games[[#This Row],[MOV]]&gt;0,1,IF(Games[[#This Row],[MOV]]=0,0.5,0))</f>
        <v>0</v>
      </c>
      <c r="W484" s="4">
        <f>((ABS(Games[[#This Row],[MOV]])+5)^0.6)/(12+0.01*(ABS(Games[[#This Row],[PreGmRate]]-Games[[#This Row],[OppPreGmRate]])))*IF(Games[[#This Row],[OT]]=1,0.9,1)</f>
        <v>0.34465862447524065</v>
      </c>
      <c r="X484" s="7" cm="1">
        <f t="array" ref="X48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84" s="9">
        <f>MAX(kmin, kmax - 0.15 * MIN(Games[[#This Row],[GamesPlayed]], 82))</f>
        <v>70.75</v>
      </c>
      <c r="Z484" s="4">
        <f>Games[[#This Row],[K]]*Games[[#This Row],[POMult]]</f>
        <v>77.825000000000003</v>
      </c>
      <c r="AA484" s="4">
        <f>(Games[[#This Row],[Keff]]*Games[[#This Row],[MOVMult]])*(Games[[#This Row],[Result]]-Games[[#This Row],[ExpectedWin%]])</f>
        <v>-11.08284743140816</v>
      </c>
      <c r="AB484" s="4">
        <f>Games[[#This Row],[PreGmRate]]+Games[[#This Row],[RatingChange]]</f>
        <v>1572.9107224922468</v>
      </c>
      <c r="AC484" s="2">
        <f>IF(Games[[#This Row],[Type]]="R",IF(Games[[#This Row],[Result]]&gt;0.5,1,0),0)</f>
        <v>0</v>
      </c>
      <c r="AD484" s="2">
        <f>IF(Games[[#This Row],[Type]]="R",IF(Games[[#This Row],[Result]]&lt;0.5,1,0),0)</f>
        <v>0</v>
      </c>
      <c r="AE484" s="2">
        <f>IF(AND(Games[[#This Row],[Type]]="P",Games[[#This Row],[Round]]=1),IF(Games[[#This Row],[Result]]&gt;0.5,1,0),0)</f>
        <v>0</v>
      </c>
      <c r="AF484" s="2">
        <f>IF(AND(Games[[#This Row],[Type]]="P",Games[[#This Row],[Round]]=1),IF(Games[[#This Row],[Result]]&lt;0.5,1,0),0)</f>
        <v>1</v>
      </c>
      <c r="AG484" s="2">
        <f>IF(AND(Games[[#This Row],[Type]]="P",Games[[#This Row],[Round]]=2),IF(Games[[#This Row],[Result]]&gt;0.5,1,0),0)</f>
        <v>0</v>
      </c>
      <c r="AH484" s="2">
        <f>IF(AND(Games[[#This Row],[Type]]="P",Games[[#This Row],[Round]]=2),IF(Games[[#This Row],[Result]]&lt;0.5,1,0),0)</f>
        <v>0</v>
      </c>
      <c r="AI484" s="2">
        <f>IF(AND(Games[[#This Row],[Type]]="P",Games[[#This Row],[Round]]=3),IF(Games[[#This Row],[Result]]&gt;0.5,1,0),0)</f>
        <v>0</v>
      </c>
      <c r="AJ484" s="2">
        <f>IF(AND(Games[[#This Row],[Type]]="P",Games[[#This Row],[Round]]=3),IF(Games[[#This Row],[Result]]&lt;0.5,1,0),0)</f>
        <v>0</v>
      </c>
      <c r="AK484" s="2">
        <f>IF(AND(Games[[#This Row],[Type]]="P",Games[[#This Row],[Round]]=4),IF(Games[[#This Row],[Result]]&gt;0.5,1,0),0)</f>
        <v>0</v>
      </c>
      <c r="AL484" s="2">
        <f>IF(AND(Games[[#This Row],[Type]]="P",Games[[#This Row],[Round]]=4),IF(Games[[#This Row],[Result]]&lt;0.5,1,0),0)</f>
        <v>0</v>
      </c>
    </row>
    <row r="485" spans="1:38" x14ac:dyDescent="0.35">
      <c r="A485" s="10">
        <v>37862</v>
      </c>
      <c r="B485" s="2">
        <v>2003</v>
      </c>
      <c r="C485" s="2">
        <f>COUNTIFS(Games[Team],Games[[#This Row],[Team]],Games[Season],Games[[#This Row],[Season]],Games[Date],"&lt;=" &amp; Games[[#This Row],[Date]])</f>
        <v>35</v>
      </c>
      <c r="D485" s="2" t="s">
        <v>46</v>
      </c>
      <c r="E485" s="2">
        <v>1</v>
      </c>
      <c r="F485" s="1" t="s">
        <v>45</v>
      </c>
      <c r="G485" s="1" t="s">
        <v>2</v>
      </c>
      <c r="H485" s="1" t="s">
        <v>15</v>
      </c>
      <c r="I485" s="2" cm="1">
        <f t="array" ref="I485">IFERROR(
    Games[[#This Row],[Date]]
    - LOOKUP(
        2,
        1/((Games[Team]=Games[[#This Row],[Team]]) * (Games[Date] &lt; Games[[#This Row],[Date]])),
        Games[Date]
    )
    - 1,
Games[[#This Row],[Date]]-$A$2)</f>
        <v>3</v>
      </c>
      <c r="J485" s="2" cm="1">
        <f t="array" ref="J485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485" s="2">
        <f>Games[[#This Row],[DaysOff]]-Games[[#This Row],[OppDaysOff]]</f>
        <v>0</v>
      </c>
      <c r="L485" s="2">
        <f>Games[[#This Row],[OppDaysOff]]-Games[[#This Row],[DaysOff]]</f>
        <v>0</v>
      </c>
      <c r="M485" s="1">
        <f>MAX(-16, MIN(16, Games[[#This Row],[RestDiff]]*8))</f>
        <v>0</v>
      </c>
      <c r="N485" s="1">
        <f>MAX(-16, MIN(16, Games[[#This Row],[OppRestDiff]]*8))</f>
        <v>0</v>
      </c>
      <c r="O485" s="4" cm="1">
        <f t="array" ref="O48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1560.9372371508998</v>
      </c>
      <c r="P485" s="4" cm="1">
        <f t="array" ref="P48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1583.9935699236551</v>
      </c>
      <c r="Q485" s="4">
        <f>1/(1+10^(((Games[[#This Row],[OppPreGmRate]]+IF(Games[[#This Row],[HomeAway]]="A",HCA,0)+Games[[#This Row],[OppRestAdj]])-(Games[[#This Row],[PreGmRate]]+IF(Games[[#This Row],[HomeAway]]="H",HCA,0)+Games[[#This Row],[RestAdj]]))/400))</f>
        <v>0.58681640032438798</v>
      </c>
      <c r="R485" s="1">
        <v>65</v>
      </c>
      <c r="S485" s="1">
        <v>59</v>
      </c>
      <c r="T485" s="1">
        <v>0</v>
      </c>
      <c r="U485" s="1">
        <f>Games[[#This Row],[PointsFor]]-Games[[#This Row],[PointsAgainst]]</f>
        <v>6</v>
      </c>
      <c r="V485" s="1">
        <f>IF(Games[[#This Row],[MOV]]&gt;0,1,IF(Games[[#This Row],[MOV]]=0,0.5,0))</f>
        <v>1</v>
      </c>
      <c r="W485" s="4">
        <f>((ABS(Games[[#This Row],[MOV]])+5)^0.6)/(12+0.01*(ABS(Games[[#This Row],[PreGmRate]]-Games[[#This Row],[OppPreGmRate]])))*IF(Games[[#This Row],[OT]]=1,0.9,1)</f>
        <v>0.34465862447524065</v>
      </c>
      <c r="X485" s="7" cm="1">
        <f t="array" ref="X48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85" s="9">
        <f>MAX(kmin, kmax - 0.15 * MIN(Games[[#This Row],[GamesPlayed]], 82))</f>
        <v>70.75</v>
      </c>
      <c r="Z485" s="4">
        <f>Games[[#This Row],[K]]*Games[[#This Row],[POMult]]</f>
        <v>77.825000000000003</v>
      </c>
      <c r="AA485" s="4">
        <f>(Games[[#This Row],[Keff]]*Games[[#This Row],[MOVMult]])*(Games[[#This Row],[Result]]-Games[[#This Row],[ExpectedWin%]])</f>
        <v>11.082847431408158</v>
      </c>
      <c r="AB485" s="4">
        <f>Games[[#This Row],[PreGmRate]]+Games[[#This Row],[RatingChange]]</f>
        <v>1572.0200845823081</v>
      </c>
      <c r="AC485" s="2">
        <f>IF(Games[[#This Row],[Type]]="R",IF(Games[[#This Row],[Result]]&gt;0.5,1,0),0)</f>
        <v>0</v>
      </c>
      <c r="AD485" s="2">
        <f>IF(Games[[#This Row],[Type]]="R",IF(Games[[#This Row],[Result]]&lt;0.5,1,0),0)</f>
        <v>0</v>
      </c>
      <c r="AE485" s="2">
        <f>IF(AND(Games[[#This Row],[Type]]="P",Games[[#This Row],[Round]]=1),IF(Games[[#This Row],[Result]]&gt;0.5,1,0),0)</f>
        <v>1</v>
      </c>
      <c r="AF485" s="2">
        <f>IF(AND(Games[[#This Row],[Type]]="P",Games[[#This Row],[Round]]=1),IF(Games[[#This Row],[Result]]&lt;0.5,1,0),0)</f>
        <v>0</v>
      </c>
      <c r="AG485" s="2">
        <f>IF(AND(Games[[#This Row],[Type]]="P",Games[[#This Row],[Round]]=2),IF(Games[[#This Row],[Result]]&gt;0.5,1,0),0)</f>
        <v>0</v>
      </c>
      <c r="AH485" s="2">
        <f>IF(AND(Games[[#This Row],[Type]]="P",Games[[#This Row],[Round]]=2),IF(Games[[#This Row],[Result]]&lt;0.5,1,0),0)</f>
        <v>0</v>
      </c>
      <c r="AI485" s="2">
        <f>IF(AND(Games[[#This Row],[Type]]="P",Games[[#This Row],[Round]]=3),IF(Games[[#This Row],[Result]]&gt;0.5,1,0),0)</f>
        <v>0</v>
      </c>
      <c r="AJ485" s="2">
        <f>IF(AND(Games[[#This Row],[Type]]="P",Games[[#This Row],[Round]]=3),IF(Games[[#This Row],[Result]]&lt;0.5,1,0),0)</f>
        <v>0</v>
      </c>
      <c r="AK485" s="2">
        <f>IF(AND(Games[[#This Row],[Type]]="P",Games[[#This Row],[Round]]=4),IF(Games[[#This Row],[Result]]&gt;0.5,1,0),0)</f>
        <v>0</v>
      </c>
      <c r="AL485" s="2">
        <f>IF(AND(Games[[#This Row],[Type]]="P",Games[[#This Row],[Round]]=4),IF(Games[[#This Row],[Result]]&lt;0.5,1,0),0)</f>
        <v>0</v>
      </c>
    </row>
    <row r="486" spans="1:38" x14ac:dyDescent="0.35">
      <c r="A486" s="10">
        <v>37863</v>
      </c>
      <c r="B486" s="2">
        <v>2003</v>
      </c>
      <c r="C486" s="2">
        <f>COUNTIFS(Games[Team],Games[[#This Row],[Team]],Games[Season],Games[[#This Row],[Season]],Games[Date],"&lt;=" &amp; Games[[#This Row],[Date]])</f>
        <v>36</v>
      </c>
      <c r="D486" s="2" t="s">
        <v>46</v>
      </c>
      <c r="E486" s="2">
        <v>1</v>
      </c>
      <c r="F486" s="1" t="s">
        <v>87</v>
      </c>
      <c r="G486" s="1" t="s">
        <v>64</v>
      </c>
      <c r="H486" s="1" t="s">
        <v>16</v>
      </c>
      <c r="I486" s="2" cm="1">
        <f t="array" ref="I486">IFERROR(
    Games[[#This Row],[Date]]
    - LOOKUP(
        2,
        1/((Games[Team]=Games[[#This Row],[Team]]) * (Games[Date] &lt; Games[[#This Row],[Date]])),
        Games[Date]
    )
    - 1,
Games[[#This Row],[Date]]-$A$2)</f>
        <v>1</v>
      </c>
      <c r="J486" s="2" cm="1">
        <f t="array" ref="J48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86" s="2">
        <f>Games[[#This Row],[DaysOff]]-Games[[#This Row],[OppDaysOff]]</f>
        <v>0</v>
      </c>
      <c r="L486" s="2">
        <f>Games[[#This Row],[OppDaysOff]]-Games[[#This Row],[DaysOff]]</f>
        <v>0</v>
      </c>
      <c r="M486" s="1">
        <f>MAX(-16, MIN(16, Games[[#This Row],[RestDiff]]*8))</f>
        <v>0</v>
      </c>
      <c r="N486" s="1">
        <f>MAX(-16, MIN(16, Games[[#This Row],[OppRestDiff]]*8))</f>
        <v>0</v>
      </c>
      <c r="O486" s="4" cm="1">
        <f t="array" ref="O48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1530.1321285200249</v>
      </c>
      <c r="P486" s="4" cm="1">
        <f t="array" ref="P48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1494.8424200110837</v>
      </c>
      <c r="Q486" s="4">
        <f>1/(1+10^(((Games[[#This Row],[OppPreGmRate]]+IF(Games[[#This Row],[HomeAway]]="A",HCA,0)+Games[[#This Row],[OppRestAdj]])-(Games[[#This Row],[PreGmRate]]+IF(Games[[#This Row],[HomeAway]]="H",HCA,0)+Games[[#This Row],[RestAdj]]))/400))</f>
        <v>0.43035596408806509</v>
      </c>
      <c r="R486" s="1">
        <v>68</v>
      </c>
      <c r="S486" s="1">
        <v>62</v>
      </c>
      <c r="T486" s="1">
        <v>0</v>
      </c>
      <c r="U486" s="1">
        <f>Games[[#This Row],[PointsFor]]-Games[[#This Row],[PointsAgainst]]</f>
        <v>6</v>
      </c>
      <c r="V486" s="1">
        <f>IF(Games[[#This Row],[MOV]]&gt;0,1,IF(Games[[#This Row],[MOV]]=0,0.5,0))</f>
        <v>1</v>
      </c>
      <c r="W486" s="4">
        <f>((ABS(Games[[#This Row],[MOV]])+5)^0.6)/(12+0.01*(ABS(Games[[#This Row],[PreGmRate]]-Games[[#This Row],[OppPreGmRate]])))*IF(Games[[#This Row],[OT]]=1,0.9,1)</f>
        <v>0.34124538592489934</v>
      </c>
      <c r="X486" s="7" cm="1">
        <f t="array" ref="X48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86" s="9">
        <f>MAX(kmin, kmax - 0.15 * MIN(Games[[#This Row],[GamesPlayed]], 82))</f>
        <v>70.599999999999994</v>
      </c>
      <c r="Z486" s="4">
        <f>Games[[#This Row],[K]]*Games[[#This Row],[POMult]]</f>
        <v>77.66</v>
      </c>
      <c r="AA486" s="4">
        <f>(Games[[#This Row],[Keff]]*Games[[#This Row],[MOVMult]])*(Games[[#This Row],[Result]]-Games[[#This Row],[ExpectedWin%]])</f>
        <v>15.096203056600306</v>
      </c>
      <c r="AB486" s="4">
        <f>Games[[#This Row],[PreGmRate]]+Games[[#This Row],[RatingChange]]</f>
        <v>1545.2283315766254</v>
      </c>
      <c r="AC486" s="2">
        <f>IF(Games[[#This Row],[Type]]="R",IF(Games[[#This Row],[Result]]&gt;0.5,1,0),0)</f>
        <v>0</v>
      </c>
      <c r="AD486" s="2">
        <f>IF(Games[[#This Row],[Type]]="R",IF(Games[[#This Row],[Result]]&lt;0.5,1,0),0)</f>
        <v>0</v>
      </c>
      <c r="AE486" s="2">
        <f>IF(AND(Games[[#This Row],[Type]]="P",Games[[#This Row],[Round]]=1),IF(Games[[#This Row],[Result]]&gt;0.5,1,0),0)</f>
        <v>1</v>
      </c>
      <c r="AF486" s="2">
        <f>IF(AND(Games[[#This Row],[Type]]="P",Games[[#This Row],[Round]]=1),IF(Games[[#This Row],[Result]]&lt;0.5,1,0),0)</f>
        <v>0</v>
      </c>
      <c r="AG486" s="2">
        <f>IF(AND(Games[[#This Row],[Type]]="P",Games[[#This Row],[Round]]=2),IF(Games[[#This Row],[Result]]&gt;0.5,1,0),0)</f>
        <v>0</v>
      </c>
      <c r="AH486" s="2">
        <f>IF(AND(Games[[#This Row],[Type]]="P",Games[[#This Row],[Round]]=2),IF(Games[[#This Row],[Result]]&lt;0.5,1,0),0)</f>
        <v>0</v>
      </c>
      <c r="AI486" s="2">
        <f>IF(AND(Games[[#This Row],[Type]]="P",Games[[#This Row],[Round]]=3),IF(Games[[#This Row],[Result]]&gt;0.5,1,0),0)</f>
        <v>0</v>
      </c>
      <c r="AJ486" s="2">
        <f>IF(AND(Games[[#This Row],[Type]]="P",Games[[#This Row],[Round]]=3),IF(Games[[#This Row],[Result]]&lt;0.5,1,0),0)</f>
        <v>0</v>
      </c>
      <c r="AK486" s="2">
        <f>IF(AND(Games[[#This Row],[Type]]="P",Games[[#This Row],[Round]]=4),IF(Games[[#This Row],[Result]]&gt;0.5,1,0),0)</f>
        <v>0</v>
      </c>
      <c r="AL486" s="2">
        <f>IF(AND(Games[[#This Row],[Type]]="P",Games[[#This Row],[Round]]=4),IF(Games[[#This Row],[Result]]&lt;0.5,1,0),0)</f>
        <v>0</v>
      </c>
    </row>
    <row r="487" spans="1:38" x14ac:dyDescent="0.35">
      <c r="A487" s="10">
        <v>37863</v>
      </c>
      <c r="B487" s="2">
        <v>2003</v>
      </c>
      <c r="C487" s="2">
        <f>COUNTIFS(Games[Team],Games[[#This Row],[Team]],Games[Season],Games[[#This Row],[Season]],Games[Date],"&lt;=" &amp; Games[[#This Row],[Date]])</f>
        <v>36</v>
      </c>
      <c r="D487" s="2" t="s">
        <v>46</v>
      </c>
      <c r="E487" s="2">
        <v>1</v>
      </c>
      <c r="F487" s="1" t="s">
        <v>64</v>
      </c>
      <c r="G487" s="1" t="s">
        <v>87</v>
      </c>
      <c r="H487" s="1" t="s">
        <v>15</v>
      </c>
      <c r="I487" s="2" cm="1">
        <f t="array" ref="I487">IFERROR(
    Games[[#This Row],[Date]]
    - LOOKUP(
        2,
        1/((Games[Team]=Games[[#This Row],[Team]]) * (Games[Date] &lt; Games[[#This Row],[Date]])),
        Games[Date]
    )
    - 1,
Games[[#This Row],[Date]]-$A$2)</f>
        <v>1</v>
      </c>
      <c r="J487" s="2" cm="1">
        <f t="array" ref="J48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87" s="2">
        <f>Games[[#This Row],[DaysOff]]-Games[[#This Row],[OppDaysOff]]</f>
        <v>0</v>
      </c>
      <c r="L487" s="2">
        <f>Games[[#This Row],[OppDaysOff]]-Games[[#This Row],[DaysOff]]</f>
        <v>0</v>
      </c>
      <c r="M487" s="1">
        <f>MAX(-16, MIN(16, Games[[#This Row],[RestDiff]]*8))</f>
        <v>0</v>
      </c>
      <c r="N487" s="1">
        <f>MAX(-16, MIN(16, Games[[#This Row],[OppRestDiff]]*8))</f>
        <v>0</v>
      </c>
      <c r="O487" s="4" cm="1">
        <f t="array" ref="O48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1494.8424200110837</v>
      </c>
      <c r="P487" s="4" cm="1">
        <f t="array" ref="P48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1530.1321285200249</v>
      </c>
      <c r="Q487" s="4">
        <f>1/(1+10^(((Games[[#This Row],[OppPreGmRate]]+IF(Games[[#This Row],[HomeAway]]="A",HCA,0)+Games[[#This Row],[OppRestAdj]])-(Games[[#This Row],[PreGmRate]]+IF(Games[[#This Row],[HomeAway]]="H",HCA,0)+Games[[#This Row],[RestAdj]]))/400))</f>
        <v>0.56964403591193491</v>
      </c>
      <c r="R487" s="1">
        <v>62</v>
      </c>
      <c r="S487" s="1">
        <v>68</v>
      </c>
      <c r="T487" s="1">
        <v>0</v>
      </c>
      <c r="U487" s="1">
        <f>Games[[#This Row],[PointsFor]]-Games[[#This Row],[PointsAgainst]]</f>
        <v>-6</v>
      </c>
      <c r="V487" s="1">
        <f>IF(Games[[#This Row],[MOV]]&gt;0,1,IF(Games[[#This Row],[MOV]]=0,0.5,0))</f>
        <v>0</v>
      </c>
      <c r="W487" s="4">
        <f>((ABS(Games[[#This Row],[MOV]])+5)^0.6)/(12+0.01*(ABS(Games[[#This Row],[PreGmRate]]-Games[[#This Row],[OppPreGmRate]])))*IF(Games[[#This Row],[OT]]=1,0.9,1)</f>
        <v>0.34124538592489934</v>
      </c>
      <c r="X487" s="7" cm="1">
        <f t="array" ref="X48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87" s="9">
        <f>MAX(kmin, kmax - 0.15 * MIN(Games[[#This Row],[GamesPlayed]], 82))</f>
        <v>70.599999999999994</v>
      </c>
      <c r="Z487" s="4">
        <f>Games[[#This Row],[K]]*Games[[#This Row],[POMult]]</f>
        <v>77.66</v>
      </c>
      <c r="AA487" s="4">
        <f>(Games[[#This Row],[Keff]]*Games[[#This Row],[MOVMult]])*(Games[[#This Row],[Result]]-Games[[#This Row],[ExpectedWin%]])</f>
        <v>-15.096203056600306</v>
      </c>
      <c r="AB487" s="4">
        <f>Games[[#This Row],[PreGmRate]]+Games[[#This Row],[RatingChange]]</f>
        <v>1479.7462169544833</v>
      </c>
      <c r="AC487" s="2">
        <f>IF(Games[[#This Row],[Type]]="R",IF(Games[[#This Row],[Result]]&gt;0.5,1,0),0)</f>
        <v>0</v>
      </c>
      <c r="AD487" s="2">
        <f>IF(Games[[#This Row],[Type]]="R",IF(Games[[#This Row],[Result]]&lt;0.5,1,0),0)</f>
        <v>0</v>
      </c>
      <c r="AE487" s="2">
        <f>IF(AND(Games[[#This Row],[Type]]="P",Games[[#This Row],[Round]]=1),IF(Games[[#This Row],[Result]]&gt;0.5,1,0),0)</f>
        <v>0</v>
      </c>
      <c r="AF487" s="2">
        <f>IF(AND(Games[[#This Row],[Type]]="P",Games[[#This Row],[Round]]=1),IF(Games[[#This Row],[Result]]&lt;0.5,1,0),0)</f>
        <v>1</v>
      </c>
      <c r="AG487" s="2">
        <f>IF(AND(Games[[#This Row],[Type]]="P",Games[[#This Row],[Round]]=2),IF(Games[[#This Row],[Result]]&gt;0.5,1,0),0)</f>
        <v>0</v>
      </c>
      <c r="AH487" s="2">
        <f>IF(AND(Games[[#This Row],[Type]]="P",Games[[#This Row],[Round]]=2),IF(Games[[#This Row],[Result]]&lt;0.5,1,0),0)</f>
        <v>0</v>
      </c>
      <c r="AI487" s="2">
        <f>IF(AND(Games[[#This Row],[Type]]="P",Games[[#This Row],[Round]]=3),IF(Games[[#This Row],[Result]]&gt;0.5,1,0),0)</f>
        <v>0</v>
      </c>
      <c r="AJ487" s="2">
        <f>IF(AND(Games[[#This Row],[Type]]="P",Games[[#This Row],[Round]]=3),IF(Games[[#This Row],[Result]]&lt;0.5,1,0),0)</f>
        <v>0</v>
      </c>
      <c r="AK487" s="2">
        <f>IF(AND(Games[[#This Row],[Type]]="P",Games[[#This Row],[Round]]=4),IF(Games[[#This Row],[Result]]&gt;0.5,1,0),0)</f>
        <v>0</v>
      </c>
      <c r="AL487" s="2">
        <f>IF(AND(Games[[#This Row],[Type]]="P",Games[[#This Row],[Round]]=4),IF(Games[[#This Row],[Result]]&lt;0.5,1,0),0)</f>
        <v>0</v>
      </c>
    </row>
    <row r="488" spans="1:38" x14ac:dyDescent="0.35">
      <c r="A488" s="10">
        <v>37863</v>
      </c>
      <c r="B488" s="2">
        <v>2003</v>
      </c>
      <c r="C488" s="2">
        <f>COUNTIFS(Games[Team],Games[[#This Row],[Team]],Games[Season],Games[[#This Row],[Season]],Games[Date],"&lt;=" &amp; Games[[#This Row],[Date]])</f>
        <v>36</v>
      </c>
      <c r="D488" s="2" t="s">
        <v>46</v>
      </c>
      <c r="E488" s="2">
        <v>1</v>
      </c>
      <c r="F488" s="1" t="s">
        <v>78</v>
      </c>
      <c r="G488" s="1" t="s">
        <v>71</v>
      </c>
      <c r="H488" s="1" t="s">
        <v>16</v>
      </c>
      <c r="I488" s="2" cm="1">
        <f t="array" ref="I488">IFERROR(
    Games[[#This Row],[Date]]
    - LOOKUP(
        2,
        1/((Games[Team]=Games[[#This Row],[Team]]) * (Games[Date] &lt; Games[[#This Row],[Date]])),
        Games[Date]
    )
    - 1,
Games[[#This Row],[Date]]-$A$2)</f>
        <v>1</v>
      </c>
      <c r="J488" s="2" cm="1">
        <f t="array" ref="J48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88" s="2">
        <f>Games[[#This Row],[DaysOff]]-Games[[#This Row],[OppDaysOff]]</f>
        <v>0</v>
      </c>
      <c r="L488" s="2">
        <f>Games[[#This Row],[OppDaysOff]]-Games[[#This Row],[DaysOff]]</f>
        <v>0</v>
      </c>
      <c r="M488" s="1">
        <f>MAX(-16, MIN(16, Games[[#This Row],[RestDiff]]*8))</f>
        <v>0</v>
      </c>
      <c r="N488" s="1">
        <f>MAX(-16, MIN(16, Games[[#This Row],[OppRestDiff]]*8))</f>
        <v>0</v>
      </c>
      <c r="O488" s="4" cm="1">
        <f t="array" ref="O48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1506.4142082830347</v>
      </c>
      <c r="P488" s="4" cm="1">
        <f t="array" ref="P48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1601.9381125456562</v>
      </c>
      <c r="Q488" s="4">
        <f>1/(1+10^(((Games[[#This Row],[OppPreGmRate]]+IF(Games[[#This Row],[HomeAway]]="A",HCA,0)+Games[[#This Row],[OppRestAdj]])-(Games[[#This Row],[PreGmRate]]+IF(Games[[#This Row],[HomeAway]]="H",HCA,0)+Games[[#This Row],[RestAdj]]))/400))</f>
        <v>0.26242108754312071</v>
      </c>
      <c r="R488" s="1">
        <v>69</v>
      </c>
      <c r="S488" s="1">
        <v>80</v>
      </c>
      <c r="T488" s="1">
        <v>0</v>
      </c>
      <c r="U488" s="1">
        <f>Games[[#This Row],[PointsFor]]-Games[[#This Row],[PointsAgainst]]</f>
        <v>-11</v>
      </c>
      <c r="V488" s="1">
        <f>IF(Games[[#This Row],[MOV]]&gt;0,1,IF(Games[[#This Row],[MOV]]=0,0.5,0))</f>
        <v>0</v>
      </c>
      <c r="W488" s="4">
        <f>((ABS(Games[[#This Row],[MOV]])+5)^0.6)/(12+0.01*(ABS(Games[[#This Row],[PreGmRate]]-Games[[#This Row],[OppPreGmRate]])))*IF(Games[[#This Row],[OT]]=1,0.9,1)</f>
        <v>0.4074051915001673</v>
      </c>
      <c r="X488" s="7" cm="1">
        <f t="array" ref="X48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88" s="9">
        <f>MAX(kmin, kmax - 0.15 * MIN(Games[[#This Row],[GamesPlayed]], 82))</f>
        <v>70.599999999999994</v>
      </c>
      <c r="Z488" s="4">
        <f>Games[[#This Row],[K]]*Games[[#This Row],[POMult]]</f>
        <v>77.66</v>
      </c>
      <c r="AA488" s="4">
        <f>(Games[[#This Row],[Keff]]*Games[[#This Row],[MOVMult]])*(Games[[#This Row],[Result]]-Games[[#This Row],[ExpectedWin%]])</f>
        <v>-8.3027636645223826</v>
      </c>
      <c r="AB488" s="4">
        <f>Games[[#This Row],[PreGmRate]]+Games[[#This Row],[RatingChange]]</f>
        <v>1498.1114446185122</v>
      </c>
      <c r="AC488" s="2">
        <f>IF(Games[[#This Row],[Type]]="R",IF(Games[[#This Row],[Result]]&gt;0.5,1,0),0)</f>
        <v>0</v>
      </c>
      <c r="AD488" s="2">
        <f>IF(Games[[#This Row],[Type]]="R",IF(Games[[#This Row],[Result]]&lt;0.5,1,0),0)</f>
        <v>0</v>
      </c>
      <c r="AE488" s="2">
        <f>IF(AND(Games[[#This Row],[Type]]="P",Games[[#This Row],[Round]]=1),IF(Games[[#This Row],[Result]]&gt;0.5,1,0),0)</f>
        <v>0</v>
      </c>
      <c r="AF488" s="2">
        <f>IF(AND(Games[[#This Row],[Type]]="P",Games[[#This Row],[Round]]=1),IF(Games[[#This Row],[Result]]&lt;0.5,1,0),0)</f>
        <v>1</v>
      </c>
      <c r="AG488" s="2">
        <f>IF(AND(Games[[#This Row],[Type]]="P",Games[[#This Row],[Round]]=2),IF(Games[[#This Row],[Result]]&gt;0.5,1,0),0)</f>
        <v>0</v>
      </c>
      <c r="AH488" s="2">
        <f>IF(AND(Games[[#This Row],[Type]]="P",Games[[#This Row],[Round]]=2),IF(Games[[#This Row],[Result]]&lt;0.5,1,0),0)</f>
        <v>0</v>
      </c>
      <c r="AI488" s="2">
        <f>IF(AND(Games[[#This Row],[Type]]="P",Games[[#This Row],[Round]]=3),IF(Games[[#This Row],[Result]]&gt;0.5,1,0),0)</f>
        <v>0</v>
      </c>
      <c r="AJ488" s="2">
        <f>IF(AND(Games[[#This Row],[Type]]="P",Games[[#This Row],[Round]]=3),IF(Games[[#This Row],[Result]]&lt;0.5,1,0),0)</f>
        <v>0</v>
      </c>
      <c r="AK488" s="2">
        <f>IF(AND(Games[[#This Row],[Type]]="P",Games[[#This Row],[Round]]=4),IF(Games[[#This Row],[Result]]&gt;0.5,1,0),0)</f>
        <v>0</v>
      </c>
      <c r="AL488" s="2">
        <f>IF(AND(Games[[#This Row],[Type]]="P",Games[[#This Row],[Round]]=4),IF(Games[[#This Row],[Result]]&lt;0.5,1,0),0)</f>
        <v>0</v>
      </c>
    </row>
    <row r="489" spans="1:38" x14ac:dyDescent="0.35">
      <c r="A489" s="10">
        <v>37863</v>
      </c>
      <c r="B489" s="2">
        <v>2003</v>
      </c>
      <c r="C489" s="2">
        <f>COUNTIFS(Games[Team],Games[[#This Row],[Team]],Games[Season],Games[[#This Row],[Season]],Games[Date],"&lt;=" &amp; Games[[#This Row],[Date]])</f>
        <v>36</v>
      </c>
      <c r="D489" s="2" t="s">
        <v>46</v>
      </c>
      <c r="E489" s="2">
        <v>1</v>
      </c>
      <c r="F489" s="1" t="s">
        <v>71</v>
      </c>
      <c r="G489" s="1" t="s">
        <v>78</v>
      </c>
      <c r="H489" s="1" t="s">
        <v>15</v>
      </c>
      <c r="I489" s="2" cm="1">
        <f t="array" ref="I489">IFERROR(
    Games[[#This Row],[Date]]
    - LOOKUP(
        2,
        1/((Games[Team]=Games[[#This Row],[Team]]) * (Games[Date] &lt; Games[[#This Row],[Date]])),
        Games[Date]
    )
    - 1,
Games[[#This Row],[Date]]-$A$2)</f>
        <v>1</v>
      </c>
      <c r="J489" s="2" cm="1">
        <f t="array" ref="J48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89" s="2">
        <f>Games[[#This Row],[DaysOff]]-Games[[#This Row],[OppDaysOff]]</f>
        <v>0</v>
      </c>
      <c r="L489" s="2">
        <f>Games[[#This Row],[OppDaysOff]]-Games[[#This Row],[DaysOff]]</f>
        <v>0</v>
      </c>
      <c r="M489" s="1">
        <f>MAX(-16, MIN(16, Games[[#This Row],[RestDiff]]*8))</f>
        <v>0</v>
      </c>
      <c r="N489" s="1">
        <f>MAX(-16, MIN(16, Games[[#This Row],[OppRestDiff]]*8))</f>
        <v>0</v>
      </c>
      <c r="O489" s="4" cm="1">
        <f t="array" ref="O48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1601.9381125456562</v>
      </c>
      <c r="P489" s="4" cm="1">
        <f t="array" ref="P48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1506.4142082830347</v>
      </c>
      <c r="Q489" s="4">
        <f>1/(1+10^(((Games[[#This Row],[OppPreGmRate]]+IF(Games[[#This Row],[HomeAway]]="A",HCA,0)+Games[[#This Row],[OppRestAdj]])-(Games[[#This Row],[PreGmRate]]+IF(Games[[#This Row],[HomeAway]]="H",HCA,0)+Games[[#This Row],[RestAdj]]))/400))</f>
        <v>0.73757891245687923</v>
      </c>
      <c r="R489" s="1">
        <v>80</v>
      </c>
      <c r="S489" s="1">
        <v>69</v>
      </c>
      <c r="T489" s="1">
        <v>0</v>
      </c>
      <c r="U489" s="1">
        <f>Games[[#This Row],[PointsFor]]-Games[[#This Row],[PointsAgainst]]</f>
        <v>11</v>
      </c>
      <c r="V489" s="1">
        <f>IF(Games[[#This Row],[MOV]]&gt;0,1,IF(Games[[#This Row],[MOV]]=0,0.5,0))</f>
        <v>1</v>
      </c>
      <c r="W489" s="4">
        <f>((ABS(Games[[#This Row],[MOV]])+5)^0.6)/(12+0.01*(ABS(Games[[#This Row],[PreGmRate]]-Games[[#This Row],[OppPreGmRate]])))*IF(Games[[#This Row],[OT]]=1,0.9,1)</f>
        <v>0.4074051915001673</v>
      </c>
      <c r="X489" s="7" cm="1">
        <f t="array" ref="X48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89" s="9">
        <f>MAX(kmin, kmax - 0.15 * MIN(Games[[#This Row],[GamesPlayed]], 82))</f>
        <v>70.599999999999994</v>
      </c>
      <c r="Z489" s="4">
        <f>Games[[#This Row],[K]]*Games[[#This Row],[POMult]]</f>
        <v>77.66</v>
      </c>
      <c r="AA489" s="4">
        <f>(Games[[#This Row],[Keff]]*Games[[#This Row],[MOVMult]])*(Games[[#This Row],[Result]]-Games[[#This Row],[ExpectedWin%]])</f>
        <v>8.3027636645223843</v>
      </c>
      <c r="AB489" s="4">
        <f>Games[[#This Row],[PreGmRate]]+Games[[#This Row],[RatingChange]]</f>
        <v>1610.2408762101786</v>
      </c>
      <c r="AC489" s="2">
        <f>IF(Games[[#This Row],[Type]]="R",IF(Games[[#This Row],[Result]]&gt;0.5,1,0),0)</f>
        <v>0</v>
      </c>
      <c r="AD489" s="2">
        <f>IF(Games[[#This Row],[Type]]="R",IF(Games[[#This Row],[Result]]&lt;0.5,1,0),0)</f>
        <v>0</v>
      </c>
      <c r="AE489" s="2">
        <f>IF(AND(Games[[#This Row],[Type]]="P",Games[[#This Row],[Round]]=1),IF(Games[[#This Row],[Result]]&gt;0.5,1,0),0)</f>
        <v>1</v>
      </c>
      <c r="AF489" s="2">
        <f>IF(AND(Games[[#This Row],[Type]]="P",Games[[#This Row],[Round]]=1),IF(Games[[#This Row],[Result]]&lt;0.5,1,0),0)</f>
        <v>0</v>
      </c>
      <c r="AG489" s="2">
        <f>IF(AND(Games[[#This Row],[Type]]="P",Games[[#This Row],[Round]]=2),IF(Games[[#This Row],[Result]]&gt;0.5,1,0),0)</f>
        <v>0</v>
      </c>
      <c r="AH489" s="2">
        <f>IF(AND(Games[[#This Row],[Type]]="P",Games[[#This Row],[Round]]=2),IF(Games[[#This Row],[Result]]&lt;0.5,1,0),0)</f>
        <v>0</v>
      </c>
      <c r="AI489" s="2">
        <f>IF(AND(Games[[#This Row],[Type]]="P",Games[[#This Row],[Round]]=3),IF(Games[[#This Row],[Result]]&gt;0.5,1,0),0)</f>
        <v>0</v>
      </c>
      <c r="AJ489" s="2">
        <f>IF(AND(Games[[#This Row],[Type]]="P",Games[[#This Row],[Round]]=3),IF(Games[[#This Row],[Result]]&lt;0.5,1,0),0)</f>
        <v>0</v>
      </c>
      <c r="AK489" s="2">
        <f>IF(AND(Games[[#This Row],[Type]]="P",Games[[#This Row],[Round]]=4),IF(Games[[#This Row],[Result]]&gt;0.5,1,0),0)</f>
        <v>0</v>
      </c>
      <c r="AL489" s="2">
        <f>IF(AND(Games[[#This Row],[Type]]="P",Games[[#This Row],[Round]]=4),IF(Games[[#This Row],[Result]]&lt;0.5,1,0),0)</f>
        <v>0</v>
      </c>
    </row>
    <row r="490" spans="1:38" x14ac:dyDescent="0.35">
      <c r="A490" s="10">
        <v>37864</v>
      </c>
      <c r="B490" s="2">
        <v>2003</v>
      </c>
      <c r="C490" s="2">
        <f>COUNTIFS(Games[Team],Games[[#This Row],[Team]],Games[Season],Games[[#This Row],[Season]],Games[Date],"&lt;=" &amp; Games[[#This Row],[Date]])</f>
        <v>36</v>
      </c>
      <c r="D490" s="2" t="s">
        <v>46</v>
      </c>
      <c r="E490" s="2">
        <v>1</v>
      </c>
      <c r="F490" s="1" t="s">
        <v>1</v>
      </c>
      <c r="G490" s="1" t="s">
        <v>76</v>
      </c>
      <c r="H490" s="1" t="s">
        <v>16</v>
      </c>
      <c r="I490" s="2" cm="1">
        <f t="array" ref="I490">IFERROR(
    Games[[#This Row],[Date]]
    - LOOKUP(
        2,
        1/((Games[Team]=Games[[#This Row],[Team]]) * (Games[Date] &lt; Games[[#This Row],[Date]])),
        Games[Date]
    )
    - 1,
Games[[#This Row],[Date]]-$A$2)</f>
        <v>1</v>
      </c>
      <c r="J490" s="2" cm="1">
        <f t="array" ref="J49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90" s="2">
        <f>Games[[#This Row],[DaysOff]]-Games[[#This Row],[OppDaysOff]]</f>
        <v>0</v>
      </c>
      <c r="L490" s="2">
        <f>Games[[#This Row],[OppDaysOff]]-Games[[#This Row],[DaysOff]]</f>
        <v>0</v>
      </c>
      <c r="M490" s="1">
        <f>MAX(-16, MIN(16, Games[[#This Row],[RestDiff]]*8))</f>
        <v>0</v>
      </c>
      <c r="N490" s="1">
        <f>MAX(-16, MIN(16, Games[[#This Row],[OppRestDiff]]*8))</f>
        <v>0</v>
      </c>
      <c r="O490" s="4" cm="1">
        <f t="array" ref="O49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1464.0934287510968</v>
      </c>
      <c r="P490" s="4" cm="1">
        <f t="array" ref="P49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1620.024756622757</v>
      </c>
      <c r="Q490" s="4">
        <f>1/(1+10^(((Games[[#This Row],[OppPreGmRate]]+IF(Games[[#This Row],[HomeAway]]="A",HCA,0)+Games[[#This Row],[OppRestAdj]])-(Games[[#This Row],[PreGmRate]]+IF(Games[[#This Row],[HomeAway]]="H",HCA,0)+Games[[#This Row],[RestAdj]]))/400))</f>
        <v>0.20082344581844597</v>
      </c>
      <c r="R490" s="1">
        <v>66</v>
      </c>
      <c r="S490" s="1">
        <v>59</v>
      </c>
      <c r="T490" s="1">
        <v>0</v>
      </c>
      <c r="U490" s="1">
        <f>Games[[#This Row],[PointsFor]]-Games[[#This Row],[PointsAgainst]]</f>
        <v>7</v>
      </c>
      <c r="V490" s="1">
        <f>IF(Games[[#This Row],[MOV]]&gt;0,1,IF(Games[[#This Row],[MOV]]=0,0.5,0))</f>
        <v>1</v>
      </c>
      <c r="W490" s="4">
        <f>((ABS(Games[[#This Row],[MOV]])+5)^0.6)/(12+0.01*(ABS(Games[[#This Row],[PreGmRate]]-Games[[#This Row],[OppPreGmRate]])))*IF(Games[[#This Row],[OT]]=1,0.9,1)</f>
        <v>0.32754505914522325</v>
      </c>
      <c r="X490" s="7" cm="1">
        <f t="array" ref="X49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90" s="9">
        <f>MAX(kmin, kmax - 0.15 * MIN(Games[[#This Row],[GamesPlayed]], 82))</f>
        <v>70.599999999999994</v>
      </c>
      <c r="Z490" s="4">
        <f>Games[[#This Row],[K]]*Games[[#This Row],[POMult]]</f>
        <v>77.66</v>
      </c>
      <c r="AA490" s="4">
        <f>(Games[[#This Row],[Keff]]*Games[[#This Row],[MOVMult]])*(Games[[#This Row],[Result]]-Games[[#This Row],[ExpectedWin%]])</f>
        <v>20.328773320355747</v>
      </c>
      <c r="AB490" s="4">
        <f>Games[[#This Row],[PreGmRate]]+Games[[#This Row],[RatingChange]]</f>
        <v>1484.4222020714526</v>
      </c>
      <c r="AC490" s="2">
        <f>IF(Games[[#This Row],[Type]]="R",IF(Games[[#This Row],[Result]]&gt;0.5,1,0),0)</f>
        <v>0</v>
      </c>
      <c r="AD490" s="2">
        <f>IF(Games[[#This Row],[Type]]="R",IF(Games[[#This Row],[Result]]&lt;0.5,1,0),0)</f>
        <v>0</v>
      </c>
      <c r="AE490" s="2">
        <f>IF(AND(Games[[#This Row],[Type]]="P",Games[[#This Row],[Round]]=1),IF(Games[[#This Row],[Result]]&gt;0.5,1,0),0)</f>
        <v>1</v>
      </c>
      <c r="AF490" s="2">
        <f>IF(AND(Games[[#This Row],[Type]]="P",Games[[#This Row],[Round]]=1),IF(Games[[#This Row],[Result]]&lt;0.5,1,0),0)</f>
        <v>0</v>
      </c>
      <c r="AG490" s="2">
        <f>IF(AND(Games[[#This Row],[Type]]="P",Games[[#This Row],[Round]]=2),IF(Games[[#This Row],[Result]]&gt;0.5,1,0),0)</f>
        <v>0</v>
      </c>
      <c r="AH490" s="2">
        <f>IF(AND(Games[[#This Row],[Type]]="P",Games[[#This Row],[Round]]=2),IF(Games[[#This Row],[Result]]&lt;0.5,1,0),0)</f>
        <v>0</v>
      </c>
      <c r="AI490" s="2">
        <f>IF(AND(Games[[#This Row],[Type]]="P",Games[[#This Row],[Round]]=3),IF(Games[[#This Row],[Result]]&gt;0.5,1,0),0)</f>
        <v>0</v>
      </c>
      <c r="AJ490" s="2">
        <f>IF(AND(Games[[#This Row],[Type]]="P",Games[[#This Row],[Round]]=3),IF(Games[[#This Row],[Result]]&lt;0.5,1,0),0)</f>
        <v>0</v>
      </c>
      <c r="AK490" s="2">
        <f>IF(AND(Games[[#This Row],[Type]]="P",Games[[#This Row],[Round]]=4),IF(Games[[#This Row],[Result]]&gt;0.5,1,0),0)</f>
        <v>0</v>
      </c>
      <c r="AL490" s="2">
        <f>IF(AND(Games[[#This Row],[Type]]="P",Games[[#This Row],[Round]]=4),IF(Games[[#This Row],[Result]]&lt;0.5,1,0),0)</f>
        <v>0</v>
      </c>
    </row>
    <row r="491" spans="1:38" x14ac:dyDescent="0.35">
      <c r="A491" s="10">
        <v>37864</v>
      </c>
      <c r="B491" s="2">
        <v>2003</v>
      </c>
      <c r="C491" s="2">
        <f>COUNTIFS(Games[Team],Games[[#This Row],[Team]],Games[Season],Games[[#This Row],[Season]],Games[Date],"&lt;=" &amp; Games[[#This Row],[Date]])</f>
        <v>36</v>
      </c>
      <c r="D491" s="2" t="s">
        <v>46</v>
      </c>
      <c r="E491" s="2">
        <v>1</v>
      </c>
      <c r="F491" s="1" t="s">
        <v>76</v>
      </c>
      <c r="G491" s="1" t="s">
        <v>1</v>
      </c>
      <c r="H491" s="1" t="s">
        <v>15</v>
      </c>
      <c r="I491" s="2" cm="1">
        <f t="array" ref="I491">IFERROR(
    Games[[#This Row],[Date]]
    - LOOKUP(
        2,
        1/((Games[Team]=Games[[#This Row],[Team]]) * (Games[Date] &lt; Games[[#This Row],[Date]])),
        Games[Date]
    )
    - 1,
Games[[#This Row],[Date]]-$A$2)</f>
        <v>1</v>
      </c>
      <c r="J491" s="2" cm="1">
        <f t="array" ref="J49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91" s="2">
        <f>Games[[#This Row],[DaysOff]]-Games[[#This Row],[OppDaysOff]]</f>
        <v>0</v>
      </c>
      <c r="L491" s="2">
        <f>Games[[#This Row],[OppDaysOff]]-Games[[#This Row],[DaysOff]]</f>
        <v>0</v>
      </c>
      <c r="M491" s="1">
        <f>MAX(-16, MIN(16, Games[[#This Row],[RestDiff]]*8))</f>
        <v>0</v>
      </c>
      <c r="N491" s="1">
        <f>MAX(-16, MIN(16, Games[[#This Row],[OppRestDiff]]*8))</f>
        <v>0</v>
      </c>
      <c r="O491" s="4" cm="1">
        <f t="array" ref="O49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1620.024756622757</v>
      </c>
      <c r="P491" s="4" cm="1">
        <f t="array" ref="P49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1464.0934287510968</v>
      </c>
      <c r="Q491" s="4">
        <f>1/(1+10^(((Games[[#This Row],[OppPreGmRate]]+IF(Games[[#This Row],[HomeAway]]="A",HCA,0)+Games[[#This Row],[OppRestAdj]])-(Games[[#This Row],[PreGmRate]]+IF(Games[[#This Row],[HomeAway]]="H",HCA,0)+Games[[#This Row],[RestAdj]]))/400))</f>
        <v>0.79917655418155409</v>
      </c>
      <c r="R491" s="1">
        <v>59</v>
      </c>
      <c r="S491" s="1">
        <v>66</v>
      </c>
      <c r="T491" s="1">
        <v>0</v>
      </c>
      <c r="U491" s="1">
        <f>Games[[#This Row],[PointsFor]]-Games[[#This Row],[PointsAgainst]]</f>
        <v>-7</v>
      </c>
      <c r="V491" s="1">
        <f>IF(Games[[#This Row],[MOV]]&gt;0,1,IF(Games[[#This Row],[MOV]]=0,0.5,0))</f>
        <v>0</v>
      </c>
      <c r="W491" s="4">
        <f>((ABS(Games[[#This Row],[MOV]])+5)^0.6)/(12+0.01*(ABS(Games[[#This Row],[PreGmRate]]-Games[[#This Row],[OppPreGmRate]])))*IF(Games[[#This Row],[OT]]=1,0.9,1)</f>
        <v>0.32754505914522325</v>
      </c>
      <c r="X491" s="7" cm="1">
        <f t="array" ref="X49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91" s="9">
        <f>MAX(kmin, kmax - 0.15 * MIN(Games[[#This Row],[GamesPlayed]], 82))</f>
        <v>70.599999999999994</v>
      </c>
      <c r="Z491" s="4">
        <f>Games[[#This Row],[K]]*Games[[#This Row],[POMult]]</f>
        <v>77.66</v>
      </c>
      <c r="AA491" s="4">
        <f>(Games[[#This Row],[Keff]]*Games[[#This Row],[MOVMult]])*(Games[[#This Row],[Result]]-Games[[#This Row],[ExpectedWin%]])</f>
        <v>-20.328773320355747</v>
      </c>
      <c r="AB491" s="4">
        <f>Games[[#This Row],[PreGmRate]]+Games[[#This Row],[RatingChange]]</f>
        <v>1599.6959833024011</v>
      </c>
      <c r="AC491" s="2">
        <f>IF(Games[[#This Row],[Type]]="R",IF(Games[[#This Row],[Result]]&gt;0.5,1,0),0)</f>
        <v>0</v>
      </c>
      <c r="AD491" s="2">
        <f>IF(Games[[#This Row],[Type]]="R",IF(Games[[#This Row],[Result]]&lt;0.5,1,0),0)</f>
        <v>0</v>
      </c>
      <c r="AE491" s="2">
        <f>IF(AND(Games[[#This Row],[Type]]="P",Games[[#This Row],[Round]]=1),IF(Games[[#This Row],[Result]]&gt;0.5,1,0),0)</f>
        <v>0</v>
      </c>
      <c r="AF491" s="2">
        <f>IF(AND(Games[[#This Row],[Type]]="P",Games[[#This Row],[Round]]=1),IF(Games[[#This Row],[Result]]&lt;0.5,1,0),0)</f>
        <v>1</v>
      </c>
      <c r="AG491" s="2">
        <f>IF(AND(Games[[#This Row],[Type]]="P",Games[[#This Row],[Round]]=2),IF(Games[[#This Row],[Result]]&gt;0.5,1,0),0)</f>
        <v>0</v>
      </c>
      <c r="AH491" s="2">
        <f>IF(AND(Games[[#This Row],[Type]]="P",Games[[#This Row],[Round]]=2),IF(Games[[#This Row],[Result]]&lt;0.5,1,0),0)</f>
        <v>0</v>
      </c>
      <c r="AI491" s="2">
        <f>IF(AND(Games[[#This Row],[Type]]="P",Games[[#This Row],[Round]]=3),IF(Games[[#This Row],[Result]]&gt;0.5,1,0),0)</f>
        <v>0</v>
      </c>
      <c r="AJ491" s="2">
        <f>IF(AND(Games[[#This Row],[Type]]="P",Games[[#This Row],[Round]]=3),IF(Games[[#This Row],[Result]]&lt;0.5,1,0),0)</f>
        <v>0</v>
      </c>
      <c r="AK491" s="2">
        <f>IF(AND(Games[[#This Row],[Type]]="P",Games[[#This Row],[Round]]=4),IF(Games[[#This Row],[Result]]&gt;0.5,1,0),0)</f>
        <v>0</v>
      </c>
      <c r="AL491" s="2">
        <f>IF(AND(Games[[#This Row],[Type]]="P",Games[[#This Row],[Round]]=4),IF(Games[[#This Row],[Result]]&lt;0.5,1,0),0)</f>
        <v>0</v>
      </c>
    </row>
    <row r="492" spans="1:38" x14ac:dyDescent="0.35">
      <c r="A492" s="10">
        <v>37864</v>
      </c>
      <c r="B492" s="2">
        <v>2003</v>
      </c>
      <c r="C492" s="2">
        <f>COUNTIFS(Games[Team],Games[[#This Row],[Team]],Games[Season],Games[[#This Row],[Season]],Games[Date],"&lt;=" &amp; Games[[#This Row],[Date]])</f>
        <v>36</v>
      </c>
      <c r="D492" s="2" t="s">
        <v>46</v>
      </c>
      <c r="E492" s="2">
        <v>1</v>
      </c>
      <c r="F492" s="1" t="s">
        <v>45</v>
      </c>
      <c r="G492" s="1" t="s">
        <v>2</v>
      </c>
      <c r="H492" s="1" t="s">
        <v>16</v>
      </c>
      <c r="I492" s="2" cm="1">
        <f t="array" ref="I492">IFERROR(
    Games[[#This Row],[Date]]
    - LOOKUP(
        2,
        1/((Games[Team]=Games[[#This Row],[Team]]) * (Games[Date] &lt; Games[[#This Row],[Date]])),
        Games[Date]
    )
    - 1,
Games[[#This Row],[Date]]-$A$2)</f>
        <v>1</v>
      </c>
      <c r="J492" s="2" cm="1">
        <f t="array" ref="J49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92" s="2">
        <f>Games[[#This Row],[DaysOff]]-Games[[#This Row],[OppDaysOff]]</f>
        <v>0</v>
      </c>
      <c r="L492" s="2">
        <f>Games[[#This Row],[OppDaysOff]]-Games[[#This Row],[DaysOff]]</f>
        <v>0</v>
      </c>
      <c r="M492" s="1">
        <f>MAX(-16, MIN(16, Games[[#This Row],[RestDiff]]*8))</f>
        <v>0</v>
      </c>
      <c r="N492" s="1">
        <f>MAX(-16, MIN(16, Games[[#This Row],[OppRestDiff]]*8))</f>
        <v>0</v>
      </c>
      <c r="O492" s="4" cm="1">
        <f t="array" ref="O49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1572.0200845823081</v>
      </c>
      <c r="P492" s="4" cm="1">
        <f t="array" ref="P49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1572.9107224922468</v>
      </c>
      <c r="Q492" s="4">
        <f>1/(1+10^(((Games[[#This Row],[OppPreGmRate]]+IF(Games[[#This Row],[HomeAway]]="A",HCA,0)+Games[[#This Row],[OppRestAdj]])-(Games[[#This Row],[PreGmRate]]+IF(Games[[#This Row],[HomeAway]]="H",HCA,0)+Games[[#This Row],[RestAdj]]))/400))</f>
        <v>0.38020698034949324</v>
      </c>
      <c r="R492" s="1">
        <v>48</v>
      </c>
      <c r="S492" s="1">
        <v>69</v>
      </c>
      <c r="T492" s="1">
        <v>0</v>
      </c>
      <c r="U492" s="1">
        <f>Games[[#This Row],[PointsFor]]-Games[[#This Row],[PointsAgainst]]</f>
        <v>-21</v>
      </c>
      <c r="V492" s="1">
        <f>IF(Games[[#This Row],[MOV]]&gt;0,1,IF(Games[[#This Row],[MOV]]=0,0.5,0))</f>
        <v>0</v>
      </c>
      <c r="W492" s="4">
        <f>((ABS(Games[[#This Row],[MOV]])+5)^0.6)/(12+0.01*(ABS(Games[[#This Row],[PreGmRate]]-Games[[#This Row],[OppPreGmRate]])))*IF(Games[[#This Row],[OT]]=1,0.9,1)</f>
        <v>0.58813977312216592</v>
      </c>
      <c r="X492" s="7" cm="1">
        <f t="array" ref="X49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92" s="9">
        <f>MAX(kmin, kmax - 0.15 * MIN(Games[[#This Row],[GamesPlayed]], 82))</f>
        <v>70.599999999999994</v>
      </c>
      <c r="Z492" s="4">
        <f>Games[[#This Row],[K]]*Games[[#This Row],[POMult]]</f>
        <v>77.66</v>
      </c>
      <c r="AA492" s="4">
        <f>(Games[[#This Row],[Keff]]*Games[[#This Row],[MOVMult]])*(Games[[#This Row],[Result]]-Games[[#This Row],[ExpectedWin%]])</f>
        <v>-17.365929030617597</v>
      </c>
      <c r="AB492" s="4">
        <f>Games[[#This Row],[PreGmRate]]+Games[[#This Row],[RatingChange]]</f>
        <v>1554.6541555516906</v>
      </c>
      <c r="AC492" s="2">
        <f>IF(Games[[#This Row],[Type]]="R",IF(Games[[#This Row],[Result]]&gt;0.5,1,0),0)</f>
        <v>0</v>
      </c>
      <c r="AD492" s="2">
        <f>IF(Games[[#This Row],[Type]]="R",IF(Games[[#This Row],[Result]]&lt;0.5,1,0),0)</f>
        <v>0</v>
      </c>
      <c r="AE492" s="2">
        <f>IF(AND(Games[[#This Row],[Type]]="P",Games[[#This Row],[Round]]=1),IF(Games[[#This Row],[Result]]&gt;0.5,1,0),0)</f>
        <v>0</v>
      </c>
      <c r="AF492" s="2">
        <f>IF(AND(Games[[#This Row],[Type]]="P",Games[[#This Row],[Round]]=1),IF(Games[[#This Row],[Result]]&lt;0.5,1,0),0)</f>
        <v>1</v>
      </c>
      <c r="AG492" s="2">
        <f>IF(AND(Games[[#This Row],[Type]]="P",Games[[#This Row],[Round]]=2),IF(Games[[#This Row],[Result]]&gt;0.5,1,0),0)</f>
        <v>0</v>
      </c>
      <c r="AH492" s="2">
        <f>IF(AND(Games[[#This Row],[Type]]="P",Games[[#This Row],[Round]]=2),IF(Games[[#This Row],[Result]]&lt;0.5,1,0),0)</f>
        <v>0</v>
      </c>
      <c r="AI492" s="2">
        <f>IF(AND(Games[[#This Row],[Type]]="P",Games[[#This Row],[Round]]=3),IF(Games[[#This Row],[Result]]&gt;0.5,1,0),0)</f>
        <v>0</v>
      </c>
      <c r="AJ492" s="2">
        <f>IF(AND(Games[[#This Row],[Type]]="P",Games[[#This Row],[Round]]=3),IF(Games[[#This Row],[Result]]&lt;0.5,1,0),0)</f>
        <v>0</v>
      </c>
      <c r="AK492" s="2">
        <f>IF(AND(Games[[#This Row],[Type]]="P",Games[[#This Row],[Round]]=4),IF(Games[[#This Row],[Result]]&gt;0.5,1,0),0)</f>
        <v>0</v>
      </c>
      <c r="AL492" s="2">
        <f>IF(AND(Games[[#This Row],[Type]]="P",Games[[#This Row],[Round]]=4),IF(Games[[#This Row],[Result]]&lt;0.5,1,0),0)</f>
        <v>0</v>
      </c>
    </row>
    <row r="493" spans="1:38" x14ac:dyDescent="0.35">
      <c r="A493" s="10">
        <v>37864</v>
      </c>
      <c r="B493" s="2">
        <v>2003</v>
      </c>
      <c r="C493" s="2">
        <f>COUNTIFS(Games[Team],Games[[#This Row],[Team]],Games[Season],Games[[#This Row],[Season]],Games[Date],"&lt;=" &amp; Games[[#This Row],[Date]])</f>
        <v>36</v>
      </c>
      <c r="D493" s="2" t="s">
        <v>46</v>
      </c>
      <c r="E493" s="2">
        <v>1</v>
      </c>
      <c r="F493" s="1" t="s">
        <v>2</v>
      </c>
      <c r="G493" s="1" t="s">
        <v>45</v>
      </c>
      <c r="H493" s="1" t="s">
        <v>15</v>
      </c>
      <c r="I493" s="2" cm="1">
        <f t="array" ref="I493">IFERROR(
    Games[[#This Row],[Date]]
    - LOOKUP(
        2,
        1/((Games[Team]=Games[[#This Row],[Team]]) * (Games[Date] &lt; Games[[#This Row],[Date]])),
        Games[Date]
    )
    - 1,
Games[[#This Row],[Date]]-$A$2)</f>
        <v>1</v>
      </c>
      <c r="J493" s="2" cm="1">
        <f t="array" ref="J49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93" s="2">
        <f>Games[[#This Row],[DaysOff]]-Games[[#This Row],[OppDaysOff]]</f>
        <v>0</v>
      </c>
      <c r="L493" s="2">
        <f>Games[[#This Row],[OppDaysOff]]-Games[[#This Row],[DaysOff]]</f>
        <v>0</v>
      </c>
      <c r="M493" s="1">
        <f>MAX(-16, MIN(16, Games[[#This Row],[RestDiff]]*8))</f>
        <v>0</v>
      </c>
      <c r="N493" s="1">
        <f>MAX(-16, MIN(16, Games[[#This Row],[OppRestDiff]]*8))</f>
        <v>0</v>
      </c>
      <c r="O493" s="4" cm="1">
        <f t="array" ref="O49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1572.9107224922468</v>
      </c>
      <c r="P493" s="4" cm="1">
        <f t="array" ref="P49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1572.0200845823081</v>
      </c>
      <c r="Q493" s="4">
        <f>1/(1+10^(((Games[[#This Row],[OppPreGmRate]]+IF(Games[[#This Row],[HomeAway]]="A",HCA,0)+Games[[#This Row],[OppRestAdj]])-(Games[[#This Row],[PreGmRate]]+IF(Games[[#This Row],[HomeAway]]="H",HCA,0)+Games[[#This Row],[RestAdj]]))/400))</f>
        <v>0.61979301965050682</v>
      </c>
      <c r="R493" s="1">
        <v>69</v>
      </c>
      <c r="S493" s="1">
        <v>48</v>
      </c>
      <c r="T493" s="1">
        <v>0</v>
      </c>
      <c r="U493" s="1">
        <f>Games[[#This Row],[PointsFor]]-Games[[#This Row],[PointsAgainst]]</f>
        <v>21</v>
      </c>
      <c r="V493" s="1">
        <f>IF(Games[[#This Row],[MOV]]&gt;0,1,IF(Games[[#This Row],[MOV]]=0,0.5,0))</f>
        <v>1</v>
      </c>
      <c r="W493" s="4">
        <f>((ABS(Games[[#This Row],[MOV]])+5)^0.6)/(12+0.01*(ABS(Games[[#This Row],[PreGmRate]]-Games[[#This Row],[OppPreGmRate]])))*IF(Games[[#This Row],[OT]]=1,0.9,1)</f>
        <v>0.58813977312216592</v>
      </c>
      <c r="X493" s="7" cm="1">
        <f t="array" ref="X49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93" s="9">
        <f>MAX(kmin, kmax - 0.15 * MIN(Games[[#This Row],[GamesPlayed]], 82))</f>
        <v>70.599999999999994</v>
      </c>
      <c r="Z493" s="4">
        <f>Games[[#This Row],[K]]*Games[[#This Row],[POMult]]</f>
        <v>77.66</v>
      </c>
      <c r="AA493" s="4">
        <f>(Games[[#This Row],[Keff]]*Games[[#This Row],[MOVMult]])*(Games[[#This Row],[Result]]-Games[[#This Row],[ExpectedWin%]])</f>
        <v>17.365929030617597</v>
      </c>
      <c r="AB493" s="4">
        <f>Games[[#This Row],[PreGmRate]]+Games[[#This Row],[RatingChange]]</f>
        <v>1590.2766515228643</v>
      </c>
      <c r="AC493" s="2">
        <f>IF(Games[[#This Row],[Type]]="R",IF(Games[[#This Row],[Result]]&gt;0.5,1,0),0)</f>
        <v>0</v>
      </c>
      <c r="AD493" s="2">
        <f>IF(Games[[#This Row],[Type]]="R",IF(Games[[#This Row],[Result]]&lt;0.5,1,0),0)</f>
        <v>0</v>
      </c>
      <c r="AE493" s="2">
        <f>IF(AND(Games[[#This Row],[Type]]="P",Games[[#This Row],[Round]]=1),IF(Games[[#This Row],[Result]]&gt;0.5,1,0),0)</f>
        <v>1</v>
      </c>
      <c r="AF493" s="2">
        <f>IF(AND(Games[[#This Row],[Type]]="P",Games[[#This Row],[Round]]=1),IF(Games[[#This Row],[Result]]&lt;0.5,1,0),0)</f>
        <v>0</v>
      </c>
      <c r="AG493" s="2">
        <f>IF(AND(Games[[#This Row],[Type]]="P",Games[[#This Row],[Round]]=2),IF(Games[[#This Row],[Result]]&gt;0.5,1,0),0)</f>
        <v>0</v>
      </c>
      <c r="AH493" s="2">
        <f>IF(AND(Games[[#This Row],[Type]]="P",Games[[#This Row],[Round]]=2),IF(Games[[#This Row],[Result]]&lt;0.5,1,0),0)</f>
        <v>0</v>
      </c>
      <c r="AI493" s="2">
        <f>IF(AND(Games[[#This Row],[Type]]="P",Games[[#This Row],[Round]]=3),IF(Games[[#This Row],[Result]]&gt;0.5,1,0),0)</f>
        <v>0</v>
      </c>
      <c r="AJ493" s="2">
        <f>IF(AND(Games[[#This Row],[Type]]="P",Games[[#This Row],[Round]]=3),IF(Games[[#This Row],[Result]]&lt;0.5,1,0),0)</f>
        <v>0</v>
      </c>
      <c r="AK493" s="2">
        <f>IF(AND(Games[[#This Row],[Type]]="P",Games[[#This Row],[Round]]=4),IF(Games[[#This Row],[Result]]&gt;0.5,1,0),0)</f>
        <v>0</v>
      </c>
      <c r="AL493" s="2">
        <f>IF(AND(Games[[#This Row],[Type]]="P",Games[[#This Row],[Round]]=4),IF(Games[[#This Row],[Result]]&lt;0.5,1,0),0)</f>
        <v>0</v>
      </c>
    </row>
    <row r="494" spans="1:38" x14ac:dyDescent="0.35">
      <c r="A494" s="10">
        <v>37865</v>
      </c>
      <c r="B494" s="2">
        <v>2003</v>
      </c>
      <c r="C494" s="2">
        <f>COUNTIFS(Games[Team],Games[[#This Row],[Team]],Games[Season],Games[[#This Row],[Season]],Games[Date],"&lt;=" &amp; Games[[#This Row],[Date]])</f>
        <v>37</v>
      </c>
      <c r="D494" s="2" t="s">
        <v>46</v>
      </c>
      <c r="E494" s="2">
        <v>1</v>
      </c>
      <c r="F494" s="1" t="s">
        <v>78</v>
      </c>
      <c r="G494" s="1" t="s">
        <v>71</v>
      </c>
      <c r="H494" s="1" t="s">
        <v>16</v>
      </c>
      <c r="I494" s="2" cm="1">
        <f t="array" ref="I494">IFERROR(
    Games[[#This Row],[Date]]
    - LOOKUP(
        2,
        1/((Games[Team]=Games[[#This Row],[Team]]) * (Games[Date] &lt; Games[[#This Row],[Date]])),
        Games[Date]
    )
    - 1,
Games[[#This Row],[Date]]-$A$2)</f>
        <v>1</v>
      </c>
      <c r="J494" s="2" cm="1">
        <f t="array" ref="J49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94" s="2">
        <f>Games[[#This Row],[DaysOff]]-Games[[#This Row],[OppDaysOff]]</f>
        <v>0</v>
      </c>
      <c r="L494" s="2">
        <f>Games[[#This Row],[OppDaysOff]]-Games[[#This Row],[DaysOff]]</f>
        <v>0</v>
      </c>
      <c r="M494" s="1">
        <f>MAX(-16, MIN(16, Games[[#This Row],[RestDiff]]*8))</f>
        <v>0</v>
      </c>
      <c r="N494" s="1">
        <f>MAX(-16, MIN(16, Games[[#This Row],[OppRestDiff]]*8))</f>
        <v>0</v>
      </c>
      <c r="O494" s="4" cm="1">
        <f t="array" ref="O49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1498.1114446185122</v>
      </c>
      <c r="P494" s="4" cm="1">
        <f t="array" ref="P49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1610.2408762101786</v>
      </c>
      <c r="Q494" s="4">
        <f>1/(1+10^(((Games[[#This Row],[OppPreGmRate]]+IF(Games[[#This Row],[HomeAway]]="A",HCA,0)+Games[[#This Row],[OppRestAdj]])-(Games[[#This Row],[PreGmRate]]+IF(Games[[#This Row],[HomeAway]]="H",HCA,0)+Games[[#This Row],[RestAdj]]))/400))</f>
        <v>0.24434352252025987</v>
      </c>
      <c r="R494" s="1">
        <v>64</v>
      </c>
      <c r="S494" s="1">
        <v>74</v>
      </c>
      <c r="T494" s="1">
        <v>0</v>
      </c>
      <c r="U494" s="1">
        <f>Games[[#This Row],[PointsFor]]-Games[[#This Row],[PointsAgainst]]</f>
        <v>-10</v>
      </c>
      <c r="V494" s="1">
        <f>IF(Games[[#This Row],[MOV]]&gt;0,1,IF(Games[[#This Row],[MOV]]=0,0.5,0))</f>
        <v>0</v>
      </c>
      <c r="W494" s="4">
        <f>((ABS(Games[[#This Row],[MOV]])+5)^0.6)/(12+0.01*(ABS(Games[[#This Row],[PreGmRate]]-Games[[#This Row],[OppPreGmRate]])))*IF(Games[[#This Row],[OT]]=1,0.9,1)</f>
        <v>0.38697069585796312</v>
      </c>
      <c r="X494" s="7" cm="1">
        <f t="array" ref="X49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94" s="9">
        <f>MAX(kmin, kmax - 0.15 * MIN(Games[[#This Row],[GamesPlayed]], 82))</f>
        <v>70.45</v>
      </c>
      <c r="Z494" s="4">
        <f>Games[[#This Row],[K]]*Games[[#This Row],[POMult]]</f>
        <v>77.495000000000005</v>
      </c>
      <c r="AA494" s="4">
        <f>(Games[[#This Row],[Keff]]*Games[[#This Row],[MOVMult]])*(Games[[#This Row],[Result]]-Games[[#This Row],[ExpectedWin%]])</f>
        <v>-7.3274454087842509</v>
      </c>
      <c r="AB494" s="4">
        <f>Games[[#This Row],[PreGmRate]]+Games[[#This Row],[RatingChange]]</f>
        <v>1490.7839992097279</v>
      </c>
      <c r="AC494" s="2">
        <f>IF(Games[[#This Row],[Type]]="R",IF(Games[[#This Row],[Result]]&gt;0.5,1,0),0)</f>
        <v>0</v>
      </c>
      <c r="AD494" s="2">
        <f>IF(Games[[#This Row],[Type]]="R",IF(Games[[#This Row],[Result]]&lt;0.5,1,0),0)</f>
        <v>0</v>
      </c>
      <c r="AE494" s="2">
        <f>IF(AND(Games[[#This Row],[Type]]="P",Games[[#This Row],[Round]]=1),IF(Games[[#This Row],[Result]]&gt;0.5,1,0),0)</f>
        <v>0</v>
      </c>
      <c r="AF494" s="2">
        <f>IF(AND(Games[[#This Row],[Type]]="P",Games[[#This Row],[Round]]=1),IF(Games[[#This Row],[Result]]&lt;0.5,1,0),0)</f>
        <v>1</v>
      </c>
      <c r="AG494" s="2">
        <f>IF(AND(Games[[#This Row],[Type]]="P",Games[[#This Row],[Round]]=2),IF(Games[[#This Row],[Result]]&gt;0.5,1,0),0)</f>
        <v>0</v>
      </c>
      <c r="AH494" s="2">
        <f>IF(AND(Games[[#This Row],[Type]]="P",Games[[#This Row],[Round]]=2),IF(Games[[#This Row],[Result]]&lt;0.5,1,0),0)</f>
        <v>0</v>
      </c>
      <c r="AI494" s="2">
        <f>IF(AND(Games[[#This Row],[Type]]="P",Games[[#This Row],[Round]]=3),IF(Games[[#This Row],[Result]]&gt;0.5,1,0),0)</f>
        <v>0</v>
      </c>
      <c r="AJ494" s="2">
        <f>IF(AND(Games[[#This Row],[Type]]="P",Games[[#This Row],[Round]]=3),IF(Games[[#This Row],[Result]]&lt;0.5,1,0),0)</f>
        <v>0</v>
      </c>
      <c r="AK494" s="2">
        <f>IF(AND(Games[[#This Row],[Type]]="P",Games[[#This Row],[Round]]=4),IF(Games[[#This Row],[Result]]&gt;0.5,1,0),0)</f>
        <v>0</v>
      </c>
      <c r="AL494" s="2">
        <f>IF(AND(Games[[#This Row],[Type]]="P",Games[[#This Row],[Round]]=4),IF(Games[[#This Row],[Result]]&lt;0.5,1,0),0)</f>
        <v>0</v>
      </c>
    </row>
    <row r="495" spans="1:38" x14ac:dyDescent="0.35">
      <c r="A495" s="10">
        <v>37865</v>
      </c>
      <c r="B495" s="2">
        <v>2003</v>
      </c>
      <c r="C495" s="2">
        <f>COUNTIFS(Games[Team],Games[[#This Row],[Team]],Games[Season],Games[[#This Row],[Season]],Games[Date],"&lt;=" &amp; Games[[#This Row],[Date]])</f>
        <v>37</v>
      </c>
      <c r="D495" s="2" t="s">
        <v>46</v>
      </c>
      <c r="E495" s="2">
        <v>1</v>
      </c>
      <c r="F495" s="1" t="s">
        <v>71</v>
      </c>
      <c r="G495" s="1" t="s">
        <v>78</v>
      </c>
      <c r="H495" s="1" t="s">
        <v>15</v>
      </c>
      <c r="I495" s="2" cm="1">
        <f t="array" ref="I495">IFERROR(
    Games[[#This Row],[Date]]
    - LOOKUP(
        2,
        1/((Games[Team]=Games[[#This Row],[Team]]) * (Games[Date] &lt; Games[[#This Row],[Date]])),
        Games[Date]
    )
    - 1,
Games[[#This Row],[Date]]-$A$2)</f>
        <v>1</v>
      </c>
      <c r="J495" s="2" cm="1">
        <f t="array" ref="J49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95" s="2">
        <f>Games[[#This Row],[DaysOff]]-Games[[#This Row],[OppDaysOff]]</f>
        <v>0</v>
      </c>
      <c r="L495" s="2">
        <f>Games[[#This Row],[OppDaysOff]]-Games[[#This Row],[DaysOff]]</f>
        <v>0</v>
      </c>
      <c r="M495" s="1">
        <f>MAX(-16, MIN(16, Games[[#This Row],[RestDiff]]*8))</f>
        <v>0</v>
      </c>
      <c r="N495" s="1">
        <f>MAX(-16, MIN(16, Games[[#This Row],[OppRestDiff]]*8))</f>
        <v>0</v>
      </c>
      <c r="O495" s="4" cm="1">
        <f t="array" ref="O49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1610.2408762101786</v>
      </c>
      <c r="P495" s="4" cm="1">
        <f t="array" ref="P49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1498.1114446185122</v>
      </c>
      <c r="Q495" s="4">
        <f>1/(1+10^(((Games[[#This Row],[OppPreGmRate]]+IF(Games[[#This Row],[HomeAway]]="A",HCA,0)+Games[[#This Row],[OppRestAdj]])-(Games[[#This Row],[PreGmRate]]+IF(Games[[#This Row],[HomeAway]]="H",HCA,0)+Games[[#This Row],[RestAdj]]))/400))</f>
        <v>0.75565647747974019</v>
      </c>
      <c r="R495" s="1">
        <v>74</v>
      </c>
      <c r="S495" s="1">
        <v>64</v>
      </c>
      <c r="T495" s="1">
        <v>0</v>
      </c>
      <c r="U495" s="1">
        <f>Games[[#This Row],[PointsFor]]-Games[[#This Row],[PointsAgainst]]</f>
        <v>10</v>
      </c>
      <c r="V495" s="1">
        <f>IF(Games[[#This Row],[MOV]]&gt;0,1,IF(Games[[#This Row],[MOV]]=0,0.5,0))</f>
        <v>1</v>
      </c>
      <c r="W495" s="4">
        <f>((ABS(Games[[#This Row],[MOV]])+5)^0.6)/(12+0.01*(ABS(Games[[#This Row],[PreGmRate]]-Games[[#This Row],[OppPreGmRate]])))*IF(Games[[#This Row],[OT]]=1,0.9,1)</f>
        <v>0.38697069585796312</v>
      </c>
      <c r="X495" s="7" cm="1">
        <f t="array" ref="X49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95" s="9">
        <f>MAX(kmin, kmax - 0.15 * MIN(Games[[#This Row],[GamesPlayed]], 82))</f>
        <v>70.45</v>
      </c>
      <c r="Z495" s="4">
        <f>Games[[#This Row],[K]]*Games[[#This Row],[POMult]]</f>
        <v>77.495000000000005</v>
      </c>
      <c r="AA495" s="4">
        <f>(Games[[#This Row],[Keff]]*Games[[#This Row],[MOVMult]])*(Games[[#This Row],[Result]]-Games[[#This Row],[ExpectedWin%]])</f>
        <v>7.3274454087842491</v>
      </c>
      <c r="AB495" s="4">
        <f>Games[[#This Row],[PreGmRate]]+Games[[#This Row],[RatingChange]]</f>
        <v>1617.568321618963</v>
      </c>
      <c r="AC495" s="2">
        <f>IF(Games[[#This Row],[Type]]="R",IF(Games[[#This Row],[Result]]&gt;0.5,1,0),0)</f>
        <v>0</v>
      </c>
      <c r="AD495" s="2">
        <f>IF(Games[[#This Row],[Type]]="R",IF(Games[[#This Row],[Result]]&lt;0.5,1,0),0)</f>
        <v>0</v>
      </c>
      <c r="AE495" s="2">
        <f>IF(AND(Games[[#This Row],[Type]]="P",Games[[#This Row],[Round]]=1),IF(Games[[#This Row],[Result]]&gt;0.5,1,0),0)</f>
        <v>1</v>
      </c>
      <c r="AF495" s="2">
        <f>IF(AND(Games[[#This Row],[Type]]="P",Games[[#This Row],[Round]]=1),IF(Games[[#This Row],[Result]]&lt;0.5,1,0),0)</f>
        <v>0</v>
      </c>
      <c r="AG495" s="2">
        <f>IF(AND(Games[[#This Row],[Type]]="P",Games[[#This Row],[Round]]=2),IF(Games[[#This Row],[Result]]&gt;0.5,1,0),0)</f>
        <v>0</v>
      </c>
      <c r="AH495" s="2">
        <f>IF(AND(Games[[#This Row],[Type]]="P",Games[[#This Row],[Round]]=2),IF(Games[[#This Row],[Result]]&lt;0.5,1,0),0)</f>
        <v>0</v>
      </c>
      <c r="AI495" s="2">
        <f>IF(AND(Games[[#This Row],[Type]]="P",Games[[#This Row],[Round]]=3),IF(Games[[#This Row],[Result]]&gt;0.5,1,0),0)</f>
        <v>0</v>
      </c>
      <c r="AJ495" s="2">
        <f>IF(AND(Games[[#This Row],[Type]]="P",Games[[#This Row],[Round]]=3),IF(Games[[#This Row],[Result]]&lt;0.5,1,0),0)</f>
        <v>0</v>
      </c>
      <c r="AK495" s="2">
        <f>IF(AND(Games[[#This Row],[Type]]="P",Games[[#This Row],[Round]]=4),IF(Games[[#This Row],[Result]]&gt;0.5,1,0),0)</f>
        <v>0</v>
      </c>
      <c r="AL495" s="2">
        <f>IF(AND(Games[[#This Row],[Type]]="P",Games[[#This Row],[Round]]=4),IF(Games[[#This Row],[Result]]&lt;0.5,1,0),0)</f>
        <v>0</v>
      </c>
    </row>
    <row r="496" spans="1:38" x14ac:dyDescent="0.35">
      <c r="A496" s="10">
        <v>37866</v>
      </c>
      <c r="B496" s="2">
        <v>2003</v>
      </c>
      <c r="C496" s="2">
        <f>COUNTIFS(Games[Team],Games[[#This Row],[Team]],Games[Season],Games[[#This Row],[Season]],Games[Date],"&lt;=" &amp; Games[[#This Row],[Date]])</f>
        <v>37</v>
      </c>
      <c r="D496" s="2" t="s">
        <v>46</v>
      </c>
      <c r="E496" s="2">
        <v>1</v>
      </c>
      <c r="F496" s="1" t="s">
        <v>1</v>
      </c>
      <c r="G496" s="1" t="s">
        <v>76</v>
      </c>
      <c r="H496" s="1" t="s">
        <v>16</v>
      </c>
      <c r="I496" s="2" cm="1">
        <f t="array" ref="I496">IFERROR(
    Games[[#This Row],[Date]]
    - LOOKUP(
        2,
        1/((Games[Team]=Games[[#This Row],[Team]]) * (Games[Date] &lt; Games[[#This Row],[Date]])),
        Games[Date]
    )
    - 1,
Games[[#This Row],[Date]]-$A$2)</f>
        <v>1</v>
      </c>
      <c r="J496" s="2" cm="1">
        <f t="array" ref="J49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96" s="2">
        <f>Games[[#This Row],[DaysOff]]-Games[[#This Row],[OppDaysOff]]</f>
        <v>0</v>
      </c>
      <c r="L496" s="2">
        <f>Games[[#This Row],[OppDaysOff]]-Games[[#This Row],[DaysOff]]</f>
        <v>0</v>
      </c>
      <c r="M496" s="1">
        <f>MAX(-16, MIN(16, Games[[#This Row],[RestDiff]]*8))</f>
        <v>0</v>
      </c>
      <c r="N496" s="1">
        <f>MAX(-16, MIN(16, Games[[#This Row],[OppRestDiff]]*8))</f>
        <v>0</v>
      </c>
      <c r="O496" s="4" cm="1">
        <f t="array" ref="O49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1484.4222020714526</v>
      </c>
      <c r="P496" s="4" cm="1">
        <f t="array" ref="P49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1599.6959833024011</v>
      </c>
      <c r="Q496" s="4">
        <f>1/(1+10^(((Games[[#This Row],[OppPreGmRate]]+IF(Games[[#This Row],[HomeAway]]="A",HCA,0)+Games[[#This Row],[OppRestAdj]])-(Games[[#This Row],[PreGmRate]]+IF(Games[[#This Row],[HomeAway]]="H",HCA,0)+Games[[#This Row],[RestAdj]]))/400))</f>
        <v>0.24101696590473351</v>
      </c>
      <c r="R496" s="1">
        <v>63</v>
      </c>
      <c r="S496" s="1">
        <v>77</v>
      </c>
      <c r="T496" s="1">
        <v>0</v>
      </c>
      <c r="U496" s="1">
        <f>Games[[#This Row],[PointsFor]]-Games[[#This Row],[PointsAgainst]]</f>
        <v>-14</v>
      </c>
      <c r="V496" s="1">
        <f>IF(Games[[#This Row],[MOV]]&gt;0,1,IF(Games[[#This Row],[MOV]]=0,0.5,0))</f>
        <v>0</v>
      </c>
      <c r="W496" s="4">
        <f>((ABS(Games[[#This Row],[MOV]])+5)^0.6)/(12+0.01*(ABS(Games[[#This Row],[PreGmRate]]-Games[[#This Row],[OppPreGmRate]])))*IF(Games[[#This Row],[OT]]=1,0.9,1)</f>
        <v>0.44487294781570558</v>
      </c>
      <c r="X496" s="7" cm="1">
        <f t="array" ref="X49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96" s="9">
        <f>MAX(kmin, kmax - 0.15 * MIN(Games[[#This Row],[GamesPlayed]], 82))</f>
        <v>70.45</v>
      </c>
      <c r="Z496" s="4">
        <f>Games[[#This Row],[K]]*Games[[#This Row],[POMult]]</f>
        <v>77.495000000000005</v>
      </c>
      <c r="AA496" s="4">
        <f>(Games[[#This Row],[Keff]]*Games[[#This Row],[MOVMult]])*(Games[[#This Row],[Result]]-Games[[#This Row],[ExpectedWin%]])</f>
        <v>-8.3091633177713273</v>
      </c>
      <c r="AB496" s="4">
        <f>Games[[#This Row],[PreGmRate]]+Games[[#This Row],[RatingChange]]</f>
        <v>1476.1130387536812</v>
      </c>
      <c r="AC496" s="2">
        <f>IF(Games[[#This Row],[Type]]="R",IF(Games[[#This Row],[Result]]&gt;0.5,1,0),0)</f>
        <v>0</v>
      </c>
      <c r="AD496" s="2">
        <f>IF(Games[[#This Row],[Type]]="R",IF(Games[[#This Row],[Result]]&lt;0.5,1,0),0)</f>
        <v>0</v>
      </c>
      <c r="AE496" s="2">
        <f>IF(AND(Games[[#This Row],[Type]]="P",Games[[#This Row],[Round]]=1),IF(Games[[#This Row],[Result]]&gt;0.5,1,0),0)</f>
        <v>0</v>
      </c>
      <c r="AF496" s="2">
        <f>IF(AND(Games[[#This Row],[Type]]="P",Games[[#This Row],[Round]]=1),IF(Games[[#This Row],[Result]]&lt;0.5,1,0),0)</f>
        <v>1</v>
      </c>
      <c r="AG496" s="2">
        <f>IF(AND(Games[[#This Row],[Type]]="P",Games[[#This Row],[Round]]=2),IF(Games[[#This Row],[Result]]&gt;0.5,1,0),0)</f>
        <v>0</v>
      </c>
      <c r="AH496" s="2">
        <f>IF(AND(Games[[#This Row],[Type]]="P",Games[[#This Row],[Round]]=2),IF(Games[[#This Row],[Result]]&lt;0.5,1,0),0)</f>
        <v>0</v>
      </c>
      <c r="AI496" s="2">
        <f>IF(AND(Games[[#This Row],[Type]]="P",Games[[#This Row],[Round]]=3),IF(Games[[#This Row],[Result]]&gt;0.5,1,0),0)</f>
        <v>0</v>
      </c>
      <c r="AJ496" s="2">
        <f>IF(AND(Games[[#This Row],[Type]]="P",Games[[#This Row],[Round]]=3),IF(Games[[#This Row],[Result]]&lt;0.5,1,0),0)</f>
        <v>0</v>
      </c>
      <c r="AK496" s="2">
        <f>IF(AND(Games[[#This Row],[Type]]="P",Games[[#This Row],[Round]]=4),IF(Games[[#This Row],[Result]]&gt;0.5,1,0),0)</f>
        <v>0</v>
      </c>
      <c r="AL496" s="2">
        <f>IF(AND(Games[[#This Row],[Type]]="P",Games[[#This Row],[Round]]=4),IF(Games[[#This Row],[Result]]&lt;0.5,1,0),0)</f>
        <v>0</v>
      </c>
    </row>
    <row r="497" spans="1:38" x14ac:dyDescent="0.35">
      <c r="A497" s="10">
        <v>37866</v>
      </c>
      <c r="B497" s="2">
        <v>2003</v>
      </c>
      <c r="C497" s="2">
        <f>COUNTIFS(Games[Team],Games[[#This Row],[Team]],Games[Season],Games[[#This Row],[Season]],Games[Date],"&lt;=" &amp; Games[[#This Row],[Date]])</f>
        <v>37</v>
      </c>
      <c r="D497" s="2" t="s">
        <v>46</v>
      </c>
      <c r="E497" s="2">
        <v>1</v>
      </c>
      <c r="F497" s="1" t="s">
        <v>76</v>
      </c>
      <c r="G497" s="1" t="s">
        <v>1</v>
      </c>
      <c r="H497" s="1" t="s">
        <v>15</v>
      </c>
      <c r="I497" s="2" cm="1">
        <f t="array" ref="I497">IFERROR(
    Games[[#This Row],[Date]]
    - LOOKUP(
        2,
        1/((Games[Team]=Games[[#This Row],[Team]]) * (Games[Date] &lt; Games[[#This Row],[Date]])),
        Games[Date]
    )
    - 1,
Games[[#This Row],[Date]]-$A$2)</f>
        <v>1</v>
      </c>
      <c r="J497" s="2" cm="1">
        <f t="array" ref="J49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97" s="2">
        <f>Games[[#This Row],[DaysOff]]-Games[[#This Row],[OppDaysOff]]</f>
        <v>0</v>
      </c>
      <c r="L497" s="2">
        <f>Games[[#This Row],[OppDaysOff]]-Games[[#This Row],[DaysOff]]</f>
        <v>0</v>
      </c>
      <c r="M497" s="1">
        <f>MAX(-16, MIN(16, Games[[#This Row],[RestDiff]]*8))</f>
        <v>0</v>
      </c>
      <c r="N497" s="1">
        <f>MAX(-16, MIN(16, Games[[#This Row],[OppRestDiff]]*8))</f>
        <v>0</v>
      </c>
      <c r="O497" s="4" cm="1">
        <f t="array" ref="O49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1599.6959833024011</v>
      </c>
      <c r="P497" s="4" cm="1">
        <f t="array" ref="P49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1484.4222020714526</v>
      </c>
      <c r="Q497" s="4">
        <f>1/(1+10^(((Games[[#This Row],[OppPreGmRate]]+IF(Games[[#This Row],[HomeAway]]="A",HCA,0)+Games[[#This Row],[OppRestAdj]])-(Games[[#This Row],[PreGmRate]]+IF(Games[[#This Row],[HomeAway]]="H",HCA,0)+Games[[#This Row],[RestAdj]]))/400))</f>
        <v>0.75898303409526646</v>
      </c>
      <c r="R497" s="1">
        <v>77</v>
      </c>
      <c r="S497" s="1">
        <v>63</v>
      </c>
      <c r="T497" s="1">
        <v>0</v>
      </c>
      <c r="U497" s="1">
        <f>Games[[#This Row],[PointsFor]]-Games[[#This Row],[PointsAgainst]]</f>
        <v>14</v>
      </c>
      <c r="V497" s="1">
        <f>IF(Games[[#This Row],[MOV]]&gt;0,1,IF(Games[[#This Row],[MOV]]=0,0.5,0))</f>
        <v>1</v>
      </c>
      <c r="W497" s="4">
        <f>((ABS(Games[[#This Row],[MOV]])+5)^0.6)/(12+0.01*(ABS(Games[[#This Row],[PreGmRate]]-Games[[#This Row],[OppPreGmRate]])))*IF(Games[[#This Row],[OT]]=1,0.9,1)</f>
        <v>0.44487294781570558</v>
      </c>
      <c r="X497" s="7" cm="1">
        <f t="array" ref="X49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97" s="9">
        <f>MAX(kmin, kmax - 0.15 * MIN(Games[[#This Row],[GamesPlayed]], 82))</f>
        <v>70.45</v>
      </c>
      <c r="Z497" s="4">
        <f>Games[[#This Row],[K]]*Games[[#This Row],[POMult]]</f>
        <v>77.495000000000005</v>
      </c>
      <c r="AA497" s="4">
        <f>(Games[[#This Row],[Keff]]*Games[[#This Row],[MOVMult]])*(Games[[#This Row],[Result]]-Games[[#This Row],[ExpectedWin%]])</f>
        <v>8.3091633177713291</v>
      </c>
      <c r="AB497" s="4">
        <f>Games[[#This Row],[PreGmRate]]+Games[[#This Row],[RatingChange]]</f>
        <v>1608.0051466201726</v>
      </c>
      <c r="AC497" s="2">
        <f>IF(Games[[#This Row],[Type]]="R",IF(Games[[#This Row],[Result]]&gt;0.5,1,0),0)</f>
        <v>0</v>
      </c>
      <c r="AD497" s="2">
        <f>IF(Games[[#This Row],[Type]]="R",IF(Games[[#This Row],[Result]]&lt;0.5,1,0),0)</f>
        <v>0</v>
      </c>
      <c r="AE497" s="2">
        <f>IF(AND(Games[[#This Row],[Type]]="P",Games[[#This Row],[Round]]=1),IF(Games[[#This Row],[Result]]&gt;0.5,1,0),0)</f>
        <v>1</v>
      </c>
      <c r="AF497" s="2">
        <f>IF(AND(Games[[#This Row],[Type]]="P",Games[[#This Row],[Round]]=1),IF(Games[[#This Row],[Result]]&lt;0.5,1,0),0)</f>
        <v>0</v>
      </c>
      <c r="AG497" s="2">
        <f>IF(AND(Games[[#This Row],[Type]]="P",Games[[#This Row],[Round]]=2),IF(Games[[#This Row],[Result]]&gt;0.5,1,0),0)</f>
        <v>0</v>
      </c>
      <c r="AH497" s="2">
        <f>IF(AND(Games[[#This Row],[Type]]="P",Games[[#This Row],[Round]]=2),IF(Games[[#This Row],[Result]]&lt;0.5,1,0),0)</f>
        <v>0</v>
      </c>
      <c r="AI497" s="2">
        <f>IF(AND(Games[[#This Row],[Type]]="P",Games[[#This Row],[Round]]=3),IF(Games[[#This Row],[Result]]&gt;0.5,1,0),0)</f>
        <v>0</v>
      </c>
      <c r="AJ497" s="2">
        <f>IF(AND(Games[[#This Row],[Type]]="P",Games[[#This Row],[Round]]=3),IF(Games[[#This Row],[Result]]&lt;0.5,1,0),0)</f>
        <v>0</v>
      </c>
      <c r="AK497" s="2">
        <f>IF(AND(Games[[#This Row],[Type]]="P",Games[[#This Row],[Round]]=4),IF(Games[[#This Row],[Result]]&gt;0.5,1,0),0)</f>
        <v>0</v>
      </c>
      <c r="AL497" s="2">
        <f>IF(AND(Games[[#This Row],[Type]]="P",Games[[#This Row],[Round]]=4),IF(Games[[#This Row],[Result]]&lt;0.5,1,0),0)</f>
        <v>0</v>
      </c>
    </row>
    <row r="498" spans="1:38" x14ac:dyDescent="0.35">
      <c r="A498" s="10">
        <v>37866</v>
      </c>
      <c r="B498" s="2">
        <v>2003</v>
      </c>
      <c r="C498" s="2">
        <f>COUNTIFS(Games[Team],Games[[#This Row],[Team]],Games[Season],Games[[#This Row],[Season]],Games[Date],"&lt;=" &amp; Games[[#This Row],[Date]])</f>
        <v>37</v>
      </c>
      <c r="D498" s="2" t="s">
        <v>46</v>
      </c>
      <c r="E498" s="2">
        <v>1</v>
      </c>
      <c r="F498" s="1" t="s">
        <v>45</v>
      </c>
      <c r="G498" s="1" t="s">
        <v>2</v>
      </c>
      <c r="H498" s="1" t="s">
        <v>16</v>
      </c>
      <c r="I498" s="2" cm="1">
        <f t="array" ref="I498">IFERROR(
    Games[[#This Row],[Date]]
    - LOOKUP(
        2,
        1/((Games[Team]=Games[[#This Row],[Team]]) * (Games[Date] &lt; Games[[#This Row],[Date]])),
        Games[Date]
    )
    - 1,
Games[[#This Row],[Date]]-$A$2)</f>
        <v>1</v>
      </c>
      <c r="J498" s="2" cm="1">
        <f t="array" ref="J49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98" s="2">
        <f>Games[[#This Row],[DaysOff]]-Games[[#This Row],[OppDaysOff]]</f>
        <v>0</v>
      </c>
      <c r="L498" s="2">
        <f>Games[[#This Row],[OppDaysOff]]-Games[[#This Row],[DaysOff]]</f>
        <v>0</v>
      </c>
      <c r="M498" s="1">
        <f>MAX(-16, MIN(16, Games[[#This Row],[RestDiff]]*8))</f>
        <v>0</v>
      </c>
      <c r="N498" s="1">
        <f>MAX(-16, MIN(16, Games[[#This Row],[OppRestDiff]]*8))</f>
        <v>0</v>
      </c>
      <c r="O498" s="4" cm="1">
        <f t="array" ref="O49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1554.6541555516906</v>
      </c>
      <c r="P498" s="4" cm="1">
        <f t="array" ref="P49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1590.2766515228643</v>
      </c>
      <c r="Q498" s="4">
        <f>1/(1+10^(((Games[[#This Row],[OppPreGmRate]]+IF(Games[[#This Row],[HomeAway]]="A",HCA,0)+Games[[#This Row],[OppRestAdj]])-(Games[[#This Row],[PreGmRate]]+IF(Games[[#This Row],[HomeAway]]="H",HCA,0)+Games[[#This Row],[RestAdj]]))/400))</f>
        <v>0.33434403950101726</v>
      </c>
      <c r="R498" s="1">
        <v>70</v>
      </c>
      <c r="S498" s="1">
        <v>68</v>
      </c>
      <c r="T498" s="1">
        <v>0</v>
      </c>
      <c r="U498" s="1">
        <f>Games[[#This Row],[PointsFor]]-Games[[#This Row],[PointsAgainst]]</f>
        <v>2</v>
      </c>
      <c r="V498" s="1">
        <f>IF(Games[[#This Row],[MOV]]&gt;0,1,IF(Games[[#This Row],[MOV]]=0,0.5,0))</f>
        <v>1</v>
      </c>
      <c r="W498" s="4">
        <f>((ABS(Games[[#This Row],[MOV]])+5)^0.6)/(12+0.01*(ABS(Games[[#This Row],[PreGmRate]]-Games[[#This Row],[OppPreGmRate]])))*IF(Games[[#This Row],[OT]]=1,0.9,1)</f>
        <v>0.26011956404126696</v>
      </c>
      <c r="X498" s="7" cm="1">
        <f t="array" ref="X49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98" s="9">
        <f>MAX(kmin, kmax - 0.15 * MIN(Games[[#This Row],[GamesPlayed]], 82))</f>
        <v>70.45</v>
      </c>
      <c r="Z498" s="4">
        <f>Games[[#This Row],[K]]*Games[[#This Row],[POMult]]</f>
        <v>77.495000000000005</v>
      </c>
      <c r="AA498" s="4">
        <f>(Games[[#This Row],[Keff]]*Games[[#This Row],[MOVMult]])*(Games[[#This Row],[Result]]-Games[[#This Row],[ExpectedWin%]])</f>
        <v>13.4182699634099</v>
      </c>
      <c r="AB498" s="4">
        <f>Games[[#This Row],[PreGmRate]]+Games[[#This Row],[RatingChange]]</f>
        <v>1568.0724255151006</v>
      </c>
      <c r="AC498" s="2">
        <f>IF(Games[[#This Row],[Type]]="R",IF(Games[[#This Row],[Result]]&gt;0.5,1,0),0)</f>
        <v>0</v>
      </c>
      <c r="AD498" s="2">
        <f>IF(Games[[#This Row],[Type]]="R",IF(Games[[#This Row],[Result]]&lt;0.5,1,0),0)</f>
        <v>0</v>
      </c>
      <c r="AE498" s="2">
        <f>IF(AND(Games[[#This Row],[Type]]="P",Games[[#This Row],[Round]]=1),IF(Games[[#This Row],[Result]]&gt;0.5,1,0),0)</f>
        <v>1</v>
      </c>
      <c r="AF498" s="2">
        <f>IF(AND(Games[[#This Row],[Type]]="P",Games[[#This Row],[Round]]=1),IF(Games[[#This Row],[Result]]&lt;0.5,1,0),0)</f>
        <v>0</v>
      </c>
      <c r="AG498" s="2">
        <f>IF(AND(Games[[#This Row],[Type]]="P",Games[[#This Row],[Round]]=2),IF(Games[[#This Row],[Result]]&gt;0.5,1,0),0)</f>
        <v>0</v>
      </c>
      <c r="AH498" s="2">
        <f>IF(AND(Games[[#This Row],[Type]]="P",Games[[#This Row],[Round]]=2),IF(Games[[#This Row],[Result]]&lt;0.5,1,0),0)</f>
        <v>0</v>
      </c>
      <c r="AI498" s="2">
        <f>IF(AND(Games[[#This Row],[Type]]="P",Games[[#This Row],[Round]]=3),IF(Games[[#This Row],[Result]]&gt;0.5,1,0),0)</f>
        <v>0</v>
      </c>
      <c r="AJ498" s="2">
        <f>IF(AND(Games[[#This Row],[Type]]="P",Games[[#This Row],[Round]]=3),IF(Games[[#This Row],[Result]]&lt;0.5,1,0),0)</f>
        <v>0</v>
      </c>
      <c r="AK498" s="2">
        <f>IF(AND(Games[[#This Row],[Type]]="P",Games[[#This Row],[Round]]=4),IF(Games[[#This Row],[Result]]&gt;0.5,1,0),0)</f>
        <v>0</v>
      </c>
      <c r="AL498" s="2">
        <f>IF(AND(Games[[#This Row],[Type]]="P",Games[[#This Row],[Round]]=4),IF(Games[[#This Row],[Result]]&lt;0.5,1,0),0)</f>
        <v>0</v>
      </c>
    </row>
    <row r="499" spans="1:38" x14ac:dyDescent="0.35">
      <c r="A499" s="10">
        <v>37866</v>
      </c>
      <c r="B499" s="2">
        <v>2003</v>
      </c>
      <c r="C499" s="2">
        <f>COUNTIFS(Games[Team],Games[[#This Row],[Team]],Games[Season],Games[[#This Row],[Season]],Games[Date],"&lt;=" &amp; Games[[#This Row],[Date]])</f>
        <v>37</v>
      </c>
      <c r="D499" s="2" t="s">
        <v>46</v>
      </c>
      <c r="E499" s="2">
        <v>1</v>
      </c>
      <c r="F499" s="1" t="s">
        <v>2</v>
      </c>
      <c r="G499" s="1" t="s">
        <v>45</v>
      </c>
      <c r="H499" s="1" t="s">
        <v>15</v>
      </c>
      <c r="I499" s="2" cm="1">
        <f t="array" ref="I499">IFERROR(
    Games[[#This Row],[Date]]
    - LOOKUP(
        2,
        1/((Games[Team]=Games[[#This Row],[Team]]) * (Games[Date] &lt; Games[[#This Row],[Date]])),
        Games[Date]
    )
    - 1,
Games[[#This Row],[Date]]-$A$2)</f>
        <v>1</v>
      </c>
      <c r="J499" s="2" cm="1">
        <f t="array" ref="J49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99" s="2">
        <f>Games[[#This Row],[DaysOff]]-Games[[#This Row],[OppDaysOff]]</f>
        <v>0</v>
      </c>
      <c r="L499" s="2">
        <f>Games[[#This Row],[OppDaysOff]]-Games[[#This Row],[DaysOff]]</f>
        <v>0</v>
      </c>
      <c r="M499" s="1">
        <f>MAX(-16, MIN(16, Games[[#This Row],[RestDiff]]*8))</f>
        <v>0</v>
      </c>
      <c r="N499" s="1">
        <f>MAX(-16, MIN(16, Games[[#This Row],[OppRestDiff]]*8))</f>
        <v>0</v>
      </c>
      <c r="O499" s="4" cm="1">
        <f t="array" ref="O49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1590.2766515228643</v>
      </c>
      <c r="P499" s="4" cm="1">
        <f t="array" ref="P49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1554.6541555516906</v>
      </c>
      <c r="Q499" s="4">
        <f>1/(1+10^(((Games[[#This Row],[OppPreGmRate]]+IF(Games[[#This Row],[HomeAway]]="A",HCA,0)+Games[[#This Row],[OppRestAdj]])-(Games[[#This Row],[PreGmRate]]+IF(Games[[#This Row],[HomeAway]]="H",HCA,0)+Games[[#This Row],[RestAdj]]))/400))</f>
        <v>0.66565596049898279</v>
      </c>
      <c r="R499" s="1">
        <v>68</v>
      </c>
      <c r="S499" s="1">
        <v>70</v>
      </c>
      <c r="T499" s="1">
        <v>0</v>
      </c>
      <c r="U499" s="1">
        <f>Games[[#This Row],[PointsFor]]-Games[[#This Row],[PointsAgainst]]</f>
        <v>-2</v>
      </c>
      <c r="V499" s="1">
        <f>IF(Games[[#This Row],[MOV]]&gt;0,1,IF(Games[[#This Row],[MOV]]=0,0.5,0))</f>
        <v>0</v>
      </c>
      <c r="W499" s="4">
        <f>((ABS(Games[[#This Row],[MOV]])+5)^0.6)/(12+0.01*(ABS(Games[[#This Row],[PreGmRate]]-Games[[#This Row],[OppPreGmRate]])))*IF(Games[[#This Row],[OT]]=1,0.9,1)</f>
        <v>0.26011956404126696</v>
      </c>
      <c r="X499" s="7" cm="1">
        <f t="array" ref="X49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99" s="9">
        <f>MAX(kmin, kmax - 0.15 * MIN(Games[[#This Row],[GamesPlayed]], 82))</f>
        <v>70.45</v>
      </c>
      <c r="Z499" s="4">
        <f>Games[[#This Row],[K]]*Games[[#This Row],[POMult]]</f>
        <v>77.495000000000005</v>
      </c>
      <c r="AA499" s="4">
        <f>(Games[[#This Row],[Keff]]*Games[[#This Row],[MOVMult]])*(Games[[#This Row],[Result]]-Games[[#This Row],[ExpectedWin%]])</f>
        <v>-13.418269963409902</v>
      </c>
      <c r="AB499" s="4">
        <f>Games[[#This Row],[PreGmRate]]+Games[[#This Row],[RatingChange]]</f>
        <v>1576.8583815594543</v>
      </c>
      <c r="AC499" s="2">
        <f>IF(Games[[#This Row],[Type]]="R",IF(Games[[#This Row],[Result]]&gt;0.5,1,0),0)</f>
        <v>0</v>
      </c>
      <c r="AD499" s="2">
        <f>IF(Games[[#This Row],[Type]]="R",IF(Games[[#This Row],[Result]]&lt;0.5,1,0),0)</f>
        <v>0</v>
      </c>
      <c r="AE499" s="2">
        <f>IF(AND(Games[[#This Row],[Type]]="P",Games[[#This Row],[Round]]=1),IF(Games[[#This Row],[Result]]&gt;0.5,1,0),0)</f>
        <v>0</v>
      </c>
      <c r="AF499" s="2">
        <f>IF(AND(Games[[#This Row],[Type]]="P",Games[[#This Row],[Round]]=1),IF(Games[[#This Row],[Result]]&lt;0.5,1,0),0)</f>
        <v>1</v>
      </c>
      <c r="AG499" s="2">
        <f>IF(AND(Games[[#This Row],[Type]]="P",Games[[#This Row],[Round]]=2),IF(Games[[#This Row],[Result]]&gt;0.5,1,0),0)</f>
        <v>0</v>
      </c>
      <c r="AH499" s="2">
        <f>IF(AND(Games[[#This Row],[Type]]="P",Games[[#This Row],[Round]]=2),IF(Games[[#This Row],[Result]]&lt;0.5,1,0),0)</f>
        <v>0</v>
      </c>
      <c r="AI499" s="2">
        <f>IF(AND(Games[[#This Row],[Type]]="P",Games[[#This Row],[Round]]=3),IF(Games[[#This Row],[Result]]&gt;0.5,1,0),0)</f>
        <v>0</v>
      </c>
      <c r="AJ499" s="2">
        <f>IF(AND(Games[[#This Row],[Type]]="P",Games[[#This Row],[Round]]=3),IF(Games[[#This Row],[Result]]&lt;0.5,1,0),0)</f>
        <v>0</v>
      </c>
      <c r="AK499" s="2">
        <f>IF(AND(Games[[#This Row],[Type]]="P",Games[[#This Row],[Round]]=4),IF(Games[[#This Row],[Result]]&gt;0.5,1,0),0)</f>
        <v>0</v>
      </c>
      <c r="AL499" s="2">
        <f>IF(AND(Games[[#This Row],[Type]]="P",Games[[#This Row],[Round]]=4),IF(Games[[#This Row],[Result]]&lt;0.5,1,0),0)</f>
        <v>0</v>
      </c>
    </row>
    <row r="500" spans="1:38" x14ac:dyDescent="0.35">
      <c r="A500" s="10">
        <v>37869</v>
      </c>
      <c r="B500" s="2">
        <v>2003</v>
      </c>
      <c r="C500" s="2">
        <f>COUNTIFS(Games[Team],Games[[#This Row],[Team]],Games[Season],Games[[#This Row],[Season]],Games[Date],"&lt;=" &amp; Games[[#This Row],[Date]])</f>
        <v>38</v>
      </c>
      <c r="D500" s="2" t="s">
        <v>46</v>
      </c>
      <c r="E500" s="2">
        <v>2</v>
      </c>
      <c r="F500" s="1" t="s">
        <v>76</v>
      </c>
      <c r="G500" s="1" t="s">
        <v>87</v>
      </c>
      <c r="H500" s="1" t="s">
        <v>16</v>
      </c>
      <c r="I500" s="2" cm="1">
        <f t="array" ref="I500">IFERROR(
    Games[[#This Row],[Date]]
    - LOOKUP(
        2,
        1/((Games[Team]=Games[[#This Row],[Team]]) * (Games[Date] &lt; Games[[#This Row],[Date]])),
        Games[Date]
    )
    - 1,
Games[[#This Row],[Date]]-$A$2)</f>
        <v>2</v>
      </c>
      <c r="J500" s="2" cm="1">
        <f t="array" ref="J500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500" s="2">
        <f>Games[[#This Row],[DaysOff]]-Games[[#This Row],[OppDaysOff]]</f>
        <v>-3</v>
      </c>
      <c r="L500" s="2">
        <f>Games[[#This Row],[OppDaysOff]]-Games[[#This Row],[DaysOff]]</f>
        <v>3</v>
      </c>
      <c r="M500" s="1">
        <f>MAX(-16, MIN(16, Games[[#This Row],[RestDiff]]*8))</f>
        <v>-16</v>
      </c>
      <c r="N500" s="1">
        <f>MAX(-16, MIN(16, Games[[#This Row],[OppRestDiff]]*8))</f>
        <v>16</v>
      </c>
      <c r="O500" s="4" cm="1">
        <f t="array" ref="O50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1608.0051466201726</v>
      </c>
      <c r="P500" s="4" cm="1">
        <f t="array" ref="P50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1545.2283315766254</v>
      </c>
      <c r="Q500" s="4">
        <f>1/(1+10^(((Games[[#This Row],[OppPreGmRate]]+IF(Games[[#This Row],[HomeAway]]="A",HCA,0)+Games[[#This Row],[OppRestAdj]])-(Games[[#This Row],[PreGmRate]]+IF(Games[[#This Row],[HomeAway]]="H",HCA,0)+Games[[#This Row],[RestAdj]]))/400))</f>
        <v>0.42399924895226127</v>
      </c>
      <c r="R500" s="1">
        <v>73</v>
      </c>
      <c r="S500" s="1">
        <v>63</v>
      </c>
      <c r="T500" s="1">
        <v>0</v>
      </c>
      <c r="U500" s="1">
        <f>Games[[#This Row],[PointsFor]]-Games[[#This Row],[PointsAgainst]]</f>
        <v>10</v>
      </c>
      <c r="V500" s="1">
        <f>IF(Games[[#This Row],[MOV]]&gt;0,1,IF(Games[[#This Row],[MOV]]=0,0.5,0))</f>
        <v>1</v>
      </c>
      <c r="W500" s="4">
        <f>((ABS(Games[[#This Row],[MOV]])+5)^0.6)/(12+0.01*(ABS(Games[[#This Row],[PreGmRate]]-Games[[#This Row],[OppPreGmRate]])))*IF(Games[[#This Row],[OT]]=1,0.9,1)</f>
        <v>0.40209452149406993</v>
      </c>
      <c r="X500" s="7" cm="1">
        <f t="array" ref="X50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500" s="9">
        <f>MAX(kmin, kmax - 0.15 * MIN(Games[[#This Row],[GamesPlayed]], 82))</f>
        <v>70.3</v>
      </c>
      <c r="Z500" s="4">
        <f>Games[[#This Row],[K]]*Games[[#This Row],[POMult]]</f>
        <v>84.36</v>
      </c>
      <c r="AA500" s="4">
        <f>(Games[[#This Row],[Keff]]*Games[[#This Row],[MOVMult]])*(Games[[#This Row],[Result]]-Games[[#This Row],[ExpectedWin%]])</f>
        <v>19.53834512400649</v>
      </c>
      <c r="AB500" s="4">
        <f>Games[[#This Row],[PreGmRate]]+Games[[#This Row],[RatingChange]]</f>
        <v>1627.5434917441792</v>
      </c>
      <c r="AC500" s="2">
        <f>IF(Games[[#This Row],[Type]]="R",IF(Games[[#This Row],[Result]]&gt;0.5,1,0),0)</f>
        <v>0</v>
      </c>
      <c r="AD500" s="2">
        <f>IF(Games[[#This Row],[Type]]="R",IF(Games[[#This Row],[Result]]&lt;0.5,1,0),0)</f>
        <v>0</v>
      </c>
      <c r="AE500" s="2">
        <f>IF(AND(Games[[#This Row],[Type]]="P",Games[[#This Row],[Round]]=1),IF(Games[[#This Row],[Result]]&gt;0.5,1,0),0)</f>
        <v>0</v>
      </c>
      <c r="AF500" s="2">
        <f>IF(AND(Games[[#This Row],[Type]]="P",Games[[#This Row],[Round]]=1),IF(Games[[#This Row],[Result]]&lt;0.5,1,0),0)</f>
        <v>0</v>
      </c>
      <c r="AG500" s="2">
        <f>IF(AND(Games[[#This Row],[Type]]="P",Games[[#This Row],[Round]]=2),IF(Games[[#This Row],[Result]]&gt;0.5,1,0),0)</f>
        <v>1</v>
      </c>
      <c r="AH500" s="2">
        <f>IF(AND(Games[[#This Row],[Type]]="P",Games[[#This Row],[Round]]=2),IF(Games[[#This Row],[Result]]&lt;0.5,1,0),0)</f>
        <v>0</v>
      </c>
      <c r="AI500" s="2">
        <f>IF(AND(Games[[#This Row],[Type]]="P",Games[[#This Row],[Round]]=3),IF(Games[[#This Row],[Result]]&gt;0.5,1,0),0)</f>
        <v>0</v>
      </c>
      <c r="AJ500" s="2">
        <f>IF(AND(Games[[#This Row],[Type]]="P",Games[[#This Row],[Round]]=3),IF(Games[[#This Row],[Result]]&lt;0.5,1,0),0)</f>
        <v>0</v>
      </c>
      <c r="AK500" s="2">
        <f>IF(AND(Games[[#This Row],[Type]]="P",Games[[#This Row],[Round]]=4),IF(Games[[#This Row],[Result]]&gt;0.5,1,0),0)</f>
        <v>0</v>
      </c>
      <c r="AL500" s="2">
        <f>IF(AND(Games[[#This Row],[Type]]="P",Games[[#This Row],[Round]]=4),IF(Games[[#This Row],[Result]]&lt;0.5,1,0),0)</f>
        <v>0</v>
      </c>
    </row>
    <row r="501" spans="1:38" x14ac:dyDescent="0.35">
      <c r="A501" s="10">
        <v>37869</v>
      </c>
      <c r="B501" s="2">
        <v>2003</v>
      </c>
      <c r="C501" s="2">
        <f>COUNTIFS(Games[Team],Games[[#This Row],[Team]],Games[Season],Games[[#This Row],[Season]],Games[Date],"&lt;=" &amp; Games[[#This Row],[Date]])</f>
        <v>37</v>
      </c>
      <c r="D501" s="2" t="s">
        <v>46</v>
      </c>
      <c r="E501" s="2">
        <v>2</v>
      </c>
      <c r="F501" s="1" t="s">
        <v>87</v>
      </c>
      <c r="G501" s="1" t="s">
        <v>76</v>
      </c>
      <c r="H501" s="1" t="s">
        <v>15</v>
      </c>
      <c r="I501" s="2" cm="1">
        <f t="array" ref="I501">IFERROR(
    Games[[#This Row],[Date]]
    - LOOKUP(
        2,
        1/((Games[Team]=Games[[#This Row],[Team]]) * (Games[Date] &lt; Games[[#This Row],[Date]])),
        Games[Date]
    )
    - 1,
Games[[#This Row],[Date]]-$A$2)</f>
        <v>5</v>
      </c>
      <c r="J501" s="2" cm="1">
        <f t="array" ref="J50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501" s="2">
        <f>Games[[#This Row],[DaysOff]]-Games[[#This Row],[OppDaysOff]]</f>
        <v>3</v>
      </c>
      <c r="L501" s="2">
        <f>Games[[#This Row],[OppDaysOff]]-Games[[#This Row],[DaysOff]]</f>
        <v>-3</v>
      </c>
      <c r="M501" s="1">
        <f>MAX(-16, MIN(16, Games[[#This Row],[RestDiff]]*8))</f>
        <v>16</v>
      </c>
      <c r="N501" s="1">
        <f>MAX(-16, MIN(16, Games[[#This Row],[OppRestDiff]]*8))</f>
        <v>-16</v>
      </c>
      <c r="O501" s="4" cm="1">
        <f t="array" ref="O50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1545.2283315766254</v>
      </c>
      <c r="P501" s="4" cm="1">
        <f t="array" ref="P50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1608.0051466201726</v>
      </c>
      <c r="Q501" s="4">
        <f>1/(1+10^(((Games[[#This Row],[OppPreGmRate]]+IF(Games[[#This Row],[HomeAway]]="A",HCA,0)+Games[[#This Row],[OppRestAdj]])-(Games[[#This Row],[PreGmRate]]+IF(Games[[#This Row],[HomeAway]]="H",HCA,0)+Games[[#This Row],[RestAdj]]))/400))</f>
        <v>0.57600075104773862</v>
      </c>
      <c r="R501" s="1">
        <v>63</v>
      </c>
      <c r="S501" s="1">
        <v>73</v>
      </c>
      <c r="T501" s="1">
        <v>0</v>
      </c>
      <c r="U501" s="1">
        <f>Games[[#This Row],[PointsFor]]-Games[[#This Row],[PointsAgainst]]</f>
        <v>-10</v>
      </c>
      <c r="V501" s="1">
        <f>IF(Games[[#This Row],[MOV]]&gt;0,1,IF(Games[[#This Row],[MOV]]=0,0.5,0))</f>
        <v>0</v>
      </c>
      <c r="W501" s="4">
        <f>((ABS(Games[[#This Row],[MOV]])+5)^0.6)/(12+0.01*(ABS(Games[[#This Row],[PreGmRate]]-Games[[#This Row],[OppPreGmRate]])))*IF(Games[[#This Row],[OT]]=1,0.9,1)</f>
        <v>0.40209452149406993</v>
      </c>
      <c r="X501" s="7" cm="1">
        <f t="array" ref="X50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501" s="9">
        <f>MAX(kmin, kmax - 0.15 * MIN(Games[[#This Row],[GamesPlayed]], 82))</f>
        <v>70.45</v>
      </c>
      <c r="Z501" s="4">
        <f>Games[[#This Row],[K]]*Games[[#This Row],[POMult]]</f>
        <v>84.54</v>
      </c>
      <c r="AA501" s="4">
        <f>(Games[[#This Row],[Keff]]*Games[[#This Row],[MOVMult]])*(Games[[#This Row],[Result]]-Games[[#This Row],[ExpectedWin%]])</f>
        <v>-19.580034338353585</v>
      </c>
      <c r="AB501" s="4">
        <f>Games[[#This Row],[PreGmRate]]+Games[[#This Row],[RatingChange]]</f>
        <v>1525.6482972382719</v>
      </c>
      <c r="AC501" s="2">
        <f>IF(Games[[#This Row],[Type]]="R",IF(Games[[#This Row],[Result]]&gt;0.5,1,0),0)</f>
        <v>0</v>
      </c>
      <c r="AD501" s="2">
        <f>IF(Games[[#This Row],[Type]]="R",IF(Games[[#This Row],[Result]]&lt;0.5,1,0),0)</f>
        <v>0</v>
      </c>
      <c r="AE501" s="2">
        <f>IF(AND(Games[[#This Row],[Type]]="P",Games[[#This Row],[Round]]=1),IF(Games[[#This Row],[Result]]&gt;0.5,1,0),0)</f>
        <v>0</v>
      </c>
      <c r="AF501" s="2">
        <f>IF(AND(Games[[#This Row],[Type]]="P",Games[[#This Row],[Round]]=1),IF(Games[[#This Row],[Result]]&lt;0.5,1,0),0)</f>
        <v>0</v>
      </c>
      <c r="AG501" s="2">
        <f>IF(AND(Games[[#This Row],[Type]]="P",Games[[#This Row],[Round]]=2),IF(Games[[#This Row],[Result]]&gt;0.5,1,0),0)</f>
        <v>0</v>
      </c>
      <c r="AH501" s="2">
        <f>IF(AND(Games[[#This Row],[Type]]="P",Games[[#This Row],[Round]]=2),IF(Games[[#This Row],[Result]]&lt;0.5,1,0),0)</f>
        <v>1</v>
      </c>
      <c r="AI501" s="2">
        <f>IF(AND(Games[[#This Row],[Type]]="P",Games[[#This Row],[Round]]=3),IF(Games[[#This Row],[Result]]&gt;0.5,1,0),0)</f>
        <v>0</v>
      </c>
      <c r="AJ501" s="2">
        <f>IF(AND(Games[[#This Row],[Type]]="P",Games[[#This Row],[Round]]=3),IF(Games[[#This Row],[Result]]&lt;0.5,1,0),0)</f>
        <v>0</v>
      </c>
      <c r="AK501" s="2">
        <f>IF(AND(Games[[#This Row],[Type]]="P",Games[[#This Row],[Round]]=4),IF(Games[[#This Row],[Result]]&gt;0.5,1,0),0)</f>
        <v>0</v>
      </c>
      <c r="AL501" s="2">
        <f>IF(AND(Games[[#This Row],[Type]]="P",Games[[#This Row],[Round]]=4),IF(Games[[#This Row],[Result]]&lt;0.5,1,0),0)</f>
        <v>0</v>
      </c>
    </row>
    <row r="502" spans="1:38" x14ac:dyDescent="0.35">
      <c r="A502" s="10">
        <v>37869</v>
      </c>
      <c r="B502" s="2">
        <v>2003</v>
      </c>
      <c r="C502" s="2">
        <f>COUNTIFS(Games[Team],Games[[#This Row],[Team]],Games[Season],Games[[#This Row],[Season]],Games[Date],"&lt;=" &amp; Games[[#This Row],[Date]])</f>
        <v>38</v>
      </c>
      <c r="D502" s="2" t="s">
        <v>46</v>
      </c>
      <c r="E502" s="2">
        <v>2</v>
      </c>
      <c r="F502" s="1" t="s">
        <v>71</v>
      </c>
      <c r="G502" s="1" t="s">
        <v>45</v>
      </c>
      <c r="H502" s="1" t="s">
        <v>16</v>
      </c>
      <c r="I502" s="2" cm="1">
        <f t="array" ref="I502">IFERROR(
    Games[[#This Row],[Date]]
    - LOOKUP(
        2,
        1/((Games[Team]=Games[[#This Row],[Team]]) * (Games[Date] &lt; Games[[#This Row],[Date]])),
        Games[Date]
    )
    - 1,
Games[[#This Row],[Date]]-$A$2)</f>
        <v>3</v>
      </c>
      <c r="J502" s="2" cm="1">
        <f t="array" ref="J50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502" s="2">
        <f>Games[[#This Row],[DaysOff]]-Games[[#This Row],[OppDaysOff]]</f>
        <v>1</v>
      </c>
      <c r="L502" s="2">
        <f>Games[[#This Row],[OppDaysOff]]-Games[[#This Row],[DaysOff]]</f>
        <v>-1</v>
      </c>
      <c r="M502" s="1">
        <f>MAX(-16, MIN(16, Games[[#This Row],[RestDiff]]*8))</f>
        <v>8</v>
      </c>
      <c r="N502" s="1">
        <f>MAX(-16, MIN(16, Games[[#This Row],[OppRestDiff]]*8))</f>
        <v>-8</v>
      </c>
      <c r="O502" s="4" cm="1">
        <f t="array" ref="O50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1617.568321618963</v>
      </c>
      <c r="P502" s="4" cm="1">
        <f t="array" ref="P50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1568.0724255151006</v>
      </c>
      <c r="Q502" s="4">
        <f>1/(1+10^(((Games[[#This Row],[OppPreGmRate]]+IF(Games[[#This Row],[HomeAway]]="A",HCA,0)+Games[[#This Row],[OppRestAdj]])-(Games[[#This Row],[PreGmRate]]+IF(Games[[#This Row],[HomeAway]]="H",HCA,0)+Games[[#This Row],[RestAdj]]))/400))</f>
        <v>0.47339560385606888</v>
      </c>
      <c r="R502" s="1">
        <v>69</v>
      </c>
      <c r="S502" s="1">
        <v>77</v>
      </c>
      <c r="T502" s="1">
        <v>0</v>
      </c>
      <c r="U502" s="1">
        <f>Games[[#This Row],[PointsFor]]-Games[[#This Row],[PointsAgainst]]</f>
        <v>-8</v>
      </c>
      <c r="V502" s="1">
        <f>IF(Games[[#This Row],[MOV]]&gt;0,1,IF(Games[[#This Row],[MOV]]=0,0.5,0))</f>
        <v>0</v>
      </c>
      <c r="W502" s="4">
        <f>((ABS(Games[[#This Row],[MOV]])+5)^0.6)/(12+0.01*(ABS(Games[[#This Row],[PreGmRate]]-Games[[#This Row],[OppPreGmRate]])))*IF(Games[[#This Row],[OT]]=1,0.9,1)</f>
        <v>0.37293331131107044</v>
      </c>
      <c r="X502" s="7" cm="1">
        <f t="array" ref="X50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502" s="9">
        <f>MAX(kmin, kmax - 0.15 * MIN(Games[[#This Row],[GamesPlayed]], 82))</f>
        <v>70.3</v>
      </c>
      <c r="Z502" s="4">
        <f>Games[[#This Row],[K]]*Games[[#This Row],[POMult]]</f>
        <v>84.36</v>
      </c>
      <c r="AA502" s="4">
        <f>(Games[[#This Row],[Keff]]*Games[[#This Row],[MOVMult]])*(Games[[#This Row],[Result]]-Games[[#This Row],[ExpectedWin%]])</f>
        <v>-14.893335365354606</v>
      </c>
      <c r="AB502" s="4">
        <f>Games[[#This Row],[PreGmRate]]+Games[[#This Row],[RatingChange]]</f>
        <v>1602.6749862536083</v>
      </c>
      <c r="AC502" s="2">
        <f>IF(Games[[#This Row],[Type]]="R",IF(Games[[#This Row],[Result]]&gt;0.5,1,0),0)</f>
        <v>0</v>
      </c>
      <c r="AD502" s="2">
        <f>IF(Games[[#This Row],[Type]]="R",IF(Games[[#This Row],[Result]]&lt;0.5,1,0),0)</f>
        <v>0</v>
      </c>
      <c r="AE502" s="2">
        <f>IF(AND(Games[[#This Row],[Type]]="P",Games[[#This Row],[Round]]=1),IF(Games[[#This Row],[Result]]&gt;0.5,1,0),0)</f>
        <v>0</v>
      </c>
      <c r="AF502" s="2">
        <f>IF(AND(Games[[#This Row],[Type]]="P",Games[[#This Row],[Round]]=1),IF(Games[[#This Row],[Result]]&lt;0.5,1,0),0)</f>
        <v>0</v>
      </c>
      <c r="AG502" s="2">
        <f>IF(AND(Games[[#This Row],[Type]]="P",Games[[#This Row],[Round]]=2),IF(Games[[#This Row],[Result]]&gt;0.5,1,0),0)</f>
        <v>0</v>
      </c>
      <c r="AH502" s="2">
        <f>IF(AND(Games[[#This Row],[Type]]="P",Games[[#This Row],[Round]]=2),IF(Games[[#This Row],[Result]]&lt;0.5,1,0),0)</f>
        <v>1</v>
      </c>
      <c r="AI502" s="2">
        <f>IF(AND(Games[[#This Row],[Type]]="P",Games[[#This Row],[Round]]=3),IF(Games[[#This Row],[Result]]&gt;0.5,1,0),0)</f>
        <v>0</v>
      </c>
      <c r="AJ502" s="2">
        <f>IF(AND(Games[[#This Row],[Type]]="P",Games[[#This Row],[Round]]=3),IF(Games[[#This Row],[Result]]&lt;0.5,1,0),0)</f>
        <v>0</v>
      </c>
      <c r="AK502" s="2">
        <f>IF(AND(Games[[#This Row],[Type]]="P",Games[[#This Row],[Round]]=4),IF(Games[[#This Row],[Result]]&gt;0.5,1,0),0)</f>
        <v>0</v>
      </c>
      <c r="AL502" s="2">
        <f>IF(AND(Games[[#This Row],[Type]]="P",Games[[#This Row],[Round]]=4),IF(Games[[#This Row],[Result]]&lt;0.5,1,0),0)</f>
        <v>0</v>
      </c>
    </row>
    <row r="503" spans="1:38" x14ac:dyDescent="0.35">
      <c r="A503" s="10">
        <v>37869</v>
      </c>
      <c r="B503" s="2">
        <v>2003</v>
      </c>
      <c r="C503" s="2">
        <f>COUNTIFS(Games[Team],Games[[#This Row],[Team]],Games[Season],Games[[#This Row],[Season]],Games[Date],"&lt;=" &amp; Games[[#This Row],[Date]])</f>
        <v>38</v>
      </c>
      <c r="D503" s="2" t="s">
        <v>46</v>
      </c>
      <c r="E503" s="2">
        <v>2</v>
      </c>
      <c r="F503" s="1" t="s">
        <v>45</v>
      </c>
      <c r="G503" s="1" t="s">
        <v>71</v>
      </c>
      <c r="H503" s="1" t="s">
        <v>15</v>
      </c>
      <c r="I503" s="2" cm="1">
        <f t="array" ref="I503">IFERROR(
    Games[[#This Row],[Date]]
    - LOOKUP(
        2,
        1/((Games[Team]=Games[[#This Row],[Team]]) * (Games[Date] &lt; Games[[#This Row],[Date]])),
        Games[Date]
    )
    - 1,
Games[[#This Row],[Date]]-$A$2)</f>
        <v>2</v>
      </c>
      <c r="J503" s="2" cm="1">
        <f t="array" ref="J503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503" s="2">
        <f>Games[[#This Row],[DaysOff]]-Games[[#This Row],[OppDaysOff]]</f>
        <v>-1</v>
      </c>
      <c r="L503" s="2">
        <f>Games[[#This Row],[OppDaysOff]]-Games[[#This Row],[DaysOff]]</f>
        <v>1</v>
      </c>
      <c r="M503" s="1">
        <f>MAX(-16, MIN(16, Games[[#This Row],[RestDiff]]*8))</f>
        <v>-8</v>
      </c>
      <c r="N503" s="1">
        <f>MAX(-16, MIN(16, Games[[#This Row],[OppRestDiff]]*8))</f>
        <v>8</v>
      </c>
      <c r="O503" s="4" cm="1">
        <f t="array" ref="O50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1568.0724255151006</v>
      </c>
      <c r="P503" s="4" cm="1">
        <f t="array" ref="P50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1617.568321618963</v>
      </c>
      <c r="Q503" s="4">
        <f>1/(1+10^(((Games[[#This Row],[OppPreGmRate]]+IF(Games[[#This Row],[HomeAway]]="A",HCA,0)+Games[[#This Row],[OppRestAdj]])-(Games[[#This Row],[PreGmRate]]+IF(Games[[#This Row],[HomeAway]]="H",HCA,0)+Games[[#This Row],[RestAdj]]))/400))</f>
        <v>0.52660439614393117</v>
      </c>
      <c r="R503" s="1">
        <v>77</v>
      </c>
      <c r="S503" s="1">
        <v>69</v>
      </c>
      <c r="T503" s="1">
        <v>0</v>
      </c>
      <c r="U503" s="1">
        <f>Games[[#This Row],[PointsFor]]-Games[[#This Row],[PointsAgainst]]</f>
        <v>8</v>
      </c>
      <c r="V503" s="1">
        <f>IF(Games[[#This Row],[MOV]]&gt;0,1,IF(Games[[#This Row],[MOV]]=0,0.5,0))</f>
        <v>1</v>
      </c>
      <c r="W503" s="4">
        <f>((ABS(Games[[#This Row],[MOV]])+5)^0.6)/(12+0.01*(ABS(Games[[#This Row],[PreGmRate]]-Games[[#This Row],[OppPreGmRate]])))*IF(Games[[#This Row],[OT]]=1,0.9,1)</f>
        <v>0.37293331131107044</v>
      </c>
      <c r="X503" s="7" cm="1">
        <f t="array" ref="X50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503" s="9">
        <f>MAX(kmin, kmax - 0.15 * MIN(Games[[#This Row],[GamesPlayed]], 82))</f>
        <v>70.3</v>
      </c>
      <c r="Z503" s="4">
        <f>Games[[#This Row],[K]]*Games[[#This Row],[POMult]]</f>
        <v>84.36</v>
      </c>
      <c r="AA503" s="4">
        <f>(Games[[#This Row],[Keff]]*Games[[#This Row],[MOVMult]])*(Games[[#This Row],[Result]]-Games[[#This Row],[ExpectedWin%]])</f>
        <v>14.893335365354604</v>
      </c>
      <c r="AB503" s="4">
        <f>Games[[#This Row],[PreGmRate]]+Games[[#This Row],[RatingChange]]</f>
        <v>1582.9657608804553</v>
      </c>
      <c r="AC503" s="2">
        <f>IF(Games[[#This Row],[Type]]="R",IF(Games[[#This Row],[Result]]&gt;0.5,1,0),0)</f>
        <v>0</v>
      </c>
      <c r="AD503" s="2">
        <f>IF(Games[[#This Row],[Type]]="R",IF(Games[[#This Row],[Result]]&lt;0.5,1,0),0)</f>
        <v>0</v>
      </c>
      <c r="AE503" s="2">
        <f>IF(AND(Games[[#This Row],[Type]]="P",Games[[#This Row],[Round]]=1),IF(Games[[#This Row],[Result]]&gt;0.5,1,0),0)</f>
        <v>0</v>
      </c>
      <c r="AF503" s="2">
        <f>IF(AND(Games[[#This Row],[Type]]="P",Games[[#This Row],[Round]]=1),IF(Games[[#This Row],[Result]]&lt;0.5,1,0),0)</f>
        <v>0</v>
      </c>
      <c r="AG503" s="2">
        <f>IF(AND(Games[[#This Row],[Type]]="P",Games[[#This Row],[Round]]=2),IF(Games[[#This Row],[Result]]&gt;0.5,1,0),0)</f>
        <v>1</v>
      </c>
      <c r="AH503" s="2">
        <f>IF(AND(Games[[#This Row],[Type]]="P",Games[[#This Row],[Round]]=2),IF(Games[[#This Row],[Result]]&lt;0.5,1,0),0)</f>
        <v>0</v>
      </c>
      <c r="AI503" s="2">
        <f>IF(AND(Games[[#This Row],[Type]]="P",Games[[#This Row],[Round]]=3),IF(Games[[#This Row],[Result]]&gt;0.5,1,0),0)</f>
        <v>0</v>
      </c>
      <c r="AJ503" s="2">
        <f>IF(AND(Games[[#This Row],[Type]]="P",Games[[#This Row],[Round]]=3),IF(Games[[#This Row],[Result]]&lt;0.5,1,0),0)</f>
        <v>0</v>
      </c>
      <c r="AK503" s="2">
        <f>IF(AND(Games[[#This Row],[Type]]="P",Games[[#This Row],[Round]]=4),IF(Games[[#This Row],[Result]]&gt;0.5,1,0),0)</f>
        <v>0</v>
      </c>
      <c r="AL503" s="2">
        <f>IF(AND(Games[[#This Row],[Type]]="P",Games[[#This Row],[Round]]=4),IF(Games[[#This Row],[Result]]&lt;0.5,1,0),0)</f>
        <v>0</v>
      </c>
    </row>
    <row r="504" spans="1:38" x14ac:dyDescent="0.35">
      <c r="A504" s="10">
        <v>37871</v>
      </c>
      <c r="B504" s="2">
        <v>2003</v>
      </c>
      <c r="C504" s="2">
        <f>COUNTIFS(Games[Team],Games[[#This Row],[Team]],Games[Season],Games[[#This Row],[Season]],Games[Date],"&lt;=" &amp; Games[[#This Row],[Date]])</f>
        <v>38</v>
      </c>
      <c r="D504" s="2" t="s">
        <v>46</v>
      </c>
      <c r="E504" s="2">
        <v>2</v>
      </c>
      <c r="F504" s="1" t="s">
        <v>87</v>
      </c>
      <c r="G504" s="1" t="s">
        <v>76</v>
      </c>
      <c r="H504" s="1" t="s">
        <v>16</v>
      </c>
      <c r="I504" s="2" cm="1">
        <f t="array" ref="I504">IFERROR(
    Games[[#This Row],[Date]]
    - LOOKUP(
        2,
        1/((Games[Team]=Games[[#This Row],[Team]]) * (Games[Date] &lt; Games[[#This Row],[Date]])),
        Games[Date]
    )
    - 1,
Games[[#This Row],[Date]]-$A$2)</f>
        <v>1</v>
      </c>
      <c r="J504" s="2" cm="1">
        <f t="array" ref="J50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04" s="2">
        <f>Games[[#This Row],[DaysOff]]-Games[[#This Row],[OppDaysOff]]</f>
        <v>0</v>
      </c>
      <c r="L504" s="2">
        <f>Games[[#This Row],[OppDaysOff]]-Games[[#This Row],[DaysOff]]</f>
        <v>0</v>
      </c>
      <c r="M504" s="1">
        <f>MAX(-16, MIN(16, Games[[#This Row],[RestDiff]]*8))</f>
        <v>0</v>
      </c>
      <c r="N504" s="1">
        <f>MAX(-16, MIN(16, Games[[#This Row],[OppRestDiff]]*8))</f>
        <v>0</v>
      </c>
      <c r="O504" s="4" cm="1">
        <f t="array" ref="O50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1525.6482972382719</v>
      </c>
      <c r="P504" s="4" cm="1">
        <f t="array" ref="P50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1627.5434917441792</v>
      </c>
      <c r="Q504" s="4">
        <f>1/(1+10^(((Games[[#This Row],[OppPreGmRate]]+IF(Games[[#This Row],[HomeAway]]="A",HCA,0)+Games[[#This Row],[OppRestAdj]])-(Games[[#This Row],[PreGmRate]]+IF(Games[[#This Row],[HomeAway]]="H",HCA,0)+Games[[#This Row],[RestAdj]]))/400))</f>
        <v>0.25538430333411405</v>
      </c>
      <c r="R504" s="1">
        <v>73</v>
      </c>
      <c r="S504" s="1">
        <v>79</v>
      </c>
      <c r="T504" s="1">
        <v>0</v>
      </c>
      <c r="U504" s="1">
        <f>Games[[#This Row],[PointsFor]]-Games[[#This Row],[PointsAgainst]]</f>
        <v>-6</v>
      </c>
      <c r="V504" s="1">
        <f>IF(Games[[#This Row],[MOV]]&gt;0,1,IF(Games[[#This Row],[MOV]]=0,0.5,0))</f>
        <v>0</v>
      </c>
      <c r="W504" s="4">
        <f>((ABS(Games[[#This Row],[MOV]])+5)^0.6)/(12+0.01*(ABS(Games[[#This Row],[PreGmRate]]-Games[[#This Row],[OppPreGmRate]])))*IF(Games[[#This Row],[OT]]=1,0.9,1)</f>
        <v>0.32378713362496964</v>
      </c>
      <c r="X504" s="7" cm="1">
        <f t="array" ref="X50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504" s="9">
        <f>MAX(kmin, kmax - 0.15 * MIN(Games[[#This Row],[GamesPlayed]], 82))</f>
        <v>70.3</v>
      </c>
      <c r="Z504" s="4">
        <f>Games[[#This Row],[K]]*Games[[#This Row],[POMult]]</f>
        <v>84.36</v>
      </c>
      <c r="AA504" s="4">
        <f>(Games[[#This Row],[Keff]]*Games[[#This Row],[MOVMult]])*(Games[[#This Row],[Result]]-Games[[#This Row],[ExpectedWin%]])</f>
        <v>-6.9757411847042254</v>
      </c>
      <c r="AB504" s="4">
        <f>Games[[#This Row],[PreGmRate]]+Games[[#This Row],[RatingChange]]</f>
        <v>1518.6725560535676</v>
      </c>
      <c r="AC504" s="2">
        <f>IF(Games[[#This Row],[Type]]="R",IF(Games[[#This Row],[Result]]&gt;0.5,1,0),0)</f>
        <v>0</v>
      </c>
      <c r="AD504" s="2">
        <f>IF(Games[[#This Row],[Type]]="R",IF(Games[[#This Row],[Result]]&lt;0.5,1,0),0)</f>
        <v>0</v>
      </c>
      <c r="AE504" s="2">
        <f>IF(AND(Games[[#This Row],[Type]]="P",Games[[#This Row],[Round]]=1),IF(Games[[#This Row],[Result]]&gt;0.5,1,0),0)</f>
        <v>0</v>
      </c>
      <c r="AF504" s="2">
        <f>IF(AND(Games[[#This Row],[Type]]="P",Games[[#This Row],[Round]]=1),IF(Games[[#This Row],[Result]]&lt;0.5,1,0),0)</f>
        <v>0</v>
      </c>
      <c r="AG504" s="2">
        <f>IF(AND(Games[[#This Row],[Type]]="P",Games[[#This Row],[Round]]=2),IF(Games[[#This Row],[Result]]&gt;0.5,1,0),0)</f>
        <v>0</v>
      </c>
      <c r="AH504" s="2">
        <f>IF(AND(Games[[#This Row],[Type]]="P",Games[[#This Row],[Round]]=2),IF(Games[[#This Row],[Result]]&lt;0.5,1,0),0)</f>
        <v>1</v>
      </c>
      <c r="AI504" s="2">
        <f>IF(AND(Games[[#This Row],[Type]]="P",Games[[#This Row],[Round]]=3),IF(Games[[#This Row],[Result]]&gt;0.5,1,0),0)</f>
        <v>0</v>
      </c>
      <c r="AJ504" s="2">
        <f>IF(AND(Games[[#This Row],[Type]]="P",Games[[#This Row],[Round]]=3),IF(Games[[#This Row],[Result]]&lt;0.5,1,0),0)</f>
        <v>0</v>
      </c>
      <c r="AK504" s="2">
        <f>IF(AND(Games[[#This Row],[Type]]="P",Games[[#This Row],[Round]]=4),IF(Games[[#This Row],[Result]]&gt;0.5,1,0),0)</f>
        <v>0</v>
      </c>
      <c r="AL504" s="2">
        <f>IF(AND(Games[[#This Row],[Type]]="P",Games[[#This Row],[Round]]=4),IF(Games[[#This Row],[Result]]&lt;0.5,1,0),0)</f>
        <v>0</v>
      </c>
    </row>
    <row r="505" spans="1:38" x14ac:dyDescent="0.35">
      <c r="A505" s="10">
        <v>37871</v>
      </c>
      <c r="B505" s="2">
        <v>2003</v>
      </c>
      <c r="C505" s="2">
        <f>COUNTIFS(Games[Team],Games[[#This Row],[Team]],Games[Season],Games[[#This Row],[Season]],Games[Date],"&lt;=" &amp; Games[[#This Row],[Date]])</f>
        <v>39</v>
      </c>
      <c r="D505" s="2" t="s">
        <v>46</v>
      </c>
      <c r="E505" s="2">
        <v>2</v>
      </c>
      <c r="F505" s="1" t="s">
        <v>76</v>
      </c>
      <c r="G505" s="1" t="s">
        <v>87</v>
      </c>
      <c r="H505" s="1" t="s">
        <v>15</v>
      </c>
      <c r="I505" s="2" cm="1">
        <f t="array" ref="I505">IFERROR(
    Games[[#This Row],[Date]]
    - LOOKUP(
        2,
        1/((Games[Team]=Games[[#This Row],[Team]]) * (Games[Date] &lt; Games[[#This Row],[Date]])),
        Games[Date]
    )
    - 1,
Games[[#This Row],[Date]]-$A$2)</f>
        <v>1</v>
      </c>
      <c r="J505" s="2" cm="1">
        <f t="array" ref="J50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05" s="2">
        <f>Games[[#This Row],[DaysOff]]-Games[[#This Row],[OppDaysOff]]</f>
        <v>0</v>
      </c>
      <c r="L505" s="2">
        <f>Games[[#This Row],[OppDaysOff]]-Games[[#This Row],[DaysOff]]</f>
        <v>0</v>
      </c>
      <c r="M505" s="1">
        <f>MAX(-16, MIN(16, Games[[#This Row],[RestDiff]]*8))</f>
        <v>0</v>
      </c>
      <c r="N505" s="1">
        <f>MAX(-16, MIN(16, Games[[#This Row],[OppRestDiff]]*8))</f>
        <v>0</v>
      </c>
      <c r="O505" s="4" cm="1">
        <f t="array" ref="O50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1627.5434917441792</v>
      </c>
      <c r="P505" s="4" cm="1">
        <f t="array" ref="P50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1525.6482972382719</v>
      </c>
      <c r="Q505" s="4">
        <f>1/(1+10^(((Games[[#This Row],[OppPreGmRate]]+IF(Games[[#This Row],[HomeAway]]="A",HCA,0)+Games[[#This Row],[OppRestAdj]])-(Games[[#This Row],[PreGmRate]]+IF(Games[[#This Row],[HomeAway]]="H",HCA,0)+Games[[#This Row],[RestAdj]]))/400))</f>
        <v>0.74461569666588601</v>
      </c>
      <c r="R505" s="1">
        <v>79</v>
      </c>
      <c r="S505" s="1">
        <v>73</v>
      </c>
      <c r="T505" s="1">
        <v>0</v>
      </c>
      <c r="U505" s="1">
        <f>Games[[#This Row],[PointsFor]]-Games[[#This Row],[PointsAgainst]]</f>
        <v>6</v>
      </c>
      <c r="V505" s="1">
        <f>IF(Games[[#This Row],[MOV]]&gt;0,1,IF(Games[[#This Row],[MOV]]=0,0.5,0))</f>
        <v>1</v>
      </c>
      <c r="W505" s="4">
        <f>((ABS(Games[[#This Row],[MOV]])+5)^0.6)/(12+0.01*(ABS(Games[[#This Row],[PreGmRate]]-Games[[#This Row],[OppPreGmRate]])))*IF(Games[[#This Row],[OT]]=1,0.9,1)</f>
        <v>0.32378713362496964</v>
      </c>
      <c r="X505" s="7" cm="1">
        <f t="array" ref="X50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505" s="9">
        <f>MAX(kmin, kmax - 0.15 * MIN(Games[[#This Row],[GamesPlayed]], 82))</f>
        <v>70.150000000000006</v>
      </c>
      <c r="Z505" s="4">
        <f>Games[[#This Row],[K]]*Games[[#This Row],[POMult]]</f>
        <v>84.18</v>
      </c>
      <c r="AA505" s="4">
        <f>(Games[[#This Row],[Keff]]*Games[[#This Row],[MOVMult]])*(Games[[#This Row],[Result]]-Games[[#This Row],[ExpectedWin%]])</f>
        <v>6.9608569574253396</v>
      </c>
      <c r="AB505" s="4">
        <f>Games[[#This Row],[PreGmRate]]+Games[[#This Row],[RatingChange]]</f>
        <v>1634.5043487016046</v>
      </c>
      <c r="AC505" s="2">
        <f>IF(Games[[#This Row],[Type]]="R",IF(Games[[#This Row],[Result]]&gt;0.5,1,0),0)</f>
        <v>0</v>
      </c>
      <c r="AD505" s="2">
        <f>IF(Games[[#This Row],[Type]]="R",IF(Games[[#This Row],[Result]]&lt;0.5,1,0),0)</f>
        <v>0</v>
      </c>
      <c r="AE505" s="2">
        <f>IF(AND(Games[[#This Row],[Type]]="P",Games[[#This Row],[Round]]=1),IF(Games[[#This Row],[Result]]&gt;0.5,1,0),0)</f>
        <v>0</v>
      </c>
      <c r="AF505" s="2">
        <f>IF(AND(Games[[#This Row],[Type]]="P",Games[[#This Row],[Round]]=1),IF(Games[[#This Row],[Result]]&lt;0.5,1,0),0)</f>
        <v>0</v>
      </c>
      <c r="AG505" s="2">
        <f>IF(AND(Games[[#This Row],[Type]]="P",Games[[#This Row],[Round]]=2),IF(Games[[#This Row],[Result]]&gt;0.5,1,0),0)</f>
        <v>1</v>
      </c>
      <c r="AH505" s="2">
        <f>IF(AND(Games[[#This Row],[Type]]="P",Games[[#This Row],[Round]]=2),IF(Games[[#This Row],[Result]]&lt;0.5,1,0),0)</f>
        <v>0</v>
      </c>
      <c r="AI505" s="2">
        <f>IF(AND(Games[[#This Row],[Type]]="P",Games[[#This Row],[Round]]=3),IF(Games[[#This Row],[Result]]&gt;0.5,1,0),0)</f>
        <v>0</v>
      </c>
      <c r="AJ505" s="2">
        <f>IF(AND(Games[[#This Row],[Type]]="P",Games[[#This Row],[Round]]=3),IF(Games[[#This Row],[Result]]&lt;0.5,1,0),0)</f>
        <v>0</v>
      </c>
      <c r="AK505" s="2">
        <f>IF(AND(Games[[#This Row],[Type]]="P",Games[[#This Row],[Round]]=4),IF(Games[[#This Row],[Result]]&gt;0.5,1,0),0)</f>
        <v>0</v>
      </c>
      <c r="AL505" s="2">
        <f>IF(AND(Games[[#This Row],[Type]]="P",Games[[#This Row],[Round]]=4),IF(Games[[#This Row],[Result]]&lt;0.5,1,0),0)</f>
        <v>0</v>
      </c>
    </row>
    <row r="506" spans="1:38" x14ac:dyDescent="0.35">
      <c r="A506" s="10">
        <v>37871</v>
      </c>
      <c r="B506" s="2">
        <v>2003</v>
      </c>
      <c r="C506" s="2">
        <f>COUNTIFS(Games[Team],Games[[#This Row],[Team]],Games[Season],Games[[#This Row],[Season]],Games[Date],"&lt;=" &amp; Games[[#This Row],[Date]])</f>
        <v>39</v>
      </c>
      <c r="D506" s="2" t="s">
        <v>46</v>
      </c>
      <c r="E506" s="2">
        <v>2</v>
      </c>
      <c r="F506" s="1" t="s">
        <v>45</v>
      </c>
      <c r="G506" s="1" t="s">
        <v>71</v>
      </c>
      <c r="H506" s="1" t="s">
        <v>16</v>
      </c>
      <c r="I506" s="2" cm="1">
        <f t="array" ref="I506">IFERROR(
    Games[[#This Row],[Date]]
    - LOOKUP(
        2,
        1/((Games[Team]=Games[[#This Row],[Team]]) * (Games[Date] &lt; Games[[#This Row],[Date]])),
        Games[Date]
    )
    - 1,
Games[[#This Row],[Date]]-$A$2)</f>
        <v>1</v>
      </c>
      <c r="J506" s="2" cm="1">
        <f t="array" ref="J50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06" s="2">
        <f>Games[[#This Row],[DaysOff]]-Games[[#This Row],[OppDaysOff]]</f>
        <v>0</v>
      </c>
      <c r="L506" s="2">
        <f>Games[[#This Row],[OppDaysOff]]-Games[[#This Row],[DaysOff]]</f>
        <v>0</v>
      </c>
      <c r="M506" s="1">
        <f>MAX(-16, MIN(16, Games[[#This Row],[RestDiff]]*8))</f>
        <v>0</v>
      </c>
      <c r="N506" s="1">
        <f>MAX(-16, MIN(16, Games[[#This Row],[OppRestDiff]]*8))</f>
        <v>0</v>
      </c>
      <c r="O506" s="4" cm="1">
        <f t="array" ref="O50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1582.9657608804553</v>
      </c>
      <c r="P506" s="4" cm="1">
        <f t="array" ref="P50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1602.6749862536083</v>
      </c>
      <c r="Q506" s="4">
        <f>1/(1+10^(((Games[[#This Row],[OppPreGmRate]]+IF(Games[[#This Row],[HomeAway]]="A",HCA,0)+Games[[#This Row],[OppRestAdj]])-(Games[[#This Row],[PreGmRate]]+IF(Games[[#This Row],[HomeAway]]="H",HCA,0)+Games[[#This Row],[RestAdj]]))/400))</f>
        <v>0.35503073738820651</v>
      </c>
      <c r="R506" s="1">
        <v>54</v>
      </c>
      <c r="S506" s="1">
        <v>79</v>
      </c>
      <c r="T506" s="1">
        <v>0</v>
      </c>
      <c r="U506" s="1">
        <f>Games[[#This Row],[PointsFor]]-Games[[#This Row],[PointsAgainst]]</f>
        <v>-25</v>
      </c>
      <c r="V506" s="1">
        <f>IF(Games[[#This Row],[MOV]]&gt;0,1,IF(Games[[#This Row],[MOV]]=0,0.5,0))</f>
        <v>0</v>
      </c>
      <c r="W506" s="4">
        <f>((ABS(Games[[#This Row],[MOV]])+5)^0.6)/(12+0.01*(ABS(Games[[#This Row],[PreGmRate]]-Games[[#This Row],[OppPreGmRate]])))*IF(Games[[#This Row],[OT]]=1,0.9,1)</f>
        <v>0.63098123557863173</v>
      </c>
      <c r="X506" s="7" cm="1">
        <f t="array" ref="X50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506" s="9">
        <f>MAX(kmin, kmax - 0.15 * MIN(Games[[#This Row],[GamesPlayed]], 82))</f>
        <v>70.150000000000006</v>
      </c>
      <c r="Z506" s="4">
        <f>Games[[#This Row],[K]]*Games[[#This Row],[POMult]]</f>
        <v>84.18</v>
      </c>
      <c r="AA506" s="4">
        <f>(Games[[#This Row],[Keff]]*Games[[#This Row],[MOVMult]])*(Games[[#This Row],[Result]]-Games[[#This Row],[ExpectedWin%]])</f>
        <v>-18.857812793032885</v>
      </c>
      <c r="AB506" s="4">
        <f>Games[[#This Row],[PreGmRate]]+Games[[#This Row],[RatingChange]]</f>
        <v>1564.1079480874223</v>
      </c>
      <c r="AC506" s="2">
        <f>IF(Games[[#This Row],[Type]]="R",IF(Games[[#This Row],[Result]]&gt;0.5,1,0),0)</f>
        <v>0</v>
      </c>
      <c r="AD506" s="2">
        <f>IF(Games[[#This Row],[Type]]="R",IF(Games[[#This Row],[Result]]&lt;0.5,1,0),0)</f>
        <v>0</v>
      </c>
      <c r="AE506" s="2">
        <f>IF(AND(Games[[#This Row],[Type]]="P",Games[[#This Row],[Round]]=1),IF(Games[[#This Row],[Result]]&gt;0.5,1,0),0)</f>
        <v>0</v>
      </c>
      <c r="AF506" s="2">
        <f>IF(AND(Games[[#This Row],[Type]]="P",Games[[#This Row],[Round]]=1),IF(Games[[#This Row],[Result]]&lt;0.5,1,0),0)</f>
        <v>0</v>
      </c>
      <c r="AG506" s="2">
        <f>IF(AND(Games[[#This Row],[Type]]="P",Games[[#This Row],[Round]]=2),IF(Games[[#This Row],[Result]]&gt;0.5,1,0),0)</f>
        <v>0</v>
      </c>
      <c r="AH506" s="2">
        <f>IF(AND(Games[[#This Row],[Type]]="P",Games[[#This Row],[Round]]=2),IF(Games[[#This Row],[Result]]&lt;0.5,1,0),0)</f>
        <v>1</v>
      </c>
      <c r="AI506" s="2">
        <f>IF(AND(Games[[#This Row],[Type]]="P",Games[[#This Row],[Round]]=3),IF(Games[[#This Row],[Result]]&gt;0.5,1,0),0)</f>
        <v>0</v>
      </c>
      <c r="AJ506" s="2">
        <f>IF(AND(Games[[#This Row],[Type]]="P",Games[[#This Row],[Round]]=3),IF(Games[[#This Row],[Result]]&lt;0.5,1,0),0)</f>
        <v>0</v>
      </c>
      <c r="AK506" s="2">
        <f>IF(AND(Games[[#This Row],[Type]]="P",Games[[#This Row],[Round]]=4),IF(Games[[#This Row],[Result]]&gt;0.5,1,0),0)</f>
        <v>0</v>
      </c>
      <c r="AL506" s="2">
        <f>IF(AND(Games[[#This Row],[Type]]="P",Games[[#This Row],[Round]]=4),IF(Games[[#This Row],[Result]]&lt;0.5,1,0),0)</f>
        <v>0</v>
      </c>
    </row>
    <row r="507" spans="1:38" x14ac:dyDescent="0.35">
      <c r="A507" s="10">
        <v>37871</v>
      </c>
      <c r="B507" s="2">
        <v>2003</v>
      </c>
      <c r="C507" s="2">
        <f>COUNTIFS(Games[Team],Games[[#This Row],[Team]],Games[Season],Games[[#This Row],[Season]],Games[Date],"&lt;=" &amp; Games[[#This Row],[Date]])</f>
        <v>39</v>
      </c>
      <c r="D507" s="2" t="s">
        <v>46</v>
      </c>
      <c r="E507" s="2">
        <v>2</v>
      </c>
      <c r="F507" s="1" t="s">
        <v>71</v>
      </c>
      <c r="G507" s="1" t="s">
        <v>45</v>
      </c>
      <c r="H507" s="1" t="s">
        <v>15</v>
      </c>
      <c r="I507" s="2" cm="1">
        <f t="array" ref="I507">IFERROR(
    Games[[#This Row],[Date]]
    - LOOKUP(
        2,
        1/((Games[Team]=Games[[#This Row],[Team]]) * (Games[Date] &lt; Games[[#This Row],[Date]])),
        Games[Date]
    )
    - 1,
Games[[#This Row],[Date]]-$A$2)</f>
        <v>1</v>
      </c>
      <c r="J507" s="2" cm="1">
        <f t="array" ref="J50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07" s="2">
        <f>Games[[#This Row],[DaysOff]]-Games[[#This Row],[OppDaysOff]]</f>
        <v>0</v>
      </c>
      <c r="L507" s="2">
        <f>Games[[#This Row],[OppDaysOff]]-Games[[#This Row],[DaysOff]]</f>
        <v>0</v>
      </c>
      <c r="M507" s="1">
        <f>MAX(-16, MIN(16, Games[[#This Row],[RestDiff]]*8))</f>
        <v>0</v>
      </c>
      <c r="N507" s="1">
        <f>MAX(-16, MIN(16, Games[[#This Row],[OppRestDiff]]*8))</f>
        <v>0</v>
      </c>
      <c r="O507" s="4" cm="1">
        <f t="array" ref="O50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1602.6749862536083</v>
      </c>
      <c r="P507" s="4" cm="1">
        <f t="array" ref="P50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1582.9657608804553</v>
      </c>
      <c r="Q507" s="4">
        <f>1/(1+10^(((Games[[#This Row],[OppPreGmRate]]+IF(Games[[#This Row],[HomeAway]]="A",HCA,0)+Games[[#This Row],[OppRestAdj]])-(Games[[#This Row],[PreGmRate]]+IF(Games[[#This Row],[HomeAway]]="H",HCA,0)+Games[[#This Row],[RestAdj]]))/400))</f>
        <v>0.64496926261179355</v>
      </c>
      <c r="R507" s="1">
        <v>79</v>
      </c>
      <c r="S507" s="1">
        <v>54</v>
      </c>
      <c r="T507" s="1">
        <v>0</v>
      </c>
      <c r="U507" s="1">
        <f>Games[[#This Row],[PointsFor]]-Games[[#This Row],[PointsAgainst]]</f>
        <v>25</v>
      </c>
      <c r="V507" s="1">
        <f>IF(Games[[#This Row],[MOV]]&gt;0,1,IF(Games[[#This Row],[MOV]]=0,0.5,0))</f>
        <v>1</v>
      </c>
      <c r="W507" s="4">
        <f>((ABS(Games[[#This Row],[MOV]])+5)^0.6)/(12+0.01*(ABS(Games[[#This Row],[PreGmRate]]-Games[[#This Row],[OppPreGmRate]])))*IF(Games[[#This Row],[OT]]=1,0.9,1)</f>
        <v>0.63098123557863173</v>
      </c>
      <c r="X507" s="7" cm="1">
        <f t="array" ref="X50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507" s="9">
        <f>MAX(kmin, kmax - 0.15 * MIN(Games[[#This Row],[GamesPlayed]], 82))</f>
        <v>70.150000000000006</v>
      </c>
      <c r="Z507" s="4">
        <f>Games[[#This Row],[K]]*Games[[#This Row],[POMult]]</f>
        <v>84.18</v>
      </c>
      <c r="AA507" s="4">
        <f>(Games[[#This Row],[Keff]]*Games[[#This Row],[MOVMult]])*(Games[[#This Row],[Result]]-Games[[#This Row],[ExpectedWin%]])</f>
        <v>18.857812793032881</v>
      </c>
      <c r="AB507" s="4">
        <f>Games[[#This Row],[PreGmRate]]+Games[[#This Row],[RatingChange]]</f>
        <v>1621.5327990466412</v>
      </c>
      <c r="AC507" s="2">
        <f>IF(Games[[#This Row],[Type]]="R",IF(Games[[#This Row],[Result]]&gt;0.5,1,0),0)</f>
        <v>0</v>
      </c>
      <c r="AD507" s="2">
        <f>IF(Games[[#This Row],[Type]]="R",IF(Games[[#This Row],[Result]]&lt;0.5,1,0),0)</f>
        <v>0</v>
      </c>
      <c r="AE507" s="2">
        <f>IF(AND(Games[[#This Row],[Type]]="P",Games[[#This Row],[Round]]=1),IF(Games[[#This Row],[Result]]&gt;0.5,1,0),0)</f>
        <v>0</v>
      </c>
      <c r="AF507" s="2">
        <f>IF(AND(Games[[#This Row],[Type]]="P",Games[[#This Row],[Round]]=1),IF(Games[[#This Row],[Result]]&lt;0.5,1,0),0)</f>
        <v>0</v>
      </c>
      <c r="AG507" s="2">
        <f>IF(AND(Games[[#This Row],[Type]]="P",Games[[#This Row],[Round]]=2),IF(Games[[#This Row],[Result]]&gt;0.5,1,0),0)</f>
        <v>1</v>
      </c>
      <c r="AH507" s="2">
        <f>IF(AND(Games[[#This Row],[Type]]="P",Games[[#This Row],[Round]]=2),IF(Games[[#This Row],[Result]]&lt;0.5,1,0),0)</f>
        <v>0</v>
      </c>
      <c r="AI507" s="2">
        <f>IF(AND(Games[[#This Row],[Type]]="P",Games[[#This Row],[Round]]=3),IF(Games[[#This Row],[Result]]&gt;0.5,1,0),0)</f>
        <v>0</v>
      </c>
      <c r="AJ507" s="2">
        <f>IF(AND(Games[[#This Row],[Type]]="P",Games[[#This Row],[Round]]=3),IF(Games[[#This Row],[Result]]&lt;0.5,1,0),0)</f>
        <v>0</v>
      </c>
      <c r="AK507" s="2">
        <f>IF(AND(Games[[#This Row],[Type]]="P",Games[[#This Row],[Round]]=4),IF(Games[[#This Row],[Result]]&gt;0.5,1,0),0)</f>
        <v>0</v>
      </c>
      <c r="AL507" s="2">
        <f>IF(AND(Games[[#This Row],[Type]]="P",Games[[#This Row],[Round]]=4),IF(Games[[#This Row],[Result]]&lt;0.5,1,0),0)</f>
        <v>0</v>
      </c>
    </row>
    <row r="508" spans="1:38" x14ac:dyDescent="0.35">
      <c r="A508" s="10">
        <v>37872</v>
      </c>
      <c r="B508" s="2">
        <v>2003</v>
      </c>
      <c r="C508" s="2">
        <f>COUNTIFS(Games[Team],Games[[#This Row],[Team]],Games[Season],Games[[#This Row],[Season]],Games[Date],"&lt;=" &amp; Games[[#This Row],[Date]])</f>
        <v>40</v>
      </c>
      <c r="D508" s="2" t="s">
        <v>46</v>
      </c>
      <c r="E508" s="2">
        <v>2</v>
      </c>
      <c r="F508" s="1" t="s">
        <v>45</v>
      </c>
      <c r="G508" s="1" t="s">
        <v>71</v>
      </c>
      <c r="H508" s="1" t="s">
        <v>16</v>
      </c>
      <c r="I508" s="2" cm="1">
        <f t="array" ref="I508">IFERROR(
    Games[[#This Row],[Date]]
    - LOOKUP(
        2,
        1/((Games[Team]=Games[[#This Row],[Team]]) * (Games[Date] &lt; Games[[#This Row],[Date]])),
        Games[Date]
    )
    - 1,
Games[[#This Row],[Date]]-$A$2)</f>
        <v>0</v>
      </c>
      <c r="J508" s="2" cm="1">
        <f t="array" ref="J508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508" s="2">
        <f>Games[[#This Row],[DaysOff]]-Games[[#This Row],[OppDaysOff]]</f>
        <v>0</v>
      </c>
      <c r="L508" s="2">
        <f>Games[[#This Row],[OppDaysOff]]-Games[[#This Row],[DaysOff]]</f>
        <v>0</v>
      </c>
      <c r="M508" s="1">
        <f>MAX(-16, MIN(16, Games[[#This Row],[RestDiff]]*8))</f>
        <v>0</v>
      </c>
      <c r="N508" s="1">
        <f>MAX(-16, MIN(16, Games[[#This Row],[OppRestDiff]]*8))</f>
        <v>0</v>
      </c>
      <c r="O508" s="4" cm="1">
        <f t="array" ref="O50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1564.1079480874223</v>
      </c>
      <c r="P508" s="4" cm="1">
        <f t="array" ref="P50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1621.5327990466412</v>
      </c>
      <c r="Q508" s="4">
        <f>1/(1+10^(((Games[[#This Row],[OppPreGmRate]]+IF(Games[[#This Row],[HomeAway]]="A",HCA,0)+Games[[#This Row],[OppRestAdj]])-(Games[[#This Row],[PreGmRate]]+IF(Games[[#This Row],[HomeAway]]="H",HCA,0)+Games[[#This Row],[RestAdj]]))/400))</f>
        <v>0.30701603476735195</v>
      </c>
      <c r="R508" s="1">
        <v>63</v>
      </c>
      <c r="S508" s="1">
        <v>66</v>
      </c>
      <c r="T508" s="1">
        <v>0</v>
      </c>
      <c r="U508" s="1">
        <f>Games[[#This Row],[PointsFor]]-Games[[#This Row],[PointsAgainst]]</f>
        <v>-3</v>
      </c>
      <c r="V508" s="1">
        <f>IF(Games[[#This Row],[MOV]]&gt;0,1,IF(Games[[#This Row],[MOV]]=0,0.5,0))</f>
        <v>0</v>
      </c>
      <c r="W508" s="4">
        <f>((ABS(Games[[#This Row],[MOV]])+5)^0.6)/(12+0.01*(ABS(Games[[#This Row],[PreGmRate]]-Games[[#This Row],[OppPreGmRate]])))*IF(Games[[#This Row],[OT]]=1,0.9,1)</f>
        <v>0.27693124169831063</v>
      </c>
      <c r="X508" s="7" cm="1">
        <f t="array" ref="X50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508" s="9">
        <f>MAX(kmin, kmax - 0.15 * MIN(Games[[#This Row],[GamesPlayed]], 82))</f>
        <v>70</v>
      </c>
      <c r="Z508" s="4">
        <f>Games[[#This Row],[K]]*Games[[#This Row],[POMult]]</f>
        <v>84</v>
      </c>
      <c r="AA508" s="4">
        <f>(Games[[#This Row],[Keff]]*Games[[#This Row],[MOVMult]])*(Games[[#This Row],[Result]]-Games[[#This Row],[ExpectedWin%]])</f>
        <v>-7.1418758652708165</v>
      </c>
      <c r="AB508" s="4">
        <f>Games[[#This Row],[PreGmRate]]+Games[[#This Row],[RatingChange]]</f>
        <v>1556.9660722221515</v>
      </c>
      <c r="AC508" s="2">
        <f>IF(Games[[#This Row],[Type]]="R",IF(Games[[#This Row],[Result]]&gt;0.5,1,0),0)</f>
        <v>0</v>
      </c>
      <c r="AD508" s="2">
        <f>IF(Games[[#This Row],[Type]]="R",IF(Games[[#This Row],[Result]]&lt;0.5,1,0),0)</f>
        <v>0</v>
      </c>
      <c r="AE508" s="2">
        <f>IF(AND(Games[[#This Row],[Type]]="P",Games[[#This Row],[Round]]=1),IF(Games[[#This Row],[Result]]&gt;0.5,1,0),0)</f>
        <v>0</v>
      </c>
      <c r="AF508" s="2">
        <f>IF(AND(Games[[#This Row],[Type]]="P",Games[[#This Row],[Round]]=1),IF(Games[[#This Row],[Result]]&lt;0.5,1,0),0)</f>
        <v>0</v>
      </c>
      <c r="AG508" s="2">
        <f>IF(AND(Games[[#This Row],[Type]]="P",Games[[#This Row],[Round]]=2),IF(Games[[#This Row],[Result]]&gt;0.5,1,0),0)</f>
        <v>0</v>
      </c>
      <c r="AH508" s="2">
        <f>IF(AND(Games[[#This Row],[Type]]="P",Games[[#This Row],[Round]]=2),IF(Games[[#This Row],[Result]]&lt;0.5,1,0),0)</f>
        <v>1</v>
      </c>
      <c r="AI508" s="2">
        <f>IF(AND(Games[[#This Row],[Type]]="P",Games[[#This Row],[Round]]=3),IF(Games[[#This Row],[Result]]&gt;0.5,1,0),0)</f>
        <v>0</v>
      </c>
      <c r="AJ508" s="2">
        <f>IF(AND(Games[[#This Row],[Type]]="P",Games[[#This Row],[Round]]=3),IF(Games[[#This Row],[Result]]&lt;0.5,1,0),0)</f>
        <v>0</v>
      </c>
      <c r="AK508" s="2">
        <f>IF(AND(Games[[#This Row],[Type]]="P",Games[[#This Row],[Round]]=4),IF(Games[[#This Row],[Result]]&gt;0.5,1,0),0)</f>
        <v>0</v>
      </c>
      <c r="AL508" s="2">
        <f>IF(AND(Games[[#This Row],[Type]]="P",Games[[#This Row],[Round]]=4),IF(Games[[#This Row],[Result]]&lt;0.5,1,0),0)</f>
        <v>0</v>
      </c>
    </row>
    <row r="509" spans="1:38" x14ac:dyDescent="0.35">
      <c r="A509" s="10">
        <v>37872</v>
      </c>
      <c r="B509" s="2">
        <v>2003</v>
      </c>
      <c r="C509" s="2">
        <f>COUNTIFS(Games[Team],Games[[#This Row],[Team]],Games[Season],Games[[#This Row],[Season]],Games[Date],"&lt;=" &amp; Games[[#This Row],[Date]])</f>
        <v>40</v>
      </c>
      <c r="D509" s="2" t="s">
        <v>46</v>
      </c>
      <c r="E509" s="2">
        <v>2</v>
      </c>
      <c r="F509" s="1" t="s">
        <v>71</v>
      </c>
      <c r="G509" s="1" t="s">
        <v>45</v>
      </c>
      <c r="H509" s="1" t="s">
        <v>15</v>
      </c>
      <c r="I509" s="2" cm="1">
        <f t="array" ref="I509">IFERROR(
    Games[[#This Row],[Date]]
    - LOOKUP(
        2,
        1/((Games[Team]=Games[[#This Row],[Team]]) * (Games[Date] &lt; Games[[#This Row],[Date]])),
        Games[Date]
    )
    - 1,
Games[[#This Row],[Date]]-$A$2)</f>
        <v>0</v>
      </c>
      <c r="J509" s="2" cm="1">
        <f t="array" ref="J509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509" s="2">
        <f>Games[[#This Row],[DaysOff]]-Games[[#This Row],[OppDaysOff]]</f>
        <v>0</v>
      </c>
      <c r="L509" s="2">
        <f>Games[[#This Row],[OppDaysOff]]-Games[[#This Row],[DaysOff]]</f>
        <v>0</v>
      </c>
      <c r="M509" s="1">
        <f>MAX(-16, MIN(16, Games[[#This Row],[RestDiff]]*8))</f>
        <v>0</v>
      </c>
      <c r="N509" s="1">
        <f>MAX(-16, MIN(16, Games[[#This Row],[OppRestDiff]]*8))</f>
        <v>0</v>
      </c>
      <c r="O509" s="4" cm="1">
        <f t="array" ref="O50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1621.5327990466412</v>
      </c>
      <c r="P509" s="4" cm="1">
        <f t="array" ref="P50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1564.1079480874223</v>
      </c>
      <c r="Q509" s="4">
        <f>1/(1+10^(((Games[[#This Row],[OppPreGmRate]]+IF(Games[[#This Row],[HomeAway]]="A",HCA,0)+Games[[#This Row],[OppRestAdj]])-(Games[[#This Row],[PreGmRate]]+IF(Games[[#This Row],[HomeAway]]="H",HCA,0)+Games[[#This Row],[RestAdj]]))/400))</f>
        <v>0.69298396523264805</v>
      </c>
      <c r="R509" s="1">
        <v>66</v>
      </c>
      <c r="S509" s="1">
        <v>63</v>
      </c>
      <c r="T509" s="1">
        <v>0</v>
      </c>
      <c r="U509" s="1">
        <f>Games[[#This Row],[PointsFor]]-Games[[#This Row],[PointsAgainst]]</f>
        <v>3</v>
      </c>
      <c r="V509" s="1">
        <f>IF(Games[[#This Row],[MOV]]&gt;0,1,IF(Games[[#This Row],[MOV]]=0,0.5,0))</f>
        <v>1</v>
      </c>
      <c r="W509" s="4">
        <f>((ABS(Games[[#This Row],[MOV]])+5)^0.6)/(12+0.01*(ABS(Games[[#This Row],[PreGmRate]]-Games[[#This Row],[OppPreGmRate]])))*IF(Games[[#This Row],[OT]]=1,0.9,1)</f>
        <v>0.27693124169831063</v>
      </c>
      <c r="X509" s="7" cm="1">
        <f t="array" ref="X50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509" s="9">
        <f>MAX(kmin, kmax - 0.15 * MIN(Games[[#This Row],[GamesPlayed]], 82))</f>
        <v>70</v>
      </c>
      <c r="Z509" s="4">
        <f>Games[[#This Row],[K]]*Games[[#This Row],[POMult]]</f>
        <v>84</v>
      </c>
      <c r="AA509" s="4">
        <f>(Games[[#This Row],[Keff]]*Games[[#This Row],[MOVMult]])*(Games[[#This Row],[Result]]-Games[[#This Row],[ExpectedWin%]])</f>
        <v>7.1418758652708165</v>
      </c>
      <c r="AB509" s="4">
        <f>Games[[#This Row],[PreGmRate]]+Games[[#This Row],[RatingChange]]</f>
        <v>1628.674674911912</v>
      </c>
      <c r="AC509" s="2">
        <f>IF(Games[[#This Row],[Type]]="R",IF(Games[[#This Row],[Result]]&gt;0.5,1,0),0)</f>
        <v>0</v>
      </c>
      <c r="AD509" s="2">
        <f>IF(Games[[#This Row],[Type]]="R",IF(Games[[#This Row],[Result]]&lt;0.5,1,0),0)</f>
        <v>0</v>
      </c>
      <c r="AE509" s="2">
        <f>IF(AND(Games[[#This Row],[Type]]="P",Games[[#This Row],[Round]]=1),IF(Games[[#This Row],[Result]]&gt;0.5,1,0),0)</f>
        <v>0</v>
      </c>
      <c r="AF509" s="2">
        <f>IF(AND(Games[[#This Row],[Type]]="P",Games[[#This Row],[Round]]=1),IF(Games[[#This Row],[Result]]&lt;0.5,1,0),0)</f>
        <v>0</v>
      </c>
      <c r="AG509" s="2">
        <f>IF(AND(Games[[#This Row],[Type]]="P",Games[[#This Row],[Round]]=2),IF(Games[[#This Row],[Result]]&gt;0.5,1,0),0)</f>
        <v>1</v>
      </c>
      <c r="AH509" s="2">
        <f>IF(AND(Games[[#This Row],[Type]]="P",Games[[#This Row],[Round]]=2),IF(Games[[#This Row],[Result]]&lt;0.5,1,0),0)</f>
        <v>0</v>
      </c>
      <c r="AI509" s="2">
        <f>IF(AND(Games[[#This Row],[Type]]="P",Games[[#This Row],[Round]]=3),IF(Games[[#This Row],[Result]]&gt;0.5,1,0),0)</f>
        <v>0</v>
      </c>
      <c r="AJ509" s="2">
        <f>IF(AND(Games[[#This Row],[Type]]="P",Games[[#This Row],[Round]]=3),IF(Games[[#This Row],[Result]]&lt;0.5,1,0),0)</f>
        <v>0</v>
      </c>
      <c r="AK509" s="2">
        <f>IF(AND(Games[[#This Row],[Type]]="P",Games[[#This Row],[Round]]=4),IF(Games[[#This Row],[Result]]&gt;0.5,1,0),0)</f>
        <v>0</v>
      </c>
      <c r="AL509" s="2">
        <f>IF(AND(Games[[#This Row],[Type]]="P",Games[[#This Row],[Round]]=4),IF(Games[[#This Row],[Result]]&lt;0.5,1,0),0)</f>
        <v>0</v>
      </c>
    </row>
    <row r="510" spans="1:38" x14ac:dyDescent="0.35">
      <c r="A510" s="10">
        <v>37876</v>
      </c>
      <c r="B510" s="2">
        <v>2003</v>
      </c>
      <c r="C510" s="2">
        <f>COUNTIFS(Games[Team],Games[[#This Row],[Team]],Games[Season],Games[[#This Row],[Season]],Games[Date],"&lt;=" &amp; Games[[#This Row],[Date]])</f>
        <v>40</v>
      </c>
      <c r="D510" s="2" t="s">
        <v>46</v>
      </c>
      <c r="E510" s="2">
        <v>3</v>
      </c>
      <c r="F510" s="1" t="s">
        <v>76</v>
      </c>
      <c r="G510" s="1" t="s">
        <v>71</v>
      </c>
      <c r="H510" s="1" t="s">
        <v>16</v>
      </c>
      <c r="I510" s="2" cm="1">
        <f t="array" ref="I510">IFERROR(
    Games[[#This Row],[Date]]
    - LOOKUP(
        2,
        1/((Games[Team]=Games[[#This Row],[Team]]) * (Games[Date] &lt; Games[[#This Row],[Date]])),
        Games[Date]
    )
    - 1,
Games[[#This Row],[Date]]-$A$2)</f>
        <v>4</v>
      </c>
      <c r="J510" s="2" cm="1">
        <f t="array" ref="J510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510" s="2">
        <f>Games[[#This Row],[DaysOff]]-Games[[#This Row],[OppDaysOff]]</f>
        <v>1</v>
      </c>
      <c r="L510" s="2">
        <f>Games[[#This Row],[OppDaysOff]]-Games[[#This Row],[DaysOff]]</f>
        <v>-1</v>
      </c>
      <c r="M510" s="1">
        <f>MAX(-16, MIN(16, Games[[#This Row],[RestDiff]]*8))</f>
        <v>8</v>
      </c>
      <c r="N510" s="1">
        <f>MAX(-16, MIN(16, Games[[#This Row],[OppRestDiff]]*8))</f>
        <v>-8</v>
      </c>
      <c r="O510" s="4" cm="1">
        <f t="array" ref="O51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1634.5043487016046</v>
      </c>
      <c r="P510" s="4" cm="1">
        <f t="array" ref="P51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1628.674674911912</v>
      </c>
      <c r="Q510" s="4">
        <f>1/(1+10^(((Games[[#This Row],[OppPreGmRate]]+IF(Games[[#This Row],[HomeAway]]="A",HCA,0)+Games[[#This Row],[OppRestAdj]])-(Games[[#This Row],[PreGmRate]]+IF(Games[[#This Row],[HomeAway]]="H",HCA,0)+Games[[#This Row],[RestAdj]]))/400))</f>
        <v>0.41147257252198294</v>
      </c>
      <c r="R510" s="1">
        <v>63</v>
      </c>
      <c r="S510" s="1">
        <v>75</v>
      </c>
      <c r="T510" s="1">
        <v>0</v>
      </c>
      <c r="U510" s="1">
        <f>Games[[#This Row],[PointsFor]]-Games[[#This Row],[PointsAgainst]]</f>
        <v>-12</v>
      </c>
      <c r="V510" s="1">
        <f>IF(Games[[#This Row],[MOV]]&gt;0,1,IF(Games[[#This Row],[MOV]]=0,0.5,0))</f>
        <v>0</v>
      </c>
      <c r="W510" s="4">
        <f>((ABS(Games[[#This Row],[MOV]])+5)^0.6)/(12+0.01*(ABS(Games[[#This Row],[PreGmRate]]-Games[[#This Row],[OppPreGmRate]])))*IF(Games[[#This Row],[OT]]=1,0.9,1)</f>
        <v>0.45392425115200186</v>
      </c>
      <c r="X510" s="7" cm="1">
        <f t="array" ref="X51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1.35</v>
      </c>
      <c r="Y510" s="9">
        <f>MAX(kmin, kmax - 0.15 * MIN(Games[[#This Row],[GamesPlayed]], 82))</f>
        <v>70</v>
      </c>
      <c r="Z510" s="4">
        <f>Games[[#This Row],[K]]*Games[[#This Row],[POMult]]</f>
        <v>94.5</v>
      </c>
      <c r="AA510" s="4">
        <f>(Games[[#This Row],[Keff]]*Games[[#This Row],[MOVMult]])*(Games[[#This Row],[Result]]-Games[[#This Row],[ExpectedWin%]])</f>
        <v>-17.650462348728929</v>
      </c>
      <c r="AB510" s="4">
        <f>Games[[#This Row],[PreGmRate]]+Games[[#This Row],[RatingChange]]</f>
        <v>1616.8538863528756</v>
      </c>
      <c r="AC510" s="2">
        <f>IF(Games[[#This Row],[Type]]="R",IF(Games[[#This Row],[Result]]&gt;0.5,1,0),0)</f>
        <v>0</v>
      </c>
      <c r="AD510" s="2">
        <f>IF(Games[[#This Row],[Type]]="R",IF(Games[[#This Row],[Result]]&lt;0.5,1,0),0)</f>
        <v>0</v>
      </c>
      <c r="AE510" s="2">
        <f>IF(AND(Games[[#This Row],[Type]]="P",Games[[#This Row],[Round]]=1),IF(Games[[#This Row],[Result]]&gt;0.5,1,0),0)</f>
        <v>0</v>
      </c>
      <c r="AF510" s="2">
        <f>IF(AND(Games[[#This Row],[Type]]="P",Games[[#This Row],[Round]]=1),IF(Games[[#This Row],[Result]]&lt;0.5,1,0),0)</f>
        <v>0</v>
      </c>
      <c r="AG510" s="2">
        <f>IF(AND(Games[[#This Row],[Type]]="P",Games[[#This Row],[Round]]=2),IF(Games[[#This Row],[Result]]&gt;0.5,1,0),0)</f>
        <v>0</v>
      </c>
      <c r="AH510" s="2">
        <f>IF(AND(Games[[#This Row],[Type]]="P",Games[[#This Row],[Round]]=2),IF(Games[[#This Row],[Result]]&lt;0.5,1,0),0)</f>
        <v>0</v>
      </c>
      <c r="AI510" s="2">
        <f>IF(AND(Games[[#This Row],[Type]]="P",Games[[#This Row],[Round]]=3),IF(Games[[#This Row],[Result]]&gt;0.5,1,0),0)</f>
        <v>0</v>
      </c>
      <c r="AJ510" s="2">
        <f>IF(AND(Games[[#This Row],[Type]]="P",Games[[#This Row],[Round]]=3),IF(Games[[#This Row],[Result]]&lt;0.5,1,0),0)</f>
        <v>1</v>
      </c>
      <c r="AK510" s="2">
        <f>IF(AND(Games[[#This Row],[Type]]="P",Games[[#This Row],[Round]]=4),IF(Games[[#This Row],[Result]]&gt;0.5,1,0),0)</f>
        <v>0</v>
      </c>
      <c r="AL510" s="2">
        <f>IF(AND(Games[[#This Row],[Type]]="P",Games[[#This Row],[Round]]=4),IF(Games[[#This Row],[Result]]&lt;0.5,1,0),0)</f>
        <v>0</v>
      </c>
    </row>
    <row r="511" spans="1:38" x14ac:dyDescent="0.35">
      <c r="A511" s="10">
        <v>37876</v>
      </c>
      <c r="B511" s="2">
        <v>2003</v>
      </c>
      <c r="C511" s="2">
        <f>COUNTIFS(Games[Team],Games[[#This Row],[Team]],Games[Season],Games[[#This Row],[Season]],Games[Date],"&lt;=" &amp; Games[[#This Row],[Date]])</f>
        <v>41</v>
      </c>
      <c r="D511" s="2" t="s">
        <v>46</v>
      </c>
      <c r="E511" s="2">
        <v>3</v>
      </c>
      <c r="F511" s="1" t="s">
        <v>71</v>
      </c>
      <c r="G511" s="1" t="s">
        <v>76</v>
      </c>
      <c r="H511" s="1" t="s">
        <v>15</v>
      </c>
      <c r="I511" s="2" cm="1">
        <f t="array" ref="I511">IFERROR(
    Games[[#This Row],[Date]]
    - LOOKUP(
        2,
        1/((Games[Team]=Games[[#This Row],[Team]]) * (Games[Date] &lt; Games[[#This Row],[Date]])),
        Games[Date]
    )
    - 1,
Games[[#This Row],[Date]]-$A$2)</f>
        <v>3</v>
      </c>
      <c r="J511" s="2" cm="1">
        <f t="array" ref="J511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511" s="2">
        <f>Games[[#This Row],[DaysOff]]-Games[[#This Row],[OppDaysOff]]</f>
        <v>-1</v>
      </c>
      <c r="L511" s="2">
        <f>Games[[#This Row],[OppDaysOff]]-Games[[#This Row],[DaysOff]]</f>
        <v>1</v>
      </c>
      <c r="M511" s="1">
        <f>MAX(-16, MIN(16, Games[[#This Row],[RestDiff]]*8))</f>
        <v>-8</v>
      </c>
      <c r="N511" s="1">
        <f>MAX(-16, MIN(16, Games[[#This Row],[OppRestDiff]]*8))</f>
        <v>8</v>
      </c>
      <c r="O511" s="4" cm="1">
        <f t="array" ref="O51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1628.674674911912</v>
      </c>
      <c r="P511" s="4" cm="1">
        <f t="array" ref="P51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1634.5043487016046</v>
      </c>
      <c r="Q511" s="4">
        <f>1/(1+10^(((Games[[#This Row],[OppPreGmRate]]+IF(Games[[#This Row],[HomeAway]]="A",HCA,0)+Games[[#This Row],[OppRestAdj]])-(Games[[#This Row],[PreGmRate]]+IF(Games[[#This Row],[HomeAway]]="H",HCA,0)+Games[[#This Row],[RestAdj]]))/400))</f>
        <v>0.58852742747801712</v>
      </c>
      <c r="R511" s="1">
        <v>75</v>
      </c>
      <c r="S511" s="1">
        <v>63</v>
      </c>
      <c r="T511" s="1">
        <v>0</v>
      </c>
      <c r="U511" s="1">
        <f>Games[[#This Row],[PointsFor]]-Games[[#This Row],[PointsAgainst]]</f>
        <v>12</v>
      </c>
      <c r="V511" s="1">
        <f>IF(Games[[#This Row],[MOV]]&gt;0,1,IF(Games[[#This Row],[MOV]]=0,0.5,0))</f>
        <v>1</v>
      </c>
      <c r="W511" s="4">
        <f>((ABS(Games[[#This Row],[MOV]])+5)^0.6)/(12+0.01*(ABS(Games[[#This Row],[PreGmRate]]-Games[[#This Row],[OppPreGmRate]])))*IF(Games[[#This Row],[OT]]=1,0.9,1)</f>
        <v>0.45392425115200186</v>
      </c>
      <c r="X511" s="7" cm="1">
        <f t="array" ref="X51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1.35</v>
      </c>
      <c r="Y511" s="9">
        <f>MAX(kmin, kmax - 0.15 * MIN(Games[[#This Row],[GamesPlayed]], 82))</f>
        <v>69.849999999999994</v>
      </c>
      <c r="Z511" s="4">
        <f>Games[[#This Row],[K]]*Games[[#This Row],[POMult]]</f>
        <v>94.297499999999999</v>
      </c>
      <c r="AA511" s="4">
        <f>(Games[[#This Row],[Keff]]*Games[[#This Row],[MOVMult]])*(Games[[#This Row],[Result]]-Games[[#This Row],[ExpectedWin%]])</f>
        <v>17.612639929410221</v>
      </c>
      <c r="AB511" s="4">
        <f>Games[[#This Row],[PreGmRate]]+Games[[#This Row],[RatingChange]]</f>
        <v>1646.2873148413223</v>
      </c>
      <c r="AC511" s="2">
        <f>IF(Games[[#This Row],[Type]]="R",IF(Games[[#This Row],[Result]]&gt;0.5,1,0),0)</f>
        <v>0</v>
      </c>
      <c r="AD511" s="2">
        <f>IF(Games[[#This Row],[Type]]="R",IF(Games[[#This Row],[Result]]&lt;0.5,1,0),0)</f>
        <v>0</v>
      </c>
      <c r="AE511" s="2">
        <f>IF(AND(Games[[#This Row],[Type]]="P",Games[[#This Row],[Round]]=1),IF(Games[[#This Row],[Result]]&gt;0.5,1,0),0)</f>
        <v>0</v>
      </c>
      <c r="AF511" s="2">
        <f>IF(AND(Games[[#This Row],[Type]]="P",Games[[#This Row],[Round]]=1),IF(Games[[#This Row],[Result]]&lt;0.5,1,0),0)</f>
        <v>0</v>
      </c>
      <c r="AG511" s="2">
        <f>IF(AND(Games[[#This Row],[Type]]="P",Games[[#This Row],[Round]]=2),IF(Games[[#This Row],[Result]]&gt;0.5,1,0),0)</f>
        <v>0</v>
      </c>
      <c r="AH511" s="2">
        <f>IF(AND(Games[[#This Row],[Type]]="P",Games[[#This Row],[Round]]=2),IF(Games[[#This Row],[Result]]&lt;0.5,1,0),0)</f>
        <v>0</v>
      </c>
      <c r="AI511" s="2">
        <f>IF(AND(Games[[#This Row],[Type]]="P",Games[[#This Row],[Round]]=3),IF(Games[[#This Row],[Result]]&gt;0.5,1,0),0)</f>
        <v>1</v>
      </c>
      <c r="AJ511" s="2">
        <f>IF(AND(Games[[#This Row],[Type]]="P",Games[[#This Row],[Round]]=3),IF(Games[[#This Row],[Result]]&lt;0.5,1,0),0)</f>
        <v>0</v>
      </c>
      <c r="AK511" s="2">
        <f>IF(AND(Games[[#This Row],[Type]]="P",Games[[#This Row],[Round]]=4),IF(Games[[#This Row],[Result]]&gt;0.5,1,0),0)</f>
        <v>0</v>
      </c>
      <c r="AL511" s="2">
        <f>IF(AND(Games[[#This Row],[Type]]="P",Games[[#This Row],[Round]]=4),IF(Games[[#This Row],[Result]]&lt;0.5,1,0),0)</f>
        <v>0</v>
      </c>
    </row>
    <row r="512" spans="1:38" x14ac:dyDescent="0.35">
      <c r="A512" s="10">
        <v>37878</v>
      </c>
      <c r="B512" s="2">
        <v>2003</v>
      </c>
      <c r="C512" s="2">
        <f>COUNTIFS(Games[Team],Games[[#This Row],[Team]],Games[Season],Games[[#This Row],[Season]],Games[Date],"&lt;=" &amp; Games[[#This Row],[Date]])</f>
        <v>42</v>
      </c>
      <c r="D512" s="2" t="s">
        <v>46</v>
      </c>
      <c r="E512" s="2">
        <v>3</v>
      </c>
      <c r="F512" s="1" t="s">
        <v>71</v>
      </c>
      <c r="G512" s="1" t="s">
        <v>76</v>
      </c>
      <c r="H512" s="1" t="s">
        <v>16</v>
      </c>
      <c r="I512" s="2" cm="1">
        <f t="array" ref="I512">IFERROR(
    Games[[#This Row],[Date]]
    - LOOKUP(
        2,
        1/((Games[Team]=Games[[#This Row],[Team]]) * (Games[Date] &lt; Games[[#This Row],[Date]])),
        Games[Date]
    )
    - 1,
Games[[#This Row],[Date]]-$A$2)</f>
        <v>1</v>
      </c>
      <c r="J512" s="2" cm="1">
        <f t="array" ref="J51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12" s="2">
        <f>Games[[#This Row],[DaysOff]]-Games[[#This Row],[OppDaysOff]]</f>
        <v>0</v>
      </c>
      <c r="L512" s="2">
        <f>Games[[#This Row],[OppDaysOff]]-Games[[#This Row],[DaysOff]]</f>
        <v>0</v>
      </c>
      <c r="M512" s="1">
        <f>MAX(-16, MIN(16, Games[[#This Row],[RestDiff]]*8))</f>
        <v>0</v>
      </c>
      <c r="N512" s="1">
        <f>MAX(-16, MIN(16, Games[[#This Row],[OppRestDiff]]*8))</f>
        <v>0</v>
      </c>
      <c r="O512" s="4" cm="1">
        <f t="array" ref="O51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1646.2873148413223</v>
      </c>
      <c r="P512" s="4" cm="1">
        <f t="array" ref="P51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1616.8538863528756</v>
      </c>
      <c r="Q512" s="4">
        <f>1/(1+10^(((Games[[#This Row],[OppPreGmRate]]+IF(Games[[#This Row],[HomeAway]]="A",HCA,0)+Games[[#This Row],[OppRestAdj]])-(Games[[#This Row],[PreGmRate]]+IF(Games[[#This Row],[HomeAway]]="H",HCA,0)+Games[[#This Row],[RestAdj]]))/400))</f>
        <v>0.42211174661601364</v>
      </c>
      <c r="R512" s="1">
        <v>61</v>
      </c>
      <c r="S512" s="1">
        <v>62</v>
      </c>
      <c r="T512" s="1">
        <v>0</v>
      </c>
      <c r="U512" s="1">
        <f>Games[[#This Row],[PointsFor]]-Games[[#This Row],[PointsAgainst]]</f>
        <v>-1</v>
      </c>
      <c r="V512" s="1">
        <f>IF(Games[[#This Row],[MOV]]&gt;0,1,IF(Games[[#This Row],[MOV]]=0,0.5,0))</f>
        <v>0</v>
      </c>
      <c r="W512" s="4">
        <f>((ABS(Games[[#This Row],[MOV]])+5)^0.6)/(12+0.01*(ABS(Games[[#This Row],[PreGmRate]]-Games[[#This Row],[OppPreGmRate]])))*IF(Games[[#This Row],[OT]]=1,0.9,1)</f>
        <v>0.23833385230024731</v>
      </c>
      <c r="X512" s="7" cm="1">
        <f t="array" ref="X51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1.35</v>
      </c>
      <c r="Y512" s="9">
        <f>MAX(kmin, kmax - 0.15 * MIN(Games[[#This Row],[GamesPlayed]], 82))</f>
        <v>69.7</v>
      </c>
      <c r="Z512" s="4">
        <f>Games[[#This Row],[K]]*Games[[#This Row],[POMult]]</f>
        <v>94.095000000000013</v>
      </c>
      <c r="AA512" s="4">
        <f>(Games[[#This Row],[Keff]]*Games[[#This Row],[MOVMult]])*(Games[[#This Row],[Result]]-Games[[#This Row],[ExpectedWin%]])</f>
        <v>-9.4662880894588177</v>
      </c>
      <c r="AB512" s="4">
        <f>Games[[#This Row],[PreGmRate]]+Games[[#This Row],[RatingChange]]</f>
        <v>1636.8210267518634</v>
      </c>
      <c r="AC512" s="2">
        <f>IF(Games[[#This Row],[Type]]="R",IF(Games[[#This Row],[Result]]&gt;0.5,1,0),0)</f>
        <v>0</v>
      </c>
      <c r="AD512" s="2">
        <f>IF(Games[[#This Row],[Type]]="R",IF(Games[[#This Row],[Result]]&lt;0.5,1,0),0)</f>
        <v>0</v>
      </c>
      <c r="AE512" s="2">
        <f>IF(AND(Games[[#This Row],[Type]]="P",Games[[#This Row],[Round]]=1),IF(Games[[#This Row],[Result]]&gt;0.5,1,0),0)</f>
        <v>0</v>
      </c>
      <c r="AF512" s="2">
        <f>IF(AND(Games[[#This Row],[Type]]="P",Games[[#This Row],[Round]]=1),IF(Games[[#This Row],[Result]]&lt;0.5,1,0),0)</f>
        <v>0</v>
      </c>
      <c r="AG512" s="2">
        <f>IF(AND(Games[[#This Row],[Type]]="P",Games[[#This Row],[Round]]=2),IF(Games[[#This Row],[Result]]&gt;0.5,1,0),0)</f>
        <v>0</v>
      </c>
      <c r="AH512" s="2">
        <f>IF(AND(Games[[#This Row],[Type]]="P",Games[[#This Row],[Round]]=2),IF(Games[[#This Row],[Result]]&lt;0.5,1,0),0)</f>
        <v>0</v>
      </c>
      <c r="AI512" s="2">
        <f>IF(AND(Games[[#This Row],[Type]]="P",Games[[#This Row],[Round]]=3),IF(Games[[#This Row],[Result]]&gt;0.5,1,0),0)</f>
        <v>0</v>
      </c>
      <c r="AJ512" s="2">
        <f>IF(AND(Games[[#This Row],[Type]]="P",Games[[#This Row],[Round]]=3),IF(Games[[#This Row],[Result]]&lt;0.5,1,0),0)</f>
        <v>1</v>
      </c>
      <c r="AK512" s="2">
        <f>IF(AND(Games[[#This Row],[Type]]="P",Games[[#This Row],[Round]]=4),IF(Games[[#This Row],[Result]]&gt;0.5,1,0),0)</f>
        <v>0</v>
      </c>
      <c r="AL512" s="2">
        <f>IF(AND(Games[[#This Row],[Type]]="P",Games[[#This Row],[Round]]=4),IF(Games[[#This Row],[Result]]&lt;0.5,1,0),0)</f>
        <v>0</v>
      </c>
    </row>
    <row r="513" spans="1:38" x14ac:dyDescent="0.35">
      <c r="A513" s="10">
        <v>37878</v>
      </c>
      <c r="B513" s="2">
        <v>2003</v>
      </c>
      <c r="C513" s="2">
        <f>COUNTIFS(Games[Team],Games[[#This Row],[Team]],Games[Season],Games[[#This Row],[Season]],Games[Date],"&lt;=" &amp; Games[[#This Row],[Date]])</f>
        <v>41</v>
      </c>
      <c r="D513" s="2" t="s">
        <v>46</v>
      </c>
      <c r="E513" s="2">
        <v>3</v>
      </c>
      <c r="F513" s="1" t="s">
        <v>76</v>
      </c>
      <c r="G513" s="1" t="s">
        <v>71</v>
      </c>
      <c r="H513" s="1" t="s">
        <v>15</v>
      </c>
      <c r="I513" s="2" cm="1">
        <f t="array" ref="I513">IFERROR(
    Games[[#This Row],[Date]]
    - LOOKUP(
        2,
        1/((Games[Team]=Games[[#This Row],[Team]]) * (Games[Date] &lt; Games[[#This Row],[Date]])),
        Games[Date]
    )
    - 1,
Games[[#This Row],[Date]]-$A$2)</f>
        <v>1</v>
      </c>
      <c r="J513" s="2" cm="1">
        <f t="array" ref="J51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13" s="2">
        <f>Games[[#This Row],[DaysOff]]-Games[[#This Row],[OppDaysOff]]</f>
        <v>0</v>
      </c>
      <c r="L513" s="2">
        <f>Games[[#This Row],[OppDaysOff]]-Games[[#This Row],[DaysOff]]</f>
        <v>0</v>
      </c>
      <c r="M513" s="1">
        <f>MAX(-16, MIN(16, Games[[#This Row],[RestDiff]]*8))</f>
        <v>0</v>
      </c>
      <c r="N513" s="1">
        <f>MAX(-16, MIN(16, Games[[#This Row],[OppRestDiff]]*8))</f>
        <v>0</v>
      </c>
      <c r="O513" s="4" cm="1">
        <f t="array" ref="O51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1616.8538863528756</v>
      </c>
      <c r="P513" s="4" cm="1">
        <f t="array" ref="P51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1646.2873148413223</v>
      </c>
      <c r="Q513" s="4">
        <f>1/(1+10^(((Games[[#This Row],[OppPreGmRate]]+IF(Games[[#This Row],[HomeAway]]="A",HCA,0)+Games[[#This Row],[OppRestAdj]])-(Games[[#This Row],[PreGmRate]]+IF(Games[[#This Row],[HomeAway]]="H",HCA,0)+Games[[#This Row],[RestAdj]]))/400))</f>
        <v>0.57788825338398642</v>
      </c>
      <c r="R513" s="1">
        <v>62</v>
      </c>
      <c r="S513" s="1">
        <v>61</v>
      </c>
      <c r="T513" s="1">
        <v>0</v>
      </c>
      <c r="U513" s="1">
        <f>Games[[#This Row],[PointsFor]]-Games[[#This Row],[PointsAgainst]]</f>
        <v>1</v>
      </c>
      <c r="V513" s="1">
        <f>IF(Games[[#This Row],[MOV]]&gt;0,1,IF(Games[[#This Row],[MOV]]=0,0.5,0))</f>
        <v>1</v>
      </c>
      <c r="W513" s="4">
        <f>((ABS(Games[[#This Row],[MOV]])+5)^0.6)/(12+0.01*(ABS(Games[[#This Row],[PreGmRate]]-Games[[#This Row],[OppPreGmRate]])))*IF(Games[[#This Row],[OT]]=1,0.9,1)</f>
        <v>0.23833385230024731</v>
      </c>
      <c r="X513" s="7" cm="1">
        <f t="array" ref="X51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1.35</v>
      </c>
      <c r="Y513" s="9">
        <f>MAX(kmin, kmax - 0.15 * MIN(Games[[#This Row],[GamesPlayed]], 82))</f>
        <v>69.849999999999994</v>
      </c>
      <c r="Z513" s="4">
        <f>Games[[#This Row],[K]]*Games[[#This Row],[POMult]]</f>
        <v>94.297499999999999</v>
      </c>
      <c r="AA513" s="4">
        <f>(Games[[#This Row],[Keff]]*Games[[#This Row],[MOVMult]])*(Games[[#This Row],[Result]]-Games[[#This Row],[ExpectedWin%]])</f>
        <v>9.4866603019899323</v>
      </c>
      <c r="AB513" s="4">
        <f>Games[[#This Row],[PreGmRate]]+Games[[#This Row],[RatingChange]]</f>
        <v>1626.3405466548656</v>
      </c>
      <c r="AC513" s="2">
        <f>IF(Games[[#This Row],[Type]]="R",IF(Games[[#This Row],[Result]]&gt;0.5,1,0),0)</f>
        <v>0</v>
      </c>
      <c r="AD513" s="2">
        <f>IF(Games[[#This Row],[Type]]="R",IF(Games[[#This Row],[Result]]&lt;0.5,1,0),0)</f>
        <v>0</v>
      </c>
      <c r="AE513" s="2">
        <f>IF(AND(Games[[#This Row],[Type]]="P",Games[[#This Row],[Round]]=1),IF(Games[[#This Row],[Result]]&gt;0.5,1,0),0)</f>
        <v>0</v>
      </c>
      <c r="AF513" s="2">
        <f>IF(AND(Games[[#This Row],[Type]]="P",Games[[#This Row],[Round]]=1),IF(Games[[#This Row],[Result]]&lt;0.5,1,0),0)</f>
        <v>0</v>
      </c>
      <c r="AG513" s="2">
        <f>IF(AND(Games[[#This Row],[Type]]="P",Games[[#This Row],[Round]]=2),IF(Games[[#This Row],[Result]]&gt;0.5,1,0),0)</f>
        <v>0</v>
      </c>
      <c r="AH513" s="2">
        <f>IF(AND(Games[[#This Row],[Type]]="P",Games[[#This Row],[Round]]=2),IF(Games[[#This Row],[Result]]&lt;0.5,1,0),0)</f>
        <v>0</v>
      </c>
      <c r="AI513" s="2">
        <f>IF(AND(Games[[#This Row],[Type]]="P",Games[[#This Row],[Round]]=3),IF(Games[[#This Row],[Result]]&gt;0.5,1,0),0)</f>
        <v>1</v>
      </c>
      <c r="AJ513" s="2">
        <f>IF(AND(Games[[#This Row],[Type]]="P",Games[[#This Row],[Round]]=3),IF(Games[[#This Row],[Result]]&lt;0.5,1,0),0)</f>
        <v>0</v>
      </c>
      <c r="AK513" s="2">
        <f>IF(AND(Games[[#This Row],[Type]]="P",Games[[#This Row],[Round]]=4),IF(Games[[#This Row],[Result]]&gt;0.5,1,0),0)</f>
        <v>0</v>
      </c>
      <c r="AL513" s="2">
        <f>IF(AND(Games[[#This Row],[Type]]="P",Games[[#This Row],[Round]]=4),IF(Games[[#This Row],[Result]]&lt;0.5,1,0),0)</f>
        <v>0</v>
      </c>
    </row>
    <row r="514" spans="1:38" x14ac:dyDescent="0.35">
      <c r="A514" s="10">
        <v>37880</v>
      </c>
      <c r="B514" s="2">
        <v>2003</v>
      </c>
      <c r="C514" s="2">
        <f>COUNTIFS(Games[Team],Games[[#This Row],[Team]],Games[Season],Games[[#This Row],[Season]],Games[Date],"&lt;=" &amp; Games[[#This Row],[Date]])</f>
        <v>43</v>
      </c>
      <c r="D514" s="2" t="s">
        <v>46</v>
      </c>
      <c r="E514" s="2">
        <v>3</v>
      </c>
      <c r="F514" s="1" t="s">
        <v>71</v>
      </c>
      <c r="G514" s="1" t="s">
        <v>76</v>
      </c>
      <c r="H514" s="1" t="s">
        <v>16</v>
      </c>
      <c r="I514" s="2" cm="1">
        <f t="array" ref="I514">IFERROR(
    Games[[#This Row],[Date]]
    - LOOKUP(
        2,
        1/((Games[Team]=Games[[#This Row],[Team]]) * (Games[Date] &lt; Games[[#This Row],[Date]])),
        Games[Date]
    )
    - 1,
Games[[#This Row],[Date]]-$A$2)</f>
        <v>1</v>
      </c>
      <c r="J514" s="2" cm="1">
        <f t="array" ref="J51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14" s="2">
        <f>Games[[#This Row],[DaysOff]]-Games[[#This Row],[OppDaysOff]]</f>
        <v>0</v>
      </c>
      <c r="L514" s="2">
        <f>Games[[#This Row],[OppDaysOff]]-Games[[#This Row],[DaysOff]]</f>
        <v>0</v>
      </c>
      <c r="M514" s="1">
        <f>MAX(-16, MIN(16, Games[[#This Row],[RestDiff]]*8))</f>
        <v>0</v>
      </c>
      <c r="N514" s="1">
        <f>MAX(-16, MIN(16, Games[[#This Row],[OppRestDiff]]*8))</f>
        <v>0</v>
      </c>
      <c r="O514" s="4" cm="1">
        <f t="array" ref="O51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1636.8210267518634</v>
      </c>
      <c r="P514" s="4" cm="1">
        <f t="array" ref="P51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1626.3405466548656</v>
      </c>
      <c r="Q514" s="4">
        <f>1/(1+10^(((Games[[#This Row],[OppPreGmRate]]+IF(Games[[#This Row],[HomeAway]]="A",HCA,0)+Games[[#This Row],[OppRestAdj]])-(Games[[#This Row],[PreGmRate]]+IF(Games[[#This Row],[HomeAway]]="H",HCA,0)+Games[[#This Row],[RestAdj]]))/400))</f>
        <v>0.39574831277970474</v>
      </c>
      <c r="R514" s="1">
        <v>78</v>
      </c>
      <c r="S514" s="1">
        <v>83</v>
      </c>
      <c r="T514" s="1">
        <v>0</v>
      </c>
      <c r="U514" s="1">
        <f>Games[[#This Row],[PointsFor]]-Games[[#This Row],[PointsAgainst]]</f>
        <v>-5</v>
      </c>
      <c r="V514" s="1">
        <f>IF(Games[[#This Row],[MOV]]&gt;0,1,IF(Games[[#This Row],[MOV]]=0,0.5,0))</f>
        <v>0</v>
      </c>
      <c r="W514" s="4">
        <f>((ABS(Games[[#This Row],[MOV]])+5)^0.6)/(12+0.01*(ABS(Games[[#This Row],[PreGmRate]]-Games[[#This Row],[OppPreGmRate]])))*IF(Games[[#This Row],[OT]]=1,0.9,1)</f>
        <v>0.3288835938284575</v>
      </c>
      <c r="X514" s="7" cm="1">
        <f t="array" ref="X51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1.35</v>
      </c>
      <c r="Y514" s="9">
        <f>MAX(kmin, kmax - 0.15 * MIN(Games[[#This Row],[GamesPlayed]], 82))</f>
        <v>69.55</v>
      </c>
      <c r="Z514" s="4">
        <f>Games[[#This Row],[K]]*Games[[#This Row],[POMult]]</f>
        <v>93.892499999999998</v>
      </c>
      <c r="AA514" s="4">
        <f>(Games[[#This Row],[Keff]]*Games[[#This Row],[MOVMult]])*(Games[[#This Row],[Result]]-Games[[#This Row],[ExpectedWin%]])</f>
        <v>-12.220590295511506</v>
      </c>
      <c r="AB514" s="4">
        <f>Games[[#This Row],[PreGmRate]]+Games[[#This Row],[RatingChange]]</f>
        <v>1624.6004364563519</v>
      </c>
      <c r="AC514" s="2">
        <f>IF(Games[[#This Row],[Type]]="R",IF(Games[[#This Row],[Result]]&gt;0.5,1,0),0)</f>
        <v>0</v>
      </c>
      <c r="AD514" s="2">
        <f>IF(Games[[#This Row],[Type]]="R",IF(Games[[#This Row],[Result]]&lt;0.5,1,0),0)</f>
        <v>0</v>
      </c>
      <c r="AE514" s="2">
        <f>IF(AND(Games[[#This Row],[Type]]="P",Games[[#This Row],[Round]]=1),IF(Games[[#This Row],[Result]]&gt;0.5,1,0),0)</f>
        <v>0</v>
      </c>
      <c r="AF514" s="2">
        <f>IF(AND(Games[[#This Row],[Type]]="P",Games[[#This Row],[Round]]=1),IF(Games[[#This Row],[Result]]&lt;0.5,1,0),0)</f>
        <v>0</v>
      </c>
      <c r="AG514" s="2">
        <f>IF(AND(Games[[#This Row],[Type]]="P",Games[[#This Row],[Round]]=2),IF(Games[[#This Row],[Result]]&gt;0.5,1,0),0)</f>
        <v>0</v>
      </c>
      <c r="AH514" s="2">
        <f>IF(AND(Games[[#This Row],[Type]]="P",Games[[#This Row],[Round]]=2),IF(Games[[#This Row],[Result]]&lt;0.5,1,0),0)</f>
        <v>0</v>
      </c>
      <c r="AI514" s="2">
        <f>IF(AND(Games[[#This Row],[Type]]="P",Games[[#This Row],[Round]]=3),IF(Games[[#This Row],[Result]]&gt;0.5,1,0),0)</f>
        <v>0</v>
      </c>
      <c r="AJ514" s="2">
        <f>IF(AND(Games[[#This Row],[Type]]="P",Games[[#This Row],[Round]]=3),IF(Games[[#This Row],[Result]]&lt;0.5,1,0),0)</f>
        <v>1</v>
      </c>
      <c r="AK514" s="2">
        <f>IF(AND(Games[[#This Row],[Type]]="P",Games[[#This Row],[Round]]=4),IF(Games[[#This Row],[Result]]&gt;0.5,1,0),0)</f>
        <v>0</v>
      </c>
      <c r="AL514" s="2">
        <f>IF(AND(Games[[#This Row],[Type]]="P",Games[[#This Row],[Round]]=4),IF(Games[[#This Row],[Result]]&lt;0.5,1,0),0)</f>
        <v>0</v>
      </c>
    </row>
    <row r="515" spans="1:38" x14ac:dyDescent="0.35">
      <c r="A515" s="10">
        <v>37880</v>
      </c>
      <c r="B515" s="2">
        <v>2003</v>
      </c>
      <c r="C515" s="2">
        <f>COUNTIFS(Games[Team],Games[[#This Row],[Team]],Games[Season],Games[[#This Row],[Season]],Games[Date],"&lt;=" &amp; Games[[#This Row],[Date]])</f>
        <v>42</v>
      </c>
      <c r="D515" s="2" t="s">
        <v>46</v>
      </c>
      <c r="E515" s="2">
        <v>3</v>
      </c>
      <c r="F515" s="1" t="s">
        <v>76</v>
      </c>
      <c r="G515" s="1" t="s">
        <v>71</v>
      </c>
      <c r="H515" s="1" t="s">
        <v>15</v>
      </c>
      <c r="I515" s="2" cm="1">
        <f t="array" ref="I515">IFERROR(
    Games[[#This Row],[Date]]
    - LOOKUP(
        2,
        1/((Games[Team]=Games[[#This Row],[Team]]) * (Games[Date] &lt; Games[[#This Row],[Date]])),
        Games[Date]
    )
    - 1,
Games[[#This Row],[Date]]-$A$2)</f>
        <v>1</v>
      </c>
      <c r="J515" s="2" cm="1">
        <f t="array" ref="J51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15" s="2">
        <f>Games[[#This Row],[DaysOff]]-Games[[#This Row],[OppDaysOff]]</f>
        <v>0</v>
      </c>
      <c r="L515" s="2">
        <f>Games[[#This Row],[OppDaysOff]]-Games[[#This Row],[DaysOff]]</f>
        <v>0</v>
      </c>
      <c r="M515" s="1">
        <f>MAX(-16, MIN(16, Games[[#This Row],[RestDiff]]*8))</f>
        <v>0</v>
      </c>
      <c r="N515" s="1">
        <f>MAX(-16, MIN(16, Games[[#This Row],[OppRestDiff]]*8))</f>
        <v>0</v>
      </c>
      <c r="O515" s="4" cm="1">
        <f t="array" ref="O51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1626.3405466548656</v>
      </c>
      <c r="P515" s="4" cm="1">
        <f t="array" ref="P51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1636.8210267518634</v>
      </c>
      <c r="Q515" s="4">
        <f>1/(1+10^(((Games[[#This Row],[OppPreGmRate]]+IF(Games[[#This Row],[HomeAway]]="A",HCA,0)+Games[[#This Row],[OppRestAdj]])-(Games[[#This Row],[PreGmRate]]+IF(Games[[#This Row],[HomeAway]]="H",HCA,0)+Games[[#This Row],[RestAdj]]))/400))</f>
        <v>0.60425168722029521</v>
      </c>
      <c r="R515" s="1">
        <v>83</v>
      </c>
      <c r="S515" s="1">
        <v>78</v>
      </c>
      <c r="T515" s="1">
        <v>0</v>
      </c>
      <c r="U515" s="1">
        <f>Games[[#This Row],[PointsFor]]-Games[[#This Row],[PointsAgainst]]</f>
        <v>5</v>
      </c>
      <c r="V515" s="1">
        <f>IF(Games[[#This Row],[MOV]]&gt;0,1,IF(Games[[#This Row],[MOV]]=0,0.5,0))</f>
        <v>1</v>
      </c>
      <c r="W515" s="4">
        <f>((ABS(Games[[#This Row],[MOV]])+5)^0.6)/(12+0.01*(ABS(Games[[#This Row],[PreGmRate]]-Games[[#This Row],[OppPreGmRate]])))*IF(Games[[#This Row],[OT]]=1,0.9,1)</f>
        <v>0.3288835938284575</v>
      </c>
      <c r="X515" s="7" cm="1">
        <f t="array" ref="X51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1.35</v>
      </c>
      <c r="Y515" s="9">
        <f>MAX(kmin, kmax - 0.15 * MIN(Games[[#This Row],[GamesPlayed]], 82))</f>
        <v>69.7</v>
      </c>
      <c r="Z515" s="4">
        <f>Games[[#This Row],[K]]*Games[[#This Row],[POMult]]</f>
        <v>94.095000000000013</v>
      </c>
      <c r="AA515" s="4">
        <f>(Games[[#This Row],[Keff]]*Games[[#This Row],[MOVMult]])*(Games[[#This Row],[Result]]-Games[[#This Row],[ExpectedWin%]])</f>
        <v>12.246946708801614</v>
      </c>
      <c r="AB515" s="4">
        <f>Games[[#This Row],[PreGmRate]]+Games[[#This Row],[RatingChange]]</f>
        <v>1638.5874933636674</v>
      </c>
      <c r="AC515" s="2">
        <f>IF(Games[[#This Row],[Type]]="R",IF(Games[[#This Row],[Result]]&gt;0.5,1,0),0)</f>
        <v>0</v>
      </c>
      <c r="AD515" s="2">
        <f>IF(Games[[#This Row],[Type]]="R",IF(Games[[#This Row],[Result]]&lt;0.5,1,0),0)</f>
        <v>0</v>
      </c>
      <c r="AE515" s="2">
        <f>IF(AND(Games[[#This Row],[Type]]="P",Games[[#This Row],[Round]]=1),IF(Games[[#This Row],[Result]]&gt;0.5,1,0),0)</f>
        <v>0</v>
      </c>
      <c r="AF515" s="2">
        <f>IF(AND(Games[[#This Row],[Type]]="P",Games[[#This Row],[Round]]=1),IF(Games[[#This Row],[Result]]&lt;0.5,1,0),0)</f>
        <v>0</v>
      </c>
      <c r="AG515" s="2">
        <f>IF(AND(Games[[#This Row],[Type]]="P",Games[[#This Row],[Round]]=2),IF(Games[[#This Row],[Result]]&gt;0.5,1,0),0)</f>
        <v>0</v>
      </c>
      <c r="AH515" s="2">
        <f>IF(AND(Games[[#This Row],[Type]]="P",Games[[#This Row],[Round]]=2),IF(Games[[#This Row],[Result]]&lt;0.5,1,0),0)</f>
        <v>0</v>
      </c>
      <c r="AI515" s="2">
        <f>IF(AND(Games[[#This Row],[Type]]="P",Games[[#This Row],[Round]]=3),IF(Games[[#This Row],[Result]]&gt;0.5,1,0),0)</f>
        <v>1</v>
      </c>
      <c r="AJ515" s="2">
        <f>IF(AND(Games[[#This Row],[Type]]="P",Games[[#This Row],[Round]]=3),IF(Games[[#This Row],[Result]]&lt;0.5,1,0),0)</f>
        <v>0</v>
      </c>
      <c r="AK515" s="2">
        <f>IF(AND(Games[[#This Row],[Type]]="P",Games[[#This Row],[Round]]=4),IF(Games[[#This Row],[Result]]&gt;0.5,1,0),0)</f>
        <v>0</v>
      </c>
      <c r="AL515" s="2">
        <f>IF(AND(Games[[#This Row],[Type]]="P",Games[[#This Row],[Round]]=4),IF(Games[[#This Row],[Result]]&lt;0.5,1,0),0)</f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6</vt:i4>
      </vt:variant>
    </vt:vector>
  </HeadingPairs>
  <TitlesOfParts>
    <vt:vector size="11" baseType="lpstr">
      <vt:lpstr>DataTable</vt:lpstr>
      <vt:lpstr>StandingsRaw</vt:lpstr>
      <vt:lpstr>StandingsPivot</vt:lpstr>
      <vt:lpstr>Sheet1</vt:lpstr>
      <vt:lpstr>RawData</vt:lpstr>
      <vt:lpstr>alpha</vt:lpstr>
      <vt:lpstr>base</vt:lpstr>
      <vt:lpstr>HCA</vt:lpstr>
      <vt:lpstr>HFA</vt:lpstr>
      <vt:lpstr>kmax</vt:lpstr>
      <vt:lpstr>kmin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Sutton</dc:creator>
  <cp:lastModifiedBy>Tj Sutton</cp:lastModifiedBy>
  <dcterms:created xsi:type="dcterms:W3CDTF">2025-12-07T03:29:45Z</dcterms:created>
  <dcterms:modified xsi:type="dcterms:W3CDTF">2026-07-27T10:00:40Z</dcterms:modified>
</cp:coreProperties>
</file>